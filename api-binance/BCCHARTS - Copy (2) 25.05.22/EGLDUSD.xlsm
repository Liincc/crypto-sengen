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57B98C8-092B-4AFA-87CB-8FE5A6AFBA6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22" i="4"/>
  <c r="C133" i="4" s="1"/>
  <c r="D136" i="4" s="1"/>
  <c r="C116" i="3"/>
  <c r="C122" i="3"/>
  <c r="C133" i="3" s="1"/>
  <c r="C136" i="3" s="1"/>
  <c r="C116" i="4"/>
  <c r="C118" i="4"/>
  <c r="R765" i="1"/>
  <c r="C136" i="5" l="1"/>
  <c r="C138" i="5" s="1"/>
  <c r="C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<sst xmlns="http://schemas.openxmlformats.org/spreadsheetml/2006/main" count="5572" uniqueCount="34">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</sst>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136.58000000000001</c:v>
                </c:pt>
                <c:pt idx="1">
                  <c:v>140.18</c:v>
                </c:pt>
                <c:pt idx="2">
                  <c:v>140.71</c:v>
                </c:pt>
                <c:pt idx="3">
                  <c:v>131.16</c:v>
                </c:pt>
                <c:pt idx="4">
                  <c:v>134.19999999999999</c:v>
                </c:pt>
                <c:pt idx="5">
                  <c:v>125.2</c:v>
                </c:pt>
                <c:pt idx="6">
                  <c:v>138.27000000000001</c:v>
                </c:pt>
                <c:pt idx="7">
                  <c:v>166.71</c:v>
                </c:pt>
                <c:pt idx="8">
                  <c:v>173.36</c:v>
                </c:pt>
                <c:pt idx="9">
                  <c:v>179</c:v>
                </c:pt>
                <c:pt idx="10">
                  <c:v>186.86</c:v>
                </c:pt>
                <c:pt idx="11">
                  <c:v>195.38</c:v>
                </c:pt>
                <c:pt idx="12">
                  <c:v>200.3</c:v>
                </c:pt>
                <c:pt idx="13">
                  <c:v>199.46</c:v>
                </c:pt>
                <c:pt idx="14">
                  <c:v>195.46</c:v>
                </c:pt>
                <c:pt idx="15">
                  <c:v>214.27</c:v>
                </c:pt>
                <c:pt idx="16">
                  <c:v>205.02</c:v>
                </c:pt>
                <c:pt idx="17">
                  <c:v>191.2</c:v>
                </c:pt>
                <c:pt idx="18">
                  <c:v>197.98</c:v>
                </c:pt>
                <c:pt idx="19">
                  <c:v>190.33</c:v>
                </c:pt>
                <c:pt idx="20">
                  <c:v>195.87</c:v>
                </c:pt>
                <c:pt idx="21">
                  <c:v>212.45</c:v>
                </c:pt>
                <c:pt idx="22">
                  <c:v>213.31</c:v>
                </c:pt>
                <c:pt idx="23">
                  <c:v>235.89</c:v>
                </c:pt>
                <c:pt idx="24">
                  <c:v>236.83</c:v>
                </c:pt>
                <c:pt idx="25">
                  <c:v>239.75</c:v>
                </c:pt>
                <c:pt idx="26">
                  <c:v>245.24</c:v>
                </c:pt>
                <c:pt idx="27">
                  <c:v>238.61</c:v>
                </c:pt>
                <c:pt idx="28">
                  <c:v>239.32</c:v>
                </c:pt>
                <c:pt idx="29">
                  <c:v>238.3</c:v>
                </c:pt>
                <c:pt idx="30">
                  <c:v>240.27</c:v>
                </c:pt>
                <c:pt idx="31">
                  <c:v>266.39</c:v>
                </c:pt>
                <c:pt idx="32">
                  <c:v>258.60000000000002</c:v>
                </c:pt>
                <c:pt idx="33">
                  <c:v>255.6</c:v>
                </c:pt>
                <c:pt idx="34">
                  <c:v>250.55</c:v>
                </c:pt>
                <c:pt idx="35">
                  <c:v>261.14999999999998</c:v>
                </c:pt>
                <c:pt idx="36">
                  <c:v>246.84</c:v>
                </c:pt>
                <c:pt idx="37">
                  <c:v>240.02</c:v>
                </c:pt>
                <c:pt idx="38">
                  <c:v>236.77</c:v>
                </c:pt>
                <c:pt idx="39">
                  <c:v>246.62</c:v>
                </c:pt>
                <c:pt idx="40">
                  <c:v>254.2</c:v>
                </c:pt>
                <c:pt idx="41">
                  <c:v>254.9</c:v>
                </c:pt>
                <c:pt idx="42">
                  <c:v>268.18</c:v>
                </c:pt>
                <c:pt idx="43">
                  <c:v>295.97000000000003</c:v>
                </c:pt>
                <c:pt idx="44">
                  <c:v>254.02</c:v>
                </c:pt>
                <c:pt idx="45">
                  <c:v>234.65</c:v>
                </c:pt>
                <c:pt idx="46">
                  <c:v>262.58</c:v>
                </c:pt>
                <c:pt idx="47">
                  <c:v>259.49</c:v>
                </c:pt>
                <c:pt idx="48">
                  <c:v>256.81</c:v>
                </c:pt>
                <c:pt idx="49">
                  <c:v>266.22000000000003</c:v>
                </c:pt>
                <c:pt idx="50">
                  <c:v>298</c:v>
                </c:pt>
                <c:pt idx="51">
                  <c:v>286.14999999999998</c:v>
                </c:pt>
                <c:pt idx="52">
                  <c:v>288.06</c:v>
                </c:pt>
                <c:pt idx="53">
                  <c:v>288.08</c:v>
                </c:pt>
                <c:pt idx="54">
                  <c:v>309.61</c:v>
                </c:pt>
                <c:pt idx="55">
                  <c:v>345.61</c:v>
                </c:pt>
                <c:pt idx="56">
                  <c:v>357.27</c:v>
                </c:pt>
                <c:pt idx="57">
                  <c:v>408.9</c:v>
                </c:pt>
                <c:pt idx="58">
                  <c:v>376.95</c:v>
                </c:pt>
                <c:pt idx="59">
                  <c:v>396.33</c:v>
                </c:pt>
                <c:pt idx="60">
                  <c:v>412.99</c:v>
                </c:pt>
                <c:pt idx="61">
                  <c:v>430.73</c:v>
                </c:pt>
                <c:pt idx="62">
                  <c:v>398.54</c:v>
                </c:pt>
                <c:pt idx="63">
                  <c:v>439.54</c:v>
                </c:pt>
                <c:pt idx="64">
                  <c:v>464.66</c:v>
                </c:pt>
                <c:pt idx="65">
                  <c:v>469.27</c:v>
                </c:pt>
                <c:pt idx="66">
                  <c:v>490.99</c:v>
                </c:pt>
                <c:pt idx="67">
                  <c:v>426.14</c:v>
                </c:pt>
                <c:pt idx="68">
                  <c:v>392.35</c:v>
                </c:pt>
                <c:pt idx="69">
                  <c:v>347.42</c:v>
                </c:pt>
                <c:pt idx="70">
                  <c:v>308.39999999999998</c:v>
                </c:pt>
                <c:pt idx="71">
                  <c:v>309.67</c:v>
                </c:pt>
                <c:pt idx="72">
                  <c:v>303.14999999999998</c:v>
                </c:pt>
                <c:pt idx="73">
                  <c:v>314.8</c:v>
                </c:pt>
                <c:pt idx="74">
                  <c:v>319.89</c:v>
                </c:pt>
                <c:pt idx="75">
                  <c:v>322.02999999999997</c:v>
                </c:pt>
                <c:pt idx="76">
                  <c:v>325.64</c:v>
                </c:pt>
                <c:pt idx="77">
                  <c:v>317.36</c:v>
                </c:pt>
                <c:pt idx="78">
                  <c:v>313</c:v>
                </c:pt>
                <c:pt idx="79">
                  <c:v>316.83</c:v>
                </c:pt>
                <c:pt idx="80">
                  <c:v>309.14999999999998</c:v>
                </c:pt>
                <c:pt idx="81">
                  <c:v>315.86</c:v>
                </c:pt>
                <c:pt idx="82">
                  <c:v>315.95999999999998</c:v>
                </c:pt>
                <c:pt idx="83">
                  <c:v>315.60000000000002</c:v>
                </c:pt>
                <c:pt idx="84">
                  <c:v>318.45</c:v>
                </c:pt>
                <c:pt idx="85">
                  <c:v>307.36</c:v>
                </c:pt>
                <c:pt idx="86">
                  <c:v>272.2</c:v>
                </c:pt>
                <c:pt idx="87">
                  <c:v>269.14999999999998</c:v>
                </c:pt>
                <c:pt idx="88">
                  <c:v>271.04000000000002</c:v>
                </c:pt>
                <c:pt idx="89">
                  <c:v>260</c:v>
                </c:pt>
                <c:pt idx="90">
                  <c:v>269.56</c:v>
                </c:pt>
                <c:pt idx="91">
                  <c:v>256.77999999999997</c:v>
                </c:pt>
                <c:pt idx="92">
                  <c:v>245.76</c:v>
                </c:pt>
                <c:pt idx="93">
                  <c:v>272.85000000000002</c:v>
                </c:pt>
                <c:pt idx="94">
                  <c:v>294.99</c:v>
                </c:pt>
                <c:pt idx="95">
                  <c:v>283.54000000000002</c:v>
                </c:pt>
                <c:pt idx="96">
                  <c:v>271.16000000000003</c:v>
                </c:pt>
                <c:pt idx="97">
                  <c:v>274.62</c:v>
                </c:pt>
                <c:pt idx="98">
                  <c:v>249.26</c:v>
                </c:pt>
                <c:pt idx="99">
                  <c:v>240.15</c:v>
                </c:pt>
                <c:pt idx="100">
                  <c:v>229.79</c:v>
                </c:pt>
                <c:pt idx="101">
                  <c:v>230.22</c:v>
                </c:pt>
                <c:pt idx="102">
                  <c:v>236.15</c:v>
                </c:pt>
                <c:pt idx="103">
                  <c:v>241.34</c:v>
                </c:pt>
                <c:pt idx="104">
                  <c:v>237.25</c:v>
                </c:pt>
                <c:pt idx="105">
                  <c:v>242.19</c:v>
                </c:pt>
                <c:pt idx="106">
                  <c:v>241.96</c:v>
                </c:pt>
                <c:pt idx="107">
                  <c:v>236.16</c:v>
                </c:pt>
                <c:pt idx="108">
                  <c:v>248.45</c:v>
                </c:pt>
                <c:pt idx="109">
                  <c:v>240.03</c:v>
                </c:pt>
                <c:pt idx="110">
                  <c:v>258.79000000000002</c:v>
                </c:pt>
                <c:pt idx="111">
                  <c:v>257.60000000000002</c:v>
                </c:pt>
                <c:pt idx="112">
                  <c:v>242.99</c:v>
                </c:pt>
                <c:pt idx="113">
                  <c:v>230.47</c:v>
                </c:pt>
                <c:pt idx="114">
                  <c:v>244.5</c:v>
                </c:pt>
                <c:pt idx="115">
                  <c:v>241.38</c:v>
                </c:pt>
                <c:pt idx="116">
                  <c:v>253.28</c:v>
                </c:pt>
                <c:pt idx="117">
                  <c:v>245.09</c:v>
                </c:pt>
                <c:pt idx="118">
                  <c:v>241.73</c:v>
                </c:pt>
                <c:pt idx="119">
                  <c:v>209.95</c:v>
                </c:pt>
                <c:pt idx="120">
                  <c:v>203.15</c:v>
                </c:pt>
                <c:pt idx="121">
                  <c:v>200.15</c:v>
                </c:pt>
                <c:pt idx="122">
                  <c:v>212.35</c:v>
                </c:pt>
                <c:pt idx="123">
                  <c:v>223.5</c:v>
                </c:pt>
                <c:pt idx="124">
                  <c:v>218.26</c:v>
                </c:pt>
                <c:pt idx="125">
                  <c:v>237.94</c:v>
                </c:pt>
                <c:pt idx="126">
                  <c:v>245.58</c:v>
                </c:pt>
                <c:pt idx="127">
                  <c:v>230.06</c:v>
                </c:pt>
                <c:pt idx="128">
                  <c:v>199.78</c:v>
                </c:pt>
                <c:pt idx="129">
                  <c:v>206.46</c:v>
                </c:pt>
                <c:pt idx="130">
                  <c:v>224.81</c:v>
                </c:pt>
                <c:pt idx="131">
                  <c:v>247.86</c:v>
                </c:pt>
                <c:pt idx="132">
                  <c:v>242.04</c:v>
                </c:pt>
                <c:pt idx="133">
                  <c:v>265.89</c:v>
                </c:pt>
                <c:pt idx="134">
                  <c:v>258.79000000000002</c:v>
                </c:pt>
                <c:pt idx="135">
                  <c:v>280.33</c:v>
                </c:pt>
                <c:pt idx="136">
                  <c:v>260.89</c:v>
                </c:pt>
                <c:pt idx="137">
                  <c:v>266.44</c:v>
                </c:pt>
                <c:pt idx="138">
                  <c:v>230</c:v>
                </c:pt>
                <c:pt idx="139">
                  <c:v>235.82</c:v>
                </c:pt>
                <c:pt idx="140">
                  <c:v>200.45</c:v>
                </c:pt>
                <c:pt idx="141">
                  <c:v>172.4</c:v>
                </c:pt>
                <c:pt idx="142">
                  <c:v>158.55000000000001</c:v>
                </c:pt>
                <c:pt idx="143">
                  <c:v>179.9</c:v>
                </c:pt>
                <c:pt idx="144">
                  <c:v>176.18</c:v>
                </c:pt>
                <c:pt idx="145">
                  <c:v>171.58</c:v>
                </c:pt>
                <c:pt idx="146">
                  <c:v>174.68</c:v>
                </c:pt>
                <c:pt idx="147">
                  <c:v>171.97</c:v>
                </c:pt>
                <c:pt idx="148">
                  <c:v>176.19</c:v>
                </c:pt>
                <c:pt idx="149">
                  <c:v>169.03</c:v>
                </c:pt>
                <c:pt idx="150">
                  <c:v>157.79</c:v>
                </c:pt>
                <c:pt idx="151">
                  <c:v>140.99</c:v>
                </c:pt>
                <c:pt idx="152">
                  <c:v>140.71</c:v>
                </c:pt>
                <c:pt idx="153">
                  <c:v>140.99</c:v>
                </c:pt>
                <c:pt idx="154">
                  <c:v>134.63</c:v>
                </c:pt>
                <c:pt idx="155">
                  <c:v>138.97</c:v>
                </c:pt>
                <c:pt idx="156">
                  <c:v>137.41</c:v>
                </c:pt>
                <c:pt idx="157">
                  <c:v>149.03</c:v>
                </c:pt>
                <c:pt idx="158">
                  <c:v>149</c:v>
                </c:pt>
                <c:pt idx="159">
                  <c:v>148.94</c:v>
                </c:pt>
                <c:pt idx="160">
                  <c:v>155.86000000000001</c:v>
                </c:pt>
                <c:pt idx="161">
                  <c:v>146.04</c:v>
                </c:pt>
                <c:pt idx="162">
                  <c:v>146.43</c:v>
                </c:pt>
                <c:pt idx="163">
                  <c:v>140.08000000000001</c:v>
                </c:pt>
                <c:pt idx="164">
                  <c:v>136.13999999999999</c:v>
                </c:pt>
                <c:pt idx="165">
                  <c:v>136.66</c:v>
                </c:pt>
                <c:pt idx="166">
                  <c:v>137.22999999999999</c:v>
                </c:pt>
                <c:pt idx="167">
                  <c:v>138.16999999999999</c:v>
                </c:pt>
                <c:pt idx="168">
                  <c:v>134.22</c:v>
                </c:pt>
                <c:pt idx="169">
                  <c:v>135.16999999999999</c:v>
                </c:pt>
                <c:pt idx="170">
                  <c:v>139.5</c:v>
                </c:pt>
                <c:pt idx="171">
                  <c:v>134.31</c:v>
                </c:pt>
                <c:pt idx="172">
                  <c:v>125.46</c:v>
                </c:pt>
                <c:pt idx="173">
                  <c:v>117.89</c:v>
                </c:pt>
                <c:pt idx="174">
                  <c:v>115.64</c:v>
                </c:pt>
                <c:pt idx="175">
                  <c:v>108.96</c:v>
                </c:pt>
                <c:pt idx="176">
                  <c:v>102.6</c:v>
                </c:pt>
                <c:pt idx="177">
                  <c:v>97.84</c:v>
                </c:pt>
                <c:pt idx="178">
                  <c:v>104.27</c:v>
                </c:pt>
                <c:pt idx="179">
                  <c:v>87.13</c:v>
                </c:pt>
                <c:pt idx="180">
                  <c:v>86.78</c:v>
                </c:pt>
                <c:pt idx="181">
                  <c:v>86.71</c:v>
                </c:pt>
                <c:pt idx="182">
                  <c:v>85.02</c:v>
                </c:pt>
                <c:pt idx="183">
                  <c:v>85.27</c:v>
                </c:pt>
                <c:pt idx="184">
                  <c:v>86.52</c:v>
                </c:pt>
                <c:pt idx="185">
                  <c:v>86.03</c:v>
                </c:pt>
                <c:pt idx="186">
                  <c:v>84.99</c:v>
                </c:pt>
                <c:pt idx="187">
                  <c:v>82.63</c:v>
                </c:pt>
                <c:pt idx="188">
                  <c:v>80.28</c:v>
                </c:pt>
                <c:pt idx="189">
                  <c:v>78.75</c:v>
                </c:pt>
                <c:pt idx="190">
                  <c:v>76.42</c:v>
                </c:pt>
                <c:pt idx="191">
                  <c:v>67.75</c:v>
                </c:pt>
                <c:pt idx="192">
                  <c:v>70.209999999999994</c:v>
                </c:pt>
                <c:pt idx="193">
                  <c:v>74.489999999999995</c:v>
                </c:pt>
                <c:pt idx="194">
                  <c:v>74.33</c:v>
                </c:pt>
                <c:pt idx="195">
                  <c:v>74.52</c:v>
                </c:pt>
                <c:pt idx="196">
                  <c:v>79.239999999999995</c:v>
                </c:pt>
                <c:pt idx="197">
                  <c:v>84.17</c:v>
                </c:pt>
                <c:pt idx="198">
                  <c:v>85.69</c:v>
                </c:pt>
                <c:pt idx="199">
                  <c:v>88.17</c:v>
                </c:pt>
                <c:pt idx="200">
                  <c:v>89.17</c:v>
                </c:pt>
                <c:pt idx="201">
                  <c:v>88.28</c:v>
                </c:pt>
                <c:pt idx="202">
                  <c:v>89.89</c:v>
                </c:pt>
                <c:pt idx="203">
                  <c:v>88.58</c:v>
                </c:pt>
                <c:pt idx="204">
                  <c:v>95.78</c:v>
                </c:pt>
                <c:pt idx="205">
                  <c:v>95.77</c:v>
                </c:pt>
                <c:pt idx="206">
                  <c:v>97.71</c:v>
                </c:pt>
                <c:pt idx="207">
                  <c:v>93.53</c:v>
                </c:pt>
                <c:pt idx="208">
                  <c:v>92.5</c:v>
                </c:pt>
                <c:pt idx="209">
                  <c:v>81.2</c:v>
                </c:pt>
                <c:pt idx="210">
                  <c:v>80.260000000000005</c:v>
                </c:pt>
                <c:pt idx="211">
                  <c:v>85.14</c:v>
                </c:pt>
                <c:pt idx="212">
                  <c:v>85.02</c:v>
                </c:pt>
                <c:pt idx="213">
                  <c:v>73.790000000000006</c:v>
                </c:pt>
                <c:pt idx="214">
                  <c:v>65.8</c:v>
                </c:pt>
                <c:pt idx="215">
                  <c:v>63.66</c:v>
                </c:pt>
                <c:pt idx="216">
                  <c:v>61.57</c:v>
                </c:pt>
                <c:pt idx="217">
                  <c:v>67.430000000000007</c:v>
                </c:pt>
                <c:pt idx="218">
                  <c:v>65.3</c:v>
                </c:pt>
                <c:pt idx="219">
                  <c:v>59.64</c:v>
                </c:pt>
                <c:pt idx="220">
                  <c:v>68.260000000000005</c:v>
                </c:pt>
                <c:pt idx="221">
                  <c:v>80.27</c:v>
                </c:pt>
                <c:pt idx="222">
                  <c:v>79.349999999999994</c:v>
                </c:pt>
                <c:pt idx="223">
                  <c:v>79.83</c:v>
                </c:pt>
                <c:pt idx="224">
                  <c:v>86.13</c:v>
                </c:pt>
                <c:pt idx="225">
                  <c:v>86.49</c:v>
                </c:pt>
                <c:pt idx="226">
                  <c:v>90.97</c:v>
                </c:pt>
                <c:pt idx="227">
                  <c:v>89.99</c:v>
                </c:pt>
                <c:pt idx="228">
                  <c:v>87.22</c:v>
                </c:pt>
                <c:pt idx="229">
                  <c:v>78.86</c:v>
                </c:pt>
                <c:pt idx="230">
                  <c:v>81.08</c:v>
                </c:pt>
                <c:pt idx="231">
                  <c:v>87.08</c:v>
                </c:pt>
                <c:pt idx="232">
                  <c:v>92.85</c:v>
                </c:pt>
                <c:pt idx="233">
                  <c:v>89.55</c:v>
                </c:pt>
                <c:pt idx="234">
                  <c:v>90.96</c:v>
                </c:pt>
                <c:pt idx="235">
                  <c:v>97.38</c:v>
                </c:pt>
                <c:pt idx="236">
                  <c:v>96.86</c:v>
                </c:pt>
                <c:pt idx="237">
                  <c:v>96.55</c:v>
                </c:pt>
                <c:pt idx="238">
                  <c:v>107.24</c:v>
                </c:pt>
                <c:pt idx="239">
                  <c:v>103.4</c:v>
                </c:pt>
                <c:pt idx="240">
                  <c:v>101.49</c:v>
                </c:pt>
                <c:pt idx="241">
                  <c:v>103.75</c:v>
                </c:pt>
                <c:pt idx="242">
                  <c:v>92.91</c:v>
                </c:pt>
                <c:pt idx="243">
                  <c:v>90.6</c:v>
                </c:pt>
                <c:pt idx="244">
                  <c:v>99.53</c:v>
                </c:pt>
                <c:pt idx="245">
                  <c:v>114.83</c:v>
                </c:pt>
                <c:pt idx="246">
                  <c:v>118.73</c:v>
                </c:pt>
                <c:pt idx="247">
                  <c:v>102.38</c:v>
                </c:pt>
                <c:pt idx="248">
                  <c:v>104.26</c:v>
                </c:pt>
                <c:pt idx="249">
                  <c:v>85.33</c:v>
                </c:pt>
                <c:pt idx="250">
                  <c:v>90.41</c:v>
                </c:pt>
                <c:pt idx="251">
                  <c:v>97.88</c:v>
                </c:pt>
                <c:pt idx="252">
                  <c:v>112.54</c:v>
                </c:pt>
                <c:pt idx="253">
                  <c:v>96.48</c:v>
                </c:pt>
                <c:pt idx="254">
                  <c:v>144.94</c:v>
                </c:pt>
                <c:pt idx="255">
                  <c:v>140.35</c:v>
                </c:pt>
                <c:pt idx="256">
                  <c:v>154.63</c:v>
                </c:pt>
                <c:pt idx="257">
                  <c:v>156.79</c:v>
                </c:pt>
                <c:pt idx="258">
                  <c:v>164.15</c:v>
                </c:pt>
                <c:pt idx="259">
                  <c:v>161.31</c:v>
                </c:pt>
                <c:pt idx="260">
                  <c:v>170.1</c:v>
                </c:pt>
                <c:pt idx="261">
                  <c:v>181.55</c:v>
                </c:pt>
                <c:pt idx="262">
                  <c:v>173.1</c:v>
                </c:pt>
                <c:pt idx="263">
                  <c:v>187.84</c:v>
                </c:pt>
                <c:pt idx="264">
                  <c:v>185.77</c:v>
                </c:pt>
                <c:pt idx="265">
                  <c:v>190.29</c:v>
                </c:pt>
                <c:pt idx="266">
                  <c:v>194.16</c:v>
                </c:pt>
                <c:pt idx="267">
                  <c:v>192.84</c:v>
                </c:pt>
                <c:pt idx="268">
                  <c:v>175.34</c:v>
                </c:pt>
                <c:pt idx="269">
                  <c:v>193.44</c:v>
                </c:pt>
                <c:pt idx="270">
                  <c:v>180.55</c:v>
                </c:pt>
                <c:pt idx="271">
                  <c:v>181.6</c:v>
                </c:pt>
                <c:pt idx="272">
                  <c:v>183.77</c:v>
                </c:pt>
                <c:pt idx="273">
                  <c:v>174.35</c:v>
                </c:pt>
                <c:pt idx="274">
                  <c:v>180.11</c:v>
                </c:pt>
                <c:pt idx="275">
                  <c:v>181.1</c:v>
                </c:pt>
                <c:pt idx="276">
                  <c:v>166.41</c:v>
                </c:pt>
                <c:pt idx="277">
                  <c:v>149.5</c:v>
                </c:pt>
                <c:pt idx="278">
                  <c:v>148.65</c:v>
                </c:pt>
                <c:pt idx="279">
                  <c:v>161.22999999999999</c:v>
                </c:pt>
                <c:pt idx="280">
                  <c:v>164.226</c:v>
                </c:pt>
                <c:pt idx="281">
                  <c:v>181.44399999999999</c:v>
                </c:pt>
                <c:pt idx="282">
                  <c:v>174.70599999999999</c:v>
                </c:pt>
                <c:pt idx="283">
                  <c:v>168.39699999999999</c:v>
                </c:pt>
                <c:pt idx="284">
                  <c:v>189.99100000000001</c:v>
                </c:pt>
                <c:pt idx="285">
                  <c:v>213.22800000000001</c:v>
                </c:pt>
                <c:pt idx="286">
                  <c:v>210.49</c:v>
                </c:pt>
                <c:pt idx="287">
                  <c:v>225.93</c:v>
                </c:pt>
                <c:pt idx="288">
                  <c:v>225.78700000000001</c:v>
                </c:pt>
                <c:pt idx="289">
                  <c:v>212.477</c:v>
                </c:pt>
                <c:pt idx="290">
                  <c:v>224.91800000000001</c:v>
                </c:pt>
                <c:pt idx="291">
                  <c:v>237.01400000000001</c:v>
                </c:pt>
                <c:pt idx="292">
                  <c:v>208.43600000000001</c:v>
                </c:pt>
                <c:pt idx="293">
                  <c:v>194.07599999999999</c:v>
                </c:pt>
                <c:pt idx="294">
                  <c:v>180.334</c:v>
                </c:pt>
                <c:pt idx="295">
                  <c:v>173.297</c:v>
                </c:pt>
                <c:pt idx="296">
                  <c:v>193</c:v>
                </c:pt>
                <c:pt idx="297">
                  <c:v>166.81100000000001</c:v>
                </c:pt>
                <c:pt idx="298">
                  <c:v>168.2</c:v>
                </c:pt>
                <c:pt idx="299">
                  <c:v>159.84700000000001</c:v>
                </c:pt>
                <c:pt idx="300">
                  <c:v>167.732</c:v>
                </c:pt>
                <c:pt idx="301">
                  <c:v>150.339</c:v>
                </c:pt>
                <c:pt idx="302">
                  <c:v>139.71600000000001</c:v>
                </c:pt>
                <c:pt idx="303">
                  <c:v>142.65799999999999</c:v>
                </c:pt>
                <c:pt idx="304">
                  <c:v>143.54900000000001</c:v>
                </c:pt>
                <c:pt idx="305">
                  <c:v>141.58799999999999</c:v>
                </c:pt>
                <c:pt idx="306">
                  <c:v>146.29</c:v>
                </c:pt>
                <c:pt idx="307">
                  <c:v>141.048</c:v>
                </c:pt>
                <c:pt idx="308">
                  <c:v>121.812</c:v>
                </c:pt>
                <c:pt idx="309">
                  <c:v>120.398</c:v>
                </c:pt>
                <c:pt idx="310">
                  <c:v>130.697</c:v>
                </c:pt>
                <c:pt idx="311">
                  <c:v>134.72800000000001</c:v>
                </c:pt>
                <c:pt idx="312">
                  <c:v>138.47300000000001</c:v>
                </c:pt>
                <c:pt idx="313">
                  <c:v>136.91999999999999</c:v>
                </c:pt>
                <c:pt idx="314">
                  <c:v>133.483</c:v>
                </c:pt>
                <c:pt idx="315">
                  <c:v>133.06800000000001</c:v>
                </c:pt>
                <c:pt idx="316">
                  <c:v>135.72</c:v>
                </c:pt>
                <c:pt idx="317">
                  <c:v>130.38999999999999</c:v>
                </c:pt>
                <c:pt idx="318">
                  <c:v>130.38900000000001</c:v>
                </c:pt>
                <c:pt idx="319">
                  <c:v>131.73500000000001</c:v>
                </c:pt>
                <c:pt idx="320">
                  <c:v>140.4</c:v>
                </c:pt>
                <c:pt idx="321">
                  <c:v>140.37899999999999</c:v>
                </c:pt>
                <c:pt idx="322">
                  <c:v>151.43799999999999</c:v>
                </c:pt>
                <c:pt idx="323">
                  <c:v>150.93100000000001</c:v>
                </c:pt>
                <c:pt idx="324">
                  <c:v>157.97300000000001</c:v>
                </c:pt>
                <c:pt idx="325">
                  <c:v>147.25200000000001</c:v>
                </c:pt>
                <c:pt idx="326">
                  <c:v>145.786</c:v>
                </c:pt>
                <c:pt idx="327">
                  <c:v>137.196</c:v>
                </c:pt>
                <c:pt idx="328">
                  <c:v>141.167</c:v>
                </c:pt>
                <c:pt idx="329">
                  <c:v>150.89699999999999</c:v>
                </c:pt>
                <c:pt idx="330">
                  <c:v>141.428</c:v>
                </c:pt>
                <c:pt idx="331">
                  <c:v>133.97999999999999</c:v>
                </c:pt>
                <c:pt idx="332">
                  <c:v>138.221</c:v>
                </c:pt>
                <c:pt idx="333">
                  <c:v>130.58600000000001</c:v>
                </c:pt>
                <c:pt idx="334">
                  <c:v>135.43700000000001</c:v>
                </c:pt>
                <c:pt idx="335">
                  <c:v>124.199</c:v>
                </c:pt>
                <c:pt idx="336">
                  <c:v>113.328</c:v>
                </c:pt>
                <c:pt idx="337">
                  <c:v>116.898</c:v>
                </c:pt>
                <c:pt idx="338">
                  <c:v>110</c:v>
                </c:pt>
                <c:pt idx="339">
                  <c:v>126.84699999999999</c:v>
                </c:pt>
                <c:pt idx="340">
                  <c:v>140.70699999999999</c:v>
                </c:pt>
                <c:pt idx="341">
                  <c:v>139.52000000000001</c:v>
                </c:pt>
                <c:pt idx="342">
                  <c:v>139.53200000000001</c:v>
                </c:pt>
                <c:pt idx="343">
                  <c:v>151.74799999999999</c:v>
                </c:pt>
                <c:pt idx="344">
                  <c:v>145.345</c:v>
                </c:pt>
                <c:pt idx="345">
                  <c:v>137.029</c:v>
                </c:pt>
                <c:pt idx="346">
                  <c:v>139.63200000000001</c:v>
                </c:pt>
                <c:pt idx="347">
                  <c:v>154.13999999999999</c:v>
                </c:pt>
                <c:pt idx="348">
                  <c:v>159.14699999999999</c:v>
                </c:pt>
                <c:pt idx="349">
                  <c:v>169.642</c:v>
                </c:pt>
                <c:pt idx="350">
                  <c:v>157.536</c:v>
                </c:pt>
                <c:pt idx="351">
                  <c:v>176.21799999999999</c:v>
                </c:pt>
                <c:pt idx="352">
                  <c:v>195.334</c:v>
                </c:pt>
                <c:pt idx="353">
                  <c:v>163.298</c:v>
                </c:pt>
                <c:pt idx="354">
                  <c:v>139.744</c:v>
                </c:pt>
                <c:pt idx="355">
                  <c:v>95.847999999999999</c:v>
                </c:pt>
                <c:pt idx="356">
                  <c:v>87.947999999999993</c:v>
                </c:pt>
                <c:pt idx="357">
                  <c:v>73.984999999999999</c:v>
                </c:pt>
                <c:pt idx="358">
                  <c:v>67.944999999999993</c:v>
                </c:pt>
                <c:pt idx="359">
                  <c:v>64.113</c:v>
                </c:pt>
                <c:pt idx="360">
                  <c:v>65.959000000000003</c:v>
                </c:pt>
                <c:pt idx="361">
                  <c:v>63.399000000000001</c:v>
                </c:pt>
                <c:pt idx="362">
                  <c:v>64.87</c:v>
                </c:pt>
                <c:pt idx="363">
                  <c:v>61.762</c:v>
                </c:pt>
                <c:pt idx="364">
                  <c:v>59.081000000000003</c:v>
                </c:pt>
                <c:pt idx="365">
                  <c:v>53.180999999999997</c:v>
                </c:pt>
                <c:pt idx="366">
                  <c:v>48.284999999999997</c:v>
                </c:pt>
                <c:pt idx="367">
                  <c:v>50.06</c:v>
                </c:pt>
                <c:pt idx="368">
                  <c:v>41.231999999999999</c:v>
                </c:pt>
                <c:pt idx="369">
                  <c:v>37.020000000000003</c:v>
                </c:pt>
                <c:pt idx="370">
                  <c:v>37.143999999999998</c:v>
                </c:pt>
                <c:pt idx="371">
                  <c:v>37.314</c:v>
                </c:pt>
                <c:pt idx="372">
                  <c:v>38.659999999999997</c:v>
                </c:pt>
                <c:pt idx="373">
                  <c:v>37.581000000000003</c:v>
                </c:pt>
                <c:pt idx="374">
                  <c:v>39.529000000000003</c:v>
                </c:pt>
                <c:pt idx="375">
                  <c:v>37.484000000000002</c:v>
                </c:pt>
                <c:pt idx="376">
                  <c:v>36.780999999999999</c:v>
                </c:pt>
                <c:pt idx="377">
                  <c:v>37.15</c:v>
                </c:pt>
                <c:pt idx="378">
                  <c:v>37.975999999999999</c:v>
                </c:pt>
                <c:pt idx="379">
                  <c:v>35.039000000000001</c:v>
                </c:pt>
                <c:pt idx="380">
                  <c:v>31.591000000000001</c:v>
                </c:pt>
                <c:pt idx="381">
                  <c:v>32.68</c:v>
                </c:pt>
                <c:pt idx="382">
                  <c:v>36.228999999999999</c:v>
                </c:pt>
                <c:pt idx="383">
                  <c:v>36.869999999999997</c:v>
                </c:pt>
                <c:pt idx="384">
                  <c:v>37.36</c:v>
                </c:pt>
                <c:pt idx="385">
                  <c:v>36.984999999999999</c:v>
                </c:pt>
                <c:pt idx="386">
                  <c:v>38.5</c:v>
                </c:pt>
                <c:pt idx="387">
                  <c:v>33.969000000000001</c:v>
                </c:pt>
                <c:pt idx="388">
                  <c:v>30.658000000000001</c:v>
                </c:pt>
                <c:pt idx="389">
                  <c:v>27.321000000000002</c:v>
                </c:pt>
                <c:pt idx="390">
                  <c:v>25.875</c:v>
                </c:pt>
                <c:pt idx="391">
                  <c:v>26.007000000000001</c:v>
                </c:pt>
                <c:pt idx="392">
                  <c:v>24.672999999999998</c:v>
                </c:pt>
                <c:pt idx="393">
                  <c:v>24.120999999999999</c:v>
                </c:pt>
                <c:pt idx="394">
                  <c:v>23.802</c:v>
                </c:pt>
                <c:pt idx="395">
                  <c:v>25.420999999999999</c:v>
                </c:pt>
                <c:pt idx="396">
                  <c:v>21.849</c:v>
                </c:pt>
                <c:pt idx="397">
                  <c:v>23.146999999999998</c:v>
                </c:pt>
                <c:pt idx="398">
                  <c:v>22.902999999999999</c:v>
                </c:pt>
                <c:pt idx="399">
                  <c:v>24.954000000000001</c:v>
                </c:pt>
                <c:pt idx="400">
                  <c:v>21.731999999999999</c:v>
                </c:pt>
                <c:pt idx="401">
                  <c:v>28.024000000000001</c:v>
                </c:pt>
                <c:pt idx="402">
                  <c:v>28.048999999999999</c:v>
                </c:pt>
                <c:pt idx="403">
                  <c:v>25.638000000000002</c:v>
                </c:pt>
                <c:pt idx="404">
                  <c:v>26.614999999999998</c:v>
                </c:pt>
                <c:pt idx="405">
                  <c:v>25.33</c:v>
                </c:pt>
                <c:pt idx="406">
                  <c:v>23.337</c:v>
                </c:pt>
                <c:pt idx="407">
                  <c:v>21.681000000000001</c:v>
                </c:pt>
                <c:pt idx="408">
                  <c:v>24.257000000000001</c:v>
                </c:pt>
                <c:pt idx="409">
                  <c:v>19.219000000000001</c:v>
                </c:pt>
                <c:pt idx="410">
                  <c:v>16.922999999999998</c:v>
                </c:pt>
                <c:pt idx="411">
                  <c:v>16.731999999999999</c:v>
                </c:pt>
                <c:pt idx="412">
                  <c:v>14.766</c:v>
                </c:pt>
                <c:pt idx="413">
                  <c:v>13.744999999999999</c:v>
                </c:pt>
                <c:pt idx="414">
                  <c:v>13.973000000000001</c:v>
                </c:pt>
                <c:pt idx="415">
                  <c:v>12.52</c:v>
                </c:pt>
                <c:pt idx="416">
                  <c:v>13.132999999999999</c:v>
                </c:pt>
                <c:pt idx="417">
                  <c:v>13.707000000000001</c:v>
                </c:pt>
                <c:pt idx="418">
                  <c:v>13.9</c:v>
                </c:pt>
                <c:pt idx="419">
                  <c:v>12.101000000000001</c:v>
                </c:pt>
                <c:pt idx="420">
                  <c:v>13.055999999999999</c:v>
                </c:pt>
                <c:pt idx="421">
                  <c:v>11.615</c:v>
                </c:pt>
                <c:pt idx="422">
                  <c:v>9.3010000000000002</c:v>
                </c:pt>
                <c:pt idx="423">
                  <c:v>9.1829999999999998</c:v>
                </c:pt>
                <c:pt idx="424">
                  <c:v>8.923</c:v>
                </c:pt>
                <c:pt idx="425">
                  <c:v>8.8079999999999998</c:v>
                </c:pt>
                <c:pt idx="426">
                  <c:v>8.8460000000000001</c:v>
                </c:pt>
                <c:pt idx="427">
                  <c:v>9.1310000000000002</c:v>
                </c:pt>
                <c:pt idx="428">
                  <c:v>9.6769999999999996</c:v>
                </c:pt>
                <c:pt idx="429">
                  <c:v>9.048</c:v>
                </c:pt>
                <c:pt idx="430">
                  <c:v>9.0709999999999997</c:v>
                </c:pt>
                <c:pt idx="431">
                  <c:v>8.0280000000000005</c:v>
                </c:pt>
                <c:pt idx="432">
                  <c:v>8.2360000000000007</c:v>
                </c:pt>
                <c:pt idx="433">
                  <c:v>7.6210000000000004</c:v>
                </c:pt>
                <c:pt idx="434">
                  <c:v>7.5940000000000003</c:v>
                </c:pt>
                <c:pt idx="435">
                  <c:v>7.4870000000000001</c:v>
                </c:pt>
                <c:pt idx="436">
                  <c:v>7.8620000000000001</c:v>
                </c:pt>
                <c:pt idx="437">
                  <c:v>7.71</c:v>
                </c:pt>
                <c:pt idx="438">
                  <c:v>7.5759999999999996</c:v>
                </c:pt>
                <c:pt idx="439">
                  <c:v>7.4790000000000001</c:v>
                </c:pt>
                <c:pt idx="440">
                  <c:v>7.7759999999999998</c:v>
                </c:pt>
                <c:pt idx="441">
                  <c:v>7.492</c:v>
                </c:pt>
                <c:pt idx="442">
                  <c:v>7.7839999999999998</c:v>
                </c:pt>
                <c:pt idx="443">
                  <c:v>8.5960000000000001</c:v>
                </c:pt>
                <c:pt idx="444">
                  <c:v>8.1289999999999996</c:v>
                </c:pt>
                <c:pt idx="445">
                  <c:v>8.3390000000000004</c:v>
                </c:pt>
                <c:pt idx="446">
                  <c:v>7.8579999999999997</c:v>
                </c:pt>
                <c:pt idx="447">
                  <c:v>8.3849999999999998</c:v>
                </c:pt>
                <c:pt idx="448">
                  <c:v>7.3869999999999996</c:v>
                </c:pt>
                <c:pt idx="449">
                  <c:v>7.1680000000000001</c:v>
                </c:pt>
                <c:pt idx="450">
                  <c:v>7.2519999999999998</c:v>
                </c:pt>
                <c:pt idx="451">
                  <c:v>7.3090000000000002</c:v>
                </c:pt>
                <c:pt idx="452">
                  <c:v>7.6740000000000004</c:v>
                </c:pt>
                <c:pt idx="453">
                  <c:v>7.3380000000000001</c:v>
                </c:pt>
                <c:pt idx="454">
                  <c:v>7.617</c:v>
                </c:pt>
                <c:pt idx="455">
                  <c:v>7.3869999999999996</c:v>
                </c:pt>
                <c:pt idx="456">
                  <c:v>7.8490000000000002</c:v>
                </c:pt>
                <c:pt idx="457">
                  <c:v>8.5719999999999992</c:v>
                </c:pt>
                <c:pt idx="458">
                  <c:v>8.6229999999999993</c:v>
                </c:pt>
                <c:pt idx="459">
                  <c:v>9.2569999999999997</c:v>
                </c:pt>
                <c:pt idx="460">
                  <c:v>8.8059999999999992</c:v>
                </c:pt>
                <c:pt idx="461">
                  <c:v>8.8640000000000008</c:v>
                </c:pt>
                <c:pt idx="462">
                  <c:v>7.718</c:v>
                </c:pt>
                <c:pt idx="463">
                  <c:v>7.4589999999999996</c:v>
                </c:pt>
                <c:pt idx="464">
                  <c:v>7.069</c:v>
                </c:pt>
                <c:pt idx="465">
                  <c:v>7.306</c:v>
                </c:pt>
                <c:pt idx="466">
                  <c:v>7.6120000000000001</c:v>
                </c:pt>
                <c:pt idx="467">
                  <c:v>7.641</c:v>
                </c:pt>
                <c:pt idx="468">
                  <c:v>7.3920000000000003</c:v>
                </c:pt>
                <c:pt idx="469">
                  <c:v>7.8970000000000002</c:v>
                </c:pt>
                <c:pt idx="470">
                  <c:v>7.9880000000000004</c:v>
                </c:pt>
                <c:pt idx="471">
                  <c:v>7.944</c:v>
                </c:pt>
                <c:pt idx="472">
                  <c:v>8.0129999999999999</c:v>
                </c:pt>
                <c:pt idx="473">
                  <c:v>8.1709999999999994</c:v>
                </c:pt>
                <c:pt idx="474">
                  <c:v>7.7720000000000002</c:v>
                </c:pt>
                <c:pt idx="475">
                  <c:v>7.907</c:v>
                </c:pt>
                <c:pt idx="476">
                  <c:v>7.48</c:v>
                </c:pt>
                <c:pt idx="477">
                  <c:v>7.8</c:v>
                </c:pt>
                <c:pt idx="478">
                  <c:v>6.931</c:v>
                </c:pt>
                <c:pt idx="479">
                  <c:v>8.4610000000000003</c:v>
                </c:pt>
                <c:pt idx="480">
                  <c:v>9.0359999999999996</c:v>
                </c:pt>
                <c:pt idx="481">
                  <c:v>9.08</c:v>
                </c:pt>
                <c:pt idx="482">
                  <c:v>9.4120000000000008</c:v>
                </c:pt>
                <c:pt idx="483">
                  <c:v>10.276999999999999</c:v>
                </c:pt>
                <c:pt idx="484">
                  <c:v>10.36</c:v>
                </c:pt>
                <c:pt idx="485">
                  <c:v>10.256</c:v>
                </c:pt>
                <c:pt idx="486">
                  <c:v>10.005000000000001</c:v>
                </c:pt>
                <c:pt idx="487">
                  <c:v>10.028</c:v>
                </c:pt>
                <c:pt idx="488">
                  <c:v>10.396000000000001</c:v>
                </c:pt>
                <c:pt idx="489">
                  <c:v>9.9969999999999999</c:v>
                </c:pt>
                <c:pt idx="490">
                  <c:v>9.2249999999999996</c:v>
                </c:pt>
                <c:pt idx="491">
                  <c:v>8.8119999999999994</c:v>
                </c:pt>
                <c:pt idx="492">
                  <c:v>8.7089999999999996</c:v>
                </c:pt>
                <c:pt idx="493">
                  <c:v>8.8079999999999998</c:v>
                </c:pt>
                <c:pt idx="494">
                  <c:v>10.717000000000001</c:v>
                </c:pt>
                <c:pt idx="495">
                  <c:v>11.95</c:v>
                </c:pt>
                <c:pt idx="496">
                  <c:v>11.22</c:v>
                </c:pt>
                <c:pt idx="497">
                  <c:v>12.058</c:v>
                </c:pt>
                <c:pt idx="498">
                  <c:v>12.584</c:v>
                </c:pt>
                <c:pt idx="499">
                  <c:v>13.045</c:v>
                </c:pt>
                <c:pt idx="500">
                  <c:v>13.971</c:v>
                </c:pt>
                <c:pt idx="501">
                  <c:v>13.305999999999999</c:v>
                </c:pt>
                <c:pt idx="502">
                  <c:v>13.917</c:v>
                </c:pt>
                <c:pt idx="503">
                  <c:v>14.308</c:v>
                </c:pt>
                <c:pt idx="504">
                  <c:v>13.939</c:v>
                </c:pt>
                <c:pt idx="505">
                  <c:v>15.084</c:v>
                </c:pt>
                <c:pt idx="506">
                  <c:v>14.026999999999999</c:v>
                </c:pt>
                <c:pt idx="507">
                  <c:v>13.218999999999999</c:v>
                </c:pt>
                <c:pt idx="508">
                  <c:v>13.368</c:v>
                </c:pt>
                <c:pt idx="509">
                  <c:v>12.321</c:v>
                </c:pt>
                <c:pt idx="510">
                  <c:v>17.582999999999998</c:v>
                </c:pt>
                <c:pt idx="511">
                  <c:v>17.751999999999999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D1-4BC2-A782-D0F390D8318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0.14047161162897434</c:v>
                </c:pt>
                <c:pt idx="1">
                  <c:v>0.14065346551720964</c:v>
                </c:pt>
                <c:pt idx="2">
                  <c:v>0.1435637951531383</c:v>
                </c:pt>
                <c:pt idx="3">
                  <c:v>0.14165826753602878</c:v>
                </c:pt>
                <c:pt idx="4">
                  <c:v>0.13903649529681997</c:v>
                </c:pt>
                <c:pt idx="5">
                  <c:v>0.13865405475597409</c:v>
                </c:pt>
                <c:pt idx="6">
                  <c:v>0.13940217401872299</c:v>
                </c:pt>
                <c:pt idx="7">
                  <c:v>0.14304483976281282</c:v>
                </c:pt>
                <c:pt idx="8">
                  <c:v>0.14476300394233449</c:v>
                </c:pt>
                <c:pt idx="9">
                  <c:v>0.14506295649332329</c:v>
                </c:pt>
                <c:pt idx="10">
                  <c:v>0.14560506261530912</c:v>
                </c:pt>
                <c:pt idx="11">
                  <c:v>0.14618468506389332</c:v>
                </c:pt>
                <c:pt idx="12">
                  <c:v>0.1466959754246433</c:v>
                </c:pt>
                <c:pt idx="13">
                  <c:v>0.14707030506960839</c:v>
                </c:pt>
                <c:pt idx="14">
                  <c:v>0.14619237051880052</c:v>
                </c:pt>
                <c:pt idx="15">
                  <c:v>0.1478023757233676</c:v>
                </c:pt>
                <c:pt idx="16">
                  <c:v>0.14734744449120155</c:v>
                </c:pt>
                <c:pt idx="17">
                  <c:v>0.14553658003630357</c:v>
                </c:pt>
                <c:pt idx="18">
                  <c:v>0.14536673352187721</c:v>
                </c:pt>
                <c:pt idx="19">
                  <c:v>0.14491336105624797</c:v>
                </c:pt>
                <c:pt idx="20">
                  <c:v>0.14502638790554798</c:v>
                </c:pt>
                <c:pt idx="21">
                  <c:v>0.14685445118593471</c:v>
                </c:pt>
                <c:pt idx="22">
                  <c:v>0.14529577428892873</c:v>
                </c:pt>
                <c:pt idx="23">
                  <c:v>0.14744677479710303</c:v>
                </c:pt>
                <c:pt idx="24">
                  <c:v>0.14763685317388731</c:v>
                </c:pt>
                <c:pt idx="25">
                  <c:v>0.14812169972944286</c:v>
                </c:pt>
                <c:pt idx="26">
                  <c:v>0.14842634472944288</c:v>
                </c:pt>
                <c:pt idx="27">
                  <c:v>0.14756514353593639</c:v>
                </c:pt>
                <c:pt idx="28">
                  <c:v>0.14788508580306925</c:v>
                </c:pt>
                <c:pt idx="29">
                  <c:v>0.14843107278131126</c:v>
                </c:pt>
                <c:pt idx="30">
                  <c:v>0.14859073987145208</c:v>
                </c:pt>
                <c:pt idx="31">
                  <c:v>0.15069080897235382</c:v>
                </c:pt>
                <c:pt idx="32">
                  <c:v>0.15169989895417199</c:v>
                </c:pt>
                <c:pt idx="33">
                  <c:v>0.15082404633949167</c:v>
                </c:pt>
                <c:pt idx="34">
                  <c:v>0.15069817352181572</c:v>
                </c:pt>
                <c:pt idx="35">
                  <c:v>0.15221467344959583</c:v>
                </c:pt>
                <c:pt idx="36">
                  <c:v>0.15090102214994572</c:v>
                </c:pt>
                <c:pt idx="37">
                  <c:v>0.15059146094052289</c:v>
                </c:pt>
                <c:pt idx="38">
                  <c:v>0.15062125025870468</c:v>
                </c:pt>
                <c:pt idx="39">
                  <c:v>0.15052533674976909</c:v>
                </c:pt>
                <c:pt idx="40">
                  <c:v>0.15139174792851701</c:v>
                </c:pt>
                <c:pt idx="41">
                  <c:v>0.15176683964457208</c:v>
                </c:pt>
                <c:pt idx="42">
                  <c:v>0.15544937020971494</c:v>
                </c:pt>
                <c:pt idx="43">
                  <c:v>0.16410585671953226</c:v>
                </c:pt>
                <c:pt idx="44">
                  <c:v>0.15977101365410123</c:v>
                </c:pt>
                <c:pt idx="45">
                  <c:v>0.15849578218323054</c:v>
                </c:pt>
                <c:pt idx="46">
                  <c:v>0.16002709491880873</c:v>
                </c:pt>
                <c:pt idx="47">
                  <c:v>0.15946410327436428</c:v>
                </c:pt>
                <c:pt idx="48">
                  <c:v>0.15937420044987452</c:v>
                </c:pt>
                <c:pt idx="49">
                  <c:v>0.16172375843262907</c:v>
                </c:pt>
                <c:pt idx="50">
                  <c:v>0.16505496940276781</c:v>
                </c:pt>
                <c:pt idx="51">
                  <c:v>0.16387480026053908</c:v>
                </c:pt>
                <c:pt idx="52">
                  <c:v>0.1657449689848961</c:v>
                </c:pt>
                <c:pt idx="53">
                  <c:v>0.16334164011092478</c:v>
                </c:pt>
                <c:pt idx="54">
                  <c:v>0.16525150035582661</c:v>
                </c:pt>
                <c:pt idx="55">
                  <c:v>0.1623287098265988</c:v>
                </c:pt>
                <c:pt idx="56">
                  <c:v>0.16106511665556117</c:v>
                </c:pt>
                <c:pt idx="57">
                  <c:v>0.16677069935712341</c:v>
                </c:pt>
                <c:pt idx="58">
                  <c:v>0.16532114081734367</c:v>
                </c:pt>
                <c:pt idx="59">
                  <c:v>0.16766394740070795</c:v>
                </c:pt>
                <c:pt idx="60">
                  <c:v>0.16944879101941934</c:v>
                </c:pt>
                <c:pt idx="61">
                  <c:v>0.16999129317916559</c:v>
                </c:pt>
                <c:pt idx="62">
                  <c:v>0.16872926411143896</c:v>
                </c:pt>
                <c:pt idx="63">
                  <c:v>0.17123538409254596</c:v>
                </c:pt>
                <c:pt idx="64">
                  <c:v>0.17238829499636524</c:v>
                </c:pt>
                <c:pt idx="65">
                  <c:v>0.17223994977060764</c:v>
                </c:pt>
                <c:pt idx="66">
                  <c:v>0.18276081351050866</c:v>
                </c:pt>
                <c:pt idx="67">
                  <c:v>0.17315017993390056</c:v>
                </c:pt>
                <c:pt idx="68">
                  <c:v>0.16984834286922998</c:v>
                </c:pt>
                <c:pt idx="69">
                  <c:v>0.16438638233717282</c:v>
                </c:pt>
                <c:pt idx="70">
                  <c:v>0.16275283329616164</c:v>
                </c:pt>
                <c:pt idx="71">
                  <c:v>0.16292264099369325</c:v>
                </c:pt>
                <c:pt idx="72">
                  <c:v>0.16147733668389425</c:v>
                </c:pt>
                <c:pt idx="73">
                  <c:v>0.16097587974280403</c:v>
                </c:pt>
                <c:pt idx="74">
                  <c:v>0.16155510434212608</c:v>
                </c:pt>
                <c:pt idx="75">
                  <c:v>0.16141324292159034</c:v>
                </c:pt>
                <c:pt idx="76">
                  <c:v>0.16193310856503509</c:v>
                </c:pt>
                <c:pt idx="77">
                  <c:v>0.16056204199301863</c:v>
                </c:pt>
                <c:pt idx="78">
                  <c:v>0.16054370203149129</c:v>
                </c:pt>
                <c:pt idx="79">
                  <c:v>0.16057952782157031</c:v>
                </c:pt>
                <c:pt idx="80">
                  <c:v>0.16033717126034872</c:v>
                </c:pt>
                <c:pt idx="81">
                  <c:v>0.16106775362082346</c:v>
                </c:pt>
                <c:pt idx="82">
                  <c:v>0.1619270972027009</c:v>
                </c:pt>
                <c:pt idx="83">
                  <c:v>0.16125108816311501</c:v>
                </c:pt>
                <c:pt idx="84">
                  <c:v>0.16140975608398339</c:v>
                </c:pt>
                <c:pt idx="85">
                  <c:v>0.15917271169194441</c:v>
                </c:pt>
                <c:pt idx="86">
                  <c:v>0.1563112524133832</c:v>
                </c:pt>
                <c:pt idx="87">
                  <c:v>0.15629782693807456</c:v>
                </c:pt>
                <c:pt idx="88">
                  <c:v>0.15619956888398484</c:v>
                </c:pt>
                <c:pt idx="89">
                  <c:v>0.15534313859669063</c:v>
                </c:pt>
                <c:pt idx="90">
                  <c:v>0.15575080327586027</c:v>
                </c:pt>
                <c:pt idx="91">
                  <c:v>0.15510181014854174</c:v>
                </c:pt>
                <c:pt idx="92">
                  <c:v>0.15559429573332675</c:v>
                </c:pt>
                <c:pt idx="93">
                  <c:v>0.15624905032503444</c:v>
                </c:pt>
                <c:pt idx="94">
                  <c:v>0.1575835448587132</c:v>
                </c:pt>
                <c:pt idx="95">
                  <c:v>0.15676472860871321</c:v>
                </c:pt>
                <c:pt idx="96">
                  <c:v>0.15653981889270685</c:v>
                </c:pt>
                <c:pt idx="97">
                  <c:v>0.1568846092519661</c:v>
                </c:pt>
                <c:pt idx="98">
                  <c:v>0.15417297719267584</c:v>
                </c:pt>
                <c:pt idx="99">
                  <c:v>0.1542499803602852</c:v>
                </c:pt>
                <c:pt idx="100">
                  <c:v>0.1536691828318448</c:v>
                </c:pt>
                <c:pt idx="101">
                  <c:v>0.1533839166959412</c:v>
                </c:pt>
                <c:pt idx="102">
                  <c:v>0.15389573001478429</c:v>
                </c:pt>
                <c:pt idx="103">
                  <c:v>0.15369249184294523</c:v>
                </c:pt>
                <c:pt idx="104">
                  <c:v>0.15401531245514036</c:v>
                </c:pt>
                <c:pt idx="105">
                  <c:v>0.15446345202437112</c:v>
                </c:pt>
                <c:pt idx="106">
                  <c:v>0.15491924915263969</c:v>
                </c:pt>
                <c:pt idx="107">
                  <c:v>0.15488076373921975</c:v>
                </c:pt>
                <c:pt idx="108">
                  <c:v>0.15455395979985806</c:v>
                </c:pt>
                <c:pt idx="109">
                  <c:v>0.15489744183681595</c:v>
                </c:pt>
                <c:pt idx="110">
                  <c:v>0.1561072757034826</c:v>
                </c:pt>
                <c:pt idx="111">
                  <c:v>0.15655418297705356</c:v>
                </c:pt>
                <c:pt idx="112">
                  <c:v>0.1572644552745219</c:v>
                </c:pt>
                <c:pt idx="113">
                  <c:v>0.15544201405381125</c:v>
                </c:pt>
                <c:pt idx="114">
                  <c:v>0.1562251585676574</c:v>
                </c:pt>
                <c:pt idx="115">
                  <c:v>0.15640516041401345</c:v>
                </c:pt>
                <c:pt idx="116">
                  <c:v>0.15744312565288285</c:v>
                </c:pt>
                <c:pt idx="117">
                  <c:v>0.15555481295532189</c:v>
                </c:pt>
                <c:pt idx="118">
                  <c:v>0.15572999136075585</c:v>
                </c:pt>
                <c:pt idx="119">
                  <c:v>0.15265494254973352</c:v>
                </c:pt>
                <c:pt idx="120">
                  <c:v>0.1514247461422781</c:v>
                </c:pt>
                <c:pt idx="121">
                  <c:v>0.15219960941727809</c:v>
                </c:pt>
                <c:pt idx="122">
                  <c:v>0.15495425307648386</c:v>
                </c:pt>
                <c:pt idx="123">
                  <c:v>0.15688211108459199</c:v>
                </c:pt>
                <c:pt idx="124">
                  <c:v>0.15552788103296955</c:v>
                </c:pt>
                <c:pt idx="125">
                  <c:v>0.15774763709963621</c:v>
                </c:pt>
                <c:pt idx="126">
                  <c:v>0.15559718548974494</c:v>
                </c:pt>
                <c:pt idx="127">
                  <c:v>0.15408062643736398</c:v>
                </c:pt>
                <c:pt idx="128">
                  <c:v>0.14881642409311494</c:v>
                </c:pt>
                <c:pt idx="129">
                  <c:v>0.14882353653380972</c:v>
                </c:pt>
                <c:pt idx="130">
                  <c:v>0.1502013502864453</c:v>
                </c:pt>
                <c:pt idx="131">
                  <c:v>0.15201671964218177</c:v>
                </c:pt>
                <c:pt idx="132">
                  <c:v>0.15123422108612797</c:v>
                </c:pt>
                <c:pt idx="133">
                  <c:v>0.15382000159594347</c:v>
                </c:pt>
                <c:pt idx="134">
                  <c:v>0.15129054408992118</c:v>
                </c:pt>
                <c:pt idx="135">
                  <c:v>0.15430501881141398</c:v>
                </c:pt>
                <c:pt idx="136">
                  <c:v>0.1543065022589919</c:v>
                </c:pt>
                <c:pt idx="137">
                  <c:v>0.15874745892986566</c:v>
                </c:pt>
                <c:pt idx="138">
                  <c:v>0.1568717037557551</c:v>
                </c:pt>
                <c:pt idx="139">
                  <c:v>0.15926288475746531</c:v>
                </c:pt>
                <c:pt idx="140">
                  <c:v>0.15243441603293978</c:v>
                </c:pt>
                <c:pt idx="141">
                  <c:v>0.15007841196865407</c:v>
                </c:pt>
                <c:pt idx="142">
                  <c:v>0.1464437907477196</c:v>
                </c:pt>
                <c:pt idx="143">
                  <c:v>0.14624427625343386</c:v>
                </c:pt>
                <c:pt idx="144">
                  <c:v>0.1463006601306813</c:v>
                </c:pt>
                <c:pt idx="145">
                  <c:v>0.1455810090591973</c:v>
                </c:pt>
                <c:pt idx="146">
                  <c:v>0.14655832387224077</c:v>
                </c:pt>
                <c:pt idx="147">
                  <c:v>0.14618919229858307</c:v>
                </c:pt>
                <c:pt idx="148">
                  <c:v>0.14778237592307286</c:v>
                </c:pt>
                <c:pt idx="149">
                  <c:v>0.14805316810454736</c:v>
                </c:pt>
                <c:pt idx="150">
                  <c:v>0.1451504790271845</c:v>
                </c:pt>
                <c:pt idx="151">
                  <c:v>0.14373506641736442</c:v>
                </c:pt>
                <c:pt idx="152">
                  <c:v>0.14337555885446687</c:v>
                </c:pt>
                <c:pt idx="153">
                  <c:v>0.14347216085315539</c:v>
                </c:pt>
                <c:pt idx="154">
                  <c:v>0.14152742498122134</c:v>
                </c:pt>
                <c:pt idx="155">
                  <c:v>0.14318242126482866</c:v>
                </c:pt>
                <c:pt idx="156">
                  <c:v>0.1422321186208913</c:v>
                </c:pt>
                <c:pt idx="157">
                  <c:v>0.14333869548182335</c:v>
                </c:pt>
                <c:pt idx="158">
                  <c:v>0.14374512591452421</c:v>
                </c:pt>
                <c:pt idx="159">
                  <c:v>0.14347870054872661</c:v>
                </c:pt>
                <c:pt idx="160">
                  <c:v>0.14463869962579787</c:v>
                </c:pt>
                <c:pt idx="161">
                  <c:v>0.14278228131693529</c:v>
                </c:pt>
                <c:pt idx="162">
                  <c:v>0.14249014684079914</c:v>
                </c:pt>
                <c:pt idx="163">
                  <c:v>0.14038908405199224</c:v>
                </c:pt>
                <c:pt idx="164">
                  <c:v>0.14311337396076942</c:v>
                </c:pt>
                <c:pt idx="165">
                  <c:v>0.14360593962231913</c:v>
                </c:pt>
                <c:pt idx="166">
                  <c:v>0.14321989884186592</c:v>
                </c:pt>
                <c:pt idx="167">
                  <c:v>0.1435428569618542</c:v>
                </c:pt>
                <c:pt idx="168">
                  <c:v>0.14211940868101</c:v>
                </c:pt>
                <c:pt idx="169">
                  <c:v>0.14165560120233744</c:v>
                </c:pt>
                <c:pt idx="170">
                  <c:v>0.14262797751805142</c:v>
                </c:pt>
                <c:pt idx="171">
                  <c:v>0.14187789723673228</c:v>
                </c:pt>
                <c:pt idx="172">
                  <c:v>0.1392656823942392</c:v>
                </c:pt>
                <c:pt idx="173">
                  <c:v>0.13776591144462219</c:v>
                </c:pt>
                <c:pt idx="174">
                  <c:v>0.13753102530781083</c:v>
                </c:pt>
                <c:pt idx="175">
                  <c:v>0.13638055967012733</c:v>
                </c:pt>
                <c:pt idx="176">
                  <c:v>0.13369178349956537</c:v>
                </c:pt>
                <c:pt idx="177">
                  <c:v>0.13271997916694292</c:v>
                </c:pt>
                <c:pt idx="178">
                  <c:v>0.13448531824756368</c:v>
                </c:pt>
                <c:pt idx="179">
                  <c:v>0.12932521225246499</c:v>
                </c:pt>
                <c:pt idx="180">
                  <c:v>0.13084003854941201</c:v>
                </c:pt>
                <c:pt idx="181">
                  <c:v>0.13119038190873553</c:v>
                </c:pt>
                <c:pt idx="182">
                  <c:v>0.13002089785569651</c:v>
                </c:pt>
                <c:pt idx="183">
                  <c:v>0.13007257518790705</c:v>
                </c:pt>
                <c:pt idx="184">
                  <c:v>0.12979652862473801</c:v>
                </c:pt>
                <c:pt idx="185">
                  <c:v>0.13017361442591549</c:v>
                </c:pt>
                <c:pt idx="186">
                  <c:v>0.13299236221680386</c:v>
                </c:pt>
                <c:pt idx="187">
                  <c:v>0.13257758831860419</c:v>
                </c:pt>
                <c:pt idx="188">
                  <c:v>0.13313751213965011</c:v>
                </c:pt>
                <c:pt idx="189">
                  <c:v>0.13251990772581457</c:v>
                </c:pt>
                <c:pt idx="190">
                  <c:v>0.13257568843850975</c:v>
                </c:pt>
                <c:pt idx="191">
                  <c:v>0.13122381428731889</c:v>
                </c:pt>
                <c:pt idx="192">
                  <c:v>0.13144534271604946</c:v>
                </c:pt>
                <c:pt idx="193">
                  <c:v>0.13264679674290661</c:v>
                </c:pt>
                <c:pt idx="194">
                  <c:v>0.13489534277426088</c:v>
                </c:pt>
                <c:pt idx="195">
                  <c:v>0.13489998313535057</c:v>
                </c:pt>
                <c:pt idx="196">
                  <c:v>0.13603555602685385</c:v>
                </c:pt>
                <c:pt idx="197">
                  <c:v>0.13698059349298164</c:v>
                </c:pt>
                <c:pt idx="198">
                  <c:v>0.13651407311206937</c:v>
                </c:pt>
                <c:pt idx="199">
                  <c:v>0.13669230153338038</c:v>
                </c:pt>
                <c:pt idx="200">
                  <c:v>0.13679268500359565</c:v>
                </c:pt>
                <c:pt idx="201">
                  <c:v>0.13684991175048278</c:v>
                </c:pt>
                <c:pt idx="202">
                  <c:v>0.13734864206710348</c:v>
                </c:pt>
                <c:pt idx="203">
                  <c:v>0.1371880128916779</c:v>
                </c:pt>
                <c:pt idx="204">
                  <c:v>0.13807896680264314</c:v>
                </c:pt>
                <c:pt idx="205">
                  <c:v>0.13867959067565341</c:v>
                </c:pt>
                <c:pt idx="206">
                  <c:v>0.14026007072885044</c:v>
                </c:pt>
                <c:pt idx="207">
                  <c:v>0.14057447527599454</c:v>
                </c:pt>
                <c:pt idx="208">
                  <c:v>0.14041114573521346</c:v>
                </c:pt>
                <c:pt idx="209">
                  <c:v>0.1385898999531012</c:v>
                </c:pt>
                <c:pt idx="210">
                  <c:v>0.1379458718390103</c:v>
                </c:pt>
                <c:pt idx="211">
                  <c:v>0.13864890119462034</c:v>
                </c:pt>
                <c:pt idx="212">
                  <c:v>0.13753746538030492</c:v>
                </c:pt>
                <c:pt idx="213">
                  <c:v>0.13589790644105509</c:v>
                </c:pt>
                <c:pt idx="214">
                  <c:v>0.13413464031080211</c:v>
                </c:pt>
                <c:pt idx="215">
                  <c:v>0.13278092428954202</c:v>
                </c:pt>
                <c:pt idx="216">
                  <c:v>0.13192440961934787</c:v>
                </c:pt>
                <c:pt idx="217">
                  <c:v>0.1334310141794936</c:v>
                </c:pt>
                <c:pt idx="218">
                  <c:v>0.13276203360133415</c:v>
                </c:pt>
                <c:pt idx="219">
                  <c:v>0.13179913354341666</c:v>
                </c:pt>
                <c:pt idx="220">
                  <c:v>0.13391653133119324</c:v>
                </c:pt>
                <c:pt idx="221">
                  <c:v>0.13615047880336972</c:v>
                </c:pt>
                <c:pt idx="222">
                  <c:v>0.13585849225724045</c:v>
                </c:pt>
                <c:pt idx="223">
                  <c:v>0.13620275835524043</c:v>
                </c:pt>
                <c:pt idx="224">
                  <c:v>0.13692011594636946</c:v>
                </c:pt>
                <c:pt idx="225">
                  <c:v>0.13691013712564221</c:v>
                </c:pt>
                <c:pt idx="226">
                  <c:v>0.1377254673848996</c:v>
                </c:pt>
                <c:pt idx="227">
                  <c:v>0.13768158984677162</c:v>
                </c:pt>
                <c:pt idx="228">
                  <c:v>0.13752226559265249</c:v>
                </c:pt>
                <c:pt idx="229">
                  <c:v>0.13642249745701276</c:v>
                </c:pt>
                <c:pt idx="230">
                  <c:v>0.1368962550943606</c:v>
                </c:pt>
                <c:pt idx="231">
                  <c:v>0.13819617877471296</c:v>
                </c:pt>
                <c:pt idx="232">
                  <c:v>0.13939868633289904</c:v>
                </c:pt>
                <c:pt idx="233">
                  <c:v>0.13842255113607413</c:v>
                </c:pt>
                <c:pt idx="234">
                  <c:v>0.13687822150045764</c:v>
                </c:pt>
                <c:pt idx="235">
                  <c:v>0.13905762237996902</c:v>
                </c:pt>
                <c:pt idx="236">
                  <c:v>0.13902055127073637</c:v>
                </c:pt>
                <c:pt idx="237">
                  <c:v>0.13932737968259132</c:v>
                </c:pt>
                <c:pt idx="238">
                  <c:v>0.1404498885106259</c:v>
                </c:pt>
                <c:pt idx="239">
                  <c:v>0.14021561131038196</c:v>
                </c:pt>
                <c:pt idx="240">
                  <c:v>0.14039240381299337</c:v>
                </c:pt>
                <c:pt idx="241">
                  <c:v>0.14063299163050791</c:v>
                </c:pt>
                <c:pt idx="242">
                  <c:v>0.13884875396813731</c:v>
                </c:pt>
                <c:pt idx="243">
                  <c:v>0.1389901001929531</c:v>
                </c:pt>
                <c:pt idx="244">
                  <c:v>0.14041246347814049</c:v>
                </c:pt>
                <c:pt idx="245">
                  <c:v>0.14232701852556906</c:v>
                </c:pt>
                <c:pt idx="246">
                  <c:v>0.14159629166015467</c:v>
                </c:pt>
                <c:pt idx="247">
                  <c:v>0.13895844702762067</c:v>
                </c:pt>
                <c:pt idx="248">
                  <c:v>0.1390978891116976</c:v>
                </c:pt>
                <c:pt idx="249">
                  <c:v>0.13639753150863945</c:v>
                </c:pt>
                <c:pt idx="250">
                  <c:v>0.13412583217382174</c:v>
                </c:pt>
                <c:pt idx="251">
                  <c:v>0.1351467749469199</c:v>
                </c:pt>
                <c:pt idx="252">
                  <c:v>0.13633585930936573</c:v>
                </c:pt>
                <c:pt idx="253">
                  <c:v>0.13415380362307924</c:v>
                </c:pt>
                <c:pt idx="254">
                  <c:v>0.1386979089160596</c:v>
                </c:pt>
                <c:pt idx="255">
                  <c:v>0.13905582475053962</c:v>
                </c:pt>
                <c:pt idx="256">
                  <c:v>0.14054638183390647</c:v>
                </c:pt>
                <c:pt idx="257">
                  <c:v>0.14094902724690048</c:v>
                </c:pt>
                <c:pt idx="258">
                  <c:v>0.14283038829755984</c:v>
                </c:pt>
                <c:pt idx="259">
                  <c:v>0.14370297660376391</c:v>
                </c:pt>
                <c:pt idx="260">
                  <c:v>0.14509081357501022</c:v>
                </c:pt>
                <c:pt idx="261">
                  <c:v>0.14677615279890804</c:v>
                </c:pt>
                <c:pt idx="262">
                  <c:v>0.14505252169512792</c:v>
                </c:pt>
                <c:pt idx="263">
                  <c:v>0.14540569306821655</c:v>
                </c:pt>
                <c:pt idx="264">
                  <c:v>0.14466605208043989</c:v>
                </c:pt>
                <c:pt idx="265">
                  <c:v>0.14542941443857488</c:v>
                </c:pt>
                <c:pt idx="266">
                  <c:v>0.14602459488697486</c:v>
                </c:pt>
                <c:pt idx="267">
                  <c:v>0.1468737734710106</c:v>
                </c:pt>
                <c:pt idx="268">
                  <c:v>0.14582957362608764</c:v>
                </c:pt>
                <c:pt idx="269">
                  <c:v>0.14830415303902919</c:v>
                </c:pt>
                <c:pt idx="270">
                  <c:v>0.1470396967890292</c:v>
                </c:pt>
                <c:pt idx="271">
                  <c:v>0.14637378906108672</c:v>
                </c:pt>
                <c:pt idx="272">
                  <c:v>0.14631781465082355</c:v>
                </c:pt>
                <c:pt idx="273">
                  <c:v>0.14524140697243265</c:v>
                </c:pt>
                <c:pt idx="274">
                  <c:v>0.14567629546036531</c:v>
                </c:pt>
                <c:pt idx="275">
                  <c:v>0.14559613046904571</c:v>
                </c:pt>
                <c:pt idx="276">
                  <c:v>0.14411625988605303</c:v>
                </c:pt>
                <c:pt idx="277">
                  <c:v>0.14294312948293608</c:v>
                </c:pt>
                <c:pt idx="278">
                  <c:v>0.1426437396862798</c:v>
                </c:pt>
                <c:pt idx="279">
                  <c:v>0.14404529471796987</c:v>
                </c:pt>
                <c:pt idx="280">
                  <c:v>0.14276903036255653</c:v>
                </c:pt>
                <c:pt idx="281">
                  <c:v>0.14462123266432886</c:v>
                </c:pt>
                <c:pt idx="282">
                  <c:v>0.14496787628584107</c:v>
                </c:pt>
                <c:pt idx="283">
                  <c:v>0.14254661752966694</c:v>
                </c:pt>
                <c:pt idx="284">
                  <c:v>0.14591382179409124</c:v>
                </c:pt>
                <c:pt idx="285">
                  <c:v>0.14216591190696812</c:v>
                </c:pt>
                <c:pt idx="286">
                  <c:v>0.14249680184755326</c:v>
                </c:pt>
                <c:pt idx="287">
                  <c:v>0.14375303577786303</c:v>
                </c:pt>
                <c:pt idx="288">
                  <c:v>0.14363640115219894</c:v>
                </c:pt>
                <c:pt idx="289">
                  <c:v>0.14311091975797141</c:v>
                </c:pt>
                <c:pt idx="290">
                  <c:v>0.14516475786286248</c:v>
                </c:pt>
                <c:pt idx="291">
                  <c:v>0.14734713397317845</c:v>
                </c:pt>
                <c:pt idx="292">
                  <c:v>0.14216199951700567</c:v>
                </c:pt>
                <c:pt idx="293">
                  <c:v>0.13931686033744875</c:v>
                </c:pt>
                <c:pt idx="294">
                  <c:v>0.13706751325817565</c:v>
                </c:pt>
                <c:pt idx="295">
                  <c:v>0.13630039326195834</c:v>
                </c:pt>
                <c:pt idx="296">
                  <c:v>0.13892547227914073</c:v>
                </c:pt>
                <c:pt idx="297">
                  <c:v>0.13220122436684911</c:v>
                </c:pt>
                <c:pt idx="298">
                  <c:v>0.13121688957278324</c:v>
                </c:pt>
                <c:pt idx="299">
                  <c:v>0.12936844612543244</c:v>
                </c:pt>
                <c:pt idx="300">
                  <c:v>0.13384195162371565</c:v>
                </c:pt>
                <c:pt idx="301">
                  <c:v>0.13072206307902715</c:v>
                </c:pt>
                <c:pt idx="302">
                  <c:v>0.12806475289005903</c:v>
                </c:pt>
                <c:pt idx="303">
                  <c:v>0.12763624046299091</c:v>
                </c:pt>
                <c:pt idx="304">
                  <c:v>0.12854948740518321</c:v>
                </c:pt>
                <c:pt idx="305">
                  <c:v>0.12856736823978321</c:v>
                </c:pt>
                <c:pt idx="306">
                  <c:v>0.12922927979523471</c:v>
                </c:pt>
                <c:pt idx="307">
                  <c:v>0.12916709221601788</c:v>
                </c:pt>
                <c:pt idx="308">
                  <c:v>0.12618328637874962</c:v>
                </c:pt>
                <c:pt idx="309">
                  <c:v>0.1254937624637979</c:v>
                </c:pt>
                <c:pt idx="310">
                  <c:v>0.12715303516649495</c:v>
                </c:pt>
                <c:pt idx="311">
                  <c:v>0.12813536811356249</c:v>
                </c:pt>
                <c:pt idx="312">
                  <c:v>0.13010667856048558</c:v>
                </c:pt>
                <c:pt idx="313">
                  <c:v>0.12917767643637998</c:v>
                </c:pt>
                <c:pt idx="314">
                  <c:v>0.13046939196173793</c:v>
                </c:pt>
                <c:pt idx="315">
                  <c:v>0.13000567011549394</c:v>
                </c:pt>
                <c:pt idx="316">
                  <c:v>0.13049510537546191</c:v>
                </c:pt>
                <c:pt idx="317">
                  <c:v>0.12938170928775677</c:v>
                </c:pt>
                <c:pt idx="318">
                  <c:v>0.12920432235976084</c:v>
                </c:pt>
                <c:pt idx="319">
                  <c:v>0.12976346409098802</c:v>
                </c:pt>
                <c:pt idx="320">
                  <c:v>0.1303824881411445</c:v>
                </c:pt>
                <c:pt idx="321">
                  <c:v>0.13042476022358038</c:v>
                </c:pt>
                <c:pt idx="322">
                  <c:v>0.13185950123637127</c:v>
                </c:pt>
                <c:pt idx="323">
                  <c:v>0.13166415085791505</c:v>
                </c:pt>
                <c:pt idx="324">
                  <c:v>0.13425317331029388</c:v>
                </c:pt>
                <c:pt idx="325">
                  <c:v>0.13277740712527719</c:v>
                </c:pt>
                <c:pt idx="326">
                  <c:v>0.13177958003339413</c:v>
                </c:pt>
                <c:pt idx="327">
                  <c:v>0.13128053065620443</c:v>
                </c:pt>
                <c:pt idx="328">
                  <c:v>0.13227970199912856</c:v>
                </c:pt>
                <c:pt idx="329">
                  <c:v>0.1347924032462714</c:v>
                </c:pt>
                <c:pt idx="330">
                  <c:v>0.13315028759811684</c:v>
                </c:pt>
                <c:pt idx="331">
                  <c:v>0.13102054372570673</c:v>
                </c:pt>
                <c:pt idx="332">
                  <c:v>0.13209280595170608</c:v>
                </c:pt>
                <c:pt idx="333">
                  <c:v>0.13113226089510222</c:v>
                </c:pt>
                <c:pt idx="334">
                  <c:v>0.12987798746087748</c:v>
                </c:pt>
                <c:pt idx="335">
                  <c:v>0.13109289735866245</c:v>
                </c:pt>
                <c:pt idx="336">
                  <c:v>0.12566039781180308</c:v>
                </c:pt>
                <c:pt idx="337">
                  <c:v>0.12967071080907441</c:v>
                </c:pt>
                <c:pt idx="338">
                  <c:v>0.12980910985202079</c:v>
                </c:pt>
                <c:pt idx="339">
                  <c:v>0.13107950906979854</c:v>
                </c:pt>
                <c:pt idx="340">
                  <c:v>0.13179507297017248</c:v>
                </c:pt>
                <c:pt idx="341">
                  <c:v>0.13151649606046301</c:v>
                </c:pt>
                <c:pt idx="342">
                  <c:v>0.13403724495728225</c:v>
                </c:pt>
                <c:pt idx="343">
                  <c:v>0.13743042730199775</c:v>
                </c:pt>
                <c:pt idx="344">
                  <c:v>0.13974851714750142</c:v>
                </c:pt>
                <c:pt idx="345">
                  <c:v>0.13670391519389968</c:v>
                </c:pt>
                <c:pt idx="346">
                  <c:v>0.13988032296473696</c:v>
                </c:pt>
                <c:pt idx="347">
                  <c:v>0.1301998781740917</c:v>
                </c:pt>
                <c:pt idx="348">
                  <c:v>0.13280237039075465</c:v>
                </c:pt>
                <c:pt idx="349">
                  <c:v>0.13632110753193014</c:v>
                </c:pt>
                <c:pt idx="350">
                  <c:v>0.13391746072393673</c:v>
                </c:pt>
                <c:pt idx="351">
                  <c:v>0.13859803340727916</c:v>
                </c:pt>
                <c:pt idx="352">
                  <c:v>0.14441705177998165</c:v>
                </c:pt>
                <c:pt idx="353">
                  <c:v>0.14080835755933438</c:v>
                </c:pt>
                <c:pt idx="354">
                  <c:v>0.14149617738281206</c:v>
                </c:pt>
                <c:pt idx="355">
                  <c:v>0.12198217856542182</c:v>
                </c:pt>
                <c:pt idx="356">
                  <c:v>0.11733625675058688</c:v>
                </c:pt>
                <c:pt idx="357">
                  <c:v>0.11213647851245191</c:v>
                </c:pt>
                <c:pt idx="358">
                  <c:v>0.10957249409435357</c:v>
                </c:pt>
                <c:pt idx="359">
                  <c:v>0.10697134243081294</c:v>
                </c:pt>
                <c:pt idx="360">
                  <c:v>0.10894432282166723</c:v>
                </c:pt>
                <c:pt idx="361">
                  <c:v>0.10614807577928004</c:v>
                </c:pt>
                <c:pt idx="362">
                  <c:v>0.11012260884953178</c:v>
                </c:pt>
                <c:pt idx="363">
                  <c:v>0.11339954738287419</c:v>
                </c:pt>
                <c:pt idx="364">
                  <c:v>0.10769596415763334</c:v>
                </c:pt>
                <c:pt idx="365">
                  <c:v>0.10382521467707236</c:v>
                </c:pt>
                <c:pt idx="366">
                  <c:v>9.6765393863276566E-2</c:v>
                </c:pt>
                <c:pt idx="367">
                  <c:v>9.765626801097381E-2</c:v>
                </c:pt>
                <c:pt idx="368">
                  <c:v>8.9784664562213776E-2</c:v>
                </c:pt>
                <c:pt idx="369">
                  <c:v>8.6935164127625905E-2</c:v>
                </c:pt>
                <c:pt idx="370">
                  <c:v>8.7188042245221642E-2</c:v>
                </c:pt>
                <c:pt idx="371">
                  <c:v>8.5733498904904573E-2</c:v>
                </c:pt>
                <c:pt idx="372">
                  <c:v>8.8058795803779788E-2</c:v>
                </c:pt>
                <c:pt idx="373">
                  <c:v>8.5327538530119304E-2</c:v>
                </c:pt>
                <c:pt idx="374">
                  <c:v>8.8906240685126522E-2</c:v>
                </c:pt>
                <c:pt idx="375">
                  <c:v>8.7517795909446708E-2</c:v>
                </c:pt>
                <c:pt idx="376">
                  <c:v>8.6425057453375143E-2</c:v>
                </c:pt>
                <c:pt idx="377">
                  <c:v>8.9181749192604631E-2</c:v>
                </c:pt>
                <c:pt idx="378">
                  <c:v>8.9016601104747475E-2</c:v>
                </c:pt>
                <c:pt idx="379">
                  <c:v>8.4973734800291703E-2</c:v>
                </c:pt>
                <c:pt idx="380">
                  <c:v>7.8426944950291719E-2</c:v>
                </c:pt>
                <c:pt idx="381">
                  <c:v>8.2323006809619362E-2</c:v>
                </c:pt>
                <c:pt idx="382">
                  <c:v>7.926558130372291E-2</c:v>
                </c:pt>
                <c:pt idx="383">
                  <c:v>7.9948406415968232E-2</c:v>
                </c:pt>
                <c:pt idx="384">
                  <c:v>8.1251983775454756E-2</c:v>
                </c:pt>
                <c:pt idx="385">
                  <c:v>8.0826393604437441E-2</c:v>
                </c:pt>
                <c:pt idx="386">
                  <c:v>8.0137112561413829E-2</c:v>
                </c:pt>
                <c:pt idx="387">
                  <c:v>7.3641371669988465E-2</c:v>
                </c:pt>
                <c:pt idx="388">
                  <c:v>6.5479103504073308E-2</c:v>
                </c:pt>
                <c:pt idx="389">
                  <c:v>5.4997206964219447E-2</c:v>
                </c:pt>
                <c:pt idx="390">
                  <c:v>5.1739424301981175E-2</c:v>
                </c:pt>
                <c:pt idx="391">
                  <c:v>5.1221484045888825E-2</c:v>
                </c:pt>
                <c:pt idx="392">
                  <c:v>5.0523383877458479E-2</c:v>
                </c:pt>
                <c:pt idx="393">
                  <c:v>4.8129119489794439E-2</c:v>
                </c:pt>
                <c:pt idx="394">
                  <c:v>4.940751338969445E-2</c:v>
                </c:pt>
                <c:pt idx="395">
                  <c:v>5.4930094498797793E-2</c:v>
                </c:pt>
                <c:pt idx="396">
                  <c:v>4.8052763128618302E-2</c:v>
                </c:pt>
                <c:pt idx="397">
                  <c:v>5.1700272015649633E-2</c:v>
                </c:pt>
                <c:pt idx="398">
                  <c:v>4.6738825701368197E-2</c:v>
                </c:pt>
                <c:pt idx="399">
                  <c:v>4.9719963340957907E-2</c:v>
                </c:pt>
                <c:pt idx="400">
                  <c:v>4.3039345100132208E-2</c:v>
                </c:pt>
                <c:pt idx="401">
                  <c:v>5.5847853312040188E-2</c:v>
                </c:pt>
                <c:pt idx="402">
                  <c:v>5.7977271659570395E-2</c:v>
                </c:pt>
                <c:pt idx="403">
                  <c:v>5.3391716325527507E-2</c:v>
                </c:pt>
                <c:pt idx="404">
                  <c:v>5.2503306683788192E-2</c:v>
                </c:pt>
                <c:pt idx="405">
                  <c:v>4.9859742826990419E-2</c:v>
                </c:pt>
                <c:pt idx="406">
                  <c:v>4.9513838914247522E-2</c:v>
                </c:pt>
                <c:pt idx="407">
                  <c:v>3.5724784227683201E-2</c:v>
                </c:pt>
                <c:pt idx="408">
                  <c:v>5.2627407389331964E-2</c:v>
                </c:pt>
                <c:pt idx="409">
                  <c:v>3.2085946412430594E-2</c:v>
                </c:pt>
                <c:pt idx="410">
                  <c:v>2.4291104382425068E-2</c:v>
                </c:pt>
                <c:pt idx="411">
                  <c:v>2.0730823922254865E-2</c:v>
                </c:pt>
                <c:pt idx="412">
                  <c:v>1.4304732769671228E-2</c:v>
                </c:pt>
                <c:pt idx="413">
                  <c:v>1.0168726378774487E-2</c:v>
                </c:pt>
                <c:pt idx="414">
                  <c:v>1.2820046896235426E-2</c:v>
                </c:pt>
                <c:pt idx="415">
                  <c:v>9.3846184080433083E-3</c:v>
                </c:pt>
                <c:pt idx="416">
                  <c:v>1.0853697205181574E-2</c:v>
                </c:pt>
                <c:pt idx="417">
                  <c:v>1.240964121622325E-2</c:v>
                </c:pt>
                <c:pt idx="418">
                  <c:v>8.6623070364363949E-3</c:v>
                </c:pt>
                <c:pt idx="419">
                  <c:v>3.2034331312309127E-3</c:v>
                </c:pt>
                <c:pt idx="420">
                  <c:v>7.8064828739095992E-3</c:v>
                </c:pt>
                <c:pt idx="421">
                  <c:v>1.8801604489280808E-3</c:v>
                </c:pt>
                <c:pt idx="422">
                  <c:v>-5.9191217693284745E-3</c:v>
                </c:pt>
                <c:pt idx="423">
                  <c:v>-7.8781151938325678E-3</c:v>
                </c:pt>
                <c:pt idx="424">
                  <c:v>-1.0101057584258794E-2</c:v>
                </c:pt>
                <c:pt idx="425">
                  <c:v>-1.0148380417592123E-2</c:v>
                </c:pt>
                <c:pt idx="426">
                  <c:v>-1.0498893607427178E-2</c:v>
                </c:pt>
                <c:pt idx="427">
                  <c:v>-9.7502495172936271E-3</c:v>
                </c:pt>
                <c:pt idx="428">
                  <c:v>-9.1098427340436314E-3</c:v>
                </c:pt>
                <c:pt idx="429">
                  <c:v>-1.1089320691877862E-2</c:v>
                </c:pt>
                <c:pt idx="430">
                  <c:v>-1.3592147887029038E-2</c:v>
                </c:pt>
                <c:pt idx="431">
                  <c:v>-1.8171697732936507E-2</c:v>
                </c:pt>
                <c:pt idx="432">
                  <c:v>-1.8775117058785075E-2</c:v>
                </c:pt>
                <c:pt idx="433">
                  <c:v>-2.1464692215185082E-2</c:v>
                </c:pt>
                <c:pt idx="434">
                  <c:v>-2.0018011203482115E-2</c:v>
                </c:pt>
                <c:pt idx="435">
                  <c:v>-2.1434394428590343E-2</c:v>
                </c:pt>
                <c:pt idx="436">
                  <c:v>-2.1120942782107747E-2</c:v>
                </c:pt>
                <c:pt idx="437">
                  <c:v>-2.2117932379530431E-2</c:v>
                </c:pt>
                <c:pt idx="438">
                  <c:v>-2.1945941158857788E-2</c:v>
                </c:pt>
                <c:pt idx="439">
                  <c:v>-2.2086439798857778E-2</c:v>
                </c:pt>
                <c:pt idx="440">
                  <c:v>-2.1661508459222892E-2</c:v>
                </c:pt>
                <c:pt idx="441">
                  <c:v>-2.2976280032396691E-2</c:v>
                </c:pt>
                <c:pt idx="442">
                  <c:v>-2.1728862034778543E-2</c:v>
                </c:pt>
                <c:pt idx="443">
                  <c:v>-1.7507282894778542E-2</c:v>
                </c:pt>
                <c:pt idx="444">
                  <c:v>-1.9641016835555393E-2</c:v>
                </c:pt>
                <c:pt idx="445">
                  <c:v>-1.9168447345926522E-2</c:v>
                </c:pt>
                <c:pt idx="446">
                  <c:v>-2.1735954157379039E-2</c:v>
                </c:pt>
                <c:pt idx="447">
                  <c:v>-1.8823675595499776E-2</c:v>
                </c:pt>
                <c:pt idx="448">
                  <c:v>-2.1870967930099398E-2</c:v>
                </c:pt>
                <c:pt idx="449">
                  <c:v>-2.3192615679237003E-2</c:v>
                </c:pt>
                <c:pt idx="450">
                  <c:v>-2.3450159407761597E-2</c:v>
                </c:pt>
                <c:pt idx="451">
                  <c:v>-2.2911240179392802E-2</c:v>
                </c:pt>
                <c:pt idx="452">
                  <c:v>-2.1082235646059478E-2</c:v>
                </c:pt>
                <c:pt idx="453">
                  <c:v>-2.1349904904221347E-2</c:v>
                </c:pt>
                <c:pt idx="454">
                  <c:v>-2.062399191972555E-2</c:v>
                </c:pt>
                <c:pt idx="455">
                  <c:v>-2.1759678031348016E-2</c:v>
                </c:pt>
                <c:pt idx="456">
                  <c:v>-2.0347097294940251E-2</c:v>
                </c:pt>
                <c:pt idx="457">
                  <c:v>-1.7092331008175546E-2</c:v>
                </c:pt>
                <c:pt idx="458">
                  <c:v>-1.7735939537111702E-2</c:v>
                </c:pt>
                <c:pt idx="459">
                  <c:v>-1.4200541730236695E-2</c:v>
                </c:pt>
                <c:pt idx="460">
                  <c:v>-1.672057410762565E-2</c:v>
                </c:pt>
                <c:pt idx="461">
                  <c:v>-9.4250120870346572E-3</c:v>
                </c:pt>
                <c:pt idx="462">
                  <c:v>-1.4360575744342357E-2</c:v>
                </c:pt>
                <c:pt idx="463">
                  <c:v>-1.5176640568933798E-2</c:v>
                </c:pt>
                <c:pt idx="464">
                  <c:v>-1.7148558930988593E-2</c:v>
                </c:pt>
                <c:pt idx="465">
                  <c:v>-1.7722344522530093E-2</c:v>
                </c:pt>
                <c:pt idx="466">
                  <c:v>-1.8783275175136904E-2</c:v>
                </c:pt>
                <c:pt idx="467">
                  <c:v>-1.87756673008634E-2</c:v>
                </c:pt>
                <c:pt idx="468">
                  <c:v>-1.9434079464422719E-2</c:v>
                </c:pt>
                <c:pt idx="469">
                  <c:v>-1.9136630135167993E-2</c:v>
                </c:pt>
                <c:pt idx="470">
                  <c:v>-1.9671324498501331E-2</c:v>
                </c:pt>
                <c:pt idx="471">
                  <c:v>-1.9305498540307789E-2</c:v>
                </c:pt>
                <c:pt idx="472">
                  <c:v>-1.861255162655779E-2</c:v>
                </c:pt>
                <c:pt idx="473">
                  <c:v>-1.8700095705530217E-2</c:v>
                </c:pt>
                <c:pt idx="474">
                  <c:v>-2.0592721902811466E-2</c:v>
                </c:pt>
                <c:pt idx="475">
                  <c:v>-1.9247118288372694E-2</c:v>
                </c:pt>
                <c:pt idx="476">
                  <c:v>-2.0797545095685047E-2</c:v>
                </c:pt>
                <c:pt idx="477">
                  <c:v>-2.1703528040470328E-2</c:v>
                </c:pt>
                <c:pt idx="478">
                  <c:v>-2.5786211130470329E-2</c:v>
                </c:pt>
                <c:pt idx="479">
                  <c:v>-2.1690489685479434E-2</c:v>
                </c:pt>
                <c:pt idx="480">
                  <c:v>-2.1094524046813938E-2</c:v>
                </c:pt>
                <c:pt idx="481">
                  <c:v>-2.0824272450202963E-2</c:v>
                </c:pt>
                <c:pt idx="482">
                  <c:v>-2.0015424510312654E-2</c:v>
                </c:pt>
                <c:pt idx="483">
                  <c:v>-1.9179387916769795E-2</c:v>
                </c:pt>
                <c:pt idx="484">
                  <c:v>-1.7602533891465977E-2</c:v>
                </c:pt>
                <c:pt idx="485">
                  <c:v>-1.7734045808308074E-2</c:v>
                </c:pt>
                <c:pt idx="486">
                  <c:v>-1.8916962757565502E-2</c:v>
                </c:pt>
                <c:pt idx="487">
                  <c:v>-1.783357084556551E-2</c:v>
                </c:pt>
                <c:pt idx="488">
                  <c:v>-1.775146821071568E-2</c:v>
                </c:pt>
                <c:pt idx="489">
                  <c:v>-1.7852991816696764E-2</c:v>
                </c:pt>
                <c:pt idx="490">
                  <c:v>-1.8762478384501641E-2</c:v>
                </c:pt>
                <c:pt idx="491">
                  <c:v>-2.1922290952140003E-2</c:v>
                </c:pt>
                <c:pt idx="492">
                  <c:v>-2.1085306680939993E-2</c:v>
                </c:pt>
                <c:pt idx="493">
                  <c:v>-2.1654905801762776E-2</c:v>
                </c:pt>
                <c:pt idx="494">
                  <c:v>-1.7773950091952772E-2</c:v>
                </c:pt>
                <c:pt idx="495">
                  <c:v>-1.7220664629081485E-2</c:v>
                </c:pt>
                <c:pt idx="496">
                  <c:v>-1.8122824983092947E-2</c:v>
                </c:pt>
                <c:pt idx="497">
                  <c:v>-1.7224301410433372E-2</c:v>
                </c:pt>
                <c:pt idx="498">
                  <c:v>-1.6487105452079171E-2</c:v>
                </c:pt>
                <c:pt idx="499">
                  <c:v>-1.7055070458710575E-2</c:v>
                </c:pt>
                <c:pt idx="500">
                  <c:v>-1.3308350102150918E-2</c:v>
                </c:pt>
                <c:pt idx="501">
                  <c:v>-1.5558593989397003E-2</c:v>
                </c:pt>
                <c:pt idx="502">
                  <c:v>-1.5105332634320281E-2</c:v>
                </c:pt>
                <c:pt idx="503">
                  <c:v>-1.540969616396844E-2</c:v>
                </c:pt>
                <c:pt idx="504">
                  <c:v>-1.525470127994304E-2</c:v>
                </c:pt>
                <c:pt idx="505">
                  <c:v>-1.2348411045461754E-2</c:v>
                </c:pt>
                <c:pt idx="506">
                  <c:v>-1.5840334717821036E-2</c:v>
                </c:pt>
                <c:pt idx="507">
                  <c:v>-1.3361033920315573E-2</c:v>
                </c:pt>
                <c:pt idx="508">
                  <c:v>-1.671601043452536E-2</c:v>
                </c:pt>
                <c:pt idx="509">
                  <c:v>-1.6116428261552674E-2</c:v>
                </c:pt>
                <c:pt idx="510">
                  <c:v>-1.3093946420189221E-2</c:v>
                </c:pt>
                <c:pt idx="511">
                  <c:v>-9.9430915614979205E-3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D1-4BC2-A782-D0F390D83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3078751"/>
        <c:axId val="803087071"/>
      </c:lineChart>
      <c:dateAx>
        <c:axId val="8030787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087071"/>
        <c:crosses val="autoZero"/>
        <c:auto val="1"/>
        <c:lblOffset val="100"/>
        <c:baseTimeUnit val="days"/>
      </c:dateAx>
      <c:valAx>
        <c:axId val="803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078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FB6B8A-25A6-48EF-A38B-10C4ABED276D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F0B89F-3B40-4EA3-A505-469DECA09ED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544.25</v>
      </c>
      <c r="D2" s="4">
        <f>MIN(D3:D1912)</f>
        <v>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140.12</v>
      </c>
      <c r="C5">
        <v>142.55000000000001</v>
      </c>
      <c r="D5">
        <v>136.43</v>
      </c>
      <c r="E5">
        <v>136.58000000000001</v>
      </c>
      <c r="F5">
        <v>19122.78</v>
      </c>
      <c r="G5">
        <v>136.58000000000001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-0.95098039215686092</v>
      </c>
      <c r="Q5">
        <f t="shared" ref="Q5" si="1">F5*P5</f>
        <v>-18185.388823529374</v>
      </c>
      <c r="R5">
        <f t="shared" ref="R5" si="2">R6+Q5</f>
        <v>14047161.162897434</v>
      </c>
      <c r="S5">
        <f t="shared" ref="S5" si="3">R5/100000</f>
        <v>140.47161162897433</v>
      </c>
      <c r="T5">
        <f t="shared" ref="T5" si="4">S5/1000</f>
        <v>0.14047161162897434</v>
      </c>
    </row>
    <row r="6" spans="1:20" x14ac:dyDescent="0.25">
      <c r="A6" s="5">
        <v>44587</v>
      </c>
      <c r="B6">
        <v>140.81</v>
      </c>
      <c r="C6">
        <v>159.46</v>
      </c>
      <c r="D6">
        <v>136.47</v>
      </c>
      <c r="E6">
        <v>140.18</v>
      </c>
      <c r="F6">
        <v>429726.9</v>
      </c>
      <c r="G6">
        <v>140.18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-0.67725097868638484</v>
      </c>
      <c r="Q6">
        <f t="shared" ref="Q6" si="6">F6*P6</f>
        <v>-291032.96359286626</v>
      </c>
      <c r="R6">
        <f t="shared" ref="R6" si="7">R7+Q6</f>
        <v>14065346.551720964</v>
      </c>
      <c r="S6">
        <f t="shared" ref="S6" si="8">R6/100000</f>
        <v>140.65346551720964</v>
      </c>
      <c r="T6">
        <f t="shared" ref="T6" si="9">S6/1000</f>
        <v>0.14065346551720964</v>
      </c>
    </row>
    <row r="7" spans="1:20" x14ac:dyDescent="0.25">
      <c r="A7" s="5">
        <v>44586</v>
      </c>
      <c r="B7">
        <v>131.19</v>
      </c>
      <c r="C7">
        <v>143.71</v>
      </c>
      <c r="D7">
        <v>128.28</v>
      </c>
      <c r="E7">
        <v>140.71</v>
      </c>
      <c r="F7">
        <v>311795.24</v>
      </c>
      <c r="G7">
        <v>140.71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0.61114711600777727</v>
      </c>
      <c r="Q7">
        <f t="shared" ref="Q7" si="11">F7*P7</f>
        <v>190552.76171095276</v>
      </c>
      <c r="R7">
        <f t="shared" ref="R7" si="12">R8+Q7</f>
        <v>14356379.51531383</v>
      </c>
      <c r="S7">
        <f t="shared" ref="S7" si="13">R7/100000</f>
        <v>143.5637951531383</v>
      </c>
      <c r="T7">
        <f t="shared" ref="T7" si="14">S7/1000</f>
        <v>0.1435637951531383</v>
      </c>
    </row>
    <row r="8" spans="1:20" x14ac:dyDescent="0.25">
      <c r="A8" s="5">
        <v>44585</v>
      </c>
      <c r="B8">
        <v>134.13</v>
      </c>
      <c r="C8">
        <v>135.6</v>
      </c>
      <c r="D8">
        <v>115.63</v>
      </c>
      <c r="E8">
        <v>131.16</v>
      </c>
      <c r="F8">
        <v>472108.13</v>
      </c>
      <c r="G8">
        <v>131.16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0.55533299949924908</v>
      </c>
      <c r="Q8">
        <f t="shared" ref="Q8" si="16">F8*P8</f>
        <v>262177.2239208814</v>
      </c>
      <c r="R8">
        <f t="shared" ref="R8" si="17">R9+Q8</f>
        <v>14165826.753602877</v>
      </c>
      <c r="S8">
        <f t="shared" ref="S8" si="18">R8/100000</f>
        <v>141.65826753602877</v>
      </c>
      <c r="T8">
        <f t="shared" ref="T8" si="19">S8/1000</f>
        <v>0.14165826753602878</v>
      </c>
    </row>
    <row r="9" spans="1:20" x14ac:dyDescent="0.25">
      <c r="A9" s="5">
        <v>44584</v>
      </c>
      <c r="B9">
        <v>125.36</v>
      </c>
      <c r="C9">
        <v>142.22</v>
      </c>
      <c r="D9">
        <v>124.25</v>
      </c>
      <c r="E9">
        <v>134.19999999999999</v>
      </c>
      <c r="F9">
        <v>356085.83</v>
      </c>
      <c r="G9">
        <v>134.19999999999999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0.10740122426265879</v>
      </c>
      <c r="Q9">
        <f t="shared" ref="Q9" si="21">F9*P9</f>
        <v>38244.054084584997</v>
      </c>
      <c r="R9">
        <f t="shared" ref="R9" si="22">R10+Q9</f>
        <v>13903649.529681996</v>
      </c>
      <c r="S9">
        <f t="shared" ref="S9" si="23">R9/100000</f>
        <v>139.03649529681996</v>
      </c>
      <c r="T9">
        <f t="shared" ref="T9" si="24">S9/1000</f>
        <v>0.13903649529681997</v>
      </c>
    </row>
    <row r="10" spans="1:20" x14ac:dyDescent="0.25">
      <c r="A10" s="5">
        <v>44583</v>
      </c>
      <c r="B10">
        <v>138.24</v>
      </c>
      <c r="C10">
        <v>142.55000000000001</v>
      </c>
      <c r="D10">
        <v>111.57</v>
      </c>
      <c r="E10">
        <v>125.2</v>
      </c>
      <c r="F10">
        <v>623030.50430000003</v>
      </c>
      <c r="G10">
        <v>125.2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-0.12007746933505477</v>
      </c>
      <c r="Q10">
        <f t="shared" ref="Q10" si="26">F10*P10</f>
        <v>-74811.926274886966</v>
      </c>
      <c r="R10">
        <f t="shared" ref="R10" si="27">R11+Q10</f>
        <v>13865405.475597411</v>
      </c>
      <c r="S10">
        <f t="shared" ref="S10" si="28">R10/100000</f>
        <v>138.6540547559741</v>
      </c>
      <c r="T10">
        <f t="shared" ref="T10" si="29">S10/1000</f>
        <v>0.13865405475597409</v>
      </c>
    </row>
    <row r="11" spans="1:20" x14ac:dyDescent="0.25">
      <c r="A11" s="5">
        <v>44582</v>
      </c>
      <c r="B11">
        <v>166.81</v>
      </c>
      <c r="C11">
        <v>169.04</v>
      </c>
      <c r="D11">
        <v>135.19999999999999</v>
      </c>
      <c r="E11">
        <v>138.27000000000001</v>
      </c>
      <c r="F11">
        <v>445010.14</v>
      </c>
      <c r="G11">
        <v>138.27000000000001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-0.81855791962174818</v>
      </c>
      <c r="Q11">
        <f t="shared" ref="Q11" si="31">F11*P11</f>
        <v>-364266.57440898294</v>
      </c>
      <c r="R11">
        <f t="shared" ref="R11" si="32">R12+Q11</f>
        <v>13940217.401872298</v>
      </c>
      <c r="S11">
        <f t="shared" ref="S11" si="33">R11/100000</f>
        <v>139.40217401872297</v>
      </c>
      <c r="T11">
        <f t="shared" ref="T11" si="34">S11/1000</f>
        <v>0.13940217401872299</v>
      </c>
    </row>
    <row r="12" spans="1:20" x14ac:dyDescent="0.25">
      <c r="A12" s="5">
        <v>44581</v>
      </c>
      <c r="B12">
        <v>173.42</v>
      </c>
      <c r="C12">
        <v>185.55</v>
      </c>
      <c r="D12">
        <v>165.48</v>
      </c>
      <c r="E12">
        <v>166.71</v>
      </c>
      <c r="F12">
        <v>195818.03</v>
      </c>
      <c r="G12">
        <v>166.71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-0.87742899850523004</v>
      </c>
      <c r="Q12">
        <f t="shared" ref="Q12" si="36">F12*P12</f>
        <v>-171816.4179521671</v>
      </c>
      <c r="R12">
        <f t="shared" ref="R12" si="37">R13+Q12</f>
        <v>14304483.976281282</v>
      </c>
      <c r="S12">
        <f t="shared" ref="S12" si="38">R12/100000</f>
        <v>143.04483976281281</v>
      </c>
      <c r="T12">
        <f t="shared" ref="T12" si="39">S12/1000</f>
        <v>0.14304483976281282</v>
      </c>
    </row>
    <row r="13" spans="1:20" x14ac:dyDescent="0.25">
      <c r="A13" s="5">
        <v>44580</v>
      </c>
      <c r="B13">
        <v>179</v>
      </c>
      <c r="C13">
        <v>180.42</v>
      </c>
      <c r="D13">
        <v>168.79</v>
      </c>
      <c r="E13">
        <v>173.36</v>
      </c>
      <c r="F13">
        <v>140098.32</v>
      </c>
      <c r="G13">
        <v>173.36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-0.21410146173688333</v>
      </c>
      <c r="Q13">
        <f t="shared" ref="Q13" si="41">F13*P13</f>
        <v>-29995.255098881637</v>
      </c>
      <c r="R13">
        <f t="shared" ref="R13" si="42">R14+Q13</f>
        <v>14476300.394233448</v>
      </c>
      <c r="S13">
        <f t="shared" ref="S13" si="43">R13/100000</f>
        <v>144.76300394233448</v>
      </c>
      <c r="T13">
        <f t="shared" ref="T13" si="44">S13/1000</f>
        <v>0.14476300394233449</v>
      </c>
    </row>
    <row r="14" spans="1:20" x14ac:dyDescent="0.25">
      <c r="A14" s="5">
        <v>44579</v>
      </c>
      <c r="B14">
        <v>186.95</v>
      </c>
      <c r="C14">
        <v>191.11</v>
      </c>
      <c r="D14">
        <v>171.37</v>
      </c>
      <c r="E14">
        <v>179</v>
      </c>
      <c r="F14">
        <v>238865.51</v>
      </c>
      <c r="G14">
        <v>179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-0.22695035460992991</v>
      </c>
      <c r="Q14">
        <f t="shared" ref="Q14" si="46">F14*P14</f>
        <v>-54210.612198581759</v>
      </c>
      <c r="R14">
        <f t="shared" ref="R14" si="47">R15+Q14</f>
        <v>14506295.64933233</v>
      </c>
      <c r="S14">
        <f t="shared" ref="S14" si="48">R14/100000</f>
        <v>145.0629564933233</v>
      </c>
      <c r="T14">
        <f t="shared" ref="T14" si="49">S14/1000</f>
        <v>0.14506295649332329</v>
      </c>
    </row>
    <row r="15" spans="1:20" x14ac:dyDescent="0.25">
      <c r="A15" s="5">
        <v>44578</v>
      </c>
      <c r="B15">
        <v>195.42</v>
      </c>
      <c r="C15">
        <v>196.12</v>
      </c>
      <c r="D15">
        <v>182.7</v>
      </c>
      <c r="E15">
        <v>186.86</v>
      </c>
      <c r="F15">
        <v>152520.26</v>
      </c>
      <c r="G15">
        <v>186.86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-0.38002980625931149</v>
      </c>
      <c r="Q15">
        <f t="shared" ref="Q15" si="51">F15*P15</f>
        <v>-57962.244858419821</v>
      </c>
      <c r="R15">
        <f t="shared" ref="R15" si="52">R16+Q15</f>
        <v>14560506.261530912</v>
      </c>
      <c r="S15">
        <f t="shared" ref="S15" si="53">R15/100000</f>
        <v>145.60506261530912</v>
      </c>
      <c r="T15">
        <f t="shared" ref="T15" si="54">S15/1000</f>
        <v>0.14560506261530912</v>
      </c>
    </row>
    <row r="16" spans="1:20" x14ac:dyDescent="0.25">
      <c r="A16" s="5">
        <v>44577</v>
      </c>
      <c r="B16">
        <v>200.24</v>
      </c>
      <c r="C16">
        <v>201.07</v>
      </c>
      <c r="D16">
        <v>193.07</v>
      </c>
      <c r="E16">
        <v>195.38</v>
      </c>
      <c r="F16">
        <v>121015.47</v>
      </c>
      <c r="G16">
        <v>195.38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-0.42249999999999943</v>
      </c>
      <c r="Q16">
        <f t="shared" ref="Q16" si="56">F16*P16</f>
        <v>-51129.036074999931</v>
      </c>
      <c r="R16">
        <f t="shared" ref="R16" si="57">R17+Q16</f>
        <v>14618468.506389331</v>
      </c>
      <c r="S16">
        <f t="shared" ref="S16" si="58">R16/100000</f>
        <v>146.18468506389331</v>
      </c>
      <c r="T16">
        <f t="shared" ref="T16" si="59">S16/1000</f>
        <v>0.14618468506389332</v>
      </c>
    </row>
    <row r="17" spans="1:20" x14ac:dyDescent="0.25">
      <c r="A17" s="5">
        <v>44576</v>
      </c>
      <c r="B17">
        <v>199.48</v>
      </c>
      <c r="C17">
        <v>207.36</v>
      </c>
      <c r="D17">
        <v>197.33</v>
      </c>
      <c r="E17">
        <v>200.3</v>
      </c>
      <c r="F17">
        <v>91797.71</v>
      </c>
      <c r="G17">
        <v>200.3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-0.4077766699900302</v>
      </c>
      <c r="Q17">
        <f t="shared" ref="Q17" si="61">F17*P17</f>
        <v>-37432.964496510496</v>
      </c>
      <c r="R17">
        <f t="shared" ref="R17" si="62">R18+Q17</f>
        <v>14669597.542464331</v>
      </c>
      <c r="S17">
        <f t="shared" ref="S17" si="63">R17/100000</f>
        <v>146.69597542464331</v>
      </c>
      <c r="T17">
        <f t="shared" ref="T17" si="64">S17/1000</f>
        <v>0.1466959754246433</v>
      </c>
    </row>
    <row r="18" spans="1:20" x14ac:dyDescent="0.25">
      <c r="A18" s="5">
        <v>44575</v>
      </c>
      <c r="B18">
        <v>195.43</v>
      </c>
      <c r="C18">
        <v>201.74</v>
      </c>
      <c r="D18">
        <v>190.6</v>
      </c>
      <c r="E18">
        <v>199.46</v>
      </c>
      <c r="F18">
        <v>148635.12</v>
      </c>
      <c r="G18">
        <v>199.46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0.59066427289048506</v>
      </c>
      <c r="Q18">
        <f t="shared" ref="Q18" si="66">F18*P18</f>
        <v>87793.455080789994</v>
      </c>
      <c r="R18">
        <f t="shared" ref="R18" si="67">R19+Q18</f>
        <v>14707030.506960841</v>
      </c>
      <c r="S18">
        <f t="shared" ref="S18" si="68">R18/100000</f>
        <v>147.07030506960839</v>
      </c>
      <c r="T18">
        <f t="shared" ref="T18" si="69">S18/1000</f>
        <v>0.14707030506960839</v>
      </c>
    </row>
    <row r="19" spans="1:20" x14ac:dyDescent="0.25">
      <c r="A19" s="5">
        <v>44574</v>
      </c>
      <c r="B19">
        <v>214.13</v>
      </c>
      <c r="C19">
        <v>215.27</v>
      </c>
      <c r="D19">
        <v>194.25</v>
      </c>
      <c r="E19">
        <v>195.46</v>
      </c>
      <c r="F19">
        <v>181947.9</v>
      </c>
      <c r="G19">
        <v>195.46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-0.88487155090390035</v>
      </c>
      <c r="Q19">
        <f t="shared" ref="Q19" si="71">F19*P19</f>
        <v>-161000.52045670777</v>
      </c>
      <c r="R19">
        <f t="shared" ref="R19" si="72">R20+Q19</f>
        <v>14619237.05188005</v>
      </c>
      <c r="S19">
        <f t="shared" ref="S19" si="73">R19/100000</f>
        <v>146.19237051880052</v>
      </c>
      <c r="T19">
        <f t="shared" ref="T19" si="74">S19/1000</f>
        <v>0.14619237051880052</v>
      </c>
    </row>
    <row r="20" spans="1:20" x14ac:dyDescent="0.25">
      <c r="A20" s="5">
        <v>44573</v>
      </c>
      <c r="B20">
        <v>205.07</v>
      </c>
      <c r="C20">
        <v>219.98</v>
      </c>
      <c r="D20">
        <v>204.56</v>
      </c>
      <c r="E20">
        <v>214.27</v>
      </c>
      <c r="F20">
        <v>175375.99</v>
      </c>
      <c r="G20">
        <v>214.27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0.25940337224384125</v>
      </c>
      <c r="Q20">
        <f t="shared" ref="Q20" si="76">F20*P20</f>
        <v>45493.12321660218</v>
      </c>
      <c r="R20">
        <f t="shared" ref="R20" si="77">R21+Q20</f>
        <v>14780237.572336758</v>
      </c>
      <c r="S20">
        <f t="shared" ref="S20" si="78">R20/100000</f>
        <v>147.80237572336759</v>
      </c>
      <c r="T20">
        <f t="shared" ref="T20" si="79">S20/1000</f>
        <v>0.1478023757233676</v>
      </c>
    </row>
    <row r="21" spans="1:20" x14ac:dyDescent="0.25">
      <c r="A21" s="5">
        <v>44572</v>
      </c>
      <c r="B21">
        <v>191.15</v>
      </c>
      <c r="C21">
        <v>208.2</v>
      </c>
      <c r="D21">
        <v>188.6</v>
      </c>
      <c r="E21">
        <v>205.02</v>
      </c>
      <c r="F21">
        <v>268073.59000000003</v>
      </c>
      <c r="G21">
        <v>205.02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0.67551020408163476</v>
      </c>
      <c r="Q21">
        <f t="shared" ref="Q21" si="81">F21*P21</f>
        <v>181086.44548979649</v>
      </c>
      <c r="R21">
        <f t="shared" ref="R21" si="82">R22+Q21</f>
        <v>14734744.449120155</v>
      </c>
      <c r="S21">
        <f t="shared" ref="S21" si="83">R21/100000</f>
        <v>147.34744449120154</v>
      </c>
      <c r="T21">
        <f t="shared" ref="T21" si="84">S21/1000</f>
        <v>0.14734744449120155</v>
      </c>
    </row>
    <row r="22" spans="1:20" x14ac:dyDescent="0.25">
      <c r="A22" s="5">
        <v>44571</v>
      </c>
      <c r="B22">
        <v>198.07</v>
      </c>
      <c r="C22">
        <v>200.45</v>
      </c>
      <c r="D22">
        <v>180.14</v>
      </c>
      <c r="E22">
        <v>191.2</v>
      </c>
      <c r="F22">
        <v>190584.68</v>
      </c>
      <c r="G22">
        <v>191.2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8.9118660758247273E-2</v>
      </c>
      <c r="Q22">
        <f t="shared" ref="Q22" si="86">F22*P22</f>
        <v>16984.651442639115</v>
      </c>
      <c r="R22">
        <f t="shared" ref="R22" si="87">R23+Q22</f>
        <v>14553658.003630359</v>
      </c>
      <c r="S22">
        <f t="shared" ref="S22" si="88">R22/100000</f>
        <v>145.53658003630358</v>
      </c>
      <c r="T22">
        <f t="shared" ref="T22" si="89">S22/1000</f>
        <v>0.14553658003630357</v>
      </c>
    </row>
    <row r="23" spans="1:20" x14ac:dyDescent="0.25">
      <c r="A23" s="5">
        <v>44570</v>
      </c>
      <c r="B23">
        <v>190.3</v>
      </c>
      <c r="C23">
        <v>202.94</v>
      </c>
      <c r="D23">
        <v>188.16</v>
      </c>
      <c r="E23">
        <v>197.98</v>
      </c>
      <c r="F23">
        <v>137877.47</v>
      </c>
      <c r="G23">
        <v>197.98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0.32882273342354429</v>
      </c>
      <c r="Q23">
        <f t="shared" ref="Q23" si="91">F23*P23</f>
        <v>45337.246562922723</v>
      </c>
      <c r="R23">
        <f t="shared" ref="R23" si="92">R24+Q23</f>
        <v>14536673.352187719</v>
      </c>
      <c r="S23">
        <f t="shared" ref="S23" si="93">R23/100000</f>
        <v>145.36673352187719</v>
      </c>
      <c r="T23">
        <f t="shared" ref="T23" si="94">S23/1000</f>
        <v>0.14536673352187721</v>
      </c>
    </row>
    <row r="24" spans="1:20" x14ac:dyDescent="0.25">
      <c r="A24" s="5">
        <v>44569</v>
      </c>
      <c r="B24">
        <v>195.87</v>
      </c>
      <c r="C24">
        <v>201</v>
      </c>
      <c r="D24">
        <v>181</v>
      </c>
      <c r="E24">
        <v>190.33</v>
      </c>
      <c r="F24">
        <v>168696.79</v>
      </c>
      <c r="G24">
        <v>190.33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-6.6999999999998755E-2</v>
      </c>
      <c r="Q24">
        <f t="shared" ref="Q24" si="96">F24*P24</f>
        <v>-11302.68492999979</v>
      </c>
      <c r="R24">
        <f t="shared" ref="R24" si="97">R25+Q24</f>
        <v>14491336.105624797</v>
      </c>
      <c r="S24">
        <f t="shared" ref="S24" si="98">R24/100000</f>
        <v>144.91336105624796</v>
      </c>
      <c r="T24">
        <f t="shared" ref="T24" si="99">S24/1000</f>
        <v>0.14491336105624797</v>
      </c>
    </row>
    <row r="25" spans="1:20" x14ac:dyDescent="0.25">
      <c r="A25" s="5">
        <v>44568</v>
      </c>
      <c r="B25">
        <v>212.27</v>
      </c>
      <c r="C25">
        <v>213.48</v>
      </c>
      <c r="D25">
        <v>191.76</v>
      </c>
      <c r="E25">
        <v>195.87</v>
      </c>
      <c r="F25">
        <v>294115.07</v>
      </c>
      <c r="G25">
        <v>195.87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-0.62154696132596554</v>
      </c>
      <c r="Q25">
        <f t="shared" ref="Q25" si="101">F25*P25</f>
        <v>-182806.32803867364</v>
      </c>
      <c r="R25">
        <f t="shared" ref="R25" si="102">R26+Q25</f>
        <v>14502638.790554797</v>
      </c>
      <c r="S25">
        <f t="shared" ref="S25" si="103">R25/100000</f>
        <v>145.02638790554798</v>
      </c>
      <c r="T25">
        <f t="shared" ref="T25" si="104">S25/1000</f>
        <v>0.14502638790554798</v>
      </c>
    </row>
    <row r="26" spans="1:20" x14ac:dyDescent="0.25">
      <c r="A26" s="5">
        <v>44567</v>
      </c>
      <c r="B26">
        <v>213.62</v>
      </c>
      <c r="C26">
        <v>215.72</v>
      </c>
      <c r="D26">
        <v>200.69</v>
      </c>
      <c r="E26">
        <v>212.45</v>
      </c>
      <c r="F26">
        <v>275935.38</v>
      </c>
      <c r="G26">
        <v>212.45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0.56487025948103664</v>
      </c>
      <c r="Q26">
        <f t="shared" ref="Q26" si="106">F26*P26</f>
        <v>155867.68970059845</v>
      </c>
      <c r="R26">
        <f t="shared" ref="R26" si="107">R27+Q26</f>
        <v>14685445.118593471</v>
      </c>
      <c r="S26">
        <f t="shared" ref="S26" si="108">R26/100000</f>
        <v>146.85445118593472</v>
      </c>
      <c r="T26">
        <f t="shared" ref="T26" si="109">S26/1000</f>
        <v>0.14685445118593471</v>
      </c>
    </row>
    <row r="27" spans="1:20" x14ac:dyDescent="0.25">
      <c r="A27" s="5">
        <v>44566</v>
      </c>
      <c r="B27">
        <v>235.86</v>
      </c>
      <c r="C27">
        <v>254.44</v>
      </c>
      <c r="D27">
        <v>198.9</v>
      </c>
      <c r="E27">
        <v>213.31</v>
      </c>
      <c r="F27">
        <v>447105.42</v>
      </c>
      <c r="G27">
        <v>213.31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-0.48109470651782504</v>
      </c>
      <c r="Q27">
        <f t="shared" ref="Q27" si="111">F27*P27</f>
        <v>-215100.05081742888</v>
      </c>
      <c r="R27">
        <f t="shared" ref="R27" si="112">R28+Q27</f>
        <v>14529577.428892873</v>
      </c>
      <c r="S27">
        <f t="shared" ref="S27" si="113">R27/100000</f>
        <v>145.29577428892873</v>
      </c>
      <c r="T27">
        <f t="shared" ref="T27" si="114">S27/1000</f>
        <v>0.14529577428892873</v>
      </c>
    </row>
    <row r="28" spans="1:20" x14ac:dyDescent="0.25">
      <c r="A28" s="5">
        <v>44565</v>
      </c>
      <c r="B28">
        <v>236.83</v>
      </c>
      <c r="C28">
        <v>243.01</v>
      </c>
      <c r="D28">
        <v>230.26</v>
      </c>
      <c r="E28">
        <v>235.89</v>
      </c>
      <c r="F28">
        <v>162650.96</v>
      </c>
      <c r="G28">
        <v>235.89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-0.11686274509803993</v>
      </c>
      <c r="Q28">
        <f t="shared" ref="Q28" si="116">F28*P28</f>
        <v>-19007.837678431486</v>
      </c>
      <c r="R28">
        <f t="shared" ref="R28" si="117">R29+Q28</f>
        <v>14744677.479710301</v>
      </c>
      <c r="S28">
        <f t="shared" ref="S28" si="118">R28/100000</f>
        <v>147.44677479710302</v>
      </c>
      <c r="T28">
        <f t="shared" ref="T28" si="119">S28/1000</f>
        <v>0.14744677479710303</v>
      </c>
    </row>
    <row r="29" spans="1:20" x14ac:dyDescent="0.25">
      <c r="A29" s="5">
        <v>44564</v>
      </c>
      <c r="B29">
        <v>239.65</v>
      </c>
      <c r="C29">
        <v>244.84</v>
      </c>
      <c r="D29">
        <v>233.5</v>
      </c>
      <c r="E29">
        <v>236.83</v>
      </c>
      <c r="F29">
        <v>117482.05</v>
      </c>
      <c r="G29">
        <v>236.83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-0.41269841269841068</v>
      </c>
      <c r="Q29">
        <f t="shared" ref="Q29" si="121">F29*P29</f>
        <v>-48484.65555555532</v>
      </c>
      <c r="R29">
        <f t="shared" ref="R29" si="122">R30+Q29</f>
        <v>14763685.317388732</v>
      </c>
      <c r="S29">
        <f t="shared" ref="S29" si="123">R29/100000</f>
        <v>147.63685317388732</v>
      </c>
      <c r="T29">
        <f t="shared" ref="T29" si="124">S29/1000</f>
        <v>0.14763685317388731</v>
      </c>
    </row>
    <row r="30" spans="1:20" x14ac:dyDescent="0.25">
      <c r="A30" s="5">
        <v>44563</v>
      </c>
      <c r="B30">
        <v>245.31</v>
      </c>
      <c r="C30">
        <v>245.4</v>
      </c>
      <c r="D30">
        <v>236.6</v>
      </c>
      <c r="E30">
        <v>239.75</v>
      </c>
      <c r="F30">
        <v>107235.04</v>
      </c>
      <c r="G30">
        <v>239.75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-0.28409090909090873</v>
      </c>
      <c r="Q30">
        <f t="shared" ref="Q30" si="126">F30*P30</f>
        <v>-30464.49999999996</v>
      </c>
      <c r="R30">
        <f t="shared" ref="R30" si="127">R31+Q30</f>
        <v>14812169.972944288</v>
      </c>
      <c r="S30">
        <f t="shared" ref="S30" si="128">R30/100000</f>
        <v>148.12169972944287</v>
      </c>
      <c r="T30">
        <f t="shared" ref="T30" si="129">S30/1000</f>
        <v>0.14812169972944286</v>
      </c>
    </row>
    <row r="31" spans="1:20" x14ac:dyDescent="0.25">
      <c r="A31" s="5">
        <v>44562</v>
      </c>
      <c r="B31">
        <v>238.58</v>
      </c>
      <c r="C31">
        <v>245.5</v>
      </c>
      <c r="D31">
        <v>235.49</v>
      </c>
      <c r="E31">
        <v>245.24</v>
      </c>
      <c r="F31">
        <v>90839.03</v>
      </c>
      <c r="G31">
        <v>245.24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0.94805194805194981</v>
      </c>
      <c r="Q31">
        <f t="shared" ref="Q31" si="131">F31*P31</f>
        <v>86120.119350649504</v>
      </c>
      <c r="R31">
        <f t="shared" ref="R31" si="132">R32+Q31</f>
        <v>14842634.472944288</v>
      </c>
      <c r="S31">
        <f t="shared" ref="S31" si="133">R31/100000</f>
        <v>148.42634472944289</v>
      </c>
      <c r="T31">
        <f t="shared" ref="T31" si="134">S31/1000</f>
        <v>0.14842634472944288</v>
      </c>
    </row>
    <row r="32" spans="1:20" x14ac:dyDescent="0.25">
      <c r="A32" s="5">
        <v>44561</v>
      </c>
      <c r="B32">
        <v>239.32</v>
      </c>
      <c r="C32">
        <v>248.73</v>
      </c>
      <c r="D32">
        <v>233</v>
      </c>
      <c r="E32">
        <v>238.61</v>
      </c>
      <c r="F32">
        <v>111589.62</v>
      </c>
      <c r="G32">
        <v>238.61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-0.2867132867132845</v>
      </c>
      <c r="Q32">
        <f t="shared" ref="Q32" si="136">F32*P32</f>
        <v>-31994.226713286465</v>
      </c>
      <c r="R32">
        <f t="shared" ref="R32" si="137">R33+Q32</f>
        <v>14756514.353593638</v>
      </c>
      <c r="S32">
        <f t="shared" ref="S32" si="138">R32/100000</f>
        <v>147.56514353593639</v>
      </c>
      <c r="T32">
        <f t="shared" ref="T32" si="139">S32/1000</f>
        <v>0.14756514353593639</v>
      </c>
    </row>
    <row r="33" spans="1:20" x14ac:dyDescent="0.25">
      <c r="A33" s="5">
        <v>44560</v>
      </c>
      <c r="B33">
        <v>238.31</v>
      </c>
      <c r="C33">
        <v>251.43</v>
      </c>
      <c r="D33">
        <v>233</v>
      </c>
      <c r="E33">
        <v>239.32</v>
      </c>
      <c r="F33">
        <v>173791.71</v>
      </c>
      <c r="G33">
        <v>239.32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-0.31416169289202489</v>
      </c>
      <c r="Q33">
        <f t="shared" ref="Q33" si="141">F33*P33</f>
        <v>-54598.697824199851</v>
      </c>
      <c r="R33">
        <f t="shared" ref="R33" si="142">R34+Q33</f>
        <v>14788508.580306925</v>
      </c>
      <c r="S33">
        <f t="shared" ref="S33" si="143">R33/100000</f>
        <v>147.88508580306925</v>
      </c>
      <c r="T33">
        <f t="shared" ref="T33" si="144">S33/1000</f>
        <v>0.14788508580306925</v>
      </c>
    </row>
    <row r="34" spans="1:20" x14ac:dyDescent="0.25">
      <c r="A34" s="5">
        <v>44559</v>
      </c>
      <c r="B34">
        <v>240.26</v>
      </c>
      <c r="C34">
        <v>246</v>
      </c>
      <c r="D34">
        <v>231.8</v>
      </c>
      <c r="E34">
        <v>238.3</v>
      </c>
      <c r="F34">
        <v>188939.39</v>
      </c>
      <c r="G34">
        <v>238.3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-8.450704225352039E-2</v>
      </c>
      <c r="Q34">
        <f t="shared" ref="Q34" si="146">F34*P34</f>
        <v>-15966.709014084368</v>
      </c>
      <c r="R34">
        <f t="shared" ref="R34" si="147">R35+Q34</f>
        <v>14843107.278131125</v>
      </c>
      <c r="S34">
        <f t="shared" ref="S34" si="148">R34/100000</f>
        <v>148.43107278131126</v>
      </c>
      <c r="T34">
        <f t="shared" ref="T34" si="149">S34/1000</f>
        <v>0.14843107278131126</v>
      </c>
    </row>
    <row r="35" spans="1:20" x14ac:dyDescent="0.25">
      <c r="A35" s="5">
        <v>44558</v>
      </c>
      <c r="B35">
        <v>266.32</v>
      </c>
      <c r="C35">
        <v>269.85000000000002</v>
      </c>
      <c r="D35">
        <v>236.58</v>
      </c>
      <c r="E35">
        <v>240.27</v>
      </c>
      <c r="F35">
        <v>269869.83</v>
      </c>
      <c r="G35">
        <v>240.27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-0.77817853922452684</v>
      </c>
      <c r="Q35">
        <f t="shared" ref="Q35" si="151">F35*P35</f>
        <v>-210006.91009017141</v>
      </c>
      <c r="R35">
        <f t="shared" ref="R35" si="152">R36+Q35</f>
        <v>14859073.98714521</v>
      </c>
      <c r="S35">
        <f t="shared" ref="S35" si="153">R35/100000</f>
        <v>148.59073987145209</v>
      </c>
      <c r="T35">
        <f t="shared" ref="T35" si="154">S35/1000</f>
        <v>0.14859073987145208</v>
      </c>
    </row>
    <row r="36" spans="1:20" x14ac:dyDescent="0.25">
      <c r="A36" s="5">
        <v>44557</v>
      </c>
      <c r="B36">
        <v>258.66000000000003</v>
      </c>
      <c r="C36">
        <v>284</v>
      </c>
      <c r="D36">
        <v>258.26</v>
      </c>
      <c r="E36">
        <v>266.39</v>
      </c>
      <c r="F36">
        <v>273987.09000000003</v>
      </c>
      <c r="G36">
        <v>266.39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-0.36829836829836887</v>
      </c>
      <c r="Q36">
        <f t="shared" ref="Q36" si="156">F36*P36</f>
        <v>-100908.99818181834</v>
      </c>
      <c r="R36">
        <f t="shared" ref="R36" si="157">R37+Q36</f>
        <v>15069080.89723538</v>
      </c>
      <c r="S36">
        <f t="shared" ref="S36" si="158">R36/100000</f>
        <v>150.69080897235381</v>
      </c>
      <c r="T36">
        <f t="shared" ref="T36" si="159">S36/1000</f>
        <v>0.15069080897235382</v>
      </c>
    </row>
    <row r="37" spans="1:20" x14ac:dyDescent="0.25">
      <c r="A37" s="5">
        <v>44556</v>
      </c>
      <c r="B37">
        <v>255.57</v>
      </c>
      <c r="C37">
        <v>262.39</v>
      </c>
      <c r="D37">
        <v>242.84</v>
      </c>
      <c r="E37">
        <v>258.60000000000002</v>
      </c>
      <c r="F37">
        <v>143048.60999999999</v>
      </c>
      <c r="G37">
        <v>258.60000000000002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0.61227621483376293</v>
      </c>
      <c r="Q37">
        <f t="shared" ref="Q37" si="161">F37*P37</f>
        <v>87585.261468031167</v>
      </c>
      <c r="R37">
        <f t="shared" ref="R37" si="162">R38+Q37</f>
        <v>15169989.895417199</v>
      </c>
      <c r="S37">
        <f t="shared" ref="S37" si="163">R37/100000</f>
        <v>151.699898954172</v>
      </c>
      <c r="T37">
        <f t="shared" ref="T37" si="164">S37/1000</f>
        <v>0.15169989895417199</v>
      </c>
    </row>
    <row r="38" spans="1:20" x14ac:dyDescent="0.25">
      <c r="A38" s="5">
        <v>44555</v>
      </c>
      <c r="B38">
        <v>250.66</v>
      </c>
      <c r="C38">
        <v>260.87</v>
      </c>
      <c r="D38">
        <v>248.65</v>
      </c>
      <c r="E38">
        <v>255.6</v>
      </c>
      <c r="F38">
        <v>91557.49</v>
      </c>
      <c r="G38">
        <v>255.6</v>
      </c>
      <c r="L38" t="s">
        <v>7</v>
      </c>
      <c r="M38" t="s">
        <v>7</v>
      </c>
      <c r="N38" t="s">
        <v>7</v>
      </c>
      <c r="P38">
        <f t="shared" ref="P38" si="165">IF(C38=D38,0,((E38-D38)-(C38-E38))/(C38-D38))</f>
        <v>0.13747954173485913</v>
      </c>
      <c r="Q38">
        <f t="shared" ref="Q38" si="166">F38*P38</f>
        <v>12587.281767593948</v>
      </c>
      <c r="R38">
        <f t="shared" ref="R38" si="167">R39+Q38</f>
        <v>15082404.633949168</v>
      </c>
      <c r="S38">
        <f t="shared" ref="S38" si="168">R38/100000</f>
        <v>150.82404633949167</v>
      </c>
      <c r="T38">
        <f t="shared" ref="T38" si="169">S38/1000</f>
        <v>0.15082404633949167</v>
      </c>
    </row>
    <row r="39" spans="1:20" x14ac:dyDescent="0.25">
      <c r="A39" s="5">
        <v>44554</v>
      </c>
      <c r="B39">
        <v>261.23</v>
      </c>
      <c r="C39">
        <v>271.01</v>
      </c>
      <c r="D39">
        <v>247</v>
      </c>
      <c r="E39">
        <v>250.55</v>
      </c>
      <c r="F39">
        <v>215323.26</v>
      </c>
      <c r="G39">
        <v>250.55</v>
      </c>
      <c r="L39" t="s">
        <v>7</v>
      </c>
      <c r="M39" t="s">
        <v>7</v>
      </c>
      <c r="N39" t="s">
        <v>7</v>
      </c>
      <c r="P39">
        <f t="shared" ref="P39" si="170">IF(C39=D39,0,((E39-D39)-(C39-E39))/(C39-D39))</f>
        <v>-0.70428987921699182</v>
      </c>
      <c r="Q39">
        <f t="shared" ref="Q39" si="171">F39*P39</f>
        <v>-151649.99277800892</v>
      </c>
      <c r="R39">
        <f t="shared" ref="R39" si="172">R40+Q39</f>
        <v>15069817.352181574</v>
      </c>
      <c r="S39">
        <f t="shared" ref="S39" si="173">R39/100000</f>
        <v>150.69817352181573</v>
      </c>
      <c r="T39">
        <f t="shared" ref="T39" si="174">S39/1000</f>
        <v>0.15069817352181572</v>
      </c>
    </row>
    <row r="40" spans="1:20" x14ac:dyDescent="0.25">
      <c r="A40" s="5">
        <v>44553</v>
      </c>
      <c r="B40">
        <v>246.97</v>
      </c>
      <c r="C40">
        <v>269</v>
      </c>
      <c r="D40">
        <v>240.42</v>
      </c>
      <c r="E40">
        <v>261.14999999999998</v>
      </c>
      <c r="F40">
        <v>291491.88</v>
      </c>
      <c r="G40">
        <v>261.14999999999998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0.45066480055983071</v>
      </c>
      <c r="Q40">
        <f t="shared" ref="Q40" si="176">F40*P40</f>
        <v>131365.1299650101</v>
      </c>
      <c r="R40">
        <f t="shared" ref="R40" si="177">R41+Q40</f>
        <v>15221467.344959583</v>
      </c>
      <c r="S40">
        <f t="shared" ref="S40" si="178">R40/100000</f>
        <v>152.21467344959584</v>
      </c>
      <c r="T40">
        <f t="shared" ref="T40" si="179">S40/1000</f>
        <v>0.15221467344959583</v>
      </c>
    </row>
    <row r="41" spans="1:20" x14ac:dyDescent="0.25">
      <c r="A41" s="5">
        <v>44552</v>
      </c>
      <c r="B41">
        <v>240.08</v>
      </c>
      <c r="C41">
        <v>254.09</v>
      </c>
      <c r="D41">
        <v>237.11</v>
      </c>
      <c r="E41">
        <v>246.84</v>
      </c>
      <c r="F41">
        <v>211949.57</v>
      </c>
      <c r="G41">
        <v>246.84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0.14605418138986992</v>
      </c>
      <c r="Q41">
        <f t="shared" ref="Q41" si="181">F41*P41</f>
        <v>30956.120942284932</v>
      </c>
      <c r="R41">
        <f t="shared" ref="R41" si="182">R42+Q41</f>
        <v>15090102.214994574</v>
      </c>
      <c r="S41">
        <f t="shared" ref="S41" si="183">R41/100000</f>
        <v>150.90102214994573</v>
      </c>
      <c r="T41">
        <f t="shared" ref="T41" si="184">S41/1000</f>
        <v>0.15090102214994572</v>
      </c>
    </row>
    <row r="42" spans="1:20" x14ac:dyDescent="0.25">
      <c r="A42" s="5">
        <v>44551</v>
      </c>
      <c r="B42">
        <v>236.75</v>
      </c>
      <c r="C42">
        <v>248.5</v>
      </c>
      <c r="D42">
        <v>231.78</v>
      </c>
      <c r="E42">
        <v>240.02</v>
      </c>
      <c r="F42">
        <v>207532.25</v>
      </c>
      <c r="G42">
        <v>240.02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-1.4354066985644778E-2</v>
      </c>
      <c r="Q42">
        <f t="shared" ref="Q42" si="186">F42*P42</f>
        <v>-2978.9318181815784</v>
      </c>
      <c r="R42">
        <f t="shared" ref="R42" si="187">R43+Q42</f>
        <v>15059146.094052289</v>
      </c>
      <c r="S42">
        <f t="shared" ref="S42" si="188">R42/100000</f>
        <v>150.59146094052289</v>
      </c>
      <c r="T42">
        <f t="shared" ref="T42" si="189">S42/1000</f>
        <v>0.15059146094052289</v>
      </c>
    </row>
    <row r="43" spans="1:20" x14ac:dyDescent="0.25">
      <c r="A43" s="5">
        <v>44550</v>
      </c>
      <c r="B43">
        <v>246.62</v>
      </c>
      <c r="C43">
        <v>247.84</v>
      </c>
      <c r="D43">
        <v>225.01</v>
      </c>
      <c r="E43">
        <v>236.77</v>
      </c>
      <c r="F43">
        <v>317348.61</v>
      </c>
      <c r="G43">
        <v>236.77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3.0223390275953822E-2</v>
      </c>
      <c r="Q43">
        <f t="shared" ref="Q43" si="191">F43*P43</f>
        <v>9591.3508935614609</v>
      </c>
      <c r="R43">
        <f t="shared" ref="R43" si="192">R44+Q43</f>
        <v>15062125.02587047</v>
      </c>
      <c r="S43">
        <f t="shared" ref="S43" si="193">R43/100000</f>
        <v>150.62125025870469</v>
      </c>
      <c r="T43">
        <f t="shared" ref="T43" si="194">S43/1000</f>
        <v>0.15062125025870468</v>
      </c>
    </row>
    <row r="44" spans="1:20" x14ac:dyDescent="0.25">
      <c r="A44" s="5">
        <v>44549</v>
      </c>
      <c r="B44">
        <v>254.13</v>
      </c>
      <c r="C44">
        <v>259.39999999999998</v>
      </c>
      <c r="D44">
        <v>241.19</v>
      </c>
      <c r="E44">
        <v>246.62</v>
      </c>
      <c r="F44">
        <v>214657.79</v>
      </c>
      <c r="G44">
        <v>246.62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-0.40362438220757685</v>
      </c>
      <c r="Q44">
        <f t="shared" ref="Q44" si="196">F44*P44</f>
        <v>-86641.117874793767</v>
      </c>
      <c r="R44">
        <f t="shared" ref="R44" si="197">R45+Q44</f>
        <v>15052533.67497691</v>
      </c>
      <c r="S44">
        <f t="shared" ref="S44" si="198">R44/100000</f>
        <v>150.52533674976908</v>
      </c>
      <c r="T44">
        <f t="shared" ref="T44" si="199">S44/1000</f>
        <v>0.15052533674976909</v>
      </c>
    </row>
    <row r="45" spans="1:20" x14ac:dyDescent="0.25">
      <c r="A45" s="5">
        <v>44548</v>
      </c>
      <c r="B45">
        <v>254.79</v>
      </c>
      <c r="C45">
        <v>266.81</v>
      </c>
      <c r="D45">
        <v>245.01</v>
      </c>
      <c r="E45">
        <v>254.2</v>
      </c>
      <c r="F45">
        <v>239093.55</v>
      </c>
      <c r="G45">
        <v>254.2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-0.15688073394495478</v>
      </c>
      <c r="Q45">
        <f t="shared" ref="Q45" si="201">F45*P45</f>
        <v>-37509.171605504744</v>
      </c>
      <c r="R45">
        <f t="shared" ref="R45" si="202">R46+Q45</f>
        <v>15139174.792851703</v>
      </c>
      <c r="S45">
        <f t="shared" ref="S45" si="203">R45/100000</f>
        <v>151.39174792851702</v>
      </c>
      <c r="T45">
        <f t="shared" ref="T45" si="204">S45/1000</f>
        <v>0.15139174792851701</v>
      </c>
    </row>
    <row r="46" spans="1:20" x14ac:dyDescent="0.25">
      <c r="A46" s="5">
        <v>44547</v>
      </c>
      <c r="B46">
        <v>268.13</v>
      </c>
      <c r="C46">
        <v>279.36</v>
      </c>
      <c r="D46">
        <v>251.36</v>
      </c>
      <c r="E46">
        <v>254.9</v>
      </c>
      <c r="F46">
        <v>492881.72</v>
      </c>
      <c r="G46">
        <v>254.9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-0.74714285714285766</v>
      </c>
      <c r="Q46">
        <f t="shared" ref="Q46" si="206">F46*P46</f>
        <v>-368253.05651428597</v>
      </c>
      <c r="R46">
        <f t="shared" ref="R46" si="207">R47+Q46</f>
        <v>15176683.964457208</v>
      </c>
      <c r="S46">
        <f t="shared" ref="S46" si="208">R46/100000</f>
        <v>151.76683964457209</v>
      </c>
      <c r="T46">
        <f t="shared" ref="T46" si="209">S46/1000</f>
        <v>0.15176683964457208</v>
      </c>
    </row>
    <row r="47" spans="1:20" x14ac:dyDescent="0.25">
      <c r="A47" s="5">
        <v>44546</v>
      </c>
      <c r="B47">
        <v>295.8</v>
      </c>
      <c r="C47">
        <v>345.71</v>
      </c>
      <c r="D47">
        <v>265.24</v>
      </c>
      <c r="E47">
        <v>268.18</v>
      </c>
      <c r="F47">
        <v>933888.55</v>
      </c>
      <c r="G47">
        <v>268.18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-0.92692929041878969</v>
      </c>
      <c r="Q47">
        <f t="shared" ref="Q47" si="211">F47*P47</f>
        <v>-865648.65098173241</v>
      </c>
      <c r="R47">
        <f t="shared" ref="R47" si="212">R48+Q47</f>
        <v>15544937.020971494</v>
      </c>
      <c r="S47">
        <f t="shared" ref="S47" si="213">R47/100000</f>
        <v>155.44937020971494</v>
      </c>
      <c r="T47">
        <f t="shared" ref="T47" si="214">S47/1000</f>
        <v>0.15544937020971494</v>
      </c>
    </row>
    <row r="48" spans="1:20" x14ac:dyDescent="0.25">
      <c r="A48" s="5">
        <v>44545</v>
      </c>
      <c r="B48">
        <v>254</v>
      </c>
      <c r="C48">
        <v>299</v>
      </c>
      <c r="D48">
        <v>253.41</v>
      </c>
      <c r="E48">
        <v>295.97000000000003</v>
      </c>
      <c r="F48">
        <v>499938.01</v>
      </c>
      <c r="G48">
        <v>295.97000000000003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0.86707611318271671</v>
      </c>
      <c r="Q48">
        <f t="shared" ref="Q48" si="216">F48*P48</f>
        <v>433484.30654310214</v>
      </c>
      <c r="R48">
        <f t="shared" ref="R48" si="217">R49+Q48</f>
        <v>16410585.671953226</v>
      </c>
      <c r="S48">
        <f t="shared" ref="S48" si="218">R48/100000</f>
        <v>164.10585671953226</v>
      </c>
      <c r="T48">
        <f t="shared" ref="T48" si="219">S48/1000</f>
        <v>0.16410585671953226</v>
      </c>
    </row>
    <row r="49" spans="1:20" x14ac:dyDescent="0.25">
      <c r="A49" s="5">
        <v>44544</v>
      </c>
      <c r="B49">
        <v>234.64</v>
      </c>
      <c r="C49">
        <v>260.39</v>
      </c>
      <c r="D49">
        <v>229.15</v>
      </c>
      <c r="E49">
        <v>254.02</v>
      </c>
      <c r="F49">
        <v>215341.79</v>
      </c>
      <c r="G49">
        <v>254.02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0.59218950064020615</v>
      </c>
      <c r="Q49">
        <f t="shared" ref="Q49" si="221">F49*P49</f>
        <v>127523.14708706814</v>
      </c>
      <c r="R49">
        <f t="shared" ref="R49" si="222">R50+Q49</f>
        <v>15977101.365410123</v>
      </c>
      <c r="S49">
        <f t="shared" ref="S49" si="223">R49/100000</f>
        <v>159.77101365410124</v>
      </c>
      <c r="T49">
        <f t="shared" ref="T49" si="224">S49/1000</f>
        <v>0.15977101365410123</v>
      </c>
    </row>
    <row r="50" spans="1:20" x14ac:dyDescent="0.25">
      <c r="A50" s="5">
        <v>44543</v>
      </c>
      <c r="B50">
        <v>262.77</v>
      </c>
      <c r="C50">
        <v>264.18</v>
      </c>
      <c r="D50">
        <v>225.87</v>
      </c>
      <c r="E50">
        <v>234.65</v>
      </c>
      <c r="F50">
        <v>282720.92</v>
      </c>
      <c r="G50">
        <v>234.65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-0.54163403811015398</v>
      </c>
      <c r="Q50">
        <f t="shared" ref="Q50" si="226">F50*P50</f>
        <v>-153131.2735578178</v>
      </c>
      <c r="R50">
        <f t="shared" ref="R50" si="227">R51+Q50</f>
        <v>15849578.218323056</v>
      </c>
      <c r="S50">
        <f t="shared" ref="S50" si="228">R50/100000</f>
        <v>158.49578218323055</v>
      </c>
      <c r="T50">
        <f t="shared" ref="T50" si="229">S50/1000</f>
        <v>0.15849578218323054</v>
      </c>
    </row>
    <row r="51" spans="1:20" x14ac:dyDescent="0.25">
      <c r="A51" s="5">
        <v>44542</v>
      </c>
      <c r="B51">
        <v>256.22000000000003</v>
      </c>
      <c r="C51">
        <v>269</v>
      </c>
      <c r="D51">
        <v>249.02</v>
      </c>
      <c r="E51">
        <v>262.58</v>
      </c>
      <c r="F51">
        <v>157543.04000000001</v>
      </c>
      <c r="G51">
        <v>262.58</v>
      </c>
      <c r="L51" t="s">
        <v>7</v>
      </c>
      <c r="M51" t="s">
        <v>7</v>
      </c>
      <c r="N51" t="s">
        <v>8</v>
      </c>
      <c r="P51">
        <f t="shared" ref="P51" si="230">IF(C51=D51,0,((E51-D51)-(C51-E51))/(C51-D51))</f>
        <v>0.35735735735735541</v>
      </c>
      <c r="Q51">
        <f t="shared" ref="Q51" si="231">F51*P51</f>
        <v>56299.164444444141</v>
      </c>
      <c r="R51">
        <f t="shared" ref="R51" si="232">R52+Q51</f>
        <v>16002709.491880873</v>
      </c>
      <c r="S51">
        <f t="shared" ref="S51" si="233">R51/100000</f>
        <v>160.02709491880873</v>
      </c>
      <c r="T51">
        <f t="shared" ref="T51" si="234">S51/1000</f>
        <v>0.16002709491880873</v>
      </c>
    </row>
    <row r="52" spans="1:20" x14ac:dyDescent="0.25">
      <c r="A52" s="5">
        <v>44541</v>
      </c>
      <c r="B52">
        <v>256.81</v>
      </c>
      <c r="C52">
        <v>261.02</v>
      </c>
      <c r="D52">
        <v>252.2</v>
      </c>
      <c r="E52">
        <v>259.49</v>
      </c>
      <c r="F52">
        <v>13766.37</v>
      </c>
      <c r="G52">
        <v>259.49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0.65306122448980186</v>
      </c>
      <c r="Q52">
        <f t="shared" ref="Q52" si="236">F52*P52</f>
        <v>8990.2824489796749</v>
      </c>
      <c r="R52">
        <f t="shared" ref="R52" si="237">R53+Q52</f>
        <v>15946410.327436429</v>
      </c>
      <c r="S52">
        <f t="shared" ref="S52" si="238">R52/100000</f>
        <v>159.46410327436428</v>
      </c>
      <c r="T52">
        <f t="shared" ref="T52" si="239">S52/1000</f>
        <v>0.15946410327436428</v>
      </c>
    </row>
    <row r="53" spans="1:20" x14ac:dyDescent="0.25">
      <c r="A53" s="5">
        <v>44540</v>
      </c>
      <c r="B53">
        <v>266.18</v>
      </c>
      <c r="C53">
        <v>281.36</v>
      </c>
      <c r="D53">
        <v>255.73</v>
      </c>
      <c r="E53">
        <v>256.81</v>
      </c>
      <c r="F53">
        <v>256579.34</v>
      </c>
      <c r="G53">
        <v>256.81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-0.91572376121732257</v>
      </c>
      <c r="Q53">
        <f t="shared" ref="Q53" si="241">F53*P53</f>
        <v>-234955.79827545822</v>
      </c>
      <c r="R53">
        <f t="shared" ref="R53" si="242">R54+Q53</f>
        <v>15937420.044987449</v>
      </c>
      <c r="S53">
        <f t="shared" ref="S53" si="243">R53/100000</f>
        <v>159.37420044987451</v>
      </c>
      <c r="T53">
        <f t="shared" ref="T53" si="244">S53/1000</f>
        <v>0.15937420044987452</v>
      </c>
    </row>
    <row r="54" spans="1:20" x14ac:dyDescent="0.25">
      <c r="A54" s="5">
        <v>44539</v>
      </c>
      <c r="B54">
        <v>298.06</v>
      </c>
      <c r="C54">
        <v>314</v>
      </c>
      <c r="D54">
        <v>265.70999999999998</v>
      </c>
      <c r="E54">
        <v>266.22000000000003</v>
      </c>
      <c r="F54">
        <v>340309.24</v>
      </c>
      <c r="G54">
        <v>266.22000000000003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-0.97887761441291998</v>
      </c>
      <c r="Q54">
        <f t="shared" ref="Q54" si="246">F54*P54</f>
        <v>-333121.09701387386</v>
      </c>
      <c r="R54">
        <f t="shared" ref="R54" si="247">R55+Q54</f>
        <v>16172375.843262907</v>
      </c>
      <c r="S54">
        <f t="shared" ref="S54" si="248">R54/100000</f>
        <v>161.72375843262907</v>
      </c>
      <c r="T54">
        <f t="shared" ref="T54" si="249">S54/1000</f>
        <v>0.16172375843262907</v>
      </c>
    </row>
    <row r="55" spans="1:20" x14ac:dyDescent="0.25">
      <c r="A55" s="5">
        <v>44538</v>
      </c>
      <c r="B55">
        <v>286.04000000000002</v>
      </c>
      <c r="C55">
        <v>305</v>
      </c>
      <c r="D55">
        <v>270.89999999999998</v>
      </c>
      <c r="E55">
        <v>298</v>
      </c>
      <c r="F55">
        <v>200217.75</v>
      </c>
      <c r="G55">
        <v>298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0.58944281524926712</v>
      </c>
      <c r="Q55">
        <f t="shared" ref="Q55" si="251">F55*P55</f>
        <v>118016.91422287395</v>
      </c>
      <c r="R55">
        <f t="shared" ref="R55" si="252">R56+Q55</f>
        <v>16505496.940276781</v>
      </c>
      <c r="S55">
        <f t="shared" ref="S55" si="253">R55/100000</f>
        <v>165.05496940276782</v>
      </c>
      <c r="T55">
        <f t="shared" ref="T55" si="254">S55/1000</f>
        <v>0.16505496940276781</v>
      </c>
    </row>
    <row r="56" spans="1:20" x14ac:dyDescent="0.25">
      <c r="A56" s="5">
        <v>44537</v>
      </c>
      <c r="B56">
        <v>288.05</v>
      </c>
      <c r="C56">
        <v>315</v>
      </c>
      <c r="D56">
        <v>281.95</v>
      </c>
      <c r="E56">
        <v>286.14999999999998</v>
      </c>
      <c r="F56">
        <v>250746.76</v>
      </c>
      <c r="G56">
        <v>286.14999999999998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-0.74583963691376776</v>
      </c>
      <c r="Q56">
        <f t="shared" ref="Q56" si="256">F56*P56</f>
        <v>-187016.87243570367</v>
      </c>
      <c r="R56">
        <f t="shared" ref="R56" si="257">R57+Q56</f>
        <v>16387480.026053907</v>
      </c>
      <c r="S56">
        <f t="shared" ref="S56" si="258">R56/100000</f>
        <v>163.87480026053908</v>
      </c>
      <c r="T56">
        <f t="shared" ref="T56" si="259">S56/1000</f>
        <v>0.16387480026053908</v>
      </c>
    </row>
    <row r="57" spans="1:20" x14ac:dyDescent="0.25">
      <c r="A57" s="5">
        <v>44536</v>
      </c>
      <c r="B57">
        <v>288.20999999999998</v>
      </c>
      <c r="C57">
        <v>294</v>
      </c>
      <c r="D57">
        <v>261.19</v>
      </c>
      <c r="E57">
        <v>288.06</v>
      </c>
      <c r="F57">
        <v>376747.35</v>
      </c>
      <c r="G57">
        <v>288.06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0.63791526973483714</v>
      </c>
      <c r="Q57">
        <f t="shared" ref="Q57" si="261">F57*P57</f>
        <v>240332.88739713508</v>
      </c>
      <c r="R57">
        <f t="shared" ref="R57" si="262">R58+Q57</f>
        <v>16574496.898489611</v>
      </c>
      <c r="S57">
        <f t="shared" ref="S57" si="263">R57/100000</f>
        <v>165.7449689848961</v>
      </c>
      <c r="T57">
        <f t="shared" ref="T57" si="264">S57/1000</f>
        <v>0.1657449689848961</v>
      </c>
    </row>
    <row r="58" spans="1:20" x14ac:dyDescent="0.25">
      <c r="A58" s="5">
        <v>44535</v>
      </c>
      <c r="B58">
        <v>309.3</v>
      </c>
      <c r="C58">
        <v>330</v>
      </c>
      <c r="D58">
        <v>277.52999999999997</v>
      </c>
      <c r="E58">
        <v>288.08</v>
      </c>
      <c r="F58">
        <v>319446.5</v>
      </c>
      <c r="G58">
        <v>288.08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-0.59786544692205046</v>
      </c>
      <c r="Q58">
        <f t="shared" ref="Q58" si="266">F58*P58</f>
        <v>-190986.02449018479</v>
      </c>
      <c r="R58">
        <f t="shared" ref="R58" si="267">R59+Q58</f>
        <v>16334164.011092477</v>
      </c>
      <c r="S58">
        <f t="shared" ref="S58" si="268">R58/100000</f>
        <v>163.34164011092477</v>
      </c>
      <c r="T58">
        <f t="shared" ref="T58" si="269">S58/1000</f>
        <v>0.16334164011092478</v>
      </c>
    </row>
    <row r="59" spans="1:20" x14ac:dyDescent="0.25">
      <c r="A59" s="5">
        <v>44534</v>
      </c>
      <c r="B59">
        <v>345.32</v>
      </c>
      <c r="C59">
        <v>348.68</v>
      </c>
      <c r="D59">
        <v>224.62</v>
      </c>
      <c r="E59">
        <v>309.61</v>
      </c>
      <c r="F59">
        <v>789637.18</v>
      </c>
      <c r="G59">
        <v>309.61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0.37014347896179278</v>
      </c>
      <c r="Q59">
        <f t="shared" ref="Q59" si="271">F59*P59</f>
        <v>292279.0529227794</v>
      </c>
      <c r="R59">
        <f t="shared" ref="R59" si="272">R60+Q59</f>
        <v>16525150.035582662</v>
      </c>
      <c r="S59">
        <f t="shared" ref="S59" si="273">R59/100000</f>
        <v>165.25150035582661</v>
      </c>
      <c r="T59">
        <f t="shared" ref="T59" si="274">S59/1000</f>
        <v>0.16525150035582661</v>
      </c>
    </row>
    <row r="60" spans="1:20" x14ac:dyDescent="0.25">
      <c r="A60" s="5">
        <v>44533</v>
      </c>
      <c r="B60">
        <v>357.21</v>
      </c>
      <c r="C60">
        <v>357.78</v>
      </c>
      <c r="D60">
        <v>320.87</v>
      </c>
      <c r="E60">
        <v>345.61</v>
      </c>
      <c r="F60">
        <v>371035.99</v>
      </c>
      <c r="G60">
        <v>345.61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0.34055811433216093</v>
      </c>
      <c r="Q60">
        <f t="shared" ref="Q60" si="276">F60*P60</f>
        <v>126359.31710376652</v>
      </c>
      <c r="R60">
        <f t="shared" ref="R60" si="277">R61+Q60</f>
        <v>16232870.982659882</v>
      </c>
      <c r="S60">
        <f t="shared" ref="S60" si="278">R60/100000</f>
        <v>162.32870982659881</v>
      </c>
      <c r="T60">
        <f t="shared" ref="T60" si="279">S60/1000</f>
        <v>0.1623287098265988</v>
      </c>
    </row>
    <row r="61" spans="1:20" x14ac:dyDescent="0.25">
      <c r="A61" s="5">
        <v>44532</v>
      </c>
      <c r="B61">
        <v>408.57</v>
      </c>
      <c r="C61">
        <v>420.49</v>
      </c>
      <c r="D61">
        <v>352</v>
      </c>
      <c r="E61">
        <v>357.27</v>
      </c>
      <c r="F61">
        <v>674331.94</v>
      </c>
      <c r="G61">
        <v>357.27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-0.84610892101036705</v>
      </c>
      <c r="Q61">
        <f t="shared" ref="Q61" si="281">F61*P61</f>
        <v>-570558.27015622752</v>
      </c>
      <c r="R61">
        <f t="shared" ref="R61" si="282">R62+Q61</f>
        <v>16106511.665556116</v>
      </c>
      <c r="S61">
        <f t="shared" ref="S61" si="283">R61/100000</f>
        <v>161.06511665556116</v>
      </c>
      <c r="T61">
        <f t="shared" ref="T61" si="284">S61/1000</f>
        <v>0.16106511665556117</v>
      </c>
    </row>
    <row r="62" spans="1:20" x14ac:dyDescent="0.25">
      <c r="A62" s="5">
        <v>44531</v>
      </c>
      <c r="B62">
        <v>376.95</v>
      </c>
      <c r="C62">
        <v>428.17</v>
      </c>
      <c r="D62">
        <v>370.05</v>
      </c>
      <c r="E62">
        <v>408.9</v>
      </c>
      <c r="F62">
        <v>430277.54</v>
      </c>
      <c r="G62">
        <v>408.9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0.33688919476944124</v>
      </c>
      <c r="Q62">
        <f t="shared" ref="Q62" si="286">F62*P62</f>
        <v>144955.85397797605</v>
      </c>
      <c r="R62">
        <f t="shared" ref="R62" si="287">R63+Q62</f>
        <v>16677069.935712343</v>
      </c>
      <c r="S62">
        <f t="shared" ref="S62" si="288">R62/100000</f>
        <v>166.77069935712342</v>
      </c>
      <c r="T62">
        <f t="shared" ref="T62" si="289">S62/1000</f>
        <v>0.16677069935712341</v>
      </c>
    </row>
    <row r="63" spans="1:20" x14ac:dyDescent="0.25">
      <c r="A63" s="5">
        <v>44530</v>
      </c>
      <c r="B63">
        <v>396.33</v>
      </c>
      <c r="C63">
        <v>403.02</v>
      </c>
      <c r="D63">
        <v>376.09</v>
      </c>
      <c r="E63">
        <v>376.95</v>
      </c>
      <c r="F63">
        <v>250264.9</v>
      </c>
      <c r="G63">
        <v>376.95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-0.93613070924619279</v>
      </c>
      <c r="Q63">
        <f t="shared" ref="Q63" si="291">F63*P63</f>
        <v>-234280.6583364275</v>
      </c>
      <c r="R63">
        <f t="shared" ref="R63" si="292">R64+Q63</f>
        <v>16532114.081734367</v>
      </c>
      <c r="S63">
        <f t="shared" ref="S63" si="293">R63/100000</f>
        <v>165.32114081734366</v>
      </c>
      <c r="T63">
        <f t="shared" ref="T63" si="294">S63/1000</f>
        <v>0.16532114081734367</v>
      </c>
    </row>
    <row r="64" spans="1:20" x14ac:dyDescent="0.25">
      <c r="A64" s="5">
        <v>44529</v>
      </c>
      <c r="B64">
        <v>413.26</v>
      </c>
      <c r="C64">
        <v>416.66</v>
      </c>
      <c r="D64">
        <v>394</v>
      </c>
      <c r="E64">
        <v>396.33</v>
      </c>
      <c r="F64">
        <v>224691.98</v>
      </c>
      <c r="G64">
        <v>396.33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-0.79435127978817466</v>
      </c>
      <c r="Q64">
        <f t="shared" ref="Q64" si="296">F64*P64</f>
        <v>-178484.36187113894</v>
      </c>
      <c r="R64">
        <f t="shared" ref="R64" si="297">R65+Q64</f>
        <v>16766394.740070794</v>
      </c>
      <c r="S64">
        <f t="shared" ref="S64" si="298">R64/100000</f>
        <v>167.66394740070794</v>
      </c>
      <c r="T64">
        <f t="shared" ref="T64" si="299">S64/1000</f>
        <v>0.16766394740070795</v>
      </c>
    </row>
    <row r="65" spans="1:20" x14ac:dyDescent="0.25">
      <c r="A65" s="5">
        <v>44528</v>
      </c>
      <c r="B65">
        <v>430.3</v>
      </c>
      <c r="C65">
        <v>448.71</v>
      </c>
      <c r="D65">
        <v>388.02</v>
      </c>
      <c r="E65">
        <v>412.99</v>
      </c>
      <c r="F65">
        <v>306274.01</v>
      </c>
      <c r="G65">
        <v>412.99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-0.17712967539957067</v>
      </c>
      <c r="Q65">
        <f t="shared" ref="Q65" si="301">F65*P65</f>
        <v>-54250.215974624865</v>
      </c>
      <c r="R65">
        <f t="shared" ref="R65" si="302">R66+Q65</f>
        <v>16944879.101941932</v>
      </c>
      <c r="S65">
        <f t="shared" ref="S65" si="303">R65/100000</f>
        <v>169.44879101941933</v>
      </c>
      <c r="T65">
        <f t="shared" ref="T65" si="304">S65/1000</f>
        <v>0.16944879101941934</v>
      </c>
    </row>
    <row r="66" spans="1:20" x14ac:dyDescent="0.25">
      <c r="A66" s="5">
        <v>44527</v>
      </c>
      <c r="B66">
        <v>398.11</v>
      </c>
      <c r="C66">
        <v>443.73</v>
      </c>
      <c r="D66">
        <v>395.3</v>
      </c>
      <c r="E66">
        <v>430.73</v>
      </c>
      <c r="F66">
        <v>272492.5</v>
      </c>
      <c r="G66">
        <v>430.73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0.46314268015692761</v>
      </c>
      <c r="Q66">
        <f t="shared" ref="Q66" si="306">F66*P66</f>
        <v>126202.90677266159</v>
      </c>
      <c r="R66">
        <f t="shared" ref="R66" si="307">R67+Q66</f>
        <v>16999129.317916557</v>
      </c>
      <c r="S66">
        <f t="shared" ref="S66" si="308">R66/100000</f>
        <v>169.99129317916558</v>
      </c>
      <c r="T66">
        <f t="shared" ref="T66" si="309">S66/1000</f>
        <v>0.16999129317916559</v>
      </c>
    </row>
    <row r="67" spans="1:20" x14ac:dyDescent="0.25">
      <c r="A67" s="5">
        <v>44526</v>
      </c>
      <c r="B67">
        <v>439.54</v>
      </c>
      <c r="C67">
        <v>442.76</v>
      </c>
      <c r="D67">
        <v>388.56</v>
      </c>
      <c r="E67">
        <v>398.54</v>
      </c>
      <c r="F67">
        <v>396704.74</v>
      </c>
      <c r="G67">
        <v>398.54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-0.63173431734317265</v>
      </c>
      <c r="Q67">
        <f t="shared" ref="Q67" si="311">F67*P67</f>
        <v>-250611.99811070078</v>
      </c>
      <c r="R67">
        <f t="shared" ref="R67" si="312">R68+Q67</f>
        <v>16872926.411143895</v>
      </c>
      <c r="S67">
        <f t="shared" ref="S67" si="313">R67/100000</f>
        <v>168.72926411143897</v>
      </c>
      <c r="T67">
        <f t="shared" ref="T67" si="314">S67/1000</f>
        <v>0.16872926411143896</v>
      </c>
    </row>
    <row r="68" spans="1:20" x14ac:dyDescent="0.25">
      <c r="A68" s="5">
        <v>44525</v>
      </c>
      <c r="B68">
        <v>456.43</v>
      </c>
      <c r="C68">
        <v>466.94</v>
      </c>
      <c r="D68">
        <v>424</v>
      </c>
      <c r="E68">
        <v>439.54</v>
      </c>
      <c r="F68">
        <v>417419.85</v>
      </c>
      <c r="G68">
        <v>439.54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-0.27619934792733947</v>
      </c>
      <c r="Q68">
        <f t="shared" ref="Q68" si="316">F68*P68</f>
        <v>-115291.09038192785</v>
      </c>
      <c r="R68">
        <f t="shared" ref="R68" si="317">R69+Q68</f>
        <v>17123538.409254596</v>
      </c>
      <c r="S68">
        <f t="shared" ref="S68" si="318">R68/100000</f>
        <v>171.23538409254596</v>
      </c>
      <c r="T68">
        <f t="shared" ref="T68" si="319">S68/1000</f>
        <v>0.17123538409254596</v>
      </c>
    </row>
    <row r="69" spans="1:20" x14ac:dyDescent="0.25">
      <c r="A69" s="5">
        <v>44524</v>
      </c>
      <c r="B69">
        <v>469.37</v>
      </c>
      <c r="C69">
        <v>475.76</v>
      </c>
      <c r="D69">
        <v>452</v>
      </c>
      <c r="E69">
        <v>464.66</v>
      </c>
      <c r="F69">
        <v>225941.19</v>
      </c>
      <c r="G69">
        <v>464.66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6.5656565656568175E-2</v>
      </c>
      <c r="Q69">
        <f t="shared" ref="Q69" si="321">F69*P69</f>
        <v>14834.522575758145</v>
      </c>
      <c r="R69">
        <f t="shared" ref="R69" si="322">R70+Q69</f>
        <v>17238829.499636523</v>
      </c>
      <c r="S69">
        <f t="shared" ref="S69" si="323">R69/100000</f>
        <v>172.38829499636523</v>
      </c>
      <c r="T69">
        <f t="shared" ref="T69" si="324">S69/1000</f>
        <v>0.17238829499636524</v>
      </c>
    </row>
    <row r="70" spans="1:20" x14ac:dyDescent="0.25">
      <c r="A70" s="5">
        <v>44523</v>
      </c>
      <c r="B70">
        <v>490.82</v>
      </c>
      <c r="C70">
        <v>544.25</v>
      </c>
      <c r="D70">
        <v>467.91</v>
      </c>
      <c r="E70">
        <v>469.27</v>
      </c>
      <c r="F70">
        <v>1090957.2642000001</v>
      </c>
      <c r="G70">
        <v>469.27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-0.96436992402410382</v>
      </c>
      <c r="Q70">
        <f t="shared" ref="Q70" si="326">F70*P70</f>
        <v>-1052086.3739900982</v>
      </c>
      <c r="R70">
        <f t="shared" ref="R70" si="327">R71+Q70</f>
        <v>17223994.977060765</v>
      </c>
      <c r="S70">
        <f t="shared" ref="S70" si="328">R70/100000</f>
        <v>172.23994977060764</v>
      </c>
      <c r="T70">
        <f t="shared" ref="T70" si="329">S70/1000</f>
        <v>0.17223994977060764</v>
      </c>
    </row>
    <row r="71" spans="1:20" x14ac:dyDescent="0.25">
      <c r="A71" s="5">
        <v>44522</v>
      </c>
      <c r="B71">
        <v>426.47</v>
      </c>
      <c r="C71">
        <v>494.5</v>
      </c>
      <c r="D71">
        <v>410.04</v>
      </c>
      <c r="E71">
        <v>490.99</v>
      </c>
      <c r="F71">
        <v>1048184.5453</v>
      </c>
      <c r="G71">
        <v>490.99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0.91688373194411577</v>
      </c>
      <c r="Q71">
        <f t="shared" ref="Q71" si="331">F71*P71</f>
        <v>961063.35766081011</v>
      </c>
      <c r="R71">
        <f t="shared" ref="R71" si="332">R72+Q71</f>
        <v>18276081.351050865</v>
      </c>
      <c r="S71">
        <f t="shared" ref="S71" si="333">R71/100000</f>
        <v>182.76081351050865</v>
      </c>
      <c r="T71">
        <f t="shared" ref="T71" si="334">S71/1000</f>
        <v>0.18276081351050866</v>
      </c>
    </row>
    <row r="72" spans="1:20" x14ac:dyDescent="0.25">
      <c r="A72" s="5">
        <v>44521</v>
      </c>
      <c r="B72">
        <v>392.27</v>
      </c>
      <c r="C72">
        <v>444.77</v>
      </c>
      <c r="D72">
        <v>380.3</v>
      </c>
      <c r="E72">
        <v>426.14</v>
      </c>
      <c r="F72">
        <v>782320.60109999997</v>
      </c>
      <c r="G72">
        <v>426.14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0.42205677059097241</v>
      </c>
      <c r="Q72">
        <f t="shared" ref="Q72" si="336">F72*P72</f>
        <v>330183.70646705432</v>
      </c>
      <c r="R72">
        <f t="shared" ref="R72" si="337">R73+Q72</f>
        <v>17315017.993390054</v>
      </c>
      <c r="S72">
        <f t="shared" ref="S72" si="338">R72/100000</f>
        <v>173.15017993390055</v>
      </c>
      <c r="T72">
        <f t="shared" ref="T72" si="339">S72/1000</f>
        <v>0.17315017993390056</v>
      </c>
    </row>
    <row r="73" spans="1:20" x14ac:dyDescent="0.25">
      <c r="A73" s="5">
        <v>44520</v>
      </c>
      <c r="B73">
        <v>347.29</v>
      </c>
      <c r="C73">
        <v>393</v>
      </c>
      <c r="D73">
        <v>332.82</v>
      </c>
      <c r="E73">
        <v>392.35</v>
      </c>
      <c r="F73">
        <v>558255.40899999999</v>
      </c>
      <c r="G73">
        <v>392.35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0.97839813891658434</v>
      </c>
      <c r="Q73">
        <f t="shared" ref="Q73" si="341">F73*P73</f>
        <v>546196.05320571654</v>
      </c>
      <c r="R73">
        <f t="shared" ref="R73" si="342">R74+Q73</f>
        <v>16984834.286922999</v>
      </c>
      <c r="S73">
        <f t="shared" ref="S73" si="343">R73/100000</f>
        <v>169.84834286922998</v>
      </c>
      <c r="T73">
        <f t="shared" ref="T73" si="344">S73/1000</f>
        <v>0.16984834286922998</v>
      </c>
    </row>
    <row r="74" spans="1:20" x14ac:dyDescent="0.25">
      <c r="A74" s="5">
        <v>44519</v>
      </c>
      <c r="B74">
        <v>308.39999999999998</v>
      </c>
      <c r="C74">
        <v>370</v>
      </c>
      <c r="D74">
        <v>302</v>
      </c>
      <c r="E74">
        <v>347.42</v>
      </c>
      <c r="F74">
        <v>486345.59889999998</v>
      </c>
      <c r="G74">
        <v>347.42</v>
      </c>
      <c r="L74" t="s">
        <v>8</v>
      </c>
      <c r="M74" t="s">
        <v>8</v>
      </c>
      <c r="N74" t="s">
        <v>8</v>
      </c>
      <c r="P74">
        <f t="shared" ref="P74" si="345">IF(C74=D74,0,((E74-D74)-(C74-E74))/(C74-D74))</f>
        <v>0.33588235294117696</v>
      </c>
      <c r="Q74">
        <f t="shared" ref="Q74" si="346">F74*P74</f>
        <v>163354.90410111789</v>
      </c>
      <c r="R74">
        <f t="shared" ref="R74" si="347">R75+Q74</f>
        <v>16438638.233717281</v>
      </c>
      <c r="S74">
        <f t="shared" ref="S74" si="348">R74/100000</f>
        <v>164.38638233717282</v>
      </c>
      <c r="T74">
        <f t="shared" ref="T74" si="349">S74/1000</f>
        <v>0.16438638233717282</v>
      </c>
    </row>
    <row r="75" spans="1:20" x14ac:dyDescent="0.25">
      <c r="A75" s="5">
        <v>44518</v>
      </c>
      <c r="B75">
        <v>309.86</v>
      </c>
      <c r="C75">
        <v>325.99</v>
      </c>
      <c r="D75">
        <v>292.77</v>
      </c>
      <c r="E75">
        <v>308.39999999999998</v>
      </c>
      <c r="F75">
        <v>287806.71999999997</v>
      </c>
      <c r="G75">
        <v>308.39999999999998</v>
      </c>
      <c r="L75" t="s">
        <v>8</v>
      </c>
      <c r="M75" t="s">
        <v>7</v>
      </c>
      <c r="N75" t="s">
        <v>8</v>
      </c>
      <c r="P75">
        <f t="shared" ref="P75" si="350">IF(C75=D75,0,((E75-D75)-(C75-E75))/(C75-D75))</f>
        <v>-5.9000602046960712E-2</v>
      </c>
      <c r="Q75">
        <f t="shared" ref="Q75" si="351">F75*P75</f>
        <v>-16980.769753161047</v>
      </c>
      <c r="R75">
        <f t="shared" ref="R75" si="352">R76+Q75</f>
        <v>16275283.329616163</v>
      </c>
      <c r="S75">
        <f t="shared" ref="S75" si="353">R75/100000</f>
        <v>162.75283329616164</v>
      </c>
      <c r="T75">
        <f t="shared" ref="T75" si="354">S75/1000</f>
        <v>0.16275283329616164</v>
      </c>
    </row>
    <row r="76" spans="1:20" x14ac:dyDescent="0.25">
      <c r="A76" s="5">
        <v>44517</v>
      </c>
      <c r="B76">
        <v>303.14999999999998</v>
      </c>
      <c r="C76">
        <v>310.88</v>
      </c>
      <c r="D76">
        <v>287</v>
      </c>
      <c r="E76">
        <v>309.67</v>
      </c>
      <c r="F76">
        <v>160828.82999999999</v>
      </c>
      <c r="G76">
        <v>309.67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0.89865996649916413</v>
      </c>
      <c r="Q76">
        <f t="shared" ref="Q76" si="356">F76*P76</f>
        <v>144530.43097989974</v>
      </c>
      <c r="R76">
        <f t="shared" ref="R76" si="357">R77+Q76</f>
        <v>16292264.099369325</v>
      </c>
      <c r="S76">
        <f t="shared" ref="S76" si="358">R76/100000</f>
        <v>162.92264099369325</v>
      </c>
      <c r="T76">
        <f t="shared" ref="T76" si="359">S76/1000</f>
        <v>0.16292264099369325</v>
      </c>
    </row>
    <row r="77" spans="1:20" x14ac:dyDescent="0.25">
      <c r="A77" s="5">
        <v>44516</v>
      </c>
      <c r="B77">
        <v>314.86</v>
      </c>
      <c r="C77">
        <v>315.77</v>
      </c>
      <c r="D77">
        <v>284.39999999999998</v>
      </c>
      <c r="E77">
        <v>303.14999999999998</v>
      </c>
      <c r="F77">
        <v>256618.34</v>
      </c>
      <c r="G77">
        <v>303.14999999999998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0.19540962703219619</v>
      </c>
      <c r="Q77">
        <f t="shared" ref="Q77" si="361">F77*P77</f>
        <v>50145.694109021315</v>
      </c>
      <c r="R77">
        <f t="shared" ref="R77" si="362">R78+Q77</f>
        <v>16147733.668389425</v>
      </c>
      <c r="S77">
        <f t="shared" ref="S77" si="363">R77/100000</f>
        <v>161.47733668389424</v>
      </c>
      <c r="T77">
        <f t="shared" ref="T77" si="364">S77/1000</f>
        <v>0.16147733668389425</v>
      </c>
    </row>
    <row r="78" spans="1:20" x14ac:dyDescent="0.25">
      <c r="A78" s="5">
        <v>44515</v>
      </c>
      <c r="B78">
        <v>319.81</v>
      </c>
      <c r="C78">
        <v>326</v>
      </c>
      <c r="D78">
        <v>311.25</v>
      </c>
      <c r="E78">
        <v>314.8</v>
      </c>
      <c r="F78">
        <v>111680.56</v>
      </c>
      <c r="G78">
        <v>314.8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-0.51864406779660865</v>
      </c>
      <c r="Q78">
        <f t="shared" ref="Q78" si="366">F78*P78</f>
        <v>-57922.459932203223</v>
      </c>
      <c r="R78">
        <f t="shared" ref="R78" si="367">R79+Q78</f>
        <v>16097587.974280404</v>
      </c>
      <c r="S78">
        <f t="shared" ref="S78" si="368">R78/100000</f>
        <v>160.97587974280404</v>
      </c>
      <c r="T78">
        <f t="shared" ref="T78" si="369">S78/1000</f>
        <v>0.16097587974280403</v>
      </c>
    </row>
    <row r="79" spans="1:20" x14ac:dyDescent="0.25">
      <c r="A79" s="5">
        <v>44514</v>
      </c>
      <c r="B79">
        <v>321.91000000000003</v>
      </c>
      <c r="C79">
        <v>325.44</v>
      </c>
      <c r="D79">
        <v>312</v>
      </c>
      <c r="E79">
        <v>319.89</v>
      </c>
      <c r="F79">
        <v>81479.38</v>
      </c>
      <c r="G79">
        <v>319.89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0.17410714285714102</v>
      </c>
      <c r="Q79">
        <f t="shared" ref="Q79" si="371">F79*P79</f>
        <v>14186.142053571279</v>
      </c>
      <c r="R79">
        <f t="shared" ref="R79" si="372">R80+Q79</f>
        <v>16155510.434212606</v>
      </c>
      <c r="S79">
        <f t="shared" ref="S79" si="373">R79/100000</f>
        <v>161.55510434212607</v>
      </c>
      <c r="T79">
        <f t="shared" ref="T79" si="374">S79/1000</f>
        <v>0.16155510434212608</v>
      </c>
    </row>
    <row r="80" spans="1:20" x14ac:dyDescent="0.25">
      <c r="A80" s="5">
        <v>44513</v>
      </c>
      <c r="B80">
        <v>325.73</v>
      </c>
      <c r="C80">
        <v>330.76</v>
      </c>
      <c r="D80">
        <v>319.08999999999997</v>
      </c>
      <c r="E80">
        <v>322.02999999999997</v>
      </c>
      <c r="F80">
        <v>104781.21</v>
      </c>
      <c r="G80">
        <v>322.02999999999997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-0.49614395886889567</v>
      </c>
      <c r="Q80">
        <f t="shared" ref="Q80" si="376">F80*P80</f>
        <v>-51986.564344473125</v>
      </c>
      <c r="R80">
        <f t="shared" ref="R80" si="377">R81+Q80</f>
        <v>16141324.292159036</v>
      </c>
      <c r="S80">
        <f t="shared" ref="S80" si="378">R80/100000</f>
        <v>161.41324292159035</v>
      </c>
      <c r="T80">
        <f t="shared" ref="T80" si="379">S80/1000</f>
        <v>0.16141324292159034</v>
      </c>
    </row>
    <row r="81" spans="1:20" x14ac:dyDescent="0.25">
      <c r="A81" s="5">
        <v>44512</v>
      </c>
      <c r="B81">
        <v>317.36</v>
      </c>
      <c r="C81">
        <v>326.06</v>
      </c>
      <c r="D81">
        <v>304.19</v>
      </c>
      <c r="E81">
        <v>325.64</v>
      </c>
      <c r="F81">
        <v>142583.1</v>
      </c>
      <c r="G81">
        <v>325.64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0.96159122085047866</v>
      </c>
      <c r="Q81">
        <f t="shared" ref="Q81" si="381">F81*P81</f>
        <v>137106.6572016459</v>
      </c>
      <c r="R81">
        <f t="shared" ref="R81" si="382">R82+Q81</f>
        <v>16193310.856503509</v>
      </c>
      <c r="S81">
        <f t="shared" ref="S81" si="383">R81/100000</f>
        <v>161.9331085650351</v>
      </c>
      <c r="T81">
        <f t="shared" ref="T81" si="384">S81/1000</f>
        <v>0.16193310856503509</v>
      </c>
    </row>
    <row r="82" spans="1:20" x14ac:dyDescent="0.25">
      <c r="A82" s="5">
        <v>44511</v>
      </c>
      <c r="B82">
        <v>312.87</v>
      </c>
      <c r="C82">
        <v>334.47</v>
      </c>
      <c r="D82">
        <v>299.89999999999998</v>
      </c>
      <c r="E82">
        <v>317.36</v>
      </c>
      <c r="F82">
        <v>181146.42</v>
      </c>
      <c r="G82">
        <v>317.36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1.0124385305178544E-2</v>
      </c>
      <c r="Q82">
        <f t="shared" ref="Q82" si="386">F82*P82</f>
        <v>1833.9961527337007</v>
      </c>
      <c r="R82">
        <f t="shared" ref="R82" si="387">R83+Q82</f>
        <v>16056204.199301863</v>
      </c>
      <c r="S82">
        <f t="shared" ref="S82" si="388">R82/100000</f>
        <v>160.56204199301862</v>
      </c>
      <c r="T82">
        <f t="shared" ref="T82" si="389">S82/1000</f>
        <v>0.16056204199301863</v>
      </c>
    </row>
    <row r="83" spans="1:20" x14ac:dyDescent="0.25">
      <c r="A83" s="5">
        <v>44510</v>
      </c>
      <c r="B83">
        <v>316.91000000000003</v>
      </c>
      <c r="C83">
        <v>338.7</v>
      </c>
      <c r="D83">
        <v>287.83999999999997</v>
      </c>
      <c r="E83">
        <v>313</v>
      </c>
      <c r="F83">
        <v>337425.86729999998</v>
      </c>
      <c r="G83">
        <v>313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-1.0617381046007932E-2</v>
      </c>
      <c r="Q83">
        <f t="shared" ref="Q83" si="391">F83*P83</f>
        <v>-3582.5790079038075</v>
      </c>
      <c r="R83">
        <f t="shared" ref="R83" si="392">R84+Q83</f>
        <v>16054370.203149129</v>
      </c>
      <c r="S83">
        <f t="shared" ref="S83" si="393">R83/100000</f>
        <v>160.54370203149128</v>
      </c>
      <c r="T83">
        <f t="shared" ref="T83" si="394">S83/1000</f>
        <v>0.16054370203149129</v>
      </c>
    </row>
    <row r="84" spans="1:20" x14ac:dyDescent="0.25">
      <c r="A84" s="5">
        <v>44509</v>
      </c>
      <c r="B84">
        <v>309.11</v>
      </c>
      <c r="C84">
        <v>322.5</v>
      </c>
      <c r="D84">
        <v>308.42</v>
      </c>
      <c r="E84">
        <v>316.83</v>
      </c>
      <c r="F84">
        <v>124539.43</v>
      </c>
      <c r="G84">
        <v>316.83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0.19460227272726954</v>
      </c>
      <c r="Q84">
        <f t="shared" ref="Q84" si="396">F84*P84</f>
        <v>24235.656122158693</v>
      </c>
      <c r="R84">
        <f t="shared" ref="R84" si="397">R85+Q84</f>
        <v>16057952.782157032</v>
      </c>
      <c r="S84">
        <f t="shared" ref="S84" si="398">R84/100000</f>
        <v>160.57952782157031</v>
      </c>
      <c r="T84">
        <f t="shared" ref="T84" si="399">S84/1000</f>
        <v>0.16057952782157031</v>
      </c>
    </row>
    <row r="85" spans="1:20" x14ac:dyDescent="0.25">
      <c r="A85" s="5">
        <v>44508</v>
      </c>
      <c r="B85">
        <v>315.89</v>
      </c>
      <c r="C85">
        <v>317</v>
      </c>
      <c r="D85">
        <v>307.31</v>
      </c>
      <c r="E85">
        <v>309.14999999999998</v>
      </c>
      <c r="F85">
        <v>117792.73</v>
      </c>
      <c r="G85">
        <v>309.14999999999998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-0.62022703818369962</v>
      </c>
      <c r="Q85">
        <f t="shared" ref="Q85" si="401">F85*P85</f>
        <v>-73058.236047472223</v>
      </c>
      <c r="R85">
        <f t="shared" ref="R85" si="402">R86+Q85</f>
        <v>16033717.126034873</v>
      </c>
      <c r="S85">
        <f t="shared" ref="S85" si="403">R85/100000</f>
        <v>160.33717126034873</v>
      </c>
      <c r="T85">
        <f t="shared" ref="T85" si="404">S85/1000</f>
        <v>0.16033717126034872</v>
      </c>
    </row>
    <row r="86" spans="1:20" x14ac:dyDescent="0.25">
      <c r="A86" s="5">
        <v>44507</v>
      </c>
      <c r="B86">
        <v>316.24</v>
      </c>
      <c r="C86">
        <v>328.7</v>
      </c>
      <c r="D86">
        <v>313.36</v>
      </c>
      <c r="E86">
        <v>315.86</v>
      </c>
      <c r="F86">
        <v>127488.69</v>
      </c>
      <c r="G86">
        <v>315.86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-0.67405475880052101</v>
      </c>
      <c r="Q86">
        <f t="shared" ref="Q86" si="406">F86*P86</f>
        <v>-85934.358187744394</v>
      </c>
      <c r="R86">
        <f t="shared" ref="R86" si="407">R87+Q86</f>
        <v>16106775.362082345</v>
      </c>
      <c r="S86">
        <f t="shared" ref="S86" si="408">R86/100000</f>
        <v>161.06775362082345</v>
      </c>
      <c r="T86">
        <f t="shared" ref="T86" si="409">S86/1000</f>
        <v>0.16106775362082346</v>
      </c>
    </row>
    <row r="87" spans="1:20" x14ac:dyDescent="0.25">
      <c r="A87" s="5">
        <v>44506</v>
      </c>
      <c r="B87">
        <v>315.61</v>
      </c>
      <c r="C87">
        <v>319.60000000000002</v>
      </c>
      <c r="D87">
        <v>303.18</v>
      </c>
      <c r="E87">
        <v>315.95999999999998</v>
      </c>
      <c r="F87">
        <v>121444.95</v>
      </c>
      <c r="G87">
        <v>315.95999999999998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0.5566382460414081</v>
      </c>
      <c r="Q87">
        <f t="shared" ref="Q87" si="411">F87*P87</f>
        <v>67600.90395858651</v>
      </c>
      <c r="R87">
        <f t="shared" ref="R87" si="412">R88+Q87</f>
        <v>16192709.72027009</v>
      </c>
      <c r="S87">
        <f t="shared" ref="S87" si="413">R87/100000</f>
        <v>161.92709720270091</v>
      </c>
      <c r="T87">
        <f t="shared" ref="T87" si="414">S87/1000</f>
        <v>0.1619270972027009</v>
      </c>
    </row>
    <row r="88" spans="1:20" x14ac:dyDescent="0.25">
      <c r="A88" s="5">
        <v>44505</v>
      </c>
      <c r="B88">
        <v>318.17</v>
      </c>
      <c r="C88">
        <v>329</v>
      </c>
      <c r="D88">
        <v>304.01</v>
      </c>
      <c r="E88">
        <v>315.60000000000002</v>
      </c>
      <c r="F88">
        <v>219066.92499999999</v>
      </c>
      <c r="G88">
        <v>315.60000000000002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-7.2428971588633248E-2</v>
      </c>
      <c r="Q88">
        <f t="shared" ref="Q88" si="416">F88*P88</f>
        <v>-15866.79208683425</v>
      </c>
      <c r="R88">
        <f t="shared" ref="R88" si="417">R89+Q88</f>
        <v>16125108.816311503</v>
      </c>
      <c r="S88">
        <f t="shared" ref="S88" si="418">R88/100000</f>
        <v>161.25108816311501</v>
      </c>
      <c r="T88">
        <f t="shared" ref="T88" si="419">S88/1000</f>
        <v>0.16125108816311501</v>
      </c>
    </row>
    <row r="89" spans="1:20" x14ac:dyDescent="0.25">
      <c r="A89" s="5">
        <v>44504</v>
      </c>
      <c r="B89">
        <v>307.63</v>
      </c>
      <c r="C89">
        <v>324.35000000000002</v>
      </c>
      <c r="D89">
        <v>297.39999999999998</v>
      </c>
      <c r="E89">
        <v>318.45</v>
      </c>
      <c r="F89">
        <v>397942.88030000002</v>
      </c>
      <c r="G89">
        <v>318.45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0.56215213358070326</v>
      </c>
      <c r="Q89">
        <f t="shared" ref="Q89" si="421">F89*P89</f>
        <v>223704.43920389542</v>
      </c>
      <c r="R89">
        <f t="shared" ref="R89" si="422">R90+Q89</f>
        <v>16140975.608398337</v>
      </c>
      <c r="S89">
        <f t="shared" ref="S89" si="423">R89/100000</f>
        <v>161.40975608398338</v>
      </c>
      <c r="T89">
        <f t="shared" ref="T89" si="424">S89/1000</f>
        <v>0.16140975608398339</v>
      </c>
    </row>
    <row r="90" spans="1:20" x14ac:dyDescent="0.25">
      <c r="A90" s="5">
        <v>44503</v>
      </c>
      <c r="B90">
        <v>272.25</v>
      </c>
      <c r="C90">
        <v>309</v>
      </c>
      <c r="D90">
        <v>269.3</v>
      </c>
      <c r="E90">
        <v>307.36</v>
      </c>
      <c r="F90">
        <v>311916.34639999998</v>
      </c>
      <c r="G90">
        <v>307.36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0.91738035264483697</v>
      </c>
      <c r="Q90">
        <f t="shared" ref="Q90" si="426">F90*P90</f>
        <v>286145.9278561211</v>
      </c>
      <c r="R90">
        <f t="shared" ref="R90" si="427">R91+Q90</f>
        <v>15917271.169194441</v>
      </c>
      <c r="S90">
        <f t="shared" ref="S90" si="428">R90/100000</f>
        <v>159.17271169194441</v>
      </c>
      <c r="T90">
        <f t="shared" ref="T90" si="429">S90/1000</f>
        <v>0.15917271169194441</v>
      </c>
    </row>
    <row r="91" spans="1:20" x14ac:dyDescent="0.25">
      <c r="A91" s="5">
        <v>44502</v>
      </c>
      <c r="B91">
        <v>269.11</v>
      </c>
      <c r="C91">
        <v>277</v>
      </c>
      <c r="D91">
        <v>267.27999999999997</v>
      </c>
      <c r="E91">
        <v>272.2</v>
      </c>
      <c r="F91">
        <v>108746.35</v>
      </c>
      <c r="G91">
        <v>272.2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1.2345679012346112E-2</v>
      </c>
      <c r="Q91">
        <f t="shared" ref="Q91" si="431">F91*P91</f>
        <v>1342.5475308642447</v>
      </c>
      <c r="R91">
        <f t="shared" ref="R91" si="432">R92+Q91</f>
        <v>15631125.24133832</v>
      </c>
      <c r="S91">
        <f t="shared" ref="S91" si="433">R91/100000</f>
        <v>156.31125241338319</v>
      </c>
      <c r="T91">
        <f t="shared" ref="T91" si="434">S91/1000</f>
        <v>0.1563112524133832</v>
      </c>
    </row>
    <row r="92" spans="1:20" x14ac:dyDescent="0.25">
      <c r="A92" s="5">
        <v>44501</v>
      </c>
      <c r="B92">
        <v>271.12</v>
      </c>
      <c r="C92">
        <v>278</v>
      </c>
      <c r="D92">
        <v>259.05</v>
      </c>
      <c r="E92">
        <v>269.14999999999998</v>
      </c>
      <c r="F92">
        <v>148959.21</v>
      </c>
      <c r="G92">
        <v>269.14999999999998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6.5963060686012875E-2</v>
      </c>
      <c r="Q92">
        <f t="shared" ref="Q92" si="436">F92*P92</f>
        <v>9825.8054089705347</v>
      </c>
      <c r="R92">
        <f t="shared" ref="R92" si="437">R93+Q92</f>
        <v>15629782.693807457</v>
      </c>
      <c r="S92">
        <f t="shared" ref="S92" si="438">R92/100000</f>
        <v>156.29782693807456</v>
      </c>
      <c r="T92">
        <f t="shared" ref="T92" si="439">S92/1000</f>
        <v>0.15629782693807456</v>
      </c>
    </row>
    <row r="93" spans="1:20" x14ac:dyDescent="0.25">
      <c r="A93" s="5">
        <v>44500</v>
      </c>
      <c r="B93">
        <v>259.87</v>
      </c>
      <c r="C93">
        <v>274.92</v>
      </c>
      <c r="D93">
        <v>251.23</v>
      </c>
      <c r="E93">
        <v>271.04000000000002</v>
      </c>
      <c r="F93">
        <v>127362.42</v>
      </c>
      <c r="G93">
        <v>271.04000000000002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0.67243562684677149</v>
      </c>
      <c r="Q93">
        <f t="shared" ref="Q93" si="441">F93*P93</f>
        <v>85643.028729421785</v>
      </c>
      <c r="R93">
        <f t="shared" ref="R93" si="442">R94+Q93</f>
        <v>15619956.888398485</v>
      </c>
      <c r="S93">
        <f t="shared" ref="S93" si="443">R93/100000</f>
        <v>156.19956888398485</v>
      </c>
      <c r="T93">
        <f t="shared" ref="T93" si="444">S93/1000</f>
        <v>0.15619956888398484</v>
      </c>
    </row>
    <row r="94" spans="1:20" x14ac:dyDescent="0.25">
      <c r="A94" s="5">
        <v>44499</v>
      </c>
      <c r="B94">
        <v>269.57</v>
      </c>
      <c r="C94">
        <v>270.17</v>
      </c>
      <c r="D94">
        <v>256.2</v>
      </c>
      <c r="E94">
        <v>260</v>
      </c>
      <c r="F94">
        <v>89404.64</v>
      </c>
      <c r="G94">
        <v>260</v>
      </c>
      <c r="L94" t="s">
        <v>7</v>
      </c>
      <c r="M94" t="s">
        <v>8</v>
      </c>
      <c r="N94" t="s">
        <v>8</v>
      </c>
      <c r="P94">
        <f t="shared" ref="P94" si="445">IF(C94=D94,0,((E94-D94)-(C94-E94))/(C94-D94))</f>
        <v>-0.45597709377236878</v>
      </c>
      <c r="Q94">
        <f t="shared" ref="Q94" si="446">F94*P94</f>
        <v>-40766.467916964873</v>
      </c>
      <c r="R94">
        <f t="shared" ref="R94" si="447">R95+Q94</f>
        <v>15534313.859669063</v>
      </c>
      <c r="S94">
        <f t="shared" ref="S94" si="448">R94/100000</f>
        <v>155.34313859669064</v>
      </c>
      <c r="T94">
        <f t="shared" ref="T94" si="449">S94/1000</f>
        <v>0.15534313859669063</v>
      </c>
    </row>
    <row r="95" spans="1:20" x14ac:dyDescent="0.25">
      <c r="A95" s="5">
        <v>44498</v>
      </c>
      <c r="B95">
        <v>256.94</v>
      </c>
      <c r="C95">
        <v>274.47000000000003</v>
      </c>
      <c r="D95">
        <v>254.63</v>
      </c>
      <c r="E95">
        <v>269.56</v>
      </c>
      <c r="F95">
        <v>128503.23</v>
      </c>
      <c r="G95">
        <v>269.56</v>
      </c>
      <c r="L95" t="s">
        <v>7</v>
      </c>
      <c r="M95" t="s">
        <v>8</v>
      </c>
      <c r="N95" t="s">
        <v>8</v>
      </c>
      <c r="P95">
        <f t="shared" ref="P95" si="450">IF(C95=D95,0,((E95-D95)-(C95-E95))/(C95-D95))</f>
        <v>0.50504032258064346</v>
      </c>
      <c r="Q95">
        <f t="shared" ref="Q95" si="451">F95*P95</f>
        <v>64899.312731854618</v>
      </c>
      <c r="R95">
        <f t="shared" ref="R95" si="452">R96+Q95</f>
        <v>15575080.327586029</v>
      </c>
      <c r="S95">
        <f t="shared" ref="S95" si="453">R95/100000</f>
        <v>155.75080327586028</v>
      </c>
      <c r="T95">
        <f t="shared" ref="T95" si="454">S95/1000</f>
        <v>0.15575080327586027</v>
      </c>
    </row>
    <row r="96" spans="1:20" x14ac:dyDescent="0.25">
      <c r="A96" s="5">
        <v>44497</v>
      </c>
      <c r="B96">
        <v>245.9</v>
      </c>
      <c r="C96">
        <v>280</v>
      </c>
      <c r="D96">
        <v>243.72</v>
      </c>
      <c r="E96">
        <v>256.77999999999997</v>
      </c>
      <c r="F96">
        <v>175860.01</v>
      </c>
      <c r="G96">
        <v>256.77999999999997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-0.28004410143329805</v>
      </c>
      <c r="Q96">
        <f t="shared" ref="Q96" si="456">F96*P96</f>
        <v>-49248.55847850081</v>
      </c>
      <c r="R96">
        <f t="shared" ref="R96" si="457">R97+Q96</f>
        <v>15510181.014854174</v>
      </c>
      <c r="S96">
        <f t="shared" ref="S96" si="458">R96/100000</f>
        <v>155.10181014854174</v>
      </c>
      <c r="T96">
        <f t="shared" ref="T96" si="459">S96/1000</f>
        <v>0.15510181014854174</v>
      </c>
    </row>
    <row r="97" spans="1:20" x14ac:dyDescent="0.25">
      <c r="A97" s="5">
        <v>44496</v>
      </c>
      <c r="B97">
        <v>272.97000000000003</v>
      </c>
      <c r="C97">
        <v>277.39999999999998</v>
      </c>
      <c r="D97">
        <v>224.58</v>
      </c>
      <c r="E97">
        <v>245.76</v>
      </c>
      <c r="F97">
        <v>330632.28999999998</v>
      </c>
      <c r="G97">
        <v>245.76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-0.1980310488451347</v>
      </c>
      <c r="Q97">
        <f t="shared" ref="Q97" si="461">F97*P97</f>
        <v>-65475.459170768736</v>
      </c>
      <c r="R97">
        <f t="shared" ref="R97" si="462">R98+Q97</f>
        <v>15559429.573332675</v>
      </c>
      <c r="S97">
        <f t="shared" ref="S97" si="463">R97/100000</f>
        <v>155.59429573332676</v>
      </c>
      <c r="T97">
        <f t="shared" ref="T97" si="464">S97/1000</f>
        <v>0.15559429573332675</v>
      </c>
    </row>
    <row r="98" spans="1:20" x14ac:dyDescent="0.25">
      <c r="A98" s="5">
        <v>44495</v>
      </c>
      <c r="B98">
        <v>295.01</v>
      </c>
      <c r="C98">
        <v>295.86</v>
      </c>
      <c r="D98">
        <v>268.83999999999997</v>
      </c>
      <c r="E98">
        <v>272.85000000000002</v>
      </c>
      <c r="F98">
        <v>189779.17</v>
      </c>
      <c r="G98">
        <v>272.85000000000002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-0.70318282753515604</v>
      </c>
      <c r="Q98">
        <f t="shared" ref="Q98" si="466">F98*P98</f>
        <v>-133449.45336787507</v>
      </c>
      <c r="R98">
        <f t="shared" ref="R98" si="467">R99+Q98</f>
        <v>15624905.032503443</v>
      </c>
      <c r="S98">
        <f t="shared" ref="S98" si="468">R98/100000</f>
        <v>156.24905032503443</v>
      </c>
      <c r="T98">
        <f t="shared" ref="T98" si="469">S98/1000</f>
        <v>0.15624905032503444</v>
      </c>
    </row>
    <row r="99" spans="1:20" x14ac:dyDescent="0.25">
      <c r="A99" s="5">
        <v>44494</v>
      </c>
      <c r="B99">
        <v>283.49</v>
      </c>
      <c r="C99">
        <v>298.5</v>
      </c>
      <c r="D99">
        <v>282.38</v>
      </c>
      <c r="E99">
        <v>294.99</v>
      </c>
      <c r="F99">
        <v>145047.45000000001</v>
      </c>
      <c r="G99">
        <v>294.99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0.56451612903225934</v>
      </c>
      <c r="Q99">
        <f t="shared" ref="Q99" si="471">F99*P99</f>
        <v>81881.625000000189</v>
      </c>
      <c r="R99">
        <f t="shared" ref="R99" si="472">R100+Q99</f>
        <v>15758354.485871319</v>
      </c>
      <c r="S99">
        <f t="shared" ref="S99" si="473">R99/100000</f>
        <v>157.5835448587132</v>
      </c>
      <c r="T99">
        <f t="shared" ref="T99" si="474">S99/1000</f>
        <v>0.1575835448587132</v>
      </c>
    </row>
    <row r="100" spans="1:20" x14ac:dyDescent="0.25">
      <c r="A100" s="5">
        <v>44493</v>
      </c>
      <c r="B100">
        <v>271.18</v>
      </c>
      <c r="C100">
        <v>295</v>
      </c>
      <c r="D100">
        <v>269.76</v>
      </c>
      <c r="E100">
        <v>283.54000000000002</v>
      </c>
      <c r="F100">
        <v>244686.26</v>
      </c>
      <c r="G100">
        <v>283.54000000000002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9.1917591125200052E-2</v>
      </c>
      <c r="Q100">
        <f t="shared" ref="Q100" si="476">F100*P100</f>
        <v>22490.971600634392</v>
      </c>
      <c r="R100">
        <f t="shared" ref="R100" si="477">R101+Q100</f>
        <v>15676472.860871319</v>
      </c>
      <c r="S100">
        <f t="shared" ref="S100" si="478">R100/100000</f>
        <v>156.7647286087132</v>
      </c>
      <c r="T100">
        <f t="shared" ref="T100" si="479">S100/1000</f>
        <v>0.15676472860871321</v>
      </c>
    </row>
    <row r="101" spans="1:20" x14ac:dyDescent="0.25">
      <c r="A101" s="5">
        <v>44492</v>
      </c>
      <c r="B101">
        <v>274.62</v>
      </c>
      <c r="C101">
        <v>280</v>
      </c>
      <c r="D101">
        <v>266.23</v>
      </c>
      <c r="E101">
        <v>271.16000000000003</v>
      </c>
      <c r="F101">
        <v>121426.17</v>
      </c>
      <c r="G101">
        <v>271.16000000000003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-0.28395061728394866</v>
      </c>
      <c r="Q101">
        <f t="shared" ref="Q101" si="481">F101*P101</f>
        <v>-34479.035925925687</v>
      </c>
      <c r="R101">
        <f t="shared" ref="R101" si="482">R102+Q101</f>
        <v>15653981.889270684</v>
      </c>
      <c r="S101">
        <f t="shared" ref="S101" si="483">R101/100000</f>
        <v>156.53981889270685</v>
      </c>
      <c r="T101">
        <f t="shared" ref="T101" si="484">S101/1000</f>
        <v>0.15653981889270685</v>
      </c>
    </row>
    <row r="102" spans="1:20" x14ac:dyDescent="0.25">
      <c r="A102" s="5">
        <v>44491</v>
      </c>
      <c r="B102">
        <v>249.31</v>
      </c>
      <c r="C102">
        <v>278.5</v>
      </c>
      <c r="D102">
        <v>248.63</v>
      </c>
      <c r="E102">
        <v>274.62</v>
      </c>
      <c r="F102">
        <v>366334.01</v>
      </c>
      <c r="G102">
        <v>274.62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0.74020756611985306</v>
      </c>
      <c r="Q102">
        <f t="shared" ref="Q102" si="486">F102*P102</f>
        <v>271163.20592902589</v>
      </c>
      <c r="R102">
        <f t="shared" ref="R102" si="487">R103+Q102</f>
        <v>15688460.925196609</v>
      </c>
      <c r="S102">
        <f t="shared" ref="S102" si="488">R102/100000</f>
        <v>156.88460925196608</v>
      </c>
      <c r="T102">
        <f t="shared" ref="T102" si="489">S102/1000</f>
        <v>0.1568846092519661</v>
      </c>
    </row>
    <row r="103" spans="1:20" x14ac:dyDescent="0.25">
      <c r="A103" s="5">
        <v>44490</v>
      </c>
      <c r="B103">
        <v>240.05</v>
      </c>
      <c r="C103">
        <v>260.92</v>
      </c>
      <c r="D103">
        <v>238.29</v>
      </c>
      <c r="E103">
        <v>249.26</v>
      </c>
      <c r="F103">
        <v>252548.07</v>
      </c>
      <c r="G103">
        <v>249.26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-3.0490499337164183E-2</v>
      </c>
      <c r="Q103">
        <f t="shared" ref="Q103" si="491">F103*P103</f>
        <v>-7700.3167609370939</v>
      </c>
      <c r="R103">
        <f t="shared" ref="R103" si="492">R104+Q103</f>
        <v>15417297.719267583</v>
      </c>
      <c r="S103">
        <f t="shared" ref="S103" si="493">R103/100000</f>
        <v>154.17297719267583</v>
      </c>
      <c r="T103">
        <f t="shared" ref="T103" si="494">S103/1000</f>
        <v>0.15417297719267584</v>
      </c>
    </row>
    <row r="104" spans="1:20" x14ac:dyDescent="0.25">
      <c r="A104" s="5">
        <v>44489</v>
      </c>
      <c r="B104">
        <v>229.61</v>
      </c>
      <c r="C104">
        <v>245</v>
      </c>
      <c r="D104">
        <v>227.56</v>
      </c>
      <c r="E104">
        <v>240.15</v>
      </c>
      <c r="F104">
        <v>130867.04</v>
      </c>
      <c r="G104">
        <v>240.15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0.44380733944954187</v>
      </c>
      <c r="Q104">
        <f t="shared" ref="Q104" si="496">F104*P104</f>
        <v>58079.752844036768</v>
      </c>
      <c r="R104">
        <f t="shared" ref="R104" si="497">R105+Q104</f>
        <v>15424998.036028519</v>
      </c>
      <c r="S104">
        <f t="shared" ref="S104" si="498">R104/100000</f>
        <v>154.24998036028521</v>
      </c>
      <c r="T104">
        <f t="shared" ref="T104" si="499">S104/1000</f>
        <v>0.1542499803602852</v>
      </c>
    </row>
    <row r="105" spans="1:20" x14ac:dyDescent="0.25">
      <c r="A105" s="5">
        <v>44488</v>
      </c>
      <c r="B105">
        <v>230.3</v>
      </c>
      <c r="C105">
        <v>232.9</v>
      </c>
      <c r="D105">
        <v>224.6</v>
      </c>
      <c r="E105">
        <v>229.79</v>
      </c>
      <c r="F105">
        <v>113832.16</v>
      </c>
      <c r="G105">
        <v>229.79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0.25060240963855196</v>
      </c>
      <c r="Q105">
        <f t="shared" ref="Q105" si="501">F105*P105</f>
        <v>28526.61359036119</v>
      </c>
      <c r="R105">
        <f t="shared" ref="R105" si="502">R106+Q105</f>
        <v>15366918.283184482</v>
      </c>
      <c r="S105">
        <f t="shared" ref="S105" si="503">R105/100000</f>
        <v>153.66918283184481</v>
      </c>
      <c r="T105">
        <f t="shared" ref="T105" si="504">S105/1000</f>
        <v>0.1536691828318448</v>
      </c>
    </row>
    <row r="106" spans="1:20" x14ac:dyDescent="0.25">
      <c r="A106" s="5">
        <v>44487</v>
      </c>
      <c r="B106">
        <v>236.17</v>
      </c>
      <c r="C106">
        <v>238.92</v>
      </c>
      <c r="D106">
        <v>227.51</v>
      </c>
      <c r="E106">
        <v>230.22</v>
      </c>
      <c r="F106">
        <v>97492.32</v>
      </c>
      <c r="G106">
        <v>230.22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-0.5249780893952658</v>
      </c>
      <c r="Q106">
        <f t="shared" ref="Q106" si="506">F106*P106</f>
        <v>-51181.331884311861</v>
      </c>
      <c r="R106">
        <f t="shared" ref="R106" si="507">R107+Q106</f>
        <v>15338391.66959412</v>
      </c>
      <c r="S106">
        <f t="shared" ref="S106" si="508">R106/100000</f>
        <v>153.3839166959412</v>
      </c>
      <c r="T106">
        <f t="shared" ref="T106" si="509">S106/1000</f>
        <v>0.1533839166959412</v>
      </c>
    </row>
    <row r="107" spans="1:20" x14ac:dyDescent="0.25">
      <c r="A107" s="5">
        <v>44486</v>
      </c>
      <c r="B107">
        <v>241.15</v>
      </c>
      <c r="C107">
        <v>243</v>
      </c>
      <c r="D107">
        <v>225.6</v>
      </c>
      <c r="E107">
        <v>236.15</v>
      </c>
      <c r="F107">
        <v>95576.87</v>
      </c>
      <c r="G107">
        <v>236.15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0.21264367816092045</v>
      </c>
      <c r="Q107">
        <f t="shared" ref="Q107" si="511">F107*P107</f>
        <v>20323.817183908133</v>
      </c>
      <c r="R107">
        <f t="shared" ref="R107" si="512">R108+Q107</f>
        <v>15389573.001478432</v>
      </c>
      <c r="S107">
        <f t="shared" ref="S107" si="513">R107/100000</f>
        <v>153.89573001478431</v>
      </c>
      <c r="T107">
        <f t="shared" ref="T107" si="514">S107/1000</f>
        <v>0.15389573001478429</v>
      </c>
    </row>
    <row r="108" spans="1:20" x14ac:dyDescent="0.25">
      <c r="A108" s="5">
        <v>44485</v>
      </c>
      <c r="B108">
        <v>237.22</v>
      </c>
      <c r="C108">
        <v>250.04</v>
      </c>
      <c r="D108">
        <v>236.51</v>
      </c>
      <c r="E108">
        <v>241.34</v>
      </c>
      <c r="F108">
        <v>112862.09</v>
      </c>
      <c r="G108">
        <v>241.34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-0.28603104212860131</v>
      </c>
      <c r="Q108">
        <f t="shared" ref="Q108" si="516">F108*P108</f>
        <v>-32282.06121951199</v>
      </c>
      <c r="R108">
        <f t="shared" ref="R108" si="517">R109+Q108</f>
        <v>15369249.184294524</v>
      </c>
      <c r="S108">
        <f t="shared" ref="S108" si="518">R108/100000</f>
        <v>153.69249184294523</v>
      </c>
      <c r="T108">
        <f t="shared" ref="T108" si="519">S108/1000</f>
        <v>0.15369249184294523</v>
      </c>
    </row>
    <row r="109" spans="1:20" x14ac:dyDescent="0.25">
      <c r="A109" s="5">
        <v>44484</v>
      </c>
      <c r="B109">
        <v>242.19</v>
      </c>
      <c r="C109">
        <v>244.14</v>
      </c>
      <c r="D109">
        <v>234</v>
      </c>
      <c r="E109">
        <v>237.25</v>
      </c>
      <c r="F109">
        <v>124838.88</v>
      </c>
      <c r="G109">
        <v>237.25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-0.35897435897435809</v>
      </c>
      <c r="Q109">
        <f t="shared" ref="Q109" si="521">F109*P109</f>
        <v>-44813.956923076817</v>
      </c>
      <c r="R109">
        <f t="shared" ref="R109" si="522">R110+Q109</f>
        <v>15401531.245514035</v>
      </c>
      <c r="S109">
        <f t="shared" ref="S109" si="523">R109/100000</f>
        <v>154.01531245514036</v>
      </c>
      <c r="T109">
        <f t="shared" ref="T109" si="524">S109/1000</f>
        <v>0.15401531245514036</v>
      </c>
    </row>
    <row r="110" spans="1:20" x14ac:dyDescent="0.25">
      <c r="A110" s="5">
        <v>44483</v>
      </c>
      <c r="B110">
        <v>241.96</v>
      </c>
      <c r="C110">
        <v>250.42</v>
      </c>
      <c r="D110">
        <v>239.1</v>
      </c>
      <c r="E110">
        <v>242.19</v>
      </c>
      <c r="F110">
        <v>100381.78</v>
      </c>
      <c r="G110">
        <v>242.19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-0.45406360424028175</v>
      </c>
      <c r="Q110">
        <f t="shared" ref="Q110" si="526">F110*P110</f>
        <v>-45579.71282685503</v>
      </c>
      <c r="R110">
        <f t="shared" ref="R110" si="527">R111+Q110</f>
        <v>15446345.202437112</v>
      </c>
      <c r="S110">
        <f t="shared" ref="S110" si="528">R110/100000</f>
        <v>154.46345202437112</v>
      </c>
      <c r="T110">
        <f t="shared" ref="T110" si="529">S110/1000</f>
        <v>0.15446345202437112</v>
      </c>
    </row>
    <row r="111" spans="1:20" x14ac:dyDescent="0.25">
      <c r="A111" s="5">
        <v>44482</v>
      </c>
      <c r="B111">
        <v>236.15</v>
      </c>
      <c r="C111">
        <v>251</v>
      </c>
      <c r="D111">
        <v>232.52</v>
      </c>
      <c r="E111">
        <v>241.96</v>
      </c>
      <c r="F111">
        <v>177802.61</v>
      </c>
      <c r="G111">
        <v>241.96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2.1645021645021963E-2</v>
      </c>
      <c r="Q111">
        <f t="shared" ref="Q111" si="531">F111*P111</f>
        <v>3848.5413419913984</v>
      </c>
      <c r="R111">
        <f t="shared" ref="R111" si="532">R112+Q111</f>
        <v>15491924.915263968</v>
      </c>
      <c r="S111">
        <f t="shared" ref="S111" si="533">R111/100000</f>
        <v>154.91924915263968</v>
      </c>
      <c r="T111">
        <f t="shared" ref="T111" si="534">S111/1000</f>
        <v>0.15491924915263969</v>
      </c>
    </row>
    <row r="112" spans="1:20" x14ac:dyDescent="0.25">
      <c r="A112" s="5">
        <v>44481</v>
      </c>
      <c r="B112">
        <v>248.06</v>
      </c>
      <c r="C112">
        <v>248.27</v>
      </c>
      <c r="D112">
        <v>220.07</v>
      </c>
      <c r="E112">
        <v>236.16</v>
      </c>
      <c r="F112">
        <v>231554.55</v>
      </c>
      <c r="G112">
        <v>236.16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0.14113475177304921</v>
      </c>
      <c r="Q112">
        <f t="shared" ref="Q112" si="536">F112*P112</f>
        <v>32680.393936170112</v>
      </c>
      <c r="R112">
        <f t="shared" ref="R112" si="537">R113+Q112</f>
        <v>15488076.373921975</v>
      </c>
      <c r="S112">
        <f t="shared" ref="S112" si="538">R112/100000</f>
        <v>154.88076373921976</v>
      </c>
      <c r="T112">
        <f t="shared" ref="T112" si="539">S112/1000</f>
        <v>0.15488076373921975</v>
      </c>
    </row>
    <row r="113" spans="1:20" x14ac:dyDescent="0.25">
      <c r="A113" s="5">
        <v>44480</v>
      </c>
      <c r="B113">
        <v>239.8</v>
      </c>
      <c r="C113">
        <v>267</v>
      </c>
      <c r="D113">
        <v>235.18</v>
      </c>
      <c r="E113">
        <v>248.45</v>
      </c>
      <c r="F113">
        <v>206999.97</v>
      </c>
      <c r="G113">
        <v>248.45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-0.16593337523570179</v>
      </c>
      <c r="Q113">
        <f t="shared" ref="Q113" si="541">F113*P113</f>
        <v>-34348.203695789016</v>
      </c>
      <c r="R113">
        <f t="shared" ref="R113" si="542">R114+Q113</f>
        <v>15455395.979985805</v>
      </c>
      <c r="S113">
        <f t="shared" ref="S113" si="543">R113/100000</f>
        <v>154.55395979985806</v>
      </c>
      <c r="T113">
        <f t="shared" ref="T113" si="544">S113/1000</f>
        <v>0.15455395979985806</v>
      </c>
    </row>
    <row r="114" spans="1:20" x14ac:dyDescent="0.25">
      <c r="A114" s="5">
        <v>44479</v>
      </c>
      <c r="B114">
        <v>259.02999999999997</v>
      </c>
      <c r="C114">
        <v>259.27999999999997</v>
      </c>
      <c r="D114">
        <v>237.5</v>
      </c>
      <c r="E114">
        <v>240.03</v>
      </c>
      <c r="F114">
        <v>157596.78</v>
      </c>
      <c r="G114">
        <v>240.03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-0.76767676767676729</v>
      </c>
      <c r="Q114">
        <f t="shared" ref="Q114" si="546">F114*P114</f>
        <v>-120983.3866666666</v>
      </c>
      <c r="R114">
        <f t="shared" ref="R114" si="547">R115+Q114</f>
        <v>15489744.183681594</v>
      </c>
      <c r="S114">
        <f t="shared" ref="S114" si="548">R114/100000</f>
        <v>154.89744183681594</v>
      </c>
      <c r="T114">
        <f t="shared" ref="T114" si="549">S114/1000</f>
        <v>0.15489744183681595</v>
      </c>
    </row>
    <row r="115" spans="1:20" x14ac:dyDescent="0.25">
      <c r="A115" s="5">
        <v>44478</v>
      </c>
      <c r="B115">
        <v>257.89999999999998</v>
      </c>
      <c r="C115">
        <v>268.89</v>
      </c>
      <c r="D115">
        <v>254.02</v>
      </c>
      <c r="E115">
        <v>258.79000000000002</v>
      </c>
      <c r="F115">
        <v>124681.26</v>
      </c>
      <c r="G115">
        <v>258.79000000000002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-0.35843981170140982</v>
      </c>
      <c r="Q115">
        <f t="shared" ref="Q115" si="551">F115*P115</f>
        <v>-44690.727357094518</v>
      </c>
      <c r="R115">
        <f t="shared" ref="R115" si="552">R116+Q115</f>
        <v>15610727.570348261</v>
      </c>
      <c r="S115">
        <f t="shared" ref="S115" si="553">R115/100000</f>
        <v>156.1072757034826</v>
      </c>
      <c r="T115">
        <f t="shared" ref="T115" si="554">S115/1000</f>
        <v>0.1561072757034826</v>
      </c>
    </row>
    <row r="116" spans="1:20" x14ac:dyDescent="0.25">
      <c r="A116" s="5">
        <v>44477</v>
      </c>
      <c r="B116">
        <v>243.02</v>
      </c>
      <c r="C116">
        <v>277.85000000000002</v>
      </c>
      <c r="D116">
        <v>242.3</v>
      </c>
      <c r="E116">
        <v>257.60000000000002</v>
      </c>
      <c r="F116">
        <v>510104.65</v>
      </c>
      <c r="G116">
        <v>257.60000000000002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-0.13924050632911356</v>
      </c>
      <c r="Q116">
        <f t="shared" ref="Q116" si="556">F116*P116</f>
        <v>-71027.229746835263</v>
      </c>
      <c r="R116">
        <f t="shared" ref="R116" si="557">R117+Q116</f>
        <v>15655418.297705356</v>
      </c>
      <c r="S116">
        <f t="shared" ref="S116" si="558">R116/100000</f>
        <v>156.55418297705356</v>
      </c>
      <c r="T116">
        <f t="shared" ref="T116" si="559">S116/1000</f>
        <v>0.15655418297705356</v>
      </c>
    </row>
    <row r="117" spans="1:20" x14ac:dyDescent="0.25">
      <c r="A117" s="5">
        <v>44476</v>
      </c>
      <c r="B117">
        <v>230.52</v>
      </c>
      <c r="C117">
        <v>244.5</v>
      </c>
      <c r="D117">
        <v>224.8</v>
      </c>
      <c r="E117">
        <v>242.99</v>
      </c>
      <c r="F117">
        <v>215240.36</v>
      </c>
      <c r="G117">
        <v>242.99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0.846700507614214</v>
      </c>
      <c r="Q117">
        <f t="shared" ref="Q117" si="561">F117*P117</f>
        <v>182244.12207106614</v>
      </c>
      <c r="R117">
        <f t="shared" ref="R117" si="562">R118+Q117</f>
        <v>15726445.527452191</v>
      </c>
      <c r="S117">
        <f t="shared" ref="S117" si="563">R117/100000</f>
        <v>157.26445527452191</v>
      </c>
      <c r="T117">
        <f t="shared" ref="T117" si="564">S117/1000</f>
        <v>0.1572644552745219</v>
      </c>
    </row>
    <row r="118" spans="1:20" x14ac:dyDescent="0.25">
      <c r="A118" s="5">
        <v>44475</v>
      </c>
      <c r="B118">
        <v>244.71</v>
      </c>
      <c r="C118">
        <v>246.85</v>
      </c>
      <c r="D118">
        <v>221.5</v>
      </c>
      <c r="E118">
        <v>230.47</v>
      </c>
      <c r="F118">
        <v>267917.86</v>
      </c>
      <c r="G118">
        <v>230.47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-0.29230769230769221</v>
      </c>
      <c r="Q118">
        <f t="shared" ref="Q118" si="566">F118*P118</f>
        <v>-78314.451384615357</v>
      </c>
      <c r="R118">
        <f t="shared" ref="R118" si="567">R119+Q118</f>
        <v>15544201.405381124</v>
      </c>
      <c r="S118">
        <f t="shared" ref="S118" si="568">R118/100000</f>
        <v>155.44201405381125</v>
      </c>
      <c r="T118">
        <f t="shared" ref="T118" si="569">S118/1000</f>
        <v>0.15544201405381125</v>
      </c>
    </row>
    <row r="119" spans="1:20" x14ac:dyDescent="0.25">
      <c r="A119" s="5">
        <v>44474</v>
      </c>
      <c r="B119">
        <v>239.97</v>
      </c>
      <c r="C119">
        <v>253.48</v>
      </c>
      <c r="D119">
        <v>236.74</v>
      </c>
      <c r="E119">
        <v>244.5</v>
      </c>
      <c r="F119">
        <v>246986.14</v>
      </c>
      <c r="G119">
        <v>244.5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-7.287933094384709E-2</v>
      </c>
      <c r="Q119">
        <f t="shared" ref="Q119" si="571">F119*P119</f>
        <v>-18000.184635603349</v>
      </c>
      <c r="R119">
        <f t="shared" ref="R119" si="572">R120+Q119</f>
        <v>15622515.85676574</v>
      </c>
      <c r="S119">
        <f t="shared" ref="S119" si="573">R119/100000</f>
        <v>156.22515856765739</v>
      </c>
      <c r="T119">
        <f t="shared" ref="T119" si="574">S119/1000</f>
        <v>0.1562251585676574</v>
      </c>
    </row>
    <row r="120" spans="1:20" x14ac:dyDescent="0.25">
      <c r="A120" s="5">
        <v>44473</v>
      </c>
      <c r="B120">
        <v>254.28</v>
      </c>
      <c r="C120">
        <v>254.99</v>
      </c>
      <c r="D120">
        <v>235</v>
      </c>
      <c r="E120">
        <v>241.38</v>
      </c>
      <c r="F120">
        <v>286983.75</v>
      </c>
      <c r="G120">
        <v>241.38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-0.36168084042021087</v>
      </c>
      <c r="Q120">
        <f t="shared" ref="Q120" si="576">F120*P120</f>
        <v>-103796.52388694369</v>
      </c>
      <c r="R120">
        <f t="shared" ref="R120" si="577">R121+Q120</f>
        <v>15640516.041401343</v>
      </c>
      <c r="S120">
        <f t="shared" ref="S120" si="578">R120/100000</f>
        <v>156.40516041401344</v>
      </c>
      <c r="T120">
        <f t="shared" ref="T120" si="579">S120/1000</f>
        <v>0.15640516041401345</v>
      </c>
    </row>
    <row r="121" spans="1:20" x14ac:dyDescent="0.25">
      <c r="A121" s="5">
        <v>44472</v>
      </c>
      <c r="B121">
        <v>245.07</v>
      </c>
      <c r="C121">
        <v>255</v>
      </c>
      <c r="D121">
        <v>238.6</v>
      </c>
      <c r="E121">
        <v>253.28</v>
      </c>
      <c r="F121">
        <v>238953.15</v>
      </c>
      <c r="G121">
        <v>253.28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0.79024390243902465</v>
      </c>
      <c r="Q121">
        <f t="shared" ref="Q121" si="581">F121*P121</f>
        <v>188831.26975609761</v>
      </c>
      <c r="R121">
        <f t="shared" ref="R121" si="582">R122+Q121</f>
        <v>15744312.565288287</v>
      </c>
      <c r="S121">
        <f t="shared" ref="S121" si="583">R121/100000</f>
        <v>157.44312565288286</v>
      </c>
      <c r="T121">
        <f t="shared" ref="T121" si="584">S121/1000</f>
        <v>0.15744312565288285</v>
      </c>
    </row>
    <row r="122" spans="1:20" x14ac:dyDescent="0.25">
      <c r="A122" s="5">
        <v>44471</v>
      </c>
      <c r="B122">
        <v>241.74</v>
      </c>
      <c r="C122">
        <v>259</v>
      </c>
      <c r="D122">
        <v>232.5</v>
      </c>
      <c r="E122">
        <v>245.09</v>
      </c>
      <c r="F122">
        <v>351683.92</v>
      </c>
      <c r="G122">
        <v>245.09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-4.9811320754716726E-2</v>
      </c>
      <c r="Q122">
        <f t="shared" ref="Q122" si="586">F122*P122</f>
        <v>-17517.840543396134</v>
      </c>
      <c r="R122">
        <f t="shared" ref="R122" si="587">R123+Q122</f>
        <v>15555481.295532189</v>
      </c>
      <c r="S122">
        <f t="shared" ref="S122" si="588">R122/100000</f>
        <v>155.55481295532189</v>
      </c>
      <c r="T122">
        <f t="shared" ref="T122" si="589">S122/1000</f>
        <v>0.15555481295532189</v>
      </c>
    </row>
    <row r="123" spans="1:20" x14ac:dyDescent="0.25">
      <c r="A123" s="5">
        <v>44470</v>
      </c>
      <c r="B123">
        <v>210.02</v>
      </c>
      <c r="C123">
        <v>248</v>
      </c>
      <c r="D123">
        <v>205.45</v>
      </c>
      <c r="E123">
        <v>241.73</v>
      </c>
      <c r="F123">
        <v>435999.09</v>
      </c>
      <c r="G123">
        <v>241.73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0.705287896592244</v>
      </c>
      <c r="Q123">
        <f t="shared" ref="Q123" si="591">F123*P123</f>
        <v>307504.8811022325</v>
      </c>
      <c r="R123">
        <f t="shared" ref="R123" si="592">R124+Q123</f>
        <v>15572999.136075586</v>
      </c>
      <c r="S123">
        <f t="shared" ref="S123" si="593">R123/100000</f>
        <v>155.72999136075586</v>
      </c>
      <c r="T123">
        <f t="shared" ref="T123" si="594">S123/1000</f>
        <v>0.15572999136075585</v>
      </c>
    </row>
    <row r="124" spans="1:20" x14ac:dyDescent="0.25">
      <c r="A124" s="5">
        <v>44469</v>
      </c>
      <c r="B124">
        <v>203.14</v>
      </c>
      <c r="C124">
        <v>212.9</v>
      </c>
      <c r="D124">
        <v>200.56</v>
      </c>
      <c r="E124">
        <v>209.95</v>
      </c>
      <c r="F124">
        <v>235723.97</v>
      </c>
      <c r="G124">
        <v>209.95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0.52188006482981908</v>
      </c>
      <c r="Q124">
        <f t="shared" ref="Q124" si="596">F124*P124</f>
        <v>123019.64074554233</v>
      </c>
      <c r="R124">
        <f t="shared" ref="R124" si="597">R125+Q124</f>
        <v>15265494.254973354</v>
      </c>
      <c r="S124">
        <f t="shared" ref="S124" si="598">R124/100000</f>
        <v>152.65494254973353</v>
      </c>
      <c r="T124">
        <f t="shared" ref="T124" si="599">S124/1000</f>
        <v>0.15265494254973352</v>
      </c>
    </row>
    <row r="125" spans="1:20" x14ac:dyDescent="0.25">
      <c r="A125" s="5">
        <v>44468</v>
      </c>
      <c r="B125">
        <v>199.86</v>
      </c>
      <c r="C125">
        <v>214.95</v>
      </c>
      <c r="D125">
        <v>196.07</v>
      </c>
      <c r="E125">
        <v>203.15</v>
      </c>
      <c r="F125">
        <v>309945.31</v>
      </c>
      <c r="G125">
        <v>203.15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-0.2499999999999985</v>
      </c>
      <c r="Q125">
        <f t="shared" ref="Q125" si="601">F125*P125</f>
        <v>-77486.327499999534</v>
      </c>
      <c r="R125">
        <f t="shared" ref="R125" si="602">R126+Q125</f>
        <v>15142474.614227811</v>
      </c>
      <c r="S125">
        <f t="shared" ref="S125" si="603">R125/100000</f>
        <v>151.42474614227811</v>
      </c>
      <c r="T125">
        <f t="shared" ref="T125" si="604">S125/1000</f>
        <v>0.1514247461422781</v>
      </c>
    </row>
    <row r="126" spans="1:20" x14ac:dyDescent="0.25">
      <c r="A126" s="5">
        <v>44467</v>
      </c>
      <c r="B126">
        <v>212.3</v>
      </c>
      <c r="C126">
        <v>221.16</v>
      </c>
      <c r="D126">
        <v>199</v>
      </c>
      <c r="E126">
        <v>200.15</v>
      </c>
      <c r="F126">
        <v>307366.08</v>
      </c>
      <c r="G126">
        <v>200.15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-0.89620938628158797</v>
      </c>
      <c r="Q126">
        <f t="shared" ref="Q126" si="606">F126*P126</f>
        <v>-275464.36592057749</v>
      </c>
      <c r="R126">
        <f t="shared" ref="R126" si="607">R127+Q126</f>
        <v>15219960.94172781</v>
      </c>
      <c r="S126">
        <f t="shared" ref="S126" si="608">R126/100000</f>
        <v>152.19960941727808</v>
      </c>
      <c r="T126">
        <f t="shared" ref="T126" si="609">S126/1000</f>
        <v>0.15219960941727809</v>
      </c>
    </row>
    <row r="127" spans="1:20" x14ac:dyDescent="0.25">
      <c r="A127" s="5">
        <v>44466</v>
      </c>
      <c r="B127">
        <v>223.27</v>
      </c>
      <c r="C127">
        <v>232.47</v>
      </c>
      <c r="D127">
        <v>210.27</v>
      </c>
      <c r="E127">
        <v>212.35</v>
      </c>
      <c r="F127">
        <v>237241.95</v>
      </c>
      <c r="G127">
        <v>212.35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-0.81261261261261397</v>
      </c>
      <c r="Q127">
        <f t="shared" ref="Q127" si="611">F127*P127</f>
        <v>-192785.80081081114</v>
      </c>
      <c r="R127">
        <f t="shared" ref="R127" si="612">R128+Q127</f>
        <v>15495425.307648387</v>
      </c>
      <c r="S127">
        <f t="shared" ref="S127" si="613">R127/100000</f>
        <v>154.95425307648387</v>
      </c>
      <c r="T127">
        <f t="shared" ref="T127" si="614">S127/1000</f>
        <v>0.15495425307648386</v>
      </c>
    </row>
    <row r="128" spans="1:20" x14ac:dyDescent="0.25">
      <c r="A128" s="5">
        <v>44465</v>
      </c>
      <c r="B128">
        <v>218.16</v>
      </c>
      <c r="C128">
        <v>234.2</v>
      </c>
      <c r="D128">
        <v>200.3</v>
      </c>
      <c r="E128">
        <v>223.5</v>
      </c>
      <c r="F128">
        <v>367267.19</v>
      </c>
      <c r="G128">
        <v>223.5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0.36873156342182917</v>
      </c>
      <c r="Q128">
        <f t="shared" ref="Q128" si="616">F128*P128</f>
        <v>135423.00516224199</v>
      </c>
      <c r="R128">
        <f t="shared" ref="R128" si="617">R129+Q128</f>
        <v>15688211.108459199</v>
      </c>
      <c r="S128">
        <f t="shared" ref="S128" si="618">R128/100000</f>
        <v>156.882111084592</v>
      </c>
      <c r="T128">
        <f t="shared" ref="T128" si="619">S128/1000</f>
        <v>0.15688211108459199</v>
      </c>
    </row>
    <row r="129" spans="1:20" x14ac:dyDescent="0.25">
      <c r="A129" s="5">
        <v>44464</v>
      </c>
      <c r="B129">
        <v>237.92</v>
      </c>
      <c r="C129">
        <v>238.46</v>
      </c>
      <c r="D129">
        <v>215.54</v>
      </c>
      <c r="E129">
        <v>218.26</v>
      </c>
      <c r="F129">
        <v>291057.26</v>
      </c>
      <c r="G129">
        <v>218.26</v>
      </c>
      <c r="L129" t="s">
        <v>8</v>
      </c>
      <c r="M129" t="s">
        <v>7</v>
      </c>
      <c r="N129" t="s">
        <v>8</v>
      </c>
      <c r="P129">
        <f t="shared" ref="P129" si="620">IF(C129=D129,0,((E129-D129)-(C129-E129))/(C129-D129))</f>
        <v>-0.76265270506108229</v>
      </c>
      <c r="Q129">
        <f t="shared" ref="Q129" si="621">F129*P129</f>
        <v>-221975.60666666675</v>
      </c>
      <c r="R129">
        <f t="shared" ref="R129" si="622">R130+Q129</f>
        <v>15552788.103296956</v>
      </c>
      <c r="S129">
        <f t="shared" ref="S129" si="623">R129/100000</f>
        <v>155.52788103296956</v>
      </c>
      <c r="T129">
        <f t="shared" ref="T129" si="624">S129/1000</f>
        <v>0.15552788103296955</v>
      </c>
    </row>
    <row r="130" spans="1:20" x14ac:dyDescent="0.25">
      <c r="A130" s="5">
        <v>44463</v>
      </c>
      <c r="B130">
        <v>245.33</v>
      </c>
      <c r="C130">
        <v>250</v>
      </c>
      <c r="D130">
        <v>213.2</v>
      </c>
      <c r="E130">
        <v>237.94</v>
      </c>
      <c r="F130">
        <v>624105.82999999996</v>
      </c>
      <c r="G130">
        <v>237.94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0.34456521739130441</v>
      </c>
      <c r="Q130">
        <f t="shared" ref="Q130" si="626">F130*P130</f>
        <v>215045.16098913047</v>
      </c>
      <c r="R130">
        <f t="shared" ref="R130" si="627">R131+Q130</f>
        <v>15774763.709963623</v>
      </c>
      <c r="S130">
        <f t="shared" ref="S130" si="628">R130/100000</f>
        <v>157.74763709963622</v>
      </c>
      <c r="T130">
        <f t="shared" ref="T130" si="629">S130/1000</f>
        <v>0.15774763709963621</v>
      </c>
    </row>
    <row r="131" spans="1:20" x14ac:dyDescent="0.25">
      <c r="A131" s="5">
        <v>44462</v>
      </c>
      <c r="B131">
        <v>230.06</v>
      </c>
      <c r="C131">
        <v>258.85000000000002</v>
      </c>
      <c r="D131">
        <v>221.89</v>
      </c>
      <c r="E131">
        <v>245.58</v>
      </c>
      <c r="F131">
        <v>537927.28</v>
      </c>
      <c r="G131">
        <v>245.58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0.28192640692640708</v>
      </c>
      <c r="Q131">
        <f t="shared" ref="Q131" si="631">F131*P131</f>
        <v>151655.90523809532</v>
      </c>
      <c r="R131">
        <f t="shared" ref="R131" si="632">R132+Q131</f>
        <v>15559718.548974494</v>
      </c>
      <c r="S131">
        <f t="shared" ref="S131" si="633">R131/100000</f>
        <v>155.59718548974493</v>
      </c>
      <c r="T131">
        <f t="shared" ref="T131" si="634">S131/1000</f>
        <v>0.15559718548974494</v>
      </c>
    </row>
    <row r="132" spans="1:20" x14ac:dyDescent="0.25">
      <c r="A132" s="5">
        <v>44461</v>
      </c>
      <c r="B132">
        <v>199.77</v>
      </c>
      <c r="C132">
        <v>234.79</v>
      </c>
      <c r="D132">
        <v>192.71</v>
      </c>
      <c r="E132">
        <v>230.06</v>
      </c>
      <c r="F132">
        <v>679085.33</v>
      </c>
      <c r="G132">
        <v>230.06</v>
      </c>
      <c r="L132" t="s">
        <v>8</v>
      </c>
      <c r="M132" t="s">
        <v>8</v>
      </c>
      <c r="N132" t="s">
        <v>8</v>
      </c>
      <c r="P132">
        <f t="shared" ref="P132" si="635">IF(C132=D132,0,((E132-D132)-(C132-E132))/(C132-D132))</f>
        <v>0.77519011406844152</v>
      </c>
      <c r="Q132">
        <f t="shared" ref="Q132" si="636">F132*P132</f>
        <v>526420.23442490527</v>
      </c>
      <c r="R132">
        <f t="shared" ref="R132" si="637">R133+Q132</f>
        <v>15408062.643736398</v>
      </c>
      <c r="S132">
        <f t="shared" ref="S132" si="638">R132/100000</f>
        <v>154.08062643736397</v>
      </c>
      <c r="T132">
        <f t="shared" ref="T132" si="639">S132/1000</f>
        <v>0.15408062643736398</v>
      </c>
    </row>
    <row r="133" spans="1:20" x14ac:dyDescent="0.25">
      <c r="A133" s="5">
        <v>44460</v>
      </c>
      <c r="B133">
        <v>185.59</v>
      </c>
      <c r="C133">
        <v>228.01</v>
      </c>
      <c r="D133">
        <v>171.59</v>
      </c>
      <c r="E133">
        <v>199.78</v>
      </c>
      <c r="F133">
        <v>1003209.76</v>
      </c>
      <c r="G133">
        <v>199.78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-7.0896845090379383E-4</v>
      </c>
      <c r="Q133">
        <f t="shared" ref="Q133" si="641">F133*P133</f>
        <v>-711.24406947876685</v>
      </c>
      <c r="R133">
        <f t="shared" ref="R133" si="642">R134+Q133</f>
        <v>14881642.409311492</v>
      </c>
      <c r="S133">
        <f t="shared" ref="S133" si="643">R133/100000</f>
        <v>148.81642409311493</v>
      </c>
      <c r="T133">
        <f t="shared" ref="T133" si="644">S133/1000</f>
        <v>0.14881642409311494</v>
      </c>
    </row>
    <row r="134" spans="1:20" x14ac:dyDescent="0.25">
      <c r="A134" s="5">
        <v>44459</v>
      </c>
      <c r="B134">
        <v>224.89</v>
      </c>
      <c r="C134">
        <v>225.94</v>
      </c>
      <c r="D134">
        <v>199.76</v>
      </c>
      <c r="E134">
        <v>206.46</v>
      </c>
      <c r="F134">
        <v>282246.98</v>
      </c>
      <c r="G134">
        <v>206.46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-0.48815889992360462</v>
      </c>
      <c r="Q134">
        <f t="shared" ref="Q134" si="646">F134*P134</f>
        <v>-137781.37526355963</v>
      </c>
      <c r="R134">
        <f t="shared" ref="R134" si="647">R135+Q134</f>
        <v>14882353.653380971</v>
      </c>
      <c r="S134">
        <f t="shared" ref="S134" si="648">R134/100000</f>
        <v>148.82353653380972</v>
      </c>
      <c r="T134">
        <f t="shared" ref="T134" si="649">S134/1000</f>
        <v>0.14882353653380972</v>
      </c>
    </row>
    <row r="135" spans="1:20" x14ac:dyDescent="0.25">
      <c r="A135" s="5">
        <v>44458</v>
      </c>
      <c r="B135">
        <v>247.86</v>
      </c>
      <c r="C135">
        <v>249.63</v>
      </c>
      <c r="D135">
        <v>222.61</v>
      </c>
      <c r="E135">
        <v>224.81</v>
      </c>
      <c r="F135">
        <v>216849.16</v>
      </c>
      <c r="G135">
        <v>224.81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-0.83715766099185862</v>
      </c>
      <c r="Q135">
        <f t="shared" ref="Q135" si="651">F135*P135</f>
        <v>-181536.9355736493</v>
      </c>
      <c r="R135">
        <f t="shared" ref="R135" si="652">R136+Q135</f>
        <v>15020135.02864453</v>
      </c>
      <c r="S135">
        <f t="shared" ref="S135" si="653">R135/100000</f>
        <v>150.20135028644529</v>
      </c>
      <c r="T135">
        <f t="shared" ref="T135" si="654">S135/1000</f>
        <v>0.1502013502864453</v>
      </c>
    </row>
    <row r="136" spans="1:20" x14ac:dyDescent="0.25">
      <c r="A136" s="5">
        <v>44457</v>
      </c>
      <c r="B136">
        <v>242.26</v>
      </c>
      <c r="C136">
        <v>253.74</v>
      </c>
      <c r="D136">
        <v>235.9</v>
      </c>
      <c r="E136">
        <v>247.86</v>
      </c>
      <c r="F136">
        <v>229601.55</v>
      </c>
      <c r="G136">
        <v>247.86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0.34080717488789303</v>
      </c>
      <c r="Q136">
        <f t="shared" ref="Q136" si="656">F136*P136</f>
        <v>78249.855605381308</v>
      </c>
      <c r="R136">
        <f t="shared" ref="R136" si="657">R137+Q136</f>
        <v>15201671.964218179</v>
      </c>
      <c r="S136">
        <f t="shared" ref="S136" si="658">R136/100000</f>
        <v>152.01671964218178</v>
      </c>
      <c r="T136">
        <f t="shared" ref="T136" si="659">S136/1000</f>
        <v>0.15201671964218177</v>
      </c>
    </row>
    <row r="137" spans="1:20" x14ac:dyDescent="0.25">
      <c r="A137" s="5">
        <v>44456</v>
      </c>
      <c r="B137">
        <v>265.70999999999998</v>
      </c>
      <c r="C137">
        <v>277.88</v>
      </c>
      <c r="D137">
        <v>237.23</v>
      </c>
      <c r="E137">
        <v>242.04</v>
      </c>
      <c r="F137">
        <v>338743.08</v>
      </c>
      <c r="G137">
        <v>242.04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-0.76334563345633444</v>
      </c>
      <c r="Q137">
        <f t="shared" ref="Q137" si="661">F137*P137</f>
        <v>-258578.05098154978</v>
      </c>
      <c r="R137">
        <f t="shared" ref="R137" si="662">R138+Q137</f>
        <v>15123422.108612798</v>
      </c>
      <c r="S137">
        <f t="shared" ref="S137" si="663">R137/100000</f>
        <v>151.23422108612797</v>
      </c>
      <c r="T137">
        <f t="shared" ref="T137" si="664">S137/1000</f>
        <v>0.15123422108612797</v>
      </c>
    </row>
    <row r="138" spans="1:20" x14ac:dyDescent="0.25">
      <c r="A138" s="5">
        <v>44455</v>
      </c>
      <c r="B138">
        <v>258.69</v>
      </c>
      <c r="C138">
        <v>271.89999999999998</v>
      </c>
      <c r="D138">
        <v>245</v>
      </c>
      <c r="E138">
        <v>265.89</v>
      </c>
      <c r="F138">
        <v>457274.24</v>
      </c>
      <c r="G138">
        <v>265.89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0.55315985130111556</v>
      </c>
      <c r="Q138">
        <f t="shared" ref="Q138" si="666">F138*P138</f>
        <v>252945.75060223063</v>
      </c>
      <c r="R138">
        <f t="shared" ref="R138" si="667">R139+Q138</f>
        <v>15382000.159594348</v>
      </c>
      <c r="S138">
        <f t="shared" ref="S138" si="668">R138/100000</f>
        <v>153.82000159594347</v>
      </c>
      <c r="T138">
        <f t="shared" ref="T138" si="669">S138/1000</f>
        <v>0.15382000159594347</v>
      </c>
    </row>
    <row r="139" spans="1:20" x14ac:dyDescent="0.25">
      <c r="A139" s="5">
        <v>44454</v>
      </c>
      <c r="B139">
        <v>280.33999999999997</v>
      </c>
      <c r="C139">
        <v>285.20999999999998</v>
      </c>
      <c r="D139">
        <v>255.2</v>
      </c>
      <c r="E139">
        <v>258.79000000000002</v>
      </c>
      <c r="F139">
        <v>396252.24</v>
      </c>
      <c r="G139">
        <v>258.79000000000002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-0.76074641786071096</v>
      </c>
      <c r="Q139">
        <f t="shared" ref="Q139" si="671">F139*P139</f>
        <v>-301447.47214928269</v>
      </c>
      <c r="R139">
        <f t="shared" ref="R139" si="672">R140+Q139</f>
        <v>15129054.408992117</v>
      </c>
      <c r="S139">
        <f t="shared" ref="S139" si="673">R139/100000</f>
        <v>151.29054408992118</v>
      </c>
      <c r="T139">
        <f t="shared" ref="T139" si="674">S139/1000</f>
        <v>0.15129054408992118</v>
      </c>
    </row>
    <row r="140" spans="1:20" x14ac:dyDescent="0.25">
      <c r="A140" s="5">
        <v>44453</v>
      </c>
      <c r="B140">
        <v>260.69</v>
      </c>
      <c r="C140">
        <v>303.02999999999997</v>
      </c>
      <c r="D140">
        <v>257.64</v>
      </c>
      <c r="E140">
        <v>280.33</v>
      </c>
      <c r="F140">
        <v>673336.85560000001</v>
      </c>
      <c r="G140">
        <v>280.33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-2.2031284423861881E-4</v>
      </c>
      <c r="Q140">
        <f t="shared" ref="Q140" si="676">F140*P140</f>
        <v>-148.34475778792415</v>
      </c>
      <c r="R140">
        <f t="shared" ref="R140" si="677">R141+Q140</f>
        <v>15430501.8811414</v>
      </c>
      <c r="S140">
        <f t="shared" ref="S140" si="678">R140/100000</f>
        <v>154.30501881141399</v>
      </c>
      <c r="T140">
        <f t="shared" ref="T140" si="679">S140/1000</f>
        <v>0.15430501881141398</v>
      </c>
    </row>
    <row r="141" spans="1:20" x14ac:dyDescent="0.25">
      <c r="A141" s="5">
        <v>44452</v>
      </c>
      <c r="B141">
        <v>266.33999999999997</v>
      </c>
      <c r="C141">
        <v>289.39</v>
      </c>
      <c r="D141">
        <v>250.25</v>
      </c>
      <c r="E141">
        <v>260.89</v>
      </c>
      <c r="F141">
        <v>973230.93</v>
      </c>
      <c r="G141">
        <v>260.89</v>
      </c>
      <c r="L141" t="s">
        <v>7</v>
      </c>
      <c r="M141" t="s">
        <v>8</v>
      </c>
      <c r="N141" t="s">
        <v>8</v>
      </c>
      <c r="P141">
        <f t="shared" ref="P141" si="680">IF(C141=D141,0,((E141-D141)-(C141-E141))/(C141-D141))</f>
        <v>-0.456310679611651</v>
      </c>
      <c r="Q141">
        <f t="shared" ref="Q141" si="681">F141*P141</f>
        <v>-444095.66708737914</v>
      </c>
      <c r="R141">
        <f t="shared" ref="R141" si="682">R142+Q141</f>
        <v>15430650.225899188</v>
      </c>
      <c r="S141">
        <f t="shared" ref="S141" si="683">R141/100000</f>
        <v>154.30650225899188</v>
      </c>
      <c r="T141">
        <f t="shared" ref="T141" si="684">S141/1000</f>
        <v>0.1543065022589919</v>
      </c>
    </row>
    <row r="142" spans="1:20" x14ac:dyDescent="0.25">
      <c r="A142" s="5">
        <v>44451</v>
      </c>
      <c r="B142">
        <v>229.75</v>
      </c>
      <c r="C142">
        <v>295.8</v>
      </c>
      <c r="D142">
        <v>224.63</v>
      </c>
      <c r="E142">
        <v>266.44</v>
      </c>
      <c r="F142">
        <v>1072269.0421</v>
      </c>
      <c r="G142">
        <v>266.44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0.17493325839539112</v>
      </c>
      <c r="Q142">
        <f t="shared" ref="Q142" si="686">F142*P142</f>
        <v>187575.51741105781</v>
      </c>
      <c r="R142">
        <f t="shared" ref="R142" si="687">R143+Q142</f>
        <v>15874745.892986568</v>
      </c>
      <c r="S142">
        <f t="shared" ref="S142" si="688">R142/100000</f>
        <v>158.74745892986567</v>
      </c>
      <c r="T142">
        <f t="shared" ref="T142" si="689">S142/1000</f>
        <v>0.15874745892986566</v>
      </c>
    </row>
    <row r="143" spans="1:20" x14ac:dyDescent="0.25">
      <c r="A143" s="5">
        <v>44450</v>
      </c>
      <c r="B143">
        <v>235.95</v>
      </c>
      <c r="C143">
        <v>249</v>
      </c>
      <c r="D143">
        <v>220.84</v>
      </c>
      <c r="E143">
        <v>230</v>
      </c>
      <c r="F143">
        <v>684305.45739999996</v>
      </c>
      <c r="G143">
        <v>230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-0.34943181818181834</v>
      </c>
      <c r="Q143">
        <f t="shared" ref="Q143" si="691">F143*P143</f>
        <v>-239118.10017102282</v>
      </c>
      <c r="R143">
        <f t="shared" ref="R143" si="692">R144+Q143</f>
        <v>15687170.375575511</v>
      </c>
      <c r="S143">
        <f t="shared" ref="S143" si="693">R143/100000</f>
        <v>156.87170375575511</v>
      </c>
      <c r="T143">
        <f t="shared" ref="T143" si="694">S143/1000</f>
        <v>0.1568717037557551</v>
      </c>
    </row>
    <row r="144" spans="1:20" x14ac:dyDescent="0.25">
      <c r="A144" s="5">
        <v>44449</v>
      </c>
      <c r="B144">
        <v>200.74</v>
      </c>
      <c r="C144">
        <v>240</v>
      </c>
      <c r="D144">
        <v>194.79</v>
      </c>
      <c r="E144">
        <v>235.82</v>
      </c>
      <c r="F144">
        <v>837761.38679999998</v>
      </c>
      <c r="G144">
        <v>235.82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0.81508515815085136</v>
      </c>
      <c r="Q144">
        <f t="shared" ref="Q144" si="696">F144*P144</f>
        <v>682846.87245255453</v>
      </c>
      <c r="R144">
        <f t="shared" ref="R144" si="697">R145+Q144</f>
        <v>15926288.475746533</v>
      </c>
      <c r="S144">
        <f t="shared" ref="S144" si="698">R144/100000</f>
        <v>159.26288475746532</v>
      </c>
      <c r="T144">
        <f t="shared" ref="T144" si="699">S144/1000</f>
        <v>0.15926288475746531</v>
      </c>
    </row>
    <row r="145" spans="1:20" x14ac:dyDescent="0.25">
      <c r="A145" s="5">
        <v>44448</v>
      </c>
      <c r="B145">
        <v>172.39</v>
      </c>
      <c r="C145">
        <v>218</v>
      </c>
      <c r="D145">
        <v>168.86</v>
      </c>
      <c r="E145">
        <v>200.45</v>
      </c>
      <c r="F145">
        <v>824601.42249999999</v>
      </c>
      <c r="G145">
        <v>200.45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0.28571428571428503</v>
      </c>
      <c r="Q145">
        <f t="shared" ref="Q145" si="701">F145*P145</f>
        <v>235600.40642857086</v>
      </c>
      <c r="R145">
        <f t="shared" ref="R145" si="702">R146+Q145</f>
        <v>15243441.603293978</v>
      </c>
      <c r="S145">
        <f t="shared" ref="S145" si="703">R145/100000</f>
        <v>152.43441603293977</v>
      </c>
      <c r="T145">
        <f t="shared" ref="T145" si="704">S145/1000</f>
        <v>0.15243441603293978</v>
      </c>
    </row>
    <row r="146" spans="1:20" x14ac:dyDescent="0.25">
      <c r="A146" s="5">
        <v>44447</v>
      </c>
      <c r="B146">
        <v>158.69999999999999</v>
      </c>
      <c r="C146">
        <v>175.87</v>
      </c>
      <c r="D146">
        <v>137.56</v>
      </c>
      <c r="E146">
        <v>172.4</v>
      </c>
      <c r="F146">
        <v>443871.02</v>
      </c>
      <c r="G146">
        <v>172.4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0.81884625424171242</v>
      </c>
      <c r="Q146">
        <f t="shared" ref="Q146" si="706">F146*P146</f>
        <v>363462.12209344824</v>
      </c>
      <c r="R146">
        <f t="shared" ref="R146" si="707">R147+Q146</f>
        <v>15007841.196865408</v>
      </c>
      <c r="S146">
        <f t="shared" ref="S146" si="708">R146/100000</f>
        <v>150.07841196865408</v>
      </c>
      <c r="T146">
        <f t="shared" ref="T146" si="709">S146/1000</f>
        <v>0.15007841196865407</v>
      </c>
    </row>
    <row r="147" spans="1:20" x14ac:dyDescent="0.25">
      <c r="A147" s="5">
        <v>44446</v>
      </c>
      <c r="B147">
        <v>180.05</v>
      </c>
      <c r="C147">
        <v>182</v>
      </c>
      <c r="D147">
        <v>133</v>
      </c>
      <c r="E147">
        <v>158.55000000000001</v>
      </c>
      <c r="F147">
        <v>465533.82</v>
      </c>
      <c r="G147">
        <v>158.55000000000001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4.2857142857143322E-2</v>
      </c>
      <c r="Q147">
        <f t="shared" ref="Q147" si="711">F147*P147</f>
        <v>19951.449428571646</v>
      </c>
      <c r="R147">
        <f t="shared" ref="R147" si="712">R148+Q147</f>
        <v>14644379.074771959</v>
      </c>
      <c r="S147">
        <f t="shared" ref="S147" si="713">R147/100000</f>
        <v>146.44379074771959</v>
      </c>
      <c r="T147">
        <f t="shared" ref="T147" si="714">S147/1000</f>
        <v>0.1464437907477196</v>
      </c>
    </row>
    <row r="148" spans="1:20" x14ac:dyDescent="0.25">
      <c r="A148" s="5">
        <v>44445</v>
      </c>
      <c r="B148">
        <v>176.26</v>
      </c>
      <c r="C148">
        <v>186.89</v>
      </c>
      <c r="D148">
        <v>173.23</v>
      </c>
      <c r="E148">
        <v>179.9</v>
      </c>
      <c r="F148">
        <v>240688.67600000001</v>
      </c>
      <c r="G148">
        <v>179.9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-2.3426061493408847E-2</v>
      </c>
      <c r="Q148">
        <f t="shared" ref="Q148" si="716">F148*P148</f>
        <v>-5638.3877247431583</v>
      </c>
      <c r="R148">
        <f t="shared" ref="R148" si="717">R149+Q148</f>
        <v>14624427.625343388</v>
      </c>
      <c r="S148">
        <f t="shared" ref="S148" si="718">R148/100000</f>
        <v>146.24427625343387</v>
      </c>
      <c r="T148">
        <f t="shared" ref="T148" si="719">S148/1000</f>
        <v>0.14624427625343386</v>
      </c>
    </row>
    <row r="149" spans="1:20" x14ac:dyDescent="0.25">
      <c r="A149" s="5">
        <v>44444</v>
      </c>
      <c r="B149">
        <v>171.66</v>
      </c>
      <c r="C149">
        <v>178.1</v>
      </c>
      <c r="D149">
        <v>167.79</v>
      </c>
      <c r="E149">
        <v>176.18</v>
      </c>
      <c r="F149">
        <v>114677.01</v>
      </c>
      <c r="G149">
        <v>176.18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0.62754607177497823</v>
      </c>
      <c r="Q149">
        <f t="shared" ref="Q149" si="721">F149*P149</f>
        <v>71965.107148399897</v>
      </c>
      <c r="R149">
        <f t="shared" ref="R149" si="722">R150+Q149</f>
        <v>14630066.01306813</v>
      </c>
      <c r="S149">
        <f t="shared" ref="S149" si="723">R149/100000</f>
        <v>146.30066013068131</v>
      </c>
      <c r="T149">
        <f t="shared" ref="T149" si="724">S149/1000</f>
        <v>0.1463006601306813</v>
      </c>
    </row>
    <row r="150" spans="1:20" x14ac:dyDescent="0.25">
      <c r="A150" s="5">
        <v>44443</v>
      </c>
      <c r="B150">
        <v>174.68</v>
      </c>
      <c r="C150">
        <v>179.56</v>
      </c>
      <c r="D150">
        <v>170.82</v>
      </c>
      <c r="E150">
        <v>171.58</v>
      </c>
      <c r="F150">
        <v>118306.53</v>
      </c>
      <c r="G150">
        <v>171.58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-0.82608695652173492</v>
      </c>
      <c r="Q150">
        <f t="shared" ref="Q150" si="726">F150*P150</f>
        <v>-97731.481304347326</v>
      </c>
      <c r="R150">
        <f t="shared" ref="R150" si="727">R151+Q150</f>
        <v>14558100.905919731</v>
      </c>
      <c r="S150">
        <f t="shared" ref="S150" si="728">R150/100000</f>
        <v>145.5810090591973</v>
      </c>
      <c r="T150">
        <f t="shared" ref="T150" si="729">S150/1000</f>
        <v>0.1455810090591973</v>
      </c>
    </row>
    <row r="151" spans="1:20" x14ac:dyDescent="0.25">
      <c r="A151" s="5">
        <v>44442</v>
      </c>
      <c r="B151">
        <v>172.08</v>
      </c>
      <c r="C151">
        <v>179.11</v>
      </c>
      <c r="D151">
        <v>167.19</v>
      </c>
      <c r="E151">
        <v>174.68</v>
      </c>
      <c r="F151">
        <v>143792.43</v>
      </c>
      <c r="G151">
        <v>174.68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0.25671140939597298</v>
      </c>
      <c r="Q151">
        <f t="shared" ref="Q151" si="731">F151*P151</f>
        <v>36913.157365771782</v>
      </c>
      <c r="R151">
        <f t="shared" ref="R151" si="732">R152+Q151</f>
        <v>14655832.387224078</v>
      </c>
      <c r="S151">
        <f t="shared" ref="S151" si="733">R151/100000</f>
        <v>146.55832387224078</v>
      </c>
      <c r="T151">
        <f t="shared" ref="T151" si="734">S151/1000</f>
        <v>0.14655832387224077</v>
      </c>
    </row>
    <row r="152" spans="1:20" x14ac:dyDescent="0.25">
      <c r="A152" s="5">
        <v>44441</v>
      </c>
      <c r="B152">
        <v>176.2</v>
      </c>
      <c r="C152">
        <v>180.98</v>
      </c>
      <c r="D152">
        <v>171.18</v>
      </c>
      <c r="E152">
        <v>171.97</v>
      </c>
      <c r="F152">
        <v>189941.6</v>
      </c>
      <c r="G152">
        <v>171.97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-0.83877551020408303</v>
      </c>
      <c r="Q152">
        <f t="shared" ref="Q152" si="736">F152*P152</f>
        <v>-159318.36244897987</v>
      </c>
      <c r="R152">
        <f t="shared" ref="R152" si="737">R153+Q152</f>
        <v>14618919.229858307</v>
      </c>
      <c r="S152">
        <f t="shared" ref="S152" si="738">R152/100000</f>
        <v>146.18919229858307</v>
      </c>
      <c r="T152">
        <f t="shared" ref="T152" si="739">S152/1000</f>
        <v>0.14618919229858307</v>
      </c>
    </row>
    <row r="153" spans="1:20" x14ac:dyDescent="0.25">
      <c r="A153" s="5">
        <v>44440</v>
      </c>
      <c r="B153">
        <v>169.11</v>
      </c>
      <c r="C153">
        <v>185.79</v>
      </c>
      <c r="D153">
        <v>167.75</v>
      </c>
      <c r="E153">
        <v>176.19</v>
      </c>
      <c r="F153">
        <v>421128.53049999999</v>
      </c>
      <c r="G153">
        <v>176.19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-6.4301552106429988E-2</v>
      </c>
      <c r="Q153">
        <f t="shared" ref="Q153" si="741">F153*P153</f>
        <v>-27079.218147450039</v>
      </c>
      <c r="R153">
        <f t="shared" ref="R153" si="742">R154+Q153</f>
        <v>14778237.592307286</v>
      </c>
      <c r="S153">
        <f t="shared" ref="S153" si="743">R153/100000</f>
        <v>147.78237592307286</v>
      </c>
      <c r="T153">
        <f t="shared" ref="T153" si="744">S153/1000</f>
        <v>0.14778237592307286</v>
      </c>
    </row>
    <row r="154" spans="1:20" x14ac:dyDescent="0.25">
      <c r="A154" s="5">
        <v>44439</v>
      </c>
      <c r="B154">
        <v>157.99</v>
      </c>
      <c r="C154">
        <v>171.03</v>
      </c>
      <c r="D154">
        <v>153.41999999999999</v>
      </c>
      <c r="E154">
        <v>169.03</v>
      </c>
      <c r="F154">
        <v>375579.38760000002</v>
      </c>
      <c r="G154">
        <v>169.03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0.77285633162975598</v>
      </c>
      <c r="Q154">
        <f t="shared" ref="Q154" si="746">F154*P154</f>
        <v>290268.90773628629</v>
      </c>
      <c r="R154">
        <f t="shared" ref="R154" si="747">R155+Q154</f>
        <v>14805316.810454736</v>
      </c>
      <c r="S154">
        <f t="shared" ref="S154" si="748">R154/100000</f>
        <v>148.05316810454735</v>
      </c>
      <c r="T154">
        <f t="shared" ref="T154" si="749">S154/1000</f>
        <v>0.14805316810454736</v>
      </c>
    </row>
    <row r="155" spans="1:20" x14ac:dyDescent="0.25">
      <c r="A155" s="5">
        <v>44438</v>
      </c>
      <c r="B155">
        <v>141.05000000000001</v>
      </c>
      <c r="C155">
        <v>169.7</v>
      </c>
      <c r="D155">
        <v>139.24</v>
      </c>
      <c r="E155">
        <v>157.79</v>
      </c>
      <c r="F155">
        <v>649299.21829999995</v>
      </c>
      <c r="G155">
        <v>157.79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0.21799080761654599</v>
      </c>
      <c r="Q155">
        <f t="shared" ref="Q155" si="751">F155*P155</f>
        <v>141541.260982009</v>
      </c>
      <c r="R155">
        <f t="shared" ref="R155" si="752">R156+Q155</f>
        <v>14515047.902718449</v>
      </c>
      <c r="S155">
        <f t="shared" ref="S155" si="753">R155/100000</f>
        <v>145.1504790271845</v>
      </c>
      <c r="T155">
        <f t="shared" ref="T155" si="754">S155/1000</f>
        <v>0.1451504790271845</v>
      </c>
    </row>
    <row r="156" spans="1:20" x14ac:dyDescent="0.25">
      <c r="A156" s="5">
        <v>44437</v>
      </c>
      <c r="B156">
        <v>140.77000000000001</v>
      </c>
      <c r="C156">
        <v>143.74</v>
      </c>
      <c r="D156">
        <v>135.25</v>
      </c>
      <c r="E156">
        <v>140.99</v>
      </c>
      <c r="F156">
        <v>102080.91</v>
      </c>
      <c r="G156">
        <v>140.99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0.35217903415783341</v>
      </c>
      <c r="Q156">
        <f t="shared" ref="Q156" si="756">F156*P156</f>
        <v>35950.756289752717</v>
      </c>
      <c r="R156">
        <f t="shared" ref="R156" si="757">R157+Q156</f>
        <v>14373506.64173644</v>
      </c>
      <c r="S156">
        <f t="shared" ref="S156" si="758">R156/100000</f>
        <v>143.73506641736441</v>
      </c>
      <c r="T156">
        <f t="shared" ref="T156" si="759">S156/1000</f>
        <v>0.14373506641736442</v>
      </c>
    </row>
    <row r="157" spans="1:20" x14ac:dyDescent="0.25">
      <c r="A157" s="5">
        <v>44436</v>
      </c>
      <c r="B157">
        <v>140.91</v>
      </c>
      <c r="C157">
        <v>144</v>
      </c>
      <c r="D157">
        <v>137.9</v>
      </c>
      <c r="E157">
        <v>140.71</v>
      </c>
      <c r="F157">
        <v>122765.04</v>
      </c>
      <c r="G157">
        <v>140.71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-7.8688524590162331E-2</v>
      </c>
      <c r="Q157">
        <f t="shared" ref="Q157" si="761">F157*P157</f>
        <v>-9660.1998688522617</v>
      </c>
      <c r="R157">
        <f t="shared" ref="R157" si="762">R158+Q157</f>
        <v>14337555.885446688</v>
      </c>
      <c r="S157">
        <f t="shared" ref="S157" si="763">R157/100000</f>
        <v>143.37555885446687</v>
      </c>
      <c r="T157">
        <f t="shared" ref="T157" si="764">S157/1000</f>
        <v>0.14337555885446687</v>
      </c>
    </row>
    <row r="158" spans="1:20" x14ac:dyDescent="0.25">
      <c r="A158" s="5">
        <v>44435</v>
      </c>
      <c r="B158">
        <v>134.6</v>
      </c>
      <c r="C158">
        <v>141.1</v>
      </c>
      <c r="D158">
        <v>128.36000000000001</v>
      </c>
      <c r="E158">
        <v>140.99</v>
      </c>
      <c r="F158">
        <v>197890.8547</v>
      </c>
      <c r="G158">
        <v>140.99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0.98273155416012792</v>
      </c>
      <c r="Q158">
        <f t="shared" ref="Q158" si="766">F158*P158</f>
        <v>194473.58719340706</v>
      </c>
      <c r="R158">
        <f t="shared" ref="R158" si="767">R159+Q158</f>
        <v>14347216.08531554</v>
      </c>
      <c r="S158">
        <f t="shared" ref="S158" si="768">R158/100000</f>
        <v>143.4721608531554</v>
      </c>
      <c r="T158">
        <f t="shared" ref="T158" si="769">S158/1000</f>
        <v>0.14347216085315539</v>
      </c>
    </row>
    <row r="159" spans="1:20" x14ac:dyDescent="0.25">
      <c r="A159" s="5">
        <v>44434</v>
      </c>
      <c r="B159">
        <v>138.96</v>
      </c>
      <c r="C159">
        <v>145.94</v>
      </c>
      <c r="D159">
        <v>132.80000000000001</v>
      </c>
      <c r="E159">
        <v>134.63</v>
      </c>
      <c r="F159">
        <v>229395.0545</v>
      </c>
      <c r="G159">
        <v>134.63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-0.72146118721461405</v>
      </c>
      <c r="Q159">
        <f t="shared" ref="Q159" si="771">F159*P159</f>
        <v>-165499.62836073109</v>
      </c>
      <c r="R159">
        <f t="shared" ref="R159" si="772">R160+Q159</f>
        <v>14152742.498122133</v>
      </c>
      <c r="S159">
        <f t="shared" ref="S159" si="773">R159/100000</f>
        <v>141.52742498122134</v>
      </c>
      <c r="T159">
        <f t="shared" ref="T159" si="774">S159/1000</f>
        <v>0.14152742498122134</v>
      </c>
    </row>
    <row r="160" spans="1:20" x14ac:dyDescent="0.25">
      <c r="A160" s="5">
        <v>44433</v>
      </c>
      <c r="B160">
        <v>137.21</v>
      </c>
      <c r="C160">
        <v>140.77000000000001</v>
      </c>
      <c r="D160">
        <v>131.51</v>
      </c>
      <c r="E160">
        <v>138.97</v>
      </c>
      <c r="F160">
        <v>155473.54209999999</v>
      </c>
      <c r="G160">
        <v>138.97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0.61123110151187743</v>
      </c>
      <c r="Q160">
        <f t="shared" ref="Q160" si="776">F160*P160</f>
        <v>95030.264393736245</v>
      </c>
      <c r="R160">
        <f t="shared" ref="R160" si="777">R161+Q160</f>
        <v>14318242.126482865</v>
      </c>
      <c r="S160">
        <f t="shared" ref="S160" si="778">R160/100000</f>
        <v>143.18242126482866</v>
      </c>
      <c r="T160">
        <f t="shared" ref="T160" si="779">S160/1000</f>
        <v>0.14318242126482866</v>
      </c>
    </row>
    <row r="161" spans="1:20" x14ac:dyDescent="0.25">
      <c r="A161" s="5">
        <v>44432</v>
      </c>
      <c r="B161">
        <v>149</v>
      </c>
      <c r="C161">
        <v>151.86000000000001</v>
      </c>
      <c r="D161">
        <v>133.02000000000001</v>
      </c>
      <c r="E161">
        <v>137.41</v>
      </c>
      <c r="F161">
        <v>207235.6666</v>
      </c>
      <c r="G161">
        <v>137.41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-0.53397027600849412</v>
      </c>
      <c r="Q161">
        <f t="shared" ref="Q161" si="781">F161*P161</f>
        <v>-110657.68609320627</v>
      </c>
      <c r="R161">
        <f t="shared" ref="R161" si="782">R162+Q161</f>
        <v>14223211.862089129</v>
      </c>
      <c r="S161">
        <f t="shared" ref="S161" si="783">R161/100000</f>
        <v>142.2321186208913</v>
      </c>
      <c r="T161">
        <f t="shared" ref="T161" si="784">S161/1000</f>
        <v>0.1422321186208913</v>
      </c>
    </row>
    <row r="162" spans="1:20" x14ac:dyDescent="0.25">
      <c r="A162" s="5">
        <v>44431</v>
      </c>
      <c r="B162">
        <v>148.61000000000001</v>
      </c>
      <c r="C162">
        <v>154.88999999999999</v>
      </c>
      <c r="D162">
        <v>145.53</v>
      </c>
      <c r="E162">
        <v>149.03</v>
      </c>
      <c r="F162">
        <v>161194.44279999999</v>
      </c>
      <c r="G162">
        <v>149.03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-0.25213675213675096</v>
      </c>
      <c r="Q162">
        <f t="shared" ref="Q162" si="786">F162*P162</f>
        <v>-40643.043270085276</v>
      </c>
      <c r="R162">
        <f t="shared" ref="R162" si="787">R163+Q162</f>
        <v>14333869.548182335</v>
      </c>
      <c r="S162">
        <f t="shared" ref="S162" si="788">R162/100000</f>
        <v>143.33869548182335</v>
      </c>
      <c r="T162">
        <f t="shared" ref="T162" si="789">S162/1000</f>
        <v>0.14333869548182335</v>
      </c>
    </row>
    <row r="163" spans="1:20" x14ac:dyDescent="0.25">
      <c r="A163" s="5">
        <v>44430</v>
      </c>
      <c r="B163">
        <v>148.93</v>
      </c>
      <c r="C163">
        <v>149.65</v>
      </c>
      <c r="D163">
        <v>146.34</v>
      </c>
      <c r="E163">
        <v>149</v>
      </c>
      <c r="F163">
        <v>43874.027900000001</v>
      </c>
      <c r="G163">
        <v>149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0.60725075528700589</v>
      </c>
      <c r="Q163">
        <f t="shared" ref="Q163" si="791">F163*P163</f>
        <v>26642.536579758169</v>
      </c>
      <c r="R163">
        <f t="shared" ref="R163" si="792">R164+Q163</f>
        <v>14374512.59145242</v>
      </c>
      <c r="S163">
        <f t="shared" ref="S163" si="793">R163/100000</f>
        <v>143.74512591452421</v>
      </c>
      <c r="T163">
        <f t="shared" ref="T163" si="794">S163/1000</f>
        <v>0.14374512591452421</v>
      </c>
    </row>
    <row r="164" spans="1:20" x14ac:dyDescent="0.25">
      <c r="A164" s="5">
        <v>44429</v>
      </c>
      <c r="B164">
        <v>155.9</v>
      </c>
      <c r="C164">
        <v>155.94</v>
      </c>
      <c r="D164">
        <v>147.80000000000001</v>
      </c>
      <c r="E164">
        <v>148.94</v>
      </c>
      <c r="F164">
        <v>161132.97760000001</v>
      </c>
      <c r="G164">
        <v>148.94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-0.7199017199017228</v>
      </c>
      <c r="Q164">
        <f t="shared" ref="Q164" si="796">F164*P164</f>
        <v>-115999.90770712578</v>
      </c>
      <c r="R164">
        <f t="shared" ref="R164" si="797">R165+Q164</f>
        <v>14347870.054872662</v>
      </c>
      <c r="S164">
        <f t="shared" ref="S164" si="798">R164/100000</f>
        <v>143.47870054872661</v>
      </c>
      <c r="T164">
        <f t="shared" ref="T164" si="799">S164/1000</f>
        <v>0.14347870054872661</v>
      </c>
    </row>
    <row r="165" spans="1:20" x14ac:dyDescent="0.25">
      <c r="A165" s="5">
        <v>44428</v>
      </c>
      <c r="B165">
        <v>146.15</v>
      </c>
      <c r="C165">
        <v>159.9</v>
      </c>
      <c r="D165">
        <v>143.02000000000001</v>
      </c>
      <c r="E165">
        <v>155.86000000000001</v>
      </c>
      <c r="F165">
        <v>356094.78470000002</v>
      </c>
      <c r="G165">
        <v>155.86000000000001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0.52132701421801031</v>
      </c>
      <c r="Q165">
        <f t="shared" ref="Q165" si="801">F165*P165</f>
        <v>185641.83088625624</v>
      </c>
      <c r="R165">
        <f t="shared" ref="R165" si="802">R166+Q165</f>
        <v>14463869.962579787</v>
      </c>
      <c r="S165">
        <f t="shared" ref="S165" si="803">R165/100000</f>
        <v>144.63869962579787</v>
      </c>
      <c r="T165">
        <f t="shared" ref="T165" si="804">S165/1000</f>
        <v>0.14463869962579787</v>
      </c>
    </row>
    <row r="166" spans="1:20" x14ac:dyDescent="0.25">
      <c r="A166" s="5">
        <v>44427</v>
      </c>
      <c r="B166">
        <v>146.55000000000001</v>
      </c>
      <c r="C166">
        <v>153.21</v>
      </c>
      <c r="D166">
        <v>137.35</v>
      </c>
      <c r="E166">
        <v>146.04</v>
      </c>
      <c r="F166">
        <v>304819.26260000002</v>
      </c>
      <c r="G166">
        <v>146.04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9.5838587641865106E-2</v>
      </c>
      <c r="Q166">
        <f t="shared" ref="Q166" si="806">F166*P166</f>
        <v>29213.447613618795</v>
      </c>
      <c r="R166">
        <f t="shared" ref="R166" si="807">R167+Q166</f>
        <v>14278228.131693531</v>
      </c>
      <c r="S166">
        <f t="shared" ref="S166" si="808">R166/100000</f>
        <v>142.7822813169353</v>
      </c>
      <c r="T166">
        <f t="shared" ref="T166" si="809">S166/1000</f>
        <v>0.14278228131693529</v>
      </c>
    </row>
    <row r="167" spans="1:20" x14ac:dyDescent="0.25">
      <c r="A167" s="5">
        <v>44426</v>
      </c>
      <c r="B167">
        <v>140.05000000000001</v>
      </c>
      <c r="C167">
        <v>152.75</v>
      </c>
      <c r="D167">
        <v>128.36000000000001</v>
      </c>
      <c r="E167">
        <v>146.43</v>
      </c>
      <c r="F167">
        <v>436126.99080000003</v>
      </c>
      <c r="G167">
        <v>146.43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0.48175481754817573</v>
      </c>
      <c r="Q167">
        <f t="shared" ref="Q167" si="811">F167*P167</f>
        <v>210106.27888068891</v>
      </c>
      <c r="R167">
        <f t="shared" ref="R167" si="812">R168+Q167</f>
        <v>14249014.684079912</v>
      </c>
      <c r="S167">
        <f t="shared" ref="S167" si="813">R167/100000</f>
        <v>142.49014684079913</v>
      </c>
      <c r="T167">
        <f t="shared" ref="T167" si="814">S167/1000</f>
        <v>0.14249014684079914</v>
      </c>
    </row>
    <row r="168" spans="1:20" x14ac:dyDescent="0.25">
      <c r="A168" s="5">
        <v>44425</v>
      </c>
      <c r="B168">
        <v>136.11000000000001</v>
      </c>
      <c r="C168">
        <v>159.54</v>
      </c>
      <c r="D168">
        <v>132.16</v>
      </c>
      <c r="E168">
        <v>140.08000000000001</v>
      </c>
      <c r="F168">
        <v>646369.65079999994</v>
      </c>
      <c r="G168">
        <v>140.08000000000001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-0.42147552958363643</v>
      </c>
      <c r="Q168">
        <f t="shared" ref="Q168" si="816">F168*P168</f>
        <v>-272428.99087772012</v>
      </c>
      <c r="R168">
        <f t="shared" ref="R168" si="817">R169+Q168</f>
        <v>14038908.405199222</v>
      </c>
      <c r="S168">
        <f t="shared" ref="S168" si="818">R168/100000</f>
        <v>140.38908405199223</v>
      </c>
      <c r="T168">
        <f t="shared" ref="T168" si="819">S168/1000</f>
        <v>0.14038908405199224</v>
      </c>
    </row>
    <row r="169" spans="1:20" x14ac:dyDescent="0.25">
      <c r="A169" s="5">
        <v>44424</v>
      </c>
      <c r="B169">
        <v>136.62</v>
      </c>
      <c r="C169">
        <v>142.36000000000001</v>
      </c>
      <c r="D169">
        <v>132.1</v>
      </c>
      <c r="E169">
        <v>136.13999999999999</v>
      </c>
      <c r="F169">
        <v>231822.1875</v>
      </c>
      <c r="G169">
        <v>136.13999999999999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-0.21247563352826815</v>
      </c>
      <c r="Q169">
        <f t="shared" ref="Q169" si="821">F169*P169</f>
        <v>-49256.566154971464</v>
      </c>
      <c r="R169">
        <f t="shared" ref="R169" si="822">R170+Q169</f>
        <v>14311337.396076942</v>
      </c>
      <c r="S169">
        <f t="shared" ref="S169" si="823">R169/100000</f>
        <v>143.11337396076942</v>
      </c>
      <c r="T169">
        <f t="shared" ref="T169" si="824">S169/1000</f>
        <v>0.14311337396076942</v>
      </c>
    </row>
    <row r="170" spans="1:20" x14ac:dyDescent="0.25">
      <c r="A170" s="5">
        <v>44423</v>
      </c>
      <c r="B170">
        <v>137.13</v>
      </c>
      <c r="C170">
        <v>140</v>
      </c>
      <c r="D170">
        <v>131.13</v>
      </c>
      <c r="E170">
        <v>136.66</v>
      </c>
      <c r="F170">
        <v>156355.32980000001</v>
      </c>
      <c r="G170">
        <v>136.66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0.24689966178128483</v>
      </c>
      <c r="Q170">
        <f t="shared" ref="Q170" si="826">F170*P170</f>
        <v>38604.07804532125</v>
      </c>
      <c r="R170">
        <f t="shared" ref="R170" si="827">R171+Q170</f>
        <v>14360593.962231914</v>
      </c>
      <c r="S170">
        <f t="shared" ref="S170" si="828">R170/100000</f>
        <v>143.60593962231914</v>
      </c>
      <c r="T170">
        <f t="shared" ref="T170" si="829">S170/1000</f>
        <v>0.14360593962231913</v>
      </c>
    </row>
    <row r="171" spans="1:20" x14ac:dyDescent="0.25">
      <c r="A171" s="5">
        <v>44422</v>
      </c>
      <c r="B171">
        <v>138.16999999999999</v>
      </c>
      <c r="C171">
        <v>141.4</v>
      </c>
      <c r="D171">
        <v>134.58000000000001</v>
      </c>
      <c r="E171">
        <v>137.22999999999999</v>
      </c>
      <c r="F171">
        <v>144906.20910000001</v>
      </c>
      <c r="G171">
        <v>137.22999999999999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-0.22287390029326101</v>
      </c>
      <c r="Q171">
        <f t="shared" ref="Q171" si="831">F171*P171</f>
        <v>-32295.811998827834</v>
      </c>
      <c r="R171">
        <f t="shared" ref="R171" si="832">R172+Q171</f>
        <v>14321989.884186592</v>
      </c>
      <c r="S171">
        <f t="shared" ref="S171" si="833">R171/100000</f>
        <v>143.21989884186593</v>
      </c>
      <c r="T171">
        <f t="shared" ref="T171" si="834">S171/1000</f>
        <v>0.14321989884186592</v>
      </c>
    </row>
    <row r="172" spans="1:20" x14ac:dyDescent="0.25">
      <c r="A172" s="5">
        <v>44421</v>
      </c>
      <c r="B172">
        <v>134.16999999999999</v>
      </c>
      <c r="C172">
        <v>139.30000000000001</v>
      </c>
      <c r="D172">
        <v>131.47</v>
      </c>
      <c r="E172">
        <v>138.16999999999999</v>
      </c>
      <c r="F172">
        <v>200100.5393</v>
      </c>
      <c r="G172">
        <v>138.16999999999999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0.71136653895274016</v>
      </c>
      <c r="Q172">
        <f t="shared" ref="Q172" si="836">F172*P172</f>
        <v>142344.82808441776</v>
      </c>
      <c r="R172">
        <f t="shared" ref="R172" si="837">R173+Q172</f>
        <v>14354285.696185419</v>
      </c>
      <c r="S172">
        <f t="shared" ref="S172" si="838">R172/100000</f>
        <v>143.5428569618542</v>
      </c>
      <c r="T172">
        <f t="shared" ref="T172" si="839">S172/1000</f>
        <v>0.1435428569618542</v>
      </c>
    </row>
    <row r="173" spans="1:20" x14ac:dyDescent="0.25">
      <c r="A173" s="5">
        <v>44420</v>
      </c>
      <c r="B173">
        <v>135.16</v>
      </c>
      <c r="C173">
        <v>142.77000000000001</v>
      </c>
      <c r="D173">
        <v>123.65</v>
      </c>
      <c r="E173">
        <v>134.22</v>
      </c>
      <c r="F173">
        <v>439009.85110000003</v>
      </c>
      <c r="G173">
        <v>134.22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0.10564853556485258</v>
      </c>
      <c r="Q173">
        <f t="shared" ref="Q173" si="841">F173*P173</f>
        <v>46380.747867258993</v>
      </c>
      <c r="R173">
        <f t="shared" ref="R173" si="842">R174+Q173</f>
        <v>14211940.868101001</v>
      </c>
      <c r="S173">
        <f t="shared" ref="S173" si="843">R173/100000</f>
        <v>142.11940868101001</v>
      </c>
      <c r="T173">
        <f t="shared" ref="T173" si="844">S173/1000</f>
        <v>0.14211940868101</v>
      </c>
    </row>
    <row r="174" spans="1:20" x14ac:dyDescent="0.25">
      <c r="A174" s="5">
        <v>44419</v>
      </c>
      <c r="B174">
        <v>139.49</v>
      </c>
      <c r="C174">
        <v>143.5</v>
      </c>
      <c r="D174">
        <v>133.43</v>
      </c>
      <c r="E174">
        <v>135.16999999999999</v>
      </c>
      <c r="F174">
        <v>148586.18359999999</v>
      </c>
      <c r="G174">
        <v>135.16999999999999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-0.65441906653426374</v>
      </c>
      <c r="Q174">
        <f t="shared" ref="Q174" si="846">F174*P174</f>
        <v>-97237.631571400721</v>
      </c>
      <c r="R174">
        <f t="shared" ref="R174" si="847">R175+Q174</f>
        <v>14165560.120233743</v>
      </c>
      <c r="S174">
        <f t="shared" ref="S174" si="848">R174/100000</f>
        <v>141.65560120233744</v>
      </c>
      <c r="T174">
        <f t="shared" ref="T174" si="849">S174/1000</f>
        <v>0.14165560120233744</v>
      </c>
    </row>
    <row r="175" spans="1:20" x14ac:dyDescent="0.25">
      <c r="A175" s="5">
        <v>44418</v>
      </c>
      <c r="B175">
        <v>134.22999999999999</v>
      </c>
      <c r="C175">
        <v>142.80000000000001</v>
      </c>
      <c r="D175">
        <v>132.46</v>
      </c>
      <c r="E175">
        <v>139.5</v>
      </c>
      <c r="F175">
        <v>207375.1366</v>
      </c>
      <c r="G175">
        <v>139.5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0.36170212765957249</v>
      </c>
      <c r="Q175">
        <f t="shared" ref="Q175" si="851">F175*P175</f>
        <v>75008.028131914485</v>
      </c>
      <c r="R175">
        <f t="shared" ref="R175" si="852">R176+Q175</f>
        <v>14262797.751805143</v>
      </c>
      <c r="S175">
        <f t="shared" ref="S175" si="853">R175/100000</f>
        <v>142.62797751805144</v>
      </c>
      <c r="T175">
        <f t="shared" ref="T175" si="854">S175/1000</f>
        <v>0.14262797751805142</v>
      </c>
    </row>
    <row r="176" spans="1:20" x14ac:dyDescent="0.25">
      <c r="A176" s="5">
        <v>44417</v>
      </c>
      <c r="B176">
        <v>125.42</v>
      </c>
      <c r="C176">
        <v>135.01</v>
      </c>
      <c r="D176">
        <v>118.44</v>
      </c>
      <c r="E176">
        <v>134.31</v>
      </c>
      <c r="F176">
        <v>285328.93829999998</v>
      </c>
      <c r="G176">
        <v>134.31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0.91550995775498023</v>
      </c>
      <c r="Q176">
        <f t="shared" ref="Q176" si="856">F176*P176</f>
        <v>261221.48424930635</v>
      </c>
      <c r="R176">
        <f t="shared" ref="R176" si="857">R177+Q176</f>
        <v>14187789.723673228</v>
      </c>
      <c r="S176">
        <f t="shared" ref="S176" si="858">R176/100000</f>
        <v>141.87789723673228</v>
      </c>
      <c r="T176">
        <f t="shared" ref="T176" si="859">S176/1000</f>
        <v>0.14187789723673228</v>
      </c>
    </row>
    <row r="177" spans="1:20" x14ac:dyDescent="0.25">
      <c r="A177" s="5">
        <v>44416</v>
      </c>
      <c r="B177">
        <v>117.9</v>
      </c>
      <c r="C177">
        <v>129</v>
      </c>
      <c r="D177">
        <v>114.77</v>
      </c>
      <c r="E177">
        <v>125.46</v>
      </c>
      <c r="F177">
        <v>298485.88270000002</v>
      </c>
      <c r="G177">
        <v>125.46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0.50245959241039984</v>
      </c>
      <c r="Q177">
        <f t="shared" ref="Q177" si="861">F177*P177</f>
        <v>149977.09496170044</v>
      </c>
      <c r="R177">
        <f t="shared" ref="R177" si="862">R178+Q177</f>
        <v>13926568.239423921</v>
      </c>
      <c r="S177">
        <f t="shared" ref="S177" si="863">R177/100000</f>
        <v>139.26568239423921</v>
      </c>
      <c r="T177">
        <f t="shared" ref="T177" si="864">S177/1000</f>
        <v>0.1392656823942392</v>
      </c>
    </row>
    <row r="178" spans="1:20" x14ac:dyDescent="0.25">
      <c r="A178" s="5">
        <v>44415</v>
      </c>
      <c r="B178">
        <v>115.65</v>
      </c>
      <c r="C178">
        <v>120.68</v>
      </c>
      <c r="D178">
        <v>114</v>
      </c>
      <c r="E178">
        <v>117.89</v>
      </c>
      <c r="F178">
        <v>142639.9449</v>
      </c>
      <c r="G178">
        <v>117.89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0.16467065868263372</v>
      </c>
      <c r="Q178">
        <f t="shared" ref="Q178" si="866">F178*P178</f>
        <v>23488.61368113758</v>
      </c>
      <c r="R178">
        <f t="shared" ref="R178" si="867">R179+Q178</f>
        <v>13776591.14446222</v>
      </c>
      <c r="S178">
        <f t="shared" ref="S178" si="868">R178/100000</f>
        <v>137.76591144462219</v>
      </c>
      <c r="T178">
        <f t="shared" ref="T178" si="869">S178/1000</f>
        <v>0.13776591144462219</v>
      </c>
    </row>
    <row r="179" spans="1:20" x14ac:dyDescent="0.25">
      <c r="A179" s="5">
        <v>44414</v>
      </c>
      <c r="B179">
        <v>109</v>
      </c>
      <c r="C179">
        <v>120.89</v>
      </c>
      <c r="D179">
        <v>107.02</v>
      </c>
      <c r="E179">
        <v>115.64</v>
      </c>
      <c r="F179">
        <v>473500.24910000002</v>
      </c>
      <c r="G179">
        <v>115.64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0.24297043979812569</v>
      </c>
      <c r="Q179">
        <f t="shared" ref="Q179" si="871">F179*P179</f>
        <v>115046.56376834906</v>
      </c>
      <c r="R179">
        <f t="shared" ref="R179" si="872">R180+Q179</f>
        <v>13753102.530781083</v>
      </c>
      <c r="S179">
        <f t="shared" ref="S179" si="873">R179/100000</f>
        <v>137.53102530781084</v>
      </c>
      <c r="T179">
        <f t="shared" ref="T179" si="874">S179/1000</f>
        <v>0.13753102530781083</v>
      </c>
    </row>
    <row r="180" spans="1:20" x14ac:dyDescent="0.25">
      <c r="A180" s="5">
        <v>44413</v>
      </c>
      <c r="B180">
        <v>102.63</v>
      </c>
      <c r="C180">
        <v>110.73</v>
      </c>
      <c r="D180">
        <v>100</v>
      </c>
      <c r="E180">
        <v>108.96</v>
      </c>
      <c r="F180">
        <v>401259.64270000003</v>
      </c>
      <c r="G180">
        <v>108.96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0.67008387698042693</v>
      </c>
      <c r="Q180">
        <f t="shared" ref="Q180" si="876">F180*P180</f>
        <v>268877.6170561969</v>
      </c>
      <c r="R180">
        <f t="shared" ref="R180" si="877">R181+Q180</f>
        <v>13638055.967012733</v>
      </c>
      <c r="S180">
        <f t="shared" ref="S180" si="878">R180/100000</f>
        <v>136.38055967012733</v>
      </c>
      <c r="T180">
        <f t="shared" ref="T180" si="879">S180/1000</f>
        <v>0.13638055967012733</v>
      </c>
    </row>
    <row r="181" spans="1:20" x14ac:dyDescent="0.25">
      <c r="A181" s="5">
        <v>44412</v>
      </c>
      <c r="B181">
        <v>97.86</v>
      </c>
      <c r="C181">
        <v>103.64</v>
      </c>
      <c r="D181">
        <v>97.31</v>
      </c>
      <c r="E181">
        <v>102.6</v>
      </c>
      <c r="F181">
        <v>144741.68059999999</v>
      </c>
      <c r="G181">
        <v>102.6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0.67140600315955556</v>
      </c>
      <c r="Q181">
        <f t="shared" ref="Q181" si="881">F181*P181</f>
        <v>97180.433262242979</v>
      </c>
      <c r="R181">
        <f t="shared" ref="R181" si="882">R182+Q181</f>
        <v>13369178.349956537</v>
      </c>
      <c r="S181">
        <f t="shared" ref="S181" si="883">R181/100000</f>
        <v>133.69178349956536</v>
      </c>
      <c r="T181">
        <f t="shared" ref="T181" si="884">S181/1000</f>
        <v>0.13369178349956537</v>
      </c>
    </row>
    <row r="182" spans="1:20" x14ac:dyDescent="0.25">
      <c r="A182" s="5">
        <v>44411</v>
      </c>
      <c r="B182">
        <v>104.27</v>
      </c>
      <c r="C182">
        <v>104.62</v>
      </c>
      <c r="D182">
        <v>95.76</v>
      </c>
      <c r="E182">
        <v>97.84</v>
      </c>
      <c r="F182">
        <v>332785.19689999998</v>
      </c>
      <c r="G182">
        <v>97.84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-0.5304740406320545</v>
      </c>
      <c r="Q182">
        <f t="shared" ref="Q182" si="886">F182*P182</f>
        <v>-176533.90806207684</v>
      </c>
      <c r="R182">
        <f t="shared" ref="R182" si="887">R183+Q182</f>
        <v>13271997.916694293</v>
      </c>
      <c r="S182">
        <f t="shared" ref="S182" si="888">R182/100000</f>
        <v>132.71997916694292</v>
      </c>
      <c r="T182">
        <f t="shared" ref="T182" si="889">S182/1000</f>
        <v>0.13271997916694292</v>
      </c>
    </row>
    <row r="183" spans="1:20" x14ac:dyDescent="0.25">
      <c r="A183" s="5">
        <v>44410</v>
      </c>
      <c r="B183">
        <v>87.11</v>
      </c>
      <c r="C183">
        <v>104.92</v>
      </c>
      <c r="D183">
        <v>85.67</v>
      </c>
      <c r="E183">
        <v>104.27</v>
      </c>
      <c r="F183">
        <v>553381.84069999994</v>
      </c>
      <c r="G183">
        <v>104.27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0.93246753246753189</v>
      </c>
      <c r="Q183">
        <f t="shared" ref="Q183" si="891">F183*P183</f>
        <v>516010.59950986976</v>
      </c>
      <c r="R183">
        <f t="shared" ref="R183" si="892">R184+Q183</f>
        <v>13448531.824756369</v>
      </c>
      <c r="S183">
        <f t="shared" ref="S183" si="893">R183/100000</f>
        <v>134.4853182475637</v>
      </c>
      <c r="T183">
        <f t="shared" ref="T183" si="894">S183/1000</f>
        <v>0.13448531824756368</v>
      </c>
    </row>
    <row r="184" spans="1:20" x14ac:dyDescent="0.25">
      <c r="A184" s="5">
        <v>44409</v>
      </c>
      <c r="B184">
        <v>86.69</v>
      </c>
      <c r="C184">
        <v>91.8</v>
      </c>
      <c r="D184">
        <v>85.57</v>
      </c>
      <c r="E184">
        <v>87.13</v>
      </c>
      <c r="F184">
        <v>303452.34179999999</v>
      </c>
      <c r="G184">
        <v>87.13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-0.49919743178170106</v>
      </c>
      <c r="Q184">
        <f t="shared" ref="Q184" si="896">F184*P184</f>
        <v>-151482.62969470292</v>
      </c>
      <c r="R184">
        <f t="shared" ref="R184" si="897">R185+Q184</f>
        <v>12932521.225246498</v>
      </c>
      <c r="S184">
        <f t="shared" ref="S184" si="898">R184/100000</f>
        <v>129.32521225246498</v>
      </c>
      <c r="T184">
        <f t="shared" ref="T184" si="899">S184/1000</f>
        <v>0.12932521225246499</v>
      </c>
    </row>
    <row r="185" spans="1:20" x14ac:dyDescent="0.25">
      <c r="A185" s="5">
        <v>44408</v>
      </c>
      <c r="B185">
        <v>86.79</v>
      </c>
      <c r="C185">
        <v>89.96</v>
      </c>
      <c r="D185">
        <v>84.52</v>
      </c>
      <c r="E185">
        <v>86.78</v>
      </c>
      <c r="F185">
        <v>207159.55160000001</v>
      </c>
      <c r="G185">
        <v>86.78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-0.16911764705882129</v>
      </c>
      <c r="Q185">
        <f t="shared" ref="Q185" si="901">F185*P185</f>
        <v>-35034.335932352478</v>
      </c>
      <c r="R185">
        <f t="shared" ref="R185" si="902">R186+Q185</f>
        <v>13084003.8549412</v>
      </c>
      <c r="S185">
        <f t="shared" ref="S185" si="903">R185/100000</f>
        <v>130.84003854941201</v>
      </c>
      <c r="T185">
        <f t="shared" ref="T185" si="904">S185/1000</f>
        <v>0.13084003854941201</v>
      </c>
    </row>
    <row r="186" spans="1:20" x14ac:dyDescent="0.25">
      <c r="A186" s="5">
        <v>44407</v>
      </c>
      <c r="B186">
        <v>84.98</v>
      </c>
      <c r="C186">
        <v>87.65</v>
      </c>
      <c r="D186">
        <v>81.5</v>
      </c>
      <c r="E186">
        <v>86.71</v>
      </c>
      <c r="F186">
        <v>168438.56969999999</v>
      </c>
      <c r="G186">
        <v>86.71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0.69430894308942726</v>
      </c>
      <c r="Q186">
        <f t="shared" ref="Q186" si="906">F186*P186</f>
        <v>116948.40530390182</v>
      </c>
      <c r="R186">
        <f t="shared" ref="R186" si="907">R187+Q186</f>
        <v>13119038.190873552</v>
      </c>
      <c r="S186">
        <f t="shared" ref="S186" si="908">R186/100000</f>
        <v>131.19038190873553</v>
      </c>
      <c r="T186">
        <f t="shared" ref="T186" si="909">S186/1000</f>
        <v>0.13119038190873553</v>
      </c>
    </row>
    <row r="187" spans="1:20" x14ac:dyDescent="0.25">
      <c r="A187" s="5">
        <v>44406</v>
      </c>
      <c r="B187">
        <v>85.16</v>
      </c>
      <c r="C187">
        <v>87</v>
      </c>
      <c r="D187">
        <v>83.2</v>
      </c>
      <c r="E187">
        <v>85.02</v>
      </c>
      <c r="F187">
        <v>122733.664</v>
      </c>
      <c r="G187">
        <v>85.02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-4.2105263157897609E-2</v>
      </c>
      <c r="Q187">
        <f t="shared" ref="Q187" si="911">F187*P187</f>
        <v>-5167.7332210529839</v>
      </c>
      <c r="R187">
        <f t="shared" ref="R187" si="912">R188+Q187</f>
        <v>13002089.785569651</v>
      </c>
      <c r="S187">
        <f t="shared" ref="S187" si="913">R187/100000</f>
        <v>130.02089785569652</v>
      </c>
      <c r="T187">
        <f t="shared" ref="T187" si="914">S187/1000</f>
        <v>0.13002089785569651</v>
      </c>
    </row>
    <row r="188" spans="1:20" x14ac:dyDescent="0.25">
      <c r="A188" s="5">
        <v>44405</v>
      </c>
      <c r="B188">
        <v>86.42</v>
      </c>
      <c r="C188">
        <v>87.69</v>
      </c>
      <c r="D188">
        <v>82.01</v>
      </c>
      <c r="E188">
        <v>85.27</v>
      </c>
      <c r="F188">
        <v>186660.057</v>
      </c>
      <c r="G188">
        <v>85.27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0.14788732394366028</v>
      </c>
      <c r="Q188">
        <f t="shared" ref="Q188" si="916">F188*P188</f>
        <v>27604.656316901091</v>
      </c>
      <c r="R188">
        <f t="shared" ref="R188" si="917">R189+Q188</f>
        <v>13007257.518790703</v>
      </c>
      <c r="S188">
        <f t="shared" ref="S188" si="918">R188/100000</f>
        <v>130.07257518790703</v>
      </c>
      <c r="T188">
        <f t="shared" ref="T188" si="919">S188/1000</f>
        <v>0.13007257518790705</v>
      </c>
    </row>
    <row r="189" spans="1:20" x14ac:dyDescent="0.25">
      <c r="A189" s="5">
        <v>44404</v>
      </c>
      <c r="B189">
        <v>86.05</v>
      </c>
      <c r="C189">
        <v>95</v>
      </c>
      <c r="D189">
        <v>80.8</v>
      </c>
      <c r="E189">
        <v>86.52</v>
      </c>
      <c r="F189">
        <v>194007.91219999999</v>
      </c>
      <c r="G189">
        <v>86.52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-0.19436619718309892</v>
      </c>
      <c r="Q189">
        <f t="shared" ref="Q189" si="921">F189*P189</f>
        <v>-37708.58011774654</v>
      </c>
      <c r="R189">
        <f t="shared" ref="R189" si="922">R190+Q189</f>
        <v>12979652.862473803</v>
      </c>
      <c r="S189">
        <f t="shared" ref="S189" si="923">R189/100000</f>
        <v>129.79652862473802</v>
      </c>
      <c r="T189">
        <f t="shared" ref="T189" si="924">S189/1000</f>
        <v>0.12979652862473801</v>
      </c>
    </row>
    <row r="190" spans="1:20" x14ac:dyDescent="0.25">
      <c r="A190" s="5">
        <v>44403</v>
      </c>
      <c r="B190">
        <v>84.91</v>
      </c>
      <c r="C190">
        <v>93.1</v>
      </c>
      <c r="D190">
        <v>84.5</v>
      </c>
      <c r="E190">
        <v>86.03</v>
      </c>
      <c r="F190">
        <v>437567.34659999999</v>
      </c>
      <c r="G190">
        <v>86.03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-0.64418604651162736</v>
      </c>
      <c r="Q190">
        <f t="shared" ref="Q190" si="926">F190*P190</f>
        <v>-281874.77908883698</v>
      </c>
      <c r="R190">
        <f t="shared" ref="R190" si="927">R191+Q190</f>
        <v>13017361.44259155</v>
      </c>
      <c r="S190">
        <f t="shared" ref="S190" si="928">R190/100000</f>
        <v>130.1736144259155</v>
      </c>
      <c r="T190">
        <f t="shared" ref="T190" si="929">S190/1000</f>
        <v>0.13017361442591549</v>
      </c>
    </row>
    <row r="191" spans="1:20" x14ac:dyDescent="0.25">
      <c r="A191" s="5">
        <v>44402</v>
      </c>
      <c r="B191">
        <v>82.56</v>
      </c>
      <c r="C191">
        <v>86.91</v>
      </c>
      <c r="D191">
        <v>81.099999999999994</v>
      </c>
      <c r="E191">
        <v>84.99</v>
      </c>
      <c r="F191">
        <v>122326.7182</v>
      </c>
      <c r="G191">
        <v>84.99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0.33907056798623031</v>
      </c>
      <c r="Q191">
        <f t="shared" ref="Q191" si="931">F191*P191</f>
        <v>41477.389819965538</v>
      </c>
      <c r="R191">
        <f t="shared" ref="R191" si="932">R192+Q191</f>
        <v>13299236.221680386</v>
      </c>
      <c r="S191">
        <f t="shared" ref="S191" si="933">R191/100000</f>
        <v>132.99236221680385</v>
      </c>
      <c r="T191">
        <f t="shared" ref="T191:T197" si="934">S191/1000</f>
        <v>0.13299236221680386</v>
      </c>
    </row>
    <row r="192" spans="1:20" x14ac:dyDescent="0.25">
      <c r="A192" s="5">
        <v>44401</v>
      </c>
      <c r="B192">
        <v>80.290000000000006</v>
      </c>
      <c r="C192">
        <v>88.36</v>
      </c>
      <c r="D192">
        <v>78.989999999999995</v>
      </c>
      <c r="E192">
        <v>82.63</v>
      </c>
      <c r="F192">
        <v>251028.04800000001</v>
      </c>
      <c r="G192">
        <v>82.63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-0.22305229455709738</v>
      </c>
      <c r="Q192">
        <f t="shared" ref="Q192" si="936">F192*P192</f>
        <v>-55992.382104589182</v>
      </c>
      <c r="R192">
        <f t="shared" ref="R192" si="937">R193+Q192</f>
        <v>13257758.831860421</v>
      </c>
      <c r="S192">
        <f t="shared" ref="S192" si="938">R192/100000</f>
        <v>132.5775883186042</v>
      </c>
      <c r="T192">
        <f t="shared" si="934"/>
        <v>0.13257758831860419</v>
      </c>
    </row>
    <row r="193" spans="1:20" x14ac:dyDescent="0.25">
      <c r="A193" s="5">
        <v>44400</v>
      </c>
      <c r="B193">
        <v>78.72</v>
      </c>
      <c r="C193">
        <v>82</v>
      </c>
      <c r="D193">
        <v>75.19</v>
      </c>
      <c r="E193">
        <v>80.28</v>
      </c>
      <c r="F193">
        <v>124803.7406</v>
      </c>
      <c r="G193">
        <v>80.28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0.49486049926578612</v>
      </c>
      <c r="Q193">
        <f t="shared" ref="Q193" si="940">F193*P193</f>
        <v>61760.441383553662</v>
      </c>
      <c r="R193">
        <f t="shared" ref="R193" si="941">R194+Q193</f>
        <v>13313751.21396501</v>
      </c>
      <c r="S193">
        <f t="shared" ref="S193" si="942">R193/100000</f>
        <v>133.13751213965011</v>
      </c>
      <c r="T193">
        <f t="shared" si="934"/>
        <v>0.13313751213965011</v>
      </c>
    </row>
    <row r="194" spans="1:20" x14ac:dyDescent="0.25">
      <c r="A194" s="5">
        <v>44399</v>
      </c>
      <c r="B194">
        <v>76.38</v>
      </c>
      <c r="C194">
        <v>82.62</v>
      </c>
      <c r="D194">
        <v>75.14</v>
      </c>
      <c r="E194">
        <v>78.75</v>
      </c>
      <c r="F194">
        <v>160476.81959999999</v>
      </c>
      <c r="G194">
        <v>78.75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-3.475935828877072E-2</v>
      </c>
      <c r="Q194">
        <f t="shared" ref="Q194" si="944">F194*P194</f>
        <v>-5578.0712695188231</v>
      </c>
      <c r="R194">
        <f t="shared" ref="R194" si="945">R195+Q194</f>
        <v>13251990.772581456</v>
      </c>
      <c r="S194">
        <f t="shared" ref="S194" si="946">R194/100000</f>
        <v>132.51990772581456</v>
      </c>
      <c r="T194">
        <f t="shared" si="934"/>
        <v>0.13251990772581457</v>
      </c>
    </row>
    <row r="195" spans="1:20" x14ac:dyDescent="0.25">
      <c r="A195" s="5">
        <v>44398</v>
      </c>
      <c r="B195">
        <v>67.709999999999994</v>
      </c>
      <c r="C195">
        <v>78.27</v>
      </c>
      <c r="D195">
        <v>65.540000000000006</v>
      </c>
      <c r="E195">
        <v>76.42</v>
      </c>
      <c r="F195">
        <v>190579.8222</v>
      </c>
      <c r="G195">
        <v>76.42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0.7093479968578168</v>
      </c>
      <c r="Q195">
        <f t="shared" ref="Q195" si="948">F195*P195</f>
        <v>135187.41511908887</v>
      </c>
      <c r="R195">
        <f t="shared" ref="R195" si="949">R196+Q195</f>
        <v>13257568.843850976</v>
      </c>
      <c r="S195">
        <f t="shared" ref="S195" si="950">R195/100000</f>
        <v>132.57568843850976</v>
      </c>
      <c r="T195">
        <f t="shared" si="934"/>
        <v>0.13257568843850975</v>
      </c>
    </row>
    <row r="196" spans="1:20" x14ac:dyDescent="0.25">
      <c r="A196" s="5">
        <v>44397</v>
      </c>
      <c r="B196">
        <v>70.209999999999994</v>
      </c>
      <c r="C196">
        <v>71.31</v>
      </c>
      <c r="D196">
        <v>65</v>
      </c>
      <c r="E196">
        <v>67.75</v>
      </c>
      <c r="F196">
        <v>172573.38089999999</v>
      </c>
      <c r="G196">
        <v>67.75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-0.12836767036450111</v>
      </c>
      <c r="Q196">
        <f t="shared" ref="Q196" si="952">F196*P196</f>
        <v>-22152.842873058689</v>
      </c>
      <c r="R196">
        <f t="shared" ref="R196" si="953">R197+Q196</f>
        <v>13122381.428731887</v>
      </c>
      <c r="S196">
        <f t="shared" ref="S196" si="954">R196/100000</f>
        <v>131.22381428731887</v>
      </c>
      <c r="T196">
        <f t="shared" si="934"/>
        <v>0.13122381428731889</v>
      </c>
    </row>
    <row r="197" spans="1:20" x14ac:dyDescent="0.25">
      <c r="A197" s="5">
        <v>44396</v>
      </c>
      <c r="B197">
        <v>74.44</v>
      </c>
      <c r="C197">
        <v>75.53</v>
      </c>
      <c r="D197">
        <v>69.650000000000006</v>
      </c>
      <c r="E197">
        <v>70.209999999999994</v>
      </c>
      <c r="F197">
        <v>148414.90919999999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-0.80952380952381342</v>
      </c>
      <c r="Q197">
        <f t="shared" ref="Q197" si="956">F197*P197</f>
        <v>-120145.40268571486</v>
      </c>
      <c r="R197">
        <f t="shared" ref="R197" si="957">R198+Q197</f>
        <v>13144534.271604946</v>
      </c>
      <c r="S197">
        <f t="shared" ref="S197" si="958">R197/100000</f>
        <v>131.44534271604945</v>
      </c>
      <c r="T197">
        <f t="shared" si="934"/>
        <v>0.13144534271604946</v>
      </c>
    </row>
    <row r="198" spans="1:20" x14ac:dyDescent="0.25">
      <c r="A198" s="5">
        <v>44395</v>
      </c>
      <c r="B198">
        <v>74.37</v>
      </c>
      <c r="C198">
        <v>80</v>
      </c>
      <c r="D198">
        <v>74.27</v>
      </c>
      <c r="E198">
        <v>74.489999999999995</v>
      </c>
      <c r="F198">
        <v>243557.06539999999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-0.92321116928446811</v>
      </c>
      <c r="Q198">
        <f t="shared" ref="Q198:Q261" si="960">F198*P198</f>
        <v>-224854.60313542766</v>
      </c>
      <c r="R198">
        <f t="shared" ref="R198:R261" si="961">R199+Q198</f>
        <v>13264679.674290661</v>
      </c>
      <c r="S198">
        <f t="shared" ref="S198:S261" si="962">R198/100000</f>
        <v>132.64679674290662</v>
      </c>
      <c r="T198">
        <f t="shared" ref="T198:T261" si="963">S198/1000</f>
        <v>0.13264679674290661</v>
      </c>
    </row>
    <row r="199" spans="1:20" x14ac:dyDescent="0.25">
      <c r="A199" s="5">
        <v>44394</v>
      </c>
      <c r="B199">
        <v>74.489999999999995</v>
      </c>
      <c r="C199">
        <v>76.569999999999993</v>
      </c>
      <c r="D199">
        <v>72.11</v>
      </c>
      <c r="E199">
        <v>74.33</v>
      </c>
      <c r="F199">
        <v>103480.0523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-4.4843049327345404E-3</v>
      </c>
      <c r="Q199">
        <f t="shared" si="960"/>
        <v>-464.03610896851819</v>
      </c>
      <c r="R199">
        <f t="shared" si="961"/>
        <v>13489534.277426088</v>
      </c>
      <c r="S199">
        <f t="shared" si="962"/>
        <v>134.89534277426088</v>
      </c>
      <c r="T199">
        <f t="shared" si="963"/>
        <v>0.13489534277426088</v>
      </c>
    </row>
    <row r="200" spans="1:20" x14ac:dyDescent="0.25">
      <c r="A200" s="5">
        <v>44393</v>
      </c>
      <c r="B200">
        <v>79.27</v>
      </c>
      <c r="C200">
        <v>80.290000000000006</v>
      </c>
      <c r="D200">
        <v>74.209999999999994</v>
      </c>
      <c r="E200">
        <v>74.52</v>
      </c>
      <c r="F200">
        <v>126452.0729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-0.89802631578947312</v>
      </c>
      <c r="Q200">
        <f t="shared" si="960"/>
        <v>-113557.28915032887</v>
      </c>
      <c r="R200">
        <f t="shared" si="961"/>
        <v>13489998.313535057</v>
      </c>
      <c r="S200">
        <f t="shared" si="962"/>
        <v>134.89998313535057</v>
      </c>
      <c r="T200">
        <f t="shared" si="963"/>
        <v>0.13489998313535057</v>
      </c>
    </row>
    <row r="201" spans="1:20" x14ac:dyDescent="0.25">
      <c r="A201" s="5">
        <v>44392</v>
      </c>
      <c r="B201">
        <v>84.17</v>
      </c>
      <c r="C201">
        <v>85.58</v>
      </c>
      <c r="D201">
        <v>77.44</v>
      </c>
      <c r="E201">
        <v>79.239999999999995</v>
      </c>
      <c r="F201">
        <v>169440.63819999999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-0.55773955773955852</v>
      </c>
      <c r="Q201">
        <f t="shared" si="960"/>
        <v>-94503.746612776536</v>
      </c>
      <c r="R201">
        <f t="shared" si="961"/>
        <v>13603555.602685386</v>
      </c>
      <c r="S201">
        <f t="shared" si="962"/>
        <v>136.03555602685387</v>
      </c>
      <c r="T201">
        <f t="shared" si="963"/>
        <v>0.13603555602685385</v>
      </c>
    </row>
    <row r="202" spans="1:20" x14ac:dyDescent="0.25">
      <c r="A202" s="5">
        <v>44391</v>
      </c>
      <c r="B202">
        <v>85.6</v>
      </c>
      <c r="C202">
        <v>85.9</v>
      </c>
      <c r="D202">
        <v>80.2</v>
      </c>
      <c r="E202">
        <v>84.17</v>
      </c>
      <c r="F202">
        <v>118712.7755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0.39298245614034977</v>
      </c>
      <c r="Q202">
        <f t="shared" si="960"/>
        <v>46652.038091227943</v>
      </c>
      <c r="R202">
        <f t="shared" si="961"/>
        <v>13698059.349298162</v>
      </c>
      <c r="S202">
        <f t="shared" si="962"/>
        <v>136.98059349298163</v>
      </c>
      <c r="T202">
        <f t="shared" si="963"/>
        <v>0.13698059349298164</v>
      </c>
    </row>
    <row r="203" spans="1:20" x14ac:dyDescent="0.25">
      <c r="A203" s="5">
        <v>44390</v>
      </c>
      <c r="B203">
        <v>88.08</v>
      </c>
      <c r="C203">
        <v>88.88</v>
      </c>
      <c r="D203">
        <v>83.35</v>
      </c>
      <c r="E203">
        <v>85.69</v>
      </c>
      <c r="F203">
        <v>115953.3141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-0.15370705244122859</v>
      </c>
      <c r="Q203">
        <f t="shared" si="960"/>
        <v>-17822.842131102952</v>
      </c>
      <c r="R203">
        <f t="shared" si="961"/>
        <v>13651407.311206935</v>
      </c>
      <c r="S203">
        <f t="shared" si="962"/>
        <v>136.51407311206935</v>
      </c>
      <c r="T203">
        <f t="shared" si="963"/>
        <v>0.13651407311206937</v>
      </c>
    </row>
    <row r="204" spans="1:20" x14ac:dyDescent="0.25">
      <c r="A204" s="5">
        <v>44389</v>
      </c>
      <c r="B204">
        <v>89.19</v>
      </c>
      <c r="C204">
        <v>91</v>
      </c>
      <c r="D204">
        <v>85.89</v>
      </c>
      <c r="E204">
        <v>88.17</v>
      </c>
      <c r="F204">
        <v>93265.369600000005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-0.10763209393346325</v>
      </c>
      <c r="Q204">
        <f t="shared" si="960"/>
        <v>-10038.347021526368</v>
      </c>
      <c r="R204">
        <f t="shared" si="961"/>
        <v>13669230.153338037</v>
      </c>
      <c r="S204">
        <f t="shared" si="962"/>
        <v>136.69230153338037</v>
      </c>
      <c r="T204">
        <f t="shared" si="963"/>
        <v>0.13669230153338038</v>
      </c>
    </row>
    <row r="205" spans="1:20" x14ac:dyDescent="0.25">
      <c r="A205" s="5">
        <v>44388</v>
      </c>
      <c r="B205">
        <v>88.25</v>
      </c>
      <c r="C205">
        <v>91.93</v>
      </c>
      <c r="D205">
        <v>86.79</v>
      </c>
      <c r="E205">
        <v>89.17</v>
      </c>
      <c r="F205">
        <v>77406.705000000002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-7.3929961089496038E-2</v>
      </c>
      <c r="Q205">
        <f t="shared" si="960"/>
        <v>-5722.6746887160989</v>
      </c>
      <c r="R205">
        <f t="shared" si="961"/>
        <v>13679268.500359563</v>
      </c>
      <c r="S205">
        <f t="shared" si="962"/>
        <v>136.79268500359564</v>
      </c>
      <c r="T205">
        <f t="shared" si="963"/>
        <v>0.13679268500359565</v>
      </c>
    </row>
    <row r="206" spans="1:20" x14ac:dyDescent="0.25">
      <c r="A206" s="5">
        <v>44387</v>
      </c>
      <c r="B206">
        <v>89.84</v>
      </c>
      <c r="C206">
        <v>92.42</v>
      </c>
      <c r="D206">
        <v>87.2</v>
      </c>
      <c r="E206">
        <v>88.28</v>
      </c>
      <c r="F206">
        <v>85077.524600000004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-0.58620689655172475</v>
      </c>
      <c r="Q206">
        <f t="shared" si="960"/>
        <v>-49873.031662069021</v>
      </c>
      <c r="R206">
        <f t="shared" si="961"/>
        <v>13684991.175048279</v>
      </c>
      <c r="S206">
        <f t="shared" si="962"/>
        <v>136.84991175048279</v>
      </c>
      <c r="T206">
        <f t="shared" si="963"/>
        <v>0.13684991175048278</v>
      </c>
    </row>
    <row r="207" spans="1:20" x14ac:dyDescent="0.25">
      <c r="A207" s="5">
        <v>44386</v>
      </c>
      <c r="B207">
        <v>88.59</v>
      </c>
      <c r="C207">
        <v>93.88</v>
      </c>
      <c r="D207">
        <v>84.81</v>
      </c>
      <c r="E207">
        <v>89.89</v>
      </c>
      <c r="F207">
        <v>133661.15789999999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0.12017640573318679</v>
      </c>
      <c r="Q207">
        <f t="shared" si="960"/>
        <v>16062.917542557943</v>
      </c>
      <c r="R207">
        <f t="shared" si="961"/>
        <v>13734864.206710348</v>
      </c>
      <c r="S207">
        <f t="shared" si="962"/>
        <v>137.34864206710347</v>
      </c>
      <c r="T207">
        <f t="shared" si="963"/>
        <v>0.13734864206710348</v>
      </c>
    </row>
    <row r="208" spans="1:20" x14ac:dyDescent="0.25">
      <c r="A208" s="5">
        <v>44385</v>
      </c>
      <c r="B208">
        <v>95.76</v>
      </c>
      <c r="C208">
        <v>96.06</v>
      </c>
      <c r="D208">
        <v>85.7</v>
      </c>
      <c r="E208">
        <v>88.58</v>
      </c>
      <c r="F208">
        <v>200658.3156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-0.44401544401544485</v>
      </c>
      <c r="Q208">
        <f t="shared" si="960"/>
        <v>-89095.391096525258</v>
      </c>
      <c r="R208">
        <f t="shared" si="961"/>
        <v>13718801.28916779</v>
      </c>
      <c r="S208">
        <f t="shared" si="962"/>
        <v>137.18801289167789</v>
      </c>
      <c r="T208">
        <f t="shared" si="963"/>
        <v>0.1371880128916779</v>
      </c>
    </row>
    <row r="209" spans="1:20" x14ac:dyDescent="0.25">
      <c r="A209" s="5">
        <v>44384</v>
      </c>
      <c r="B209">
        <v>95.73</v>
      </c>
      <c r="C209">
        <v>99.69</v>
      </c>
      <c r="D209">
        <v>93.83</v>
      </c>
      <c r="E209">
        <v>95.78</v>
      </c>
      <c r="F209">
        <v>179574.28039999999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-0.33447098976109113</v>
      </c>
      <c r="Q209">
        <f t="shared" si="960"/>
        <v>-60062.387301023708</v>
      </c>
      <c r="R209">
        <f t="shared" si="961"/>
        <v>13807896.680264315</v>
      </c>
      <c r="S209">
        <f t="shared" si="962"/>
        <v>138.07896680264315</v>
      </c>
      <c r="T209">
        <f t="shared" si="963"/>
        <v>0.13807896680264314</v>
      </c>
    </row>
    <row r="210" spans="1:20" x14ac:dyDescent="0.25">
      <c r="A210" s="5">
        <v>44383</v>
      </c>
      <c r="B210">
        <v>97.72</v>
      </c>
      <c r="C210">
        <v>105.28</v>
      </c>
      <c r="D210">
        <v>93</v>
      </c>
      <c r="E210">
        <v>95.77</v>
      </c>
      <c r="F210">
        <v>287956.89990000002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-0.54885993485342088</v>
      </c>
      <c r="Q210">
        <f t="shared" si="960"/>
        <v>-158048.00531970704</v>
      </c>
      <c r="R210">
        <f t="shared" si="961"/>
        <v>13867959.067565339</v>
      </c>
      <c r="S210">
        <f t="shared" si="962"/>
        <v>138.6795906756534</v>
      </c>
      <c r="T210">
        <f t="shared" si="963"/>
        <v>0.13867959067565341</v>
      </c>
    </row>
    <row r="211" spans="1:20" x14ac:dyDescent="0.25">
      <c r="A211" s="5">
        <v>44382</v>
      </c>
      <c r="B211">
        <v>93.45</v>
      </c>
      <c r="C211">
        <v>107.81</v>
      </c>
      <c r="D211">
        <v>88.65</v>
      </c>
      <c r="E211">
        <v>97.71</v>
      </c>
      <c r="F211">
        <v>579229.91570000001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-5.4279749478080411E-2</v>
      </c>
      <c r="Q211">
        <f t="shared" si="960"/>
        <v>-31440.454714405638</v>
      </c>
      <c r="R211">
        <f t="shared" si="961"/>
        <v>14026007.072885046</v>
      </c>
      <c r="S211">
        <f t="shared" si="962"/>
        <v>140.26007072885045</v>
      </c>
      <c r="T211">
        <f t="shared" si="963"/>
        <v>0.14026007072885044</v>
      </c>
    </row>
    <row r="212" spans="1:20" x14ac:dyDescent="0.25">
      <c r="A212" s="5">
        <v>44381</v>
      </c>
      <c r="B212">
        <v>92.4</v>
      </c>
      <c r="C212">
        <v>96.58</v>
      </c>
      <c r="D212">
        <v>89.82</v>
      </c>
      <c r="E212">
        <v>93.53</v>
      </c>
      <c r="F212">
        <v>167289.0448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9.7633136094676082E-2</v>
      </c>
      <c r="Q212">
        <f t="shared" si="960"/>
        <v>16332.954078106764</v>
      </c>
      <c r="R212">
        <f t="shared" si="961"/>
        <v>14057447.527599452</v>
      </c>
      <c r="S212">
        <f t="shared" si="962"/>
        <v>140.57447527599453</v>
      </c>
      <c r="T212">
        <f t="shared" si="963"/>
        <v>0.14057447527599454</v>
      </c>
    </row>
    <row r="213" spans="1:20" x14ac:dyDescent="0.25">
      <c r="A213" s="5">
        <v>44380</v>
      </c>
      <c r="B213">
        <v>81.12</v>
      </c>
      <c r="C213">
        <v>94.43</v>
      </c>
      <c r="D213">
        <v>80</v>
      </c>
      <c r="E213">
        <v>92.5</v>
      </c>
      <c r="F213">
        <v>248633.64840000001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0.73250173250173167</v>
      </c>
      <c r="Q213">
        <f t="shared" si="960"/>
        <v>182124.57821122641</v>
      </c>
      <c r="R213">
        <f t="shared" si="961"/>
        <v>14041114.573521346</v>
      </c>
      <c r="S213">
        <f t="shared" si="962"/>
        <v>140.41114573521347</v>
      </c>
      <c r="T213">
        <f t="shared" si="963"/>
        <v>0.14041114573521346</v>
      </c>
    </row>
    <row r="214" spans="1:20" x14ac:dyDescent="0.25">
      <c r="A214" s="5">
        <v>44379</v>
      </c>
      <c r="B214">
        <v>80.209999999999994</v>
      </c>
      <c r="C214">
        <v>82.28</v>
      </c>
      <c r="D214">
        <v>77.33</v>
      </c>
      <c r="E214">
        <v>81.2</v>
      </c>
      <c r="F214">
        <v>114263.05250000001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0.5636363636363646</v>
      </c>
      <c r="Q214">
        <f t="shared" si="960"/>
        <v>64402.811409091024</v>
      </c>
      <c r="R214">
        <f t="shared" si="961"/>
        <v>13858989.99531012</v>
      </c>
      <c r="S214">
        <f t="shared" si="962"/>
        <v>138.5898999531012</v>
      </c>
      <c r="T214">
        <f t="shared" si="963"/>
        <v>0.1385898999531012</v>
      </c>
    </row>
    <row r="215" spans="1:20" x14ac:dyDescent="0.25">
      <c r="A215" s="5">
        <v>44378</v>
      </c>
      <c r="B215">
        <v>85.16</v>
      </c>
      <c r="C215">
        <v>85.25</v>
      </c>
      <c r="D215">
        <v>78.3</v>
      </c>
      <c r="E215">
        <v>80.260000000000005</v>
      </c>
      <c r="F215">
        <v>161255.90830000001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-0.4359712230215807</v>
      </c>
      <c r="Q215">
        <f t="shared" si="960"/>
        <v>-70302.935561006874</v>
      </c>
      <c r="R215">
        <f t="shared" si="961"/>
        <v>13794587.183901029</v>
      </c>
      <c r="S215">
        <f t="shared" si="962"/>
        <v>137.94587183901029</v>
      </c>
      <c r="T215">
        <f t="shared" si="963"/>
        <v>0.1379458718390103</v>
      </c>
    </row>
    <row r="216" spans="1:20" x14ac:dyDescent="0.25">
      <c r="A216" s="5">
        <v>44377</v>
      </c>
      <c r="B216">
        <v>85.02</v>
      </c>
      <c r="C216">
        <v>88.54</v>
      </c>
      <c r="D216">
        <v>78.11</v>
      </c>
      <c r="E216">
        <v>85.14</v>
      </c>
      <c r="F216">
        <v>319346.43369999999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0.34803451581975003</v>
      </c>
      <c r="Q216">
        <f t="shared" si="960"/>
        <v>111143.5814315434</v>
      </c>
      <c r="R216">
        <f t="shared" si="961"/>
        <v>13864890.119462036</v>
      </c>
      <c r="S216">
        <f t="shared" si="962"/>
        <v>138.64890119462035</v>
      </c>
      <c r="T216">
        <f t="shared" si="963"/>
        <v>0.13864890119462034</v>
      </c>
    </row>
    <row r="217" spans="1:20" x14ac:dyDescent="0.25">
      <c r="A217" s="5">
        <v>44376</v>
      </c>
      <c r="B217">
        <v>73.819999999999993</v>
      </c>
      <c r="C217">
        <v>89.21</v>
      </c>
      <c r="D217">
        <v>73.319999999999993</v>
      </c>
      <c r="E217">
        <v>85.02</v>
      </c>
      <c r="F217">
        <v>346905.3468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0.47262429200755224</v>
      </c>
      <c r="Q217">
        <f t="shared" si="960"/>
        <v>163955.89392498438</v>
      </c>
      <c r="R217">
        <f t="shared" si="961"/>
        <v>13753746.538030492</v>
      </c>
      <c r="S217">
        <f t="shared" si="962"/>
        <v>137.53746538030492</v>
      </c>
      <c r="T217">
        <f t="shared" si="963"/>
        <v>0.13753746538030492</v>
      </c>
    </row>
    <row r="218" spans="1:20" x14ac:dyDescent="0.25">
      <c r="A218" s="5">
        <v>44375</v>
      </c>
      <c r="B218">
        <v>65.75</v>
      </c>
      <c r="C218">
        <v>74.63</v>
      </c>
      <c r="D218">
        <v>64.510000000000005</v>
      </c>
      <c r="E218">
        <v>73.790000000000006</v>
      </c>
      <c r="F218">
        <v>211424.8014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0.83399209486166204</v>
      </c>
      <c r="Q218">
        <f t="shared" si="960"/>
        <v>176326.61302529686</v>
      </c>
      <c r="R218">
        <f t="shared" si="961"/>
        <v>13589790.644105507</v>
      </c>
      <c r="S218">
        <f t="shared" si="962"/>
        <v>135.89790644105508</v>
      </c>
      <c r="T218">
        <f t="shared" si="963"/>
        <v>0.13589790644105509</v>
      </c>
    </row>
    <row r="219" spans="1:20" x14ac:dyDescent="0.25">
      <c r="A219" s="5">
        <v>44374</v>
      </c>
      <c r="B219">
        <v>63.64</v>
      </c>
      <c r="C219">
        <v>66.36</v>
      </c>
      <c r="D219">
        <v>61.9</v>
      </c>
      <c r="E219">
        <v>65.8</v>
      </c>
      <c r="F219">
        <v>180765.67230000001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0.7488789237668152</v>
      </c>
      <c r="Q219">
        <f t="shared" si="960"/>
        <v>135371.6021260088</v>
      </c>
      <c r="R219">
        <f t="shared" si="961"/>
        <v>13413464.031080211</v>
      </c>
      <c r="S219">
        <f t="shared" si="962"/>
        <v>134.1346403108021</v>
      </c>
      <c r="T219">
        <f t="shared" si="963"/>
        <v>0.13413464031080211</v>
      </c>
    </row>
    <row r="220" spans="1:20" x14ac:dyDescent="0.25">
      <c r="A220" s="5">
        <v>44373</v>
      </c>
      <c r="B220">
        <v>61.48</v>
      </c>
      <c r="C220">
        <v>64.599999999999994</v>
      </c>
      <c r="D220">
        <v>59.14</v>
      </c>
      <c r="E220">
        <v>63.66</v>
      </c>
      <c r="F220">
        <v>130630.4497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0.65567765567765612</v>
      </c>
      <c r="Q220">
        <f t="shared" si="960"/>
        <v>85651.467019413976</v>
      </c>
      <c r="R220">
        <f t="shared" si="961"/>
        <v>13278092.428954203</v>
      </c>
      <c r="S220">
        <f t="shared" si="962"/>
        <v>132.78092428954201</v>
      </c>
      <c r="T220">
        <f t="shared" si="963"/>
        <v>0.13278092428954202</v>
      </c>
    </row>
    <row r="221" spans="1:20" x14ac:dyDescent="0.25">
      <c r="A221" s="5">
        <v>44372</v>
      </c>
      <c r="B221">
        <v>67.459999999999994</v>
      </c>
      <c r="C221">
        <v>69.12</v>
      </c>
      <c r="D221">
        <v>61.09</v>
      </c>
      <c r="E221">
        <v>61.57</v>
      </c>
      <c r="F221">
        <v>171117.88709999999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-0.88044831880448393</v>
      </c>
      <c r="Q221">
        <f t="shared" si="960"/>
        <v>-150660.45601457049</v>
      </c>
      <c r="R221">
        <f t="shared" si="961"/>
        <v>13192440.961934788</v>
      </c>
      <c r="S221">
        <f t="shared" si="962"/>
        <v>131.92440961934787</v>
      </c>
      <c r="T221">
        <f t="shared" si="963"/>
        <v>0.13192440961934787</v>
      </c>
    </row>
    <row r="222" spans="1:20" x14ac:dyDescent="0.25">
      <c r="A222" s="5">
        <v>44371</v>
      </c>
      <c r="B222">
        <v>65.27</v>
      </c>
      <c r="C222">
        <v>70</v>
      </c>
      <c r="D222">
        <v>61.22</v>
      </c>
      <c r="E222">
        <v>67.430000000000007</v>
      </c>
      <c r="F222">
        <v>161363.99660000001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0.41457858769931827</v>
      </c>
      <c r="Q222">
        <f t="shared" si="960"/>
        <v>66898.057815945605</v>
      </c>
      <c r="R222">
        <f t="shared" si="961"/>
        <v>13343101.417949358</v>
      </c>
      <c r="S222">
        <f t="shared" si="962"/>
        <v>133.43101417949359</v>
      </c>
      <c r="T222">
        <f t="shared" si="963"/>
        <v>0.1334310141794936</v>
      </c>
    </row>
    <row r="223" spans="1:20" x14ac:dyDescent="0.25">
      <c r="A223" s="5">
        <v>44370</v>
      </c>
      <c r="B223">
        <v>59.64</v>
      </c>
      <c r="C223">
        <v>69.37</v>
      </c>
      <c r="D223">
        <v>57.01</v>
      </c>
      <c r="E223">
        <v>65.3</v>
      </c>
      <c r="F223">
        <v>282024.75630000001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0.34142394822006389</v>
      </c>
      <c r="Q223">
        <f t="shared" si="960"/>
        <v>96290.005791747346</v>
      </c>
      <c r="R223">
        <f t="shared" si="961"/>
        <v>13276203.360133413</v>
      </c>
      <c r="S223">
        <f t="shared" si="962"/>
        <v>132.76203360133414</v>
      </c>
      <c r="T223">
        <f t="shared" si="963"/>
        <v>0.13276203360133415</v>
      </c>
    </row>
    <row r="224" spans="1:20" x14ac:dyDescent="0.25">
      <c r="A224" s="5">
        <v>44369</v>
      </c>
      <c r="B224">
        <v>68.16</v>
      </c>
      <c r="C224">
        <v>72.569999999999993</v>
      </c>
      <c r="D224">
        <v>53.41</v>
      </c>
      <c r="E224">
        <v>59.64</v>
      </c>
      <c r="F224">
        <v>605512.56140000001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-0.34968684759916441</v>
      </c>
      <c r="Q224">
        <f t="shared" si="960"/>
        <v>-211739.77877766147</v>
      </c>
      <c r="R224">
        <f t="shared" si="961"/>
        <v>13179913.354341665</v>
      </c>
      <c r="S224">
        <f t="shared" si="962"/>
        <v>131.79913354341664</v>
      </c>
      <c r="T224">
        <f t="shared" si="963"/>
        <v>0.13179913354341666</v>
      </c>
    </row>
    <row r="225" spans="1:20" x14ac:dyDescent="0.25">
      <c r="A225" s="5">
        <v>44368</v>
      </c>
      <c r="B225">
        <v>80.17</v>
      </c>
      <c r="C225">
        <v>80.989999999999995</v>
      </c>
      <c r="D225">
        <v>67.39</v>
      </c>
      <c r="E225">
        <v>68.260000000000005</v>
      </c>
      <c r="F225">
        <v>256169.356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-0.872058823529411</v>
      </c>
      <c r="Q225">
        <f t="shared" si="960"/>
        <v>-223394.74721764686</v>
      </c>
      <c r="R225">
        <f t="shared" si="961"/>
        <v>13391653.133119326</v>
      </c>
      <c r="S225">
        <f t="shared" si="962"/>
        <v>133.91653133119326</v>
      </c>
      <c r="T225">
        <f t="shared" si="963"/>
        <v>0.13391653133119324</v>
      </c>
    </row>
    <row r="226" spans="1:20" x14ac:dyDescent="0.25">
      <c r="A226" s="5">
        <v>44367</v>
      </c>
      <c r="B226">
        <v>79.37</v>
      </c>
      <c r="C226">
        <v>82.55</v>
      </c>
      <c r="D226">
        <v>76.44</v>
      </c>
      <c r="E226">
        <v>80.27</v>
      </c>
      <c r="F226">
        <v>115099.2127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0.25368248772504048</v>
      </c>
      <c r="Q226">
        <f t="shared" si="960"/>
        <v>29198.654612929575</v>
      </c>
      <c r="R226">
        <f t="shared" si="961"/>
        <v>13615047.880336974</v>
      </c>
      <c r="S226">
        <f t="shared" si="962"/>
        <v>136.15047880336974</v>
      </c>
      <c r="T226">
        <f t="shared" si="963"/>
        <v>0.13615047880336972</v>
      </c>
    </row>
    <row r="227" spans="1:20" x14ac:dyDescent="0.25">
      <c r="A227" s="5">
        <v>44366</v>
      </c>
      <c r="B227">
        <v>79.84</v>
      </c>
      <c r="C227">
        <v>82.1</v>
      </c>
      <c r="D227">
        <v>78.099999999999994</v>
      </c>
      <c r="E227">
        <v>79.349999999999994</v>
      </c>
      <c r="F227">
        <v>91804.292799999996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-0.375</v>
      </c>
      <c r="Q227">
        <f t="shared" si="960"/>
        <v>-34426.609799999998</v>
      </c>
      <c r="R227">
        <f t="shared" si="961"/>
        <v>13585849.225724043</v>
      </c>
      <c r="S227">
        <f t="shared" si="962"/>
        <v>135.85849225724044</v>
      </c>
      <c r="T227">
        <f t="shared" si="963"/>
        <v>0.13585849225724045</v>
      </c>
    </row>
    <row r="228" spans="1:20" x14ac:dyDescent="0.25">
      <c r="A228" s="5">
        <v>44365</v>
      </c>
      <c r="B228">
        <v>86.12</v>
      </c>
      <c r="C228">
        <v>86.47</v>
      </c>
      <c r="D228">
        <v>77.790000000000006</v>
      </c>
      <c r="E228">
        <v>79.83</v>
      </c>
      <c r="F228">
        <v>135362.2585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-0.52995391705069272</v>
      </c>
      <c r="Q228">
        <f t="shared" si="960"/>
        <v>-71735.759112903426</v>
      </c>
      <c r="R228">
        <f t="shared" si="961"/>
        <v>13620275.835524043</v>
      </c>
      <c r="S228">
        <f t="shared" si="962"/>
        <v>136.20275835524043</v>
      </c>
      <c r="T228">
        <f t="shared" si="963"/>
        <v>0.13620275835524043</v>
      </c>
    </row>
    <row r="229" spans="1:20" x14ac:dyDescent="0.25">
      <c r="A229" s="5">
        <v>44364</v>
      </c>
      <c r="B229">
        <v>86.54</v>
      </c>
      <c r="C229">
        <v>89.4</v>
      </c>
      <c r="D229">
        <v>82.8</v>
      </c>
      <c r="E229">
        <v>86.13</v>
      </c>
      <c r="F229">
        <v>109767.02800000001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9.0909090909072707E-3</v>
      </c>
      <c r="Q229">
        <f t="shared" si="960"/>
        <v>997.88207272707302</v>
      </c>
      <c r="R229">
        <f t="shared" si="961"/>
        <v>13692011.594636947</v>
      </c>
      <c r="S229">
        <f t="shared" si="962"/>
        <v>136.92011594636946</v>
      </c>
      <c r="T229">
        <f t="shared" si="963"/>
        <v>0.13692011594636946</v>
      </c>
    </row>
    <row r="230" spans="1:20" x14ac:dyDescent="0.25">
      <c r="A230" s="5">
        <v>44363</v>
      </c>
      <c r="B230">
        <v>90.83</v>
      </c>
      <c r="C230">
        <v>91.96</v>
      </c>
      <c r="D230">
        <v>85.2</v>
      </c>
      <c r="E230">
        <v>86.49</v>
      </c>
      <c r="F230">
        <v>131857.23809999999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-0.61834319526627401</v>
      </c>
      <c r="Q230">
        <f t="shared" si="960"/>
        <v>-81533.025925739872</v>
      </c>
      <c r="R230">
        <f t="shared" si="961"/>
        <v>13691013.712564221</v>
      </c>
      <c r="S230">
        <f t="shared" si="962"/>
        <v>136.91013712564219</v>
      </c>
      <c r="T230">
        <f t="shared" si="963"/>
        <v>0.13691013712564221</v>
      </c>
    </row>
    <row r="231" spans="1:20" x14ac:dyDescent="0.25">
      <c r="A231" s="5">
        <v>44362</v>
      </c>
      <c r="B231">
        <v>89.97</v>
      </c>
      <c r="C231">
        <v>94</v>
      </c>
      <c r="D231">
        <v>87.75</v>
      </c>
      <c r="E231">
        <v>90.97</v>
      </c>
      <c r="F231">
        <v>144334.00700000001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3.0399999999999636E-2</v>
      </c>
      <c r="Q231">
        <f t="shared" si="960"/>
        <v>4387.7538127999478</v>
      </c>
      <c r="R231">
        <f t="shared" si="961"/>
        <v>13772546.738489961</v>
      </c>
      <c r="S231">
        <f t="shared" si="962"/>
        <v>137.72546738489962</v>
      </c>
      <c r="T231">
        <f t="shared" si="963"/>
        <v>0.1377254673848996</v>
      </c>
    </row>
    <row r="232" spans="1:20" x14ac:dyDescent="0.25">
      <c r="A232" s="5">
        <v>44361</v>
      </c>
      <c r="B232">
        <v>87.28</v>
      </c>
      <c r="C232">
        <v>94.3</v>
      </c>
      <c r="D232">
        <v>84.9</v>
      </c>
      <c r="E232">
        <v>89.99</v>
      </c>
      <c r="F232">
        <v>192006.15239999999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8.2978723404254009E-2</v>
      </c>
      <c r="Q232">
        <f t="shared" si="960"/>
        <v>15932.425411914641</v>
      </c>
      <c r="R232">
        <f t="shared" si="961"/>
        <v>13768158.984677162</v>
      </c>
      <c r="S232">
        <f t="shared" si="962"/>
        <v>137.68158984677163</v>
      </c>
      <c r="T232">
        <f t="shared" si="963"/>
        <v>0.13768158984677162</v>
      </c>
    </row>
    <row r="233" spans="1:20" x14ac:dyDescent="0.25">
      <c r="A233" s="5">
        <v>44360</v>
      </c>
      <c r="B233">
        <v>78.83</v>
      </c>
      <c r="C233">
        <v>89.85</v>
      </c>
      <c r="D233">
        <v>76</v>
      </c>
      <c r="E233">
        <v>87.22</v>
      </c>
      <c r="F233">
        <v>177320.0079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0.62021660649819543</v>
      </c>
      <c r="Q233">
        <f t="shared" si="960"/>
        <v>109976.8135639712</v>
      </c>
      <c r="R233">
        <f t="shared" si="961"/>
        <v>13752226.559265247</v>
      </c>
      <c r="S233">
        <f t="shared" si="962"/>
        <v>137.52226559265247</v>
      </c>
      <c r="T233">
        <f t="shared" si="963"/>
        <v>0.13752226559265249</v>
      </c>
    </row>
    <row r="234" spans="1:20" x14ac:dyDescent="0.25">
      <c r="A234" s="5">
        <v>44359</v>
      </c>
      <c r="B234">
        <v>81.08</v>
      </c>
      <c r="C234">
        <v>81.709999999999994</v>
      </c>
      <c r="D234">
        <v>77.34</v>
      </c>
      <c r="E234">
        <v>78.86</v>
      </c>
      <c r="F234">
        <v>155663.2237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-0.30434782608695682</v>
      </c>
      <c r="Q234">
        <f t="shared" si="960"/>
        <v>-47375.763734782653</v>
      </c>
      <c r="R234">
        <f t="shared" si="961"/>
        <v>13642249.745701276</v>
      </c>
      <c r="S234">
        <f t="shared" si="962"/>
        <v>136.42249745701275</v>
      </c>
      <c r="T234">
        <f t="shared" si="963"/>
        <v>0.13642249745701276</v>
      </c>
    </row>
    <row r="235" spans="1:20" x14ac:dyDescent="0.25">
      <c r="A235" s="5">
        <v>44358</v>
      </c>
      <c r="B235">
        <v>87.21</v>
      </c>
      <c r="C235">
        <v>90.05</v>
      </c>
      <c r="D235">
        <v>80.599999999999994</v>
      </c>
      <c r="E235">
        <v>81.08</v>
      </c>
      <c r="F235">
        <v>144691.15169999999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-0.89841269841269755</v>
      </c>
      <c r="Q235">
        <f t="shared" si="960"/>
        <v>-129992.36803523796</v>
      </c>
      <c r="R235">
        <f t="shared" si="961"/>
        <v>13689625.509436058</v>
      </c>
      <c r="S235">
        <f t="shared" si="962"/>
        <v>136.89625509436058</v>
      </c>
      <c r="T235">
        <f t="shared" si="963"/>
        <v>0.1368962550943606</v>
      </c>
    </row>
    <row r="236" spans="1:20" x14ac:dyDescent="0.25">
      <c r="A236" s="5">
        <v>44357</v>
      </c>
      <c r="B236">
        <v>92.8</v>
      </c>
      <c r="C236">
        <v>93.87</v>
      </c>
      <c r="D236">
        <v>86.4</v>
      </c>
      <c r="E236">
        <v>87.08</v>
      </c>
      <c r="F236">
        <v>147016.88149999999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-0.81793842034806086</v>
      </c>
      <c r="Q236">
        <f t="shared" si="960"/>
        <v>-120250.75581860804</v>
      </c>
      <c r="R236">
        <f t="shared" si="961"/>
        <v>13819617.877471296</v>
      </c>
      <c r="S236">
        <f t="shared" si="962"/>
        <v>138.19617877471296</v>
      </c>
      <c r="T236">
        <f t="shared" si="963"/>
        <v>0.13819617877471296</v>
      </c>
    </row>
    <row r="237" spans="1:20" x14ac:dyDescent="0.25">
      <c r="A237" s="5">
        <v>44356</v>
      </c>
      <c r="B237">
        <v>89.56</v>
      </c>
      <c r="C237">
        <v>95</v>
      </c>
      <c r="D237">
        <v>84.72</v>
      </c>
      <c r="E237">
        <v>92.85</v>
      </c>
      <c r="F237">
        <v>167803.8432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0.58171206225680827</v>
      </c>
      <c r="Q237">
        <f t="shared" si="960"/>
        <v>97613.519682490092</v>
      </c>
      <c r="R237">
        <f t="shared" si="961"/>
        <v>13939868.633289903</v>
      </c>
      <c r="S237">
        <f t="shared" si="962"/>
        <v>139.39868633289905</v>
      </c>
      <c r="T237">
        <f t="shared" si="963"/>
        <v>0.13939868633289904</v>
      </c>
    </row>
    <row r="238" spans="1:20" x14ac:dyDescent="0.25">
      <c r="A238" s="5">
        <v>44355</v>
      </c>
      <c r="B238">
        <v>90.86</v>
      </c>
      <c r="C238">
        <v>92.77</v>
      </c>
      <c r="D238">
        <v>78.69</v>
      </c>
      <c r="E238">
        <v>89.55</v>
      </c>
      <c r="F238">
        <v>284609.44069999998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0.54261363636363646</v>
      </c>
      <c r="Q238">
        <f t="shared" si="960"/>
        <v>154432.96356164775</v>
      </c>
      <c r="R238">
        <f t="shared" si="961"/>
        <v>13842255.113607414</v>
      </c>
      <c r="S238">
        <f t="shared" si="962"/>
        <v>138.42255113607413</v>
      </c>
      <c r="T238">
        <f t="shared" si="963"/>
        <v>0.13842255113607413</v>
      </c>
    </row>
    <row r="239" spans="1:20" x14ac:dyDescent="0.25">
      <c r="A239" s="5">
        <v>44354</v>
      </c>
      <c r="B239">
        <v>97.25</v>
      </c>
      <c r="C239">
        <v>106.37</v>
      </c>
      <c r="D239">
        <v>90.1</v>
      </c>
      <c r="E239">
        <v>90.96</v>
      </c>
      <c r="F239">
        <v>243703.4523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-0.89428395820528594</v>
      </c>
      <c r="Q239">
        <f t="shared" si="960"/>
        <v>-217940.0879511371</v>
      </c>
      <c r="R239">
        <f t="shared" si="961"/>
        <v>13687822.150045766</v>
      </c>
      <c r="S239">
        <f t="shared" si="962"/>
        <v>136.87822150045764</v>
      </c>
      <c r="T239">
        <f t="shared" si="963"/>
        <v>0.13687822150045764</v>
      </c>
    </row>
    <row r="240" spans="1:20" x14ac:dyDescent="0.25">
      <c r="A240" s="5">
        <v>44353</v>
      </c>
      <c r="B240">
        <v>96.75</v>
      </c>
      <c r="C240">
        <v>99.5</v>
      </c>
      <c r="D240">
        <v>95.03</v>
      </c>
      <c r="E240">
        <v>97.38</v>
      </c>
      <c r="F240">
        <v>72046.894899999999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5.1454138702458574E-2</v>
      </c>
      <c r="Q240">
        <f t="shared" si="960"/>
        <v>3707.1109232660551</v>
      </c>
      <c r="R240">
        <f t="shared" si="961"/>
        <v>13905762.237996902</v>
      </c>
      <c r="S240">
        <f t="shared" si="962"/>
        <v>139.05762237996902</v>
      </c>
      <c r="T240">
        <f t="shared" si="963"/>
        <v>0.13905762237996902</v>
      </c>
    </row>
    <row r="241" spans="1:20" x14ac:dyDescent="0.25">
      <c r="A241" s="5">
        <v>44352</v>
      </c>
      <c r="B241">
        <v>96.51</v>
      </c>
      <c r="C241">
        <v>103.83</v>
      </c>
      <c r="D241">
        <v>92.11</v>
      </c>
      <c r="E241">
        <v>96.86</v>
      </c>
      <c r="F241">
        <v>161983.28769999999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-0.18941979522184293</v>
      </c>
      <c r="Q241">
        <f t="shared" si="960"/>
        <v>-30682.841185494868</v>
      </c>
      <c r="R241">
        <f t="shared" si="961"/>
        <v>13902055.127073636</v>
      </c>
      <c r="S241">
        <f t="shared" si="962"/>
        <v>139.02055127073638</v>
      </c>
      <c r="T241">
        <f t="shared" si="963"/>
        <v>0.13902055127073637</v>
      </c>
    </row>
    <row r="242" spans="1:20" x14ac:dyDescent="0.25">
      <c r="A242" s="5">
        <v>44351</v>
      </c>
      <c r="B242">
        <v>107.26</v>
      </c>
      <c r="C242">
        <v>107.6</v>
      </c>
      <c r="D242">
        <v>92.56</v>
      </c>
      <c r="E242">
        <v>96.55</v>
      </c>
      <c r="F242">
        <v>239129.35939999999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-0.46941489361702166</v>
      </c>
      <c r="Q242">
        <f t="shared" si="960"/>
        <v>-112250.88280345753</v>
      </c>
      <c r="R242">
        <f t="shared" si="961"/>
        <v>13932737.968259132</v>
      </c>
      <c r="S242">
        <f t="shared" si="962"/>
        <v>139.32737968259133</v>
      </c>
      <c r="T242">
        <f t="shared" si="963"/>
        <v>0.13932737968259132</v>
      </c>
    </row>
    <row r="243" spans="1:20" x14ac:dyDescent="0.25">
      <c r="A243" s="5">
        <v>44350</v>
      </c>
      <c r="B243">
        <v>103.52</v>
      </c>
      <c r="C243">
        <v>111.23</v>
      </c>
      <c r="D243">
        <v>101.8</v>
      </c>
      <c r="E243">
        <v>107.24</v>
      </c>
      <c r="F243">
        <v>152360.96539999999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0.15376458112407079</v>
      </c>
      <c r="Q243">
        <f t="shared" si="960"/>
        <v>23427.720024390041</v>
      </c>
      <c r="R243">
        <f t="shared" si="961"/>
        <v>14044988.851062588</v>
      </c>
      <c r="S243">
        <f t="shared" si="962"/>
        <v>140.4498885106259</v>
      </c>
      <c r="T243">
        <f t="shared" si="963"/>
        <v>0.1404498885106259</v>
      </c>
    </row>
    <row r="244" spans="1:20" x14ac:dyDescent="0.25">
      <c r="A244" s="5">
        <v>44349</v>
      </c>
      <c r="B244">
        <v>101.37</v>
      </c>
      <c r="C244">
        <v>108.96</v>
      </c>
      <c r="D244">
        <v>98.95</v>
      </c>
      <c r="E244">
        <v>103.4</v>
      </c>
      <c r="F244">
        <v>159431.79740000001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-0.11088911088910951</v>
      </c>
      <c r="Q244">
        <f t="shared" si="960"/>
        <v>-17679.250261138641</v>
      </c>
      <c r="R244">
        <f t="shared" si="961"/>
        <v>14021561.131038198</v>
      </c>
      <c r="S244">
        <f t="shared" si="962"/>
        <v>140.21561131038197</v>
      </c>
      <c r="T244">
        <f t="shared" si="963"/>
        <v>0.14021561131038196</v>
      </c>
    </row>
    <row r="245" spans="1:20" x14ac:dyDescent="0.25">
      <c r="A245" s="5">
        <v>44348</v>
      </c>
      <c r="B245">
        <v>103.62</v>
      </c>
      <c r="C245">
        <v>105.38</v>
      </c>
      <c r="D245">
        <v>98.5</v>
      </c>
      <c r="E245">
        <v>101.49</v>
      </c>
      <c r="F245">
        <v>183916.02050000001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-0.13081395348837302</v>
      </c>
      <c r="Q245">
        <f t="shared" si="960"/>
        <v>-24058.781751453662</v>
      </c>
      <c r="R245">
        <f t="shared" si="961"/>
        <v>14039240.381299337</v>
      </c>
      <c r="S245">
        <f t="shared" si="962"/>
        <v>140.39240381299336</v>
      </c>
      <c r="T245">
        <f t="shared" si="963"/>
        <v>0.14039240381299337</v>
      </c>
    </row>
    <row r="246" spans="1:20" x14ac:dyDescent="0.25">
      <c r="A246" s="5">
        <v>44347</v>
      </c>
      <c r="B246">
        <v>92.87</v>
      </c>
      <c r="C246">
        <v>104.5</v>
      </c>
      <c r="D246">
        <v>90.01</v>
      </c>
      <c r="E246">
        <v>103.75</v>
      </c>
      <c r="F246">
        <v>199026.9725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0.89648033126293991</v>
      </c>
      <c r="Q246">
        <f t="shared" si="960"/>
        <v>178423.76623706004</v>
      </c>
      <c r="R246">
        <f t="shared" si="961"/>
        <v>14063299.163050791</v>
      </c>
      <c r="S246">
        <f t="shared" si="962"/>
        <v>140.63299163050792</v>
      </c>
      <c r="T246">
        <f t="shared" si="963"/>
        <v>0.14063299163050791</v>
      </c>
    </row>
    <row r="247" spans="1:20" x14ac:dyDescent="0.25">
      <c r="A247" s="5">
        <v>44346</v>
      </c>
      <c r="B247">
        <v>90.68</v>
      </c>
      <c r="C247">
        <v>99.45</v>
      </c>
      <c r="D247">
        <v>87.4</v>
      </c>
      <c r="E247">
        <v>92.91</v>
      </c>
      <c r="F247">
        <v>165361.36009999999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-8.5477178423237807E-2</v>
      </c>
      <c r="Q247">
        <f t="shared" si="960"/>
        <v>-14134.622481576976</v>
      </c>
      <c r="R247">
        <f t="shared" si="961"/>
        <v>13884875.396813732</v>
      </c>
      <c r="S247">
        <f t="shared" si="962"/>
        <v>138.84875396813732</v>
      </c>
      <c r="T247">
        <f t="shared" si="963"/>
        <v>0.13884875396813731</v>
      </c>
    </row>
    <row r="248" spans="1:20" x14ac:dyDescent="0.25">
      <c r="A248" s="5">
        <v>44345</v>
      </c>
      <c r="B248">
        <v>99.47</v>
      </c>
      <c r="C248">
        <v>105.32</v>
      </c>
      <c r="D248">
        <v>86.11</v>
      </c>
      <c r="E248">
        <v>90.6</v>
      </c>
      <c r="F248">
        <v>267092.85149999999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-0.53253513794898533</v>
      </c>
      <c r="Q248">
        <f t="shared" si="960"/>
        <v>-142236.32851874034</v>
      </c>
      <c r="R248">
        <f t="shared" si="961"/>
        <v>13899010.019295309</v>
      </c>
      <c r="S248">
        <f t="shared" si="962"/>
        <v>138.99010019295309</v>
      </c>
      <c r="T248">
        <f t="shared" si="963"/>
        <v>0.1389901001929531</v>
      </c>
    </row>
    <row r="249" spans="1:20" x14ac:dyDescent="0.25">
      <c r="A249" s="5">
        <v>44344</v>
      </c>
      <c r="B249">
        <v>114.84</v>
      </c>
      <c r="C249">
        <v>115.37</v>
      </c>
      <c r="D249">
        <v>95.21</v>
      </c>
      <c r="E249">
        <v>99.53</v>
      </c>
      <c r="F249">
        <v>335047.13329999999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-0.57142857142857095</v>
      </c>
      <c r="Q249">
        <f t="shared" si="960"/>
        <v>-191455.50474285698</v>
      </c>
      <c r="R249">
        <f t="shared" si="961"/>
        <v>14041246.34781405</v>
      </c>
      <c r="S249">
        <f t="shared" si="962"/>
        <v>140.41246347814049</v>
      </c>
      <c r="T249">
        <f t="shared" si="963"/>
        <v>0.14041246347814049</v>
      </c>
    </row>
    <row r="250" spans="1:20" x14ac:dyDescent="0.25">
      <c r="A250" s="5">
        <v>44343</v>
      </c>
      <c r="B250">
        <v>118.76</v>
      </c>
      <c r="C250">
        <v>119.2</v>
      </c>
      <c r="D250">
        <v>106.7</v>
      </c>
      <c r="E250">
        <v>114.83</v>
      </c>
      <c r="F250">
        <v>242927.8143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0.30079999999999929</v>
      </c>
      <c r="Q250">
        <f t="shared" si="960"/>
        <v>73072.68654143982</v>
      </c>
      <c r="R250">
        <f t="shared" si="961"/>
        <v>14232701.852556907</v>
      </c>
      <c r="S250">
        <f t="shared" si="962"/>
        <v>142.32701852556906</v>
      </c>
      <c r="T250">
        <f t="shared" si="963"/>
        <v>0.14232701852556906</v>
      </c>
    </row>
    <row r="251" spans="1:20" x14ac:dyDescent="0.25">
      <c r="A251" s="5">
        <v>44342</v>
      </c>
      <c r="B251">
        <v>102.25</v>
      </c>
      <c r="C251">
        <v>121.79</v>
      </c>
      <c r="D251">
        <v>99.73</v>
      </c>
      <c r="E251">
        <v>118.73</v>
      </c>
      <c r="F251">
        <v>365061.81050000002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0.72257479601087926</v>
      </c>
      <c r="Q251">
        <f t="shared" si="960"/>
        <v>263784.46325339976</v>
      </c>
      <c r="R251">
        <f t="shared" si="961"/>
        <v>14159629.166015467</v>
      </c>
      <c r="S251">
        <f t="shared" si="962"/>
        <v>141.59629166015466</v>
      </c>
      <c r="T251">
        <f t="shared" si="963"/>
        <v>0.14159629166015467</v>
      </c>
    </row>
    <row r="252" spans="1:20" x14ac:dyDescent="0.25">
      <c r="A252" s="5">
        <v>44341</v>
      </c>
      <c r="B252">
        <v>104.22</v>
      </c>
      <c r="C252">
        <v>109.4</v>
      </c>
      <c r="D252">
        <v>95.88</v>
      </c>
      <c r="E252">
        <v>102.38</v>
      </c>
      <c r="F252">
        <v>362549.41859999998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-3.8461538461539192E-2</v>
      </c>
      <c r="Q252">
        <f t="shared" si="960"/>
        <v>-13944.208407692571</v>
      </c>
      <c r="R252">
        <f t="shared" si="961"/>
        <v>13895844.702762067</v>
      </c>
      <c r="S252">
        <f t="shared" si="962"/>
        <v>138.95844702762068</v>
      </c>
      <c r="T252">
        <f t="shared" si="963"/>
        <v>0.13895844702762067</v>
      </c>
    </row>
    <row r="253" spans="1:20" x14ac:dyDescent="0.25">
      <c r="A253" s="5">
        <v>44340</v>
      </c>
      <c r="B253">
        <v>85.43</v>
      </c>
      <c r="C253">
        <v>109.21</v>
      </c>
      <c r="D253">
        <v>82.56</v>
      </c>
      <c r="E253">
        <v>104.26</v>
      </c>
      <c r="F253">
        <v>429638.98580000002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0.6285178236397756</v>
      </c>
      <c r="Q253">
        <f t="shared" si="960"/>
        <v>270035.76030581648</v>
      </c>
      <c r="R253">
        <f t="shared" si="961"/>
        <v>13909788.91116976</v>
      </c>
      <c r="S253">
        <f t="shared" si="962"/>
        <v>139.09788911169761</v>
      </c>
      <c r="T253">
        <f t="shared" si="963"/>
        <v>0.1390978891116976</v>
      </c>
    </row>
    <row r="254" spans="1:20" x14ac:dyDescent="0.25">
      <c r="A254" s="5">
        <v>44339</v>
      </c>
      <c r="B254">
        <v>90.37</v>
      </c>
      <c r="C254">
        <v>94.42</v>
      </c>
      <c r="D254">
        <v>65.95</v>
      </c>
      <c r="E254">
        <v>85.33</v>
      </c>
      <c r="F254">
        <v>628525.55940000003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0.36143308746048447</v>
      </c>
      <c r="Q254">
        <f t="shared" si="960"/>
        <v>227169.93348177013</v>
      </c>
      <c r="R254">
        <f t="shared" si="961"/>
        <v>13639753.150863944</v>
      </c>
      <c r="S254">
        <f t="shared" si="962"/>
        <v>136.39753150863945</v>
      </c>
      <c r="T254">
        <f t="shared" si="963"/>
        <v>0.13639753150863945</v>
      </c>
    </row>
    <row r="255" spans="1:20" x14ac:dyDescent="0.25">
      <c r="A255" s="5">
        <v>44338</v>
      </c>
      <c r="B255">
        <v>97.79</v>
      </c>
      <c r="C255">
        <v>99.23</v>
      </c>
      <c r="D255">
        <v>85.68</v>
      </c>
      <c r="E255">
        <v>90.41</v>
      </c>
      <c r="F255">
        <v>338234.09720000002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-0.30184501845018585</v>
      </c>
      <c r="Q255">
        <f t="shared" si="960"/>
        <v>-102094.27730981597</v>
      </c>
      <c r="R255">
        <f t="shared" si="961"/>
        <v>13412583.217382174</v>
      </c>
      <c r="S255">
        <f t="shared" si="962"/>
        <v>134.12583217382175</v>
      </c>
      <c r="T255">
        <f t="shared" si="963"/>
        <v>0.13412583217382174</v>
      </c>
    </row>
    <row r="256" spans="1:20" x14ac:dyDescent="0.25">
      <c r="A256" s="5">
        <v>44337</v>
      </c>
      <c r="B256">
        <v>112.55</v>
      </c>
      <c r="C256">
        <v>116.54</v>
      </c>
      <c r="D256">
        <v>85.25</v>
      </c>
      <c r="E256">
        <v>97.88</v>
      </c>
      <c r="F256">
        <v>617022.38309999998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-0.1927133269415153</v>
      </c>
      <c r="Q256">
        <f t="shared" si="960"/>
        <v>-118908.43624458319</v>
      </c>
      <c r="R256">
        <f t="shared" si="961"/>
        <v>13514677.49469199</v>
      </c>
      <c r="S256">
        <f t="shared" si="962"/>
        <v>135.14677494691989</v>
      </c>
      <c r="T256">
        <f t="shared" si="963"/>
        <v>0.1351467749469199</v>
      </c>
    </row>
    <row r="257" spans="1:20" x14ac:dyDescent="0.25">
      <c r="A257" s="5">
        <v>44336</v>
      </c>
      <c r="B257">
        <v>96.39</v>
      </c>
      <c r="C257">
        <v>123.57</v>
      </c>
      <c r="D257">
        <v>90.2</v>
      </c>
      <c r="E257">
        <v>112.54</v>
      </c>
      <c r="F257">
        <v>643812.53980000003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0.33892718010188849</v>
      </c>
      <c r="Q257">
        <f t="shared" si="960"/>
        <v>218205.56862864885</v>
      </c>
      <c r="R257">
        <f t="shared" si="961"/>
        <v>13633585.930936573</v>
      </c>
      <c r="S257">
        <f t="shared" si="962"/>
        <v>136.33585930936573</v>
      </c>
      <c r="T257">
        <f t="shared" si="963"/>
        <v>0.13633585930936573</v>
      </c>
    </row>
    <row r="258" spans="1:20" x14ac:dyDescent="0.25">
      <c r="A258" s="5">
        <v>44335</v>
      </c>
      <c r="B258">
        <v>144.82</v>
      </c>
      <c r="C258">
        <v>148.32</v>
      </c>
      <c r="D258">
        <v>75</v>
      </c>
      <c r="E258">
        <v>96.48</v>
      </c>
      <c r="F258">
        <v>1097410.4087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-0.41407528641571179</v>
      </c>
      <c r="Q258">
        <f t="shared" si="960"/>
        <v>-454410.52929803584</v>
      </c>
      <c r="R258">
        <f t="shared" si="961"/>
        <v>13415380.362307925</v>
      </c>
      <c r="S258">
        <f t="shared" si="962"/>
        <v>134.15380362307926</v>
      </c>
      <c r="T258">
        <f t="shared" si="963"/>
        <v>0.13415380362307924</v>
      </c>
    </row>
    <row r="259" spans="1:20" x14ac:dyDescent="0.25">
      <c r="A259" s="5">
        <v>44334</v>
      </c>
      <c r="B259">
        <v>140.68</v>
      </c>
      <c r="C259">
        <v>152.87</v>
      </c>
      <c r="D259">
        <v>138.87</v>
      </c>
      <c r="E259">
        <v>144.94</v>
      </c>
      <c r="F259">
        <v>269399.01520000002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-0.13285714285714384</v>
      </c>
      <c r="Q259">
        <f t="shared" si="960"/>
        <v>-35791.583448000267</v>
      </c>
      <c r="R259">
        <f t="shared" si="961"/>
        <v>13869790.89160596</v>
      </c>
      <c r="S259">
        <f t="shared" si="962"/>
        <v>138.69790891605959</v>
      </c>
      <c r="T259">
        <f t="shared" si="963"/>
        <v>0.1386979089160596</v>
      </c>
    </row>
    <row r="260" spans="1:20" x14ac:dyDescent="0.25">
      <c r="A260" s="5">
        <v>44333</v>
      </c>
      <c r="B260">
        <v>154.6</v>
      </c>
      <c r="C260">
        <v>154.77000000000001</v>
      </c>
      <c r="D260">
        <v>134</v>
      </c>
      <c r="E260">
        <v>140.35</v>
      </c>
      <c r="F260">
        <v>383629.12790000002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-0.38854116514203263</v>
      </c>
      <c r="Q260">
        <f t="shared" si="960"/>
        <v>-149055.70833668788</v>
      </c>
      <c r="R260">
        <f t="shared" si="961"/>
        <v>13905582.47505396</v>
      </c>
      <c r="S260">
        <f t="shared" si="962"/>
        <v>139.05582475053961</v>
      </c>
      <c r="T260">
        <f t="shared" si="963"/>
        <v>0.13905582475053962</v>
      </c>
    </row>
    <row r="261" spans="1:20" x14ac:dyDescent="0.25">
      <c r="A261" s="5">
        <v>44332</v>
      </c>
      <c r="B261">
        <v>156.85</v>
      </c>
      <c r="C261">
        <v>169.67</v>
      </c>
      <c r="D261">
        <v>143.03</v>
      </c>
      <c r="E261">
        <v>154.63</v>
      </c>
      <c r="F261">
        <v>311816.09889999998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-0.12912912912912911</v>
      </c>
      <c r="Q261">
        <f t="shared" si="960"/>
        <v>-40264.541299399389</v>
      </c>
      <c r="R261">
        <f t="shared" si="961"/>
        <v>14054638.183390649</v>
      </c>
      <c r="S261">
        <f t="shared" si="962"/>
        <v>140.54638183390648</v>
      </c>
      <c r="T261">
        <f t="shared" si="963"/>
        <v>0.14054638183390647</v>
      </c>
    </row>
    <row r="262" spans="1:20" x14ac:dyDescent="0.25">
      <c r="A262" s="5">
        <v>44331</v>
      </c>
      <c r="B262">
        <v>164.01</v>
      </c>
      <c r="C262">
        <v>167.74</v>
      </c>
      <c r="D262">
        <v>155</v>
      </c>
      <c r="E262">
        <v>156.79</v>
      </c>
      <c r="F262">
        <v>261665.28150000001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-0.71899529042386334</v>
      </c>
      <c r="Q262">
        <f t="shared" ref="Q262:Q325" si="965">F262*P262</f>
        <v>-188136.10506593448</v>
      </c>
      <c r="R262">
        <f t="shared" ref="R262:R325" si="966">R263+Q262</f>
        <v>14094902.724690048</v>
      </c>
      <c r="S262">
        <f t="shared" ref="S262:S325" si="967">R262/100000</f>
        <v>140.94902724690047</v>
      </c>
      <c r="T262">
        <f t="shared" ref="T262:T325" si="968">S262/1000</f>
        <v>0.14094902724690048</v>
      </c>
    </row>
    <row r="263" spans="1:20" x14ac:dyDescent="0.25">
      <c r="A263" s="5">
        <v>44330</v>
      </c>
      <c r="B263">
        <v>161.41999999999999</v>
      </c>
      <c r="C263">
        <v>172.65</v>
      </c>
      <c r="D263">
        <v>160.4</v>
      </c>
      <c r="E263">
        <v>164.15</v>
      </c>
      <c r="F263">
        <v>225035.93160000001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-0.38775510204081631</v>
      </c>
      <c r="Q263">
        <f t="shared" si="965"/>
        <v>-87258.83062040816</v>
      </c>
      <c r="R263">
        <f t="shared" si="966"/>
        <v>14283038.829755982</v>
      </c>
      <c r="S263">
        <f t="shared" si="967"/>
        <v>142.83038829755984</v>
      </c>
      <c r="T263">
        <f t="shared" si="968"/>
        <v>0.14283038829755984</v>
      </c>
    </row>
    <row r="264" spans="1:20" x14ac:dyDescent="0.25">
      <c r="A264" s="5">
        <v>44329</v>
      </c>
      <c r="B264">
        <v>170.1</v>
      </c>
      <c r="C264">
        <v>175.98</v>
      </c>
      <c r="D264">
        <v>154.22</v>
      </c>
      <c r="E264">
        <v>161.31</v>
      </c>
      <c r="F264">
        <v>398408.08039999998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-0.34834558823529355</v>
      </c>
      <c r="Q264">
        <f t="shared" si="965"/>
        <v>-138783.6971246321</v>
      </c>
      <c r="R264">
        <f t="shared" si="966"/>
        <v>14370297.66037639</v>
      </c>
      <c r="S264">
        <f t="shared" si="967"/>
        <v>143.70297660376391</v>
      </c>
      <c r="T264">
        <f t="shared" si="968"/>
        <v>0.14370297660376391</v>
      </c>
    </row>
    <row r="265" spans="1:20" x14ac:dyDescent="0.25">
      <c r="A265" s="5">
        <v>44328</v>
      </c>
      <c r="B265">
        <v>181.65</v>
      </c>
      <c r="C265">
        <v>186.12</v>
      </c>
      <c r="D265">
        <v>166.94</v>
      </c>
      <c r="E265">
        <v>170.1</v>
      </c>
      <c r="F265">
        <v>251359.3026</v>
      </c>
      <c r="G265">
        <v>0</v>
      </c>
      <c r="L265" t="s">
        <v>8</v>
      </c>
      <c r="M265" t="s">
        <v>7</v>
      </c>
      <c r="N265" t="s">
        <v>8</v>
      </c>
      <c r="P265">
        <f t="shared" si="964"/>
        <v>-0.67049009384775859</v>
      </c>
      <c r="Q265">
        <f t="shared" si="965"/>
        <v>-168533.92238978116</v>
      </c>
      <c r="R265">
        <f t="shared" si="966"/>
        <v>14509081.357501023</v>
      </c>
      <c r="S265">
        <f t="shared" si="967"/>
        <v>145.09081357501023</v>
      </c>
      <c r="T265">
        <f t="shared" si="968"/>
        <v>0.14509081357501022</v>
      </c>
    </row>
    <row r="266" spans="1:20" x14ac:dyDescent="0.25">
      <c r="A266" s="5">
        <v>44327</v>
      </c>
      <c r="B266">
        <v>172.95</v>
      </c>
      <c r="C266">
        <v>181.81</v>
      </c>
      <c r="D266">
        <v>169.35</v>
      </c>
      <c r="E266">
        <v>181.55</v>
      </c>
      <c r="F266">
        <v>179869.7115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0.95826645264847665</v>
      </c>
      <c r="Q266">
        <f t="shared" si="965"/>
        <v>172363.11037800991</v>
      </c>
      <c r="R266">
        <f t="shared" si="966"/>
        <v>14677615.279890804</v>
      </c>
      <c r="S266">
        <f t="shared" si="967"/>
        <v>146.77615279890804</v>
      </c>
      <c r="T266">
        <f t="shared" si="968"/>
        <v>0.14677615279890804</v>
      </c>
    </row>
    <row r="267" spans="1:20" x14ac:dyDescent="0.25">
      <c r="A267" s="5">
        <v>44326</v>
      </c>
      <c r="B267">
        <v>187.9</v>
      </c>
      <c r="C267">
        <v>191.82</v>
      </c>
      <c r="D267">
        <v>160</v>
      </c>
      <c r="E267">
        <v>173.1</v>
      </c>
      <c r="F267">
        <v>199962.8664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-0.17661847894406052</v>
      </c>
      <c r="Q267">
        <f t="shared" si="965"/>
        <v>-35317.137308862388</v>
      </c>
      <c r="R267">
        <f t="shared" si="966"/>
        <v>14505252.169512793</v>
      </c>
      <c r="S267">
        <f t="shared" si="967"/>
        <v>145.05252169512792</v>
      </c>
      <c r="T267">
        <f t="shared" si="968"/>
        <v>0.14505252169512792</v>
      </c>
    </row>
    <row r="268" spans="1:20" x14ac:dyDescent="0.25">
      <c r="A268" s="5">
        <v>44325</v>
      </c>
      <c r="B268">
        <v>185.82</v>
      </c>
      <c r="C268">
        <v>189.8</v>
      </c>
      <c r="D268">
        <v>179.77</v>
      </c>
      <c r="E268">
        <v>187.84</v>
      </c>
      <c r="F268">
        <v>121417.334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0.60917248255234147</v>
      </c>
      <c r="Q268">
        <f t="shared" si="965"/>
        <v>73964.098777666819</v>
      </c>
      <c r="R268">
        <f t="shared" si="966"/>
        <v>14540569.306821655</v>
      </c>
      <c r="S268">
        <f t="shared" si="967"/>
        <v>145.40569306821655</v>
      </c>
      <c r="T268">
        <f t="shared" si="968"/>
        <v>0.14540569306821655</v>
      </c>
    </row>
    <row r="269" spans="1:20" x14ac:dyDescent="0.25">
      <c r="A269" s="5">
        <v>44324</v>
      </c>
      <c r="B269">
        <v>190.12</v>
      </c>
      <c r="C269">
        <v>194</v>
      </c>
      <c r="D269">
        <v>184.59</v>
      </c>
      <c r="E269">
        <v>185.77</v>
      </c>
      <c r="F269">
        <v>101889.9261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-0.7492029755579156</v>
      </c>
      <c r="Q269">
        <f t="shared" si="965"/>
        <v>-76336.235813496125</v>
      </c>
      <c r="R269">
        <f t="shared" si="966"/>
        <v>14466605.208043989</v>
      </c>
      <c r="S269">
        <f t="shared" si="967"/>
        <v>144.6660520804399</v>
      </c>
      <c r="T269">
        <f t="shared" si="968"/>
        <v>0.14466605208043989</v>
      </c>
    </row>
    <row r="270" spans="1:20" x14ac:dyDescent="0.25">
      <c r="A270" s="5">
        <v>44323</v>
      </c>
      <c r="B270">
        <v>194.21</v>
      </c>
      <c r="C270">
        <v>198.2</v>
      </c>
      <c r="D270">
        <v>186.9</v>
      </c>
      <c r="E270">
        <v>190.29</v>
      </c>
      <c r="F270">
        <v>148795.1121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-0.40000000000000152</v>
      </c>
      <c r="Q270">
        <f t="shared" si="965"/>
        <v>-59518.044840000228</v>
      </c>
      <c r="R270">
        <f t="shared" si="966"/>
        <v>14542941.443857485</v>
      </c>
      <c r="S270">
        <f t="shared" si="967"/>
        <v>145.42941443857487</v>
      </c>
      <c r="T270">
        <f t="shared" si="968"/>
        <v>0.14542941443857488</v>
      </c>
    </row>
    <row r="271" spans="1:20" x14ac:dyDescent="0.25">
      <c r="A271" s="5">
        <v>44322</v>
      </c>
      <c r="B271">
        <v>192.84</v>
      </c>
      <c r="C271">
        <v>205</v>
      </c>
      <c r="D271">
        <v>188.77</v>
      </c>
      <c r="E271">
        <v>194.16</v>
      </c>
      <c r="F271">
        <v>252883.8242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-0.33579790511398772</v>
      </c>
      <c r="Q271">
        <f t="shared" si="965"/>
        <v>-84917.858403573948</v>
      </c>
      <c r="R271">
        <f t="shared" si="966"/>
        <v>14602459.488697486</v>
      </c>
      <c r="S271">
        <f t="shared" si="967"/>
        <v>146.02459488697485</v>
      </c>
      <c r="T271">
        <f t="shared" si="968"/>
        <v>0.14602459488697486</v>
      </c>
    </row>
    <row r="272" spans="1:20" x14ac:dyDescent="0.25">
      <c r="A272" s="5">
        <v>44321</v>
      </c>
      <c r="B272">
        <v>175.16</v>
      </c>
      <c r="C272">
        <v>199.9</v>
      </c>
      <c r="D272">
        <v>174.46</v>
      </c>
      <c r="E272">
        <v>192.84</v>
      </c>
      <c r="F272">
        <v>234668.23370000001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0.44496855345911929</v>
      </c>
      <c r="Q272">
        <f t="shared" si="965"/>
        <v>104419.98449229555</v>
      </c>
      <c r="R272">
        <f t="shared" si="966"/>
        <v>14687377.347101061</v>
      </c>
      <c r="S272">
        <f t="shared" si="967"/>
        <v>146.87377347101059</v>
      </c>
      <c r="T272">
        <f t="shared" si="968"/>
        <v>0.1468737734710106</v>
      </c>
    </row>
    <row r="273" spans="1:20" x14ac:dyDescent="0.25">
      <c r="A273" s="5">
        <v>44320</v>
      </c>
      <c r="B273">
        <v>193.22</v>
      </c>
      <c r="C273">
        <v>194</v>
      </c>
      <c r="D273">
        <v>175.01</v>
      </c>
      <c r="E273">
        <v>175.34</v>
      </c>
      <c r="F273">
        <v>256368.0472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-0.96524486571879808</v>
      </c>
      <c r="Q273">
        <f t="shared" si="965"/>
        <v>-247457.9412941545</v>
      </c>
      <c r="R273">
        <f t="shared" si="966"/>
        <v>14582957.362608764</v>
      </c>
      <c r="S273">
        <f t="shared" si="967"/>
        <v>145.82957362608764</v>
      </c>
      <c r="T273">
        <f t="shared" si="968"/>
        <v>0.14582957362608764</v>
      </c>
    </row>
    <row r="274" spans="1:20" x14ac:dyDescent="0.25">
      <c r="A274" s="5">
        <v>44319</v>
      </c>
      <c r="B274">
        <v>180.57</v>
      </c>
      <c r="C274">
        <v>196.5</v>
      </c>
      <c r="D274">
        <v>180.18</v>
      </c>
      <c r="E274">
        <v>193.44</v>
      </c>
      <c r="F274">
        <v>202313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0.62499999999999956</v>
      </c>
      <c r="Q274">
        <f t="shared" si="965"/>
        <v>126445.62499999991</v>
      </c>
      <c r="R274">
        <f t="shared" si="966"/>
        <v>14830415.303902918</v>
      </c>
      <c r="S274">
        <f t="shared" si="967"/>
        <v>148.30415303902919</v>
      </c>
      <c r="T274">
        <f t="shared" si="968"/>
        <v>0.14830415303902919</v>
      </c>
    </row>
    <row r="275" spans="1:20" x14ac:dyDescent="0.25">
      <c r="A275" s="5">
        <v>44318</v>
      </c>
      <c r="B275">
        <v>181.62</v>
      </c>
      <c r="C275">
        <v>182.41</v>
      </c>
      <c r="D275">
        <v>173.37</v>
      </c>
      <c r="E275">
        <v>180.55</v>
      </c>
      <c r="F275">
        <v>113154.2455</v>
      </c>
      <c r="G275">
        <v>0</v>
      </c>
      <c r="L275" t="s">
        <v>8</v>
      </c>
      <c r="M275" t="s">
        <v>8</v>
      </c>
      <c r="N275" t="s">
        <v>7</v>
      </c>
      <c r="P275">
        <f t="shared" si="964"/>
        <v>0.58849557522124185</v>
      </c>
      <c r="Q275">
        <f t="shared" si="965"/>
        <v>66590.772794248114</v>
      </c>
      <c r="R275">
        <f t="shared" si="966"/>
        <v>14703969.678902918</v>
      </c>
      <c r="S275">
        <f t="shared" si="967"/>
        <v>147.03969678902919</v>
      </c>
      <c r="T275">
        <f t="shared" si="968"/>
        <v>0.1470396967890292</v>
      </c>
    </row>
    <row r="276" spans="1:20" x14ac:dyDescent="0.25">
      <c r="A276" s="5">
        <v>44317</v>
      </c>
      <c r="B276">
        <v>183.77</v>
      </c>
      <c r="C276">
        <v>185.38</v>
      </c>
      <c r="D276">
        <v>177.4</v>
      </c>
      <c r="E276">
        <v>181.6</v>
      </c>
      <c r="F276">
        <v>106351.3795</v>
      </c>
      <c r="G276">
        <v>0</v>
      </c>
      <c r="L276" t="s">
        <v>8</v>
      </c>
      <c r="M276" t="s">
        <v>8</v>
      </c>
      <c r="N276" t="s">
        <v>7</v>
      </c>
      <c r="P276">
        <f t="shared" si="964"/>
        <v>5.2631578947366919E-2</v>
      </c>
      <c r="Q276">
        <f t="shared" si="965"/>
        <v>5597.4410263156296</v>
      </c>
      <c r="R276">
        <f t="shared" si="966"/>
        <v>14637378.90610867</v>
      </c>
      <c r="S276">
        <f t="shared" si="967"/>
        <v>146.37378906108671</v>
      </c>
      <c r="T276">
        <f t="shared" si="968"/>
        <v>0.14637378906108672</v>
      </c>
    </row>
    <row r="277" spans="1:20" x14ac:dyDescent="0.25">
      <c r="A277" s="5">
        <v>44316</v>
      </c>
      <c r="B277">
        <v>174.22</v>
      </c>
      <c r="C277">
        <v>185.9</v>
      </c>
      <c r="D277">
        <v>172.29</v>
      </c>
      <c r="E277">
        <v>183.77</v>
      </c>
      <c r="F277">
        <v>156683.5134</v>
      </c>
      <c r="G277">
        <v>0</v>
      </c>
      <c r="L277" t="s">
        <v>8</v>
      </c>
      <c r="M277" t="s">
        <v>8</v>
      </c>
      <c r="N277" t="s">
        <v>7</v>
      </c>
      <c r="P277">
        <f t="shared" si="964"/>
        <v>0.68699485672299876</v>
      </c>
      <c r="Q277">
        <f t="shared" si="965"/>
        <v>107640.76783908905</v>
      </c>
      <c r="R277">
        <f t="shared" si="966"/>
        <v>14631781.465082355</v>
      </c>
      <c r="S277">
        <f t="shared" si="967"/>
        <v>146.31781465082355</v>
      </c>
      <c r="T277">
        <f t="shared" si="968"/>
        <v>0.14631781465082355</v>
      </c>
    </row>
    <row r="278" spans="1:20" x14ac:dyDescent="0.25">
      <c r="A278" s="5">
        <v>44315</v>
      </c>
      <c r="B278">
        <v>179.92</v>
      </c>
      <c r="C278">
        <v>182.77</v>
      </c>
      <c r="D278">
        <v>169.26</v>
      </c>
      <c r="E278">
        <v>174.35</v>
      </c>
      <c r="F278">
        <v>176436.7409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-0.24648408586232479</v>
      </c>
      <c r="Q278">
        <f t="shared" si="965"/>
        <v>-43488.848793264355</v>
      </c>
      <c r="R278">
        <f t="shared" si="966"/>
        <v>14524140.697243266</v>
      </c>
      <c r="S278">
        <f t="shared" si="967"/>
        <v>145.24140697243266</v>
      </c>
      <c r="T278">
        <f t="shared" si="968"/>
        <v>0.14524140697243265</v>
      </c>
    </row>
    <row r="279" spans="1:20" x14ac:dyDescent="0.25">
      <c r="A279" s="5">
        <v>44314</v>
      </c>
      <c r="B279">
        <v>181.06</v>
      </c>
      <c r="C279">
        <v>187.81</v>
      </c>
      <c r="D279">
        <v>171.79</v>
      </c>
      <c r="E279">
        <v>180.11</v>
      </c>
      <c r="F279">
        <v>207135.99369999999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3.8701622971287923E-2</v>
      </c>
      <c r="Q279">
        <f t="shared" si="965"/>
        <v>8016.4991319604705</v>
      </c>
      <c r="R279">
        <f t="shared" si="966"/>
        <v>14567629.54603653</v>
      </c>
      <c r="S279">
        <f t="shared" si="967"/>
        <v>145.67629546036531</v>
      </c>
      <c r="T279">
        <f t="shared" si="968"/>
        <v>0.14567629546036531</v>
      </c>
    </row>
    <row r="280" spans="1:20" x14ac:dyDescent="0.25">
      <c r="A280" s="5">
        <v>44313</v>
      </c>
      <c r="B280">
        <v>166.4</v>
      </c>
      <c r="C280">
        <v>185.11</v>
      </c>
      <c r="D280">
        <v>163.31</v>
      </c>
      <c r="E280">
        <v>181.1</v>
      </c>
      <c r="F280">
        <v>234115.9558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0.63211009174311772</v>
      </c>
      <c r="Q280">
        <f t="shared" si="965"/>
        <v>147987.05829926569</v>
      </c>
      <c r="R280">
        <f t="shared" si="966"/>
        <v>14559613.046904569</v>
      </c>
      <c r="S280">
        <f t="shared" si="967"/>
        <v>145.5961304690457</v>
      </c>
      <c r="T280">
        <f t="shared" si="968"/>
        <v>0.14559613046904571</v>
      </c>
    </row>
    <row r="281" spans="1:20" x14ac:dyDescent="0.25">
      <c r="A281" s="5">
        <v>44312</v>
      </c>
      <c r="B281">
        <v>149.4</v>
      </c>
      <c r="C281">
        <v>172.00299999999999</v>
      </c>
      <c r="D281">
        <v>148.13</v>
      </c>
      <c r="E281">
        <v>166.41</v>
      </c>
      <c r="F281">
        <v>220746.7653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0.53143718845557819</v>
      </c>
      <c r="Q281">
        <f t="shared" si="965"/>
        <v>117313.04031169538</v>
      </c>
      <c r="R281">
        <f t="shared" si="966"/>
        <v>14411625.988605304</v>
      </c>
      <c r="S281">
        <f t="shared" si="967"/>
        <v>144.11625988605303</v>
      </c>
      <c r="T281">
        <f t="shared" si="968"/>
        <v>0.14411625988605303</v>
      </c>
    </row>
    <row r="282" spans="1:20" x14ac:dyDescent="0.25">
      <c r="A282" s="5">
        <v>44311</v>
      </c>
      <c r="B282">
        <v>148.67099999999999</v>
      </c>
      <c r="C282">
        <v>157.19999999999999</v>
      </c>
      <c r="D282">
        <v>138</v>
      </c>
      <c r="E282">
        <v>149.5</v>
      </c>
      <c r="F282">
        <v>151270.6341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0.19791666666666738</v>
      </c>
      <c r="Q282">
        <f t="shared" si="965"/>
        <v>29938.979665625106</v>
      </c>
      <c r="R282">
        <f t="shared" si="966"/>
        <v>14294312.948293608</v>
      </c>
      <c r="S282">
        <f t="shared" si="967"/>
        <v>142.94312948293609</v>
      </c>
      <c r="T282">
        <f t="shared" si="968"/>
        <v>0.14294312948293608</v>
      </c>
    </row>
    <row r="283" spans="1:20" x14ac:dyDescent="0.25">
      <c r="A283" s="5">
        <v>44310</v>
      </c>
      <c r="B283">
        <v>161.19</v>
      </c>
      <c r="C283">
        <v>161.68199999999999</v>
      </c>
      <c r="D283">
        <v>144.375</v>
      </c>
      <c r="E283">
        <v>148.65</v>
      </c>
      <c r="F283">
        <v>276997.978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-0.50598023920956736</v>
      </c>
      <c r="Q283">
        <f t="shared" si="965"/>
        <v>-140155.50316900649</v>
      </c>
      <c r="R283">
        <f t="shared" si="966"/>
        <v>14264373.968627982</v>
      </c>
      <c r="S283">
        <f t="shared" si="967"/>
        <v>142.64373968627982</v>
      </c>
      <c r="T283">
        <f t="shared" si="968"/>
        <v>0.1426437396862798</v>
      </c>
    </row>
    <row r="284" spans="1:20" x14ac:dyDescent="0.25">
      <c r="A284" s="5">
        <v>44309</v>
      </c>
      <c r="B284">
        <v>164.333</v>
      </c>
      <c r="C284">
        <v>174</v>
      </c>
      <c r="D284">
        <v>140.01</v>
      </c>
      <c r="E284">
        <v>161.22999999999999</v>
      </c>
      <c r="F284">
        <v>513375.44900000002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0.24860253015592781</v>
      </c>
      <c r="Q284">
        <f t="shared" si="965"/>
        <v>127626.43554133549</v>
      </c>
      <c r="R284">
        <f t="shared" si="966"/>
        <v>14404529.471796988</v>
      </c>
      <c r="S284">
        <f t="shared" si="967"/>
        <v>144.04529471796988</v>
      </c>
      <c r="T284">
        <f t="shared" si="968"/>
        <v>0.14404529471796987</v>
      </c>
    </row>
    <row r="285" spans="1:20" x14ac:dyDescent="0.25">
      <c r="A285" s="5">
        <v>44308</v>
      </c>
      <c r="B285">
        <v>181.42400000000001</v>
      </c>
      <c r="C285">
        <v>187.3</v>
      </c>
      <c r="D285">
        <v>155.5</v>
      </c>
      <c r="E285">
        <v>164.226</v>
      </c>
      <c r="F285">
        <v>410510.40700000001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-0.45119496855345936</v>
      </c>
      <c r="Q285">
        <f t="shared" si="965"/>
        <v>-185220.23017723282</v>
      </c>
      <c r="R285">
        <f t="shared" si="966"/>
        <v>14276903.036255652</v>
      </c>
      <c r="S285">
        <f t="shared" si="967"/>
        <v>142.76903036255652</v>
      </c>
      <c r="T285">
        <f t="shared" si="968"/>
        <v>0.14276903036255653</v>
      </c>
    </row>
    <row r="286" spans="1:20" x14ac:dyDescent="0.25">
      <c r="A286" s="5">
        <v>44307</v>
      </c>
      <c r="B286">
        <v>174.77600000000001</v>
      </c>
      <c r="C286">
        <v>196</v>
      </c>
      <c r="D286">
        <v>169.01300000000001</v>
      </c>
      <c r="E286">
        <v>181.44399999999999</v>
      </c>
      <c r="F286">
        <v>440229.24300000002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-7.8741616333791412E-2</v>
      </c>
      <c r="Q286">
        <f t="shared" si="965"/>
        <v>-34664.36215122143</v>
      </c>
      <c r="R286">
        <f t="shared" si="966"/>
        <v>14462123.266432885</v>
      </c>
      <c r="S286">
        <f t="shared" si="967"/>
        <v>144.62123266432886</v>
      </c>
      <c r="T286">
        <f t="shared" si="968"/>
        <v>0.14462123266432886</v>
      </c>
    </row>
    <row r="287" spans="1:20" x14ac:dyDescent="0.25">
      <c r="A287" s="5">
        <v>44306</v>
      </c>
      <c r="B287">
        <v>168.28899999999999</v>
      </c>
      <c r="C287">
        <v>181.12</v>
      </c>
      <c r="D287">
        <v>153.602</v>
      </c>
      <c r="E287">
        <v>174.70599999999999</v>
      </c>
      <c r="F287">
        <v>453561.59600000002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0.53383240061050841</v>
      </c>
      <c r="Q287">
        <f t="shared" si="965"/>
        <v>242125.87561741358</v>
      </c>
      <c r="R287">
        <f t="shared" si="966"/>
        <v>14496787.628584107</v>
      </c>
      <c r="S287">
        <f t="shared" si="967"/>
        <v>144.96787628584107</v>
      </c>
      <c r="T287">
        <f t="shared" si="968"/>
        <v>0.14496787628584107</v>
      </c>
    </row>
    <row r="288" spans="1:20" x14ac:dyDescent="0.25">
      <c r="A288" s="5">
        <v>44305</v>
      </c>
      <c r="B288">
        <v>189.97499999999999</v>
      </c>
      <c r="C288">
        <v>194.018</v>
      </c>
      <c r="D288">
        <v>167.36500000000001</v>
      </c>
      <c r="E288">
        <v>168.39699999999999</v>
      </c>
      <c r="F288">
        <v>364984.73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-0.92256031215998324</v>
      </c>
      <c r="Q288">
        <f t="shared" si="965"/>
        <v>-336720.42644242721</v>
      </c>
      <c r="R288">
        <f t="shared" si="966"/>
        <v>14254661.752966695</v>
      </c>
      <c r="S288">
        <f t="shared" si="967"/>
        <v>142.54661752966695</v>
      </c>
      <c r="T288">
        <f t="shared" si="968"/>
        <v>0.14254661752966694</v>
      </c>
    </row>
    <row r="289" spans="1:20" x14ac:dyDescent="0.25">
      <c r="A289" s="5">
        <v>44304</v>
      </c>
      <c r="B289">
        <v>213.16800000000001</v>
      </c>
      <c r="C289">
        <v>214.124</v>
      </c>
      <c r="D289">
        <v>125</v>
      </c>
      <c r="E289">
        <v>189.99100000000001</v>
      </c>
      <c r="F289">
        <v>817535.66200000001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0.45843992639468645</v>
      </c>
      <c r="Q289">
        <f t="shared" si="965"/>
        <v>374790.98871231126</v>
      </c>
      <c r="R289">
        <f t="shared" si="966"/>
        <v>14591382.179409122</v>
      </c>
      <c r="S289">
        <f t="shared" si="967"/>
        <v>145.91382179409123</v>
      </c>
      <c r="T289">
        <f t="shared" si="968"/>
        <v>0.14591382179409124</v>
      </c>
    </row>
    <row r="290" spans="1:20" x14ac:dyDescent="0.25">
      <c r="A290" s="5">
        <v>44303</v>
      </c>
      <c r="B290">
        <v>210.49</v>
      </c>
      <c r="C290">
        <v>219.64099999999999</v>
      </c>
      <c r="D290">
        <v>208.601</v>
      </c>
      <c r="E290">
        <v>213.22800000000001</v>
      </c>
      <c r="F290">
        <v>204536.671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-0.16177536231883824</v>
      </c>
      <c r="Q290">
        <f t="shared" si="965"/>
        <v>-33088.994058514014</v>
      </c>
      <c r="R290">
        <f t="shared" si="966"/>
        <v>14216591.190696811</v>
      </c>
      <c r="S290">
        <f t="shared" si="967"/>
        <v>142.16591190696812</v>
      </c>
      <c r="T290">
        <f t="shared" si="968"/>
        <v>0.14216591190696812</v>
      </c>
    </row>
    <row r="291" spans="1:20" x14ac:dyDescent="0.25">
      <c r="A291" s="5">
        <v>44302</v>
      </c>
      <c r="B291">
        <v>226.06399999999999</v>
      </c>
      <c r="C291">
        <v>227.59800000000001</v>
      </c>
      <c r="D291">
        <v>203.71100000000001</v>
      </c>
      <c r="E291">
        <v>210.49</v>
      </c>
      <c r="F291">
        <v>290518.53899999999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-0.43241093481810222</v>
      </c>
      <c r="Q291">
        <f t="shared" si="965"/>
        <v>-125623.39303097928</v>
      </c>
      <c r="R291">
        <f t="shared" si="966"/>
        <v>14249680.184755325</v>
      </c>
      <c r="S291">
        <f t="shared" si="967"/>
        <v>142.49680184755326</v>
      </c>
      <c r="T291">
        <f t="shared" si="968"/>
        <v>0.14249680184755326</v>
      </c>
    </row>
    <row r="292" spans="1:20" x14ac:dyDescent="0.25">
      <c r="A292" s="5">
        <v>44301</v>
      </c>
      <c r="B292">
        <v>225.78700000000001</v>
      </c>
      <c r="C292">
        <v>233.43100000000001</v>
      </c>
      <c r="D292">
        <v>217.80799999999999</v>
      </c>
      <c r="E292">
        <v>225.93</v>
      </c>
      <c r="F292">
        <v>293427.17499999999</v>
      </c>
      <c r="G292">
        <v>0</v>
      </c>
      <c r="L292" t="s">
        <v>7</v>
      </c>
      <c r="M292" t="s">
        <v>8</v>
      </c>
      <c r="N292" t="s">
        <v>8</v>
      </c>
      <c r="P292">
        <f t="shared" si="964"/>
        <v>3.9749087883249608E-2</v>
      </c>
      <c r="Q292">
        <f t="shared" si="965"/>
        <v>11663.462566408662</v>
      </c>
      <c r="R292">
        <f t="shared" si="966"/>
        <v>14375303.577786304</v>
      </c>
      <c r="S292">
        <f t="shared" si="967"/>
        <v>143.75303577786303</v>
      </c>
      <c r="T292">
        <f t="shared" si="968"/>
        <v>0.14375303577786303</v>
      </c>
    </row>
    <row r="293" spans="1:20" x14ac:dyDescent="0.25">
      <c r="A293" s="5">
        <v>44300</v>
      </c>
      <c r="B293">
        <v>212.43700000000001</v>
      </c>
      <c r="C293">
        <v>238.357</v>
      </c>
      <c r="D293">
        <v>210</v>
      </c>
      <c r="E293">
        <v>225.78700000000001</v>
      </c>
      <c r="F293">
        <v>463197.88299999997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0.11344641534718106</v>
      </c>
      <c r="Q293">
        <f t="shared" si="965"/>
        <v>52548.139422752974</v>
      </c>
      <c r="R293">
        <f t="shared" si="966"/>
        <v>14363640.115219895</v>
      </c>
      <c r="S293">
        <f t="shared" si="967"/>
        <v>143.63640115219894</v>
      </c>
      <c r="T293">
        <f t="shared" si="968"/>
        <v>0.14363640115219894</v>
      </c>
    </row>
    <row r="294" spans="1:20" x14ac:dyDescent="0.25">
      <c r="A294" s="5">
        <v>44299</v>
      </c>
      <c r="B294">
        <v>224.958</v>
      </c>
      <c r="C294">
        <v>226.37200000000001</v>
      </c>
      <c r="D294">
        <v>209.02600000000001</v>
      </c>
      <c r="E294">
        <v>212.477</v>
      </c>
      <c r="F294">
        <v>341113.326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-0.60209846650524701</v>
      </c>
      <c r="Q294">
        <f t="shared" si="965"/>
        <v>-205383.81048910439</v>
      </c>
      <c r="R294">
        <f t="shared" si="966"/>
        <v>14311091.975797141</v>
      </c>
      <c r="S294">
        <f t="shared" si="967"/>
        <v>143.1109197579714</v>
      </c>
      <c r="T294">
        <f t="shared" si="968"/>
        <v>0.14311091975797141</v>
      </c>
    </row>
    <row r="295" spans="1:20" x14ac:dyDescent="0.25">
      <c r="A295" s="5">
        <v>44298</v>
      </c>
      <c r="B295">
        <v>237.01400000000001</v>
      </c>
      <c r="C295">
        <v>245.8</v>
      </c>
      <c r="D295">
        <v>216.52699999999999</v>
      </c>
      <c r="E295">
        <v>224.91800000000001</v>
      </c>
      <c r="F295">
        <v>511445.80800000002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-0.42670720459126071</v>
      </c>
      <c r="Q295">
        <f t="shared" si="965"/>
        <v>-218237.61103159864</v>
      </c>
      <c r="R295">
        <f t="shared" si="966"/>
        <v>14516475.786286246</v>
      </c>
      <c r="S295">
        <f t="shared" si="967"/>
        <v>145.16475786286247</v>
      </c>
      <c r="T295">
        <f t="shared" si="968"/>
        <v>0.14516475786286248</v>
      </c>
    </row>
    <row r="296" spans="1:20" x14ac:dyDescent="0.25">
      <c r="A296" s="5">
        <v>44297</v>
      </c>
      <c r="B296">
        <v>208.499</v>
      </c>
      <c r="C296">
        <v>243.273</v>
      </c>
      <c r="D296">
        <v>205</v>
      </c>
      <c r="E296">
        <v>237.01400000000001</v>
      </c>
      <c r="F296">
        <v>770532.522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0.67292869647009712</v>
      </c>
      <c r="Q296">
        <f t="shared" si="965"/>
        <v>518513.44561727642</v>
      </c>
      <c r="R296">
        <f t="shared" si="966"/>
        <v>14734713.397317845</v>
      </c>
      <c r="S296">
        <f t="shared" si="967"/>
        <v>147.34713397317844</v>
      </c>
      <c r="T296">
        <f t="shared" si="968"/>
        <v>0.14734713397317845</v>
      </c>
    </row>
    <row r="297" spans="1:20" x14ac:dyDescent="0.25">
      <c r="A297" s="5">
        <v>44296</v>
      </c>
      <c r="B297">
        <v>193.93299999999999</v>
      </c>
      <c r="C297">
        <v>214.42099999999999</v>
      </c>
      <c r="D297">
        <v>188.4</v>
      </c>
      <c r="E297">
        <v>208.43600000000001</v>
      </c>
      <c r="F297">
        <v>526890.375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0.53998693363053007</v>
      </c>
      <c r="Q297">
        <f t="shared" si="965"/>
        <v>284513.91795569012</v>
      </c>
      <c r="R297">
        <f t="shared" si="966"/>
        <v>14216199.951700568</v>
      </c>
      <c r="S297">
        <f t="shared" si="967"/>
        <v>142.16199951700568</v>
      </c>
      <c r="T297">
        <f t="shared" si="968"/>
        <v>0.14216199951700567</v>
      </c>
    </row>
    <row r="298" spans="1:20" x14ac:dyDescent="0.25">
      <c r="A298" s="5">
        <v>44295</v>
      </c>
      <c r="B298">
        <v>180.24299999999999</v>
      </c>
      <c r="C298">
        <v>197.29900000000001</v>
      </c>
      <c r="D298">
        <v>179.79900000000001</v>
      </c>
      <c r="E298">
        <v>194.07599999999999</v>
      </c>
      <c r="F298">
        <v>356102.53200000001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0.63165714285714136</v>
      </c>
      <c r="Q298">
        <f t="shared" si="965"/>
        <v>224934.70792731375</v>
      </c>
      <c r="R298">
        <f t="shared" si="966"/>
        <v>13931686.033744877</v>
      </c>
      <c r="S298">
        <f t="shared" si="967"/>
        <v>139.31686033744876</v>
      </c>
      <c r="T298">
        <f t="shared" si="968"/>
        <v>0.13931686033744875</v>
      </c>
    </row>
    <row r="299" spans="1:20" x14ac:dyDescent="0.25">
      <c r="A299" s="5">
        <v>44294</v>
      </c>
      <c r="B299">
        <v>173.34700000000001</v>
      </c>
      <c r="C299">
        <v>184.28800000000001</v>
      </c>
      <c r="D299">
        <v>172.434</v>
      </c>
      <c r="E299">
        <v>180.334</v>
      </c>
      <c r="F299">
        <v>230447.046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0.33288341488105228</v>
      </c>
      <c r="Q299">
        <f t="shared" si="965"/>
        <v>76711.999621730938</v>
      </c>
      <c r="R299">
        <f t="shared" si="966"/>
        <v>13706751.325817563</v>
      </c>
      <c r="S299">
        <f t="shared" si="967"/>
        <v>137.06751325817564</v>
      </c>
      <c r="T299">
        <f t="shared" si="968"/>
        <v>0.13706751325817565</v>
      </c>
    </row>
    <row r="300" spans="1:20" x14ac:dyDescent="0.25">
      <c r="A300" s="5">
        <v>44293</v>
      </c>
      <c r="B300">
        <v>193</v>
      </c>
      <c r="C300">
        <v>195.39</v>
      </c>
      <c r="D300">
        <v>166.85499999999999</v>
      </c>
      <c r="E300">
        <v>173.297</v>
      </c>
      <c r="F300">
        <v>478606.03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-0.54848431750481808</v>
      </c>
      <c r="Q300">
        <f t="shared" si="965"/>
        <v>-262507.90171824052</v>
      </c>
      <c r="R300">
        <f t="shared" si="966"/>
        <v>13630039.326195832</v>
      </c>
      <c r="S300">
        <f t="shared" si="967"/>
        <v>136.30039326195833</v>
      </c>
      <c r="T300">
        <f t="shared" si="968"/>
        <v>0.13630039326195834</v>
      </c>
    </row>
    <row r="301" spans="1:20" x14ac:dyDescent="0.25">
      <c r="A301" s="5">
        <v>44292</v>
      </c>
      <c r="B301">
        <v>166.917</v>
      </c>
      <c r="C301">
        <v>194.65600000000001</v>
      </c>
      <c r="D301">
        <v>162.50399999999999</v>
      </c>
      <c r="E301">
        <v>193</v>
      </c>
      <c r="F301">
        <v>749646.39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0.89698930082109951</v>
      </c>
      <c r="Q301">
        <f t="shared" si="965"/>
        <v>672424.79122916132</v>
      </c>
      <c r="R301">
        <f t="shared" si="966"/>
        <v>13892547.227914073</v>
      </c>
      <c r="S301">
        <f t="shared" si="967"/>
        <v>138.92547227914073</v>
      </c>
      <c r="T301">
        <f t="shared" si="968"/>
        <v>0.13892547227914073</v>
      </c>
    </row>
    <row r="302" spans="1:20" x14ac:dyDescent="0.25">
      <c r="A302" s="5">
        <v>44291</v>
      </c>
      <c r="B302">
        <v>168.10599999999999</v>
      </c>
      <c r="C302">
        <v>170.46899999999999</v>
      </c>
      <c r="D302">
        <v>159.17500000000001</v>
      </c>
      <c r="E302">
        <v>166.81100000000001</v>
      </c>
      <c r="F302">
        <v>279463.98100000003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0.3522224189835324</v>
      </c>
      <c r="Q302">
        <f t="shared" si="965"/>
        <v>98433.479406587954</v>
      </c>
      <c r="R302">
        <f t="shared" si="966"/>
        <v>13220122.436684912</v>
      </c>
      <c r="S302">
        <f t="shared" si="967"/>
        <v>132.20122436684912</v>
      </c>
      <c r="T302">
        <f t="shared" si="968"/>
        <v>0.13220122436684911</v>
      </c>
    </row>
    <row r="303" spans="1:20" x14ac:dyDescent="0.25">
      <c r="A303" s="5">
        <v>44290</v>
      </c>
      <c r="B303">
        <v>159.51599999999999</v>
      </c>
      <c r="C303">
        <v>171.077</v>
      </c>
      <c r="D303">
        <v>156.04599999999999</v>
      </c>
      <c r="E303">
        <v>168.2</v>
      </c>
      <c r="F303">
        <v>299492.86900000001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0.61719113831414962</v>
      </c>
      <c r="Q303">
        <f t="shared" si="965"/>
        <v>184844.34473508049</v>
      </c>
      <c r="R303">
        <f t="shared" si="966"/>
        <v>13121688.957278324</v>
      </c>
      <c r="S303">
        <f t="shared" si="967"/>
        <v>131.21688957278323</v>
      </c>
      <c r="T303">
        <f t="shared" si="968"/>
        <v>0.13121688957278324</v>
      </c>
    </row>
    <row r="304" spans="1:20" x14ac:dyDescent="0.25">
      <c r="A304" s="5">
        <v>44289</v>
      </c>
      <c r="B304">
        <v>167.91900000000001</v>
      </c>
      <c r="C304">
        <v>186.62899999999999</v>
      </c>
      <c r="D304">
        <v>155</v>
      </c>
      <c r="E304">
        <v>159.84700000000001</v>
      </c>
      <c r="F304">
        <v>645053.59199999995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-0.69350912137595178</v>
      </c>
      <c r="Q304">
        <f t="shared" si="965"/>
        <v>-447350.54982832161</v>
      </c>
      <c r="R304">
        <f t="shared" si="966"/>
        <v>12936844.612543244</v>
      </c>
      <c r="S304">
        <f t="shared" si="967"/>
        <v>129.36844612543243</v>
      </c>
      <c r="T304">
        <f t="shared" si="968"/>
        <v>0.12936844612543244</v>
      </c>
    </row>
    <row r="305" spans="1:20" x14ac:dyDescent="0.25">
      <c r="A305" s="5">
        <v>44288</v>
      </c>
      <c r="B305">
        <v>150.339</v>
      </c>
      <c r="C305">
        <v>173.08600000000001</v>
      </c>
      <c r="D305">
        <v>150.32400000000001</v>
      </c>
      <c r="E305">
        <v>167.732</v>
      </c>
      <c r="F305">
        <v>589139.73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0.52956682189614157</v>
      </c>
      <c r="Q305">
        <f t="shared" si="965"/>
        <v>311988.85446885094</v>
      </c>
      <c r="R305">
        <f t="shared" si="966"/>
        <v>13384195.162371565</v>
      </c>
      <c r="S305">
        <f t="shared" si="967"/>
        <v>133.84195162371566</v>
      </c>
      <c r="T305">
        <f t="shared" si="968"/>
        <v>0.13384195162371565</v>
      </c>
    </row>
    <row r="306" spans="1:20" x14ac:dyDescent="0.25">
      <c r="A306" s="5">
        <v>44287</v>
      </c>
      <c r="B306">
        <v>139.55699999999999</v>
      </c>
      <c r="C306">
        <v>150.34</v>
      </c>
      <c r="D306">
        <v>137.80000000000001</v>
      </c>
      <c r="E306">
        <v>150.339</v>
      </c>
      <c r="F306">
        <v>265773.40700000001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0.99984051036682542</v>
      </c>
      <c r="Q306">
        <f t="shared" si="965"/>
        <v>265731.01889681001</v>
      </c>
      <c r="R306">
        <f t="shared" si="966"/>
        <v>13072206.307902714</v>
      </c>
      <c r="S306">
        <f t="shared" si="967"/>
        <v>130.72206307902715</v>
      </c>
      <c r="T306">
        <f t="shared" si="968"/>
        <v>0.13072206307902715</v>
      </c>
    </row>
    <row r="307" spans="1:20" x14ac:dyDescent="0.25">
      <c r="A307" s="5">
        <v>44286</v>
      </c>
      <c r="B307">
        <v>142.666</v>
      </c>
      <c r="C307">
        <v>144.6</v>
      </c>
      <c r="D307">
        <v>131.755</v>
      </c>
      <c r="E307">
        <v>139.71600000000001</v>
      </c>
      <c r="F307">
        <v>178883.397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0.23954846243674791</v>
      </c>
      <c r="Q307">
        <f t="shared" si="965"/>
        <v>42851.242706812365</v>
      </c>
      <c r="R307">
        <f t="shared" si="966"/>
        <v>12806475.289005904</v>
      </c>
      <c r="S307">
        <f t="shared" si="967"/>
        <v>128.06475289005903</v>
      </c>
      <c r="T307">
        <f t="shared" si="968"/>
        <v>0.12806475289005903</v>
      </c>
    </row>
    <row r="308" spans="1:20" x14ac:dyDescent="0.25">
      <c r="A308" s="5">
        <v>44285</v>
      </c>
      <c r="B308">
        <v>143.54900000000001</v>
      </c>
      <c r="C308">
        <v>146.30699999999999</v>
      </c>
      <c r="D308">
        <v>141.69999999999999</v>
      </c>
      <c r="E308">
        <v>142.65799999999999</v>
      </c>
      <c r="F308">
        <v>156348.14799999999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-0.58411113522899993</v>
      </c>
      <c r="Q308">
        <f t="shared" si="965"/>
        <v>-91324.694219231693</v>
      </c>
      <c r="R308">
        <f t="shared" si="966"/>
        <v>12763624.046299091</v>
      </c>
      <c r="S308">
        <f t="shared" si="967"/>
        <v>127.63624046299091</v>
      </c>
      <c r="T308">
        <f t="shared" si="968"/>
        <v>0.12763624046299091</v>
      </c>
    </row>
    <row r="309" spans="1:20" x14ac:dyDescent="0.25">
      <c r="A309" s="5">
        <v>44284</v>
      </c>
      <c r="B309">
        <v>141.58799999999999</v>
      </c>
      <c r="C309">
        <v>149</v>
      </c>
      <c r="D309">
        <v>138.19999999999999</v>
      </c>
      <c r="E309">
        <v>143.54900000000001</v>
      </c>
      <c r="F309">
        <v>189326.484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-9.4444444444421599E-3</v>
      </c>
      <c r="Q309">
        <f t="shared" si="965"/>
        <v>-1788.0834599995674</v>
      </c>
      <c r="R309">
        <f t="shared" si="966"/>
        <v>12854948.740518322</v>
      </c>
      <c r="S309">
        <f t="shared" si="967"/>
        <v>128.54948740518321</v>
      </c>
      <c r="T309">
        <f t="shared" si="968"/>
        <v>0.12854948740518321</v>
      </c>
    </row>
    <row r="310" spans="1:20" x14ac:dyDescent="0.25">
      <c r="A310" s="5">
        <v>44283</v>
      </c>
      <c r="B310">
        <v>146.32499999999999</v>
      </c>
      <c r="C310">
        <v>148.77600000000001</v>
      </c>
      <c r="D310">
        <v>138.1</v>
      </c>
      <c r="E310">
        <v>141.58799999999999</v>
      </c>
      <c r="F310">
        <v>190988.318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-0.34657174971899696</v>
      </c>
      <c r="Q310">
        <f t="shared" si="965"/>
        <v>-66191.155545148198</v>
      </c>
      <c r="R310">
        <f t="shared" si="966"/>
        <v>12856736.823978322</v>
      </c>
      <c r="S310">
        <f t="shared" si="967"/>
        <v>128.56736823978321</v>
      </c>
      <c r="T310">
        <f t="shared" si="968"/>
        <v>0.12856736823978321</v>
      </c>
    </row>
    <row r="311" spans="1:20" x14ac:dyDescent="0.25">
      <c r="A311" s="5">
        <v>44282</v>
      </c>
      <c r="B311">
        <v>141.053</v>
      </c>
      <c r="C311">
        <v>153.31100000000001</v>
      </c>
      <c r="D311">
        <v>139.01</v>
      </c>
      <c r="E311">
        <v>146.29</v>
      </c>
      <c r="F311">
        <v>343376.28200000001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1.8110621634849718E-2</v>
      </c>
      <c r="Q311">
        <f t="shared" si="965"/>
        <v>6218.7579216834583</v>
      </c>
      <c r="R311">
        <f t="shared" si="966"/>
        <v>12922927.979523471</v>
      </c>
      <c r="S311">
        <f t="shared" si="967"/>
        <v>129.2292797952347</v>
      </c>
      <c r="T311">
        <f t="shared" si="968"/>
        <v>0.12922927979523471</v>
      </c>
    </row>
    <row r="312" spans="1:20" x14ac:dyDescent="0.25">
      <c r="A312" s="5">
        <v>44281</v>
      </c>
      <c r="B312">
        <v>121.72199999999999</v>
      </c>
      <c r="C312">
        <v>144.67500000000001</v>
      </c>
      <c r="D312">
        <v>121.48099999999999</v>
      </c>
      <c r="E312">
        <v>141.048</v>
      </c>
      <c r="F312">
        <v>434168.08399999997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0.68724670173320623</v>
      </c>
      <c r="Q312">
        <f t="shared" si="965"/>
        <v>298380.5837268256</v>
      </c>
      <c r="R312">
        <f t="shared" si="966"/>
        <v>12916709.221601788</v>
      </c>
      <c r="S312">
        <f t="shared" si="967"/>
        <v>129.16709221601789</v>
      </c>
      <c r="T312">
        <f t="shared" si="968"/>
        <v>0.12916709221601788</v>
      </c>
    </row>
    <row r="313" spans="1:20" x14ac:dyDescent="0.25">
      <c r="A313" s="5">
        <v>44280</v>
      </c>
      <c r="B313">
        <v>120.396</v>
      </c>
      <c r="C313">
        <v>125.202</v>
      </c>
      <c r="D313">
        <v>115.77500000000001</v>
      </c>
      <c r="E313">
        <v>121.812</v>
      </c>
      <c r="F313">
        <v>245566.375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0.28078922244616455</v>
      </c>
      <c r="Q313">
        <f t="shared" si="965"/>
        <v>68952.391495173259</v>
      </c>
      <c r="R313">
        <f t="shared" si="966"/>
        <v>12618328.637874963</v>
      </c>
      <c r="S313">
        <f t="shared" si="967"/>
        <v>126.18328637874963</v>
      </c>
      <c r="T313">
        <f t="shared" si="968"/>
        <v>0.12618328637874962</v>
      </c>
    </row>
    <row r="314" spans="1:20" x14ac:dyDescent="0.25">
      <c r="A314" s="5">
        <v>44279</v>
      </c>
      <c r="B314">
        <v>130.697</v>
      </c>
      <c r="C314">
        <v>135.619</v>
      </c>
      <c r="D314">
        <v>118.834</v>
      </c>
      <c r="E314">
        <v>120.398</v>
      </c>
      <c r="F314">
        <v>203931.261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-0.81364313375037312</v>
      </c>
      <c r="Q314">
        <f t="shared" si="965"/>
        <v>-165927.27026970524</v>
      </c>
      <c r="R314">
        <f t="shared" si="966"/>
        <v>12549376.246379789</v>
      </c>
      <c r="S314">
        <f t="shared" si="967"/>
        <v>125.49376246379789</v>
      </c>
      <c r="T314">
        <f t="shared" si="968"/>
        <v>0.1254937624637979</v>
      </c>
    </row>
    <row r="315" spans="1:20" x14ac:dyDescent="0.25">
      <c r="A315" s="5">
        <v>44278</v>
      </c>
      <c r="B315">
        <v>134.72900000000001</v>
      </c>
      <c r="C315">
        <v>136.82300000000001</v>
      </c>
      <c r="D315">
        <v>128.74100000000001</v>
      </c>
      <c r="E315">
        <v>130.697</v>
      </c>
      <c r="F315">
        <v>190388.84599999999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-0.51596139569413746</v>
      </c>
      <c r="Q315">
        <f t="shared" si="965"/>
        <v>-98233.294706756191</v>
      </c>
      <c r="R315">
        <f t="shared" si="966"/>
        <v>12715303.516649494</v>
      </c>
      <c r="S315">
        <f t="shared" si="967"/>
        <v>127.15303516649494</v>
      </c>
      <c r="T315">
        <f t="shared" si="968"/>
        <v>0.12715303516649495</v>
      </c>
    </row>
    <row r="316" spans="1:20" x14ac:dyDescent="0.25">
      <c r="A316" s="5">
        <v>44277</v>
      </c>
      <c r="B316">
        <v>138.27600000000001</v>
      </c>
      <c r="C316">
        <v>146</v>
      </c>
      <c r="D316">
        <v>133</v>
      </c>
      <c r="E316">
        <v>134.72800000000001</v>
      </c>
      <c r="F316">
        <v>268514.625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-0.73415384615384482</v>
      </c>
      <c r="Q316">
        <f t="shared" si="965"/>
        <v>-197131.04469230733</v>
      </c>
      <c r="R316">
        <f t="shared" si="966"/>
        <v>12813536.81135625</v>
      </c>
      <c r="S316">
        <f t="shared" si="967"/>
        <v>128.13536811356249</v>
      </c>
      <c r="T316">
        <f t="shared" si="968"/>
        <v>0.12813536811356249</v>
      </c>
    </row>
    <row r="317" spans="1:20" x14ac:dyDescent="0.25">
      <c r="A317" s="5">
        <v>44276</v>
      </c>
      <c r="B317">
        <v>136.91999999999999</v>
      </c>
      <c r="C317">
        <v>139.886</v>
      </c>
      <c r="D317">
        <v>132.12100000000001</v>
      </c>
      <c r="E317">
        <v>138.47300000000001</v>
      </c>
      <c r="F317">
        <v>146055.91200000001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0.63605924018030002</v>
      </c>
      <c r="Q317">
        <f t="shared" si="965"/>
        <v>92900.212410560765</v>
      </c>
      <c r="R317">
        <f t="shared" si="966"/>
        <v>13010667.856048558</v>
      </c>
      <c r="S317">
        <f t="shared" si="967"/>
        <v>130.10667856048559</v>
      </c>
      <c r="T317">
        <f t="shared" si="968"/>
        <v>0.13010667856048558</v>
      </c>
    </row>
    <row r="318" spans="1:20" x14ac:dyDescent="0.25">
      <c r="A318" s="5">
        <v>44275</v>
      </c>
      <c r="B318">
        <v>133.48500000000001</v>
      </c>
      <c r="C318">
        <v>148.76499999999999</v>
      </c>
      <c r="D318">
        <v>133.05000000000001</v>
      </c>
      <c r="E318">
        <v>136.91999999999999</v>
      </c>
      <c r="F318">
        <v>254536.796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-0.50747693286669016</v>
      </c>
      <c r="Q318">
        <f t="shared" si="965"/>
        <v>-129171.55253579441</v>
      </c>
      <c r="R318">
        <f t="shared" si="966"/>
        <v>12917767.643637998</v>
      </c>
      <c r="S318">
        <f t="shared" si="967"/>
        <v>129.17767643637998</v>
      </c>
      <c r="T318">
        <f t="shared" si="968"/>
        <v>0.12917767643637998</v>
      </c>
    </row>
    <row r="319" spans="1:20" x14ac:dyDescent="0.25">
      <c r="A319" s="5">
        <v>44274</v>
      </c>
      <c r="B319">
        <v>133.10499999999999</v>
      </c>
      <c r="C319">
        <v>135.30600000000001</v>
      </c>
      <c r="D319">
        <v>129.67500000000001</v>
      </c>
      <c r="E319">
        <v>133.483</v>
      </c>
      <c r="F319">
        <v>131547.492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0.35251287515538715</v>
      </c>
      <c r="Q319">
        <f t="shared" si="965"/>
        <v>46372.184624400288</v>
      </c>
      <c r="R319">
        <f t="shared" si="966"/>
        <v>13046939.196173793</v>
      </c>
      <c r="S319">
        <f t="shared" si="967"/>
        <v>130.46939196173793</v>
      </c>
      <c r="T319">
        <f t="shared" si="968"/>
        <v>0.13046939196173793</v>
      </c>
    </row>
    <row r="320" spans="1:20" x14ac:dyDescent="0.25">
      <c r="A320" s="5">
        <v>44273</v>
      </c>
      <c r="B320">
        <v>135.78200000000001</v>
      </c>
      <c r="C320">
        <v>138</v>
      </c>
      <c r="D320">
        <v>130.5</v>
      </c>
      <c r="E320">
        <v>133.06800000000001</v>
      </c>
      <c r="F320">
        <v>155277.68400000001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-0.31519999999999676</v>
      </c>
      <c r="Q320">
        <f t="shared" si="965"/>
        <v>-48943.525996799501</v>
      </c>
      <c r="R320">
        <f t="shared" si="966"/>
        <v>13000567.011549393</v>
      </c>
      <c r="S320">
        <f t="shared" si="967"/>
        <v>130.00567011549393</v>
      </c>
      <c r="T320">
        <f t="shared" si="968"/>
        <v>0.13000567011549394</v>
      </c>
    </row>
    <row r="321" spans="1:20" x14ac:dyDescent="0.25">
      <c r="A321" s="5">
        <v>44272</v>
      </c>
      <c r="B321">
        <v>130.38999999999999</v>
      </c>
      <c r="C321">
        <v>137.37899999999999</v>
      </c>
      <c r="D321">
        <v>127.313</v>
      </c>
      <c r="E321">
        <v>135.72</v>
      </c>
      <c r="F321">
        <v>166085.43299999999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0.67037552155772029</v>
      </c>
      <c r="Q321">
        <f t="shared" si="965"/>
        <v>111339.60877051479</v>
      </c>
      <c r="R321">
        <f t="shared" si="966"/>
        <v>13049510.537546191</v>
      </c>
      <c r="S321">
        <f t="shared" si="967"/>
        <v>130.49510537546192</v>
      </c>
      <c r="T321">
        <f t="shared" si="968"/>
        <v>0.13049510537546191</v>
      </c>
    </row>
    <row r="322" spans="1:20" x14ac:dyDescent="0.25">
      <c r="A322" s="5">
        <v>44271</v>
      </c>
      <c r="B322">
        <v>130.58699999999999</v>
      </c>
      <c r="C322">
        <v>133.745</v>
      </c>
      <c r="D322">
        <v>126.36</v>
      </c>
      <c r="E322">
        <v>130.38999999999999</v>
      </c>
      <c r="F322">
        <v>194074.43900000001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9.140148950575061E-2</v>
      </c>
      <c r="Q322">
        <f t="shared" si="965"/>
        <v>17738.69279959294</v>
      </c>
      <c r="R322">
        <f t="shared" si="966"/>
        <v>12938170.928775677</v>
      </c>
      <c r="S322">
        <f t="shared" si="967"/>
        <v>129.38170928775676</v>
      </c>
      <c r="T322">
        <f t="shared" si="968"/>
        <v>0.12938170928775677</v>
      </c>
    </row>
    <row r="323" spans="1:20" x14ac:dyDescent="0.25">
      <c r="A323" s="5">
        <v>44270</v>
      </c>
      <c r="B323">
        <v>131.83199999999999</v>
      </c>
      <c r="C323">
        <v>138.65100000000001</v>
      </c>
      <c r="D323">
        <v>124.48</v>
      </c>
      <c r="E323">
        <v>130.38900000000001</v>
      </c>
      <c r="F323">
        <v>336744.47399999999</v>
      </c>
      <c r="G323">
        <v>0</v>
      </c>
      <c r="L323" t="s">
        <v>8</v>
      </c>
      <c r="M323" t="s">
        <v>7</v>
      </c>
      <c r="N323" t="s">
        <v>8</v>
      </c>
      <c r="P323">
        <f t="shared" si="964"/>
        <v>-0.16604332792322302</v>
      </c>
      <c r="Q323">
        <f t="shared" si="965"/>
        <v>-55914.173122715241</v>
      </c>
      <c r="R323">
        <f t="shared" si="966"/>
        <v>12920432.235976085</v>
      </c>
      <c r="S323">
        <f t="shared" si="967"/>
        <v>129.20432235976085</v>
      </c>
      <c r="T323">
        <f t="shared" si="968"/>
        <v>0.12920432235976084</v>
      </c>
    </row>
    <row r="324" spans="1:20" x14ac:dyDescent="0.25">
      <c r="A324" s="5">
        <v>44269</v>
      </c>
      <c r="B324">
        <v>140.4</v>
      </c>
      <c r="C324">
        <v>142.25</v>
      </c>
      <c r="D324">
        <v>125</v>
      </c>
      <c r="E324">
        <v>131.73500000000001</v>
      </c>
      <c r="F324">
        <v>282491.13400000002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-0.2191304347826071</v>
      </c>
      <c r="Q324">
        <f t="shared" si="965"/>
        <v>-61902.405015651726</v>
      </c>
      <c r="R324">
        <f t="shared" si="966"/>
        <v>12976346.4090988</v>
      </c>
      <c r="S324">
        <f t="shared" si="967"/>
        <v>129.76346409098801</v>
      </c>
      <c r="T324">
        <f t="shared" si="968"/>
        <v>0.12976346409098802</v>
      </c>
    </row>
    <row r="325" spans="1:20" x14ac:dyDescent="0.25">
      <c r="A325" s="5">
        <v>44268</v>
      </c>
      <c r="B325">
        <v>140.44399999999999</v>
      </c>
      <c r="C325">
        <v>146.958</v>
      </c>
      <c r="D325">
        <v>134.1</v>
      </c>
      <c r="E325">
        <v>140.4</v>
      </c>
      <c r="F325">
        <v>210672.26199999999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-2.0065328978066673E-2</v>
      </c>
      <c r="Q325">
        <f t="shared" si="965"/>
        <v>-4227.2082435834545</v>
      </c>
      <c r="R325">
        <f t="shared" si="966"/>
        <v>13038248.814114451</v>
      </c>
      <c r="S325">
        <f t="shared" si="967"/>
        <v>130.38248814114451</v>
      </c>
      <c r="T325">
        <f t="shared" si="968"/>
        <v>0.1303824881411445</v>
      </c>
    </row>
    <row r="326" spans="1:20" x14ac:dyDescent="0.25">
      <c r="A326" s="5">
        <v>44267</v>
      </c>
      <c r="B326">
        <v>151.44499999999999</v>
      </c>
      <c r="C326">
        <v>152.636</v>
      </c>
      <c r="D326">
        <v>137.23599999999999</v>
      </c>
      <c r="E326">
        <v>140.37899999999999</v>
      </c>
      <c r="F326">
        <v>242429.35699999999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-0.59181818181818191</v>
      </c>
      <c r="Q326">
        <f t="shared" ref="Q326:Q389" si="970">F326*P326</f>
        <v>-143474.10127909092</v>
      </c>
      <c r="R326">
        <f t="shared" ref="R326:R389" si="971">R327+Q326</f>
        <v>13042476.022358036</v>
      </c>
      <c r="S326">
        <f t="shared" ref="S326:S389" si="972">R326/100000</f>
        <v>130.42476022358036</v>
      </c>
      <c r="T326">
        <f t="shared" ref="T326:T389" si="973">S326/1000</f>
        <v>0.13042476022358038</v>
      </c>
    </row>
    <row r="327" spans="1:20" x14ac:dyDescent="0.25">
      <c r="A327" s="5">
        <v>44266</v>
      </c>
      <c r="B327">
        <v>150.898</v>
      </c>
      <c r="C327">
        <v>156.29900000000001</v>
      </c>
      <c r="D327">
        <v>145.76</v>
      </c>
      <c r="E327">
        <v>151.43799999999999</v>
      </c>
      <c r="F327">
        <v>251994.815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7.7521586488279504E-2</v>
      </c>
      <c r="Q327">
        <f t="shared" si="970"/>
        <v>19535.037845620493</v>
      </c>
      <c r="R327">
        <f t="shared" si="971"/>
        <v>13185950.123637127</v>
      </c>
      <c r="S327">
        <f t="shared" si="972"/>
        <v>131.85950123637127</v>
      </c>
      <c r="T327">
        <f t="shared" si="973"/>
        <v>0.13185950123637127</v>
      </c>
    </row>
    <row r="328" spans="1:20" x14ac:dyDescent="0.25">
      <c r="A328" s="5">
        <v>44265</v>
      </c>
      <c r="B328">
        <v>157.96799999999999</v>
      </c>
      <c r="C328">
        <v>165</v>
      </c>
      <c r="D328">
        <v>148</v>
      </c>
      <c r="E328">
        <v>150.93100000000001</v>
      </c>
      <c r="F328">
        <v>395164.13799999998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-0.65517647058823392</v>
      </c>
      <c r="Q328">
        <f t="shared" si="970"/>
        <v>-258902.24523788178</v>
      </c>
      <c r="R328">
        <f t="shared" si="971"/>
        <v>13166415.085791506</v>
      </c>
      <c r="S328">
        <f t="shared" si="972"/>
        <v>131.66415085791505</v>
      </c>
      <c r="T328">
        <f t="shared" si="973"/>
        <v>0.13166415085791505</v>
      </c>
    </row>
    <row r="329" spans="1:20" x14ac:dyDescent="0.25">
      <c r="A329" s="5">
        <v>44264</v>
      </c>
      <c r="B329">
        <v>147.203</v>
      </c>
      <c r="C329">
        <v>164.2</v>
      </c>
      <c r="D329">
        <v>144.68700000000001</v>
      </c>
      <c r="E329">
        <v>157.97300000000001</v>
      </c>
      <c r="F329">
        <v>407941.99699999997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0.36175882744836951</v>
      </c>
      <c r="Q329">
        <f t="shared" si="970"/>
        <v>147576.61850166626</v>
      </c>
      <c r="R329">
        <f t="shared" si="971"/>
        <v>13425317.331029387</v>
      </c>
      <c r="S329">
        <f t="shared" si="972"/>
        <v>134.25317331029387</v>
      </c>
      <c r="T329">
        <f t="shared" si="973"/>
        <v>0.13425317331029388</v>
      </c>
    </row>
    <row r="330" spans="1:20" x14ac:dyDescent="0.25">
      <c r="A330" s="5">
        <v>44263</v>
      </c>
      <c r="B330">
        <v>145.785</v>
      </c>
      <c r="C330">
        <v>149.999</v>
      </c>
      <c r="D330">
        <v>140.94999999999999</v>
      </c>
      <c r="E330">
        <v>147.25200000000001</v>
      </c>
      <c r="F330">
        <v>253989.799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0.3928610896231664</v>
      </c>
      <c r="Q330">
        <f t="shared" si="970"/>
        <v>99782.709188309018</v>
      </c>
      <c r="R330">
        <f t="shared" si="971"/>
        <v>13277740.71252772</v>
      </c>
      <c r="S330">
        <f t="shared" si="972"/>
        <v>132.77740712527719</v>
      </c>
      <c r="T330">
        <f t="shared" si="973"/>
        <v>0.13277740712527719</v>
      </c>
    </row>
    <row r="331" spans="1:20" x14ac:dyDescent="0.25">
      <c r="A331" s="5">
        <v>44262</v>
      </c>
      <c r="B331">
        <v>137.113</v>
      </c>
      <c r="C331">
        <v>152</v>
      </c>
      <c r="D331">
        <v>137.11199999999999</v>
      </c>
      <c r="E331">
        <v>145.786</v>
      </c>
      <c r="F331">
        <v>302026.30599999998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0.16523374529822724</v>
      </c>
      <c r="Q331">
        <f t="shared" si="970"/>
        <v>49904.937718968438</v>
      </c>
      <c r="R331">
        <f t="shared" si="971"/>
        <v>13177958.003339412</v>
      </c>
      <c r="S331">
        <f t="shared" si="972"/>
        <v>131.77958003339413</v>
      </c>
      <c r="T331">
        <f t="shared" si="973"/>
        <v>0.13177958003339413</v>
      </c>
    </row>
    <row r="332" spans="1:20" x14ac:dyDescent="0.25">
      <c r="A332" s="5">
        <v>44261</v>
      </c>
      <c r="B332">
        <v>141.18700000000001</v>
      </c>
      <c r="C332">
        <v>147</v>
      </c>
      <c r="D332">
        <v>132.66399999999999</v>
      </c>
      <c r="E332">
        <v>137.196</v>
      </c>
      <c r="F332">
        <v>271701.82799999998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-0.36774553571428481</v>
      </c>
      <c r="Q332">
        <f t="shared" si="970"/>
        <v>-99917.134292410468</v>
      </c>
      <c r="R332">
        <f t="shared" si="971"/>
        <v>13128053.065620443</v>
      </c>
      <c r="S332">
        <f t="shared" si="972"/>
        <v>131.28053065620443</v>
      </c>
      <c r="T332">
        <f t="shared" si="973"/>
        <v>0.13128053065620443</v>
      </c>
    </row>
    <row r="333" spans="1:20" x14ac:dyDescent="0.25">
      <c r="A333" s="5">
        <v>44260</v>
      </c>
      <c r="B333">
        <v>150.9</v>
      </c>
      <c r="C333">
        <v>152</v>
      </c>
      <c r="D333">
        <v>138</v>
      </c>
      <c r="E333">
        <v>141.167</v>
      </c>
      <c r="F333">
        <v>458881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-0.54757142857142838</v>
      </c>
      <c r="Q333">
        <f t="shared" si="970"/>
        <v>-251270.12471428563</v>
      </c>
      <c r="R333">
        <f t="shared" si="971"/>
        <v>13227970.199912854</v>
      </c>
      <c r="S333">
        <f t="shared" si="972"/>
        <v>132.27970199912855</v>
      </c>
      <c r="T333">
        <f t="shared" si="973"/>
        <v>0.13227970199912856</v>
      </c>
    </row>
    <row r="334" spans="1:20" x14ac:dyDescent="0.25">
      <c r="A334" s="5">
        <v>44259</v>
      </c>
      <c r="B334">
        <v>141.34</v>
      </c>
      <c r="C334">
        <v>160</v>
      </c>
      <c r="D334">
        <v>138</v>
      </c>
      <c r="E334">
        <v>150.89699999999999</v>
      </c>
      <c r="F334">
        <v>952202.01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0.17245454545454467</v>
      </c>
      <c r="Q334">
        <f t="shared" si="970"/>
        <v>164211.56481545381</v>
      </c>
      <c r="R334">
        <f t="shared" si="971"/>
        <v>13479240.324627139</v>
      </c>
      <c r="S334">
        <f t="shared" si="972"/>
        <v>134.79240324627139</v>
      </c>
      <c r="T334">
        <f t="shared" si="973"/>
        <v>0.1347924032462714</v>
      </c>
    </row>
    <row r="335" spans="1:20" x14ac:dyDescent="0.25">
      <c r="A335" s="5">
        <v>44258</v>
      </c>
      <c r="B335">
        <v>133.899</v>
      </c>
      <c r="C335">
        <v>143.917</v>
      </c>
      <c r="D335">
        <v>131.876</v>
      </c>
      <c r="E335">
        <v>141.428</v>
      </c>
      <c r="F335">
        <v>363078.663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0.58657918777510087</v>
      </c>
      <c r="Q335">
        <f t="shared" si="970"/>
        <v>212974.38724100956</v>
      </c>
      <c r="R335">
        <f t="shared" si="971"/>
        <v>13315028.759811684</v>
      </c>
      <c r="S335">
        <f t="shared" si="972"/>
        <v>133.15028759811685</v>
      </c>
      <c r="T335">
        <f t="shared" si="973"/>
        <v>0.13315028759811684</v>
      </c>
    </row>
    <row r="336" spans="1:20" x14ac:dyDescent="0.25">
      <c r="A336" s="5">
        <v>44257</v>
      </c>
      <c r="B336">
        <v>138.227</v>
      </c>
      <c r="C336">
        <v>145</v>
      </c>
      <c r="D336">
        <v>127.27800000000001</v>
      </c>
      <c r="E336">
        <v>133.97999999999999</v>
      </c>
      <c r="F336">
        <v>440079.462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-0.24365195801828393</v>
      </c>
      <c r="Q336">
        <f t="shared" si="970"/>
        <v>-107226.22259993298</v>
      </c>
      <c r="R336">
        <f t="shared" si="971"/>
        <v>13102054.372570675</v>
      </c>
      <c r="S336">
        <f t="shared" si="972"/>
        <v>131.02054372570674</v>
      </c>
      <c r="T336">
        <f t="shared" si="973"/>
        <v>0.13102054372570673</v>
      </c>
    </row>
    <row r="337" spans="1:20" x14ac:dyDescent="0.25">
      <c r="A337" s="5">
        <v>44256</v>
      </c>
      <c r="B337">
        <v>130.553</v>
      </c>
      <c r="C337">
        <v>144</v>
      </c>
      <c r="D337">
        <v>129.13900000000001</v>
      </c>
      <c r="E337">
        <v>138.221</v>
      </c>
      <c r="F337">
        <v>432172.57299999997</v>
      </c>
      <c r="G337">
        <v>0</v>
      </c>
      <c r="L337" t="s">
        <v>8</v>
      </c>
      <c r="M337" t="s">
        <v>7</v>
      </c>
      <c r="N337" t="s">
        <v>8</v>
      </c>
      <c r="P337">
        <f t="shared" si="969"/>
        <v>0.22225960567929476</v>
      </c>
      <c r="Q337">
        <f t="shared" si="970"/>
        <v>96054.505660386218</v>
      </c>
      <c r="R337">
        <f t="shared" si="971"/>
        <v>13209280.595170608</v>
      </c>
      <c r="S337">
        <f t="shared" si="972"/>
        <v>132.09280595170608</v>
      </c>
      <c r="T337">
        <f t="shared" si="973"/>
        <v>0.13209280595170608</v>
      </c>
    </row>
    <row r="338" spans="1:20" x14ac:dyDescent="0.25">
      <c r="A338" s="5">
        <v>44255</v>
      </c>
      <c r="B338">
        <v>135.351</v>
      </c>
      <c r="C338">
        <v>137</v>
      </c>
      <c r="D338">
        <v>120.322</v>
      </c>
      <c r="E338">
        <v>130.58600000000001</v>
      </c>
      <c r="F338">
        <v>543344.73600000003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0.23084302674181698</v>
      </c>
      <c r="Q338">
        <f t="shared" si="970"/>
        <v>125427.3434224735</v>
      </c>
      <c r="R338">
        <f t="shared" si="971"/>
        <v>13113226.089510221</v>
      </c>
      <c r="S338">
        <f t="shared" si="972"/>
        <v>131.13226089510221</v>
      </c>
      <c r="T338">
        <f t="shared" si="973"/>
        <v>0.13113226089510222</v>
      </c>
    </row>
    <row r="339" spans="1:20" x14ac:dyDescent="0.25">
      <c r="A339" s="5">
        <v>44254</v>
      </c>
      <c r="B339">
        <v>124.393</v>
      </c>
      <c r="C339">
        <v>151.94999999999999</v>
      </c>
      <c r="D339">
        <v>122.38800000000001</v>
      </c>
      <c r="E339">
        <v>135.43700000000001</v>
      </c>
      <c r="F339">
        <v>1036811.963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-0.11717745754684974</v>
      </c>
      <c r="Q339">
        <f t="shared" si="970"/>
        <v>-121490.98977849845</v>
      </c>
      <c r="R339">
        <f t="shared" si="971"/>
        <v>12987798.746087747</v>
      </c>
      <c r="S339">
        <f t="shared" si="972"/>
        <v>129.87798746087748</v>
      </c>
      <c r="T339">
        <f t="shared" si="973"/>
        <v>0.12987798746087748</v>
      </c>
    </row>
    <row r="340" spans="1:20" x14ac:dyDescent="0.25">
      <c r="A340" s="5">
        <v>44253</v>
      </c>
      <c r="B340">
        <v>113.337</v>
      </c>
      <c r="C340">
        <v>128.10900000000001</v>
      </c>
      <c r="D340">
        <v>103.687</v>
      </c>
      <c r="E340">
        <v>124.199</v>
      </c>
      <c r="F340">
        <v>799135.67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0.67979690443043084</v>
      </c>
      <c r="Q340">
        <f t="shared" si="970"/>
        <v>543249.95468593831</v>
      </c>
      <c r="R340">
        <f t="shared" si="971"/>
        <v>13109289.735866245</v>
      </c>
      <c r="S340">
        <f t="shared" si="972"/>
        <v>131.09289735866244</v>
      </c>
      <c r="T340">
        <f t="shared" si="973"/>
        <v>0.13109289735866245</v>
      </c>
    </row>
    <row r="341" spans="1:20" x14ac:dyDescent="0.25">
      <c r="A341" s="5">
        <v>44252</v>
      </c>
      <c r="B341">
        <v>116.895</v>
      </c>
      <c r="C341">
        <v>129</v>
      </c>
      <c r="D341">
        <v>112.01</v>
      </c>
      <c r="E341">
        <v>113.328</v>
      </c>
      <c r="F341">
        <v>474677.56599999999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-0.84484991171277246</v>
      </c>
      <c r="Q341">
        <f t="shared" si="970"/>
        <v>-401031.29972713371</v>
      </c>
      <c r="R341">
        <f t="shared" si="971"/>
        <v>12566039.781180307</v>
      </c>
      <c r="S341">
        <f t="shared" si="972"/>
        <v>125.66039781180308</v>
      </c>
      <c r="T341">
        <f t="shared" si="973"/>
        <v>0.12566039781180308</v>
      </c>
    </row>
    <row r="342" spans="1:20" x14ac:dyDescent="0.25">
      <c r="A342" s="5">
        <v>44251</v>
      </c>
      <c r="B342">
        <v>109.863</v>
      </c>
      <c r="C342">
        <v>130</v>
      </c>
      <c r="D342">
        <v>104.38200000000001</v>
      </c>
      <c r="E342">
        <v>116.898</v>
      </c>
      <c r="F342">
        <v>605035.27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-2.2874541338122136E-2</v>
      </c>
      <c r="Q342">
        <f t="shared" si="970"/>
        <v>-13839.904294636888</v>
      </c>
      <c r="R342">
        <f t="shared" si="971"/>
        <v>12967071.080907442</v>
      </c>
      <c r="S342">
        <f t="shared" si="972"/>
        <v>129.67071080907442</v>
      </c>
      <c r="T342">
        <f t="shared" si="973"/>
        <v>0.12967071080907441</v>
      </c>
    </row>
    <row r="343" spans="1:20" x14ac:dyDescent="0.25">
      <c r="A343" s="5">
        <v>44250</v>
      </c>
      <c r="B343">
        <v>126.84699999999999</v>
      </c>
      <c r="C343">
        <v>135</v>
      </c>
      <c r="D343">
        <v>90</v>
      </c>
      <c r="E343">
        <v>110</v>
      </c>
      <c r="F343">
        <v>1143359.2960000001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-0.1111111111111111</v>
      </c>
      <c r="Q343">
        <f t="shared" si="970"/>
        <v>-127039.92177777778</v>
      </c>
      <c r="R343">
        <f t="shared" si="971"/>
        <v>12980910.985202078</v>
      </c>
      <c r="S343">
        <f t="shared" si="972"/>
        <v>129.80910985202078</v>
      </c>
      <c r="T343">
        <f t="shared" si="973"/>
        <v>0.12980910985202079</v>
      </c>
    </row>
    <row r="344" spans="1:20" x14ac:dyDescent="0.25">
      <c r="A344" s="5">
        <v>44249</v>
      </c>
      <c r="B344">
        <v>140.70699999999999</v>
      </c>
      <c r="C344">
        <v>154</v>
      </c>
      <c r="D344">
        <v>103.453</v>
      </c>
      <c r="E344">
        <v>126.84699999999999</v>
      </c>
      <c r="F344">
        <v>962213.58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-7.4366431242210512E-2</v>
      </c>
      <c r="Q344">
        <f t="shared" si="970"/>
        <v>-71556.390037391218</v>
      </c>
      <c r="R344">
        <f t="shared" si="971"/>
        <v>13107950.906979855</v>
      </c>
      <c r="S344">
        <f t="shared" si="972"/>
        <v>131.07950906979855</v>
      </c>
      <c r="T344">
        <f t="shared" si="973"/>
        <v>0.13107950906979854</v>
      </c>
    </row>
    <row r="345" spans="1:20" x14ac:dyDescent="0.25">
      <c r="A345" s="5">
        <v>44248</v>
      </c>
      <c r="B345">
        <v>139.279</v>
      </c>
      <c r="C345">
        <v>144.63300000000001</v>
      </c>
      <c r="D345">
        <v>135.959</v>
      </c>
      <c r="E345">
        <v>140.70699999999999</v>
      </c>
      <c r="F345">
        <v>293963.03100000002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9.4765967258470571E-2</v>
      </c>
      <c r="Q345">
        <f t="shared" si="970"/>
        <v>27857.690970946773</v>
      </c>
      <c r="R345">
        <f t="shared" si="971"/>
        <v>13179507.297017246</v>
      </c>
      <c r="S345">
        <f t="shared" si="972"/>
        <v>131.79507297017247</v>
      </c>
      <c r="T345">
        <f t="shared" si="973"/>
        <v>0.13179507297017248</v>
      </c>
    </row>
    <row r="346" spans="1:20" x14ac:dyDescent="0.25">
      <c r="A346" s="5">
        <v>44247</v>
      </c>
      <c r="B346">
        <v>139.636</v>
      </c>
      <c r="C346">
        <v>155.30000000000001</v>
      </c>
      <c r="D346">
        <v>132.99100000000001</v>
      </c>
      <c r="E346">
        <v>139.52000000000001</v>
      </c>
      <c r="F346">
        <v>607884.41399999999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-0.41467569142498567</v>
      </c>
      <c r="Q346">
        <f t="shared" si="970"/>
        <v>-252074.88968192224</v>
      </c>
      <c r="R346">
        <f t="shared" si="971"/>
        <v>13151649.6060463</v>
      </c>
      <c r="S346">
        <f t="shared" si="972"/>
        <v>131.516496060463</v>
      </c>
      <c r="T346">
        <f t="shared" si="973"/>
        <v>0.13151649606046301</v>
      </c>
    </row>
    <row r="347" spans="1:20" x14ac:dyDescent="0.25">
      <c r="A347" s="5">
        <v>44246</v>
      </c>
      <c r="B347">
        <v>151.76900000000001</v>
      </c>
      <c r="C347">
        <v>154.999</v>
      </c>
      <c r="D347">
        <v>135.506</v>
      </c>
      <c r="E347">
        <v>139.53200000000001</v>
      </c>
      <c r="F347">
        <v>578125.19400000002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-0.58692864105063236</v>
      </c>
      <c r="Q347">
        <f t="shared" si="970"/>
        <v>-339318.23447155318</v>
      </c>
      <c r="R347">
        <f t="shared" si="971"/>
        <v>13403724.495728223</v>
      </c>
      <c r="S347">
        <f t="shared" si="972"/>
        <v>134.03724495728224</v>
      </c>
      <c r="T347">
        <f t="shared" si="973"/>
        <v>0.13403724495728225</v>
      </c>
    </row>
    <row r="348" spans="1:20" x14ac:dyDescent="0.25">
      <c r="A348" s="5">
        <v>44245</v>
      </c>
      <c r="B348">
        <v>145.41999999999999</v>
      </c>
      <c r="C348">
        <v>166.77600000000001</v>
      </c>
      <c r="D348">
        <v>143.30799999999999</v>
      </c>
      <c r="E348">
        <v>151.74799999999999</v>
      </c>
      <c r="F348">
        <v>825757.93099999998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-0.28072268621101149</v>
      </c>
      <c r="Q348">
        <f t="shared" si="970"/>
        <v>-231808.98455036708</v>
      </c>
      <c r="R348">
        <f t="shared" si="971"/>
        <v>13743042.730199777</v>
      </c>
      <c r="S348">
        <f t="shared" si="972"/>
        <v>137.43042730199775</v>
      </c>
      <c r="T348">
        <f t="shared" si="973"/>
        <v>0.13743042730199775</v>
      </c>
    </row>
    <row r="349" spans="1:20" x14ac:dyDescent="0.25">
      <c r="A349" s="5">
        <v>44244</v>
      </c>
      <c r="B349">
        <v>137.001</v>
      </c>
      <c r="C349">
        <v>157.9</v>
      </c>
      <c r="D349">
        <v>123.5</v>
      </c>
      <c r="E349">
        <v>145.345</v>
      </c>
      <c r="F349">
        <v>1127387.591</v>
      </c>
      <c r="G349">
        <v>0</v>
      </c>
      <c r="L349" t="s">
        <v>8</v>
      </c>
      <c r="M349" t="s">
        <v>7</v>
      </c>
      <c r="N349" t="s">
        <v>8</v>
      </c>
      <c r="P349">
        <f t="shared" si="969"/>
        <v>0.27005813953488345</v>
      </c>
      <c r="Q349">
        <f t="shared" si="970"/>
        <v>304460.19536017411</v>
      </c>
      <c r="R349">
        <f t="shared" si="971"/>
        <v>13974851.714750143</v>
      </c>
      <c r="S349">
        <f t="shared" si="972"/>
        <v>139.74851714750142</v>
      </c>
      <c r="T349">
        <f t="shared" si="973"/>
        <v>0.13974851714750142</v>
      </c>
    </row>
    <row r="350" spans="1:20" x14ac:dyDescent="0.25">
      <c r="A350" s="5">
        <v>44243</v>
      </c>
      <c r="B350">
        <v>139.63200000000001</v>
      </c>
      <c r="C350">
        <v>153</v>
      </c>
      <c r="D350">
        <v>131</v>
      </c>
      <c r="E350">
        <v>137.029</v>
      </c>
      <c r="F350">
        <v>702886.451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-0.45190909090909126</v>
      </c>
      <c r="Q350">
        <f t="shared" si="970"/>
        <v>-317640.77708372753</v>
      </c>
      <c r="R350">
        <f t="shared" si="971"/>
        <v>13670391.519389968</v>
      </c>
      <c r="S350">
        <f t="shared" si="972"/>
        <v>136.70391519389969</v>
      </c>
      <c r="T350">
        <f t="shared" si="973"/>
        <v>0.13670391519389968</v>
      </c>
    </row>
    <row r="351" spans="1:20" x14ac:dyDescent="0.25">
      <c r="A351" s="5">
        <v>44242</v>
      </c>
      <c r="B351">
        <v>154.26400000000001</v>
      </c>
      <c r="C351">
        <v>169</v>
      </c>
      <c r="D351">
        <v>65.599999999999994</v>
      </c>
      <c r="E351">
        <v>139.63200000000001</v>
      </c>
      <c r="F351">
        <v>2241084.523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0.43195357833655718</v>
      </c>
      <c r="Q351">
        <f t="shared" si="970"/>
        <v>968044.47906452639</v>
      </c>
      <c r="R351">
        <f t="shared" si="971"/>
        <v>13988032.296473697</v>
      </c>
      <c r="S351">
        <f t="shared" si="972"/>
        <v>139.88032296473696</v>
      </c>
      <c r="T351">
        <f t="shared" si="973"/>
        <v>0.13988032296473696</v>
      </c>
    </row>
    <row r="352" spans="1:20" x14ac:dyDescent="0.25">
      <c r="A352" s="5">
        <v>44241</v>
      </c>
      <c r="B352">
        <v>159.40899999999999</v>
      </c>
      <c r="C352">
        <v>167.89</v>
      </c>
      <c r="D352">
        <v>150</v>
      </c>
      <c r="E352">
        <v>154.13999999999999</v>
      </c>
      <c r="F352">
        <v>484480.60100000002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-0.53717160424818455</v>
      </c>
      <c r="Q352">
        <f t="shared" si="970"/>
        <v>-260249.22166629462</v>
      </c>
      <c r="R352">
        <f t="shared" si="971"/>
        <v>13019987.817409171</v>
      </c>
      <c r="S352">
        <f t="shared" si="972"/>
        <v>130.19987817409171</v>
      </c>
      <c r="T352">
        <f t="shared" si="973"/>
        <v>0.1301998781740917</v>
      </c>
    </row>
    <row r="353" spans="1:20" x14ac:dyDescent="0.25">
      <c r="A353" s="5">
        <v>44240</v>
      </c>
      <c r="B353">
        <v>169.72</v>
      </c>
      <c r="C353">
        <v>175.45699999999999</v>
      </c>
      <c r="D353">
        <v>158</v>
      </c>
      <c r="E353">
        <v>159.14699999999999</v>
      </c>
      <c r="F353">
        <v>405108.45</v>
      </c>
      <c r="G353">
        <v>0</v>
      </c>
      <c r="L353" t="s">
        <v>7</v>
      </c>
      <c r="M353" t="s">
        <v>8</v>
      </c>
      <c r="N353" t="s">
        <v>7</v>
      </c>
      <c r="P353">
        <f t="shared" si="969"/>
        <v>-0.86859139600160484</v>
      </c>
      <c r="Q353">
        <f t="shared" si="970"/>
        <v>-351873.71411754633</v>
      </c>
      <c r="R353">
        <f t="shared" si="971"/>
        <v>13280237.039075466</v>
      </c>
      <c r="S353">
        <f t="shared" si="972"/>
        <v>132.80237039075465</v>
      </c>
      <c r="T353">
        <f t="shared" si="973"/>
        <v>0.13280237039075465</v>
      </c>
    </row>
    <row r="354" spans="1:20" x14ac:dyDescent="0.25">
      <c r="A354" s="5">
        <v>44239</v>
      </c>
      <c r="B354">
        <v>157.756</v>
      </c>
      <c r="C354">
        <v>179</v>
      </c>
      <c r="D354">
        <v>152.31800000000001</v>
      </c>
      <c r="E354">
        <v>169.642</v>
      </c>
      <c r="F354">
        <v>805097.96799999999</v>
      </c>
      <c r="G354">
        <v>0</v>
      </c>
      <c r="L354" t="s">
        <v>8</v>
      </c>
      <c r="M354" t="s">
        <v>8</v>
      </c>
      <c r="N354" t="s">
        <v>7</v>
      </c>
      <c r="P354">
        <f t="shared" si="969"/>
        <v>0.29855333183419469</v>
      </c>
      <c r="Q354">
        <f t="shared" si="970"/>
        <v>240364.68079933987</v>
      </c>
      <c r="R354">
        <f t="shared" si="971"/>
        <v>13632110.753193012</v>
      </c>
      <c r="S354">
        <f t="shared" si="972"/>
        <v>136.32110753193012</v>
      </c>
      <c r="T354">
        <f t="shared" si="973"/>
        <v>0.13632110753193014</v>
      </c>
    </row>
    <row r="355" spans="1:20" x14ac:dyDescent="0.25">
      <c r="A355" s="5">
        <v>44238</v>
      </c>
      <c r="B355">
        <v>176.34399999999999</v>
      </c>
      <c r="C355">
        <v>188</v>
      </c>
      <c r="D355">
        <v>147</v>
      </c>
      <c r="E355">
        <v>157.536</v>
      </c>
      <c r="F355">
        <v>962984.14300000004</v>
      </c>
      <c r="G355">
        <v>0</v>
      </c>
      <c r="L355" t="s">
        <v>7</v>
      </c>
      <c r="M355" t="s">
        <v>7</v>
      </c>
      <c r="N355" t="s">
        <v>7</v>
      </c>
      <c r="P355">
        <f t="shared" si="969"/>
        <v>-0.48604878048780481</v>
      </c>
      <c r="Q355">
        <f t="shared" si="970"/>
        <v>-468057.26833424385</v>
      </c>
      <c r="R355">
        <f t="shared" si="971"/>
        <v>13391746.072393673</v>
      </c>
      <c r="S355">
        <f t="shared" si="972"/>
        <v>133.91746072393673</v>
      </c>
      <c r="T355">
        <f t="shared" si="973"/>
        <v>0.13391746072393673</v>
      </c>
    </row>
    <row r="356" spans="1:20" x14ac:dyDescent="0.25">
      <c r="A356" s="5">
        <v>44237</v>
      </c>
      <c r="B356">
        <v>195.32599999999999</v>
      </c>
      <c r="C356">
        <v>215</v>
      </c>
      <c r="D356">
        <v>162.5</v>
      </c>
      <c r="E356">
        <v>176.21799999999999</v>
      </c>
      <c r="F356">
        <v>1218873.5419999999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-0.47740952380952423</v>
      </c>
      <c r="Q356">
        <f t="shared" si="970"/>
        <v>-581901.8372702481</v>
      </c>
      <c r="R356">
        <f t="shared" si="971"/>
        <v>13859803.340727916</v>
      </c>
      <c r="S356">
        <f t="shared" si="972"/>
        <v>138.59803340727916</v>
      </c>
      <c r="T356">
        <f t="shared" si="973"/>
        <v>0.13859803340727916</v>
      </c>
    </row>
    <row r="357" spans="1:20" x14ac:dyDescent="0.25">
      <c r="A357" s="5">
        <v>44236</v>
      </c>
      <c r="B357">
        <v>163.16399999999999</v>
      </c>
      <c r="C357">
        <v>216.99799999999999</v>
      </c>
      <c r="D357">
        <v>159</v>
      </c>
      <c r="E357">
        <v>195.334</v>
      </c>
      <c r="F357">
        <v>1426701.0730000001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0.2529397565433294</v>
      </c>
      <c r="Q357">
        <f t="shared" si="970"/>
        <v>360869.42206472682</v>
      </c>
      <c r="R357">
        <f t="shared" si="971"/>
        <v>14441705.177998165</v>
      </c>
      <c r="S357">
        <f t="shared" si="972"/>
        <v>144.41705177998165</v>
      </c>
      <c r="T357">
        <f t="shared" si="973"/>
        <v>0.14441705177998165</v>
      </c>
    </row>
    <row r="358" spans="1:20" x14ac:dyDescent="0.25">
      <c r="A358" s="5">
        <v>44235</v>
      </c>
      <c r="B358">
        <v>139.74600000000001</v>
      </c>
      <c r="C358">
        <v>199.43</v>
      </c>
      <c r="D358">
        <v>128.9</v>
      </c>
      <c r="E358">
        <v>163.298</v>
      </c>
      <c r="F358">
        <v>2797689.2820000001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-2.458528285835827E-2</v>
      </c>
      <c r="Q358">
        <f t="shared" si="970"/>
        <v>-68781.982347767262</v>
      </c>
      <c r="R358">
        <f t="shared" si="971"/>
        <v>14080835.755933437</v>
      </c>
      <c r="S358">
        <f t="shared" si="972"/>
        <v>140.80835755933438</v>
      </c>
      <c r="T358">
        <f t="shared" si="973"/>
        <v>0.14080835755933438</v>
      </c>
    </row>
    <row r="359" spans="1:20" x14ac:dyDescent="0.25">
      <c r="A359" s="5">
        <v>44234</v>
      </c>
      <c r="B359">
        <v>95.864999999999995</v>
      </c>
      <c r="C359">
        <v>142.97</v>
      </c>
      <c r="D359">
        <v>92</v>
      </c>
      <c r="E359">
        <v>139.744</v>
      </c>
      <c r="F359">
        <v>2234216.5410000002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0.87341573474592904</v>
      </c>
      <c r="Q359">
        <f t="shared" si="970"/>
        <v>1951399.8817390234</v>
      </c>
      <c r="R359">
        <f t="shared" si="971"/>
        <v>14149617.738281205</v>
      </c>
      <c r="S359">
        <f t="shared" si="972"/>
        <v>141.49617738281205</v>
      </c>
      <c r="T359">
        <f t="shared" si="973"/>
        <v>0.14149617738281206</v>
      </c>
    </row>
    <row r="360" spans="1:20" x14ac:dyDescent="0.25">
      <c r="A360" s="5">
        <v>44233</v>
      </c>
      <c r="B360">
        <v>87.960999999999999</v>
      </c>
      <c r="C360">
        <v>99.3</v>
      </c>
      <c r="D360">
        <v>83.61</v>
      </c>
      <c r="E360">
        <v>95.847999999999999</v>
      </c>
      <c r="F360">
        <v>829666.66599999997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0.55997450605481214</v>
      </c>
      <c r="Q360">
        <f t="shared" si="970"/>
        <v>464592.18148349278</v>
      </c>
      <c r="R360">
        <f t="shared" si="971"/>
        <v>12198217.856542181</v>
      </c>
      <c r="S360">
        <f t="shared" si="972"/>
        <v>121.98217856542182</v>
      </c>
      <c r="T360">
        <f t="shared" si="973"/>
        <v>0.12198217856542182</v>
      </c>
    </row>
    <row r="361" spans="1:20" x14ac:dyDescent="0.25">
      <c r="A361" s="5">
        <v>44232</v>
      </c>
      <c r="B361">
        <v>74</v>
      </c>
      <c r="C361">
        <v>89.798000000000002</v>
      </c>
      <c r="D361">
        <v>73.840999999999994</v>
      </c>
      <c r="E361">
        <v>87.947999999999993</v>
      </c>
      <c r="F361">
        <v>676942.65599999996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0.76812684088487715</v>
      </c>
      <c r="Q361">
        <f t="shared" si="970"/>
        <v>519977.82381349808</v>
      </c>
      <c r="R361">
        <f t="shared" si="971"/>
        <v>11733625.675058689</v>
      </c>
      <c r="S361">
        <f t="shared" si="972"/>
        <v>117.33625675058688</v>
      </c>
      <c r="T361">
        <f t="shared" si="973"/>
        <v>0.11733625675058688</v>
      </c>
    </row>
    <row r="362" spans="1:20" x14ac:dyDescent="0.25">
      <c r="A362" s="5">
        <v>44231</v>
      </c>
      <c r="B362">
        <v>67.944999999999993</v>
      </c>
      <c r="C362">
        <v>78.819000000000003</v>
      </c>
      <c r="D362">
        <v>64.5</v>
      </c>
      <c r="E362">
        <v>73.984999999999999</v>
      </c>
      <c r="F362">
        <v>789372.02500000002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0.32481318527830122</v>
      </c>
      <c r="Q362">
        <f t="shared" si="970"/>
        <v>256398.44180983282</v>
      </c>
      <c r="R362">
        <f t="shared" si="971"/>
        <v>11213647.851245191</v>
      </c>
      <c r="S362">
        <f t="shared" si="972"/>
        <v>112.13647851245192</v>
      </c>
      <c r="T362">
        <f t="shared" si="973"/>
        <v>0.11213647851245191</v>
      </c>
    </row>
    <row r="363" spans="1:20" x14ac:dyDescent="0.25">
      <c r="A363" s="5">
        <v>44230</v>
      </c>
      <c r="B363">
        <v>64.106999999999999</v>
      </c>
      <c r="C363">
        <v>69</v>
      </c>
      <c r="D363">
        <v>63.500999999999998</v>
      </c>
      <c r="E363">
        <v>67.944999999999993</v>
      </c>
      <c r="F363">
        <v>422063.52899999998</v>
      </c>
      <c r="G363">
        <v>0</v>
      </c>
      <c r="L363" t="s">
        <v>8</v>
      </c>
      <c r="M363" t="s">
        <v>7</v>
      </c>
      <c r="N363" t="s">
        <v>8</v>
      </c>
      <c r="P363">
        <f t="shared" si="969"/>
        <v>0.61629387161301818</v>
      </c>
      <c r="Q363">
        <f t="shared" si="970"/>
        <v>260115.16635406337</v>
      </c>
      <c r="R363">
        <f t="shared" si="971"/>
        <v>10957249.409435358</v>
      </c>
      <c r="S363">
        <f t="shared" si="972"/>
        <v>109.57249409435357</v>
      </c>
      <c r="T363">
        <f t="shared" si="973"/>
        <v>0.10957249409435357</v>
      </c>
    </row>
    <row r="364" spans="1:20" x14ac:dyDescent="0.25">
      <c r="A364" s="5">
        <v>44229</v>
      </c>
      <c r="B364">
        <v>66.012</v>
      </c>
      <c r="C364">
        <v>67.64</v>
      </c>
      <c r="D364">
        <v>62.747</v>
      </c>
      <c r="E364">
        <v>64.113</v>
      </c>
      <c r="F364">
        <v>446728.04499999998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-0.44165133864704703</v>
      </c>
      <c r="Q364">
        <f t="shared" si="970"/>
        <v>-197298.03908542826</v>
      </c>
      <c r="R364">
        <f t="shared" si="971"/>
        <v>10697134.243081294</v>
      </c>
      <c r="S364">
        <f t="shared" si="972"/>
        <v>106.97134243081294</v>
      </c>
      <c r="T364">
        <f t="shared" si="973"/>
        <v>0.10697134243081294</v>
      </c>
    </row>
    <row r="365" spans="1:20" x14ac:dyDescent="0.25">
      <c r="A365" s="5">
        <v>44228</v>
      </c>
      <c r="B365">
        <v>63.387</v>
      </c>
      <c r="C365">
        <v>69.900000000000006</v>
      </c>
      <c r="D365">
        <v>58.02</v>
      </c>
      <c r="E365">
        <v>65.959000000000003</v>
      </c>
      <c r="F365">
        <v>830900.82200000004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0.33653198653198624</v>
      </c>
      <c r="Q365">
        <f t="shared" si="970"/>
        <v>279624.7042387203</v>
      </c>
      <c r="R365">
        <f t="shared" si="971"/>
        <v>10894432.282166723</v>
      </c>
      <c r="S365">
        <f t="shared" si="972"/>
        <v>108.94432282166723</v>
      </c>
      <c r="T365">
        <f t="shared" si="973"/>
        <v>0.10894432282166723</v>
      </c>
    </row>
    <row r="366" spans="1:20" x14ac:dyDescent="0.25">
      <c r="A366" s="5">
        <v>44227</v>
      </c>
      <c r="B366">
        <v>64.832999999999998</v>
      </c>
      <c r="C366">
        <v>69.638999999999996</v>
      </c>
      <c r="D366">
        <v>61.853000000000002</v>
      </c>
      <c r="E366">
        <v>63.399000000000001</v>
      </c>
      <c r="F366">
        <v>659261.06700000004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-0.60287695864371937</v>
      </c>
      <c r="Q366">
        <f t="shared" si="970"/>
        <v>-397453.30702517333</v>
      </c>
      <c r="R366">
        <f t="shared" si="971"/>
        <v>10614807.577928003</v>
      </c>
      <c r="S366">
        <f t="shared" si="972"/>
        <v>106.14807577928003</v>
      </c>
      <c r="T366">
        <f t="shared" si="973"/>
        <v>0.10614807577928004</v>
      </c>
    </row>
    <row r="367" spans="1:20" x14ac:dyDescent="0.25">
      <c r="A367" s="5">
        <v>44226</v>
      </c>
      <c r="B367">
        <v>61.804000000000002</v>
      </c>
      <c r="C367">
        <v>74.373000000000005</v>
      </c>
      <c r="D367">
        <v>59.000999999999998</v>
      </c>
      <c r="E367">
        <v>64.87</v>
      </c>
      <c r="F367">
        <v>1386161.2309999999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-0.23640385115794896</v>
      </c>
      <c r="Q367">
        <f t="shared" si="970"/>
        <v>-327693.85333424329</v>
      </c>
      <c r="R367">
        <f t="shared" si="971"/>
        <v>11012260.884953177</v>
      </c>
      <c r="S367">
        <f t="shared" si="972"/>
        <v>110.12260884953177</v>
      </c>
      <c r="T367">
        <f t="shared" si="973"/>
        <v>0.11012260884953178</v>
      </c>
    </row>
    <row r="368" spans="1:20" x14ac:dyDescent="0.25">
      <c r="A368" s="5">
        <v>44225</v>
      </c>
      <c r="B368">
        <v>59.1</v>
      </c>
      <c r="C368">
        <v>63</v>
      </c>
      <c r="D368">
        <v>55.734000000000002</v>
      </c>
      <c r="E368">
        <v>61.762</v>
      </c>
      <c r="F368">
        <v>865182.37399999995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0.65923479218276915</v>
      </c>
      <c r="Q368">
        <f t="shared" si="970"/>
        <v>570358.32252408483</v>
      </c>
      <c r="R368">
        <f t="shared" si="971"/>
        <v>11339954.738287419</v>
      </c>
      <c r="S368">
        <f t="shared" si="972"/>
        <v>113.39954738287419</v>
      </c>
      <c r="T368">
        <f t="shared" si="973"/>
        <v>0.11339954738287419</v>
      </c>
    </row>
    <row r="369" spans="1:20" x14ac:dyDescent="0.25">
      <c r="A369" s="5">
        <v>44224</v>
      </c>
      <c r="B369">
        <v>53.332999999999998</v>
      </c>
      <c r="C369">
        <v>61.682000000000002</v>
      </c>
      <c r="D369">
        <v>52.965000000000003</v>
      </c>
      <c r="E369">
        <v>59.081000000000003</v>
      </c>
      <c r="F369">
        <v>959923.84699999995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0.40323505793277514</v>
      </c>
      <c r="Q369">
        <f t="shared" si="970"/>
        <v>387074.94805609738</v>
      </c>
      <c r="R369">
        <f t="shared" si="971"/>
        <v>10769596.415763333</v>
      </c>
      <c r="S369">
        <f t="shared" si="972"/>
        <v>107.69596415763334</v>
      </c>
      <c r="T369">
        <f t="shared" si="973"/>
        <v>0.10769596415763334</v>
      </c>
    </row>
    <row r="370" spans="1:20" x14ac:dyDescent="0.25">
      <c r="A370" s="5">
        <v>44223</v>
      </c>
      <c r="B370">
        <v>48.329000000000001</v>
      </c>
      <c r="C370">
        <v>54.631</v>
      </c>
      <c r="D370">
        <v>45.621000000000002</v>
      </c>
      <c r="E370">
        <v>53.180999999999997</v>
      </c>
      <c r="F370">
        <v>1041063.593</v>
      </c>
      <c r="G370">
        <v>0</v>
      </c>
      <c r="L370" t="s">
        <v>7</v>
      </c>
      <c r="M370" t="s">
        <v>8</v>
      </c>
      <c r="N370" t="s">
        <v>8</v>
      </c>
      <c r="P370">
        <f t="shared" si="969"/>
        <v>0.67813540510543768</v>
      </c>
      <c r="Q370">
        <f t="shared" si="970"/>
        <v>705982.08137957752</v>
      </c>
      <c r="R370">
        <f t="shared" si="971"/>
        <v>10382521.467707235</v>
      </c>
      <c r="S370">
        <f t="shared" si="972"/>
        <v>103.82521467707235</v>
      </c>
      <c r="T370">
        <f t="shared" si="973"/>
        <v>0.10382521467707236</v>
      </c>
    </row>
    <row r="371" spans="1:20" x14ac:dyDescent="0.25">
      <c r="A371" s="5">
        <v>44222</v>
      </c>
      <c r="B371">
        <v>50.084000000000003</v>
      </c>
      <c r="C371">
        <v>50.8</v>
      </c>
      <c r="D371">
        <v>46.414000000000001</v>
      </c>
      <c r="E371">
        <v>48.284999999999997</v>
      </c>
      <c r="F371">
        <v>606735.09499999997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-0.14683082535339856</v>
      </c>
      <c r="Q371">
        <f t="shared" si="970"/>
        <v>-89087.414769722673</v>
      </c>
      <c r="R371">
        <f t="shared" si="971"/>
        <v>9676539.3863276578</v>
      </c>
      <c r="S371">
        <f t="shared" si="972"/>
        <v>96.765393863276572</v>
      </c>
      <c r="T371">
        <f t="shared" si="973"/>
        <v>9.6765393863276566E-2</v>
      </c>
    </row>
    <row r="372" spans="1:20" x14ac:dyDescent="0.25">
      <c r="A372" s="5">
        <v>44221</v>
      </c>
      <c r="B372">
        <v>41.277000000000001</v>
      </c>
      <c r="C372">
        <v>53.999000000000002</v>
      </c>
      <c r="D372">
        <v>41.16</v>
      </c>
      <c r="E372">
        <v>50.06</v>
      </c>
      <c r="F372">
        <v>2037160.183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0.38640081003193422</v>
      </c>
      <c r="Q372">
        <f t="shared" si="970"/>
        <v>787160.34487600334</v>
      </c>
      <c r="R372">
        <f t="shared" si="971"/>
        <v>9765626.80109738</v>
      </c>
      <c r="S372">
        <f t="shared" si="972"/>
        <v>97.656268010973804</v>
      </c>
      <c r="T372">
        <f t="shared" si="973"/>
        <v>9.765626801097381E-2</v>
      </c>
    </row>
    <row r="373" spans="1:20" x14ac:dyDescent="0.25">
      <c r="A373" s="5">
        <v>44220</v>
      </c>
      <c r="B373">
        <v>37.020000000000003</v>
      </c>
      <c r="C373">
        <v>41.908000000000001</v>
      </c>
      <c r="D373">
        <v>36.764000000000003</v>
      </c>
      <c r="E373">
        <v>41.231999999999999</v>
      </c>
      <c r="F373">
        <v>386546.15600000002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0.73716951788491358</v>
      </c>
      <c r="Q373">
        <f t="shared" si="970"/>
        <v>284950.04345878662</v>
      </c>
      <c r="R373">
        <f t="shared" si="971"/>
        <v>8978466.4562213775</v>
      </c>
      <c r="S373">
        <f t="shared" si="972"/>
        <v>89.784664562213777</v>
      </c>
      <c r="T373">
        <f t="shared" si="973"/>
        <v>8.9784664562213776E-2</v>
      </c>
    </row>
    <row r="374" spans="1:20" x14ac:dyDescent="0.25">
      <c r="A374" s="5">
        <v>44219</v>
      </c>
      <c r="B374">
        <v>37.170999999999999</v>
      </c>
      <c r="C374">
        <v>38.246000000000002</v>
      </c>
      <c r="D374">
        <v>36</v>
      </c>
      <c r="E374">
        <v>37.020000000000003</v>
      </c>
      <c r="F374">
        <v>275710.80200000003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-9.1718610863755906E-2</v>
      </c>
      <c r="Q374">
        <f t="shared" si="970"/>
        <v>-25287.811759572054</v>
      </c>
      <c r="R374">
        <f t="shared" si="971"/>
        <v>8693516.4127625916</v>
      </c>
      <c r="S374">
        <f t="shared" si="972"/>
        <v>86.93516412762591</v>
      </c>
      <c r="T374">
        <f t="shared" si="973"/>
        <v>8.6935164127625905E-2</v>
      </c>
    </row>
    <row r="375" spans="1:20" x14ac:dyDescent="0.25">
      <c r="A375" s="5">
        <v>44218</v>
      </c>
      <c r="B375">
        <v>37.271000000000001</v>
      </c>
      <c r="C375">
        <v>38.299999999999997</v>
      </c>
      <c r="D375">
        <v>35.020000000000003</v>
      </c>
      <c r="E375">
        <v>37.143999999999998</v>
      </c>
      <c r="F375">
        <v>492861.79300000001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0.29512195121951162</v>
      </c>
      <c r="Q375">
        <f t="shared" si="970"/>
        <v>145454.33403170703</v>
      </c>
      <c r="R375">
        <f t="shared" si="971"/>
        <v>8718804.2245221641</v>
      </c>
      <c r="S375">
        <f t="shared" si="972"/>
        <v>87.188042245221638</v>
      </c>
      <c r="T375">
        <f t="shared" si="973"/>
        <v>8.7188042245221642E-2</v>
      </c>
    </row>
    <row r="376" spans="1:20" x14ac:dyDescent="0.25">
      <c r="A376" s="5">
        <v>44217</v>
      </c>
      <c r="B376">
        <v>38.701000000000001</v>
      </c>
      <c r="C376">
        <v>39.67</v>
      </c>
      <c r="D376">
        <v>36.256</v>
      </c>
      <c r="E376">
        <v>37.314</v>
      </c>
      <c r="F376">
        <v>611599.66200000001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-0.38019917984768636</v>
      </c>
      <c r="Q376">
        <f t="shared" si="970"/>
        <v>-232529.6898875222</v>
      </c>
      <c r="R376">
        <f t="shared" si="971"/>
        <v>8573349.8904904574</v>
      </c>
      <c r="S376">
        <f t="shared" si="972"/>
        <v>85.733498904904579</v>
      </c>
      <c r="T376">
        <f t="shared" si="973"/>
        <v>8.5733498904904573E-2</v>
      </c>
    </row>
    <row r="377" spans="1:20" x14ac:dyDescent="0.25">
      <c r="A377" s="5">
        <v>44216</v>
      </c>
      <c r="B377">
        <v>37.610999999999997</v>
      </c>
      <c r="C377">
        <v>39.994999999999997</v>
      </c>
      <c r="D377">
        <v>36.000999999999998</v>
      </c>
      <c r="E377">
        <v>38.659999999999997</v>
      </c>
      <c r="F377">
        <v>823915.52500000002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0.33149724586880275</v>
      </c>
      <c r="Q377">
        <f t="shared" si="970"/>
        <v>273125.72736604873</v>
      </c>
      <c r="R377">
        <f t="shared" si="971"/>
        <v>8805879.5803779792</v>
      </c>
      <c r="S377">
        <f t="shared" si="972"/>
        <v>88.058795803779788</v>
      </c>
      <c r="T377">
        <f t="shared" si="973"/>
        <v>8.8058795803779788E-2</v>
      </c>
    </row>
    <row r="378" spans="1:20" x14ac:dyDescent="0.25">
      <c r="A378" s="5">
        <v>44215</v>
      </c>
      <c r="B378">
        <v>39.529000000000003</v>
      </c>
      <c r="C378">
        <v>40</v>
      </c>
      <c r="D378">
        <v>37.228000000000002</v>
      </c>
      <c r="E378">
        <v>37.581000000000003</v>
      </c>
      <c r="F378">
        <v>480162.74800000002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-0.74531024531024404</v>
      </c>
      <c r="Q378">
        <f t="shared" si="970"/>
        <v>-357870.21550072089</v>
      </c>
      <c r="R378">
        <f t="shared" si="971"/>
        <v>8532753.8530119304</v>
      </c>
      <c r="S378">
        <f t="shared" si="972"/>
        <v>85.327538530119298</v>
      </c>
      <c r="T378">
        <f t="shared" si="973"/>
        <v>8.5327538530119304E-2</v>
      </c>
    </row>
    <row r="379" spans="1:20" x14ac:dyDescent="0.25">
      <c r="A379" s="5">
        <v>44214</v>
      </c>
      <c r="B379">
        <v>37.506</v>
      </c>
      <c r="C379">
        <v>40.9</v>
      </c>
      <c r="D379">
        <v>37.170999999999999</v>
      </c>
      <c r="E379">
        <v>39.529000000000003</v>
      </c>
      <c r="F379">
        <v>524570.473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0.26468222043443529</v>
      </c>
      <c r="Q379">
        <f t="shared" si="970"/>
        <v>138844.47756798199</v>
      </c>
      <c r="R379">
        <f t="shared" si="971"/>
        <v>8890624.0685126521</v>
      </c>
      <c r="S379">
        <f t="shared" si="972"/>
        <v>88.906240685126519</v>
      </c>
      <c r="T379">
        <f t="shared" si="973"/>
        <v>8.8906240685126522E-2</v>
      </c>
    </row>
    <row r="380" spans="1:20" x14ac:dyDescent="0.25">
      <c r="A380" s="5">
        <v>44213</v>
      </c>
      <c r="B380">
        <v>36.729999999999997</v>
      </c>
      <c r="C380">
        <v>38.6</v>
      </c>
      <c r="D380">
        <v>35.637</v>
      </c>
      <c r="E380">
        <v>37.484000000000002</v>
      </c>
      <c r="F380">
        <v>442925.31400000001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0.24670941613229883</v>
      </c>
      <c r="Q380">
        <f t="shared" si="970"/>
        <v>109273.84560715512</v>
      </c>
      <c r="R380">
        <f t="shared" si="971"/>
        <v>8751779.5909446701</v>
      </c>
      <c r="S380">
        <f t="shared" si="972"/>
        <v>87.517795909446704</v>
      </c>
      <c r="T380">
        <f t="shared" si="973"/>
        <v>8.7517795909446708E-2</v>
      </c>
    </row>
    <row r="381" spans="1:20" x14ac:dyDescent="0.25">
      <c r="A381" s="5">
        <v>44212</v>
      </c>
      <c r="B381">
        <v>37.146000000000001</v>
      </c>
      <c r="C381">
        <v>38.762999999999998</v>
      </c>
      <c r="D381">
        <v>36.348999999999997</v>
      </c>
      <c r="E381">
        <v>36.780999999999999</v>
      </c>
      <c r="F381">
        <v>429332.50699999998</v>
      </c>
      <c r="G381">
        <v>0</v>
      </c>
      <c r="L381" t="s">
        <v>7</v>
      </c>
      <c r="M381" t="s">
        <v>8</v>
      </c>
      <c r="N381" t="s">
        <v>8</v>
      </c>
      <c r="P381">
        <f t="shared" si="969"/>
        <v>-0.64208782104390894</v>
      </c>
      <c r="Q381">
        <f t="shared" si="970"/>
        <v>-275669.17392294877</v>
      </c>
      <c r="R381">
        <f t="shared" si="971"/>
        <v>8642505.7453375142</v>
      </c>
      <c r="S381">
        <f t="shared" si="972"/>
        <v>86.425057453375146</v>
      </c>
      <c r="T381">
        <f t="shared" si="973"/>
        <v>8.6425057453375143E-2</v>
      </c>
    </row>
    <row r="382" spans="1:20" x14ac:dyDescent="0.25">
      <c r="A382" s="5">
        <v>44211</v>
      </c>
      <c r="B382">
        <v>37.902999999999999</v>
      </c>
      <c r="C382">
        <v>39.200000000000003</v>
      </c>
      <c r="D382">
        <v>35</v>
      </c>
      <c r="E382">
        <v>37.15</v>
      </c>
      <c r="F382">
        <v>693621.96900000004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2.3809523809522441E-2</v>
      </c>
      <c r="Q382">
        <f t="shared" si="970"/>
        <v>16514.808785713336</v>
      </c>
      <c r="R382">
        <f t="shared" si="971"/>
        <v>8918174.9192604627</v>
      </c>
      <c r="S382">
        <f t="shared" si="972"/>
        <v>89.181749192604627</v>
      </c>
      <c r="T382">
        <f t="shared" si="973"/>
        <v>8.9181749192604631E-2</v>
      </c>
    </row>
    <row r="383" spans="1:20" x14ac:dyDescent="0.25">
      <c r="A383" s="5">
        <v>44210</v>
      </c>
      <c r="B383">
        <v>35.021000000000001</v>
      </c>
      <c r="C383">
        <v>38.880000000000003</v>
      </c>
      <c r="D383">
        <v>34.176000000000002</v>
      </c>
      <c r="E383">
        <v>37.975999999999999</v>
      </c>
      <c r="F383">
        <v>656686.571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0.61564625850339993</v>
      </c>
      <c r="Q383">
        <f t="shared" si="970"/>
        <v>404286.63044557732</v>
      </c>
      <c r="R383">
        <f t="shared" si="971"/>
        <v>8901660.1104747485</v>
      </c>
      <c r="S383">
        <f t="shared" si="972"/>
        <v>89.01660110474748</v>
      </c>
      <c r="T383">
        <f t="shared" si="973"/>
        <v>8.9016601104747475E-2</v>
      </c>
    </row>
    <row r="384" spans="1:20" x14ac:dyDescent="0.25">
      <c r="A384" s="5">
        <v>44209</v>
      </c>
      <c r="B384">
        <v>31.600999999999999</v>
      </c>
      <c r="C384">
        <v>35.039000000000001</v>
      </c>
      <c r="D384">
        <v>30.5</v>
      </c>
      <c r="E384">
        <v>35.039000000000001</v>
      </c>
      <c r="F384">
        <v>654678.98499999999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1</v>
      </c>
      <c r="Q384">
        <f t="shared" si="970"/>
        <v>654678.98499999999</v>
      </c>
      <c r="R384">
        <f t="shared" si="971"/>
        <v>8497373.4800291713</v>
      </c>
      <c r="S384">
        <f t="shared" si="972"/>
        <v>84.973734800291709</v>
      </c>
      <c r="T384">
        <f t="shared" si="973"/>
        <v>8.4973734800291703E-2</v>
      </c>
    </row>
    <row r="385" spans="1:20" x14ac:dyDescent="0.25">
      <c r="A385" s="5">
        <v>44208</v>
      </c>
      <c r="B385">
        <v>32.68</v>
      </c>
      <c r="C385">
        <v>34.957999999999998</v>
      </c>
      <c r="D385">
        <v>30.495999999999999</v>
      </c>
      <c r="E385">
        <v>31.591000000000001</v>
      </c>
      <c r="F385">
        <v>765150.88100000005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-0.50918870461676269</v>
      </c>
      <c r="Q385">
        <f t="shared" si="970"/>
        <v>-389606.18593276478</v>
      </c>
      <c r="R385">
        <f t="shared" si="971"/>
        <v>7842694.495029171</v>
      </c>
      <c r="S385">
        <f t="shared" si="972"/>
        <v>78.426944950291713</v>
      </c>
      <c r="T385">
        <f t="shared" si="973"/>
        <v>7.8426944950291719E-2</v>
      </c>
    </row>
    <row r="386" spans="1:20" x14ac:dyDescent="0.25">
      <c r="A386" s="5">
        <v>44207</v>
      </c>
      <c r="B386">
        <v>36.229999999999997</v>
      </c>
      <c r="C386">
        <v>36.347999999999999</v>
      </c>
      <c r="D386">
        <v>27</v>
      </c>
      <c r="E386">
        <v>32.68</v>
      </c>
      <c r="F386">
        <v>1420517.5759999999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0.21523320496362866</v>
      </c>
      <c r="Q386">
        <f t="shared" si="970"/>
        <v>305742.55058964493</v>
      </c>
      <c r="R386">
        <f t="shared" si="971"/>
        <v>8232300.6809619358</v>
      </c>
      <c r="S386">
        <f t="shared" si="972"/>
        <v>82.323006809619358</v>
      </c>
      <c r="T386">
        <f t="shared" si="973"/>
        <v>8.2323006809619362E-2</v>
      </c>
    </row>
    <row r="387" spans="1:20" x14ac:dyDescent="0.25">
      <c r="A387" s="5">
        <v>44206</v>
      </c>
      <c r="B387">
        <v>36.869999999999997</v>
      </c>
      <c r="C387">
        <v>39.299999999999997</v>
      </c>
      <c r="D387">
        <v>33.576999999999998</v>
      </c>
      <c r="E387">
        <v>36.228999999999999</v>
      </c>
      <c r="F387">
        <v>932651.10199999996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-7.3213349641795739E-2</v>
      </c>
      <c r="Q387">
        <f t="shared" si="970"/>
        <v>-68282.511224532092</v>
      </c>
      <c r="R387">
        <f t="shared" si="971"/>
        <v>7926558.1303722905</v>
      </c>
      <c r="S387">
        <f t="shared" si="972"/>
        <v>79.265581303722911</v>
      </c>
      <c r="T387">
        <f t="shared" si="973"/>
        <v>7.926558130372291E-2</v>
      </c>
    </row>
    <row r="388" spans="1:20" x14ac:dyDescent="0.25">
      <c r="A388" s="5">
        <v>44205</v>
      </c>
      <c r="B388">
        <v>37.418999999999997</v>
      </c>
      <c r="C388">
        <v>38.759</v>
      </c>
      <c r="D388">
        <v>35.643000000000001</v>
      </c>
      <c r="E388">
        <v>36.869999999999997</v>
      </c>
      <c r="F388">
        <v>613587.16799999995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-0.21245186136072086</v>
      </c>
      <c r="Q388">
        <f t="shared" si="970"/>
        <v>-130357.73594865332</v>
      </c>
      <c r="R388">
        <f t="shared" si="971"/>
        <v>7994840.641596823</v>
      </c>
      <c r="S388">
        <f t="shared" si="972"/>
        <v>79.948406415968236</v>
      </c>
      <c r="T388">
        <f t="shared" si="973"/>
        <v>7.9948406415968232E-2</v>
      </c>
    </row>
    <row r="389" spans="1:20" x14ac:dyDescent="0.25">
      <c r="A389" s="5">
        <v>44204</v>
      </c>
      <c r="B389">
        <v>37.030999999999999</v>
      </c>
      <c r="C389">
        <v>40.892000000000003</v>
      </c>
      <c r="D389">
        <v>33.5</v>
      </c>
      <c r="E389">
        <v>37.36</v>
      </c>
      <c r="F389">
        <v>959134.92200000002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4.4372294372293793E-2</v>
      </c>
      <c r="Q389">
        <f t="shared" si="970"/>
        <v>42559.017101731049</v>
      </c>
      <c r="R389">
        <f t="shared" si="971"/>
        <v>8125198.377545476</v>
      </c>
      <c r="S389">
        <f t="shared" si="972"/>
        <v>81.251983775454761</v>
      </c>
      <c r="T389">
        <f t="shared" si="973"/>
        <v>8.1251983775454756E-2</v>
      </c>
    </row>
    <row r="390" spans="1:20" x14ac:dyDescent="0.25">
      <c r="A390" s="5">
        <v>44203</v>
      </c>
      <c r="B390">
        <v>38.5</v>
      </c>
      <c r="C390">
        <v>42</v>
      </c>
      <c r="D390">
        <v>31.376999999999999</v>
      </c>
      <c r="E390">
        <v>36.984999999999999</v>
      </c>
      <c r="F390">
        <v>1234777.828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5.5822272427751098E-2</v>
      </c>
      <c r="Q390">
        <f t="shared" ref="Q390:Q453" si="975">F390*P390</f>
        <v>68928.104302362786</v>
      </c>
      <c r="R390">
        <f t="shared" ref="R390:R453" si="976">R391+Q390</f>
        <v>8082639.3604437448</v>
      </c>
      <c r="S390">
        <f t="shared" ref="S390:S453" si="977">R390/100000</f>
        <v>80.826393604437442</v>
      </c>
      <c r="T390">
        <f t="shared" ref="T390:T453" si="978">S390/1000</f>
        <v>8.0826393604437441E-2</v>
      </c>
    </row>
    <row r="391" spans="1:20" x14ac:dyDescent="0.25">
      <c r="A391" s="5">
        <v>44202</v>
      </c>
      <c r="B391">
        <v>33.969000000000001</v>
      </c>
      <c r="C391">
        <v>39.758000000000003</v>
      </c>
      <c r="D391">
        <v>33.5</v>
      </c>
      <c r="E391">
        <v>38.5</v>
      </c>
      <c r="F391">
        <v>1086326.737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0.59795461808884565</v>
      </c>
      <c r="Q391">
        <f t="shared" si="975"/>
        <v>649574.08914253686</v>
      </c>
      <c r="R391">
        <f t="shared" si="976"/>
        <v>8013711.2561413823</v>
      </c>
      <c r="S391">
        <f t="shared" si="977"/>
        <v>80.137112561413829</v>
      </c>
      <c r="T391">
        <f t="shared" si="978"/>
        <v>8.0137112561413829E-2</v>
      </c>
    </row>
    <row r="392" spans="1:20" x14ac:dyDescent="0.25">
      <c r="A392" s="5">
        <v>44201</v>
      </c>
      <c r="B392">
        <v>30.658000000000001</v>
      </c>
      <c r="C392">
        <v>35</v>
      </c>
      <c r="D392">
        <v>29.295999999999999</v>
      </c>
      <c r="E392">
        <v>33.969000000000001</v>
      </c>
      <c r="F392">
        <v>1278351.939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0.63849929873772837</v>
      </c>
      <c r="Q392">
        <f t="shared" si="975"/>
        <v>816226.81659151532</v>
      </c>
      <c r="R392">
        <f t="shared" si="976"/>
        <v>7364137.1669988455</v>
      </c>
      <c r="S392">
        <f t="shared" si="977"/>
        <v>73.641371669988459</v>
      </c>
      <c r="T392">
        <f t="shared" si="978"/>
        <v>7.3641371669988465E-2</v>
      </c>
    </row>
    <row r="393" spans="1:20" x14ac:dyDescent="0.25">
      <c r="A393" s="5">
        <v>44200</v>
      </c>
      <c r="B393">
        <v>27.323</v>
      </c>
      <c r="C393">
        <v>31.2</v>
      </c>
      <c r="D393">
        <v>26</v>
      </c>
      <c r="E393">
        <v>30.658000000000001</v>
      </c>
      <c r="F393">
        <v>1324243.4890000001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0.7915384615384623</v>
      </c>
      <c r="Q393">
        <f t="shared" si="975"/>
        <v>1048189.6539853857</v>
      </c>
      <c r="R393">
        <f t="shared" si="976"/>
        <v>6547910.3504073303</v>
      </c>
      <c r="S393">
        <f t="shared" si="977"/>
        <v>65.479103504073308</v>
      </c>
      <c r="T393">
        <f t="shared" si="978"/>
        <v>6.5479103504073308E-2</v>
      </c>
    </row>
    <row r="394" spans="1:20" x14ac:dyDescent="0.25">
      <c r="A394" s="5">
        <v>44199</v>
      </c>
      <c r="B394">
        <v>25.872</v>
      </c>
      <c r="C394">
        <v>28.07</v>
      </c>
      <c r="D394">
        <v>25.3</v>
      </c>
      <c r="E394">
        <v>27.321000000000002</v>
      </c>
      <c r="F394">
        <v>709438.52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0.45920577617328601</v>
      </c>
      <c r="Q394">
        <f t="shared" si="975"/>
        <v>325778.26622382732</v>
      </c>
      <c r="R394">
        <f t="shared" si="976"/>
        <v>5499720.6964219445</v>
      </c>
      <c r="S394">
        <f t="shared" si="977"/>
        <v>54.997206964219444</v>
      </c>
      <c r="T394">
        <f t="shared" si="978"/>
        <v>5.4997206964219447E-2</v>
      </c>
    </row>
    <row r="395" spans="1:20" x14ac:dyDescent="0.25">
      <c r="A395" s="5">
        <v>44198</v>
      </c>
      <c r="B395">
        <v>26.007000000000001</v>
      </c>
      <c r="C395">
        <v>26.957000000000001</v>
      </c>
      <c r="D395">
        <v>24.617999999999999</v>
      </c>
      <c r="E395">
        <v>25.875</v>
      </c>
      <c r="F395">
        <v>692264.14800000004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7.4818298418127635E-2</v>
      </c>
      <c r="Q395">
        <f t="shared" si="975"/>
        <v>51794.025609234879</v>
      </c>
      <c r="R395">
        <f t="shared" si="976"/>
        <v>5173942.4301981172</v>
      </c>
      <c r="S395">
        <f t="shared" si="977"/>
        <v>51.739424301981174</v>
      </c>
      <c r="T395">
        <f t="shared" si="978"/>
        <v>5.1739424301981175E-2</v>
      </c>
    </row>
    <row r="396" spans="1:20" x14ac:dyDescent="0.25">
      <c r="A396" s="5">
        <v>44197</v>
      </c>
      <c r="B396">
        <v>24.672999999999998</v>
      </c>
      <c r="C396">
        <v>27.286999999999999</v>
      </c>
      <c r="D396">
        <v>24.452000000000002</v>
      </c>
      <c r="E396">
        <v>26.007000000000001</v>
      </c>
      <c r="F396">
        <v>719677.81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9.7001763668431176E-2</v>
      </c>
      <c r="Q396">
        <f t="shared" si="975"/>
        <v>69810.016843034115</v>
      </c>
      <c r="R396">
        <f t="shared" si="976"/>
        <v>5122148.4045888819</v>
      </c>
      <c r="S396">
        <f t="shared" si="977"/>
        <v>51.221484045888822</v>
      </c>
      <c r="T396">
        <f t="shared" si="978"/>
        <v>5.1221484045888825E-2</v>
      </c>
    </row>
    <row r="397" spans="1:20" x14ac:dyDescent="0.25">
      <c r="A397" s="5">
        <v>44196</v>
      </c>
      <c r="B397">
        <v>24.091000000000001</v>
      </c>
      <c r="C397">
        <v>24.677</v>
      </c>
      <c r="D397">
        <v>23.533999999999999</v>
      </c>
      <c r="E397">
        <v>24.672999999999998</v>
      </c>
      <c r="F397">
        <v>241114.02600000001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0.99300087489063638</v>
      </c>
      <c r="Q397">
        <f t="shared" si="975"/>
        <v>239426.43876640365</v>
      </c>
      <c r="R397">
        <f t="shared" si="976"/>
        <v>5052338.3877458479</v>
      </c>
      <c r="S397">
        <f t="shared" si="977"/>
        <v>50.523383877458478</v>
      </c>
      <c r="T397">
        <f t="shared" si="978"/>
        <v>5.0523383877458479E-2</v>
      </c>
    </row>
    <row r="398" spans="1:20" x14ac:dyDescent="0.25">
      <c r="A398" s="5">
        <v>44195</v>
      </c>
      <c r="B398">
        <v>23.779</v>
      </c>
      <c r="C398">
        <v>25.3</v>
      </c>
      <c r="D398">
        <v>23.5</v>
      </c>
      <c r="E398">
        <v>24.120999999999999</v>
      </c>
      <c r="F398">
        <v>412385.12900000002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-0.31000000000000177</v>
      </c>
      <c r="Q398">
        <f t="shared" si="975"/>
        <v>-127839.38999000074</v>
      </c>
      <c r="R398">
        <f t="shared" si="976"/>
        <v>4812911.9489794439</v>
      </c>
      <c r="S398">
        <f t="shared" si="977"/>
        <v>48.129119489794441</v>
      </c>
      <c r="T398">
        <f t="shared" si="978"/>
        <v>4.8129119489794439E-2</v>
      </c>
    </row>
    <row r="399" spans="1:20" x14ac:dyDescent="0.25">
      <c r="A399" s="5">
        <v>44194</v>
      </c>
      <c r="B399">
        <v>25.462</v>
      </c>
      <c r="C399">
        <v>25.916</v>
      </c>
      <c r="D399">
        <v>23.574000000000002</v>
      </c>
      <c r="E399">
        <v>23.802</v>
      </c>
      <c r="F399">
        <v>685783.93200000003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-0.80529461998292218</v>
      </c>
      <c r="Q399">
        <f t="shared" si="975"/>
        <v>-552258.11091033416</v>
      </c>
      <c r="R399">
        <f t="shared" si="976"/>
        <v>4940751.3389694449</v>
      </c>
      <c r="S399">
        <f t="shared" si="977"/>
        <v>49.407513389694451</v>
      </c>
      <c r="T399">
        <f t="shared" si="978"/>
        <v>4.940751338969445E-2</v>
      </c>
    </row>
    <row r="400" spans="1:20" x14ac:dyDescent="0.25">
      <c r="A400" s="5">
        <v>44193</v>
      </c>
      <c r="B400">
        <v>21.875</v>
      </c>
      <c r="C400">
        <v>26.696000000000002</v>
      </c>
      <c r="D400">
        <v>21.515000000000001</v>
      </c>
      <c r="E400">
        <v>25.420999999999999</v>
      </c>
      <c r="F400">
        <v>1354293.19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0.5078170237405899</v>
      </c>
      <c r="Q400">
        <f t="shared" si="975"/>
        <v>687733.13701794925</v>
      </c>
      <c r="R400">
        <f t="shared" si="976"/>
        <v>5493009.4498797795</v>
      </c>
      <c r="S400">
        <f t="shared" si="977"/>
        <v>54.930094498797793</v>
      </c>
      <c r="T400">
        <f t="shared" si="978"/>
        <v>5.4930094498797793E-2</v>
      </c>
    </row>
    <row r="401" spans="1:20" x14ac:dyDescent="0.25">
      <c r="A401" s="5">
        <v>44192</v>
      </c>
      <c r="B401">
        <v>23.146999999999998</v>
      </c>
      <c r="C401">
        <v>24.416</v>
      </c>
      <c r="D401">
        <v>20.65</v>
      </c>
      <c r="E401">
        <v>21.849</v>
      </c>
      <c r="F401">
        <v>1004131.4669999999</v>
      </c>
      <c r="G401">
        <v>0</v>
      </c>
      <c r="L401" t="s">
        <v>8</v>
      </c>
      <c r="M401" t="s">
        <v>7</v>
      </c>
      <c r="N401" t="s">
        <v>7</v>
      </c>
      <c r="P401">
        <f t="shared" si="974"/>
        <v>-0.36325013276686086</v>
      </c>
      <c r="Q401">
        <f t="shared" si="975"/>
        <v>-364750.88870313275</v>
      </c>
      <c r="R401">
        <f t="shared" si="976"/>
        <v>4805276.31286183</v>
      </c>
      <c r="S401">
        <f t="shared" si="977"/>
        <v>48.052763128618302</v>
      </c>
      <c r="T401">
        <f t="shared" si="978"/>
        <v>4.8052763128618302E-2</v>
      </c>
    </row>
    <row r="402" spans="1:20" x14ac:dyDescent="0.25">
      <c r="A402" s="5">
        <v>44191</v>
      </c>
      <c r="B402">
        <v>22.904</v>
      </c>
      <c r="C402">
        <v>24</v>
      </c>
      <c r="D402">
        <v>20.66</v>
      </c>
      <c r="E402">
        <v>23.146999999999998</v>
      </c>
      <c r="F402">
        <v>1014151.205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0.48922155688622659</v>
      </c>
      <c r="Q402">
        <f t="shared" si="975"/>
        <v>496144.63142814272</v>
      </c>
      <c r="R402">
        <f t="shared" si="976"/>
        <v>5170027.201564963</v>
      </c>
      <c r="S402">
        <f t="shared" si="977"/>
        <v>51.700272015649631</v>
      </c>
      <c r="T402">
        <f t="shared" si="978"/>
        <v>5.1700272015649633E-2</v>
      </c>
    </row>
    <row r="403" spans="1:20" x14ac:dyDescent="0.25">
      <c r="A403" s="5">
        <v>44190</v>
      </c>
      <c r="B403">
        <v>24.988</v>
      </c>
      <c r="C403">
        <v>25.1</v>
      </c>
      <c r="D403">
        <v>22.151</v>
      </c>
      <c r="E403">
        <v>22.902999999999999</v>
      </c>
      <c r="F403">
        <v>608399.647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-0.4899966090200078</v>
      </c>
      <c r="Q403">
        <f t="shared" si="975"/>
        <v>-298113.76395896974</v>
      </c>
      <c r="R403">
        <f t="shared" si="976"/>
        <v>4673882.57013682</v>
      </c>
      <c r="S403">
        <f t="shared" si="977"/>
        <v>46.738825701368199</v>
      </c>
      <c r="T403">
        <f t="shared" si="978"/>
        <v>4.6738825701368197E-2</v>
      </c>
    </row>
    <row r="404" spans="1:20" x14ac:dyDescent="0.25">
      <c r="A404" s="5">
        <v>44189</v>
      </c>
      <c r="B404">
        <v>21.702000000000002</v>
      </c>
      <c r="C404">
        <v>26.141999999999999</v>
      </c>
      <c r="D404">
        <v>20.91</v>
      </c>
      <c r="E404">
        <v>24.954000000000001</v>
      </c>
      <c r="F404">
        <v>1223844.3500000001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0.54587155963302791</v>
      </c>
      <c r="Q404">
        <f t="shared" si="975"/>
        <v>668061.82408256934</v>
      </c>
      <c r="R404">
        <f t="shared" si="976"/>
        <v>4971996.3340957901</v>
      </c>
      <c r="S404">
        <f t="shared" si="977"/>
        <v>49.719963340957904</v>
      </c>
      <c r="T404">
        <f t="shared" si="978"/>
        <v>4.9719963340957907E-2</v>
      </c>
    </row>
    <row r="405" spans="1:20" x14ac:dyDescent="0.25">
      <c r="A405" s="5">
        <v>44188</v>
      </c>
      <c r="B405">
        <v>28.023</v>
      </c>
      <c r="C405">
        <v>28.532</v>
      </c>
      <c r="D405">
        <v>20.533999999999999</v>
      </c>
      <c r="E405">
        <v>21.731999999999999</v>
      </c>
      <c r="F405">
        <v>1828676.3419999999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-0.70042510627656906</v>
      </c>
      <c r="Q405">
        <f t="shared" si="975"/>
        <v>-1280850.8211907975</v>
      </c>
      <c r="R405">
        <f t="shared" si="976"/>
        <v>4303934.5100132208</v>
      </c>
      <c r="S405">
        <f t="shared" si="977"/>
        <v>43.039345100132209</v>
      </c>
      <c r="T405">
        <f t="shared" si="978"/>
        <v>4.3039345100132208E-2</v>
      </c>
    </row>
    <row r="406" spans="1:20" x14ac:dyDescent="0.25">
      <c r="A406" s="5">
        <v>44187</v>
      </c>
      <c r="B406">
        <v>28.056000000000001</v>
      </c>
      <c r="C406">
        <v>29.8</v>
      </c>
      <c r="D406">
        <v>26.739000000000001</v>
      </c>
      <c r="E406">
        <v>28.024000000000001</v>
      </c>
      <c r="F406">
        <v>1327525.3689999999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-0.16040509637373396</v>
      </c>
      <c r="Q406">
        <f t="shared" si="975"/>
        <v>-212941.83475302171</v>
      </c>
      <c r="R406">
        <f t="shared" si="976"/>
        <v>5584785.3312040186</v>
      </c>
      <c r="S406">
        <f t="shared" si="977"/>
        <v>55.847853312040186</v>
      </c>
      <c r="T406">
        <f t="shared" si="978"/>
        <v>5.5847853312040188E-2</v>
      </c>
    </row>
    <row r="407" spans="1:20" x14ac:dyDescent="0.25">
      <c r="A407" s="5">
        <v>44186</v>
      </c>
      <c r="B407">
        <v>25.635000000000002</v>
      </c>
      <c r="C407">
        <v>29.166</v>
      </c>
      <c r="D407">
        <v>25.483000000000001</v>
      </c>
      <c r="E407">
        <v>28.048999999999999</v>
      </c>
      <c r="F407">
        <v>1165534.872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0.39342926961715941</v>
      </c>
      <c r="Q407">
        <f t="shared" si="975"/>
        <v>458555.53340428934</v>
      </c>
      <c r="R407">
        <f t="shared" si="976"/>
        <v>5797727.1659570402</v>
      </c>
      <c r="S407">
        <f t="shared" si="977"/>
        <v>57.977271659570398</v>
      </c>
      <c r="T407">
        <f t="shared" si="978"/>
        <v>5.7977271659570395E-2</v>
      </c>
    </row>
    <row r="408" spans="1:20" x14ac:dyDescent="0.25">
      <c r="A408" s="5">
        <v>44185</v>
      </c>
      <c r="B408">
        <v>26.623000000000001</v>
      </c>
      <c r="C408">
        <v>26.635000000000002</v>
      </c>
      <c r="D408">
        <v>24.318000000000001</v>
      </c>
      <c r="E408">
        <v>25.638000000000002</v>
      </c>
      <c r="F408">
        <v>637289.51699999999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0.13940440224428155</v>
      </c>
      <c r="Q408">
        <f t="shared" si="975"/>
        <v>88840.964173931905</v>
      </c>
      <c r="R408">
        <f t="shared" si="976"/>
        <v>5339171.6325527504</v>
      </c>
      <c r="S408">
        <f t="shared" si="977"/>
        <v>53.391716325527504</v>
      </c>
      <c r="T408">
        <f t="shared" si="978"/>
        <v>5.3391716325527507E-2</v>
      </c>
    </row>
    <row r="409" spans="1:20" x14ac:dyDescent="0.25">
      <c r="A409" s="5">
        <v>44184</v>
      </c>
      <c r="B409">
        <v>25.33</v>
      </c>
      <c r="C409">
        <v>27.437999999999999</v>
      </c>
      <c r="D409">
        <v>25.099</v>
      </c>
      <c r="E409">
        <v>26.614999999999998</v>
      </c>
      <c r="F409">
        <v>892250.48499999999</v>
      </c>
      <c r="G409">
        <v>0</v>
      </c>
      <c r="L409" t="s">
        <v>7</v>
      </c>
      <c r="M409" t="s">
        <v>8</v>
      </c>
      <c r="N409" t="s">
        <v>8</v>
      </c>
      <c r="P409">
        <f t="shared" si="974"/>
        <v>0.29628046173578376</v>
      </c>
      <c r="Q409">
        <f t="shared" si="975"/>
        <v>264356.38567977701</v>
      </c>
      <c r="R409">
        <f t="shared" si="976"/>
        <v>5250330.6683788188</v>
      </c>
      <c r="S409">
        <f t="shared" si="977"/>
        <v>52.503306683788189</v>
      </c>
      <c r="T409">
        <f t="shared" si="978"/>
        <v>5.2503306683788192E-2</v>
      </c>
    </row>
    <row r="410" spans="1:20" x14ac:dyDescent="0.25">
      <c r="A410" s="5">
        <v>44183</v>
      </c>
      <c r="B410">
        <v>23.327000000000002</v>
      </c>
      <c r="C410">
        <v>27.812000000000001</v>
      </c>
      <c r="D410">
        <v>22.759</v>
      </c>
      <c r="E410">
        <v>25.33</v>
      </c>
      <c r="F410">
        <v>1963879.1810000001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1.7613299030278067E-2</v>
      </c>
      <c r="Q410">
        <f t="shared" si="975"/>
        <v>34590.391274290589</v>
      </c>
      <c r="R410">
        <f t="shared" si="976"/>
        <v>4985974.282699042</v>
      </c>
      <c r="S410">
        <f t="shared" si="977"/>
        <v>49.85974282699042</v>
      </c>
      <c r="T410">
        <f t="shared" si="978"/>
        <v>4.9859742826990419E-2</v>
      </c>
    </row>
    <row r="411" spans="1:20" x14ac:dyDescent="0.25">
      <c r="A411" s="5">
        <v>44182</v>
      </c>
      <c r="B411">
        <v>21.65</v>
      </c>
      <c r="C411">
        <v>23.783000000000001</v>
      </c>
      <c r="D411">
        <v>20.2</v>
      </c>
      <c r="E411">
        <v>23.337</v>
      </c>
      <c r="F411">
        <v>1835978.5560000001</v>
      </c>
      <c r="G411">
        <v>0</v>
      </c>
      <c r="L411" t="s">
        <v>7</v>
      </c>
      <c r="M411" t="s">
        <v>7</v>
      </c>
      <c r="N411" t="s">
        <v>8</v>
      </c>
      <c r="P411">
        <f t="shared" si="974"/>
        <v>0.7510466089868818</v>
      </c>
      <c r="Q411">
        <f t="shared" si="975"/>
        <v>1378905.4686564319</v>
      </c>
      <c r="R411">
        <f t="shared" si="976"/>
        <v>4951383.8914247518</v>
      </c>
      <c r="S411">
        <f t="shared" si="977"/>
        <v>49.513838914247522</v>
      </c>
      <c r="T411">
        <f t="shared" si="978"/>
        <v>4.9513838914247522E-2</v>
      </c>
    </row>
    <row r="412" spans="1:20" x14ac:dyDescent="0.25">
      <c r="A412" s="5">
        <v>44181</v>
      </c>
      <c r="B412">
        <v>24.254999999999999</v>
      </c>
      <c r="C412">
        <v>25.44</v>
      </c>
      <c r="D412">
        <v>20.6</v>
      </c>
      <c r="E412">
        <v>21.681000000000001</v>
      </c>
      <c r="F412">
        <v>3054843.0210000002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-0.55330578512396711</v>
      </c>
      <c r="Q412">
        <f t="shared" si="975"/>
        <v>-1690262.3161648766</v>
      </c>
      <c r="R412">
        <f t="shared" si="976"/>
        <v>3572478.42276832</v>
      </c>
      <c r="S412">
        <f t="shared" si="977"/>
        <v>35.724784227683202</v>
      </c>
      <c r="T412">
        <f t="shared" si="978"/>
        <v>3.5724784227683201E-2</v>
      </c>
    </row>
    <row r="413" spans="1:20" x14ac:dyDescent="0.25">
      <c r="A413" s="5">
        <v>44180</v>
      </c>
      <c r="B413">
        <v>19.219000000000001</v>
      </c>
      <c r="C413">
        <v>24.5</v>
      </c>
      <c r="D413">
        <v>18.690999999999999</v>
      </c>
      <c r="E413">
        <v>24.257000000000001</v>
      </c>
      <c r="F413">
        <v>2241693.534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0.91633671888449009</v>
      </c>
      <c r="Q413">
        <f t="shared" si="975"/>
        <v>2054146.0976901371</v>
      </c>
      <c r="R413">
        <f t="shared" si="976"/>
        <v>5262740.7389331963</v>
      </c>
      <c r="S413">
        <f t="shared" si="977"/>
        <v>52.627407389331964</v>
      </c>
      <c r="T413">
        <f t="shared" si="978"/>
        <v>5.2627407389331964E-2</v>
      </c>
    </row>
    <row r="414" spans="1:20" x14ac:dyDescent="0.25">
      <c r="A414" s="5">
        <v>44179</v>
      </c>
      <c r="B414">
        <v>16.895</v>
      </c>
      <c r="C414">
        <v>20.12</v>
      </c>
      <c r="D414">
        <v>16.5</v>
      </c>
      <c r="E414">
        <v>19.219000000000001</v>
      </c>
      <c r="F414">
        <v>1552108.2590000001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0.50220994475138148</v>
      </c>
      <c r="Q414">
        <f t="shared" si="975"/>
        <v>779484.20300055295</v>
      </c>
      <c r="R414">
        <f t="shared" si="976"/>
        <v>3208594.6412430597</v>
      </c>
      <c r="S414">
        <f t="shared" si="977"/>
        <v>32.085946412430594</v>
      </c>
      <c r="T414">
        <f t="shared" si="978"/>
        <v>3.2085946412430594E-2</v>
      </c>
    </row>
    <row r="415" spans="1:20" x14ac:dyDescent="0.25">
      <c r="A415" s="5">
        <v>44178</v>
      </c>
      <c r="B415">
        <v>16.701000000000001</v>
      </c>
      <c r="C415">
        <v>17.274999999999999</v>
      </c>
      <c r="D415">
        <v>15.865</v>
      </c>
      <c r="E415">
        <v>16.922999999999998</v>
      </c>
      <c r="F415">
        <v>711047.51399999997</v>
      </c>
      <c r="G415">
        <v>0</v>
      </c>
      <c r="L415" t="s">
        <v>7</v>
      </c>
      <c r="M415" t="s">
        <v>8</v>
      </c>
      <c r="N415" t="s">
        <v>8</v>
      </c>
      <c r="P415">
        <f t="shared" si="974"/>
        <v>0.50070921985815497</v>
      </c>
      <c r="Q415">
        <f t="shared" si="975"/>
        <v>356028.04601702053</v>
      </c>
      <c r="R415">
        <f t="shared" si="976"/>
        <v>2429110.4382425067</v>
      </c>
      <c r="S415">
        <f t="shared" si="977"/>
        <v>24.291104382425068</v>
      </c>
      <c r="T415">
        <f t="shared" si="978"/>
        <v>2.4291104382425068E-2</v>
      </c>
    </row>
    <row r="416" spans="1:20" x14ac:dyDescent="0.25">
      <c r="A416" s="5">
        <v>44177</v>
      </c>
      <c r="B416">
        <v>14.747999999999999</v>
      </c>
      <c r="C416">
        <v>17.100000000000001</v>
      </c>
      <c r="D416">
        <v>14.739000000000001</v>
      </c>
      <c r="E416">
        <v>16.731999999999999</v>
      </c>
      <c r="F416">
        <v>933661.61300000001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0.68826768318508935</v>
      </c>
      <c r="Q416">
        <f t="shared" si="975"/>
        <v>642609.11525836354</v>
      </c>
      <c r="R416">
        <f t="shared" si="976"/>
        <v>2073082.3922254862</v>
      </c>
      <c r="S416">
        <f t="shared" si="977"/>
        <v>20.730823922254864</v>
      </c>
      <c r="T416">
        <f t="shared" si="978"/>
        <v>2.0730823922254865E-2</v>
      </c>
    </row>
    <row r="417" spans="1:20" x14ac:dyDescent="0.25">
      <c r="A417" s="5">
        <v>44176</v>
      </c>
      <c r="B417">
        <v>13.752000000000001</v>
      </c>
      <c r="C417">
        <v>15.317</v>
      </c>
      <c r="D417">
        <v>13.109</v>
      </c>
      <c r="E417">
        <v>14.766</v>
      </c>
      <c r="F417">
        <v>825705.43500000006</v>
      </c>
      <c r="G417">
        <v>0</v>
      </c>
      <c r="L417" t="s">
        <v>7</v>
      </c>
      <c r="M417" t="s">
        <v>8</v>
      </c>
      <c r="N417" t="s">
        <v>8</v>
      </c>
      <c r="P417">
        <f t="shared" si="974"/>
        <v>0.50090579710144922</v>
      </c>
      <c r="Q417">
        <f t="shared" si="975"/>
        <v>413600.63908967387</v>
      </c>
      <c r="R417">
        <f t="shared" si="976"/>
        <v>1430473.2769671227</v>
      </c>
      <c r="S417">
        <f t="shared" si="977"/>
        <v>14.304732769671228</v>
      </c>
      <c r="T417">
        <f t="shared" si="978"/>
        <v>1.4304732769671228E-2</v>
      </c>
    </row>
    <row r="418" spans="1:20" x14ac:dyDescent="0.25">
      <c r="A418" s="5">
        <v>44175</v>
      </c>
      <c r="B418">
        <v>13.956</v>
      </c>
      <c r="C418">
        <v>14.548</v>
      </c>
      <c r="D418">
        <v>13.523999999999999</v>
      </c>
      <c r="E418">
        <v>13.744999999999999</v>
      </c>
      <c r="F418">
        <v>466486.63400000002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-0.56835937500000022</v>
      </c>
      <c r="Q418">
        <f t="shared" si="975"/>
        <v>-265132.05174609384</v>
      </c>
      <c r="R418">
        <f t="shared" si="976"/>
        <v>1016872.6378774487</v>
      </c>
      <c r="S418">
        <f t="shared" si="977"/>
        <v>10.168726378774487</v>
      </c>
      <c r="T418">
        <f t="shared" si="978"/>
        <v>1.0168726378774487E-2</v>
      </c>
    </row>
    <row r="419" spans="1:20" x14ac:dyDescent="0.25">
      <c r="A419" s="5">
        <v>44174</v>
      </c>
      <c r="B419">
        <v>12.52</v>
      </c>
      <c r="C419">
        <v>14.595000000000001</v>
      </c>
      <c r="D419">
        <v>12.388</v>
      </c>
      <c r="E419">
        <v>13.973000000000001</v>
      </c>
      <c r="F419">
        <v>787330.28799999994</v>
      </c>
      <c r="G419">
        <v>0</v>
      </c>
      <c r="L419" t="s">
        <v>8</v>
      </c>
      <c r="M419" t="s">
        <v>7</v>
      </c>
      <c r="N419" t="s">
        <v>8</v>
      </c>
      <c r="P419">
        <f t="shared" si="974"/>
        <v>0.43633892161304966</v>
      </c>
      <c r="Q419">
        <f t="shared" si="975"/>
        <v>343542.84881921177</v>
      </c>
      <c r="R419">
        <f t="shared" si="976"/>
        <v>1282004.6896235426</v>
      </c>
      <c r="S419">
        <f t="shared" si="977"/>
        <v>12.820046896235427</v>
      </c>
      <c r="T419">
        <f t="shared" si="978"/>
        <v>1.2820046896235426E-2</v>
      </c>
    </row>
    <row r="420" spans="1:20" x14ac:dyDescent="0.25">
      <c r="A420" s="5">
        <v>44173</v>
      </c>
      <c r="B420">
        <v>13.132999999999999</v>
      </c>
      <c r="C420">
        <v>13.162000000000001</v>
      </c>
      <c r="D420">
        <v>12.228999999999999</v>
      </c>
      <c r="E420">
        <v>12.52</v>
      </c>
      <c r="F420">
        <v>390498.723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-0.37620578778135078</v>
      </c>
      <c r="Q420">
        <f t="shared" si="975"/>
        <v>-146907.87971382649</v>
      </c>
      <c r="R420">
        <f t="shared" si="976"/>
        <v>938461.84080433089</v>
      </c>
      <c r="S420">
        <f t="shared" si="977"/>
        <v>9.384618408043309</v>
      </c>
      <c r="T420">
        <f t="shared" si="978"/>
        <v>9.3846184080433083E-3</v>
      </c>
    </row>
    <row r="421" spans="1:20" x14ac:dyDescent="0.25">
      <c r="A421" s="5">
        <v>44172</v>
      </c>
      <c r="B421">
        <v>13.718</v>
      </c>
      <c r="C421">
        <v>13.895</v>
      </c>
      <c r="D421">
        <v>12.743</v>
      </c>
      <c r="E421">
        <v>13.132999999999999</v>
      </c>
      <c r="F421">
        <v>481840.72600000002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-0.32291666666666829</v>
      </c>
      <c r="Q421">
        <f t="shared" si="975"/>
        <v>-155594.40110416745</v>
      </c>
      <c r="R421">
        <f t="shared" si="976"/>
        <v>1085369.7205181574</v>
      </c>
      <c r="S421">
        <f t="shared" si="977"/>
        <v>10.853697205181573</v>
      </c>
      <c r="T421">
        <f t="shared" si="978"/>
        <v>1.0853697205181574E-2</v>
      </c>
    </row>
    <row r="422" spans="1:20" x14ac:dyDescent="0.25">
      <c r="A422" s="5">
        <v>44171</v>
      </c>
      <c r="B422">
        <v>13.93</v>
      </c>
      <c r="C422">
        <v>13.962</v>
      </c>
      <c r="D422">
        <v>12.882999999999999</v>
      </c>
      <c r="E422">
        <v>13.707000000000001</v>
      </c>
      <c r="F422">
        <v>710610.47100000002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0.5273401297497704</v>
      </c>
      <c r="Q422">
        <f t="shared" si="975"/>
        <v>374733.41797868547</v>
      </c>
      <c r="R422">
        <f t="shared" si="976"/>
        <v>1240964.1216223249</v>
      </c>
      <c r="S422">
        <f t="shared" si="977"/>
        <v>12.40964121622325</v>
      </c>
      <c r="T422">
        <f t="shared" si="978"/>
        <v>1.240964121622325E-2</v>
      </c>
    </row>
    <row r="423" spans="1:20" x14ac:dyDescent="0.25">
      <c r="A423" s="5">
        <v>44170</v>
      </c>
      <c r="B423">
        <v>12.083</v>
      </c>
      <c r="C423">
        <v>14.68</v>
      </c>
      <c r="D423">
        <v>11.833</v>
      </c>
      <c r="E423">
        <v>13.9</v>
      </c>
      <c r="F423">
        <v>1207569.0759999999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0.45205479452054831</v>
      </c>
      <c r="Q423">
        <f t="shared" si="975"/>
        <v>545887.39052054833</v>
      </c>
      <c r="R423">
        <f t="shared" si="976"/>
        <v>866230.70364363957</v>
      </c>
      <c r="S423">
        <f t="shared" si="977"/>
        <v>8.6623070364363954</v>
      </c>
      <c r="T423">
        <f t="shared" si="978"/>
        <v>8.6623070364363949E-3</v>
      </c>
    </row>
    <row r="424" spans="1:20" x14ac:dyDescent="0.25">
      <c r="A424" s="5">
        <v>44169</v>
      </c>
      <c r="B424">
        <v>13.048999999999999</v>
      </c>
      <c r="C424">
        <v>14.082000000000001</v>
      </c>
      <c r="D424">
        <v>11.2</v>
      </c>
      <c r="E424">
        <v>12.101000000000001</v>
      </c>
      <c r="F424">
        <v>1228332.348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-0.3747397640527404</v>
      </c>
      <c r="Q424">
        <f t="shared" si="975"/>
        <v>-460304.97426786862</v>
      </c>
      <c r="R424">
        <f t="shared" si="976"/>
        <v>320343.3131230913</v>
      </c>
      <c r="S424">
        <f t="shared" si="977"/>
        <v>3.2034331312309128</v>
      </c>
      <c r="T424">
        <f t="shared" si="978"/>
        <v>3.2034331312309127E-3</v>
      </c>
    </row>
    <row r="425" spans="1:20" x14ac:dyDescent="0.25">
      <c r="A425" s="5">
        <v>44168</v>
      </c>
      <c r="B425">
        <v>11.637</v>
      </c>
      <c r="C425">
        <v>13.49</v>
      </c>
      <c r="D425">
        <v>11.595000000000001</v>
      </c>
      <c r="E425">
        <v>13.055999999999999</v>
      </c>
      <c r="F425">
        <v>1093513.2420000001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0.54195250659630489</v>
      </c>
      <c r="Q425">
        <f t="shared" si="975"/>
        <v>592632.24249815184</v>
      </c>
      <c r="R425">
        <f t="shared" si="976"/>
        <v>780648.28739095991</v>
      </c>
      <c r="S425">
        <f t="shared" si="977"/>
        <v>7.8064828739095988</v>
      </c>
      <c r="T425">
        <f t="shared" si="978"/>
        <v>7.8064828739095992E-3</v>
      </c>
    </row>
    <row r="426" spans="1:20" x14ac:dyDescent="0.25">
      <c r="A426" s="5">
        <v>44167</v>
      </c>
      <c r="B426">
        <v>9.3000000000000007</v>
      </c>
      <c r="C426">
        <v>12</v>
      </c>
      <c r="D426">
        <v>9.1780000000000008</v>
      </c>
      <c r="E426">
        <v>11.615</v>
      </c>
      <c r="F426">
        <v>1072591.3459999999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0.72714386959603128</v>
      </c>
      <c r="Q426">
        <f t="shared" si="975"/>
        <v>779928.22182565555</v>
      </c>
      <c r="R426">
        <f t="shared" si="976"/>
        <v>188016.04489280807</v>
      </c>
      <c r="S426">
        <f t="shared" si="977"/>
        <v>1.8801604489280808</v>
      </c>
      <c r="T426">
        <f t="shared" si="978"/>
        <v>1.8801604489280808E-3</v>
      </c>
    </row>
    <row r="427" spans="1:20" x14ac:dyDescent="0.25">
      <c r="A427" s="5">
        <v>44166</v>
      </c>
      <c r="B427">
        <v>9.1829999999999998</v>
      </c>
      <c r="C427">
        <v>9.6069999999999993</v>
      </c>
      <c r="D427">
        <v>8.75</v>
      </c>
      <c r="E427">
        <v>9.3010000000000002</v>
      </c>
      <c r="F427">
        <v>685247.90399999998</v>
      </c>
      <c r="G427">
        <v>0</v>
      </c>
      <c r="L427" t="s">
        <v>8</v>
      </c>
      <c r="M427" t="s">
        <v>7</v>
      </c>
      <c r="N427" t="s">
        <v>8</v>
      </c>
      <c r="P427">
        <f t="shared" si="974"/>
        <v>0.28588098016336194</v>
      </c>
      <c r="Q427">
        <f t="shared" si="975"/>
        <v>195899.34245040934</v>
      </c>
      <c r="R427">
        <f t="shared" si="976"/>
        <v>-591912.17693284748</v>
      </c>
      <c r="S427">
        <f t="shared" si="977"/>
        <v>-5.9191217693284743</v>
      </c>
      <c r="T427">
        <f t="shared" si="978"/>
        <v>-5.9191217693284745E-3</v>
      </c>
    </row>
    <row r="428" spans="1:20" x14ac:dyDescent="0.25">
      <c r="A428" s="5">
        <v>44165</v>
      </c>
      <c r="B428">
        <v>8.9329999999999998</v>
      </c>
      <c r="C428">
        <v>9.34</v>
      </c>
      <c r="D428">
        <v>8.73</v>
      </c>
      <c r="E428">
        <v>9.1829999999999998</v>
      </c>
      <c r="F428">
        <v>458106.37099999998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0.48524590163934367</v>
      </c>
      <c r="Q428">
        <f t="shared" si="975"/>
        <v>222294.23904262268</v>
      </c>
      <c r="R428">
        <f t="shared" si="976"/>
        <v>-787811.51938325679</v>
      </c>
      <c r="S428">
        <f t="shared" si="977"/>
        <v>-7.878115193832568</v>
      </c>
      <c r="T428">
        <f t="shared" si="978"/>
        <v>-7.8781151938325678E-3</v>
      </c>
    </row>
    <row r="429" spans="1:20" x14ac:dyDescent="0.25">
      <c r="A429" s="5">
        <v>44164</v>
      </c>
      <c r="B429">
        <v>8.7870000000000008</v>
      </c>
      <c r="C429">
        <v>9.1750000000000007</v>
      </c>
      <c r="D429">
        <v>8.6620000000000008</v>
      </c>
      <c r="E429">
        <v>8.923</v>
      </c>
      <c r="F429">
        <v>269740.15000000002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1.7543859649120013E-2</v>
      </c>
      <c r="Q429">
        <f t="shared" si="975"/>
        <v>4732.2833333325798</v>
      </c>
      <c r="R429">
        <f t="shared" si="976"/>
        <v>-1010105.7584258795</v>
      </c>
      <c r="S429">
        <f t="shared" si="977"/>
        <v>-10.101057584258795</v>
      </c>
      <c r="T429">
        <f t="shared" si="978"/>
        <v>-1.0101057584258794E-2</v>
      </c>
    </row>
    <row r="430" spans="1:20" x14ac:dyDescent="0.25">
      <c r="A430" s="5">
        <v>44163</v>
      </c>
      <c r="B430">
        <v>8.8460000000000001</v>
      </c>
      <c r="C430">
        <v>9.0269999999999992</v>
      </c>
      <c r="D430">
        <v>8.5419999999999998</v>
      </c>
      <c r="E430">
        <v>8.8079999999999998</v>
      </c>
      <c r="F430">
        <v>361699.78100000002</v>
      </c>
      <c r="G430">
        <v>0</v>
      </c>
      <c r="L430" t="s">
        <v>7</v>
      </c>
      <c r="M430" t="s">
        <v>7</v>
      </c>
      <c r="N430" t="s">
        <v>8</v>
      </c>
      <c r="P430">
        <f t="shared" si="974"/>
        <v>9.690721649484671E-2</v>
      </c>
      <c r="Q430">
        <f t="shared" si="975"/>
        <v>35051.318983505647</v>
      </c>
      <c r="R430">
        <f t="shared" si="976"/>
        <v>-1014838.0417592122</v>
      </c>
      <c r="S430">
        <f t="shared" si="977"/>
        <v>-10.148380417592122</v>
      </c>
      <c r="T430">
        <f t="shared" si="978"/>
        <v>-1.0148380417592123E-2</v>
      </c>
    </row>
    <row r="431" spans="1:20" x14ac:dyDescent="0.25">
      <c r="A431" s="5">
        <v>44162</v>
      </c>
      <c r="B431">
        <v>9.1370000000000005</v>
      </c>
      <c r="C431">
        <v>9.1989999999999998</v>
      </c>
      <c r="D431">
        <v>8.6</v>
      </c>
      <c r="E431">
        <v>8.8460000000000001</v>
      </c>
      <c r="F431">
        <v>419100.75699999998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-0.17863105175292035</v>
      </c>
      <c r="Q431">
        <f t="shared" si="975"/>
        <v>-74864.409013355093</v>
      </c>
      <c r="R431">
        <f t="shared" si="976"/>
        <v>-1049889.3607427177</v>
      </c>
      <c r="S431">
        <f t="shared" si="977"/>
        <v>-10.498893607427178</v>
      </c>
      <c r="T431">
        <f t="shared" si="978"/>
        <v>-1.0498893607427178E-2</v>
      </c>
    </row>
    <row r="432" spans="1:20" x14ac:dyDescent="0.25">
      <c r="A432" s="5">
        <v>44161</v>
      </c>
      <c r="B432">
        <v>9.6910000000000007</v>
      </c>
      <c r="C432">
        <v>10.09</v>
      </c>
      <c r="D432">
        <v>8.25</v>
      </c>
      <c r="E432">
        <v>9.1310000000000002</v>
      </c>
      <c r="F432">
        <v>1510703.1810000001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-4.2391304347825766E-2</v>
      </c>
      <c r="Q432">
        <f t="shared" si="975"/>
        <v>-64040.678324999521</v>
      </c>
      <c r="R432">
        <f t="shared" si="976"/>
        <v>-975024.9517293626</v>
      </c>
      <c r="S432">
        <f t="shared" si="977"/>
        <v>-9.7502495172936268</v>
      </c>
      <c r="T432">
        <f t="shared" si="978"/>
        <v>-9.7502495172936271E-3</v>
      </c>
    </row>
    <row r="433" spans="1:20" x14ac:dyDescent="0.25">
      <c r="A433" s="5">
        <v>44160</v>
      </c>
      <c r="B433">
        <v>9.0449999999999999</v>
      </c>
      <c r="C433">
        <v>10.371</v>
      </c>
      <c r="D433">
        <v>8.718</v>
      </c>
      <c r="E433">
        <v>9.6769999999999996</v>
      </c>
      <c r="F433">
        <v>1234746.0619999999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0.16031457955232833</v>
      </c>
      <c r="Q433">
        <f t="shared" si="975"/>
        <v>197947.79578342312</v>
      </c>
      <c r="R433">
        <f t="shared" si="976"/>
        <v>-910984.27340436308</v>
      </c>
      <c r="S433">
        <f t="shared" si="977"/>
        <v>-9.1098427340436317</v>
      </c>
      <c r="T433">
        <f t="shared" si="978"/>
        <v>-9.1098427340436314E-3</v>
      </c>
    </row>
    <row r="434" spans="1:20" x14ac:dyDescent="0.25">
      <c r="A434" s="5">
        <v>44159</v>
      </c>
      <c r="B434">
        <v>9.0709999999999997</v>
      </c>
      <c r="C434">
        <v>9.35</v>
      </c>
      <c r="D434">
        <v>8.4570000000000007</v>
      </c>
      <c r="E434">
        <v>9.048</v>
      </c>
      <c r="F434">
        <v>773364.94299999997</v>
      </c>
      <c r="G434">
        <v>0</v>
      </c>
      <c r="L434" t="s">
        <v>7</v>
      </c>
      <c r="M434" t="s">
        <v>8</v>
      </c>
      <c r="N434" t="s">
        <v>7</v>
      </c>
      <c r="P434">
        <f t="shared" si="974"/>
        <v>0.32362821948488246</v>
      </c>
      <c r="Q434">
        <f t="shared" si="975"/>
        <v>250282.71951511761</v>
      </c>
      <c r="R434">
        <f t="shared" si="976"/>
        <v>-1108932.0691877862</v>
      </c>
      <c r="S434">
        <f t="shared" si="977"/>
        <v>-11.089320691877862</v>
      </c>
      <c r="T434">
        <f t="shared" si="978"/>
        <v>-1.1089320691877862E-2</v>
      </c>
    </row>
    <row r="435" spans="1:20" x14ac:dyDescent="0.25">
      <c r="A435" s="5">
        <v>44158</v>
      </c>
      <c r="B435">
        <v>8.0359999999999996</v>
      </c>
      <c r="C435">
        <v>9.34</v>
      </c>
      <c r="D435">
        <v>7.9349999999999996</v>
      </c>
      <c r="E435">
        <v>9.0709999999999997</v>
      </c>
      <c r="F435">
        <v>742130.05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0.61708185053380771</v>
      </c>
      <c r="Q435">
        <f t="shared" si="975"/>
        <v>457954.98459074728</v>
      </c>
      <c r="R435">
        <f t="shared" si="976"/>
        <v>-1359214.7887029038</v>
      </c>
      <c r="S435">
        <f t="shared" si="977"/>
        <v>-13.592147887029038</v>
      </c>
      <c r="T435">
        <f t="shared" si="978"/>
        <v>-1.3592147887029038E-2</v>
      </c>
    </row>
    <row r="436" spans="1:20" x14ac:dyDescent="0.25">
      <c r="A436" s="5">
        <v>44157</v>
      </c>
      <c r="B436">
        <v>8.2289999999999992</v>
      </c>
      <c r="C436">
        <v>8.3670000000000009</v>
      </c>
      <c r="D436">
        <v>7.601</v>
      </c>
      <c r="E436">
        <v>8.0280000000000005</v>
      </c>
      <c r="F436">
        <v>525249.09499999997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0.11488250652741511</v>
      </c>
      <c r="Q436">
        <f t="shared" si="975"/>
        <v>60341.932584856375</v>
      </c>
      <c r="R436">
        <f t="shared" si="976"/>
        <v>-1817169.7732936509</v>
      </c>
      <c r="S436">
        <f t="shared" si="977"/>
        <v>-18.171697732936508</v>
      </c>
      <c r="T436">
        <f t="shared" si="978"/>
        <v>-1.8171697732936507E-2</v>
      </c>
    </row>
    <row r="437" spans="1:20" x14ac:dyDescent="0.25">
      <c r="A437" s="5">
        <v>44156</v>
      </c>
      <c r="B437">
        <v>7.6210000000000004</v>
      </c>
      <c r="C437">
        <v>8.5</v>
      </c>
      <c r="D437">
        <v>7.5</v>
      </c>
      <c r="E437">
        <v>8.2360000000000007</v>
      </c>
      <c r="F437">
        <v>569825.245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0.47200000000000131</v>
      </c>
      <c r="Q437">
        <f t="shared" si="975"/>
        <v>268957.51564000075</v>
      </c>
      <c r="R437">
        <f t="shared" si="976"/>
        <v>-1877511.7058785073</v>
      </c>
      <c r="S437">
        <f t="shared" si="977"/>
        <v>-18.775117058785074</v>
      </c>
      <c r="T437">
        <f t="shared" si="978"/>
        <v>-1.8775117058785075E-2</v>
      </c>
    </row>
    <row r="438" spans="1:20" x14ac:dyDescent="0.25">
      <c r="A438" s="5">
        <v>44155</v>
      </c>
      <c r="B438">
        <v>7.5960000000000001</v>
      </c>
      <c r="C438">
        <v>8.0050000000000008</v>
      </c>
      <c r="D438">
        <v>7.5</v>
      </c>
      <c r="E438">
        <v>7.6210000000000004</v>
      </c>
      <c r="F438">
        <v>277784.75699999998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-0.52079207920791981</v>
      </c>
      <c r="Q438">
        <f t="shared" si="975"/>
        <v>-144668.10117029675</v>
      </c>
      <c r="R438">
        <f t="shared" si="976"/>
        <v>-2146469.2215185082</v>
      </c>
      <c r="S438">
        <f t="shared" si="977"/>
        <v>-21.464692215185082</v>
      </c>
      <c r="T438">
        <f t="shared" si="978"/>
        <v>-2.1464692215185082E-2</v>
      </c>
    </row>
    <row r="439" spans="1:20" x14ac:dyDescent="0.25">
      <c r="A439" s="5">
        <v>44154</v>
      </c>
      <c r="B439">
        <v>7.4960000000000004</v>
      </c>
      <c r="C439">
        <v>7.7</v>
      </c>
      <c r="D439">
        <v>7.2380000000000004</v>
      </c>
      <c r="E439">
        <v>7.5940000000000003</v>
      </c>
      <c r="F439">
        <v>261747.62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0.54112554112554145</v>
      </c>
      <c r="Q439">
        <f t="shared" si="975"/>
        <v>141638.32251082259</v>
      </c>
      <c r="R439">
        <f t="shared" si="976"/>
        <v>-2001801.1203482114</v>
      </c>
      <c r="S439">
        <f t="shared" si="977"/>
        <v>-20.018011203482114</v>
      </c>
      <c r="T439">
        <f t="shared" si="978"/>
        <v>-2.0018011203482115E-2</v>
      </c>
    </row>
    <row r="440" spans="1:20" x14ac:dyDescent="0.25">
      <c r="A440" s="5">
        <v>44153</v>
      </c>
      <c r="B440">
        <v>7.8630000000000004</v>
      </c>
      <c r="C440">
        <v>7.9320000000000004</v>
      </c>
      <c r="D440">
        <v>7.0990000000000002</v>
      </c>
      <c r="E440">
        <v>7.4870000000000001</v>
      </c>
      <c r="F440">
        <v>458079.33600000001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-6.8427370948379793E-2</v>
      </c>
      <c r="Q440">
        <f t="shared" si="975"/>
        <v>-31345.164648259506</v>
      </c>
      <c r="R440">
        <f t="shared" si="976"/>
        <v>-2143439.4428590341</v>
      </c>
      <c r="S440">
        <f t="shared" si="977"/>
        <v>-21.434394428590341</v>
      </c>
      <c r="T440">
        <f t="shared" si="978"/>
        <v>-2.1434394428590343E-2</v>
      </c>
    </row>
    <row r="441" spans="1:20" x14ac:dyDescent="0.25">
      <c r="A441" s="5">
        <v>44152</v>
      </c>
      <c r="B441">
        <v>7.6929999999999996</v>
      </c>
      <c r="C441">
        <v>7.9889999999999999</v>
      </c>
      <c r="D441">
        <v>7.601</v>
      </c>
      <c r="E441">
        <v>7.8620000000000001</v>
      </c>
      <c r="F441">
        <v>288680.57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0.34536082474226903</v>
      </c>
      <c r="Q441">
        <f t="shared" si="975"/>
        <v>99698.959742268329</v>
      </c>
      <c r="R441">
        <f t="shared" si="976"/>
        <v>-2112094.2782107745</v>
      </c>
      <c r="S441">
        <f t="shared" si="977"/>
        <v>-21.120942782107747</v>
      </c>
      <c r="T441">
        <f t="shared" si="978"/>
        <v>-2.1120942782107747E-2</v>
      </c>
    </row>
    <row r="442" spans="1:20" x14ac:dyDescent="0.25">
      <c r="A442" s="5">
        <v>44151</v>
      </c>
      <c r="B442">
        <v>7.57</v>
      </c>
      <c r="C442">
        <v>7.95</v>
      </c>
      <c r="D442">
        <v>7.5039999999999996</v>
      </c>
      <c r="E442">
        <v>7.71</v>
      </c>
      <c r="F442">
        <v>225612.01300000001</v>
      </c>
      <c r="G442">
        <v>0</v>
      </c>
      <c r="L442" t="s">
        <v>8</v>
      </c>
      <c r="M442" t="s">
        <v>7</v>
      </c>
      <c r="N442" t="s">
        <v>7</v>
      </c>
      <c r="P442">
        <f t="shared" si="974"/>
        <v>-7.6233183856501713E-2</v>
      </c>
      <c r="Q442">
        <f t="shared" si="975"/>
        <v>-17199.122067264456</v>
      </c>
      <c r="R442">
        <f t="shared" si="976"/>
        <v>-2211793.2379530431</v>
      </c>
      <c r="S442">
        <f t="shared" si="977"/>
        <v>-22.11793237953043</v>
      </c>
      <c r="T442">
        <f t="shared" si="978"/>
        <v>-2.2117932379530431E-2</v>
      </c>
    </row>
    <row r="443" spans="1:20" x14ac:dyDescent="0.25">
      <c r="A443" s="5">
        <v>44150</v>
      </c>
      <c r="B443">
        <v>7.4809999999999999</v>
      </c>
      <c r="C443">
        <v>7.73</v>
      </c>
      <c r="D443">
        <v>7.4009999999999998</v>
      </c>
      <c r="E443">
        <v>7.5759999999999996</v>
      </c>
      <c r="F443">
        <v>220114.53599999999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6.3829787234039453E-2</v>
      </c>
      <c r="Q443">
        <f t="shared" si="975"/>
        <v>14049.863999999317</v>
      </c>
      <c r="R443">
        <f t="shared" si="976"/>
        <v>-2194594.1158857788</v>
      </c>
      <c r="S443">
        <f t="shared" si="977"/>
        <v>-21.945941158857789</v>
      </c>
      <c r="T443">
        <f t="shared" si="978"/>
        <v>-2.1945941158857788E-2</v>
      </c>
    </row>
    <row r="444" spans="1:20" x14ac:dyDescent="0.25">
      <c r="A444" s="5">
        <v>44149</v>
      </c>
      <c r="B444">
        <v>7.7759999999999998</v>
      </c>
      <c r="C444">
        <v>7.78</v>
      </c>
      <c r="D444">
        <v>7.2869999999999999</v>
      </c>
      <c r="E444">
        <v>7.4790000000000001</v>
      </c>
      <c r="F444">
        <v>192193.71599999999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-0.22109533468559819</v>
      </c>
      <c r="Q444">
        <f t="shared" si="975"/>
        <v>-42493.133963488806</v>
      </c>
      <c r="R444">
        <f t="shared" si="976"/>
        <v>-2208643.9798857779</v>
      </c>
      <c r="S444">
        <f t="shared" si="977"/>
        <v>-22.086439798857779</v>
      </c>
      <c r="T444">
        <f t="shared" si="978"/>
        <v>-2.2086439798857778E-2</v>
      </c>
    </row>
    <row r="445" spans="1:20" x14ac:dyDescent="0.25">
      <c r="A445" s="5">
        <v>44148</v>
      </c>
      <c r="B445">
        <v>7.4930000000000003</v>
      </c>
      <c r="C445">
        <v>7.8520000000000003</v>
      </c>
      <c r="D445">
        <v>7.4550000000000001</v>
      </c>
      <c r="E445">
        <v>7.7759999999999998</v>
      </c>
      <c r="F445">
        <v>213046.65900000001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0.6171284634760682</v>
      </c>
      <c r="Q445">
        <f t="shared" si="975"/>
        <v>131477.15731737987</v>
      </c>
      <c r="R445">
        <f t="shared" si="976"/>
        <v>-2166150.845922289</v>
      </c>
      <c r="S445">
        <f t="shared" si="977"/>
        <v>-21.66150845922289</v>
      </c>
      <c r="T445">
        <f t="shared" si="978"/>
        <v>-2.1661508459222892E-2</v>
      </c>
    </row>
    <row r="446" spans="1:20" x14ac:dyDescent="0.25">
      <c r="A446" s="5">
        <v>44147</v>
      </c>
      <c r="B446">
        <v>7.79</v>
      </c>
      <c r="C446">
        <v>7.8959999999999999</v>
      </c>
      <c r="D446">
        <v>7.367</v>
      </c>
      <c r="E446">
        <v>7.492</v>
      </c>
      <c r="F446">
        <v>236517.606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-0.52741020793950844</v>
      </c>
      <c r="Q446">
        <f t="shared" si="975"/>
        <v>-124741.79976181473</v>
      </c>
      <c r="R446">
        <f t="shared" si="976"/>
        <v>-2297628.0032396689</v>
      </c>
      <c r="S446">
        <f t="shared" si="977"/>
        <v>-22.976280032396691</v>
      </c>
      <c r="T446">
        <f t="shared" si="978"/>
        <v>-2.2976280032396691E-2</v>
      </c>
    </row>
    <row r="447" spans="1:20" x14ac:dyDescent="0.25">
      <c r="A447" s="5">
        <v>44146</v>
      </c>
      <c r="B447">
        <v>8.5960000000000001</v>
      </c>
      <c r="C447">
        <v>8.8350000000000009</v>
      </c>
      <c r="D447">
        <v>7.7839999999999998</v>
      </c>
      <c r="E447">
        <v>7.7839999999999998</v>
      </c>
      <c r="F447">
        <v>422157.91399999999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-1</v>
      </c>
      <c r="Q447">
        <f t="shared" si="975"/>
        <v>-422157.91399999999</v>
      </c>
      <c r="R447">
        <f t="shared" si="976"/>
        <v>-2172886.2034778544</v>
      </c>
      <c r="S447">
        <f t="shared" si="977"/>
        <v>-21.728862034778544</v>
      </c>
      <c r="T447">
        <f t="shared" si="978"/>
        <v>-2.1728862034778543E-2</v>
      </c>
    </row>
    <row r="448" spans="1:20" x14ac:dyDescent="0.25">
      <c r="A448" s="5">
        <v>44145</v>
      </c>
      <c r="B448">
        <v>8.1289999999999996</v>
      </c>
      <c r="C448">
        <v>8.6780000000000008</v>
      </c>
      <c r="D448">
        <v>8.0730000000000004</v>
      </c>
      <c r="E448">
        <v>8.5960000000000001</v>
      </c>
      <c r="F448">
        <v>292723.13699999999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0.72892561983470849</v>
      </c>
      <c r="Q448">
        <f t="shared" si="975"/>
        <v>213373.39407768528</v>
      </c>
      <c r="R448">
        <f t="shared" si="976"/>
        <v>-1750728.2894778543</v>
      </c>
      <c r="S448">
        <f t="shared" si="977"/>
        <v>-17.507282894778541</v>
      </c>
      <c r="T448">
        <f t="shared" si="978"/>
        <v>-1.7507282894778542E-2</v>
      </c>
    </row>
    <row r="449" spans="1:20" x14ac:dyDescent="0.25">
      <c r="A449" s="5">
        <v>44144</v>
      </c>
      <c r="B449">
        <v>8.3379999999999992</v>
      </c>
      <c r="C449">
        <v>8.4160000000000004</v>
      </c>
      <c r="D449">
        <v>7.931</v>
      </c>
      <c r="E449">
        <v>8.1289999999999996</v>
      </c>
      <c r="F449">
        <v>257523.823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-0.18350515463917783</v>
      </c>
      <c r="Q449">
        <f t="shared" si="975"/>
        <v>-47256.948962887262</v>
      </c>
      <c r="R449">
        <f t="shared" si="976"/>
        <v>-1964101.6835555395</v>
      </c>
      <c r="S449">
        <f t="shared" si="977"/>
        <v>-19.641016835555394</v>
      </c>
      <c r="T449">
        <f t="shared" si="978"/>
        <v>-1.9641016835555393E-2</v>
      </c>
    </row>
    <row r="450" spans="1:20" x14ac:dyDescent="0.25">
      <c r="A450" s="5">
        <v>44143</v>
      </c>
      <c r="B450">
        <v>7.8479999999999999</v>
      </c>
      <c r="C450">
        <v>8.4160000000000004</v>
      </c>
      <c r="D450">
        <v>7.7</v>
      </c>
      <c r="E450">
        <v>8.3390000000000004</v>
      </c>
      <c r="F450">
        <v>327105.84999999998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0.78491620111731863</v>
      </c>
      <c r="Q450">
        <f t="shared" si="975"/>
        <v>256750.68114525144</v>
      </c>
      <c r="R450">
        <f t="shared" si="976"/>
        <v>-1916844.7345926522</v>
      </c>
      <c r="S450">
        <f t="shared" si="977"/>
        <v>-19.168447345926523</v>
      </c>
      <c r="T450">
        <f t="shared" si="978"/>
        <v>-1.9168447345926522E-2</v>
      </c>
    </row>
    <row r="451" spans="1:20" x14ac:dyDescent="0.25">
      <c r="A451" s="5">
        <v>44142</v>
      </c>
      <c r="B451">
        <v>8.3740000000000006</v>
      </c>
      <c r="C451">
        <v>8.5869999999999997</v>
      </c>
      <c r="D451">
        <v>7.56</v>
      </c>
      <c r="E451">
        <v>7.8579999999999997</v>
      </c>
      <c r="F451">
        <v>693946.65500000003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-0.41966893865628041</v>
      </c>
      <c r="Q451">
        <f t="shared" si="975"/>
        <v>-291227.85618792602</v>
      </c>
      <c r="R451">
        <f t="shared" si="976"/>
        <v>-2173595.4157379037</v>
      </c>
      <c r="S451">
        <f t="shared" si="977"/>
        <v>-21.735954157379037</v>
      </c>
      <c r="T451">
        <f t="shared" si="978"/>
        <v>-2.1735954157379039E-2</v>
      </c>
    </row>
    <row r="452" spans="1:20" x14ac:dyDescent="0.25">
      <c r="A452" s="5">
        <v>44141</v>
      </c>
      <c r="B452">
        <v>7.3860000000000001</v>
      </c>
      <c r="C452">
        <v>8.4440000000000008</v>
      </c>
      <c r="D452">
        <v>7.37</v>
      </c>
      <c r="E452">
        <v>8.3849999999999998</v>
      </c>
      <c r="F452">
        <v>342342.25599999999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0.89013035381750272</v>
      </c>
      <c r="Q452">
        <f t="shared" si="975"/>
        <v>304729.23345996207</v>
      </c>
      <c r="R452">
        <f t="shared" si="976"/>
        <v>-1882367.5595499775</v>
      </c>
      <c r="S452">
        <f t="shared" si="977"/>
        <v>-18.823675595499775</v>
      </c>
      <c r="T452">
        <f t="shared" si="978"/>
        <v>-1.8823675595499776E-2</v>
      </c>
    </row>
    <row r="453" spans="1:20" x14ac:dyDescent="0.25">
      <c r="A453" s="5">
        <v>44140</v>
      </c>
      <c r="B453">
        <v>7.1669999999999998</v>
      </c>
      <c r="C453">
        <v>7.5330000000000004</v>
      </c>
      <c r="D453">
        <v>6.9880000000000004</v>
      </c>
      <c r="E453">
        <v>7.3869999999999996</v>
      </c>
      <c r="F453">
        <v>284702.77600000001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0.46422018348623556</v>
      </c>
      <c r="Q453">
        <f t="shared" si="975"/>
        <v>132164.77491376063</v>
      </c>
      <c r="R453">
        <f t="shared" si="976"/>
        <v>-2187096.7930099396</v>
      </c>
      <c r="S453">
        <f t="shared" si="977"/>
        <v>-21.870967930099397</v>
      </c>
      <c r="T453">
        <f t="shared" si="978"/>
        <v>-2.1870967930099398E-2</v>
      </c>
    </row>
    <row r="454" spans="1:20" x14ac:dyDescent="0.25">
      <c r="A454" s="5">
        <v>44139</v>
      </c>
      <c r="B454">
        <v>7.2530000000000001</v>
      </c>
      <c r="C454">
        <v>7.298</v>
      </c>
      <c r="D454">
        <v>6.9930000000000003</v>
      </c>
      <c r="E454">
        <v>7.1680000000000001</v>
      </c>
      <c r="F454">
        <v>174557.416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0.14754098360655729</v>
      </c>
      <c r="Q454">
        <f t="shared" ref="Q454:Q517" si="980">F454*P454</f>
        <v>25754.372852459001</v>
      </c>
      <c r="R454">
        <f t="shared" ref="R454:R517" si="981">R455+Q454</f>
        <v>-2319261.5679237004</v>
      </c>
      <c r="S454">
        <f t="shared" ref="S454:S517" si="982">R454/100000</f>
        <v>-23.192615679237004</v>
      </c>
      <c r="T454">
        <f t="shared" ref="T454:T517" si="983">S454/1000</f>
        <v>-2.3192615679237003E-2</v>
      </c>
    </row>
    <row r="455" spans="1:20" x14ac:dyDescent="0.25">
      <c r="A455" s="5">
        <v>44138</v>
      </c>
      <c r="B455">
        <v>7.3120000000000003</v>
      </c>
      <c r="C455">
        <v>7.4329999999999998</v>
      </c>
      <c r="D455">
        <v>7.1509999999999998</v>
      </c>
      <c r="E455">
        <v>7.2519999999999998</v>
      </c>
      <c r="F455">
        <v>189969.02799999999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-0.28368794326241159</v>
      </c>
      <c r="Q455">
        <f t="shared" si="980"/>
        <v>-53891.922836879479</v>
      </c>
      <c r="R455">
        <f t="shared" si="981"/>
        <v>-2345015.9407761595</v>
      </c>
      <c r="S455">
        <f t="shared" si="982"/>
        <v>-23.450159407761596</v>
      </c>
      <c r="T455">
        <f t="shared" si="983"/>
        <v>-2.3450159407761597E-2</v>
      </c>
    </row>
    <row r="456" spans="1:20" x14ac:dyDescent="0.25">
      <c r="A456" s="5">
        <v>44137</v>
      </c>
      <c r="B456">
        <v>7.6849999999999996</v>
      </c>
      <c r="C456">
        <v>7.7619999999999996</v>
      </c>
      <c r="D456">
        <v>7.2489999999999997</v>
      </c>
      <c r="E456">
        <v>7.3090000000000002</v>
      </c>
      <c r="F456">
        <v>238747.92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-0.76608187134502725</v>
      </c>
      <c r="Q456">
        <f t="shared" si="980"/>
        <v>-182900.45333333287</v>
      </c>
      <c r="R456">
        <f t="shared" si="981"/>
        <v>-2291124.0179392803</v>
      </c>
      <c r="S456">
        <f t="shared" si="982"/>
        <v>-22.911240179392802</v>
      </c>
      <c r="T456">
        <f t="shared" si="983"/>
        <v>-2.2911240179392802E-2</v>
      </c>
    </row>
    <row r="457" spans="1:20" x14ac:dyDescent="0.25">
      <c r="A457" s="5">
        <v>44136</v>
      </c>
      <c r="B457">
        <v>7.327</v>
      </c>
      <c r="C457">
        <v>7.9909999999999997</v>
      </c>
      <c r="D457">
        <v>7.2619999999999996</v>
      </c>
      <c r="E457">
        <v>7.6740000000000004</v>
      </c>
      <c r="F457">
        <v>205400.93599999999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0.13031550068587314</v>
      </c>
      <c r="Q457">
        <f t="shared" si="980"/>
        <v>26766.925816186984</v>
      </c>
      <c r="R457">
        <f t="shared" si="981"/>
        <v>-2108223.5646059476</v>
      </c>
      <c r="S457">
        <f t="shared" si="982"/>
        <v>-21.082235646059477</v>
      </c>
      <c r="T457">
        <f t="shared" si="983"/>
        <v>-2.1082235646059478E-2</v>
      </c>
    </row>
    <row r="458" spans="1:20" x14ac:dyDescent="0.25">
      <c r="A458" s="5">
        <v>44135</v>
      </c>
      <c r="B458">
        <v>7.6269999999999998</v>
      </c>
      <c r="C458">
        <v>7.657</v>
      </c>
      <c r="D458">
        <v>7.181</v>
      </c>
      <c r="E458">
        <v>7.3380000000000001</v>
      </c>
      <c r="F458">
        <v>213292.951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-0.34033613445378136</v>
      </c>
      <c r="Q458">
        <f t="shared" si="980"/>
        <v>-72591.298449579801</v>
      </c>
      <c r="R458">
        <f t="shared" si="981"/>
        <v>-2134990.4904221348</v>
      </c>
      <c r="S458">
        <f t="shared" si="982"/>
        <v>-21.349904904221347</v>
      </c>
      <c r="T458">
        <f t="shared" si="983"/>
        <v>-2.1349904904221347E-2</v>
      </c>
    </row>
    <row r="459" spans="1:20" x14ac:dyDescent="0.25">
      <c r="A459" s="5">
        <v>44134</v>
      </c>
      <c r="B459">
        <v>7.3680000000000003</v>
      </c>
      <c r="C459">
        <v>7.84</v>
      </c>
      <c r="D459">
        <v>7.1989999999999998</v>
      </c>
      <c r="E459">
        <v>7.617</v>
      </c>
      <c r="F459">
        <v>373320.40899999999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0.30421216848673993</v>
      </c>
      <c r="Q459">
        <f t="shared" si="980"/>
        <v>113568.61116224666</v>
      </c>
      <c r="R459">
        <f t="shared" si="981"/>
        <v>-2062399.1919725551</v>
      </c>
      <c r="S459">
        <f t="shared" si="982"/>
        <v>-20.623991919725551</v>
      </c>
      <c r="T459">
        <f t="shared" si="983"/>
        <v>-2.062399191972555E-2</v>
      </c>
    </row>
    <row r="460" spans="1:20" x14ac:dyDescent="0.25">
      <c r="A460" s="5">
        <v>44133</v>
      </c>
      <c r="B460">
        <v>7.859</v>
      </c>
      <c r="C460">
        <v>8.0269999999999992</v>
      </c>
      <c r="D460">
        <v>7.1</v>
      </c>
      <c r="E460">
        <v>7.3869999999999996</v>
      </c>
      <c r="F460">
        <v>370952.505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-0.38079827400215738</v>
      </c>
      <c r="Q460">
        <f t="shared" si="980"/>
        <v>-141258.07364077665</v>
      </c>
      <c r="R460">
        <f t="shared" si="981"/>
        <v>-2175967.8031348018</v>
      </c>
      <c r="S460">
        <f t="shared" si="982"/>
        <v>-21.759678031348017</v>
      </c>
      <c r="T460">
        <f t="shared" si="983"/>
        <v>-2.1759678031348016E-2</v>
      </c>
    </row>
    <row r="461" spans="1:20" x14ac:dyDescent="0.25">
      <c r="A461" s="5">
        <v>44132</v>
      </c>
      <c r="B461">
        <v>8.5739999999999998</v>
      </c>
      <c r="C461">
        <v>8.6750000000000007</v>
      </c>
      <c r="D461">
        <v>7.7229999999999999</v>
      </c>
      <c r="E461">
        <v>7.8490000000000002</v>
      </c>
      <c r="F461">
        <v>442648.21500000003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-0.73529411764705832</v>
      </c>
      <c r="Q461">
        <f t="shared" si="980"/>
        <v>-325476.62867647037</v>
      </c>
      <c r="R461">
        <f t="shared" si="981"/>
        <v>-2034709.729494025</v>
      </c>
      <c r="S461">
        <f t="shared" si="982"/>
        <v>-20.347097294940252</v>
      </c>
      <c r="T461">
        <f t="shared" si="983"/>
        <v>-2.0347097294940251E-2</v>
      </c>
    </row>
    <row r="462" spans="1:20" x14ac:dyDescent="0.25">
      <c r="A462" s="5">
        <v>44131</v>
      </c>
      <c r="B462">
        <v>8.6370000000000005</v>
      </c>
      <c r="C462">
        <v>8.77</v>
      </c>
      <c r="D462">
        <v>8.3000000000000007</v>
      </c>
      <c r="E462">
        <v>8.5719999999999992</v>
      </c>
      <c r="F462">
        <v>408778.39</v>
      </c>
      <c r="G462">
        <v>0</v>
      </c>
      <c r="L462" t="s">
        <v>7</v>
      </c>
      <c r="M462" t="s">
        <v>7</v>
      </c>
      <c r="N462" t="s">
        <v>8</v>
      </c>
      <c r="P462">
        <f t="shared" si="979"/>
        <v>0.15744680851063456</v>
      </c>
      <c r="Q462">
        <f t="shared" si="980"/>
        <v>64360.852893615491</v>
      </c>
      <c r="R462">
        <f t="shared" si="981"/>
        <v>-1709233.1008175546</v>
      </c>
      <c r="S462">
        <f t="shared" si="982"/>
        <v>-17.092331008175545</v>
      </c>
      <c r="T462">
        <f t="shared" si="983"/>
        <v>-1.7092331008175546E-2</v>
      </c>
    </row>
    <row r="463" spans="1:20" x14ac:dyDescent="0.25">
      <c r="A463" s="5">
        <v>44130</v>
      </c>
      <c r="B463">
        <v>9.25</v>
      </c>
      <c r="C463">
        <v>9.5399999999999991</v>
      </c>
      <c r="D463">
        <v>8.42</v>
      </c>
      <c r="E463">
        <v>8.6229999999999993</v>
      </c>
      <c r="F463">
        <v>554572.20499999996</v>
      </c>
      <c r="G463">
        <v>0</v>
      </c>
      <c r="L463" t="s">
        <v>8</v>
      </c>
      <c r="M463" t="s">
        <v>7</v>
      </c>
      <c r="N463" t="s">
        <v>8</v>
      </c>
      <c r="P463">
        <f t="shared" si="979"/>
        <v>-0.63750000000000084</v>
      </c>
      <c r="Q463">
        <f t="shared" si="980"/>
        <v>-353539.78068750043</v>
      </c>
      <c r="R463">
        <f t="shared" si="981"/>
        <v>-1773593.95371117</v>
      </c>
      <c r="S463">
        <f t="shared" si="982"/>
        <v>-17.735939537111701</v>
      </c>
      <c r="T463">
        <f t="shared" si="983"/>
        <v>-1.7735939537111702E-2</v>
      </c>
    </row>
    <row r="464" spans="1:20" x14ac:dyDescent="0.25">
      <c r="A464" s="5">
        <v>44129</v>
      </c>
      <c r="B464">
        <v>8.8059999999999992</v>
      </c>
      <c r="C464">
        <v>9.7360000000000007</v>
      </c>
      <c r="D464">
        <v>8.25</v>
      </c>
      <c r="E464">
        <v>9.2569999999999997</v>
      </c>
      <c r="F464">
        <v>709236.38500000001</v>
      </c>
      <c r="G464">
        <v>0</v>
      </c>
      <c r="L464" t="s">
        <v>7</v>
      </c>
      <c r="M464" t="s">
        <v>7</v>
      </c>
      <c r="N464" t="s">
        <v>8</v>
      </c>
      <c r="P464">
        <f t="shared" si="979"/>
        <v>0.35531628532974324</v>
      </c>
      <c r="Q464">
        <f t="shared" si="980"/>
        <v>252003.23773889564</v>
      </c>
      <c r="R464">
        <f t="shared" si="981"/>
        <v>-1420054.1730236695</v>
      </c>
      <c r="S464">
        <f t="shared" si="982"/>
        <v>-14.200541730236695</v>
      </c>
      <c r="T464">
        <f t="shared" si="983"/>
        <v>-1.4200541730236695E-2</v>
      </c>
    </row>
    <row r="465" spans="1:20" x14ac:dyDescent="0.25">
      <c r="A465" s="5">
        <v>44128</v>
      </c>
      <c r="B465">
        <v>8.8640000000000008</v>
      </c>
      <c r="C465">
        <v>10.28</v>
      </c>
      <c r="D465">
        <v>8.5709999999999997</v>
      </c>
      <c r="E465">
        <v>8.8059999999999992</v>
      </c>
      <c r="F465">
        <v>1006304.721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-0.72498537156231779</v>
      </c>
      <c r="Q465">
        <f t="shared" si="980"/>
        <v>-729556.20205909957</v>
      </c>
      <c r="R465">
        <f t="shared" si="981"/>
        <v>-1672057.4107625652</v>
      </c>
      <c r="S465">
        <f t="shared" si="982"/>
        <v>-16.720574107625652</v>
      </c>
      <c r="T465">
        <f t="shared" si="983"/>
        <v>-1.672057410762565E-2</v>
      </c>
    </row>
    <row r="466" spans="1:20" x14ac:dyDescent="0.25">
      <c r="A466" s="5">
        <v>44127</v>
      </c>
      <c r="B466">
        <v>7.7169999999999996</v>
      </c>
      <c r="C466">
        <v>8.9359999999999999</v>
      </c>
      <c r="D466">
        <v>7.6879999999999997</v>
      </c>
      <c r="E466">
        <v>8.8640000000000008</v>
      </c>
      <c r="F466">
        <v>557933.28300000005</v>
      </c>
      <c r="G466">
        <v>0</v>
      </c>
      <c r="L466" t="s">
        <v>8</v>
      </c>
      <c r="M466" t="s">
        <v>8</v>
      </c>
      <c r="N466" t="s">
        <v>8</v>
      </c>
      <c r="P466">
        <f t="shared" si="979"/>
        <v>0.88461538461538591</v>
      </c>
      <c r="Q466">
        <f t="shared" si="980"/>
        <v>493556.36573076999</v>
      </c>
      <c r="R466">
        <f t="shared" si="981"/>
        <v>-942501.20870346576</v>
      </c>
      <c r="S466">
        <f t="shared" si="982"/>
        <v>-9.4250120870346574</v>
      </c>
      <c r="T466">
        <f t="shared" si="983"/>
        <v>-9.4250120870346572E-3</v>
      </c>
    </row>
    <row r="467" spans="1:20" x14ac:dyDescent="0.25">
      <c r="A467" s="5">
        <v>44126</v>
      </c>
      <c r="B467">
        <v>7.4580000000000002</v>
      </c>
      <c r="C467">
        <v>7.8620000000000001</v>
      </c>
      <c r="D467">
        <v>7.3479999999999999</v>
      </c>
      <c r="E467">
        <v>7.718</v>
      </c>
      <c r="F467">
        <v>185600.584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0.43968871595330716</v>
      </c>
      <c r="Q467">
        <f t="shared" si="980"/>
        <v>81606.482459143925</v>
      </c>
      <c r="R467">
        <f t="shared" si="981"/>
        <v>-1436057.5744342357</v>
      </c>
      <c r="S467">
        <f t="shared" si="982"/>
        <v>-14.360575744342357</v>
      </c>
      <c r="T467">
        <f t="shared" si="983"/>
        <v>-1.4360575744342357E-2</v>
      </c>
    </row>
    <row r="468" spans="1:20" x14ac:dyDescent="0.25">
      <c r="A468" s="5">
        <v>44125</v>
      </c>
      <c r="B468">
        <v>7.0679999999999996</v>
      </c>
      <c r="C468">
        <v>7.4989999999999997</v>
      </c>
      <c r="D468">
        <v>7.0609999999999999</v>
      </c>
      <c r="E468">
        <v>7.4589999999999996</v>
      </c>
      <c r="F468">
        <v>241257.05100000001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0.81735159817351566</v>
      </c>
      <c r="Q468">
        <f t="shared" si="980"/>
        <v>197191.83620547937</v>
      </c>
      <c r="R468">
        <f t="shared" si="981"/>
        <v>-1517664.0568933797</v>
      </c>
      <c r="S468">
        <f t="shared" si="982"/>
        <v>-15.176640568933797</v>
      </c>
      <c r="T468">
        <f t="shared" si="983"/>
        <v>-1.5176640568933798E-2</v>
      </c>
    </row>
    <row r="469" spans="1:20" x14ac:dyDescent="0.25">
      <c r="A469" s="5">
        <v>44124</v>
      </c>
      <c r="B469">
        <v>7.3129999999999997</v>
      </c>
      <c r="C469">
        <v>7.4989999999999997</v>
      </c>
      <c r="D469">
        <v>6.4870000000000001</v>
      </c>
      <c r="E469">
        <v>7.069</v>
      </c>
      <c r="F469">
        <v>382020.40700000001</v>
      </c>
      <c r="G469">
        <v>0</v>
      </c>
      <c r="L469" t="s">
        <v>8</v>
      </c>
      <c r="M469" t="s">
        <v>8</v>
      </c>
      <c r="N469" t="s">
        <v>7</v>
      </c>
      <c r="P469">
        <f t="shared" si="979"/>
        <v>0.15019762845849821</v>
      </c>
      <c r="Q469">
        <f t="shared" si="980"/>
        <v>57378.559154150273</v>
      </c>
      <c r="R469">
        <f t="shared" si="981"/>
        <v>-1714855.8930988591</v>
      </c>
      <c r="S469">
        <f t="shared" si="982"/>
        <v>-17.148558930988592</v>
      </c>
      <c r="T469">
        <f t="shared" si="983"/>
        <v>-1.7148558930988593E-2</v>
      </c>
    </row>
    <row r="470" spans="1:20" x14ac:dyDescent="0.25">
      <c r="A470" s="5">
        <v>44123</v>
      </c>
      <c r="B470">
        <v>7.6150000000000002</v>
      </c>
      <c r="C470">
        <v>7.6150000000000002</v>
      </c>
      <c r="D470">
        <v>6</v>
      </c>
      <c r="E470">
        <v>7.306</v>
      </c>
      <c r="F470">
        <v>171855.86799999999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0.61733746130030942</v>
      </c>
      <c r="Q470">
        <f t="shared" si="980"/>
        <v>106093.06526068108</v>
      </c>
      <c r="R470">
        <f t="shared" si="981"/>
        <v>-1772234.4522530094</v>
      </c>
      <c r="S470">
        <f t="shared" si="982"/>
        <v>-17.722344522530094</v>
      </c>
      <c r="T470">
        <f t="shared" si="983"/>
        <v>-1.7722344522530093E-2</v>
      </c>
    </row>
    <row r="471" spans="1:20" x14ac:dyDescent="0.25">
      <c r="A471" s="5">
        <v>44122</v>
      </c>
      <c r="B471">
        <v>7.6449999999999996</v>
      </c>
      <c r="C471">
        <v>7.73</v>
      </c>
      <c r="D471">
        <v>7.4960000000000004</v>
      </c>
      <c r="E471">
        <v>7.6120000000000001</v>
      </c>
      <c r="F471">
        <v>89012.129000000001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-8.5470085470114015E-3</v>
      </c>
      <c r="Q471">
        <f t="shared" si="980"/>
        <v>-760.78742735068147</v>
      </c>
      <c r="R471">
        <f t="shared" si="981"/>
        <v>-1878327.5175136905</v>
      </c>
      <c r="S471">
        <f t="shared" si="982"/>
        <v>-18.783275175136904</v>
      </c>
      <c r="T471">
        <f t="shared" si="983"/>
        <v>-1.8783275175136904E-2</v>
      </c>
    </row>
    <row r="472" spans="1:20" x14ac:dyDescent="0.25">
      <c r="A472" s="5">
        <v>44121</v>
      </c>
      <c r="B472">
        <v>7.3920000000000003</v>
      </c>
      <c r="C472">
        <v>7.7130000000000001</v>
      </c>
      <c r="D472">
        <v>7.359</v>
      </c>
      <c r="E472">
        <v>7.641</v>
      </c>
      <c r="F472">
        <v>110989.47900000001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0.5932203389830506</v>
      </c>
      <c r="Q472">
        <f t="shared" si="980"/>
        <v>65841.216355932178</v>
      </c>
      <c r="R472">
        <f t="shared" si="981"/>
        <v>-1877566.7300863399</v>
      </c>
      <c r="S472">
        <f t="shared" si="982"/>
        <v>-18.7756673008634</v>
      </c>
      <c r="T472">
        <f t="shared" si="983"/>
        <v>-1.87756673008634E-2</v>
      </c>
    </row>
    <row r="473" spans="1:20" x14ac:dyDescent="0.25">
      <c r="A473" s="5">
        <v>44120</v>
      </c>
      <c r="B473">
        <v>7.899</v>
      </c>
      <c r="C473">
        <v>7.899</v>
      </c>
      <c r="D473">
        <v>7</v>
      </c>
      <c r="E473">
        <v>7.3920000000000003</v>
      </c>
      <c r="F473">
        <v>232527.78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-0.12791991101223507</v>
      </c>
      <c r="Q473">
        <f t="shared" si="980"/>
        <v>-29744.932925472574</v>
      </c>
      <c r="R473">
        <f t="shared" si="981"/>
        <v>-1943407.946442272</v>
      </c>
      <c r="S473">
        <f t="shared" si="982"/>
        <v>-19.434079464422719</v>
      </c>
      <c r="T473">
        <f t="shared" si="983"/>
        <v>-1.9434079464422719E-2</v>
      </c>
    </row>
    <row r="474" spans="1:20" x14ac:dyDescent="0.25">
      <c r="A474" s="5">
        <v>44119</v>
      </c>
      <c r="B474">
        <v>7.9880000000000004</v>
      </c>
      <c r="C474">
        <v>7.9950000000000001</v>
      </c>
      <c r="D474">
        <v>7.7009999999999996</v>
      </c>
      <c r="E474">
        <v>7.8970000000000002</v>
      </c>
      <c r="F474">
        <v>160408.30900000001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0.33333333333333537</v>
      </c>
      <c r="Q474">
        <f t="shared" si="980"/>
        <v>53469.436333333666</v>
      </c>
      <c r="R474">
        <f t="shared" si="981"/>
        <v>-1913663.0135167995</v>
      </c>
      <c r="S474">
        <f t="shared" si="982"/>
        <v>-19.136630135167994</v>
      </c>
      <c r="T474">
        <f t="shared" si="983"/>
        <v>-1.9136630135167993E-2</v>
      </c>
    </row>
    <row r="475" spans="1:20" x14ac:dyDescent="0.25">
      <c r="A475" s="5">
        <v>44118</v>
      </c>
      <c r="B475">
        <v>7.9470000000000001</v>
      </c>
      <c r="C475">
        <v>8.35</v>
      </c>
      <c r="D475">
        <v>7.73</v>
      </c>
      <c r="E475">
        <v>7.9880000000000004</v>
      </c>
      <c r="F475">
        <v>218088.552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-0.1677419354838699</v>
      </c>
      <c r="Q475">
        <f t="shared" si="980"/>
        <v>-36582.595819354603</v>
      </c>
      <c r="R475">
        <f t="shared" si="981"/>
        <v>-1967132.4498501332</v>
      </c>
      <c r="S475">
        <f t="shared" si="982"/>
        <v>-19.671324498501331</v>
      </c>
      <c r="T475">
        <f t="shared" si="983"/>
        <v>-1.9671324498501331E-2</v>
      </c>
    </row>
    <row r="476" spans="1:20" x14ac:dyDescent="0.25">
      <c r="A476" s="5">
        <v>44117</v>
      </c>
      <c r="B476">
        <v>8.0109999999999992</v>
      </c>
      <c r="C476">
        <v>8.1739999999999995</v>
      </c>
      <c r="D476">
        <v>7.8540000000000001</v>
      </c>
      <c r="E476">
        <v>7.944</v>
      </c>
      <c r="F476">
        <v>158387.86600000001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-0.43749999999999983</v>
      </c>
      <c r="Q476">
        <f t="shared" si="980"/>
        <v>-69294.69137499998</v>
      </c>
      <c r="R476">
        <f t="shared" si="981"/>
        <v>-1930549.8540307786</v>
      </c>
      <c r="S476">
        <f t="shared" si="982"/>
        <v>-19.305498540307788</v>
      </c>
      <c r="T476">
        <f t="shared" si="983"/>
        <v>-1.9305498540307789E-2</v>
      </c>
    </row>
    <row r="477" spans="1:20" x14ac:dyDescent="0.25">
      <c r="A477" s="5">
        <v>44116</v>
      </c>
      <c r="B477">
        <v>8.1709999999999994</v>
      </c>
      <c r="C477">
        <v>8.2040000000000006</v>
      </c>
      <c r="D477">
        <v>7.8049999999999997</v>
      </c>
      <c r="E477">
        <v>8.0129999999999999</v>
      </c>
      <c r="F477">
        <v>205471.103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4.2606516290725364E-2</v>
      </c>
      <c r="Q477">
        <f t="shared" si="980"/>
        <v>8754.4078972428088</v>
      </c>
      <c r="R477">
        <f t="shared" si="981"/>
        <v>-1861255.1626557787</v>
      </c>
      <c r="S477">
        <f t="shared" si="982"/>
        <v>-18.612551626557789</v>
      </c>
      <c r="T477">
        <f t="shared" si="983"/>
        <v>-1.861255162655779E-2</v>
      </c>
    </row>
    <row r="478" spans="1:20" x14ac:dyDescent="0.25">
      <c r="A478" s="5">
        <v>44115</v>
      </c>
      <c r="B478">
        <v>7.7729999999999997</v>
      </c>
      <c r="C478">
        <v>8.1999999999999993</v>
      </c>
      <c r="D478">
        <v>7.56</v>
      </c>
      <c r="E478">
        <v>8.1709999999999994</v>
      </c>
      <c r="F478">
        <v>208123.84299999999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0.90937500000000027</v>
      </c>
      <c r="Q478">
        <f t="shared" si="980"/>
        <v>189262.61972812505</v>
      </c>
      <c r="R478">
        <f t="shared" si="981"/>
        <v>-1870009.5705530215</v>
      </c>
      <c r="S478">
        <f t="shared" si="982"/>
        <v>-18.700095705530217</v>
      </c>
      <c r="T478">
        <f t="shared" si="983"/>
        <v>-1.8700095705530217E-2</v>
      </c>
    </row>
    <row r="479" spans="1:20" x14ac:dyDescent="0.25">
      <c r="A479" s="5">
        <v>44114</v>
      </c>
      <c r="B479">
        <v>7.9089999999999998</v>
      </c>
      <c r="C479">
        <v>8.0990000000000002</v>
      </c>
      <c r="D479">
        <v>7.7069999999999999</v>
      </c>
      <c r="E479">
        <v>7.7720000000000002</v>
      </c>
      <c r="F479">
        <v>201326.95300000001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-0.66836734693877387</v>
      </c>
      <c r="Q479">
        <f t="shared" si="980"/>
        <v>-134560.36144387722</v>
      </c>
      <c r="R479">
        <f t="shared" si="981"/>
        <v>-2059272.1902811467</v>
      </c>
      <c r="S479">
        <f t="shared" si="982"/>
        <v>-20.592721902811466</v>
      </c>
      <c r="T479">
        <f t="shared" si="983"/>
        <v>-2.0592721902811466E-2</v>
      </c>
    </row>
    <row r="480" spans="1:20" x14ac:dyDescent="0.25">
      <c r="A480" s="5">
        <v>44113</v>
      </c>
      <c r="B480">
        <v>7.4829999999999997</v>
      </c>
      <c r="C480">
        <v>8.1329999999999991</v>
      </c>
      <c r="D480">
        <v>7.3070000000000004</v>
      </c>
      <c r="E480">
        <v>7.907</v>
      </c>
      <c r="F480">
        <v>342420.46600000001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0.4527845036319626</v>
      </c>
      <c r="Q480">
        <f t="shared" si="980"/>
        <v>155042.68073123533</v>
      </c>
      <c r="R480">
        <f t="shared" si="981"/>
        <v>-1924711.8288372695</v>
      </c>
      <c r="S480">
        <f t="shared" si="982"/>
        <v>-19.247118288372693</v>
      </c>
      <c r="T480">
        <f t="shared" si="983"/>
        <v>-1.9247118288372694E-2</v>
      </c>
    </row>
    <row r="481" spans="1:20" x14ac:dyDescent="0.25">
      <c r="A481" s="5">
        <v>44112</v>
      </c>
      <c r="B481">
        <v>7.8</v>
      </c>
      <c r="C481">
        <v>7.8</v>
      </c>
      <c r="D481">
        <v>6.9850000000000003</v>
      </c>
      <c r="E481">
        <v>7.48</v>
      </c>
      <c r="F481">
        <v>421929.2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0.21472392638036911</v>
      </c>
      <c r="Q481">
        <f t="shared" si="980"/>
        <v>90598.294478528042</v>
      </c>
      <c r="R481">
        <f t="shared" si="981"/>
        <v>-2079754.5095685048</v>
      </c>
      <c r="S481">
        <f t="shared" si="982"/>
        <v>-20.797545095685049</v>
      </c>
      <c r="T481">
        <f t="shared" si="983"/>
        <v>-2.0797545095685047E-2</v>
      </c>
    </row>
    <row r="482" spans="1:20" x14ac:dyDescent="0.25">
      <c r="A482" s="5">
        <v>44111</v>
      </c>
      <c r="B482">
        <v>6.9359999999999999</v>
      </c>
      <c r="C482">
        <v>7.8</v>
      </c>
      <c r="D482">
        <v>6.4649999999999999</v>
      </c>
      <c r="E482">
        <v>7.8</v>
      </c>
      <c r="F482">
        <v>408268.30900000001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1</v>
      </c>
      <c r="Q482">
        <f t="shared" si="980"/>
        <v>408268.30900000001</v>
      </c>
      <c r="R482">
        <f t="shared" si="981"/>
        <v>-2170352.8040470327</v>
      </c>
      <c r="S482">
        <f t="shared" si="982"/>
        <v>-21.703528040470328</v>
      </c>
      <c r="T482">
        <f t="shared" si="983"/>
        <v>-2.1703528040470328E-2</v>
      </c>
    </row>
    <row r="483" spans="1:20" x14ac:dyDescent="0.25">
      <c r="A483" s="5">
        <v>44110</v>
      </c>
      <c r="B483">
        <v>8.4649999999999999</v>
      </c>
      <c r="C483">
        <v>8.4819999999999993</v>
      </c>
      <c r="D483">
        <v>6.835</v>
      </c>
      <c r="E483">
        <v>6.931</v>
      </c>
      <c r="F483">
        <v>463618.77799999999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-0.88342440801457178</v>
      </c>
      <c r="Q483">
        <f t="shared" si="980"/>
        <v>-409572.14449908916</v>
      </c>
      <c r="R483">
        <f t="shared" si="981"/>
        <v>-2578621.1130470326</v>
      </c>
      <c r="S483">
        <f t="shared" si="982"/>
        <v>-25.786211130470328</v>
      </c>
      <c r="T483">
        <f t="shared" si="983"/>
        <v>-2.5786211130470329E-2</v>
      </c>
    </row>
    <row r="484" spans="1:20" x14ac:dyDescent="0.25">
      <c r="A484" s="5">
        <v>44109</v>
      </c>
      <c r="B484">
        <v>9.0259999999999998</v>
      </c>
      <c r="C484">
        <v>9.1189999999999998</v>
      </c>
      <c r="D484">
        <v>7.98</v>
      </c>
      <c r="E484">
        <v>8.4610000000000003</v>
      </c>
      <c r="F484">
        <v>383505.57199999999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-0.15539947322212441</v>
      </c>
      <c r="Q484">
        <f t="shared" si="980"/>
        <v>-59596.563866549506</v>
      </c>
      <c r="R484">
        <f t="shared" si="981"/>
        <v>-2169048.9685479435</v>
      </c>
      <c r="S484">
        <f t="shared" si="982"/>
        <v>-21.690489685479434</v>
      </c>
      <c r="T484">
        <f t="shared" si="983"/>
        <v>-2.1690489685479434E-2</v>
      </c>
    </row>
    <row r="485" spans="1:20" x14ac:dyDescent="0.25">
      <c r="A485" s="5">
        <v>44108</v>
      </c>
      <c r="B485">
        <v>9.06</v>
      </c>
      <c r="C485">
        <v>9.2889999999999997</v>
      </c>
      <c r="D485">
        <v>8.8699999999999992</v>
      </c>
      <c r="E485">
        <v>9.0359999999999996</v>
      </c>
      <c r="F485">
        <v>130155.65399999999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-0.2076372315035791</v>
      </c>
      <c r="Q485">
        <f t="shared" si="980"/>
        <v>-27025.159661097739</v>
      </c>
      <c r="R485">
        <f t="shared" si="981"/>
        <v>-2109452.4046813939</v>
      </c>
      <c r="S485">
        <f t="shared" si="982"/>
        <v>-21.094524046813937</v>
      </c>
      <c r="T485">
        <f t="shared" si="983"/>
        <v>-2.1094524046813938E-2</v>
      </c>
    </row>
    <row r="486" spans="1:20" x14ac:dyDescent="0.25">
      <c r="A486" s="5">
        <v>44107</v>
      </c>
      <c r="B486">
        <v>9.4120000000000008</v>
      </c>
      <c r="C486">
        <v>9.5589999999999993</v>
      </c>
      <c r="D486">
        <v>9.0120000000000005</v>
      </c>
      <c r="E486">
        <v>9.08</v>
      </c>
      <c r="F486">
        <v>107649.592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-0.7513711151736755</v>
      </c>
      <c r="Q486">
        <f t="shared" si="980"/>
        <v>-80884.793989031183</v>
      </c>
      <c r="R486">
        <f t="shared" si="981"/>
        <v>-2082427.2450202962</v>
      </c>
      <c r="S486">
        <f t="shared" si="982"/>
        <v>-20.824272450202962</v>
      </c>
      <c r="T486">
        <f t="shared" si="983"/>
        <v>-2.0824272450202963E-2</v>
      </c>
    </row>
    <row r="487" spans="1:20" x14ac:dyDescent="0.25">
      <c r="A487" s="5">
        <v>44106</v>
      </c>
      <c r="B487">
        <v>10.276</v>
      </c>
      <c r="C487">
        <v>10.3</v>
      </c>
      <c r="D487">
        <v>8.9</v>
      </c>
      <c r="E487">
        <v>9.4120000000000008</v>
      </c>
      <c r="F487">
        <v>311290.22100000002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-0.26857142857142813</v>
      </c>
      <c r="Q487">
        <f t="shared" si="980"/>
        <v>-83603.659354285584</v>
      </c>
      <c r="R487">
        <f t="shared" si="981"/>
        <v>-2001542.4510312651</v>
      </c>
      <c r="S487">
        <f t="shared" si="982"/>
        <v>-20.015424510312652</v>
      </c>
      <c r="T487">
        <f t="shared" si="983"/>
        <v>-2.0015424510312654E-2</v>
      </c>
    </row>
    <row r="488" spans="1:20" x14ac:dyDescent="0.25">
      <c r="A488" s="5">
        <v>44105</v>
      </c>
      <c r="B488">
        <v>10.364000000000001</v>
      </c>
      <c r="C488">
        <v>10.971</v>
      </c>
      <c r="D488">
        <v>10</v>
      </c>
      <c r="E488">
        <v>10.276999999999999</v>
      </c>
      <c r="F488">
        <v>367176.321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-0.4294541709577771</v>
      </c>
      <c r="Q488">
        <f t="shared" si="980"/>
        <v>-157685.40253038163</v>
      </c>
      <c r="R488">
        <f t="shared" si="981"/>
        <v>-1917938.7916769795</v>
      </c>
      <c r="S488">
        <f t="shared" si="982"/>
        <v>-19.179387916769794</v>
      </c>
      <c r="T488">
        <f t="shared" si="983"/>
        <v>-1.9179387916769795E-2</v>
      </c>
    </row>
    <row r="489" spans="1:20" x14ac:dyDescent="0.25">
      <c r="A489" s="5">
        <v>44104</v>
      </c>
      <c r="B489">
        <v>10.259</v>
      </c>
      <c r="C489">
        <v>10.621</v>
      </c>
      <c r="D489">
        <v>10.07</v>
      </c>
      <c r="E489">
        <v>10.36</v>
      </c>
      <c r="F489">
        <v>249872.64199999999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5.2631578947365025E-2</v>
      </c>
      <c r="Q489">
        <f t="shared" si="980"/>
        <v>13151.191684209678</v>
      </c>
      <c r="R489">
        <f t="shared" si="981"/>
        <v>-1760253.3891465978</v>
      </c>
      <c r="S489">
        <f t="shared" si="982"/>
        <v>-17.602533891465978</v>
      </c>
      <c r="T489">
        <f t="shared" si="983"/>
        <v>-1.7602533891465977E-2</v>
      </c>
    </row>
    <row r="490" spans="1:20" x14ac:dyDescent="0.25">
      <c r="A490" s="5">
        <v>44103</v>
      </c>
      <c r="B490">
        <v>9.9860000000000007</v>
      </c>
      <c r="C490">
        <v>10.333</v>
      </c>
      <c r="D490">
        <v>9.9290000000000003</v>
      </c>
      <c r="E490">
        <v>10.256</v>
      </c>
      <c r="F490">
        <v>191159.37899999999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0.61881188118811892</v>
      </c>
      <c r="Q490">
        <f t="shared" si="980"/>
        <v>118291.69492574259</v>
      </c>
      <c r="R490">
        <f t="shared" si="981"/>
        <v>-1773404.5808308076</v>
      </c>
      <c r="S490">
        <f t="shared" si="982"/>
        <v>-17.734045808308075</v>
      </c>
      <c r="T490">
        <f t="shared" si="983"/>
        <v>-1.7734045808308074E-2</v>
      </c>
    </row>
    <row r="491" spans="1:20" x14ac:dyDescent="0.25">
      <c r="A491" s="5">
        <v>44102</v>
      </c>
      <c r="B491">
        <v>10.028</v>
      </c>
      <c r="C491">
        <v>10.5</v>
      </c>
      <c r="D491">
        <v>9.85</v>
      </c>
      <c r="E491">
        <v>10.005000000000001</v>
      </c>
      <c r="F491">
        <v>207119.04199999999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-0.52307692307691989</v>
      </c>
      <c r="Q491">
        <f t="shared" si="980"/>
        <v>-108339.19119999933</v>
      </c>
      <c r="R491">
        <f t="shared" si="981"/>
        <v>-1891696.2757565503</v>
      </c>
      <c r="S491">
        <f t="shared" si="982"/>
        <v>-18.916962757565503</v>
      </c>
      <c r="T491">
        <f t="shared" si="983"/>
        <v>-1.8916962757565502E-2</v>
      </c>
    </row>
    <row r="492" spans="1:20" x14ac:dyDescent="0.25">
      <c r="A492" s="5">
        <v>44101</v>
      </c>
      <c r="B492">
        <v>10.398</v>
      </c>
      <c r="C492">
        <v>10.494</v>
      </c>
      <c r="D492">
        <v>9.5950000000000006</v>
      </c>
      <c r="E492">
        <v>10.028</v>
      </c>
      <c r="F492">
        <v>223667.481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-3.670745272524973E-2</v>
      </c>
      <c r="Q492">
        <f t="shared" si="980"/>
        <v>-8210.263484983192</v>
      </c>
      <c r="R492">
        <f t="shared" si="981"/>
        <v>-1783357.084556551</v>
      </c>
      <c r="S492">
        <f t="shared" si="982"/>
        <v>-17.833570845565511</v>
      </c>
      <c r="T492">
        <f t="shared" si="983"/>
        <v>-1.783357084556551E-2</v>
      </c>
    </row>
    <row r="493" spans="1:20" x14ac:dyDescent="0.25">
      <c r="A493" s="5">
        <v>44100</v>
      </c>
      <c r="B493">
        <v>9.9969999999999999</v>
      </c>
      <c r="C493">
        <v>10.8</v>
      </c>
      <c r="D493">
        <v>9.9540000000000006</v>
      </c>
      <c r="E493">
        <v>10.396000000000001</v>
      </c>
      <c r="F493">
        <v>226023.60699999999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4.4917257683215431E-2</v>
      </c>
      <c r="Q493">
        <f t="shared" si="980"/>
        <v>10152.360598108815</v>
      </c>
      <c r="R493">
        <f t="shared" si="981"/>
        <v>-1775146.8210715677</v>
      </c>
      <c r="S493">
        <f t="shared" si="982"/>
        <v>-17.751468210715679</v>
      </c>
      <c r="T493">
        <f t="shared" si="983"/>
        <v>-1.775146821071568E-2</v>
      </c>
    </row>
    <row r="494" spans="1:20" x14ac:dyDescent="0.25">
      <c r="A494" s="5">
        <v>44099</v>
      </c>
      <c r="B494">
        <v>9.2279999999999998</v>
      </c>
      <c r="C494">
        <v>10.492000000000001</v>
      </c>
      <c r="D494">
        <v>9.1389999999999993</v>
      </c>
      <c r="E494">
        <v>9.9969999999999999</v>
      </c>
      <c r="F494">
        <v>338990.44799999997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0.26829268292682862</v>
      </c>
      <c r="Q494">
        <f t="shared" si="980"/>
        <v>90948.656780487581</v>
      </c>
      <c r="R494">
        <f t="shared" si="981"/>
        <v>-1785299.1816696764</v>
      </c>
      <c r="S494">
        <f t="shared" si="982"/>
        <v>-17.852991816696765</v>
      </c>
      <c r="T494">
        <f t="shared" si="983"/>
        <v>-1.7852991816696764E-2</v>
      </c>
    </row>
    <row r="495" spans="1:20" x14ac:dyDescent="0.25">
      <c r="A495" s="5">
        <v>44098</v>
      </c>
      <c r="B495">
        <v>8.8130000000000006</v>
      </c>
      <c r="C495">
        <v>9.2490000000000006</v>
      </c>
      <c r="D495">
        <v>8.7070000000000007</v>
      </c>
      <c r="E495">
        <v>9.2249999999999996</v>
      </c>
      <c r="F495">
        <v>346683.88900000002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0.91143911439114056</v>
      </c>
      <c r="Q495">
        <f t="shared" si="980"/>
        <v>315981.25676383649</v>
      </c>
      <c r="R495">
        <f t="shared" si="981"/>
        <v>-1876247.8384501641</v>
      </c>
      <c r="S495">
        <f t="shared" si="982"/>
        <v>-18.762478384501641</v>
      </c>
      <c r="T495">
        <f t="shared" si="983"/>
        <v>-1.8762478384501641E-2</v>
      </c>
    </row>
    <row r="496" spans="1:20" x14ac:dyDescent="0.25">
      <c r="A496" s="5">
        <v>44097</v>
      </c>
      <c r="B496">
        <v>8.6959999999999997</v>
      </c>
      <c r="C496">
        <v>9.5</v>
      </c>
      <c r="D496">
        <v>8.3000000000000007</v>
      </c>
      <c r="E496">
        <v>8.8119999999999994</v>
      </c>
      <c r="F496">
        <v>570671.09400000004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-0.14666666666666836</v>
      </c>
      <c r="Q496">
        <f t="shared" si="980"/>
        <v>-83698.427120000968</v>
      </c>
      <c r="R496">
        <f t="shared" si="981"/>
        <v>-2192229.0952140004</v>
      </c>
      <c r="S496">
        <f t="shared" si="982"/>
        <v>-21.922290952140003</v>
      </c>
      <c r="T496">
        <f t="shared" si="983"/>
        <v>-2.1922290952140003E-2</v>
      </c>
    </row>
    <row r="497" spans="1:20" x14ac:dyDescent="0.25">
      <c r="A497" s="5">
        <v>44096</v>
      </c>
      <c r="B497">
        <v>8.8219999999999992</v>
      </c>
      <c r="C497">
        <v>9.1020000000000003</v>
      </c>
      <c r="D497">
        <v>8.1539999999999999</v>
      </c>
      <c r="E497">
        <v>8.7089999999999996</v>
      </c>
      <c r="F497">
        <v>333320.967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0.170886075949366</v>
      </c>
      <c r="Q497">
        <f t="shared" si="980"/>
        <v>56959.912082278119</v>
      </c>
      <c r="R497">
        <f t="shared" si="981"/>
        <v>-2108530.6680939994</v>
      </c>
      <c r="S497">
        <f t="shared" si="982"/>
        <v>-21.085306680939993</v>
      </c>
      <c r="T497">
        <f t="shared" si="983"/>
        <v>-2.1085306680939993E-2</v>
      </c>
    </row>
    <row r="498" spans="1:20" x14ac:dyDescent="0.25">
      <c r="A498" s="5">
        <v>44095</v>
      </c>
      <c r="B498">
        <v>10.693</v>
      </c>
      <c r="C498">
        <v>11</v>
      </c>
      <c r="D498">
        <v>8.4209999999999994</v>
      </c>
      <c r="E498">
        <v>8.8079999999999998</v>
      </c>
      <c r="F498">
        <v>554514.39199999999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-0.69988367584334987</v>
      </c>
      <c r="Q498">
        <f t="shared" si="980"/>
        <v>-388095.57098100026</v>
      </c>
      <c r="R498">
        <f t="shared" si="981"/>
        <v>-2165490.5801762776</v>
      </c>
      <c r="S498">
        <f t="shared" si="982"/>
        <v>-21.654905801762776</v>
      </c>
      <c r="T498">
        <f t="shared" si="983"/>
        <v>-2.1654905801762776E-2</v>
      </c>
    </row>
    <row r="499" spans="1:20" x14ac:dyDescent="0.25">
      <c r="A499" s="5">
        <v>44094</v>
      </c>
      <c r="B499">
        <v>11.943</v>
      </c>
      <c r="C499">
        <v>12.196</v>
      </c>
      <c r="D499">
        <v>9.7720000000000002</v>
      </c>
      <c r="E499">
        <v>10.717000000000001</v>
      </c>
      <c r="F499">
        <v>251154.3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-0.22029702970296991</v>
      </c>
      <c r="Q499">
        <f t="shared" si="980"/>
        <v>-55328.546287128614</v>
      </c>
      <c r="R499">
        <f t="shared" si="981"/>
        <v>-1777395.0091952775</v>
      </c>
      <c r="S499">
        <f t="shared" si="982"/>
        <v>-17.773950091952774</v>
      </c>
      <c r="T499">
        <f t="shared" si="983"/>
        <v>-1.7773950091952772E-2</v>
      </c>
    </row>
    <row r="500" spans="1:20" x14ac:dyDescent="0.25">
      <c r="A500" s="5">
        <v>44093</v>
      </c>
      <c r="B500">
        <v>11.22</v>
      </c>
      <c r="C500">
        <v>12.231</v>
      </c>
      <c r="D500">
        <v>11.183999999999999</v>
      </c>
      <c r="E500">
        <v>11.95</v>
      </c>
      <c r="F500">
        <v>194755.02900000001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0.46322827125119309</v>
      </c>
      <c r="Q500">
        <f t="shared" si="980"/>
        <v>90216.035401145986</v>
      </c>
      <c r="R500">
        <f t="shared" si="981"/>
        <v>-1722066.4629081488</v>
      </c>
      <c r="S500">
        <f t="shared" si="982"/>
        <v>-17.220664629081487</v>
      </c>
      <c r="T500">
        <f t="shared" si="983"/>
        <v>-1.7220664629081485E-2</v>
      </c>
    </row>
    <row r="501" spans="1:20" x14ac:dyDescent="0.25">
      <c r="A501" s="5">
        <v>44092</v>
      </c>
      <c r="B501">
        <v>12.036</v>
      </c>
      <c r="C501">
        <v>12.304</v>
      </c>
      <c r="D501">
        <v>10.8</v>
      </c>
      <c r="E501">
        <v>11.22</v>
      </c>
      <c r="F501">
        <v>203521.00200000001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-0.4414893617021276</v>
      </c>
      <c r="Q501">
        <f t="shared" si="980"/>
        <v>-89852.357265957442</v>
      </c>
      <c r="R501">
        <f t="shared" si="981"/>
        <v>-1812282.4983092947</v>
      </c>
      <c r="S501">
        <f t="shared" si="982"/>
        <v>-18.122824983092947</v>
      </c>
      <c r="T501">
        <f t="shared" si="983"/>
        <v>-1.8122824983092947E-2</v>
      </c>
    </row>
    <row r="502" spans="1:20" x14ac:dyDescent="0.25">
      <c r="A502" s="5">
        <v>44091</v>
      </c>
      <c r="B502">
        <v>12.605</v>
      </c>
      <c r="C502">
        <v>12.869</v>
      </c>
      <c r="D502">
        <v>11.750999999999999</v>
      </c>
      <c r="E502">
        <v>12.058</v>
      </c>
      <c r="F502">
        <v>163528.78599999999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-0.45080500894454328</v>
      </c>
      <c r="Q502">
        <f t="shared" si="980"/>
        <v>-73719.595835420303</v>
      </c>
      <c r="R502">
        <f t="shared" si="981"/>
        <v>-1722430.1410433373</v>
      </c>
      <c r="S502">
        <f t="shared" si="982"/>
        <v>-17.224301410433373</v>
      </c>
      <c r="T502">
        <f t="shared" si="983"/>
        <v>-1.7224301410433372E-2</v>
      </c>
    </row>
    <row r="503" spans="1:20" x14ac:dyDescent="0.25">
      <c r="A503" s="5">
        <v>44090</v>
      </c>
      <c r="B503">
        <v>13.045</v>
      </c>
      <c r="C503">
        <v>13.047000000000001</v>
      </c>
      <c r="D503">
        <v>11.818</v>
      </c>
      <c r="E503">
        <v>12.584</v>
      </c>
      <c r="F503">
        <v>230372.60500000001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0.24654190398698031</v>
      </c>
      <c r="Q503">
        <f t="shared" si="980"/>
        <v>56796.500663140541</v>
      </c>
      <c r="R503">
        <f t="shared" si="981"/>
        <v>-1648710.545207917</v>
      </c>
      <c r="S503">
        <f t="shared" si="982"/>
        <v>-16.48710545207917</v>
      </c>
      <c r="T503">
        <f t="shared" si="983"/>
        <v>-1.6487105452079171E-2</v>
      </c>
    </row>
    <row r="504" spans="1:20" x14ac:dyDescent="0.25">
      <c r="A504" s="5">
        <v>44089</v>
      </c>
      <c r="B504">
        <v>13.971</v>
      </c>
      <c r="C504">
        <v>14.939</v>
      </c>
      <c r="D504">
        <v>12.852</v>
      </c>
      <c r="E504">
        <v>13.045</v>
      </c>
      <c r="F504">
        <v>459694.614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-0.81504551988500273</v>
      </c>
      <c r="Q504">
        <f t="shared" si="980"/>
        <v>-374672.03565596568</v>
      </c>
      <c r="R504">
        <f t="shared" si="981"/>
        <v>-1705507.0458710575</v>
      </c>
      <c r="S504">
        <f t="shared" si="982"/>
        <v>-17.055070458710574</v>
      </c>
      <c r="T504">
        <f t="shared" si="983"/>
        <v>-1.7055070458710575E-2</v>
      </c>
    </row>
    <row r="505" spans="1:20" x14ac:dyDescent="0.25">
      <c r="A505" s="5">
        <v>44088</v>
      </c>
      <c r="B505">
        <v>13.305999999999999</v>
      </c>
      <c r="C505">
        <v>14.4</v>
      </c>
      <c r="D505">
        <v>12.420999999999999</v>
      </c>
      <c r="E505">
        <v>13.971</v>
      </c>
      <c r="F505">
        <v>397255.36599999998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0.56644770085901963</v>
      </c>
      <c r="Q505">
        <f t="shared" si="980"/>
        <v>225024.38872460835</v>
      </c>
      <c r="R505">
        <f t="shared" si="981"/>
        <v>-1330835.0102150918</v>
      </c>
      <c r="S505">
        <f t="shared" si="982"/>
        <v>-13.308350102150918</v>
      </c>
      <c r="T505">
        <f t="shared" si="983"/>
        <v>-1.3308350102150918E-2</v>
      </c>
    </row>
    <row r="506" spans="1:20" x14ac:dyDescent="0.25">
      <c r="A506" s="5">
        <v>44087</v>
      </c>
      <c r="B506">
        <v>13.914</v>
      </c>
      <c r="C506">
        <v>14.3</v>
      </c>
      <c r="D506">
        <v>12.801</v>
      </c>
      <c r="E506">
        <v>13.305999999999999</v>
      </c>
      <c r="F506">
        <v>138944.53400000001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-0.32621747831888082</v>
      </c>
      <c r="Q506">
        <f t="shared" si="980"/>
        <v>-45326.135507672006</v>
      </c>
      <c r="R506">
        <f t="shared" si="981"/>
        <v>-1555859.3989397001</v>
      </c>
      <c r="S506">
        <f t="shared" si="982"/>
        <v>-15.558593989397002</v>
      </c>
      <c r="T506">
        <f t="shared" si="983"/>
        <v>-1.5558593989397003E-2</v>
      </c>
    </row>
    <row r="507" spans="1:20" x14ac:dyDescent="0.25">
      <c r="A507" s="5">
        <v>44086</v>
      </c>
      <c r="B507">
        <v>14.297000000000001</v>
      </c>
      <c r="C507">
        <v>14.41</v>
      </c>
      <c r="D507">
        <v>13.131</v>
      </c>
      <c r="E507">
        <v>13.917</v>
      </c>
      <c r="F507">
        <v>132860.394</v>
      </c>
      <c r="G507">
        <v>0</v>
      </c>
      <c r="L507" t="s">
        <v>7</v>
      </c>
      <c r="M507" t="s">
        <v>7</v>
      </c>
      <c r="N507" t="s">
        <v>7</v>
      </c>
      <c r="P507">
        <f t="shared" si="979"/>
        <v>0.22908522283033564</v>
      </c>
      <c r="Q507">
        <f t="shared" si="980"/>
        <v>30436.352964816189</v>
      </c>
      <c r="R507">
        <f t="shared" si="981"/>
        <v>-1510533.263432028</v>
      </c>
      <c r="S507">
        <f t="shared" si="982"/>
        <v>-15.105332634320281</v>
      </c>
      <c r="T507">
        <f t="shared" si="983"/>
        <v>-1.5105332634320281E-2</v>
      </c>
    </row>
    <row r="508" spans="1:20" x14ac:dyDescent="0.25">
      <c r="A508" s="5">
        <v>44085</v>
      </c>
      <c r="B508">
        <v>13.939</v>
      </c>
      <c r="C508">
        <v>15.294</v>
      </c>
      <c r="D508">
        <v>13.483000000000001</v>
      </c>
      <c r="E508">
        <v>14.308</v>
      </c>
      <c r="F508">
        <v>174345.177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-8.8901159580343114E-2</v>
      </c>
      <c r="Q508">
        <f t="shared" si="980"/>
        <v>-15499.488402540166</v>
      </c>
      <c r="R508">
        <f t="shared" si="981"/>
        <v>-1540969.6163968442</v>
      </c>
      <c r="S508">
        <f t="shared" si="982"/>
        <v>-15.409696163968441</v>
      </c>
      <c r="T508">
        <f t="shared" si="983"/>
        <v>-1.540969616396844E-2</v>
      </c>
    </row>
    <row r="509" spans="1:20" x14ac:dyDescent="0.25">
      <c r="A509" s="5">
        <v>44084</v>
      </c>
      <c r="B509">
        <v>15.101000000000001</v>
      </c>
      <c r="C509">
        <v>15.67</v>
      </c>
      <c r="D509">
        <v>13.8</v>
      </c>
      <c r="E509">
        <v>13.939</v>
      </c>
      <c r="F509">
        <v>341379.56900000002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-0.85133689839572257</v>
      </c>
      <c r="Q509">
        <f t="shared" si="980"/>
        <v>-290629.0234481286</v>
      </c>
      <c r="R509">
        <f t="shared" si="981"/>
        <v>-1525470.1279943041</v>
      </c>
      <c r="S509">
        <f t="shared" si="982"/>
        <v>-15.25470127994304</v>
      </c>
      <c r="T509">
        <f t="shared" si="983"/>
        <v>-1.525470127994304E-2</v>
      </c>
    </row>
    <row r="510" spans="1:20" x14ac:dyDescent="0.25">
      <c r="A510" s="5">
        <v>44083</v>
      </c>
      <c r="B510">
        <v>14.042999999999999</v>
      </c>
      <c r="C510">
        <v>15.356999999999999</v>
      </c>
      <c r="D510">
        <v>13.686999999999999</v>
      </c>
      <c r="E510">
        <v>15.084</v>
      </c>
      <c r="F510">
        <v>518817.84100000001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0.67305389221556922</v>
      </c>
      <c r="Q510">
        <f t="shared" si="980"/>
        <v>349192.36723592831</v>
      </c>
      <c r="R510">
        <f t="shared" si="981"/>
        <v>-1234841.1045461753</v>
      </c>
      <c r="S510">
        <f t="shared" si="982"/>
        <v>-12.348411045461754</v>
      </c>
      <c r="T510">
        <f t="shared" si="983"/>
        <v>-1.2348411045461754E-2</v>
      </c>
    </row>
    <row r="511" spans="1:20" x14ac:dyDescent="0.25">
      <c r="A511" s="5">
        <v>44082</v>
      </c>
      <c r="B511">
        <v>13.221</v>
      </c>
      <c r="C511">
        <v>15.494999999999999</v>
      </c>
      <c r="D511">
        <v>13.206</v>
      </c>
      <c r="E511">
        <v>14.026999999999999</v>
      </c>
      <c r="F511">
        <v>877143.66700000002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-0.28265618173875068</v>
      </c>
      <c r="Q511">
        <f t="shared" si="980"/>
        <v>-247930.0797505462</v>
      </c>
      <c r="R511">
        <f t="shared" si="981"/>
        <v>-1584033.4717821036</v>
      </c>
      <c r="S511">
        <f t="shared" si="982"/>
        <v>-15.840334717821037</v>
      </c>
      <c r="T511">
        <f t="shared" si="983"/>
        <v>-1.5840334717821036E-2</v>
      </c>
    </row>
    <row r="512" spans="1:20" x14ac:dyDescent="0.25">
      <c r="A512" s="5">
        <v>44081</v>
      </c>
      <c r="B512">
        <v>13.37</v>
      </c>
      <c r="C512">
        <v>13.653</v>
      </c>
      <c r="D512">
        <v>11.507999999999999</v>
      </c>
      <c r="E512">
        <v>13.218999999999999</v>
      </c>
      <c r="F512">
        <v>563541.47400000005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0.59533799533799459</v>
      </c>
      <c r="Q512">
        <f t="shared" si="980"/>
        <v>335497.6514209786</v>
      </c>
      <c r="R512">
        <f t="shared" si="981"/>
        <v>-1336103.3920315574</v>
      </c>
      <c r="S512">
        <f t="shared" si="982"/>
        <v>-13.361033920315574</v>
      </c>
      <c r="T512">
        <f t="shared" si="983"/>
        <v>-1.3361033920315573E-2</v>
      </c>
    </row>
    <row r="513" spans="1:20" x14ac:dyDescent="0.25">
      <c r="A513" s="5">
        <v>44080</v>
      </c>
      <c r="B513">
        <v>12.324</v>
      </c>
      <c r="C513">
        <v>16</v>
      </c>
      <c r="D513">
        <v>11.276999999999999</v>
      </c>
      <c r="E513">
        <v>13.368</v>
      </c>
      <c r="F513">
        <v>523442.995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-0.11454583950878647</v>
      </c>
      <c r="Q513">
        <f t="shared" si="980"/>
        <v>-59958.217297268515</v>
      </c>
      <c r="R513">
        <f t="shared" si="981"/>
        <v>-1671601.043452536</v>
      </c>
      <c r="S513">
        <f t="shared" si="982"/>
        <v>-16.716010434525359</v>
      </c>
      <c r="T513">
        <f t="shared" si="983"/>
        <v>-1.671601043452536E-2</v>
      </c>
    </row>
    <row r="514" spans="1:20" x14ac:dyDescent="0.25">
      <c r="A514" s="5">
        <v>44079</v>
      </c>
      <c r="B514">
        <v>17.587</v>
      </c>
      <c r="C514">
        <v>17.702999999999999</v>
      </c>
      <c r="D514">
        <v>10.199999999999999</v>
      </c>
      <c r="E514">
        <v>12.321</v>
      </c>
      <c r="F514">
        <v>695421.07499999995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-0.4346261495401838</v>
      </c>
      <c r="Q514">
        <f t="shared" si="980"/>
        <v>-302248.18413634534</v>
      </c>
      <c r="R514">
        <f t="shared" si="981"/>
        <v>-1611642.8261552674</v>
      </c>
      <c r="S514">
        <f t="shared" si="982"/>
        <v>-16.116428261552674</v>
      </c>
      <c r="T514">
        <f t="shared" si="983"/>
        <v>-1.6116428261552674E-2</v>
      </c>
    </row>
    <row r="515" spans="1:20" x14ac:dyDescent="0.25">
      <c r="A515" s="5">
        <v>44078</v>
      </c>
      <c r="B515">
        <v>17.754999999999999</v>
      </c>
      <c r="C515">
        <v>20.5</v>
      </c>
      <c r="D515">
        <v>16.71</v>
      </c>
      <c r="E515">
        <v>17.582999999999998</v>
      </c>
      <c r="F515">
        <v>584233.85100000002</v>
      </c>
      <c r="G515">
        <v>0</v>
      </c>
      <c r="L515" t="s">
        <v>8</v>
      </c>
      <c r="M515" t="s">
        <v>8</v>
      </c>
      <c r="N515" t="s">
        <v>8</v>
      </c>
      <c r="P515">
        <f t="shared" si="979"/>
        <v>-0.53931398416886667</v>
      </c>
      <c r="Q515">
        <f t="shared" si="980"/>
        <v>-315085.48586913</v>
      </c>
      <c r="R515">
        <f t="shared" si="981"/>
        <v>-1309394.6420189221</v>
      </c>
      <c r="S515">
        <f t="shared" si="982"/>
        <v>-13.093946420189221</v>
      </c>
      <c r="T515">
        <f t="shared" si="983"/>
        <v>-1.3093946420189221E-2</v>
      </c>
    </row>
    <row r="516" spans="1:20" x14ac:dyDescent="0.25">
      <c r="A516" s="5">
        <v>44077</v>
      </c>
      <c r="B516">
        <v>19.71</v>
      </c>
      <c r="C516">
        <v>35</v>
      </c>
      <c r="D516">
        <v>16.707999999999998</v>
      </c>
      <c r="E516">
        <v>17.751999999999999</v>
      </c>
      <c r="F516">
        <v>1122432.923</v>
      </c>
      <c r="G516">
        <v>0</v>
      </c>
      <c r="P516">
        <f t="shared" si="979"/>
        <v>-0.88585173846490262</v>
      </c>
      <c r="Q516">
        <f t="shared" si="980"/>
        <v>-994309.15614979214</v>
      </c>
      <c r="R516">
        <f t="shared" si="981"/>
        <v>-994309.15614979214</v>
      </c>
      <c r="S516">
        <f t="shared" si="982"/>
        <v>-9.9430915614979209</v>
      </c>
      <c r="T516">
        <f t="shared" si="983"/>
        <v>-9.9430915614979205E-3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Z338" sqref="IZ33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$A$337</v>
      </c>
      <c r="D111" s="1" t="str">
        <f>ADDRESS(C121-1,D121,1,1)</f>
        <v>$IZ$337</v>
      </c>
      <c r="E111"/>
    </row>
    <row r="112" spans="1:5" x14ac:dyDescent="0.25">
      <c r="A112" s="7">
        <v>12164.144957890772</v>
      </c>
      <c r="C112" s="1" t="str">
        <f>ADDRESS(C121,1,1,1)</f>
        <v>$A$338</v>
      </c>
      <c r="D112" s="1" t="str">
        <f>ADDRESS(C121,D121-1,1,1)</f>
        <v>$IY$338</v>
      </c>
      <c r="E112"/>
    </row>
    <row r="113" spans="1:5" x14ac:dyDescent="0.25">
      <c r="A113" s="7">
        <v>11925.63231165762</v>
      </c>
      <c r="C113" s="1" t="str">
        <f>ADDRESS(C121+1,1,1,1)</f>
        <v>$A$339</v>
      </c>
      <c r="D113" s="1" t="str">
        <f>ADDRESS(C121-1,D121+1,1,1)</f>
        <v>$JA$337</v>
      </c>
    </row>
    <row r="114" spans="1:5" x14ac:dyDescent="0.25">
      <c r="A114" s="7">
        <v>11691.796383978059</v>
      </c>
      <c r="C114" s="1" t="str">
        <f>ADDRESS(C121,D121,1,1)</f>
        <v>$IZ$338</v>
      </c>
      <c r="D114" s="1" t="str">
        <f>ADDRESS(C121+1,D121+1,1,1)</f>
        <v>$JA$339</v>
      </c>
    </row>
    <row r="115" spans="1:5" x14ac:dyDescent="0.25">
      <c r="A115" s="7">
        <v>11462.545474488292</v>
      </c>
      <c r="C115" s="1" t="str">
        <f>ADDRESS(C121+1,D121,1,1)</f>
        <v>$IZ$339</v>
      </c>
    </row>
    <row r="116" spans="1:5" x14ac:dyDescent="0.25">
      <c r="A116" s="7">
        <v>11237.789680870874</v>
      </c>
      <c r="C116" s="1">
        <f>C117-1</f>
        <v>337</v>
      </c>
    </row>
    <row r="117" spans="1:5" x14ac:dyDescent="0.25">
      <c r="A117" s="7">
        <v>11017.440863598895</v>
      </c>
      <c r="C117" s="1">
        <f>C121</f>
        <v>338</v>
      </c>
      <c r="D117" s="1">
        <f>D121</f>
        <v>260</v>
      </c>
    </row>
    <row r="118" spans="1:5" x14ac:dyDescent="0.25">
      <c r="A118" s="7">
        <v>10801.412611371465</v>
      </c>
      <c r="C118" s="1">
        <f>C117+1</f>
        <v>339</v>
      </c>
      <c r="D118" s="1">
        <f>D117+1</f>
        <v>261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338</v>
      </c>
      <c r="D121" s="19">
        <v>260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R338</v>
      </c>
      <c r="D123" s="1" t="str">
        <f>"C"&amp;D121</f>
        <v>C260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138.4977661683229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234" x14ac:dyDescent="0.25">
      <c r="A257" s="7">
        <v>688.74218085310292</v>
      </c>
      <c r="B257"/>
      <c r="C257"/>
      <c r="D257"/>
      <c r="E257"/>
    </row>
    <row r="258" spans="1:234" x14ac:dyDescent="0.25">
      <c r="A258" s="7">
        <v>675.23743220892447</v>
      </c>
      <c r="B258"/>
      <c r="C258"/>
      <c r="D258"/>
      <c r="E258"/>
    </row>
    <row r="259" spans="1:234" x14ac:dyDescent="0.25">
      <c r="A259" s="7">
        <v>661.9974825577691</v>
      </c>
      <c r="B259"/>
      <c r="C259"/>
      <c r="D259"/>
      <c r="E259"/>
    </row>
    <row r="260" spans="1:234" x14ac:dyDescent="0.25">
      <c r="A260" s="7">
        <v>649.0171397625187</v>
      </c>
      <c r="B260"/>
      <c r="C260"/>
      <c r="D260"/>
      <c r="E260"/>
    </row>
    <row r="261" spans="1:234" x14ac:dyDescent="0.25">
      <c r="A261" s="7">
        <v>636.29131349266538</v>
      </c>
      <c r="B261"/>
      <c r="C261"/>
      <c r="D261"/>
      <c r="E261"/>
    </row>
    <row r="262" spans="1:234" x14ac:dyDescent="0.25">
      <c r="A262" s="7">
        <v>623.81501322810334</v>
      </c>
      <c r="B262"/>
      <c r="C262"/>
      <c r="D262"/>
      <c r="E262"/>
    </row>
    <row r="263" spans="1:234" x14ac:dyDescent="0.25">
      <c r="A263" s="7">
        <v>611.58334630206207</v>
      </c>
      <c r="B263"/>
      <c r="C263"/>
      <c r="D263"/>
      <c r="E263"/>
    </row>
    <row r="264" spans="1:234" x14ac:dyDescent="0.25">
      <c r="A264" s="7">
        <v>599.59151598241374</v>
      </c>
      <c r="B264"/>
      <c r="C264"/>
      <c r="D264"/>
      <c r="E264"/>
    </row>
    <row r="265" spans="1:234" x14ac:dyDescent="0.25">
      <c r="A265" s="7">
        <v>587.83481959060168</v>
      </c>
      <c r="B265"/>
      <c r="C265"/>
      <c r="D265"/>
      <c r="E265"/>
    </row>
    <row r="266" spans="1:234" x14ac:dyDescent="0.25">
      <c r="A266" s="7">
        <v>576.30864665745264</v>
      </c>
      <c r="B266"/>
      <c r="C266"/>
      <c r="D266"/>
      <c r="E266"/>
    </row>
    <row r="267" spans="1:234" x14ac:dyDescent="0.25">
      <c r="A267" s="7">
        <v>565.00847711514962</v>
      </c>
      <c r="B267"/>
      <c r="C267"/>
      <c r="D267"/>
      <c r="E267"/>
    </row>
    <row r="268" spans="1:234" x14ac:dyDescent="0.25">
      <c r="A268" s="7">
        <v>553.92987952465649</v>
      </c>
      <c r="B268"/>
      <c r="C268"/>
      <c r="D268"/>
      <c r="E268"/>
    </row>
    <row r="269" spans="1:234" x14ac:dyDescent="0.25">
      <c r="A269" s="7">
        <v>543.06850933789849</v>
      </c>
      <c r="B269"/>
      <c r="C269"/>
      <c r="D269"/>
      <c r="E269"/>
      <c r="HY269" s="27" t="s">
        <v>8</v>
      </c>
    </row>
    <row r="270" spans="1:234" x14ac:dyDescent="0.25">
      <c r="A270" s="7">
        <v>532.4201071940181</v>
      </c>
      <c r="B270"/>
      <c r="C270"/>
      <c r="D270"/>
      <c r="E270"/>
      <c r="HY270" s="27" t="s">
        <v>8</v>
      </c>
      <c r="HZ270" s="27" t="s">
        <v>7</v>
      </c>
    </row>
    <row r="271" spans="1:234" x14ac:dyDescent="0.25">
      <c r="A271" s="7">
        <v>521.9804972490374</v>
      </c>
      <c r="B271"/>
      <c r="C271"/>
      <c r="D271"/>
      <c r="E271"/>
      <c r="HY271" s="27" t="s">
        <v>8</v>
      </c>
      <c r="HZ271" s="27" t="s">
        <v>7</v>
      </c>
    </row>
    <row r="272" spans="1:234" x14ac:dyDescent="0.25">
      <c r="A272" s="7">
        <v>511.74558553827194</v>
      </c>
      <c r="B272"/>
      <c r="C272"/>
      <c r="D272"/>
      <c r="E272"/>
      <c r="HY272" s="27" t="s">
        <v>8</v>
      </c>
      <c r="HZ272" s="27" t="s">
        <v>7</v>
      </c>
    </row>
    <row r="273" spans="1:236" x14ac:dyDescent="0.25">
      <c r="A273" s="7">
        <v>501.71135837085484</v>
      </c>
      <c r="B273"/>
      <c r="C273"/>
      <c r="D273"/>
      <c r="E273"/>
      <c r="HY273" s="27" t="s">
        <v>8</v>
      </c>
      <c r="HZ273" s="27" t="s">
        <v>7</v>
      </c>
    </row>
    <row r="274" spans="1:236" x14ac:dyDescent="0.25">
      <c r="A274" s="7">
        <v>491.87388075574</v>
      </c>
      <c r="B274"/>
      <c r="C274"/>
      <c r="D274"/>
      <c r="E274"/>
      <c r="HY274" s="27" t="s">
        <v>8</v>
      </c>
      <c r="HZ274" s="27" t="s">
        <v>7</v>
      </c>
    </row>
    <row r="275" spans="1:236" x14ac:dyDescent="0.25">
      <c r="A275" s="7">
        <v>482.22929485856861</v>
      </c>
      <c r="B275"/>
      <c r="C275"/>
      <c r="D275"/>
      <c r="E275"/>
      <c r="HY275" s="27" t="s">
        <v>8</v>
      </c>
      <c r="HZ275" s="27" t="s">
        <v>7</v>
      </c>
    </row>
    <row r="276" spans="1:236" x14ac:dyDescent="0.25">
      <c r="A276" s="7">
        <v>472.77381848879276</v>
      </c>
      <c r="B276"/>
      <c r="C276"/>
      <c r="D276"/>
      <c r="E276"/>
      <c r="HY276" s="27" t="s">
        <v>8</v>
      </c>
      <c r="HZ276" s="27" t="s">
        <v>7</v>
      </c>
    </row>
    <row r="277" spans="1:236" x14ac:dyDescent="0.25">
      <c r="A277" s="7">
        <v>463.50374361646345</v>
      </c>
      <c r="B277"/>
      <c r="C277"/>
      <c r="D277"/>
      <c r="E277"/>
      <c r="HY277" s="27" t="s">
        <v>8</v>
      </c>
      <c r="HZ277" s="27" t="s">
        <v>7</v>
      </c>
    </row>
    <row r="278" spans="1:236" x14ac:dyDescent="0.25">
      <c r="A278" s="7">
        <v>454.41543491810143</v>
      </c>
      <c r="B278"/>
      <c r="C278"/>
      <c r="D278"/>
      <c r="E278"/>
      <c r="HY278" s="27" t="s">
        <v>8</v>
      </c>
      <c r="HZ278" s="27" t="s">
        <v>7</v>
      </c>
    </row>
    <row r="279" spans="1:236" x14ac:dyDescent="0.25">
      <c r="A279" s="7">
        <v>445.50532835107981</v>
      </c>
      <c r="B279"/>
      <c r="C279"/>
      <c r="D279"/>
      <c r="E279"/>
      <c r="HY279" s="27" t="s">
        <v>8</v>
      </c>
      <c r="HZ279" s="27" t="s">
        <v>7</v>
      </c>
      <c r="IA279" s="27" t="s">
        <v>8</v>
      </c>
    </row>
    <row r="280" spans="1:236" x14ac:dyDescent="0.25">
      <c r="A280" s="7">
        <v>436.76992975596062</v>
      </c>
      <c r="B280"/>
      <c r="C280"/>
      <c r="D280"/>
      <c r="E280"/>
      <c r="HY280" s="27" t="s">
        <v>8</v>
      </c>
      <c r="HZ280" s="27" t="s">
        <v>7</v>
      </c>
      <c r="IA280" s="27" t="s">
        <v>8</v>
      </c>
      <c r="IB280" s="27" t="s">
        <v>7</v>
      </c>
    </row>
    <row r="281" spans="1:236" x14ac:dyDescent="0.25">
      <c r="A281" s="7">
        <v>428.20581348623591</v>
      </c>
      <c r="B281"/>
      <c r="C281"/>
      <c r="D281"/>
      <c r="E281"/>
      <c r="HY281" s="27" t="s">
        <v>8</v>
      </c>
      <c r="HZ281" s="27" t="s">
        <v>7</v>
      </c>
      <c r="IA281" s="27" t="s">
        <v>8</v>
      </c>
      <c r="IB281" s="27" t="s">
        <v>7</v>
      </c>
    </row>
    <row r="282" spans="1:236" x14ac:dyDescent="0.25">
      <c r="A282" s="7">
        <v>419.80962106493718</v>
      </c>
      <c r="B282"/>
      <c r="C282"/>
      <c r="D282"/>
      <c r="E282"/>
      <c r="HY282" s="27" t="s">
        <v>8</v>
      </c>
      <c r="HZ282" s="27" t="s">
        <v>7</v>
      </c>
      <c r="IA282" s="27" t="s">
        <v>8</v>
      </c>
      <c r="IB282" s="27" t="s">
        <v>7</v>
      </c>
    </row>
    <row r="283" spans="1:236" x14ac:dyDescent="0.25">
      <c r="A283" s="7">
        <v>411.57805986758547</v>
      </c>
      <c r="B283"/>
      <c r="C283"/>
      <c r="D283"/>
      <c r="E283"/>
      <c r="HY283" s="27" t="s">
        <v>8</v>
      </c>
      <c r="HZ283" s="27" t="s">
        <v>7</v>
      </c>
      <c r="IA283" s="27" t="s">
        <v>8</v>
      </c>
      <c r="IB283" s="27" t="s">
        <v>7</v>
      </c>
    </row>
    <row r="284" spans="1:236" x14ac:dyDescent="0.25">
      <c r="A284" s="7">
        <v>403.50790183096615</v>
      </c>
      <c r="B284"/>
      <c r="C284"/>
      <c r="D284"/>
      <c r="E284"/>
      <c r="HY284" s="27" t="s">
        <v>8</v>
      </c>
      <c r="HZ284" s="27" t="s">
        <v>7</v>
      </c>
      <c r="IA284" s="27" t="s">
        <v>8</v>
      </c>
      <c r="IB284" s="27" t="s">
        <v>7</v>
      </c>
    </row>
    <row r="285" spans="1:236" x14ac:dyDescent="0.25">
      <c r="A285" s="7">
        <v>395.59598218722169</v>
      </c>
      <c r="B285"/>
      <c r="C285"/>
      <c r="D285"/>
      <c r="E285"/>
      <c r="HY285" s="27" t="s">
        <v>8</v>
      </c>
      <c r="HZ285" s="27" t="s">
        <v>7</v>
      </c>
      <c r="IB285" s="27" t="s">
        <v>7</v>
      </c>
    </row>
    <row r="286" spans="1:236" x14ac:dyDescent="0.25">
      <c r="A286" s="7">
        <v>387.83919822276636</v>
      </c>
      <c r="B286"/>
      <c r="C286"/>
      <c r="D286"/>
      <c r="E286"/>
      <c r="HY286" s="27" t="s">
        <v>8</v>
      </c>
      <c r="IB286" s="27" t="s">
        <v>7</v>
      </c>
    </row>
    <row r="287" spans="1:236" x14ac:dyDescent="0.25">
      <c r="A287" s="7">
        <v>380.23450806153562</v>
      </c>
      <c r="B287"/>
      <c r="C287"/>
      <c r="D287"/>
      <c r="E287"/>
      <c r="HY287" s="27" t="s">
        <v>8</v>
      </c>
      <c r="IB287" s="27" t="s">
        <v>7</v>
      </c>
    </row>
    <row r="288" spans="1:236" x14ac:dyDescent="0.25">
      <c r="A288" s="7">
        <v>372.77892947209375</v>
      </c>
      <c r="B288"/>
      <c r="C288"/>
      <c r="D288"/>
      <c r="E288"/>
      <c r="HY288" s="27" t="s">
        <v>8</v>
      </c>
      <c r="IB288" s="27" t="s">
        <v>7</v>
      </c>
    </row>
    <row r="289" spans="1:246" x14ac:dyDescent="0.25">
      <c r="A289" s="7">
        <v>365.46953869813115</v>
      </c>
      <c r="B289"/>
      <c r="C289"/>
      <c r="D289"/>
      <c r="E289"/>
      <c r="HY289" s="27" t="s">
        <v>8</v>
      </c>
      <c r="IB289" s="27" t="s">
        <v>7</v>
      </c>
    </row>
    <row r="290" spans="1:246" x14ac:dyDescent="0.25">
      <c r="A290" s="7">
        <v>358.30346931189325</v>
      </c>
      <c r="B290"/>
      <c r="C290"/>
      <c r="D290"/>
      <c r="E290"/>
      <c r="HY290" s="27" t="s">
        <v>8</v>
      </c>
      <c r="IB290" s="27" t="s">
        <v>7</v>
      </c>
    </row>
    <row r="291" spans="1:246" x14ac:dyDescent="0.25">
      <c r="A291" s="7">
        <v>351.27791109009144</v>
      </c>
      <c r="B291"/>
      <c r="C291"/>
      <c r="D291"/>
      <c r="E291"/>
      <c r="HY291" s="27" t="s">
        <v>8</v>
      </c>
      <c r="IB291" s="27" t="s">
        <v>7</v>
      </c>
    </row>
    <row r="292" spans="1:246" x14ac:dyDescent="0.25">
      <c r="A292" s="7">
        <v>344.39010891185433</v>
      </c>
      <c r="B292"/>
      <c r="C292"/>
      <c r="D292"/>
      <c r="E292"/>
      <c r="HY292" s="27" t="s">
        <v>8</v>
      </c>
      <c r="IB292" s="27" t="s">
        <v>7</v>
      </c>
      <c r="IG292" s="27" t="s">
        <v>8</v>
      </c>
    </row>
    <row r="293" spans="1:246" x14ac:dyDescent="0.25">
      <c r="A293" s="7">
        <v>337.63736167828853</v>
      </c>
      <c r="B293"/>
      <c r="C293"/>
      <c r="D293"/>
      <c r="E293"/>
      <c r="HU293" s="27" t="s">
        <v>8</v>
      </c>
      <c r="HY293" s="27" t="s">
        <v>8</v>
      </c>
      <c r="IB293" s="27" t="s">
        <v>7</v>
      </c>
      <c r="IG293" s="27" t="s">
        <v>8</v>
      </c>
      <c r="IH293" s="27" t="s">
        <v>7</v>
      </c>
    </row>
    <row r="294" spans="1:246" x14ac:dyDescent="0.25">
      <c r="A294" s="7">
        <v>331.01702125322402</v>
      </c>
      <c r="B294"/>
      <c r="C294"/>
      <c r="D294"/>
      <c r="E294"/>
      <c r="HU294" s="27" t="s">
        <v>8</v>
      </c>
      <c r="HV294" s="27" t="s">
        <v>7</v>
      </c>
      <c r="HY294" s="27" t="s">
        <v>8</v>
      </c>
      <c r="IB294" s="27" t="s">
        <v>7</v>
      </c>
      <c r="IG294" s="27" t="s">
        <v>8</v>
      </c>
      <c r="IH294" s="27" t="s">
        <v>7</v>
      </c>
    </row>
    <row r="295" spans="1:246" x14ac:dyDescent="0.25">
      <c r="A295" s="7">
        <v>324.52649142472944</v>
      </c>
      <c r="B295"/>
      <c r="C295"/>
      <c r="D295"/>
      <c r="E295"/>
      <c r="HS295" s="27" t="s">
        <v>8</v>
      </c>
      <c r="HU295" s="27" t="s">
        <v>8</v>
      </c>
      <c r="HV295" s="27" t="s">
        <v>7</v>
      </c>
      <c r="HW295" s="27" t="s">
        <v>8</v>
      </c>
      <c r="HY295" s="27" t="s">
        <v>8</v>
      </c>
      <c r="IB295" s="27" t="s">
        <v>7</v>
      </c>
      <c r="IC295" s="27" t="s">
        <v>8</v>
      </c>
      <c r="IG295" s="27" t="s">
        <v>8</v>
      </c>
      <c r="IH295" s="27" t="s">
        <v>7</v>
      </c>
    </row>
    <row r="296" spans="1:246" x14ac:dyDescent="0.25">
      <c r="A296" s="7">
        <v>318.16322688698966</v>
      </c>
      <c r="B296"/>
      <c r="C296"/>
      <c r="D296"/>
      <c r="E296"/>
      <c r="HS296" s="27" t="s">
        <v>8</v>
      </c>
      <c r="HT296" s="27" t="s">
        <v>7</v>
      </c>
      <c r="HU296" s="27" t="s">
        <v>8</v>
      </c>
      <c r="HV296" s="27" t="s">
        <v>7</v>
      </c>
      <c r="HW296" s="27" t="s">
        <v>8</v>
      </c>
      <c r="HX296" s="27" t="s">
        <v>7</v>
      </c>
      <c r="HY296" s="27" t="s">
        <v>8</v>
      </c>
      <c r="IB296" s="27" t="s">
        <v>7</v>
      </c>
      <c r="IC296" s="27" t="s">
        <v>8</v>
      </c>
      <c r="ID296" s="27" t="s">
        <v>7</v>
      </c>
      <c r="IG296" s="27" t="s">
        <v>8</v>
      </c>
      <c r="IH296" s="27" t="s">
        <v>7</v>
      </c>
    </row>
    <row r="297" spans="1:246" x14ac:dyDescent="0.25">
      <c r="A297" s="7">
        <v>311.92473224214672</v>
      </c>
      <c r="B297"/>
      <c r="C297"/>
      <c r="D297"/>
      <c r="E297"/>
      <c r="HS297" s="27" t="s">
        <v>8</v>
      </c>
      <c r="HT297" s="27" t="s">
        <v>7</v>
      </c>
      <c r="HU297" s="27" t="s">
        <v>8</v>
      </c>
      <c r="HV297" s="27" t="s">
        <v>7</v>
      </c>
      <c r="HW297" s="27" t="s">
        <v>8</v>
      </c>
      <c r="HX297" s="27" t="s">
        <v>7</v>
      </c>
      <c r="HY297" s="27" t="s">
        <v>8</v>
      </c>
      <c r="IB297" s="27" t="s">
        <v>7</v>
      </c>
      <c r="IC297" s="27" t="s">
        <v>8</v>
      </c>
      <c r="ID297" s="27" t="s">
        <v>7</v>
      </c>
      <c r="IE297" s="27" t="s">
        <v>8</v>
      </c>
      <c r="IG297" s="27" t="s">
        <v>8</v>
      </c>
      <c r="IH297" s="27" t="s">
        <v>7</v>
      </c>
    </row>
    <row r="298" spans="1:246" x14ac:dyDescent="0.25">
      <c r="A298" s="7">
        <v>305.80856102171248</v>
      </c>
      <c r="B298"/>
      <c r="C298"/>
      <c r="D298"/>
      <c r="E298"/>
      <c r="HS298" s="27" t="s">
        <v>8</v>
      </c>
      <c r="HT298" s="27" t="s">
        <v>7</v>
      </c>
      <c r="HV298" s="27" t="s">
        <v>7</v>
      </c>
      <c r="HX298" s="27" t="s">
        <v>7</v>
      </c>
      <c r="HY298" s="27" t="s">
        <v>8</v>
      </c>
      <c r="IB298" s="27" t="s">
        <v>7</v>
      </c>
      <c r="IC298" s="27" t="s">
        <v>8</v>
      </c>
      <c r="ID298" s="27" t="s">
        <v>7</v>
      </c>
      <c r="IE298" s="27" t="s">
        <v>8</v>
      </c>
      <c r="IF298" s="27" t="s">
        <v>7</v>
      </c>
      <c r="IG298" s="27" t="s">
        <v>8</v>
      </c>
      <c r="IH298" s="27" t="s">
        <v>7</v>
      </c>
    </row>
    <row r="299" spans="1:246" x14ac:dyDescent="0.25">
      <c r="A299" s="7">
        <v>299.81231472716911</v>
      </c>
      <c r="B299"/>
      <c r="C299"/>
      <c r="D299"/>
      <c r="E299"/>
      <c r="GY299" s="27" t="s">
        <v>8</v>
      </c>
      <c r="HS299" s="27" t="s">
        <v>8</v>
      </c>
      <c r="HX299" s="27" t="s">
        <v>7</v>
      </c>
      <c r="HY299" s="27" t="s">
        <v>8</v>
      </c>
      <c r="IB299" s="27" t="s">
        <v>7</v>
      </c>
      <c r="IC299" s="27" t="s">
        <v>8</v>
      </c>
      <c r="ID299" s="27" t="s">
        <v>7</v>
      </c>
      <c r="IE299" s="27" t="s">
        <v>8</v>
      </c>
      <c r="IF299" s="27" t="s">
        <v>7</v>
      </c>
      <c r="IG299" s="27" t="s">
        <v>8</v>
      </c>
      <c r="IH299" s="27" t="s">
        <v>7</v>
      </c>
    </row>
    <row r="300" spans="1:246" x14ac:dyDescent="0.25">
      <c r="A300" s="7">
        <v>293.93364188938148</v>
      </c>
      <c r="B300"/>
      <c r="C300"/>
      <c r="D300"/>
      <c r="E300"/>
      <c r="GW300" s="27" t="s">
        <v>8</v>
      </c>
      <c r="GY300" s="27" t="s">
        <v>8</v>
      </c>
      <c r="GZ300" s="27" t="s">
        <v>7</v>
      </c>
      <c r="HO300" s="27" t="s">
        <v>8</v>
      </c>
      <c r="HS300" s="27" t="s">
        <v>8</v>
      </c>
      <c r="HX300" s="27" t="s">
        <v>7</v>
      </c>
      <c r="HY300" s="27" t="s">
        <v>8</v>
      </c>
      <c r="IB300" s="27" t="s">
        <v>7</v>
      </c>
      <c r="IC300" s="27" t="s">
        <v>8</v>
      </c>
      <c r="ID300" s="27" t="s">
        <v>7</v>
      </c>
      <c r="IE300" s="27" t="s">
        <v>8</v>
      </c>
      <c r="IF300" s="27" t="s">
        <v>7</v>
      </c>
      <c r="IG300" s="27" t="s">
        <v>8</v>
      </c>
      <c r="IH300" s="27" t="s">
        <v>7</v>
      </c>
    </row>
    <row r="301" spans="1:246" x14ac:dyDescent="0.25">
      <c r="A301" s="7">
        <v>288.17023714645245</v>
      </c>
      <c r="B301"/>
      <c r="C301"/>
      <c r="D301"/>
      <c r="E301"/>
      <c r="GW301" s="27" t="s">
        <v>8</v>
      </c>
      <c r="GX301" s="27" t="s">
        <v>7</v>
      </c>
      <c r="GY301" s="27" t="s">
        <v>8</v>
      </c>
      <c r="GZ301" s="27" t="s">
        <v>7</v>
      </c>
      <c r="HO301" s="27" t="s">
        <v>8</v>
      </c>
      <c r="HP301" s="27" t="s">
        <v>7</v>
      </c>
      <c r="HS301" s="27" t="s">
        <v>8</v>
      </c>
      <c r="HX301" s="27" t="s">
        <v>7</v>
      </c>
      <c r="IB301" s="27" t="s">
        <v>7</v>
      </c>
      <c r="IC301" s="27" t="s">
        <v>8</v>
      </c>
      <c r="ID301" s="27" t="s">
        <v>7</v>
      </c>
      <c r="IE301" s="27" t="s">
        <v>8</v>
      </c>
      <c r="IF301" s="27" t="s">
        <v>7</v>
      </c>
      <c r="IG301" s="27" t="s">
        <v>8</v>
      </c>
      <c r="IH301" s="27" t="s">
        <v>7</v>
      </c>
    </row>
    <row r="302" spans="1:246" x14ac:dyDescent="0.25">
      <c r="A302" s="7">
        <v>282.51984033965925</v>
      </c>
      <c r="B302"/>
      <c r="C302"/>
      <c r="D302"/>
      <c r="E302"/>
      <c r="GW302" s="27" t="s">
        <v>8</v>
      </c>
      <c r="GX302" s="27" t="s">
        <v>7</v>
      </c>
      <c r="GY302" s="27" t="s">
        <v>8</v>
      </c>
      <c r="GZ302" s="27" t="s">
        <v>7</v>
      </c>
      <c r="HO302" s="27" t="s">
        <v>8</v>
      </c>
      <c r="HP302" s="27" t="s">
        <v>7</v>
      </c>
      <c r="HS302" s="27" t="s">
        <v>8</v>
      </c>
      <c r="IB302" s="27" t="s">
        <v>7</v>
      </c>
      <c r="IC302" s="27" t="s">
        <v>8</v>
      </c>
      <c r="ID302" s="27" t="s">
        <v>7</v>
      </c>
      <c r="IE302" s="27" t="s">
        <v>8</v>
      </c>
      <c r="IF302" s="27" t="s">
        <v>7</v>
      </c>
      <c r="IG302" s="27" t="s">
        <v>8</v>
      </c>
      <c r="IH302" s="27" t="s">
        <v>7</v>
      </c>
      <c r="IK302" s="27" t="s">
        <v>8</v>
      </c>
    </row>
    <row r="303" spans="1:246" x14ac:dyDescent="0.25">
      <c r="A303" s="7">
        <v>276.98023562711688</v>
      </c>
      <c r="B303"/>
      <c r="C303"/>
      <c r="D303"/>
      <c r="E303"/>
      <c r="GW303" s="27" t="s">
        <v>8</v>
      </c>
      <c r="GX303" s="27" t="s">
        <v>7</v>
      </c>
      <c r="GY303" s="27" t="s">
        <v>8</v>
      </c>
      <c r="GZ303" s="27" t="s">
        <v>7</v>
      </c>
      <c r="HK303" s="27" t="s">
        <v>8</v>
      </c>
      <c r="HO303" s="27" t="s">
        <v>8</v>
      </c>
      <c r="HP303" s="27" t="s">
        <v>7</v>
      </c>
      <c r="HQ303" s="27" t="s">
        <v>8</v>
      </c>
      <c r="HS303" s="27" t="s">
        <v>8</v>
      </c>
      <c r="IB303" s="27" t="s">
        <v>7</v>
      </c>
      <c r="IC303" s="27" t="s">
        <v>8</v>
      </c>
      <c r="ID303" s="27" t="s">
        <v>7</v>
      </c>
      <c r="IE303" s="27" t="s">
        <v>8</v>
      </c>
      <c r="IF303" s="27" t="s">
        <v>7</v>
      </c>
      <c r="IG303" s="27" t="s">
        <v>8</v>
      </c>
      <c r="IH303" s="27" t="s">
        <v>7</v>
      </c>
      <c r="IK303" s="27" t="s">
        <v>8</v>
      </c>
      <c r="IL303" s="27" t="s">
        <v>7</v>
      </c>
    </row>
    <row r="304" spans="1:246" x14ac:dyDescent="0.25">
      <c r="A304" s="7">
        <v>271.54925061482049</v>
      </c>
      <c r="B304"/>
      <c r="C304"/>
      <c r="D304"/>
      <c r="E304"/>
      <c r="GW304" s="27" t="s">
        <v>8</v>
      </c>
      <c r="GX304" s="27" t="s">
        <v>7</v>
      </c>
      <c r="GY304" s="27" t="s">
        <v>8</v>
      </c>
      <c r="GZ304" s="27" t="s">
        <v>7</v>
      </c>
      <c r="HK304" s="27" t="s">
        <v>8</v>
      </c>
      <c r="HL304" s="27" t="s">
        <v>7</v>
      </c>
      <c r="HO304" s="27" t="s">
        <v>8</v>
      </c>
      <c r="HP304" s="27" t="s">
        <v>7</v>
      </c>
      <c r="HQ304" s="27" t="s">
        <v>8</v>
      </c>
      <c r="HR304" s="27" t="s">
        <v>7</v>
      </c>
      <c r="HS304" s="27" t="s">
        <v>8</v>
      </c>
      <c r="IB304" s="27" t="s">
        <v>7</v>
      </c>
      <c r="IC304" s="27" t="s">
        <v>8</v>
      </c>
      <c r="ID304" s="27" t="s">
        <v>7</v>
      </c>
      <c r="IE304" s="27" t="s">
        <v>8</v>
      </c>
      <c r="IF304" s="27" t="s">
        <v>7</v>
      </c>
      <c r="IG304" s="27" t="s">
        <v>8</v>
      </c>
      <c r="IH304" s="27" t="s">
        <v>7</v>
      </c>
      <c r="IK304" s="27" t="s">
        <v>8</v>
      </c>
      <c r="IL304" s="27" t="s">
        <v>7</v>
      </c>
    </row>
    <row r="305" spans="1:256" x14ac:dyDescent="0.25">
      <c r="A305" s="7">
        <v>266.22475550472598</v>
      </c>
      <c r="B305"/>
      <c r="C305"/>
      <c r="D305"/>
      <c r="E305"/>
      <c r="GW305" s="27" t="s">
        <v>8</v>
      </c>
      <c r="GX305" s="27" t="s">
        <v>7</v>
      </c>
      <c r="GY305" s="27" t="s">
        <v>8</v>
      </c>
      <c r="GZ305" s="27" t="s">
        <v>7</v>
      </c>
      <c r="HK305" s="27" t="s">
        <v>8</v>
      </c>
      <c r="HL305" s="27" t="s">
        <v>7</v>
      </c>
      <c r="HO305" s="27" t="s">
        <v>8</v>
      </c>
      <c r="HP305" s="27" t="s">
        <v>7</v>
      </c>
      <c r="HQ305" s="27" t="s">
        <v>8</v>
      </c>
      <c r="HR305" s="27" t="s">
        <v>7</v>
      </c>
      <c r="HS305" s="27" t="s">
        <v>8</v>
      </c>
      <c r="IB305" s="27" t="s">
        <v>7</v>
      </c>
      <c r="IC305" s="27" t="s">
        <v>8</v>
      </c>
      <c r="ID305" s="27" t="s">
        <v>7</v>
      </c>
      <c r="IF305" s="27" t="s">
        <v>7</v>
      </c>
      <c r="IG305" s="27" t="s">
        <v>8</v>
      </c>
      <c r="IH305" s="27" t="s">
        <v>7</v>
      </c>
      <c r="II305" s="27" t="s">
        <v>8</v>
      </c>
      <c r="IK305" s="27" t="s">
        <v>8</v>
      </c>
      <c r="IL305" s="27" t="s">
        <v>7</v>
      </c>
    </row>
    <row r="306" spans="1:256" x14ac:dyDescent="0.25">
      <c r="A306" s="7">
        <v>261.00466225953528</v>
      </c>
      <c r="B306"/>
      <c r="C306"/>
      <c r="D306"/>
      <c r="E306"/>
      <c r="GW306" s="27" t="s">
        <v>8</v>
      </c>
      <c r="GX306" s="27" t="s">
        <v>7</v>
      </c>
      <c r="GY306" s="27" t="s">
        <v>8</v>
      </c>
      <c r="GZ306" s="27" t="s">
        <v>7</v>
      </c>
      <c r="HK306" s="27" t="s">
        <v>8</v>
      </c>
      <c r="HL306" s="27" t="s">
        <v>7</v>
      </c>
      <c r="HO306" s="27" t="s">
        <v>8</v>
      </c>
      <c r="HP306" s="27" t="s">
        <v>7</v>
      </c>
      <c r="HQ306" s="27" t="s">
        <v>8</v>
      </c>
      <c r="HR306" s="27" t="s">
        <v>7</v>
      </c>
      <c r="HS306" s="27" t="s">
        <v>8</v>
      </c>
      <c r="IB306" s="27" t="s">
        <v>7</v>
      </c>
      <c r="IC306" s="27" t="s">
        <v>8</v>
      </c>
      <c r="IF306" s="27" t="s">
        <v>7</v>
      </c>
      <c r="IG306" s="27" t="s">
        <v>8</v>
      </c>
      <c r="IH306" s="27" t="s">
        <v>7</v>
      </c>
      <c r="II306" s="27" t="s">
        <v>8</v>
      </c>
      <c r="IJ306" s="27" t="s">
        <v>7</v>
      </c>
      <c r="IK306" s="27" t="s">
        <v>8</v>
      </c>
      <c r="IL306" s="27" t="s">
        <v>7</v>
      </c>
    </row>
    <row r="307" spans="1:256" x14ac:dyDescent="0.25">
      <c r="A307" s="7">
        <v>255.88692378385809</v>
      </c>
      <c r="B307"/>
      <c r="C307"/>
      <c r="D307"/>
      <c r="E307"/>
      <c r="GW307" s="27" t="s">
        <v>8</v>
      </c>
      <c r="GX307" s="27" t="s">
        <v>7</v>
      </c>
      <c r="GY307" s="27" t="s">
        <v>8</v>
      </c>
      <c r="GZ307" s="27" t="s">
        <v>7</v>
      </c>
      <c r="HA307" s="27" t="s">
        <v>8</v>
      </c>
      <c r="HG307" s="27" t="s">
        <v>8</v>
      </c>
      <c r="HK307" s="27" t="s">
        <v>8</v>
      </c>
      <c r="HL307" s="27" t="s">
        <v>7</v>
      </c>
      <c r="HO307" s="27" t="s">
        <v>8</v>
      </c>
      <c r="HP307" s="27" t="s">
        <v>7</v>
      </c>
      <c r="HQ307" s="27" t="s">
        <v>8</v>
      </c>
      <c r="HR307" s="27" t="s">
        <v>7</v>
      </c>
      <c r="IB307" s="27" t="s">
        <v>7</v>
      </c>
      <c r="IC307" s="27" t="s">
        <v>8</v>
      </c>
      <c r="IF307" s="27" t="s">
        <v>7</v>
      </c>
      <c r="IG307" s="27" t="s">
        <v>8</v>
      </c>
      <c r="IH307" s="27" t="s">
        <v>7</v>
      </c>
      <c r="II307" s="27" t="s">
        <v>8</v>
      </c>
      <c r="IJ307" s="27" t="s">
        <v>7</v>
      </c>
      <c r="IK307" s="27" t="s">
        <v>8</v>
      </c>
      <c r="IL307" s="27" t="s">
        <v>7</v>
      </c>
    </row>
    <row r="308" spans="1:256" x14ac:dyDescent="0.25">
      <c r="A308" s="7">
        <v>250.8695331214295</v>
      </c>
      <c r="B308"/>
      <c r="C308"/>
      <c r="D308"/>
      <c r="E308"/>
      <c r="GW308" s="27" t="s">
        <v>8</v>
      </c>
      <c r="GX308" s="27" t="s">
        <v>7</v>
      </c>
      <c r="GZ308" s="27" t="s">
        <v>7</v>
      </c>
      <c r="HA308" s="27" t="s">
        <v>8</v>
      </c>
      <c r="HB308" s="27" t="s">
        <v>7</v>
      </c>
      <c r="HG308" s="27" t="s">
        <v>8</v>
      </c>
      <c r="HH308" s="27" t="s">
        <v>7</v>
      </c>
      <c r="HI308" s="27" t="s">
        <v>8</v>
      </c>
      <c r="HK308" s="27" t="s">
        <v>8</v>
      </c>
      <c r="HL308" s="27" t="s">
        <v>7</v>
      </c>
      <c r="HM308" s="27" t="s">
        <v>8</v>
      </c>
      <c r="HO308" s="27" t="s">
        <v>8</v>
      </c>
      <c r="HP308" s="27" t="s">
        <v>7</v>
      </c>
      <c r="HQ308" s="27" t="s">
        <v>8</v>
      </c>
      <c r="IB308" s="27" t="s">
        <v>7</v>
      </c>
      <c r="IC308" s="27" t="s">
        <v>8</v>
      </c>
      <c r="IF308" s="27" t="s">
        <v>7</v>
      </c>
      <c r="IG308" s="27" t="s">
        <v>8</v>
      </c>
      <c r="IH308" s="27" t="s">
        <v>7</v>
      </c>
      <c r="II308" s="27" t="s">
        <v>8</v>
      </c>
      <c r="IJ308" s="27" t="s">
        <v>7</v>
      </c>
      <c r="IK308" s="27" t="s">
        <v>8</v>
      </c>
      <c r="IL308" s="27" t="s">
        <v>7</v>
      </c>
      <c r="IM308" s="27" t="s">
        <v>8</v>
      </c>
    </row>
    <row r="309" spans="1:256" x14ac:dyDescent="0.25">
      <c r="A309" s="7">
        <v>245.95052266806812</v>
      </c>
      <c r="B309"/>
      <c r="C309"/>
      <c r="D309"/>
      <c r="E309"/>
      <c r="GW309" s="27" t="s">
        <v>8</v>
      </c>
      <c r="GZ309" s="27" t="s">
        <v>7</v>
      </c>
      <c r="HA309" s="27" t="s">
        <v>8</v>
      </c>
      <c r="HB309" s="27" t="s">
        <v>7</v>
      </c>
      <c r="HG309" s="27" t="s">
        <v>8</v>
      </c>
      <c r="HH309" s="27" t="s">
        <v>7</v>
      </c>
      <c r="HI309" s="27" t="s">
        <v>8</v>
      </c>
      <c r="HJ309" s="27" t="s">
        <v>7</v>
      </c>
      <c r="HK309" s="27" t="s">
        <v>8</v>
      </c>
      <c r="HL309" s="27" t="s">
        <v>7</v>
      </c>
      <c r="HM309" s="27" t="s">
        <v>8</v>
      </c>
      <c r="HN309" s="27" t="s">
        <v>7</v>
      </c>
      <c r="HO309" s="27" t="s">
        <v>8</v>
      </c>
      <c r="HP309" s="27" t="s">
        <v>7</v>
      </c>
      <c r="HQ309" s="27" t="s">
        <v>8</v>
      </c>
      <c r="IB309" s="27" t="s">
        <v>7</v>
      </c>
      <c r="IC309" s="27" t="s">
        <v>8</v>
      </c>
      <c r="IF309" s="27" t="s">
        <v>7</v>
      </c>
      <c r="IG309" s="27" t="s">
        <v>8</v>
      </c>
      <c r="IH309" s="27" t="s">
        <v>7</v>
      </c>
      <c r="II309" s="27" t="s">
        <v>8</v>
      </c>
      <c r="IJ309" s="27" t="s">
        <v>7</v>
      </c>
      <c r="IL309" s="27" t="s">
        <v>7</v>
      </c>
      <c r="IM309" s="27" t="s">
        <v>8</v>
      </c>
      <c r="IN309" s="27" t="s">
        <v>7</v>
      </c>
    </row>
    <row r="310" spans="1:256" x14ac:dyDescent="0.25">
      <c r="A310" s="7">
        <v>241.12796340006679</v>
      </c>
      <c r="B310"/>
      <c r="C310"/>
      <c r="D310"/>
      <c r="E310"/>
      <c r="DS310" s="27" t="s">
        <v>8</v>
      </c>
      <c r="GW310" s="27" t="s">
        <v>8</v>
      </c>
      <c r="GZ310" s="27" t="s">
        <v>7</v>
      </c>
      <c r="HA310" s="27" t="s">
        <v>8</v>
      </c>
      <c r="HB310" s="27" t="s">
        <v>7</v>
      </c>
      <c r="HG310" s="27" t="s">
        <v>8</v>
      </c>
      <c r="HH310" s="27" t="s">
        <v>7</v>
      </c>
      <c r="HI310" s="27" t="s">
        <v>8</v>
      </c>
      <c r="HJ310" s="27" t="s">
        <v>7</v>
      </c>
      <c r="HK310" s="27" t="s">
        <v>8</v>
      </c>
      <c r="HL310" s="27" t="s">
        <v>7</v>
      </c>
      <c r="HM310" s="27" t="s">
        <v>8</v>
      </c>
      <c r="HN310" s="27" t="s">
        <v>7</v>
      </c>
      <c r="HO310" s="27" t="s">
        <v>8</v>
      </c>
      <c r="HP310" s="27" t="s">
        <v>7</v>
      </c>
      <c r="HQ310" s="27" t="s">
        <v>8</v>
      </c>
      <c r="IB310" s="27" t="s">
        <v>7</v>
      </c>
      <c r="IC310" s="27" t="s">
        <v>8</v>
      </c>
      <c r="IF310" s="27" t="s">
        <v>7</v>
      </c>
      <c r="IG310" s="27" t="s">
        <v>8</v>
      </c>
      <c r="IH310" s="27" t="s">
        <v>7</v>
      </c>
      <c r="II310" s="27" t="s">
        <v>8</v>
      </c>
      <c r="IL310" s="27" t="s">
        <v>7</v>
      </c>
      <c r="IM310" s="27" t="s">
        <v>8</v>
      </c>
      <c r="IN310" s="27" t="s">
        <v>7</v>
      </c>
    </row>
    <row r="311" spans="1:256" x14ac:dyDescent="0.25">
      <c r="A311" s="7">
        <v>236.39996411771253</v>
      </c>
      <c r="B311"/>
      <c r="C311"/>
      <c r="D311"/>
      <c r="E311"/>
      <c r="DS311" s="27" t="s">
        <v>8</v>
      </c>
      <c r="DT311" s="27" t="s">
        <v>7</v>
      </c>
      <c r="DU311" s="27" t="s">
        <v>8</v>
      </c>
      <c r="GW311" s="27" t="s">
        <v>8</v>
      </c>
      <c r="GZ311" s="27" t="s">
        <v>7</v>
      </c>
      <c r="HA311" s="27" t="s">
        <v>8</v>
      </c>
      <c r="HB311" s="27" t="s">
        <v>7</v>
      </c>
      <c r="HC311" s="27" t="s">
        <v>8</v>
      </c>
      <c r="HG311" s="27" t="s">
        <v>8</v>
      </c>
      <c r="HH311" s="27" t="s">
        <v>7</v>
      </c>
      <c r="HJ311" s="27" t="s">
        <v>7</v>
      </c>
      <c r="HK311" s="27" t="s">
        <v>8</v>
      </c>
      <c r="HL311" s="27" t="s">
        <v>7</v>
      </c>
      <c r="HM311" s="27" t="s">
        <v>8</v>
      </c>
      <c r="HN311" s="27" t="s">
        <v>7</v>
      </c>
      <c r="HO311" s="27" t="s">
        <v>8</v>
      </c>
      <c r="HP311" s="27" t="s">
        <v>7</v>
      </c>
      <c r="HQ311" s="27" t="s">
        <v>8</v>
      </c>
      <c r="IB311" s="27" t="s">
        <v>7</v>
      </c>
      <c r="IC311" s="27" t="s">
        <v>8</v>
      </c>
      <c r="IF311" s="27" t="s">
        <v>7</v>
      </c>
      <c r="IG311" s="27" t="s">
        <v>8</v>
      </c>
      <c r="IH311" s="27" t="s">
        <v>7</v>
      </c>
      <c r="II311" s="27" t="s">
        <v>8</v>
      </c>
      <c r="IL311" s="27" t="s">
        <v>7</v>
      </c>
      <c r="IN311" s="27" t="s">
        <v>7</v>
      </c>
    </row>
    <row r="312" spans="1:256" x14ac:dyDescent="0.25">
      <c r="A312" s="7">
        <v>231.76467070363972</v>
      </c>
      <c r="B312"/>
      <c r="C312"/>
      <c r="D312"/>
      <c r="E312"/>
      <c r="DS312" s="27" t="s">
        <v>8</v>
      </c>
      <c r="DT312" s="27" t="s">
        <v>7</v>
      </c>
      <c r="DU312" s="27" t="s">
        <v>8</v>
      </c>
      <c r="DV312" s="27" t="s">
        <v>7</v>
      </c>
      <c r="GW312" s="27" t="s">
        <v>8</v>
      </c>
      <c r="GZ312" s="27" t="s">
        <v>7</v>
      </c>
      <c r="HA312" s="27" t="s">
        <v>8</v>
      </c>
      <c r="HB312" s="27" t="s">
        <v>7</v>
      </c>
      <c r="HC312" s="27" t="s">
        <v>8</v>
      </c>
      <c r="HD312" s="27" t="s">
        <v>7</v>
      </c>
      <c r="HE312" s="27" t="s">
        <v>8</v>
      </c>
      <c r="HG312" s="27" t="s">
        <v>8</v>
      </c>
      <c r="HJ312" s="27" t="s">
        <v>7</v>
      </c>
      <c r="HK312" s="27" t="s">
        <v>8</v>
      </c>
      <c r="HL312" s="27" t="s">
        <v>7</v>
      </c>
      <c r="HM312" s="27" t="s">
        <v>8</v>
      </c>
      <c r="HN312" s="27" t="s">
        <v>7</v>
      </c>
      <c r="HO312" s="27" t="s">
        <v>8</v>
      </c>
      <c r="HP312" s="27" t="s">
        <v>7</v>
      </c>
      <c r="HQ312" s="27" t="s">
        <v>8</v>
      </c>
      <c r="IB312" s="27" t="s">
        <v>7</v>
      </c>
      <c r="IC312" s="27" t="s">
        <v>8</v>
      </c>
      <c r="IF312" s="27" t="s">
        <v>7</v>
      </c>
      <c r="IG312" s="27" t="s">
        <v>8</v>
      </c>
      <c r="IH312" s="27" t="s">
        <v>7</v>
      </c>
      <c r="II312" s="27" t="s">
        <v>8</v>
      </c>
      <c r="IN312" s="27" t="s">
        <v>7</v>
      </c>
    </row>
    <row r="313" spans="1:256" x14ac:dyDescent="0.25">
      <c r="A313" s="7">
        <v>227.22026539572522</v>
      </c>
      <c r="B313"/>
      <c r="C313"/>
      <c r="D313"/>
      <c r="E313"/>
      <c r="DS313" s="27" t="s">
        <v>8</v>
      </c>
      <c r="DT313" s="27" t="s">
        <v>7</v>
      </c>
      <c r="DU313" s="27" t="s">
        <v>8</v>
      </c>
      <c r="DV313" s="27" t="s">
        <v>7</v>
      </c>
      <c r="GW313" s="27" t="s">
        <v>8</v>
      </c>
      <c r="GZ313" s="27" t="s">
        <v>7</v>
      </c>
      <c r="HA313" s="27" t="s">
        <v>8</v>
      </c>
      <c r="HB313" s="27" t="s">
        <v>7</v>
      </c>
      <c r="HC313" s="27" t="s">
        <v>8</v>
      </c>
      <c r="HD313" s="27" t="s">
        <v>7</v>
      </c>
      <c r="HE313" s="27" t="s">
        <v>8</v>
      </c>
      <c r="HF313" s="27" t="s">
        <v>7</v>
      </c>
      <c r="HG313" s="27" t="s">
        <v>8</v>
      </c>
      <c r="HJ313" s="27" t="s">
        <v>7</v>
      </c>
      <c r="HK313" s="27" t="s">
        <v>8</v>
      </c>
      <c r="HL313" s="27" t="s">
        <v>7</v>
      </c>
      <c r="HM313" s="27" t="s">
        <v>8</v>
      </c>
      <c r="HN313" s="27" t="s">
        <v>7</v>
      </c>
      <c r="HP313" s="27" t="s">
        <v>7</v>
      </c>
      <c r="IB313" s="27" t="s">
        <v>7</v>
      </c>
      <c r="IF313" s="27" t="s">
        <v>7</v>
      </c>
      <c r="IH313" s="27" t="s">
        <v>7</v>
      </c>
      <c r="IN313" s="27" t="s">
        <v>7</v>
      </c>
    </row>
    <row r="314" spans="1:256" x14ac:dyDescent="0.25">
      <c r="A314" s="7">
        <v>222.76496607424042</v>
      </c>
      <c r="B314"/>
      <c r="C314"/>
      <c r="D314"/>
      <c r="E314"/>
      <c r="DS314" s="27" t="s">
        <v>8</v>
      </c>
      <c r="DT314" s="27" t="s">
        <v>7</v>
      </c>
      <c r="DU314" s="27" t="s">
        <v>8</v>
      </c>
      <c r="DV314" s="27" t="s">
        <v>7</v>
      </c>
      <c r="GW314" s="27" t="s">
        <v>8</v>
      </c>
      <c r="GZ314" s="27" t="s">
        <v>7</v>
      </c>
      <c r="HA314" s="27" t="s">
        <v>8</v>
      </c>
      <c r="HB314" s="27" t="s">
        <v>7</v>
      </c>
      <c r="HC314" s="27" t="s">
        <v>8</v>
      </c>
      <c r="HD314" s="27" t="s">
        <v>7</v>
      </c>
      <c r="HE314" s="27" t="s">
        <v>8</v>
      </c>
      <c r="HF314" s="27" t="s">
        <v>7</v>
      </c>
      <c r="HG314" s="27" t="s">
        <v>8</v>
      </c>
      <c r="HJ314" s="27" t="s">
        <v>7</v>
      </c>
      <c r="HL314" s="27" t="s">
        <v>7</v>
      </c>
      <c r="IN314" s="27" t="s">
        <v>7</v>
      </c>
    </row>
    <row r="315" spans="1:256" x14ac:dyDescent="0.25">
      <c r="A315" s="7">
        <v>218.39702556298079</v>
      </c>
      <c r="B315"/>
      <c r="C315"/>
      <c r="D315"/>
      <c r="E315"/>
      <c r="DS315" s="27" t="s">
        <v>8</v>
      </c>
      <c r="DT315" s="27" t="s">
        <v>7</v>
      </c>
      <c r="DU315" s="27" t="s">
        <v>8</v>
      </c>
      <c r="DV315" s="27" t="s">
        <v>7</v>
      </c>
      <c r="DW315" s="27" t="s">
        <v>8</v>
      </c>
      <c r="GW315" s="27" t="s">
        <v>8</v>
      </c>
      <c r="GZ315" s="27" t="s">
        <v>7</v>
      </c>
      <c r="HA315" s="27" t="s">
        <v>8</v>
      </c>
      <c r="HB315" s="27" t="s">
        <v>7</v>
      </c>
      <c r="HC315" s="27" t="s">
        <v>8</v>
      </c>
      <c r="HD315" s="27" t="s">
        <v>7</v>
      </c>
      <c r="HE315" s="27" t="s">
        <v>8</v>
      </c>
      <c r="HF315" s="27" t="s">
        <v>7</v>
      </c>
      <c r="HG315" s="27" t="s">
        <v>8</v>
      </c>
      <c r="IN315" s="27" t="s">
        <v>7</v>
      </c>
      <c r="IS315" s="27" t="s">
        <v>8</v>
      </c>
    </row>
    <row r="316" spans="1:256" x14ac:dyDescent="0.25">
      <c r="A316" s="7">
        <v>214.1147309440988</v>
      </c>
      <c r="B316"/>
      <c r="C316"/>
      <c r="D316"/>
      <c r="E316"/>
      <c r="CK316" s="27" t="s">
        <v>8</v>
      </c>
      <c r="DS316" s="27" t="s">
        <v>8</v>
      </c>
      <c r="DT316" s="27" t="s">
        <v>7</v>
      </c>
      <c r="DU316" s="27" t="s">
        <v>8</v>
      </c>
      <c r="DV316" s="27" t="s">
        <v>7</v>
      </c>
      <c r="DW316" s="27" t="s">
        <v>8</v>
      </c>
      <c r="DX316" s="27" t="s">
        <v>7</v>
      </c>
      <c r="GW316" s="27" t="s">
        <v>8</v>
      </c>
      <c r="GZ316" s="27" t="s">
        <v>7</v>
      </c>
      <c r="HA316" s="27" t="s">
        <v>8</v>
      </c>
      <c r="HB316" s="27" t="s">
        <v>7</v>
      </c>
      <c r="HD316" s="27" t="s">
        <v>7</v>
      </c>
      <c r="HE316" s="27" t="s">
        <v>8</v>
      </c>
      <c r="HF316" s="27" t="s">
        <v>7</v>
      </c>
      <c r="HG316" s="27" t="s">
        <v>8</v>
      </c>
      <c r="IN316" s="27" t="s">
        <v>7</v>
      </c>
      <c r="IO316" s="27" t="s">
        <v>8</v>
      </c>
      <c r="IS316" s="27" t="s">
        <v>8</v>
      </c>
      <c r="IT316" s="27" t="s">
        <v>7</v>
      </c>
    </row>
    <row r="317" spans="1:256" x14ac:dyDescent="0.25">
      <c r="A317" s="7">
        <v>209.91640288637137</v>
      </c>
      <c r="B317"/>
      <c r="C317"/>
      <c r="D317"/>
      <c r="E317"/>
      <c r="CK317" s="27" t="s">
        <v>8</v>
      </c>
      <c r="CL317" s="27" t="s">
        <v>7</v>
      </c>
      <c r="DS317" s="27" t="s">
        <v>8</v>
      </c>
      <c r="DT317" s="27" t="s">
        <v>7</v>
      </c>
      <c r="DV317" s="27" t="s">
        <v>7</v>
      </c>
      <c r="DW317" s="27" t="s">
        <v>8</v>
      </c>
      <c r="DX317" s="27" t="s">
        <v>7</v>
      </c>
      <c r="GW317" s="27" t="s">
        <v>8</v>
      </c>
      <c r="GZ317" s="27" t="s">
        <v>7</v>
      </c>
      <c r="HA317" s="27" t="s">
        <v>8</v>
      </c>
      <c r="HD317" s="27" t="s">
        <v>7</v>
      </c>
      <c r="HE317" s="27" t="s">
        <v>8</v>
      </c>
      <c r="HF317" s="27" t="s">
        <v>7</v>
      </c>
      <c r="HG317" s="27" t="s">
        <v>8</v>
      </c>
      <c r="IN317" s="27" t="s">
        <v>7</v>
      </c>
      <c r="IO317" s="27" t="s">
        <v>8</v>
      </c>
      <c r="IP317" s="27" t="s">
        <v>7</v>
      </c>
      <c r="IS317" s="27" t="s">
        <v>8</v>
      </c>
      <c r="IT317" s="27" t="s">
        <v>7</v>
      </c>
    </row>
    <row r="318" spans="1:256" x14ac:dyDescent="0.25">
      <c r="A318" s="7">
        <v>205.80039498663859</v>
      </c>
      <c r="B318"/>
      <c r="C318"/>
      <c r="D318"/>
      <c r="E318"/>
      <c r="CK318" s="27" t="s">
        <v>8</v>
      </c>
      <c r="CL318" s="27" t="s">
        <v>7</v>
      </c>
      <c r="DS318" s="27" t="s">
        <v>8</v>
      </c>
      <c r="DV318" s="27" t="s">
        <v>7</v>
      </c>
      <c r="DX318" s="27" t="s">
        <v>7</v>
      </c>
      <c r="GW318" s="27" t="s">
        <v>8</v>
      </c>
      <c r="GZ318" s="27" t="s">
        <v>7</v>
      </c>
      <c r="HA318" s="27" t="s">
        <v>8</v>
      </c>
      <c r="HD318" s="27" t="s">
        <v>7</v>
      </c>
      <c r="HE318" s="27" t="s">
        <v>8</v>
      </c>
      <c r="HF318" s="27" t="s">
        <v>7</v>
      </c>
      <c r="HG318" s="27" t="s">
        <v>8</v>
      </c>
      <c r="IN318" s="27" t="s">
        <v>7</v>
      </c>
      <c r="IO318" s="27" t="s">
        <v>8</v>
      </c>
      <c r="IP318" s="27" t="s">
        <v>7</v>
      </c>
      <c r="IS318" s="27" t="s">
        <v>8</v>
      </c>
      <c r="IT318" s="27" t="s">
        <v>7</v>
      </c>
      <c r="IU318" s="27" t="s">
        <v>8</v>
      </c>
    </row>
    <row r="319" spans="1:256" x14ac:dyDescent="0.25">
      <c r="A319" s="7">
        <v>201.76509312415547</v>
      </c>
      <c r="B319"/>
      <c r="C319"/>
      <c r="D319"/>
      <c r="E319"/>
      <c r="CK319" s="27" t="s">
        <v>8</v>
      </c>
      <c r="CL319" s="27" t="s">
        <v>7</v>
      </c>
      <c r="DS319" s="27" t="s">
        <v>8</v>
      </c>
      <c r="DX319" s="27" t="s">
        <v>7</v>
      </c>
      <c r="EI319" s="27" t="s">
        <v>8</v>
      </c>
      <c r="GW319" s="27" t="s">
        <v>8</v>
      </c>
      <c r="GZ319" s="27" t="s">
        <v>7</v>
      </c>
      <c r="HA319" s="27" t="s">
        <v>8</v>
      </c>
      <c r="HD319" s="27" t="s">
        <v>7</v>
      </c>
      <c r="HF319" s="27" t="s">
        <v>7</v>
      </c>
      <c r="HG319" s="27" t="s">
        <v>8</v>
      </c>
      <c r="IN319" s="27" t="s">
        <v>7</v>
      </c>
      <c r="IP319" s="27" t="s">
        <v>7</v>
      </c>
      <c r="IQ319" s="27" t="s">
        <v>8</v>
      </c>
      <c r="IS319" s="27" t="s">
        <v>8</v>
      </c>
      <c r="IT319" s="27" t="s">
        <v>7</v>
      </c>
      <c r="IU319" s="27" t="s">
        <v>8</v>
      </c>
      <c r="IV319" s="27" t="s">
        <v>7</v>
      </c>
    </row>
    <row r="320" spans="1:256" x14ac:dyDescent="0.25">
      <c r="A320" s="7">
        <v>197.80891482760339</v>
      </c>
      <c r="B320"/>
      <c r="C320"/>
      <c r="D320"/>
      <c r="E320"/>
      <c r="CK320" s="27" t="s">
        <v>8</v>
      </c>
      <c r="CL320" s="27" t="s">
        <v>7</v>
      </c>
      <c r="DS320" s="27" t="s">
        <v>8</v>
      </c>
      <c r="DX320" s="27" t="s">
        <v>7</v>
      </c>
      <c r="EI320" s="27" t="s">
        <v>8</v>
      </c>
      <c r="EJ320" s="27" t="s">
        <v>7</v>
      </c>
      <c r="GW320" s="27" t="s">
        <v>8</v>
      </c>
      <c r="GZ320" s="27" t="s">
        <v>7</v>
      </c>
      <c r="HA320" s="27" t="s">
        <v>8</v>
      </c>
      <c r="HF320" s="27" t="s">
        <v>7</v>
      </c>
      <c r="IP320" s="27" t="s">
        <v>7</v>
      </c>
      <c r="IQ320" s="27" t="s">
        <v>8</v>
      </c>
      <c r="IR320" s="27" t="s">
        <v>7</v>
      </c>
      <c r="IS320" s="27" t="s">
        <v>8</v>
      </c>
      <c r="IT320" s="27" t="s">
        <v>7</v>
      </c>
      <c r="IU320" s="27" t="s">
        <v>8</v>
      </c>
      <c r="IV320" s="27" t="s">
        <v>7</v>
      </c>
    </row>
    <row r="321" spans="1:260" x14ac:dyDescent="0.25">
      <c r="A321" s="7">
        <v>193.93030865451311</v>
      </c>
      <c r="B321"/>
      <c r="C321"/>
      <c r="D321"/>
      <c r="E321"/>
      <c r="CK321" s="27" t="s">
        <v>8</v>
      </c>
      <c r="CL321" s="27" t="s">
        <v>7</v>
      </c>
      <c r="DQ321" s="27" t="s">
        <v>8</v>
      </c>
      <c r="DS321" s="27" t="s">
        <v>8</v>
      </c>
      <c r="DX321" s="27" t="s">
        <v>7</v>
      </c>
      <c r="DY321" s="27" t="s">
        <v>8</v>
      </c>
      <c r="EA321" s="27" t="s">
        <v>8</v>
      </c>
      <c r="EG321" s="27" t="s">
        <v>8</v>
      </c>
      <c r="EI321" s="27" t="s">
        <v>8</v>
      </c>
      <c r="EJ321" s="27" t="s">
        <v>7</v>
      </c>
      <c r="GW321" s="27" t="s">
        <v>8</v>
      </c>
      <c r="GZ321" s="27" t="s">
        <v>7</v>
      </c>
      <c r="HA321" s="27" t="s">
        <v>8</v>
      </c>
      <c r="IP321" s="27" t="s">
        <v>7</v>
      </c>
      <c r="IQ321" s="27" t="s">
        <v>8</v>
      </c>
      <c r="IR321" s="27" t="s">
        <v>7</v>
      </c>
      <c r="IS321" s="27" t="s">
        <v>8</v>
      </c>
      <c r="IT321" s="27" t="s">
        <v>7</v>
      </c>
      <c r="IV321" s="27" t="s">
        <v>7</v>
      </c>
    </row>
    <row r="322" spans="1:260" x14ac:dyDescent="0.25">
      <c r="A322" s="7">
        <v>190.127753582856</v>
      </c>
      <c r="B322"/>
      <c r="C322"/>
      <c r="D322"/>
      <c r="E322"/>
      <c r="CK322" s="27" t="s">
        <v>8</v>
      </c>
      <c r="CL322" s="27" t="s">
        <v>7</v>
      </c>
      <c r="DQ322" s="27" t="s">
        <v>8</v>
      </c>
      <c r="DR322" s="27" t="s">
        <v>7</v>
      </c>
      <c r="DS322" s="27" t="s">
        <v>8</v>
      </c>
      <c r="DX322" s="27" t="s">
        <v>7</v>
      </c>
      <c r="DY322" s="27" t="s">
        <v>8</v>
      </c>
      <c r="DZ322" s="27" t="s">
        <v>7</v>
      </c>
      <c r="EA322" s="27" t="s">
        <v>8</v>
      </c>
      <c r="EB322" s="27" t="s">
        <v>7</v>
      </c>
      <c r="EG322" s="27" t="s">
        <v>8</v>
      </c>
      <c r="EH322" s="27" t="s">
        <v>7</v>
      </c>
      <c r="EI322" s="27" t="s">
        <v>8</v>
      </c>
      <c r="EJ322" s="27" t="s">
        <v>7</v>
      </c>
      <c r="GW322" s="27" t="s">
        <v>8</v>
      </c>
      <c r="GZ322" s="27" t="s">
        <v>7</v>
      </c>
      <c r="HA322" s="27" t="s">
        <v>8</v>
      </c>
      <c r="IP322" s="27" t="s">
        <v>7</v>
      </c>
      <c r="IQ322" s="27" t="s">
        <v>8</v>
      </c>
      <c r="IR322" s="27" t="s">
        <v>7</v>
      </c>
      <c r="IS322" s="27" t="s">
        <v>8</v>
      </c>
      <c r="IV322" s="27" t="s">
        <v>7</v>
      </c>
    </row>
    <row r="323" spans="1:260" x14ac:dyDescent="0.25">
      <c r="A323" s="7">
        <v>186.3997584145647</v>
      </c>
      <c r="B323"/>
      <c r="C323"/>
      <c r="D323"/>
      <c r="E323"/>
      <c r="CK323" s="27" t="s">
        <v>8</v>
      </c>
      <c r="CL323" s="27" t="s">
        <v>7</v>
      </c>
      <c r="DO323" s="27" t="s">
        <v>8</v>
      </c>
      <c r="DQ323" s="27" t="s">
        <v>8</v>
      </c>
      <c r="DR323" s="27" t="s">
        <v>7</v>
      </c>
      <c r="DS323" s="27" t="s">
        <v>8</v>
      </c>
      <c r="DX323" s="27" t="s">
        <v>7</v>
      </c>
      <c r="DY323" s="27" t="s">
        <v>8</v>
      </c>
      <c r="DZ323" s="27" t="s">
        <v>7</v>
      </c>
      <c r="EA323" s="27" t="s">
        <v>8</v>
      </c>
      <c r="EB323" s="27" t="s">
        <v>7</v>
      </c>
      <c r="EE323" s="27" t="s">
        <v>8</v>
      </c>
      <c r="EG323" s="27" t="s">
        <v>8</v>
      </c>
      <c r="EH323" s="27" t="s">
        <v>7</v>
      </c>
      <c r="EI323" s="27" t="s">
        <v>8</v>
      </c>
      <c r="EJ323" s="27" t="s">
        <v>7</v>
      </c>
      <c r="GU323" s="27" t="s">
        <v>8</v>
      </c>
      <c r="GW323" s="27" t="s">
        <v>8</v>
      </c>
      <c r="GZ323" s="27" t="s">
        <v>7</v>
      </c>
      <c r="HA323" s="27" t="s">
        <v>8</v>
      </c>
      <c r="IP323" s="27" t="s">
        <v>7</v>
      </c>
      <c r="IQ323" s="27" t="s">
        <v>8</v>
      </c>
      <c r="IR323" s="27" t="s">
        <v>7</v>
      </c>
      <c r="IS323" s="27" t="s">
        <v>8</v>
      </c>
      <c r="IV323" s="27" t="s">
        <v>7</v>
      </c>
    </row>
    <row r="324" spans="1:260" x14ac:dyDescent="0.25">
      <c r="A324" s="7">
        <v>182.7448611907497</v>
      </c>
      <c r="B324"/>
      <c r="C324"/>
      <c r="D324"/>
      <c r="E324"/>
      <c r="CK324" s="27" t="s">
        <v>8</v>
      </c>
      <c r="CL324" s="27" t="s">
        <v>7</v>
      </c>
      <c r="DO324" s="27" t="s">
        <v>8</v>
      </c>
      <c r="DP324" s="27" t="s">
        <v>7</v>
      </c>
      <c r="DQ324" s="27" t="s">
        <v>8</v>
      </c>
      <c r="DR324" s="27" t="s">
        <v>7</v>
      </c>
      <c r="DS324" s="27" t="s">
        <v>8</v>
      </c>
      <c r="DX324" s="27" t="s">
        <v>7</v>
      </c>
      <c r="DY324" s="27" t="s">
        <v>8</v>
      </c>
      <c r="DZ324" s="27" t="s">
        <v>7</v>
      </c>
      <c r="EA324" s="27" t="s">
        <v>8</v>
      </c>
      <c r="EB324" s="27" t="s">
        <v>7</v>
      </c>
      <c r="EE324" s="27" t="s">
        <v>8</v>
      </c>
      <c r="EF324" s="27" t="s">
        <v>7</v>
      </c>
      <c r="EG324" s="27" t="s">
        <v>8</v>
      </c>
      <c r="EH324" s="27" t="s">
        <v>7</v>
      </c>
      <c r="EI324" s="27" t="s">
        <v>8</v>
      </c>
      <c r="EJ324" s="27" t="s">
        <v>7</v>
      </c>
      <c r="EK324" s="27" t="s">
        <v>8</v>
      </c>
      <c r="GQ324" s="27" t="s">
        <v>8</v>
      </c>
      <c r="GU324" s="27" t="s">
        <v>8</v>
      </c>
      <c r="GV324" s="27" t="s">
        <v>7</v>
      </c>
      <c r="GW324" s="27" t="s">
        <v>8</v>
      </c>
      <c r="GZ324" s="27" t="s">
        <v>7</v>
      </c>
      <c r="HA324" s="27" t="s">
        <v>8</v>
      </c>
      <c r="IP324" s="27" t="s">
        <v>7</v>
      </c>
      <c r="IR324" s="27" t="s">
        <v>7</v>
      </c>
      <c r="IV324" s="27" t="s">
        <v>7</v>
      </c>
    </row>
    <row r="325" spans="1:260" x14ac:dyDescent="0.25">
      <c r="A325" s="7">
        <v>179.16162861838205</v>
      </c>
      <c r="B325"/>
      <c r="C325"/>
      <c r="D325"/>
      <c r="E325"/>
      <c r="CK325" s="27" t="s">
        <v>8</v>
      </c>
      <c r="CL325" s="27" t="s">
        <v>7</v>
      </c>
      <c r="DO325" s="27" t="s">
        <v>8</v>
      </c>
      <c r="DP325" s="27" t="s">
        <v>7</v>
      </c>
      <c r="DQ325" s="27" t="s">
        <v>8</v>
      </c>
      <c r="DR325" s="27" t="s">
        <v>7</v>
      </c>
      <c r="DS325" s="27" t="s">
        <v>8</v>
      </c>
      <c r="DX325" s="27" t="s">
        <v>7</v>
      </c>
      <c r="DY325" s="27" t="s">
        <v>8</v>
      </c>
      <c r="DZ325" s="27" t="s">
        <v>7</v>
      </c>
      <c r="EA325" s="27" t="s">
        <v>8</v>
      </c>
      <c r="EB325" s="27" t="s">
        <v>7</v>
      </c>
      <c r="EE325" s="27" t="s">
        <v>8</v>
      </c>
      <c r="EF325" s="27" t="s">
        <v>7</v>
      </c>
      <c r="EG325" s="27" t="s">
        <v>8</v>
      </c>
      <c r="EH325" s="27" t="s">
        <v>7</v>
      </c>
      <c r="EI325" s="27" t="s">
        <v>8</v>
      </c>
      <c r="EJ325" s="27" t="s">
        <v>7</v>
      </c>
      <c r="EK325" s="27" t="s">
        <v>8</v>
      </c>
      <c r="EL325" s="27" t="s">
        <v>7</v>
      </c>
      <c r="GQ325" s="27" t="s">
        <v>8</v>
      </c>
      <c r="GR325" s="27" t="s">
        <v>7</v>
      </c>
      <c r="GS325" s="27" t="s">
        <v>8</v>
      </c>
      <c r="GU325" s="27" t="s">
        <v>8</v>
      </c>
      <c r="GV325" s="27" t="s">
        <v>7</v>
      </c>
      <c r="GW325" s="27" t="s">
        <v>8</v>
      </c>
      <c r="GZ325" s="27" t="s">
        <v>7</v>
      </c>
      <c r="HA325" s="27" t="s">
        <v>8</v>
      </c>
      <c r="IV325" s="27" t="s">
        <v>7</v>
      </c>
    </row>
    <row r="326" spans="1:260" x14ac:dyDescent="0.25">
      <c r="A326" s="7">
        <v>175.6486555082177</v>
      </c>
      <c r="B326"/>
      <c r="C326"/>
      <c r="D326"/>
      <c r="E326"/>
      <c r="CK326" s="27" t="s">
        <v>8</v>
      </c>
      <c r="CL326" s="27" t="s">
        <v>7</v>
      </c>
      <c r="CM326" s="27" t="s">
        <v>8</v>
      </c>
      <c r="DO326" s="27" t="s">
        <v>8</v>
      </c>
      <c r="DP326" s="27" t="s">
        <v>7</v>
      </c>
      <c r="DQ326" s="27" t="s">
        <v>8</v>
      </c>
      <c r="DR326" s="27" t="s">
        <v>7</v>
      </c>
      <c r="DS326" s="27" t="s">
        <v>8</v>
      </c>
      <c r="DX326" s="27" t="s">
        <v>7</v>
      </c>
      <c r="DY326" s="27" t="s">
        <v>8</v>
      </c>
      <c r="DZ326" s="27" t="s">
        <v>7</v>
      </c>
      <c r="EA326" s="27" t="s">
        <v>8</v>
      </c>
      <c r="EB326" s="27" t="s">
        <v>7</v>
      </c>
      <c r="EE326" s="27" t="s">
        <v>8</v>
      </c>
      <c r="EF326" s="27" t="s">
        <v>7</v>
      </c>
      <c r="EG326" s="27" t="s">
        <v>8</v>
      </c>
      <c r="EH326" s="27" t="s">
        <v>7</v>
      </c>
      <c r="EJ326" s="27" t="s">
        <v>7</v>
      </c>
      <c r="EK326" s="27" t="s">
        <v>8</v>
      </c>
      <c r="EL326" s="27" t="s">
        <v>7</v>
      </c>
      <c r="GQ326" s="27" t="s">
        <v>8</v>
      </c>
      <c r="GR326" s="27" t="s">
        <v>7</v>
      </c>
      <c r="GS326" s="27" t="s">
        <v>8</v>
      </c>
      <c r="GT326" s="27" t="s">
        <v>7</v>
      </c>
      <c r="GU326" s="27" t="s">
        <v>8</v>
      </c>
      <c r="GV326" s="27" t="s">
        <v>7</v>
      </c>
      <c r="GW326" s="27" t="s">
        <v>8</v>
      </c>
      <c r="GZ326" s="27" t="s">
        <v>7</v>
      </c>
      <c r="HA326" s="27" t="s">
        <v>8</v>
      </c>
      <c r="IV326" s="27" t="s">
        <v>7</v>
      </c>
    </row>
    <row r="327" spans="1:260" x14ac:dyDescent="0.25">
      <c r="A327" s="7">
        <v>172.20456422374284</v>
      </c>
      <c r="B327"/>
      <c r="C327"/>
      <c r="D327"/>
      <c r="E327"/>
      <c r="CK327" s="27" t="s">
        <v>8</v>
      </c>
      <c r="CL327" s="27" t="s">
        <v>7</v>
      </c>
      <c r="CM327" s="27" t="s">
        <v>8</v>
      </c>
      <c r="CN327" s="27" t="s">
        <v>7</v>
      </c>
      <c r="DO327" s="27" t="s">
        <v>8</v>
      </c>
      <c r="DP327" s="27" t="s">
        <v>7</v>
      </c>
      <c r="DQ327" s="27" t="s">
        <v>8</v>
      </c>
      <c r="DR327" s="27" t="s">
        <v>7</v>
      </c>
      <c r="DS327" s="27" t="s">
        <v>8</v>
      </c>
      <c r="DX327" s="27" t="s">
        <v>7</v>
      </c>
      <c r="DY327" s="27" t="s">
        <v>8</v>
      </c>
      <c r="DZ327" s="27" t="s">
        <v>7</v>
      </c>
      <c r="EA327" s="27" t="s">
        <v>8</v>
      </c>
      <c r="EB327" s="27" t="s">
        <v>7</v>
      </c>
      <c r="EE327" s="27" t="s">
        <v>8</v>
      </c>
      <c r="EF327" s="27" t="s">
        <v>7</v>
      </c>
      <c r="EJ327" s="27" t="s">
        <v>7</v>
      </c>
      <c r="EK327" s="27" t="s">
        <v>8</v>
      </c>
      <c r="EL327" s="27" t="s">
        <v>7</v>
      </c>
      <c r="EM327" s="27" t="s">
        <v>8</v>
      </c>
      <c r="GQ327" s="27" t="s">
        <v>8</v>
      </c>
      <c r="GR327" s="27" t="s">
        <v>7</v>
      </c>
      <c r="GS327" s="27" t="s">
        <v>8</v>
      </c>
      <c r="GT327" s="27" t="s">
        <v>7</v>
      </c>
      <c r="GU327" s="27" t="s">
        <v>8</v>
      </c>
      <c r="GV327" s="27" t="s">
        <v>7</v>
      </c>
      <c r="GW327" s="27" t="s">
        <v>8</v>
      </c>
      <c r="GZ327" s="27" t="s">
        <v>7</v>
      </c>
      <c r="IV327" s="27" t="s">
        <v>7</v>
      </c>
    </row>
    <row r="328" spans="1:260" x14ac:dyDescent="0.25">
      <c r="A328" s="7">
        <v>168.82800414092435</v>
      </c>
      <c r="B328"/>
      <c r="C328"/>
      <c r="D328"/>
      <c r="E328"/>
      <c r="CK328" s="27" t="s">
        <v>8</v>
      </c>
      <c r="CL328" s="27" t="s">
        <v>7</v>
      </c>
      <c r="CM328" s="27" t="s">
        <v>8</v>
      </c>
      <c r="CN328" s="27" t="s">
        <v>7</v>
      </c>
      <c r="DO328" s="27" t="s">
        <v>8</v>
      </c>
      <c r="DP328" s="27" t="s">
        <v>7</v>
      </c>
      <c r="DQ328" s="27" t="s">
        <v>8</v>
      </c>
      <c r="DR328" s="27" t="s">
        <v>7</v>
      </c>
      <c r="DX328" s="27" t="s">
        <v>7</v>
      </c>
      <c r="DY328" s="27" t="s">
        <v>8</v>
      </c>
      <c r="DZ328" s="27" t="s">
        <v>7</v>
      </c>
      <c r="EA328" s="27" t="s">
        <v>8</v>
      </c>
      <c r="EB328" s="27" t="s">
        <v>7</v>
      </c>
      <c r="EE328" s="27" t="s">
        <v>8</v>
      </c>
      <c r="EJ328" s="27" t="s">
        <v>7</v>
      </c>
      <c r="EK328" s="27" t="s">
        <v>8</v>
      </c>
      <c r="EL328" s="27" t="s">
        <v>7</v>
      </c>
      <c r="EM328" s="27" t="s">
        <v>8</v>
      </c>
      <c r="EN328" s="27" t="s">
        <v>7</v>
      </c>
      <c r="GO328" s="27" t="s">
        <v>8</v>
      </c>
      <c r="GQ328" s="27" t="s">
        <v>8</v>
      </c>
      <c r="GR328" s="27" t="s">
        <v>7</v>
      </c>
      <c r="GT328" s="27" t="s">
        <v>7</v>
      </c>
      <c r="GV328" s="27" t="s">
        <v>7</v>
      </c>
      <c r="GW328" s="27" t="s">
        <v>8</v>
      </c>
      <c r="IV328" s="27" t="s">
        <v>7</v>
      </c>
    </row>
    <row r="329" spans="1:260" x14ac:dyDescent="0.25">
      <c r="A329" s="7">
        <v>165.51765111855329</v>
      </c>
      <c r="B329"/>
      <c r="C329"/>
      <c r="D329"/>
      <c r="E329"/>
      <c r="CK329" s="27" t="s">
        <v>8</v>
      </c>
      <c r="CL329" s="27" t="s">
        <v>7</v>
      </c>
      <c r="CM329" s="27" t="s">
        <v>8</v>
      </c>
      <c r="CN329" s="27" t="s">
        <v>7</v>
      </c>
      <c r="CO329" s="27" t="s">
        <v>8</v>
      </c>
      <c r="DO329" s="27" t="s">
        <v>8</v>
      </c>
      <c r="DP329" s="27" t="s">
        <v>7</v>
      </c>
      <c r="DQ329" s="27" t="s">
        <v>8</v>
      </c>
      <c r="DX329" s="27" t="s">
        <v>7</v>
      </c>
      <c r="DY329" s="27" t="s">
        <v>8</v>
      </c>
      <c r="DZ329" s="27" t="s">
        <v>7</v>
      </c>
      <c r="EA329" s="27" t="s">
        <v>8</v>
      </c>
      <c r="EB329" s="27" t="s">
        <v>7</v>
      </c>
      <c r="EE329" s="27" t="s">
        <v>8</v>
      </c>
      <c r="EJ329" s="27" t="s">
        <v>7</v>
      </c>
      <c r="EK329" s="27" t="s">
        <v>8</v>
      </c>
      <c r="EL329" s="27" t="s">
        <v>7</v>
      </c>
      <c r="EM329" s="27" t="s">
        <v>8</v>
      </c>
      <c r="EN329" s="27" t="s">
        <v>7</v>
      </c>
      <c r="GO329" s="27" t="s">
        <v>8</v>
      </c>
      <c r="GP329" s="27" t="s">
        <v>7</v>
      </c>
      <c r="GQ329" s="27" t="s">
        <v>8</v>
      </c>
      <c r="GV329" s="27" t="s">
        <v>7</v>
      </c>
      <c r="GW329" s="27" t="s">
        <v>8</v>
      </c>
      <c r="IV329" s="27" t="s">
        <v>7</v>
      </c>
    </row>
    <row r="330" spans="1:260" x14ac:dyDescent="0.25">
      <c r="A330" s="7">
        <v>162.2722069789738</v>
      </c>
      <c r="B330"/>
      <c r="C330"/>
      <c r="D330"/>
      <c r="E330"/>
      <c r="CK330" s="27" t="s">
        <v>8</v>
      </c>
      <c r="CL330" s="27" t="s">
        <v>7</v>
      </c>
      <c r="CM330" s="27" t="s">
        <v>8</v>
      </c>
      <c r="CN330" s="27" t="s">
        <v>7</v>
      </c>
      <c r="CO330" s="27" t="s">
        <v>8</v>
      </c>
      <c r="CP330" s="27" t="s">
        <v>7</v>
      </c>
      <c r="DC330" s="27" t="s">
        <v>8</v>
      </c>
      <c r="DO330" s="27" t="s">
        <v>8</v>
      </c>
      <c r="DP330" s="27" t="s">
        <v>7</v>
      </c>
      <c r="DQ330" s="27" t="s">
        <v>8</v>
      </c>
      <c r="DX330" s="27" t="s">
        <v>7</v>
      </c>
      <c r="DY330" s="27" t="s">
        <v>8</v>
      </c>
      <c r="DZ330" s="27" t="s">
        <v>7</v>
      </c>
      <c r="EA330" s="27" t="s">
        <v>8</v>
      </c>
      <c r="EB330" s="27" t="s">
        <v>7</v>
      </c>
      <c r="EE330" s="27" t="s">
        <v>8</v>
      </c>
      <c r="EJ330" s="27" t="s">
        <v>7</v>
      </c>
      <c r="EL330" s="27" t="s">
        <v>7</v>
      </c>
      <c r="EM330" s="27" t="s">
        <v>8</v>
      </c>
      <c r="EN330" s="27" t="s">
        <v>7</v>
      </c>
      <c r="GO330" s="27" t="s">
        <v>8</v>
      </c>
      <c r="GP330" s="27" t="s">
        <v>7</v>
      </c>
      <c r="GQ330" s="27" t="s">
        <v>8</v>
      </c>
      <c r="GV330" s="27" t="s">
        <v>7</v>
      </c>
      <c r="GW330" s="27" t="s">
        <v>8</v>
      </c>
      <c r="IV330" s="27" t="s">
        <v>7</v>
      </c>
    </row>
    <row r="331" spans="1:260" x14ac:dyDescent="0.25">
      <c r="A331" s="7">
        <v>159.09039899899392</v>
      </c>
      <c r="B331"/>
      <c r="C331"/>
      <c r="D331"/>
      <c r="E331"/>
      <c r="CK331" s="27" t="s">
        <v>8</v>
      </c>
      <c r="CL331" s="27" t="s">
        <v>7</v>
      </c>
      <c r="CM331" s="27" t="s">
        <v>8</v>
      </c>
      <c r="CN331" s="27" t="s">
        <v>7</v>
      </c>
      <c r="CO331" s="27" t="s">
        <v>8</v>
      </c>
      <c r="CP331" s="27" t="s">
        <v>7</v>
      </c>
      <c r="CY331" s="27" t="s">
        <v>8</v>
      </c>
      <c r="DC331" s="27" t="s">
        <v>8</v>
      </c>
      <c r="DD331" s="27" t="s">
        <v>7</v>
      </c>
      <c r="DO331" s="27" t="s">
        <v>8</v>
      </c>
      <c r="DP331" s="27" t="s">
        <v>7</v>
      </c>
      <c r="DX331" s="27" t="s">
        <v>7</v>
      </c>
      <c r="DY331" s="27" t="s">
        <v>8</v>
      </c>
      <c r="DZ331" s="27" t="s">
        <v>7</v>
      </c>
      <c r="EA331" s="27" t="s">
        <v>8</v>
      </c>
      <c r="EB331" s="27" t="s">
        <v>7</v>
      </c>
      <c r="EC331" s="27" t="s">
        <v>8</v>
      </c>
      <c r="EE331" s="27" t="s">
        <v>8</v>
      </c>
      <c r="EL331" s="27" t="s">
        <v>7</v>
      </c>
      <c r="EM331" s="27" t="s">
        <v>8</v>
      </c>
      <c r="EN331" s="27" t="s">
        <v>7</v>
      </c>
      <c r="GI331" s="27" t="s">
        <v>8</v>
      </c>
      <c r="GK331" s="27" t="s">
        <v>8</v>
      </c>
      <c r="GO331" s="27" t="s">
        <v>8</v>
      </c>
      <c r="GP331" s="27" t="s">
        <v>7</v>
      </c>
      <c r="GQ331" s="27" t="s">
        <v>8</v>
      </c>
      <c r="GV331" s="27" t="s">
        <v>7</v>
      </c>
      <c r="GW331" s="27" t="s">
        <v>8</v>
      </c>
      <c r="IV331" s="27" t="s">
        <v>7</v>
      </c>
      <c r="IY331" s="27" t="s">
        <v>8</v>
      </c>
    </row>
    <row r="332" spans="1:260" x14ac:dyDescent="0.25">
      <c r="A332" s="7">
        <v>155.97097941077834</v>
      </c>
      <c r="B332"/>
      <c r="C332"/>
      <c r="D332"/>
      <c r="E332"/>
      <c r="CK332" s="27" t="s">
        <v>8</v>
      </c>
      <c r="CL332" s="27" t="s">
        <v>7</v>
      </c>
      <c r="CM332" s="27" t="s">
        <v>8</v>
      </c>
      <c r="CN332" s="27" t="s">
        <v>7</v>
      </c>
      <c r="CO332" s="27" t="s">
        <v>8</v>
      </c>
      <c r="CP332" s="27" t="s">
        <v>7</v>
      </c>
      <c r="CY332" s="27" t="s">
        <v>8</v>
      </c>
      <c r="CZ332" s="27" t="s">
        <v>7</v>
      </c>
      <c r="DC332" s="27" t="s">
        <v>8</v>
      </c>
      <c r="DD332" s="27" t="s">
        <v>7</v>
      </c>
      <c r="DO332" s="27" t="s">
        <v>8</v>
      </c>
      <c r="DX332" s="27" t="s">
        <v>7</v>
      </c>
      <c r="DY332" s="27" t="s">
        <v>8</v>
      </c>
      <c r="DZ332" s="27" t="s">
        <v>7</v>
      </c>
      <c r="EB332" s="27" t="s">
        <v>7</v>
      </c>
      <c r="EC332" s="27" t="s">
        <v>8</v>
      </c>
      <c r="ED332" s="27" t="s">
        <v>7</v>
      </c>
      <c r="EE332" s="27" t="s">
        <v>8</v>
      </c>
      <c r="EL332" s="27" t="s">
        <v>7</v>
      </c>
      <c r="EN332" s="27" t="s">
        <v>7</v>
      </c>
      <c r="GI332" s="27" t="s">
        <v>8</v>
      </c>
      <c r="GJ332" s="27" t="s">
        <v>7</v>
      </c>
      <c r="GK332" s="27" t="s">
        <v>8</v>
      </c>
      <c r="GL332" s="27" t="s">
        <v>7</v>
      </c>
      <c r="GO332" s="27" t="s">
        <v>8</v>
      </c>
      <c r="GP332" s="27" t="s">
        <v>7</v>
      </c>
      <c r="GV332" s="27" t="s">
        <v>7</v>
      </c>
      <c r="GW332" s="27" t="s">
        <v>8</v>
      </c>
      <c r="IV332" s="27" t="s">
        <v>7</v>
      </c>
      <c r="IY332" s="27" t="s">
        <v>8</v>
      </c>
      <c r="IZ332" s="27" t="s">
        <v>7</v>
      </c>
    </row>
    <row r="333" spans="1:260" x14ac:dyDescent="0.25">
      <c r="A333" s="7">
        <v>152.91272491252778</v>
      </c>
      <c r="B333"/>
      <c r="C333"/>
      <c r="D333"/>
      <c r="E333"/>
      <c r="CK333" s="27" t="s">
        <v>8</v>
      </c>
      <c r="CL333" s="27" t="s">
        <v>7</v>
      </c>
      <c r="CM333" s="27" t="s">
        <v>8</v>
      </c>
      <c r="CN333" s="27" t="s">
        <v>7</v>
      </c>
      <c r="CO333" s="27" t="s">
        <v>8</v>
      </c>
      <c r="CP333" s="27" t="s">
        <v>7</v>
      </c>
      <c r="CQ333" s="27" t="s">
        <v>8</v>
      </c>
      <c r="CY333" s="27" t="s">
        <v>8</v>
      </c>
      <c r="CZ333" s="27" t="s">
        <v>7</v>
      </c>
      <c r="DC333" s="27" t="s">
        <v>8</v>
      </c>
      <c r="DD333" s="27" t="s">
        <v>7</v>
      </c>
      <c r="DK333" s="27" t="s">
        <v>8</v>
      </c>
      <c r="DO333" s="27" t="s">
        <v>8</v>
      </c>
      <c r="DX333" s="27" t="s">
        <v>7</v>
      </c>
      <c r="DY333" s="27" t="s">
        <v>8</v>
      </c>
      <c r="EB333" s="27" t="s">
        <v>7</v>
      </c>
      <c r="EC333" s="27" t="s">
        <v>8</v>
      </c>
      <c r="ED333" s="27" t="s">
        <v>7</v>
      </c>
      <c r="EE333" s="27" t="s">
        <v>8</v>
      </c>
      <c r="EN333" s="27" t="s">
        <v>7</v>
      </c>
      <c r="GI333" s="27" t="s">
        <v>8</v>
      </c>
      <c r="GJ333" s="27" t="s">
        <v>7</v>
      </c>
      <c r="GK333" s="27" t="s">
        <v>8</v>
      </c>
      <c r="GL333" s="27" t="s">
        <v>7</v>
      </c>
      <c r="GO333" s="27" t="s">
        <v>8</v>
      </c>
      <c r="GV333" s="27" t="s">
        <v>7</v>
      </c>
      <c r="GW333" s="27" t="s">
        <v>8</v>
      </c>
      <c r="IV333" s="27" t="s">
        <v>7</v>
      </c>
      <c r="IY333" s="27" t="s">
        <v>8</v>
      </c>
      <c r="IZ333" s="27" t="s">
        <v>7</v>
      </c>
    </row>
    <row r="334" spans="1:260" x14ac:dyDescent="0.25">
      <c r="A334" s="7">
        <v>149.91443618875272</v>
      </c>
      <c r="B334"/>
      <c r="C334"/>
      <c r="D334"/>
      <c r="E334"/>
      <c r="CK334" s="27" t="s">
        <v>8</v>
      </c>
      <c r="CL334" s="27" t="s">
        <v>7</v>
      </c>
      <c r="CN334" s="27" t="s">
        <v>7</v>
      </c>
      <c r="CO334" s="27" t="s">
        <v>8</v>
      </c>
      <c r="CP334" s="27" t="s">
        <v>7</v>
      </c>
      <c r="CQ334" s="27" t="s">
        <v>8</v>
      </c>
      <c r="CR334" s="27" t="s">
        <v>7</v>
      </c>
      <c r="CU334" s="27" t="s">
        <v>8</v>
      </c>
      <c r="CY334" s="27" t="s">
        <v>8</v>
      </c>
      <c r="CZ334" s="27" t="s">
        <v>7</v>
      </c>
      <c r="DA334" s="27" t="s">
        <v>8</v>
      </c>
      <c r="DC334" s="27" t="s">
        <v>8</v>
      </c>
      <c r="DD334" s="27" t="s">
        <v>7</v>
      </c>
      <c r="DK334" s="27" t="s">
        <v>8</v>
      </c>
      <c r="DL334" s="27" t="s">
        <v>7</v>
      </c>
      <c r="DO334" s="27" t="s">
        <v>8</v>
      </c>
      <c r="DX334" s="27" t="s">
        <v>7</v>
      </c>
      <c r="DY334" s="27" t="s">
        <v>8</v>
      </c>
      <c r="EB334" s="27" t="s">
        <v>7</v>
      </c>
      <c r="EC334" s="27" t="s">
        <v>8</v>
      </c>
      <c r="ED334" s="27" t="s">
        <v>7</v>
      </c>
      <c r="EE334" s="27" t="s">
        <v>8</v>
      </c>
      <c r="EN334" s="27" t="s">
        <v>7</v>
      </c>
      <c r="EO334" s="27" t="s">
        <v>8</v>
      </c>
      <c r="GI334" s="27" t="s">
        <v>8</v>
      </c>
      <c r="GJ334" s="27" t="s">
        <v>7</v>
      </c>
      <c r="GK334" s="27" t="s">
        <v>8</v>
      </c>
      <c r="GL334" s="27" t="s">
        <v>7</v>
      </c>
      <c r="GO334" s="27" t="s">
        <v>8</v>
      </c>
      <c r="GV334" s="27" t="s">
        <v>7</v>
      </c>
      <c r="GW334" s="27" t="s">
        <v>8</v>
      </c>
      <c r="IV334" s="27" t="s">
        <v>7</v>
      </c>
      <c r="IY334" s="27" t="s">
        <v>8</v>
      </c>
      <c r="IZ334" s="27" t="s">
        <v>7</v>
      </c>
    </row>
    <row r="335" spans="1:260" x14ac:dyDescent="0.25">
      <c r="A335" s="7">
        <v>146.97493743995364</v>
      </c>
      <c r="B335"/>
      <c r="C335"/>
      <c r="D335"/>
      <c r="E335"/>
      <c r="CK335" s="27" t="s">
        <v>8</v>
      </c>
      <c r="CN335" s="27" t="s">
        <v>7</v>
      </c>
      <c r="CO335" s="27" t="s">
        <v>8</v>
      </c>
      <c r="CP335" s="27" t="s">
        <v>7</v>
      </c>
      <c r="CQ335" s="27" t="s">
        <v>8</v>
      </c>
      <c r="CR335" s="27" t="s">
        <v>7</v>
      </c>
      <c r="CU335" s="27" t="s">
        <v>8</v>
      </c>
      <c r="CV335" s="27" t="s">
        <v>7</v>
      </c>
      <c r="CY335" s="27" t="s">
        <v>8</v>
      </c>
      <c r="CZ335" s="27" t="s">
        <v>7</v>
      </c>
      <c r="DA335" s="27" t="s">
        <v>8</v>
      </c>
      <c r="DB335" s="27" t="s">
        <v>7</v>
      </c>
      <c r="DC335" s="27" t="s">
        <v>8</v>
      </c>
      <c r="DD335" s="27" t="s">
        <v>7</v>
      </c>
      <c r="DG335" s="27" t="s">
        <v>8</v>
      </c>
      <c r="DK335" s="27" t="s">
        <v>8</v>
      </c>
      <c r="DL335" s="27" t="s">
        <v>7</v>
      </c>
      <c r="DM335" s="27" t="s">
        <v>8</v>
      </c>
      <c r="DO335" s="27" t="s">
        <v>8</v>
      </c>
      <c r="DX335" s="27" t="s">
        <v>7</v>
      </c>
      <c r="DY335" s="27" t="s">
        <v>8</v>
      </c>
      <c r="EB335" s="27" t="s">
        <v>7</v>
      </c>
      <c r="EC335" s="27" t="s">
        <v>8</v>
      </c>
      <c r="ED335" s="27" t="s">
        <v>7</v>
      </c>
      <c r="EE335" s="27" t="s">
        <v>8</v>
      </c>
      <c r="EN335" s="27" t="s">
        <v>7</v>
      </c>
      <c r="EO335" s="27" t="s">
        <v>8</v>
      </c>
      <c r="EP335" s="27" t="s">
        <v>7</v>
      </c>
      <c r="GI335" s="27" t="s">
        <v>8</v>
      </c>
      <c r="GJ335" s="27" t="s">
        <v>7</v>
      </c>
      <c r="GK335" s="27" t="s">
        <v>8</v>
      </c>
      <c r="GL335" s="27" t="s">
        <v>7</v>
      </c>
      <c r="GO335" s="27" t="s">
        <v>8</v>
      </c>
      <c r="GV335" s="27" t="s">
        <v>7</v>
      </c>
      <c r="GW335" s="27" t="s">
        <v>8</v>
      </c>
      <c r="IV335" s="27" t="s">
        <v>7</v>
      </c>
      <c r="IY335" s="27" t="s">
        <v>8</v>
      </c>
      <c r="IZ335" s="27" t="s">
        <v>7</v>
      </c>
    </row>
    <row r="336" spans="1:260" x14ac:dyDescent="0.25">
      <c r="A336" s="7">
        <v>144.09307592152317</v>
      </c>
      <c r="B336"/>
      <c r="C336"/>
      <c r="D336"/>
      <c r="E336"/>
      <c r="CK336" s="27" t="s">
        <v>8</v>
      </c>
      <c r="CN336" s="27" t="s">
        <v>7</v>
      </c>
      <c r="CO336" s="27" t="s">
        <v>8</v>
      </c>
      <c r="CP336" s="27" t="s">
        <v>7</v>
      </c>
      <c r="CQ336" s="27" t="s">
        <v>8</v>
      </c>
      <c r="CR336" s="27" t="s">
        <v>7</v>
      </c>
      <c r="CU336" s="27" t="s">
        <v>8</v>
      </c>
      <c r="CV336" s="27" t="s">
        <v>7</v>
      </c>
      <c r="CW336" s="27" t="s">
        <v>8</v>
      </c>
      <c r="CY336" s="27" t="s">
        <v>8</v>
      </c>
      <c r="CZ336" s="27" t="s">
        <v>7</v>
      </c>
      <c r="DA336" s="27" t="s">
        <v>8</v>
      </c>
      <c r="DB336" s="27" t="s">
        <v>7</v>
      </c>
      <c r="DC336" s="27" t="s">
        <v>8</v>
      </c>
      <c r="DD336" s="27" t="s">
        <v>7</v>
      </c>
      <c r="DG336" s="27" t="s">
        <v>8</v>
      </c>
      <c r="DH336" s="27" t="s">
        <v>7</v>
      </c>
      <c r="DI336" s="27" t="s">
        <v>8</v>
      </c>
      <c r="DK336" s="27" t="s">
        <v>8</v>
      </c>
      <c r="DL336" s="27" t="s">
        <v>7</v>
      </c>
      <c r="DM336" s="27" t="s">
        <v>8</v>
      </c>
      <c r="DN336" s="27" t="s">
        <v>7</v>
      </c>
      <c r="DO336" s="27" t="s">
        <v>8</v>
      </c>
      <c r="DX336" s="27" t="s">
        <v>7</v>
      </c>
      <c r="DY336" s="27" t="s">
        <v>8</v>
      </c>
      <c r="EB336" s="27" t="s">
        <v>7</v>
      </c>
      <c r="EC336" s="27" t="s">
        <v>8</v>
      </c>
      <c r="ED336" s="27" t="s">
        <v>7</v>
      </c>
      <c r="EE336" s="27" t="s">
        <v>8</v>
      </c>
      <c r="EN336" s="27" t="s">
        <v>7</v>
      </c>
      <c r="EO336" s="27" t="s">
        <v>8</v>
      </c>
      <c r="EP336" s="27" t="s">
        <v>7</v>
      </c>
      <c r="GI336" s="27" t="s">
        <v>8</v>
      </c>
      <c r="GJ336" s="27" t="s">
        <v>7</v>
      </c>
      <c r="GK336" s="27" t="s">
        <v>8</v>
      </c>
      <c r="GL336" s="27" t="s">
        <v>7</v>
      </c>
      <c r="GM336" s="27" t="s">
        <v>8</v>
      </c>
      <c r="GO336" s="27" t="s">
        <v>8</v>
      </c>
      <c r="GV336" s="27" t="s">
        <v>7</v>
      </c>
      <c r="GW336" s="27" t="s">
        <v>8</v>
      </c>
      <c r="IV336" s="27" t="s">
        <v>7</v>
      </c>
      <c r="IY336" s="27" t="s">
        <v>8</v>
      </c>
      <c r="IZ336" s="27" t="s">
        <v>7</v>
      </c>
    </row>
    <row r="337" spans="1:260" x14ac:dyDescent="0.25">
      <c r="A337" s="7">
        <v>141.26772149168937</v>
      </c>
      <c r="B337"/>
      <c r="C337"/>
      <c r="D337"/>
      <c r="E337"/>
      <c r="CK337" s="27" t="s">
        <v>8</v>
      </c>
      <c r="CN337" s="27" t="s">
        <v>7</v>
      </c>
      <c r="CO337" s="27" t="s">
        <v>8</v>
      </c>
      <c r="CP337" s="27" t="s">
        <v>7</v>
      </c>
      <c r="CQ337" s="27" t="s">
        <v>8</v>
      </c>
      <c r="CR337" s="27" t="s">
        <v>7</v>
      </c>
      <c r="CU337" s="27" t="s">
        <v>8</v>
      </c>
      <c r="CV337" s="27" t="s">
        <v>7</v>
      </c>
      <c r="CW337" s="27" t="s">
        <v>8</v>
      </c>
      <c r="CX337" s="27" t="s">
        <v>7</v>
      </c>
      <c r="CY337" s="27" t="s">
        <v>8</v>
      </c>
      <c r="CZ337" s="27" t="s">
        <v>7</v>
      </c>
      <c r="DA337" s="27" t="s">
        <v>8</v>
      </c>
      <c r="DB337" s="27" t="s">
        <v>7</v>
      </c>
      <c r="DD337" s="27" t="s">
        <v>7</v>
      </c>
      <c r="DG337" s="27" t="s">
        <v>8</v>
      </c>
      <c r="DH337" s="27" t="s">
        <v>7</v>
      </c>
      <c r="DI337" s="27" t="s">
        <v>8</v>
      </c>
      <c r="DJ337" s="27" t="s">
        <v>7</v>
      </c>
      <c r="DK337" s="27" t="s">
        <v>8</v>
      </c>
      <c r="DL337" s="27" t="s">
        <v>7</v>
      </c>
      <c r="DM337" s="27" t="s">
        <v>8</v>
      </c>
      <c r="DN337" s="27" t="s">
        <v>7</v>
      </c>
      <c r="DO337" s="27" t="s">
        <v>8</v>
      </c>
      <c r="DX337" s="27" t="s">
        <v>7</v>
      </c>
      <c r="DY337" s="27" t="s">
        <v>8</v>
      </c>
      <c r="EB337" s="27" t="s">
        <v>7</v>
      </c>
      <c r="ED337" s="27" t="s">
        <v>7</v>
      </c>
      <c r="EE337" s="27" t="s">
        <v>8</v>
      </c>
      <c r="EN337" s="27" t="s">
        <v>7</v>
      </c>
      <c r="EO337" s="27" t="s">
        <v>8</v>
      </c>
      <c r="EP337" s="27" t="s">
        <v>7</v>
      </c>
      <c r="GE337" s="27" t="s">
        <v>8</v>
      </c>
      <c r="GG337" s="27" t="s">
        <v>8</v>
      </c>
      <c r="GI337" s="27" t="s">
        <v>8</v>
      </c>
      <c r="GJ337" s="27" t="s">
        <v>7</v>
      </c>
      <c r="GK337" s="27" t="s">
        <v>8</v>
      </c>
      <c r="GL337" s="27" t="s">
        <v>7</v>
      </c>
      <c r="GM337" s="27" t="s">
        <v>8</v>
      </c>
      <c r="GN337" s="27" t="s">
        <v>7</v>
      </c>
      <c r="GO337" s="27" t="s">
        <v>8</v>
      </c>
      <c r="GV337" s="27" t="s">
        <v>7</v>
      </c>
      <c r="GW337" s="27" t="s">
        <v>8</v>
      </c>
      <c r="IV337" s="27" t="s">
        <v>7</v>
      </c>
      <c r="IW337" s="27" t="s">
        <v>8</v>
      </c>
      <c r="IY337" s="27" t="s">
        <v>8</v>
      </c>
      <c r="IZ337" s="27" t="s">
        <v>7</v>
      </c>
    </row>
    <row r="338" spans="1:260" x14ac:dyDescent="0.25">
      <c r="A338" s="7">
        <v>138.4977661683229</v>
      </c>
      <c r="B338"/>
      <c r="C338"/>
      <c r="D338"/>
      <c r="E338"/>
      <c r="CK338" s="27" t="s">
        <v>8</v>
      </c>
      <c r="CN338" s="27" t="s">
        <v>7</v>
      </c>
      <c r="CO338" s="27" t="s">
        <v>8</v>
      </c>
      <c r="CP338" s="27" t="s">
        <v>7</v>
      </c>
      <c r="CQ338" s="27" t="s">
        <v>8</v>
      </c>
      <c r="CR338" s="27" t="s">
        <v>7</v>
      </c>
      <c r="CU338" s="27" t="s">
        <v>8</v>
      </c>
      <c r="CV338" s="27" t="s">
        <v>7</v>
      </c>
      <c r="CW338" s="27" t="s">
        <v>8</v>
      </c>
      <c r="CX338" s="27" t="s">
        <v>7</v>
      </c>
      <c r="CY338" s="27" t="s">
        <v>8</v>
      </c>
      <c r="CZ338" s="27" t="s">
        <v>7</v>
      </c>
      <c r="DA338" s="27" t="s">
        <v>8</v>
      </c>
      <c r="DD338" s="27" t="s">
        <v>7</v>
      </c>
      <c r="DE338" s="27" t="s">
        <v>8</v>
      </c>
      <c r="DG338" s="27" t="s">
        <v>8</v>
      </c>
      <c r="DH338" s="27" t="s">
        <v>7</v>
      </c>
      <c r="DI338" s="27" t="s">
        <v>8</v>
      </c>
      <c r="DJ338" s="27" t="s">
        <v>7</v>
      </c>
      <c r="DK338" s="27" t="s">
        <v>8</v>
      </c>
      <c r="DL338" s="27" t="s">
        <v>7</v>
      </c>
      <c r="DN338" s="27" t="s">
        <v>7</v>
      </c>
      <c r="DO338" s="27" t="s">
        <v>8</v>
      </c>
      <c r="DX338" s="27" t="s">
        <v>7</v>
      </c>
      <c r="DY338" s="27" t="s">
        <v>8</v>
      </c>
      <c r="ED338" s="27" t="s">
        <v>7</v>
      </c>
      <c r="EN338" s="27" t="s">
        <v>7</v>
      </c>
      <c r="EO338" s="27" t="s">
        <v>8</v>
      </c>
      <c r="EP338" s="27" t="s">
        <v>7</v>
      </c>
      <c r="GE338" s="27" t="s">
        <v>8</v>
      </c>
      <c r="GF338" s="27" t="s">
        <v>7</v>
      </c>
      <c r="GG338" s="27" t="s">
        <v>8</v>
      </c>
      <c r="GH338" s="27" t="s">
        <v>7</v>
      </c>
      <c r="GI338" s="27" t="s">
        <v>8</v>
      </c>
      <c r="GJ338" s="27" t="s">
        <v>7</v>
      </c>
      <c r="GK338" s="27" t="s">
        <v>8</v>
      </c>
      <c r="GL338" s="27" t="s">
        <v>7</v>
      </c>
      <c r="GM338" s="27" t="s">
        <v>8</v>
      </c>
      <c r="GN338" s="27" t="s">
        <v>7</v>
      </c>
      <c r="GO338" s="27" t="s">
        <v>8</v>
      </c>
      <c r="GV338" s="27" t="s">
        <v>7</v>
      </c>
      <c r="GW338" s="27" t="s">
        <v>8</v>
      </c>
      <c r="IV338" s="27" t="s">
        <v>7</v>
      </c>
      <c r="IW338" s="27" t="s">
        <v>8</v>
      </c>
      <c r="IX338" s="27" t="s">
        <v>7</v>
      </c>
      <c r="IY338" s="27" t="s">
        <v>8</v>
      </c>
      <c r="IZ338" s="27" t="s">
        <v>7</v>
      </c>
    </row>
    <row r="339" spans="1:260" x14ac:dyDescent="0.25">
      <c r="A339" s="7">
        <v>135.7821236944342</v>
      </c>
      <c r="B339"/>
      <c r="C339"/>
      <c r="D339"/>
      <c r="E339"/>
      <c r="CK339" s="27" t="s">
        <v>8</v>
      </c>
      <c r="CN339" s="27" t="s">
        <v>7</v>
      </c>
      <c r="CO339" s="27" t="s">
        <v>8</v>
      </c>
      <c r="CP339" s="27" t="s">
        <v>7</v>
      </c>
      <c r="CQ339" s="27" t="s">
        <v>8</v>
      </c>
      <c r="CR339" s="27" t="s">
        <v>7</v>
      </c>
      <c r="CU339" s="27" t="s">
        <v>8</v>
      </c>
      <c r="CV339" s="27" t="s">
        <v>7</v>
      </c>
      <c r="CW339" s="27" t="s">
        <v>8</v>
      </c>
      <c r="CX339" s="27" t="s">
        <v>7</v>
      </c>
      <c r="CY339" s="27" t="s">
        <v>8</v>
      </c>
      <c r="CZ339" s="27" t="s">
        <v>7</v>
      </c>
      <c r="DA339" s="27" t="s">
        <v>8</v>
      </c>
      <c r="DD339" s="27" t="s">
        <v>7</v>
      </c>
      <c r="DE339" s="27" t="s">
        <v>8</v>
      </c>
      <c r="DF339" s="27" t="s">
        <v>7</v>
      </c>
      <c r="DG339" s="27" t="s">
        <v>8</v>
      </c>
      <c r="DH339" s="27" t="s">
        <v>7</v>
      </c>
      <c r="DI339" s="27" t="s">
        <v>8</v>
      </c>
      <c r="DJ339" s="27" t="s">
        <v>7</v>
      </c>
      <c r="DK339" s="27" t="s">
        <v>8</v>
      </c>
      <c r="DN339" s="27" t="s">
        <v>7</v>
      </c>
      <c r="DO339" s="27" t="s">
        <v>8</v>
      </c>
      <c r="DX339" s="27" t="s">
        <v>7</v>
      </c>
      <c r="DY339" s="27" t="s">
        <v>8</v>
      </c>
      <c r="EN339" s="27" t="s">
        <v>7</v>
      </c>
      <c r="EP339" s="27" t="s">
        <v>7</v>
      </c>
      <c r="GE339" s="27" t="s">
        <v>8</v>
      </c>
      <c r="GF339" s="27" t="s">
        <v>7</v>
      </c>
      <c r="GG339" s="27" t="s">
        <v>8</v>
      </c>
      <c r="GH339" s="27" t="s">
        <v>7</v>
      </c>
      <c r="GI339" s="27" t="s">
        <v>8</v>
      </c>
      <c r="GJ339" s="27" t="s">
        <v>7</v>
      </c>
      <c r="GK339" s="27" t="s">
        <v>8</v>
      </c>
      <c r="GL339" s="27" t="s">
        <v>7</v>
      </c>
      <c r="GM339" s="27" t="s">
        <v>8</v>
      </c>
      <c r="GN339" s="27" t="s">
        <v>7</v>
      </c>
      <c r="GO339" s="27" t="s">
        <v>8</v>
      </c>
      <c r="GV339" s="27" t="s">
        <v>7</v>
      </c>
      <c r="GW339" s="27" t="s">
        <v>8</v>
      </c>
      <c r="IV339" s="27" t="s">
        <v>7</v>
      </c>
      <c r="IW339" s="27" t="s">
        <v>8</v>
      </c>
      <c r="IX339" s="27" t="s">
        <v>7</v>
      </c>
      <c r="IY339" s="27" t="s">
        <v>8</v>
      </c>
    </row>
    <row r="340" spans="1:260" x14ac:dyDescent="0.25">
      <c r="A340" s="7">
        <v>133.11972911219038</v>
      </c>
      <c r="B340"/>
      <c r="C340"/>
      <c r="D340"/>
      <c r="E340"/>
      <c r="CK340" s="27" t="s">
        <v>8</v>
      </c>
      <c r="CN340" s="27" t="s">
        <v>7</v>
      </c>
      <c r="CO340" s="27" t="s">
        <v>8</v>
      </c>
      <c r="CP340" s="27" t="s">
        <v>7</v>
      </c>
      <c r="CR340" s="27" t="s">
        <v>7</v>
      </c>
      <c r="CU340" s="27" t="s">
        <v>8</v>
      </c>
      <c r="CV340" s="27" t="s">
        <v>7</v>
      </c>
      <c r="CW340" s="27" t="s">
        <v>8</v>
      </c>
      <c r="CX340" s="27" t="s">
        <v>7</v>
      </c>
      <c r="CZ340" s="27" t="s">
        <v>7</v>
      </c>
      <c r="DD340" s="27" t="s">
        <v>7</v>
      </c>
      <c r="DE340" s="27" t="s">
        <v>8</v>
      </c>
      <c r="DF340" s="27" t="s">
        <v>7</v>
      </c>
      <c r="DG340" s="27" t="s">
        <v>8</v>
      </c>
      <c r="DH340" s="27" t="s">
        <v>7</v>
      </c>
      <c r="DJ340" s="27" t="s">
        <v>7</v>
      </c>
      <c r="DK340" s="27" t="s">
        <v>8</v>
      </c>
      <c r="DN340" s="27" t="s">
        <v>7</v>
      </c>
      <c r="DX340" s="27" t="s">
        <v>7</v>
      </c>
      <c r="DY340" s="27" t="s">
        <v>8</v>
      </c>
      <c r="EP340" s="27" t="s">
        <v>7</v>
      </c>
      <c r="GE340" s="27" t="s">
        <v>8</v>
      </c>
      <c r="GF340" s="27" t="s">
        <v>7</v>
      </c>
      <c r="GG340" s="27" t="s">
        <v>8</v>
      </c>
      <c r="GH340" s="27" t="s">
        <v>7</v>
      </c>
      <c r="GJ340" s="27" t="s">
        <v>7</v>
      </c>
      <c r="GK340" s="27" t="s">
        <v>8</v>
      </c>
      <c r="GL340" s="27" t="s">
        <v>7</v>
      </c>
      <c r="GN340" s="27" t="s">
        <v>7</v>
      </c>
      <c r="GO340" s="27" t="s">
        <v>8</v>
      </c>
      <c r="GV340" s="27" t="s">
        <v>7</v>
      </c>
      <c r="IV340" s="27" t="s">
        <v>7</v>
      </c>
      <c r="IW340" s="27" t="s">
        <v>8</v>
      </c>
      <c r="IX340" s="27" t="s">
        <v>7</v>
      </c>
      <c r="IY340" s="27" t="s">
        <v>8</v>
      </c>
    </row>
    <row r="341" spans="1:260" x14ac:dyDescent="0.25">
      <c r="A341" s="7">
        <v>130.50953834528468</v>
      </c>
      <c r="B341"/>
      <c r="C341"/>
      <c r="D341"/>
      <c r="E341"/>
      <c r="CK341" s="27" t="s">
        <v>8</v>
      </c>
      <c r="CN341" s="27" t="s">
        <v>7</v>
      </c>
      <c r="CO341" s="27" t="s">
        <v>8</v>
      </c>
      <c r="CR341" s="27" t="s">
        <v>7</v>
      </c>
      <c r="CU341" s="27" t="s">
        <v>8</v>
      </c>
      <c r="CV341" s="27" t="s">
        <v>7</v>
      </c>
      <c r="CW341" s="27" t="s">
        <v>8</v>
      </c>
      <c r="DD341" s="27" t="s">
        <v>7</v>
      </c>
      <c r="DE341" s="27" t="s">
        <v>8</v>
      </c>
      <c r="DF341" s="27" t="s">
        <v>7</v>
      </c>
      <c r="DG341" s="27" t="s">
        <v>8</v>
      </c>
      <c r="DJ341" s="27" t="s">
        <v>7</v>
      </c>
      <c r="DK341" s="27" t="s">
        <v>8</v>
      </c>
      <c r="DX341" s="27" t="s">
        <v>7</v>
      </c>
      <c r="DY341" s="27" t="s">
        <v>8</v>
      </c>
      <c r="EP341" s="27" t="s">
        <v>7</v>
      </c>
      <c r="GE341" s="27" t="s">
        <v>8</v>
      </c>
      <c r="GF341" s="27" t="s">
        <v>7</v>
      </c>
      <c r="GG341" s="27" t="s">
        <v>8</v>
      </c>
      <c r="GJ341" s="27" t="s">
        <v>7</v>
      </c>
      <c r="GN341" s="27" t="s">
        <v>7</v>
      </c>
      <c r="IV341" s="27" t="s">
        <v>7</v>
      </c>
      <c r="IW341" s="27" t="s">
        <v>8</v>
      </c>
      <c r="IX341" s="27" t="s">
        <v>7</v>
      </c>
      <c r="IY341" s="27" t="s">
        <v>8</v>
      </c>
    </row>
    <row r="342" spans="1:260" x14ac:dyDescent="0.25">
      <c r="A342" s="7">
        <v>127.95052778949477</v>
      </c>
      <c r="B342"/>
      <c r="C342"/>
      <c r="D342"/>
      <c r="E342"/>
      <c r="CK342" s="27" t="s">
        <v>8</v>
      </c>
      <c r="CN342" s="27" t="s">
        <v>7</v>
      </c>
      <c r="CO342" s="27" t="s">
        <v>8</v>
      </c>
      <c r="CR342" s="27" t="s">
        <v>7</v>
      </c>
      <c r="CS342" s="27" t="s">
        <v>8</v>
      </c>
      <c r="CU342" s="27" t="s">
        <v>8</v>
      </c>
      <c r="CV342" s="27" t="s">
        <v>7</v>
      </c>
      <c r="CW342" s="27" t="s">
        <v>8</v>
      </c>
      <c r="DD342" s="27" t="s">
        <v>7</v>
      </c>
      <c r="DE342" s="27" t="s">
        <v>8</v>
      </c>
      <c r="DF342" s="27" t="s">
        <v>7</v>
      </c>
      <c r="DJ342" s="27" t="s">
        <v>7</v>
      </c>
      <c r="DK342" s="27" t="s">
        <v>8</v>
      </c>
      <c r="DX342" s="27" t="s">
        <v>7</v>
      </c>
      <c r="DY342" s="27" t="s">
        <v>8</v>
      </c>
      <c r="EP342" s="27" t="s">
        <v>7</v>
      </c>
      <c r="GE342" s="27" t="s">
        <v>8</v>
      </c>
      <c r="GF342" s="27" t="s">
        <v>7</v>
      </c>
      <c r="GG342" s="27" t="s">
        <v>8</v>
      </c>
      <c r="IV342" s="27" t="s">
        <v>7</v>
      </c>
      <c r="IW342" s="27" t="s">
        <v>8</v>
      </c>
      <c r="IX342" s="27" t="s">
        <v>7</v>
      </c>
      <c r="IY342" s="27" t="s">
        <v>8</v>
      </c>
    </row>
    <row r="343" spans="1:260" x14ac:dyDescent="0.25">
      <c r="A343" s="7">
        <v>125.44169391126938</v>
      </c>
      <c r="B343"/>
      <c r="C343"/>
      <c r="D343"/>
      <c r="E343"/>
      <c r="CK343" s="27" t="s">
        <v>8</v>
      </c>
      <c r="CN343" s="27" t="s">
        <v>7</v>
      </c>
      <c r="CO343" s="27" t="s">
        <v>8</v>
      </c>
      <c r="CR343" s="27" t="s">
        <v>7</v>
      </c>
      <c r="CS343" s="27" t="s">
        <v>8</v>
      </c>
      <c r="CT343" s="27" t="s">
        <v>7</v>
      </c>
      <c r="CU343" s="27" t="s">
        <v>8</v>
      </c>
      <c r="CV343" s="27" t="s">
        <v>7</v>
      </c>
      <c r="CW343" s="27" t="s">
        <v>8</v>
      </c>
      <c r="DD343" s="27" t="s">
        <v>7</v>
      </c>
      <c r="DJ343" s="27" t="s">
        <v>7</v>
      </c>
      <c r="DK343" s="27" t="s">
        <v>8</v>
      </c>
      <c r="DX343" s="27" t="s">
        <v>7</v>
      </c>
      <c r="EP343" s="27" t="s">
        <v>7</v>
      </c>
      <c r="GE343" s="27" t="s">
        <v>8</v>
      </c>
      <c r="GF343" s="27" t="s">
        <v>7</v>
      </c>
      <c r="IV343" s="27" t="s">
        <v>7</v>
      </c>
      <c r="IW343" s="27" t="s">
        <v>8</v>
      </c>
      <c r="IX343" s="27" t="s">
        <v>7</v>
      </c>
      <c r="IY343" s="27" t="s">
        <v>8</v>
      </c>
    </row>
    <row r="344" spans="1:260" x14ac:dyDescent="0.25">
      <c r="A344" s="7">
        <v>122.98205285418567</v>
      </c>
      <c r="B344"/>
      <c r="C344"/>
      <c r="D344"/>
      <c r="E344"/>
      <c r="CK344" s="27" t="s">
        <v>8</v>
      </c>
      <c r="CN344" s="27" t="s">
        <v>7</v>
      </c>
      <c r="CO344" s="27" t="s">
        <v>8</v>
      </c>
      <c r="CR344" s="27" t="s">
        <v>7</v>
      </c>
      <c r="CS344" s="27" t="s">
        <v>8</v>
      </c>
      <c r="CT344" s="27" t="s">
        <v>7</v>
      </c>
      <c r="CU344" s="27" t="s">
        <v>8</v>
      </c>
      <c r="CV344" s="27" t="s">
        <v>7</v>
      </c>
      <c r="CW344" s="27" t="s">
        <v>8</v>
      </c>
      <c r="DJ344" s="27" t="s">
        <v>7</v>
      </c>
      <c r="DK344" s="27" t="s">
        <v>8</v>
      </c>
      <c r="EP344" s="27" t="s">
        <v>7</v>
      </c>
      <c r="EQ344" s="27" t="s">
        <v>8</v>
      </c>
      <c r="GE344" s="27" t="s">
        <v>8</v>
      </c>
      <c r="IV344" s="27" t="s">
        <v>7</v>
      </c>
      <c r="IW344" s="27" t="s">
        <v>8</v>
      </c>
      <c r="IX344" s="27" t="s">
        <v>7</v>
      </c>
      <c r="IY344" s="27" t="s">
        <v>8</v>
      </c>
    </row>
    <row r="345" spans="1:260" x14ac:dyDescent="0.25">
      <c r="A345" s="7">
        <v>120.5706400531232</v>
      </c>
      <c r="B345"/>
      <c r="C345"/>
      <c r="D345"/>
      <c r="E345"/>
      <c r="CK345" s="27" t="s">
        <v>8</v>
      </c>
      <c r="CN345" s="27" t="s">
        <v>7</v>
      </c>
      <c r="CO345" s="27" t="s">
        <v>8</v>
      </c>
      <c r="CR345" s="27" t="s">
        <v>7</v>
      </c>
      <c r="CS345" s="27" t="s">
        <v>8</v>
      </c>
      <c r="CT345" s="27" t="s">
        <v>7</v>
      </c>
      <c r="CU345" s="27" t="s">
        <v>8</v>
      </c>
      <c r="CV345" s="27" t="s">
        <v>7</v>
      </c>
      <c r="DJ345" s="27" t="s">
        <v>7</v>
      </c>
      <c r="DK345" s="27" t="s">
        <v>8</v>
      </c>
      <c r="EP345" s="27" t="s">
        <v>7</v>
      </c>
      <c r="EQ345" s="27" t="s">
        <v>8</v>
      </c>
      <c r="ER345" s="27" t="s">
        <v>7</v>
      </c>
      <c r="EW345" s="27" t="s">
        <v>8</v>
      </c>
      <c r="GE345" s="27" t="s">
        <v>8</v>
      </c>
      <c r="IV345" s="27" t="s">
        <v>7</v>
      </c>
      <c r="IW345" s="27" t="s">
        <v>8</v>
      </c>
      <c r="IX345" s="27" t="s">
        <v>7</v>
      </c>
      <c r="IY345" s="27" t="s">
        <v>8</v>
      </c>
    </row>
    <row r="346" spans="1:260" x14ac:dyDescent="0.25">
      <c r="A346" s="7">
        <v>118.20650985600314</v>
      </c>
      <c r="B346"/>
      <c r="C346"/>
      <c r="D346"/>
      <c r="E346"/>
      <c r="CK346" s="27" t="s">
        <v>8</v>
      </c>
      <c r="CN346" s="27" t="s">
        <v>7</v>
      </c>
      <c r="CO346" s="27" t="s">
        <v>8</v>
      </c>
      <c r="CR346" s="27" t="s">
        <v>7</v>
      </c>
      <c r="CS346" s="27" t="s">
        <v>8</v>
      </c>
      <c r="CT346" s="27" t="s">
        <v>7</v>
      </c>
      <c r="CU346" s="27" t="s">
        <v>8</v>
      </c>
      <c r="DJ346" s="27" t="s">
        <v>7</v>
      </c>
      <c r="DK346" s="27" t="s">
        <v>8</v>
      </c>
      <c r="EP346" s="27" t="s">
        <v>7</v>
      </c>
      <c r="EQ346" s="27" t="s">
        <v>8</v>
      </c>
      <c r="ER346" s="27" t="s">
        <v>7</v>
      </c>
      <c r="EW346" s="27" t="s">
        <v>8</v>
      </c>
      <c r="EX346" s="27" t="s">
        <v>7</v>
      </c>
      <c r="GE346" s="27" t="s">
        <v>8</v>
      </c>
      <c r="IV346" s="27" t="s">
        <v>7</v>
      </c>
      <c r="IW346" s="27" t="s">
        <v>8</v>
      </c>
      <c r="IX346" s="27" t="s">
        <v>7</v>
      </c>
      <c r="IY346" s="27" t="s">
        <v>8</v>
      </c>
    </row>
    <row r="347" spans="1:260" x14ac:dyDescent="0.25">
      <c r="A347" s="7">
        <v>115.88873515294425</v>
      </c>
      <c r="B347"/>
      <c r="C347"/>
      <c r="D347"/>
      <c r="E347"/>
      <c r="CK347" s="27" t="s">
        <v>8</v>
      </c>
      <c r="CN347" s="27" t="s">
        <v>7</v>
      </c>
      <c r="CO347" s="27" t="s">
        <v>8</v>
      </c>
      <c r="CR347" s="27" t="s">
        <v>7</v>
      </c>
      <c r="CS347" s="27" t="s">
        <v>8</v>
      </c>
      <c r="CT347" s="27" t="s">
        <v>7</v>
      </c>
      <c r="CU347" s="27" t="s">
        <v>8</v>
      </c>
      <c r="DJ347" s="27" t="s">
        <v>7</v>
      </c>
      <c r="EP347" s="27" t="s">
        <v>7</v>
      </c>
      <c r="EQ347" s="27" t="s">
        <v>8</v>
      </c>
      <c r="ER347" s="27" t="s">
        <v>7</v>
      </c>
      <c r="EW347" s="27" t="s">
        <v>8</v>
      </c>
      <c r="EX347" s="27" t="s">
        <v>7</v>
      </c>
      <c r="GE347" s="27" t="s">
        <v>8</v>
      </c>
      <c r="IV347" s="27" t="s">
        <v>7</v>
      </c>
      <c r="IW347" s="27" t="s">
        <v>8</v>
      </c>
      <c r="IX347" s="27" t="s">
        <v>7</v>
      </c>
    </row>
    <row r="348" spans="1:260" x14ac:dyDescent="0.25">
      <c r="A348" s="7">
        <v>113.61640701269044</v>
      </c>
      <c r="B348"/>
      <c r="C348"/>
      <c r="D348"/>
      <c r="E348"/>
      <c r="CK348" s="27" t="s">
        <v>8</v>
      </c>
      <c r="CN348" s="27" t="s">
        <v>7</v>
      </c>
      <c r="CO348" s="27" t="s">
        <v>8</v>
      </c>
      <c r="CR348" s="27" t="s">
        <v>7</v>
      </c>
      <c r="CS348" s="27" t="s">
        <v>8</v>
      </c>
      <c r="CT348" s="27" t="s">
        <v>7</v>
      </c>
      <c r="CU348" s="27" t="s">
        <v>8</v>
      </c>
      <c r="EP348" s="27" t="s">
        <v>7</v>
      </c>
      <c r="EQ348" s="27" t="s">
        <v>8</v>
      </c>
      <c r="ER348" s="27" t="s">
        <v>7</v>
      </c>
      <c r="EW348" s="27" t="s">
        <v>8</v>
      </c>
      <c r="EX348" s="27" t="s">
        <v>7</v>
      </c>
      <c r="GE348" s="27" t="s">
        <v>8</v>
      </c>
      <c r="IV348" s="27" t="s">
        <v>7</v>
      </c>
    </row>
    <row r="349" spans="1:260" x14ac:dyDescent="0.25">
      <c r="A349" s="7">
        <v>111.38863432616711</v>
      </c>
      <c r="B349"/>
      <c r="C349"/>
      <c r="D349"/>
      <c r="E349"/>
      <c r="CK349" s="27" t="s">
        <v>8</v>
      </c>
      <c r="CN349" s="27" t="s">
        <v>7</v>
      </c>
      <c r="CO349" s="27" t="s">
        <v>8</v>
      </c>
      <c r="CR349" s="27" t="s">
        <v>7</v>
      </c>
      <c r="CS349" s="27" t="s">
        <v>8</v>
      </c>
      <c r="CT349" s="27" t="s">
        <v>7</v>
      </c>
      <c r="CU349" s="27" t="s">
        <v>8</v>
      </c>
      <c r="EP349" s="27" t="s">
        <v>7</v>
      </c>
      <c r="EQ349" s="27" t="s">
        <v>8</v>
      </c>
      <c r="ER349" s="27" t="s">
        <v>7</v>
      </c>
      <c r="EW349" s="27" t="s">
        <v>8</v>
      </c>
      <c r="EX349" s="27" t="s">
        <v>7</v>
      </c>
      <c r="GE349" s="27" t="s">
        <v>8</v>
      </c>
    </row>
    <row r="350" spans="1:260" x14ac:dyDescent="0.25">
      <c r="A350" s="7">
        <v>109.20454345702657</v>
      </c>
      <c r="B350"/>
      <c r="C350"/>
      <c r="D350"/>
      <c r="E350"/>
      <c r="CK350" s="27" t="s">
        <v>8</v>
      </c>
      <c r="CN350" s="27" t="s">
        <v>7</v>
      </c>
      <c r="CO350" s="27" t="s">
        <v>8</v>
      </c>
      <c r="CR350" s="27" t="s">
        <v>7</v>
      </c>
      <c r="CS350" s="27" t="s">
        <v>8</v>
      </c>
      <c r="CT350" s="27" t="s">
        <v>7</v>
      </c>
      <c r="CU350" s="27" t="s">
        <v>8</v>
      </c>
      <c r="EP350" s="27" t="s">
        <v>7</v>
      </c>
      <c r="EQ350" s="27" t="s">
        <v>8</v>
      </c>
      <c r="ER350" s="27" t="s">
        <v>7</v>
      </c>
      <c r="EU350" s="27" t="s">
        <v>8</v>
      </c>
      <c r="EW350" s="27" t="s">
        <v>8</v>
      </c>
      <c r="EX350" s="27" t="s">
        <v>7</v>
      </c>
      <c r="EY350" s="27" t="s">
        <v>8</v>
      </c>
      <c r="GE350" s="27" t="s">
        <v>8</v>
      </c>
    </row>
    <row r="351" spans="1:260" x14ac:dyDescent="0.25">
      <c r="A351" s="7">
        <v>107.06327789904566</v>
      </c>
      <c r="B351"/>
      <c r="C351"/>
      <c r="D351"/>
      <c r="E351"/>
      <c r="CK351" s="27" t="s">
        <v>8</v>
      </c>
      <c r="CN351" s="27" t="s">
        <v>7</v>
      </c>
      <c r="CO351" s="27" t="s">
        <v>8</v>
      </c>
      <c r="CR351" s="27" t="s">
        <v>7</v>
      </c>
      <c r="CS351" s="27" t="s">
        <v>8</v>
      </c>
      <c r="CT351" s="27" t="s">
        <v>7</v>
      </c>
      <c r="CU351" s="27" t="s">
        <v>8</v>
      </c>
      <c r="EP351" s="27" t="s">
        <v>7</v>
      </c>
      <c r="EQ351" s="27" t="s">
        <v>8</v>
      </c>
      <c r="ER351" s="27" t="s">
        <v>7</v>
      </c>
      <c r="EU351" s="27" t="s">
        <v>8</v>
      </c>
      <c r="EV351" s="27" t="s">
        <v>7</v>
      </c>
      <c r="EW351" s="27" t="s">
        <v>8</v>
      </c>
      <c r="EX351" s="27" t="s">
        <v>7</v>
      </c>
      <c r="EY351" s="27" t="s">
        <v>8</v>
      </c>
      <c r="EZ351" s="27" t="s">
        <v>7</v>
      </c>
      <c r="FO351" s="27" t="s">
        <v>8</v>
      </c>
      <c r="GE351" s="27" t="s">
        <v>8</v>
      </c>
    </row>
    <row r="352" spans="1:260" x14ac:dyDescent="0.25">
      <c r="A352" s="7">
        <v>104.96399794024084</v>
      </c>
      <c r="B352"/>
      <c r="C352"/>
      <c r="D352"/>
      <c r="E352"/>
      <c r="CK352" s="27" t="s">
        <v>8</v>
      </c>
      <c r="CN352" s="27" t="s">
        <v>7</v>
      </c>
      <c r="CO352" s="27" t="s">
        <v>8</v>
      </c>
      <c r="CR352" s="27" t="s">
        <v>7</v>
      </c>
      <c r="CS352" s="27" t="s">
        <v>8</v>
      </c>
      <c r="CT352" s="27" t="s">
        <v>7</v>
      </c>
      <c r="EP352" s="27" t="s">
        <v>7</v>
      </c>
      <c r="EQ352" s="27" t="s">
        <v>8</v>
      </c>
      <c r="ER352" s="27" t="s">
        <v>7</v>
      </c>
      <c r="EU352" s="27" t="s">
        <v>8</v>
      </c>
      <c r="EV352" s="27" t="s">
        <v>7</v>
      </c>
      <c r="EW352" s="27" t="s">
        <v>8</v>
      </c>
      <c r="EX352" s="27" t="s">
        <v>7</v>
      </c>
      <c r="EY352" s="27" t="s">
        <v>8</v>
      </c>
      <c r="EZ352" s="27" t="s">
        <v>7</v>
      </c>
      <c r="FO352" s="27" t="s">
        <v>8</v>
      </c>
      <c r="FP352" s="27" t="s">
        <v>7</v>
      </c>
      <c r="GE352" s="27" t="s">
        <v>8</v>
      </c>
    </row>
    <row r="353" spans="1:187" x14ac:dyDescent="0.25">
      <c r="A353" s="7">
        <v>102.90588033356946</v>
      </c>
      <c r="B353"/>
      <c r="C353"/>
      <c r="D353"/>
      <c r="E353"/>
      <c r="CK353" s="27" t="s">
        <v>8</v>
      </c>
      <c r="CN353" s="27" t="s">
        <v>7</v>
      </c>
      <c r="CO353" s="27" t="s">
        <v>8</v>
      </c>
      <c r="CR353" s="27" t="s">
        <v>7</v>
      </c>
      <c r="CS353" s="27" t="s">
        <v>8</v>
      </c>
      <c r="EP353" s="27" t="s">
        <v>7</v>
      </c>
      <c r="EQ353" s="27" t="s">
        <v>8</v>
      </c>
      <c r="ER353" s="27" t="s">
        <v>7</v>
      </c>
      <c r="EU353" s="27" t="s">
        <v>8</v>
      </c>
      <c r="EV353" s="27" t="s">
        <v>7</v>
      </c>
      <c r="EW353" s="27" t="s">
        <v>8</v>
      </c>
      <c r="EX353" s="27" t="s">
        <v>7</v>
      </c>
      <c r="EY353" s="27" t="s">
        <v>8</v>
      </c>
      <c r="EZ353" s="27" t="s">
        <v>7</v>
      </c>
      <c r="FA353" s="27" t="s">
        <v>8</v>
      </c>
      <c r="FO353" s="27" t="s">
        <v>8</v>
      </c>
      <c r="FP353" s="27" t="s">
        <v>7</v>
      </c>
      <c r="GC353" s="27" t="s">
        <v>8</v>
      </c>
      <c r="GE353" s="27" t="s">
        <v>8</v>
      </c>
    </row>
    <row r="354" spans="1:187" x14ac:dyDescent="0.25">
      <c r="A354" s="7">
        <v>100.88811797408771</v>
      </c>
      <c r="B354"/>
      <c r="C354"/>
      <c r="D354"/>
      <c r="E354"/>
      <c r="CK354" s="27" t="s">
        <v>8</v>
      </c>
      <c r="CN354" s="27" t="s">
        <v>7</v>
      </c>
      <c r="CO354" s="27" t="s">
        <v>8</v>
      </c>
      <c r="CR354" s="27" t="s">
        <v>7</v>
      </c>
      <c r="CS354" s="27" t="s">
        <v>8</v>
      </c>
      <c r="EP354" s="27" t="s">
        <v>7</v>
      </c>
      <c r="EQ354" s="27" t="s">
        <v>8</v>
      </c>
      <c r="ER354" s="27" t="s">
        <v>7</v>
      </c>
      <c r="EU354" s="27" t="s">
        <v>8</v>
      </c>
      <c r="EV354" s="27" t="s">
        <v>7</v>
      </c>
      <c r="EW354" s="27" t="s">
        <v>8</v>
      </c>
      <c r="EX354" s="27" t="s">
        <v>7</v>
      </c>
      <c r="EY354" s="27" t="s">
        <v>8</v>
      </c>
      <c r="EZ354" s="27" t="s">
        <v>7</v>
      </c>
      <c r="FA354" s="27" t="s">
        <v>8</v>
      </c>
      <c r="FB354" s="27" t="s">
        <v>7</v>
      </c>
      <c r="FO354" s="27" t="s">
        <v>8</v>
      </c>
      <c r="FP354" s="27" t="s">
        <v>7</v>
      </c>
      <c r="GC354" s="27" t="s">
        <v>8</v>
      </c>
      <c r="GD354" s="27" t="s">
        <v>7</v>
      </c>
      <c r="GE354" s="27" t="s">
        <v>8</v>
      </c>
    </row>
    <row r="355" spans="1:187" x14ac:dyDescent="0.25">
      <c r="A355" s="7">
        <v>98.909919582438931</v>
      </c>
      <c r="B355"/>
      <c r="C355"/>
      <c r="D355"/>
      <c r="E355"/>
      <c r="CK355" s="27" t="s">
        <v>8</v>
      </c>
      <c r="CN355" s="27" t="s">
        <v>7</v>
      </c>
      <c r="CO355" s="27" t="s">
        <v>8</v>
      </c>
      <c r="CR355" s="27" t="s">
        <v>7</v>
      </c>
      <c r="CS355" s="27" t="s">
        <v>8</v>
      </c>
      <c r="EP355" s="27" t="s">
        <v>7</v>
      </c>
      <c r="EQ355" s="27" t="s">
        <v>8</v>
      </c>
      <c r="ER355" s="27" t="s">
        <v>7</v>
      </c>
      <c r="ES355" s="27" t="s">
        <v>8</v>
      </c>
      <c r="EU355" s="27" t="s">
        <v>8</v>
      </c>
      <c r="EV355" s="27" t="s">
        <v>7</v>
      </c>
      <c r="EW355" s="27" t="s">
        <v>8</v>
      </c>
      <c r="EX355" s="27" t="s">
        <v>7</v>
      </c>
      <c r="EY355" s="27" t="s">
        <v>8</v>
      </c>
      <c r="EZ355" s="27" t="s">
        <v>7</v>
      </c>
      <c r="FA355" s="27" t="s">
        <v>8</v>
      </c>
      <c r="FB355" s="27" t="s">
        <v>7</v>
      </c>
      <c r="FO355" s="27" t="s">
        <v>8</v>
      </c>
      <c r="FP355" s="27" t="s">
        <v>7</v>
      </c>
      <c r="FQ355" s="27" t="s">
        <v>8</v>
      </c>
      <c r="GC355" s="27" t="s">
        <v>8</v>
      </c>
      <c r="GD355" s="27" t="s">
        <v>7</v>
      </c>
      <c r="GE355" s="27" t="s">
        <v>8</v>
      </c>
    </row>
    <row r="356" spans="1:187" x14ac:dyDescent="0.25">
      <c r="A356" s="7">
        <v>96.970509394547975</v>
      </c>
      <c r="B356"/>
      <c r="C356"/>
      <c r="D356"/>
      <c r="E356"/>
      <c r="CK356" s="27" t="s">
        <v>8</v>
      </c>
      <c r="CN356" s="27" t="s">
        <v>7</v>
      </c>
      <c r="CO356" s="27" t="s">
        <v>8</v>
      </c>
      <c r="CR356" s="27" t="s">
        <v>7</v>
      </c>
      <c r="CS356" s="27" t="s">
        <v>8</v>
      </c>
      <c r="EP356" s="27" t="s">
        <v>7</v>
      </c>
      <c r="EQ356" s="27" t="s">
        <v>8</v>
      </c>
      <c r="ER356" s="27" t="s">
        <v>7</v>
      </c>
      <c r="ES356" s="27" t="s">
        <v>8</v>
      </c>
      <c r="ET356" s="27" t="s">
        <v>7</v>
      </c>
      <c r="EU356" s="27" t="s">
        <v>8</v>
      </c>
      <c r="EV356" s="27" t="s">
        <v>7</v>
      </c>
      <c r="EX356" s="27" t="s">
        <v>7</v>
      </c>
      <c r="EY356" s="27" t="s">
        <v>8</v>
      </c>
      <c r="EZ356" s="27" t="s">
        <v>7</v>
      </c>
      <c r="FA356" s="27" t="s">
        <v>8</v>
      </c>
      <c r="FB356" s="27" t="s">
        <v>7</v>
      </c>
      <c r="FO356" s="27" t="s">
        <v>8</v>
      </c>
      <c r="FP356" s="27" t="s">
        <v>7</v>
      </c>
      <c r="FQ356" s="27" t="s">
        <v>8</v>
      </c>
      <c r="FR356" s="27" t="s">
        <v>7</v>
      </c>
      <c r="GC356" s="27" t="s">
        <v>8</v>
      </c>
      <c r="GD356" s="27" t="s">
        <v>7</v>
      </c>
    </row>
    <row r="357" spans="1:187" x14ac:dyDescent="0.25">
      <c r="A357" s="7">
        <v>95.069126857399979</v>
      </c>
      <c r="B357"/>
      <c r="C357"/>
      <c r="D357"/>
      <c r="E357"/>
      <c r="CK357" s="27" t="s">
        <v>8</v>
      </c>
      <c r="CN357" s="27" t="s">
        <v>7</v>
      </c>
      <c r="CO357" s="27" t="s">
        <v>8</v>
      </c>
      <c r="CR357" s="27" t="s">
        <v>7</v>
      </c>
      <c r="CS357" s="27" t="s">
        <v>8</v>
      </c>
      <c r="EP357" s="27" t="s">
        <v>7</v>
      </c>
      <c r="EQ357" s="27" t="s">
        <v>8</v>
      </c>
      <c r="ER357" s="27" t="s">
        <v>7</v>
      </c>
      <c r="ES357" s="27" t="s">
        <v>8</v>
      </c>
      <c r="ET357" s="27" t="s">
        <v>7</v>
      </c>
      <c r="EU357" s="27" t="s">
        <v>8</v>
      </c>
      <c r="EX357" s="27" t="s">
        <v>7</v>
      </c>
      <c r="EY357" s="27" t="s">
        <v>8</v>
      </c>
      <c r="EZ357" s="27" t="s">
        <v>7</v>
      </c>
      <c r="FA357" s="27" t="s">
        <v>8</v>
      </c>
      <c r="FB357" s="27" t="s">
        <v>7</v>
      </c>
      <c r="FO357" s="27" t="s">
        <v>8</v>
      </c>
      <c r="FP357" s="27" t="s">
        <v>7</v>
      </c>
      <c r="FQ357" s="27" t="s">
        <v>8</v>
      </c>
      <c r="FR357" s="27" t="s">
        <v>7</v>
      </c>
      <c r="GC357" s="27" t="s">
        <v>8</v>
      </c>
    </row>
    <row r="358" spans="1:187" x14ac:dyDescent="0.25">
      <c r="A358" s="7">
        <v>93.205026330784293</v>
      </c>
      <c r="B358"/>
      <c r="C358"/>
      <c r="D358"/>
      <c r="E358"/>
      <c r="CK358" s="27" t="s">
        <v>8</v>
      </c>
      <c r="CN358" s="27" t="s">
        <v>7</v>
      </c>
      <c r="CO358" s="27" t="s">
        <v>8</v>
      </c>
      <c r="CR358" s="27" t="s">
        <v>7</v>
      </c>
      <c r="CS358" s="27" t="s">
        <v>8</v>
      </c>
      <c r="EP358" s="27" t="s">
        <v>7</v>
      </c>
      <c r="EQ358" s="27" t="s">
        <v>8</v>
      </c>
      <c r="ER358" s="27" t="s">
        <v>7</v>
      </c>
      <c r="ES358" s="27" t="s">
        <v>8</v>
      </c>
      <c r="ET358" s="27" t="s">
        <v>7</v>
      </c>
      <c r="EU358" s="27" t="s">
        <v>8</v>
      </c>
      <c r="EX358" s="27" t="s">
        <v>7</v>
      </c>
      <c r="EY358" s="27" t="s">
        <v>8</v>
      </c>
      <c r="EZ358" s="27" t="s">
        <v>7</v>
      </c>
      <c r="FB358" s="27" t="s">
        <v>7</v>
      </c>
      <c r="FC358" s="27" t="s">
        <v>8</v>
      </c>
      <c r="FE358" s="27" t="s">
        <v>8</v>
      </c>
      <c r="FO358" s="27" t="s">
        <v>8</v>
      </c>
      <c r="FP358" s="27" t="s">
        <v>7</v>
      </c>
      <c r="FR358" s="27" t="s">
        <v>7</v>
      </c>
      <c r="FS358" s="27" t="s">
        <v>8</v>
      </c>
      <c r="GA358" s="27" t="s">
        <v>8</v>
      </c>
      <c r="GC358" s="27" t="s">
        <v>8</v>
      </c>
    </row>
    <row r="359" spans="1:187" x14ac:dyDescent="0.25">
      <c r="A359" s="7">
        <v>91.377476794886562</v>
      </c>
      <c r="B359"/>
      <c r="C359"/>
      <c r="D359"/>
      <c r="E359"/>
      <c r="CK359" s="27" t="s">
        <v>8</v>
      </c>
      <c r="CN359" s="27" t="s">
        <v>7</v>
      </c>
      <c r="CO359" s="27" t="s">
        <v>8</v>
      </c>
      <c r="CR359" s="27" t="s">
        <v>7</v>
      </c>
      <c r="EP359" s="27" t="s">
        <v>7</v>
      </c>
      <c r="EQ359" s="27" t="s">
        <v>8</v>
      </c>
      <c r="ER359" s="27" t="s">
        <v>7</v>
      </c>
      <c r="ES359" s="27" t="s">
        <v>8</v>
      </c>
      <c r="ET359" s="27" t="s">
        <v>7</v>
      </c>
      <c r="EU359" s="27" t="s">
        <v>8</v>
      </c>
      <c r="EX359" s="27" t="s">
        <v>7</v>
      </c>
      <c r="EY359" s="27" t="s">
        <v>8</v>
      </c>
      <c r="FB359" s="27" t="s">
        <v>7</v>
      </c>
      <c r="FC359" s="27" t="s">
        <v>8</v>
      </c>
      <c r="FD359" s="27" t="s">
        <v>7</v>
      </c>
      <c r="FE359" s="27" t="s">
        <v>8</v>
      </c>
      <c r="FF359" s="27" t="s">
        <v>7</v>
      </c>
      <c r="FO359" s="27" t="s">
        <v>8</v>
      </c>
      <c r="FR359" s="27" t="s">
        <v>7</v>
      </c>
      <c r="FS359" s="27" t="s">
        <v>8</v>
      </c>
      <c r="FT359" s="27" t="s">
        <v>7</v>
      </c>
      <c r="GA359" s="27" t="s">
        <v>8</v>
      </c>
      <c r="GB359" s="27" t="s">
        <v>7</v>
      </c>
      <c r="GC359" s="27" t="s">
        <v>8</v>
      </c>
    </row>
    <row r="360" spans="1:187" x14ac:dyDescent="0.25">
      <c r="A360" s="7">
        <v>89.58576156361427</v>
      </c>
      <c r="B360"/>
      <c r="C360"/>
      <c r="D360"/>
      <c r="E360"/>
      <c r="CK360" s="27" t="s">
        <v>8</v>
      </c>
      <c r="CN360" s="27" t="s">
        <v>7</v>
      </c>
      <c r="CO360" s="27" t="s">
        <v>8</v>
      </c>
      <c r="EP360" s="27" t="s">
        <v>7</v>
      </c>
      <c r="EQ360" s="27" t="s">
        <v>8</v>
      </c>
      <c r="ER360" s="27" t="s">
        <v>7</v>
      </c>
      <c r="ES360" s="27" t="s">
        <v>8</v>
      </c>
      <c r="ET360" s="27" t="s">
        <v>7</v>
      </c>
      <c r="EU360" s="27" t="s">
        <v>8</v>
      </c>
      <c r="EX360" s="27" t="s">
        <v>7</v>
      </c>
      <c r="EY360" s="27" t="s">
        <v>8</v>
      </c>
      <c r="FB360" s="27" t="s">
        <v>7</v>
      </c>
      <c r="FC360" s="27" t="s">
        <v>8</v>
      </c>
      <c r="FD360" s="27" t="s">
        <v>7</v>
      </c>
      <c r="FE360" s="27" t="s">
        <v>8</v>
      </c>
      <c r="FF360" s="27" t="s">
        <v>7</v>
      </c>
      <c r="FO360" s="27" t="s">
        <v>8</v>
      </c>
      <c r="FR360" s="27" t="s">
        <v>7</v>
      </c>
      <c r="FS360" s="27" t="s">
        <v>8</v>
      </c>
      <c r="FT360" s="27" t="s">
        <v>7</v>
      </c>
      <c r="GA360" s="27" t="s">
        <v>8</v>
      </c>
      <c r="GB360" s="27" t="s">
        <v>7</v>
      </c>
      <c r="GC360" s="27" t="s">
        <v>8</v>
      </c>
    </row>
    <row r="361" spans="1:187" x14ac:dyDescent="0.25">
      <c r="A361" s="7">
        <v>87.829178003543404</v>
      </c>
      <c r="B361"/>
      <c r="C361"/>
      <c r="D361"/>
      <c r="E361"/>
      <c r="CK361" s="27" t="s">
        <v>8</v>
      </c>
      <c r="CN361" s="27" t="s">
        <v>7</v>
      </c>
      <c r="CO361" s="27" t="s">
        <v>8</v>
      </c>
      <c r="EP361" s="27" t="s">
        <v>7</v>
      </c>
      <c r="EQ361" s="27" t="s">
        <v>8</v>
      </c>
      <c r="ER361" s="27" t="s">
        <v>7</v>
      </c>
      <c r="ES361" s="27" t="s">
        <v>8</v>
      </c>
      <c r="ET361" s="27" t="s">
        <v>7</v>
      </c>
      <c r="EU361" s="27" t="s">
        <v>8</v>
      </c>
      <c r="EX361" s="27" t="s">
        <v>7</v>
      </c>
      <c r="FB361" s="27" t="s">
        <v>7</v>
      </c>
      <c r="FC361" s="27" t="s">
        <v>8</v>
      </c>
      <c r="FD361" s="27" t="s">
        <v>7</v>
      </c>
      <c r="FE361" s="27" t="s">
        <v>8</v>
      </c>
      <c r="FF361" s="27" t="s">
        <v>7</v>
      </c>
      <c r="FK361" s="27" t="s">
        <v>8</v>
      </c>
      <c r="FO361" s="27" t="s">
        <v>8</v>
      </c>
      <c r="FR361" s="27" t="s">
        <v>7</v>
      </c>
      <c r="FS361" s="27" t="s">
        <v>8</v>
      </c>
      <c r="FT361" s="27" t="s">
        <v>7</v>
      </c>
      <c r="FY361" s="27" t="s">
        <v>8</v>
      </c>
      <c r="GA361" s="27" t="s">
        <v>8</v>
      </c>
      <c r="GB361" s="27" t="s">
        <v>7</v>
      </c>
      <c r="GC361" s="27" t="s">
        <v>8</v>
      </c>
    </row>
    <row r="362" spans="1:187" x14ac:dyDescent="0.25">
      <c r="A362" s="7">
        <v>86.107037258375883</v>
      </c>
      <c r="B362"/>
      <c r="C362"/>
      <c r="D362"/>
      <c r="E362"/>
      <c r="CK362" s="27" t="s">
        <v>8</v>
      </c>
      <c r="CN362" s="27" t="s">
        <v>7</v>
      </c>
      <c r="CO362" s="27" t="s">
        <v>8</v>
      </c>
      <c r="EP362" s="27" t="s">
        <v>7</v>
      </c>
      <c r="EQ362" s="27" t="s">
        <v>8</v>
      </c>
      <c r="ER362" s="27" t="s">
        <v>7</v>
      </c>
      <c r="ET362" s="27" t="s">
        <v>7</v>
      </c>
      <c r="EU362" s="27" t="s">
        <v>8</v>
      </c>
      <c r="FB362" s="27" t="s">
        <v>7</v>
      </c>
      <c r="FC362" s="27" t="s">
        <v>8</v>
      </c>
      <c r="FD362" s="27" t="s">
        <v>7</v>
      </c>
      <c r="FE362" s="27" t="s">
        <v>8</v>
      </c>
      <c r="FF362" s="27" t="s">
        <v>7</v>
      </c>
      <c r="FK362" s="27" t="s">
        <v>8</v>
      </c>
      <c r="FL362" s="27" t="s">
        <v>7</v>
      </c>
      <c r="FO362" s="27" t="s">
        <v>8</v>
      </c>
      <c r="FR362" s="27" t="s">
        <v>7</v>
      </c>
      <c r="FT362" s="27" t="s">
        <v>7</v>
      </c>
      <c r="FY362" s="27" t="s">
        <v>8</v>
      </c>
      <c r="FZ362" s="27" t="s">
        <v>7</v>
      </c>
      <c r="GA362" s="27" t="s">
        <v>8</v>
      </c>
      <c r="GB362" s="27" t="s">
        <v>7</v>
      </c>
      <c r="GC362" s="27" t="s">
        <v>8</v>
      </c>
    </row>
    <row r="363" spans="1:187" x14ac:dyDescent="0.25">
      <c r="A363" s="7">
        <v>84.418663978799884</v>
      </c>
      <c r="B363"/>
      <c r="C363"/>
      <c r="D363"/>
      <c r="E363"/>
      <c r="CK363" s="27" t="s">
        <v>8</v>
      </c>
      <c r="CN363" s="27" t="s">
        <v>7</v>
      </c>
      <c r="CO363" s="27" t="s">
        <v>8</v>
      </c>
      <c r="EP363" s="27" t="s">
        <v>7</v>
      </c>
      <c r="EQ363" s="27" t="s">
        <v>8</v>
      </c>
      <c r="ET363" s="27" t="s">
        <v>7</v>
      </c>
      <c r="EU363" s="27" t="s">
        <v>8</v>
      </c>
      <c r="FB363" s="27" t="s">
        <v>7</v>
      </c>
      <c r="FC363" s="27" t="s">
        <v>8</v>
      </c>
      <c r="FD363" s="27" t="s">
        <v>7</v>
      </c>
      <c r="FE363" s="27" t="s">
        <v>8</v>
      </c>
      <c r="FF363" s="27" t="s">
        <v>7</v>
      </c>
      <c r="FK363" s="27" t="s">
        <v>8</v>
      </c>
      <c r="FL363" s="27" t="s">
        <v>7</v>
      </c>
      <c r="FM363" s="27" t="s">
        <v>8</v>
      </c>
      <c r="FO363" s="27" t="s">
        <v>8</v>
      </c>
      <c r="FT363" s="27" t="s">
        <v>7</v>
      </c>
      <c r="FY363" s="27" t="s">
        <v>8</v>
      </c>
      <c r="FZ363" s="27" t="s">
        <v>7</v>
      </c>
      <c r="GA363" s="27" t="s">
        <v>8</v>
      </c>
      <c r="GB363" s="27" t="s">
        <v>7</v>
      </c>
      <c r="GC363" s="27" t="s">
        <v>8</v>
      </c>
    </row>
    <row r="364" spans="1:187" x14ac:dyDescent="0.25">
      <c r="A364" s="7">
        <v>82.763396057646943</v>
      </c>
      <c r="B364"/>
      <c r="C364"/>
      <c r="D364"/>
      <c r="E364"/>
      <c r="CK364" s="27" t="s">
        <v>8</v>
      </c>
      <c r="CN364" s="27" t="s">
        <v>7</v>
      </c>
      <c r="CO364" s="27" t="s">
        <v>8</v>
      </c>
      <c r="EP364" s="27" t="s">
        <v>7</v>
      </c>
      <c r="EQ364" s="27" t="s">
        <v>8</v>
      </c>
      <c r="ET364" s="27" t="s">
        <v>7</v>
      </c>
      <c r="EU364" s="27" t="s">
        <v>8</v>
      </c>
      <c r="FB364" s="27" t="s">
        <v>7</v>
      </c>
      <c r="FC364" s="27" t="s">
        <v>8</v>
      </c>
      <c r="FD364" s="27" t="s">
        <v>7</v>
      </c>
      <c r="FE364" s="27" t="s">
        <v>8</v>
      </c>
      <c r="FF364" s="27" t="s">
        <v>7</v>
      </c>
      <c r="FK364" s="27" t="s">
        <v>8</v>
      </c>
      <c r="FL364" s="27" t="s">
        <v>7</v>
      </c>
      <c r="FM364" s="27" t="s">
        <v>8</v>
      </c>
      <c r="FN364" s="27" t="s">
        <v>7</v>
      </c>
      <c r="FO364" s="27" t="s">
        <v>8</v>
      </c>
      <c r="FT364" s="27" t="s">
        <v>7</v>
      </c>
      <c r="FY364" s="27" t="s">
        <v>8</v>
      </c>
      <c r="FZ364" s="27" t="s">
        <v>7</v>
      </c>
      <c r="GA364" s="27" t="s">
        <v>8</v>
      </c>
      <c r="GB364" s="27" t="s">
        <v>7</v>
      </c>
    </row>
    <row r="365" spans="1:187" x14ac:dyDescent="0.25">
      <c r="A365" s="7">
        <v>81.140584370242095</v>
      </c>
      <c r="B365"/>
      <c r="C365"/>
      <c r="D365"/>
      <c r="E365"/>
      <c r="CK365" s="27" t="s">
        <v>8</v>
      </c>
      <c r="CN365" s="27" t="s">
        <v>7</v>
      </c>
      <c r="CO365" s="27" t="s">
        <v>8</v>
      </c>
      <c r="EP365" s="27" t="s">
        <v>7</v>
      </c>
      <c r="EQ365" s="27" t="s">
        <v>8</v>
      </c>
      <c r="ET365" s="27" t="s">
        <v>7</v>
      </c>
      <c r="EU365" s="27" t="s">
        <v>8</v>
      </c>
      <c r="FB365" s="27" t="s">
        <v>7</v>
      </c>
      <c r="FC365" s="27" t="s">
        <v>8</v>
      </c>
      <c r="FD365" s="27" t="s">
        <v>7</v>
      </c>
      <c r="FE365" s="27" t="s">
        <v>8</v>
      </c>
      <c r="FF365" s="27" t="s">
        <v>7</v>
      </c>
      <c r="FK365" s="27" t="s">
        <v>8</v>
      </c>
      <c r="FL365" s="27" t="s">
        <v>7</v>
      </c>
      <c r="FM365" s="27" t="s">
        <v>8</v>
      </c>
      <c r="FN365" s="27" t="s">
        <v>7</v>
      </c>
      <c r="FO365" s="27" t="s">
        <v>8</v>
      </c>
      <c r="FT365" s="27" t="s">
        <v>7</v>
      </c>
      <c r="FW365" s="27" t="s">
        <v>8</v>
      </c>
      <c r="FY365" s="27" t="s">
        <v>8</v>
      </c>
      <c r="FZ365" s="27" t="s">
        <v>7</v>
      </c>
    </row>
    <row r="366" spans="1:187" x14ac:dyDescent="0.25">
      <c r="A366" s="7">
        <v>79.549592519845191</v>
      </c>
      <c r="B366"/>
      <c r="C366"/>
      <c r="D366"/>
      <c r="E366"/>
      <c r="CK366" s="27" t="s">
        <v>8</v>
      </c>
      <c r="CN366" s="27" t="s">
        <v>7</v>
      </c>
      <c r="CO366" s="27" t="s">
        <v>8</v>
      </c>
      <c r="EP366" s="27" t="s">
        <v>7</v>
      </c>
      <c r="EQ366" s="27" t="s">
        <v>8</v>
      </c>
      <c r="ET366" s="27" t="s">
        <v>7</v>
      </c>
      <c r="EU366" s="27" t="s">
        <v>8</v>
      </c>
      <c r="FB366" s="27" t="s">
        <v>7</v>
      </c>
      <c r="FD366" s="27" t="s">
        <v>7</v>
      </c>
      <c r="FE366" s="27" t="s">
        <v>8</v>
      </c>
      <c r="FF366" s="27" t="s">
        <v>7</v>
      </c>
      <c r="FK366" s="27" t="s">
        <v>8</v>
      </c>
      <c r="FL366" s="27" t="s">
        <v>7</v>
      </c>
      <c r="FN366" s="27" t="s">
        <v>7</v>
      </c>
      <c r="FO366" s="27" t="s">
        <v>8</v>
      </c>
      <c r="FT366" s="27" t="s">
        <v>7</v>
      </c>
      <c r="FU366" s="27" t="s">
        <v>8</v>
      </c>
      <c r="FW366" s="27" t="s">
        <v>8</v>
      </c>
      <c r="FX366" s="27" t="s">
        <v>7</v>
      </c>
      <c r="FY366" s="27" t="s">
        <v>8</v>
      </c>
    </row>
    <row r="367" spans="1:187" x14ac:dyDescent="0.25">
      <c r="A367" s="7">
        <v>77.989796588083522</v>
      </c>
      <c r="B367"/>
      <c r="C367"/>
      <c r="D367"/>
      <c r="E367"/>
      <c r="CK367" s="27" t="s">
        <v>8</v>
      </c>
      <c r="CN367" s="27" t="s">
        <v>7</v>
      </c>
      <c r="CO367" s="27" t="s">
        <v>8</v>
      </c>
      <c r="EP367" s="27" t="s">
        <v>7</v>
      </c>
      <c r="EQ367" s="27" t="s">
        <v>8</v>
      </c>
      <c r="ET367" s="27" t="s">
        <v>7</v>
      </c>
      <c r="EU367" s="27" t="s">
        <v>8</v>
      </c>
      <c r="FD367" s="27" t="s">
        <v>7</v>
      </c>
      <c r="FE367" s="27" t="s">
        <v>8</v>
      </c>
      <c r="FF367" s="27" t="s">
        <v>7</v>
      </c>
      <c r="FK367" s="27" t="s">
        <v>8</v>
      </c>
      <c r="FN367" s="27" t="s">
        <v>7</v>
      </c>
      <c r="FT367" s="27" t="s">
        <v>7</v>
      </c>
      <c r="FU367" s="27" t="s">
        <v>8</v>
      </c>
      <c r="FV367" s="27" t="s">
        <v>7</v>
      </c>
      <c r="FW367" s="27" t="s">
        <v>8</v>
      </c>
      <c r="FX367" s="27" t="s">
        <v>7</v>
      </c>
      <c r="FY367" s="27" t="s">
        <v>8</v>
      </c>
    </row>
    <row r="368" spans="1:187" x14ac:dyDescent="0.25">
      <c r="A368" s="7">
        <v>76.460584890277957</v>
      </c>
      <c r="B368"/>
      <c r="C368"/>
      <c r="D368"/>
      <c r="E368"/>
      <c r="CK368" s="27" t="s">
        <v>8</v>
      </c>
      <c r="CN368" s="27" t="s">
        <v>7</v>
      </c>
      <c r="CO368" s="27" t="s">
        <v>8</v>
      </c>
      <c r="EP368" s="27" t="s">
        <v>7</v>
      </c>
      <c r="ET368" s="27" t="s">
        <v>7</v>
      </c>
      <c r="EU368" s="27" t="s">
        <v>8</v>
      </c>
      <c r="FD368" s="27" t="s">
        <v>7</v>
      </c>
      <c r="FF368" s="27" t="s">
        <v>7</v>
      </c>
      <c r="FK368" s="27" t="s">
        <v>8</v>
      </c>
      <c r="FT368" s="27" t="s">
        <v>7</v>
      </c>
      <c r="FU368" s="27" t="s">
        <v>8</v>
      </c>
      <c r="FV368" s="27" t="s">
        <v>7</v>
      </c>
      <c r="FW368" s="27" t="s">
        <v>8</v>
      </c>
      <c r="FX368" s="27" t="s">
        <v>7</v>
      </c>
    </row>
    <row r="369" spans="1:179" x14ac:dyDescent="0.25">
      <c r="A369" s="7">
        <v>74.961357735566622</v>
      </c>
      <c r="B369"/>
      <c r="C369"/>
      <c r="D369"/>
      <c r="E369"/>
      <c r="CK369" s="27" t="s">
        <v>8</v>
      </c>
      <c r="CN369" s="27" t="s">
        <v>7</v>
      </c>
      <c r="CO369" s="27" t="s">
        <v>8</v>
      </c>
      <c r="ET369" s="27" t="s">
        <v>7</v>
      </c>
      <c r="EU369" s="27" t="s">
        <v>8</v>
      </c>
      <c r="FF369" s="27" t="s">
        <v>7</v>
      </c>
      <c r="FK369" s="27" t="s">
        <v>8</v>
      </c>
      <c r="FT369" s="27" t="s">
        <v>7</v>
      </c>
      <c r="FU369" s="27" t="s">
        <v>8</v>
      </c>
      <c r="FV369" s="27" t="s">
        <v>7</v>
      </c>
      <c r="FW369" s="27" t="s">
        <v>8</v>
      </c>
    </row>
    <row r="370" spans="1:179" x14ac:dyDescent="0.25">
      <c r="A370" s="7">
        <v>73.491527191731976</v>
      </c>
      <c r="B370"/>
      <c r="C370"/>
      <c r="D370"/>
      <c r="E370"/>
      <c r="CI370" s="27" t="s">
        <v>8</v>
      </c>
      <c r="CK370" s="27" t="s">
        <v>8</v>
      </c>
      <c r="CN370" s="27" t="s">
        <v>7</v>
      </c>
      <c r="CO370" s="27" t="s">
        <v>8</v>
      </c>
      <c r="ET370" s="27" t="s">
        <v>7</v>
      </c>
      <c r="EU370" s="27" t="s">
        <v>8</v>
      </c>
      <c r="FF370" s="27" t="s">
        <v>7</v>
      </c>
      <c r="FK370" s="27" t="s">
        <v>8</v>
      </c>
      <c r="FT370" s="27" t="s">
        <v>7</v>
      </c>
      <c r="FV370" s="27" t="s">
        <v>7</v>
      </c>
      <c r="FW370" s="27" t="s">
        <v>8</v>
      </c>
    </row>
    <row r="371" spans="1:179" x14ac:dyDescent="0.25">
      <c r="A371" s="7">
        <v>72.050516854639184</v>
      </c>
      <c r="B371"/>
      <c r="C371"/>
      <c r="D371"/>
      <c r="E371"/>
      <c r="CI371" s="27" t="s">
        <v>8</v>
      </c>
      <c r="CJ371" s="27" t="s">
        <v>7</v>
      </c>
      <c r="CK371" s="27" t="s">
        <v>8</v>
      </c>
      <c r="CN371" s="27" t="s">
        <v>7</v>
      </c>
      <c r="CO371" s="27" t="s">
        <v>8</v>
      </c>
      <c r="ET371" s="27" t="s">
        <v>7</v>
      </c>
      <c r="EU371" s="27" t="s">
        <v>8</v>
      </c>
      <c r="FF371" s="27" t="s">
        <v>7</v>
      </c>
      <c r="FK371" s="27" t="s">
        <v>8</v>
      </c>
      <c r="FV371" s="27" t="s">
        <v>7</v>
      </c>
      <c r="FW371" s="27" t="s">
        <v>8</v>
      </c>
    </row>
    <row r="372" spans="1:179" x14ac:dyDescent="0.25">
      <c r="A372" s="7">
        <v>70.637761622195271</v>
      </c>
      <c r="B372"/>
      <c r="C372"/>
      <c r="D372"/>
      <c r="E372"/>
      <c r="CI372" s="27" t="s">
        <v>8</v>
      </c>
      <c r="CJ372" s="27" t="s">
        <v>7</v>
      </c>
      <c r="CK372" s="27" t="s">
        <v>8</v>
      </c>
      <c r="CN372" s="27" t="s">
        <v>7</v>
      </c>
      <c r="CO372" s="27" t="s">
        <v>8</v>
      </c>
      <c r="ET372" s="27" t="s">
        <v>7</v>
      </c>
      <c r="EU372" s="27" t="s">
        <v>8</v>
      </c>
      <c r="FF372" s="27" t="s">
        <v>7</v>
      </c>
      <c r="FK372" s="27" t="s">
        <v>8</v>
      </c>
      <c r="FV372" s="18" t="s">
        <v>7</v>
      </c>
      <c r="FW372" s="27" t="s">
        <v>8</v>
      </c>
    </row>
    <row r="373" spans="1:179" x14ac:dyDescent="0.25">
      <c r="A373" s="7">
        <v>69.252707472740454</v>
      </c>
      <c r="B373"/>
      <c r="C373"/>
      <c r="D373"/>
      <c r="E373"/>
      <c r="CI373" s="27" t="s">
        <v>8</v>
      </c>
      <c r="CJ373" s="27" t="s">
        <v>7</v>
      </c>
      <c r="CK373" s="27" t="s">
        <v>8</v>
      </c>
      <c r="CN373" s="27" t="s">
        <v>7</v>
      </c>
      <c r="CO373" s="27" t="s">
        <v>8</v>
      </c>
      <c r="ET373" s="27" t="s">
        <v>7</v>
      </c>
      <c r="EU373" s="27" t="s">
        <v>8</v>
      </c>
      <c r="FF373" s="27" t="s">
        <v>7</v>
      </c>
      <c r="FG373" s="27" t="s">
        <v>8</v>
      </c>
      <c r="FK373" s="27" t="s">
        <v>8</v>
      </c>
      <c r="FV373" s="27" t="s">
        <v>7</v>
      </c>
      <c r="FW373" s="27" t="s">
        <v>8</v>
      </c>
    </row>
    <row r="374" spans="1:179" x14ac:dyDescent="0.25">
      <c r="A374" s="7">
        <v>67.894811247784759</v>
      </c>
      <c r="B374"/>
      <c r="C374"/>
      <c r="D374"/>
      <c r="E374"/>
      <c r="CI374" s="27" t="s">
        <v>8</v>
      </c>
      <c r="CJ374" s="27" t="s">
        <v>7</v>
      </c>
      <c r="CK374" s="27" t="s">
        <v>8</v>
      </c>
      <c r="CN374" s="27" t="s">
        <v>7</v>
      </c>
      <c r="CO374" s="27" t="s">
        <v>8</v>
      </c>
      <c r="ET374" s="27" t="s">
        <v>7</v>
      </c>
      <c r="EU374" s="27" t="s">
        <v>8</v>
      </c>
      <c r="FF374" s="27" t="s">
        <v>7</v>
      </c>
      <c r="FG374" s="27" t="s">
        <v>8</v>
      </c>
      <c r="FH374" s="27" t="s">
        <v>7</v>
      </c>
      <c r="FI374" s="27" t="s">
        <v>8</v>
      </c>
      <c r="FK374" s="27" t="s">
        <v>8</v>
      </c>
      <c r="FV374" s="27" t="s">
        <v>7</v>
      </c>
      <c r="FW374" s="27" t="s">
        <v>8</v>
      </c>
    </row>
    <row r="375" spans="1:179" x14ac:dyDescent="0.25">
      <c r="A375" s="7">
        <v>66.563540439004669</v>
      </c>
      <c r="B375"/>
      <c r="C375"/>
      <c r="D375"/>
      <c r="E375"/>
      <c r="CI375" s="27" t="s">
        <v>8</v>
      </c>
      <c r="CJ375" s="27" t="s">
        <v>7</v>
      </c>
      <c r="CK375" s="27" t="s">
        <v>8</v>
      </c>
      <c r="CN375" s="27" t="s">
        <v>7</v>
      </c>
      <c r="ET375" s="27" t="s">
        <v>7</v>
      </c>
      <c r="FF375" s="27" t="s">
        <v>7</v>
      </c>
      <c r="FG375" s="27" t="s">
        <v>8</v>
      </c>
      <c r="FH375" s="27" t="s">
        <v>7</v>
      </c>
      <c r="FI375" s="27" t="s">
        <v>8</v>
      </c>
      <c r="FJ375" s="27" t="s">
        <v>7</v>
      </c>
      <c r="FK375" s="27" t="s">
        <v>8</v>
      </c>
      <c r="FV375" s="27" t="s">
        <v>7</v>
      </c>
      <c r="FW375" s="27" t="s">
        <v>8</v>
      </c>
    </row>
    <row r="376" spans="1:179" x14ac:dyDescent="0.25">
      <c r="A376" s="7">
        <v>65.258372979416336</v>
      </c>
      <c r="B376"/>
      <c r="C376"/>
      <c r="D376"/>
      <c r="E376"/>
      <c r="CI376" s="27" t="s">
        <v>8</v>
      </c>
      <c r="CJ376" s="27" t="s">
        <v>7</v>
      </c>
      <c r="CK376" s="27" t="s">
        <v>8</v>
      </c>
      <c r="FF376" s="27" t="s">
        <v>7</v>
      </c>
      <c r="FG376" s="27" t="s">
        <v>8</v>
      </c>
      <c r="FH376" s="27" t="s">
        <v>7</v>
      </c>
      <c r="FI376" s="27" t="s">
        <v>8</v>
      </c>
      <c r="FJ376" s="27" t="s">
        <v>7</v>
      </c>
      <c r="FK376" s="27" t="s">
        <v>8</v>
      </c>
      <c r="FV376" s="27" t="s">
        <v>7</v>
      </c>
    </row>
    <row r="377" spans="1:179" x14ac:dyDescent="0.25">
      <c r="A377" s="7">
        <v>63.978797038643471</v>
      </c>
      <c r="B377"/>
      <c r="C377"/>
      <c r="D377"/>
      <c r="E377"/>
      <c r="CI377" s="27" t="s">
        <v>8</v>
      </c>
      <c r="CJ377" s="27" t="s">
        <v>7</v>
      </c>
      <c r="CK377" s="27" t="s">
        <v>8</v>
      </c>
      <c r="FF377" s="27" t="s">
        <v>7</v>
      </c>
      <c r="FG377" s="27" t="s">
        <v>8</v>
      </c>
      <c r="FH377" s="27" t="s">
        <v>7</v>
      </c>
      <c r="FI377" s="27" t="s">
        <v>8</v>
      </c>
      <c r="FJ377" s="27" t="s">
        <v>7</v>
      </c>
      <c r="FK377" s="27" t="s">
        <v>8</v>
      </c>
    </row>
    <row r="378" spans="1:179" x14ac:dyDescent="0.25">
      <c r="A378" s="7">
        <v>62.724310822199477</v>
      </c>
      <c r="B378"/>
      <c r="C378"/>
      <c r="D378"/>
      <c r="E378"/>
      <c r="CI378" s="27" t="s">
        <v>8</v>
      </c>
      <c r="CJ378" s="27" t="s">
        <v>7</v>
      </c>
      <c r="CK378" s="27" t="s">
        <v>8</v>
      </c>
      <c r="FF378" s="27" t="s">
        <v>7</v>
      </c>
      <c r="FG378" s="27" t="s">
        <v>8</v>
      </c>
      <c r="FH378" s="27" t="s">
        <v>7</v>
      </c>
      <c r="FI378" s="27" t="s">
        <v>8</v>
      </c>
      <c r="FJ378" s="27" t="s">
        <v>7</v>
      </c>
      <c r="FK378" s="27" t="s">
        <v>8</v>
      </c>
    </row>
    <row r="379" spans="1:179" x14ac:dyDescent="0.25">
      <c r="A379" s="7">
        <v>61.494422374705366</v>
      </c>
      <c r="B379"/>
      <c r="C379"/>
      <c r="D379"/>
      <c r="E379"/>
      <c r="CI379" s="27" t="s">
        <v>8</v>
      </c>
      <c r="CJ379" s="27" t="s">
        <v>7</v>
      </c>
      <c r="CK379" s="27" t="s">
        <v>8</v>
      </c>
      <c r="FF379" s="27" t="s">
        <v>7</v>
      </c>
      <c r="FG379" s="27" t="s">
        <v>8</v>
      </c>
      <c r="FH379" s="27" t="s">
        <v>7</v>
      </c>
      <c r="FJ379" s="27" t="s">
        <v>7</v>
      </c>
      <c r="FK379" s="27" t="s">
        <v>8</v>
      </c>
    </row>
    <row r="380" spans="1:179" x14ac:dyDescent="0.25">
      <c r="A380" s="7">
        <v>60.288649386966043</v>
      </c>
      <c r="B380"/>
      <c r="C380"/>
      <c r="D380"/>
      <c r="E380"/>
      <c r="CI380" s="27" t="s">
        <v>8</v>
      </c>
      <c r="CJ380" s="27" t="s">
        <v>7</v>
      </c>
      <c r="CK380" s="27" t="s">
        <v>8</v>
      </c>
      <c r="FF380" s="27" t="s">
        <v>7</v>
      </c>
      <c r="FG380" s="27" t="s">
        <v>8</v>
      </c>
      <c r="FJ380" s="27" t="s">
        <v>7</v>
      </c>
    </row>
    <row r="381" spans="1:179" x14ac:dyDescent="0.25">
      <c r="A381" s="7">
        <v>59.106519006829451</v>
      </c>
      <c r="B381"/>
      <c r="C381"/>
      <c r="D381"/>
      <c r="E381"/>
      <c r="CI381" s="27" t="s">
        <v>8</v>
      </c>
      <c r="CJ381" s="27" t="s">
        <v>7</v>
      </c>
      <c r="FF381" s="27" t="s">
        <v>7</v>
      </c>
      <c r="FG381" s="27" t="s">
        <v>8</v>
      </c>
    </row>
    <row r="382" spans="1:179" x14ac:dyDescent="0.25">
      <c r="A382" s="7">
        <v>57.947567653754362</v>
      </c>
      <c r="B382"/>
      <c r="C382"/>
      <c r="D382"/>
      <c r="E382"/>
      <c r="CI382" s="27" t="s">
        <v>8</v>
      </c>
      <c r="FF382" s="27" t="s">
        <v>7</v>
      </c>
      <c r="FG382" s="27" t="s">
        <v>8</v>
      </c>
    </row>
    <row r="383" spans="1:179" x14ac:dyDescent="0.25">
      <c r="A383" s="7">
        <v>56.811340837014079</v>
      </c>
      <c r="B383"/>
      <c r="C383"/>
      <c r="D383"/>
      <c r="E383"/>
      <c r="CI383" s="27" t="s">
        <v>8</v>
      </c>
      <c r="FF383" s="27" t="s">
        <v>7</v>
      </c>
      <c r="FG383" s="27" t="s">
        <v>8</v>
      </c>
    </row>
    <row r="384" spans="1:179" x14ac:dyDescent="0.25">
      <c r="A384" s="7">
        <v>55.69739297746478</v>
      </c>
      <c r="B384"/>
      <c r="C384"/>
      <c r="D384"/>
      <c r="E384"/>
      <c r="CI384" s="27" t="s">
        <v>8</v>
      </c>
      <c r="FF384" s="27" t="s">
        <v>7</v>
      </c>
      <c r="FG384" s="27" t="s">
        <v>8</v>
      </c>
    </row>
    <row r="385" spans="1:163" x14ac:dyDescent="0.25">
      <c r="A385" s="7">
        <v>54.605287232808607</v>
      </c>
      <c r="B385"/>
      <c r="C385"/>
      <c r="D385"/>
      <c r="E385"/>
      <c r="CI385" s="27" t="s">
        <v>8</v>
      </c>
      <c r="FF385" s="27" t="s">
        <v>7</v>
      </c>
      <c r="FG385" s="27" t="s">
        <v>8</v>
      </c>
    </row>
    <row r="386" spans="1:163" x14ac:dyDescent="0.25">
      <c r="A386" s="7">
        <v>53.534595326282947</v>
      </c>
      <c r="B386"/>
      <c r="C386"/>
      <c r="D386"/>
      <c r="E386"/>
      <c r="CG386" s="27" t="s">
        <v>8</v>
      </c>
      <c r="CI386" s="27" t="s">
        <v>8</v>
      </c>
      <c r="FF386" s="27" t="s">
        <v>7</v>
      </c>
    </row>
    <row r="387" spans="1:163" x14ac:dyDescent="0.25">
      <c r="A387" s="7">
        <v>52.484897378708773</v>
      </c>
      <c r="B387"/>
      <c r="C387"/>
      <c r="D387"/>
      <c r="E387"/>
      <c r="CG387" s="27" t="s">
        <v>8</v>
      </c>
      <c r="CH387" s="27" t="s">
        <v>7</v>
      </c>
      <c r="CI387" s="27" t="s">
        <v>8</v>
      </c>
    </row>
    <row r="388" spans="1:163" x14ac:dyDescent="0.25">
      <c r="A388" s="7">
        <v>51.455781743832127</v>
      </c>
      <c r="B388"/>
      <c r="C388"/>
      <c r="D388"/>
      <c r="E388"/>
      <c r="CG388" s="27" t="s">
        <v>8</v>
      </c>
      <c r="CH388" s="27" t="s">
        <v>7</v>
      </c>
      <c r="CI388" s="27" t="s">
        <v>8</v>
      </c>
    </row>
    <row r="389" spans="1:163" x14ac:dyDescent="0.25">
      <c r="A389" s="7">
        <v>50.446844846894244</v>
      </c>
      <c r="B389"/>
      <c r="C389"/>
      <c r="D389"/>
      <c r="E389"/>
      <c r="CG389" s="27" t="s">
        <v>8</v>
      </c>
      <c r="CH389" s="27" t="s">
        <v>7</v>
      </c>
      <c r="CI389" s="27" t="s">
        <v>8</v>
      </c>
    </row>
    <row r="390" spans="1:163" x14ac:dyDescent="0.25">
      <c r="A390" s="7">
        <v>49.457691026366902</v>
      </c>
      <c r="B390"/>
      <c r="C390"/>
      <c r="D390"/>
      <c r="E390"/>
      <c r="CG390" s="27" t="s">
        <v>8</v>
      </c>
      <c r="CH390" s="27" t="s">
        <v>7</v>
      </c>
      <c r="CI390" s="27" t="s">
        <v>8</v>
      </c>
    </row>
    <row r="391" spans="1:163" x14ac:dyDescent="0.25">
      <c r="A391" s="7">
        <v>48.487932378791079</v>
      </c>
      <c r="B391"/>
      <c r="C391"/>
      <c r="D391"/>
      <c r="E391"/>
      <c r="CG391" s="27" t="s">
        <v>8</v>
      </c>
      <c r="CH391" s="27" t="s">
        <v>7</v>
      </c>
      <c r="CI391" s="27" t="s">
        <v>8</v>
      </c>
    </row>
    <row r="392" spans="1:163" x14ac:dyDescent="0.25">
      <c r="A392" s="7">
        <v>47.537188606657921</v>
      </c>
      <c r="B392"/>
      <c r="C392"/>
      <c r="D392"/>
      <c r="E392"/>
      <c r="CG392" s="27" t="s">
        <v>8</v>
      </c>
      <c r="CH392" s="27" t="s">
        <v>7</v>
      </c>
      <c r="CI392" s="27" t="s">
        <v>8</v>
      </c>
    </row>
    <row r="393" spans="1:163" x14ac:dyDescent="0.25">
      <c r="A393" s="7">
        <v>46.605086869272469</v>
      </c>
      <c r="B393"/>
      <c r="C393"/>
      <c r="D393"/>
      <c r="E393"/>
      <c r="CG393" s="27" t="s">
        <v>8</v>
      </c>
      <c r="CH393" s="27" t="s">
        <v>7</v>
      </c>
      <c r="CI393" s="27" t="s">
        <v>8</v>
      </c>
    </row>
    <row r="394" spans="1:163" x14ac:dyDescent="0.25">
      <c r="A394" s="7">
        <v>45.691261636541633</v>
      </c>
      <c r="B394"/>
      <c r="C394"/>
      <c r="D394"/>
      <c r="E394"/>
      <c r="CG394" s="27" t="s">
        <v>8</v>
      </c>
      <c r="CH394" s="27" t="s">
        <v>7</v>
      </c>
    </row>
    <row r="395" spans="1:163" x14ac:dyDescent="0.25">
      <c r="A395" s="7">
        <v>44.795354545629053</v>
      </c>
      <c r="B395"/>
      <c r="C395"/>
      <c r="D395"/>
      <c r="E395"/>
      <c r="CG395" s="27" t="s">
        <v>8</v>
      </c>
    </row>
    <row r="396" spans="1:163" x14ac:dyDescent="0.25">
      <c r="A396" s="7">
        <v>43.917014260420636</v>
      </c>
      <c r="B396"/>
      <c r="C396"/>
      <c r="D396"/>
      <c r="E396"/>
      <c r="CG396" s="27" t="s">
        <v>8</v>
      </c>
    </row>
    <row r="397" spans="1:163" x14ac:dyDescent="0.25">
      <c r="A397" s="7">
        <v>43.055896333745721</v>
      </c>
      <c r="B397"/>
      <c r="C397"/>
      <c r="D397"/>
      <c r="E397"/>
      <c r="CG397" s="27" t="s">
        <v>8</v>
      </c>
    </row>
    <row r="398" spans="1:163" x14ac:dyDescent="0.25">
      <c r="A398" s="7">
        <v>42.211663072299729</v>
      </c>
      <c r="B398"/>
      <c r="C398"/>
      <c r="D398"/>
      <c r="E398"/>
      <c r="CG398" s="27" t="s">
        <v>8</v>
      </c>
    </row>
    <row r="399" spans="1:163" x14ac:dyDescent="0.25">
      <c r="A399" s="7">
        <v>41.383983404215421</v>
      </c>
      <c r="B399"/>
      <c r="C399"/>
      <c r="D399"/>
      <c r="E399"/>
      <c r="BU399" s="27" t="s">
        <v>8</v>
      </c>
      <c r="CG399" s="27" t="s">
        <v>8</v>
      </c>
    </row>
    <row r="400" spans="1:163" x14ac:dyDescent="0.25">
      <c r="A400" s="7">
        <v>40.572532749230803</v>
      </c>
      <c r="B400"/>
      <c r="C400"/>
      <c r="D400"/>
      <c r="E400"/>
      <c r="BU400" s="27" t="s">
        <v>8</v>
      </c>
      <c r="BV400" s="27" t="s">
        <v>7</v>
      </c>
      <c r="CC400" s="27" t="s">
        <v>8</v>
      </c>
      <c r="CG400" s="27" t="s">
        <v>8</v>
      </c>
    </row>
    <row r="401" spans="1:85" x14ac:dyDescent="0.25">
      <c r="A401" s="7">
        <v>39.776992891402749</v>
      </c>
      <c r="B401"/>
      <c r="C401"/>
      <c r="D401"/>
      <c r="E401"/>
      <c r="BU401" s="27" t="s">
        <v>8</v>
      </c>
      <c r="BV401" s="27" t="s">
        <v>7</v>
      </c>
      <c r="CC401" s="27" t="s">
        <v>8</v>
      </c>
      <c r="CD401" s="27" t="s">
        <v>7</v>
      </c>
      <c r="CG401" s="27" t="s">
        <v>8</v>
      </c>
    </row>
    <row r="402" spans="1:85" x14ac:dyDescent="0.25">
      <c r="A402" s="7">
        <v>38.997051854316418</v>
      </c>
      <c r="B402"/>
      <c r="C402"/>
      <c r="D402"/>
      <c r="E402"/>
      <c r="BU402" s="27" t="s">
        <v>8</v>
      </c>
      <c r="BV402" s="27" t="s">
        <v>7</v>
      </c>
      <c r="BW402" s="27" t="s">
        <v>8</v>
      </c>
      <c r="CA402" s="27" t="s">
        <v>8</v>
      </c>
      <c r="CC402" s="27" t="s">
        <v>8</v>
      </c>
      <c r="CD402" s="27" t="s">
        <v>7</v>
      </c>
      <c r="CE402" s="27" t="s">
        <v>8</v>
      </c>
      <c r="CG402" s="27" t="s">
        <v>8</v>
      </c>
    </row>
    <row r="403" spans="1:85" x14ac:dyDescent="0.25">
      <c r="A403" s="7">
        <v>38.232403778741585</v>
      </c>
      <c r="B403"/>
      <c r="C403"/>
      <c r="D403"/>
      <c r="E403"/>
      <c r="BU403" s="27" t="s">
        <v>8</v>
      </c>
      <c r="BV403" s="27" t="s">
        <v>7</v>
      </c>
      <c r="BW403" s="27" t="s">
        <v>8</v>
      </c>
      <c r="BX403" s="27" t="s">
        <v>7</v>
      </c>
      <c r="CA403" s="27" t="s">
        <v>8</v>
      </c>
      <c r="CB403" s="27" t="s">
        <v>7</v>
      </c>
      <c r="CC403" s="27" t="s">
        <v>8</v>
      </c>
      <c r="CD403" s="27" t="s">
        <v>7</v>
      </c>
      <c r="CE403" s="27" t="s">
        <v>8</v>
      </c>
      <c r="CF403" s="27" t="s">
        <v>7</v>
      </c>
      <c r="CG403" s="27" t="s">
        <v>8</v>
      </c>
    </row>
    <row r="404" spans="1:85" x14ac:dyDescent="0.25">
      <c r="A404" s="7">
        <v>37.48274880268783</v>
      </c>
      <c r="B404"/>
      <c r="C404"/>
      <c r="D404"/>
      <c r="E404"/>
      <c r="BU404" s="27" t="s">
        <v>8</v>
      </c>
      <c r="BV404" s="27" t="s">
        <v>7</v>
      </c>
      <c r="BW404" s="27" t="s">
        <v>8</v>
      </c>
      <c r="BX404" s="27" t="s">
        <v>7</v>
      </c>
      <c r="CA404" s="27" t="s">
        <v>8</v>
      </c>
      <c r="CB404" s="27" t="s">
        <v>7</v>
      </c>
      <c r="CC404" s="27" t="s">
        <v>8</v>
      </c>
      <c r="CD404" s="27" t="s">
        <v>7</v>
      </c>
      <c r="CE404" s="27" t="s">
        <v>8</v>
      </c>
      <c r="CF404" s="27" t="s">
        <v>7</v>
      </c>
      <c r="CG404" s="27" t="s">
        <v>8</v>
      </c>
    </row>
    <row r="405" spans="1:85" x14ac:dyDescent="0.25">
      <c r="A405" s="7">
        <v>36.747792943811596</v>
      </c>
      <c r="B405"/>
      <c r="C405"/>
      <c r="D405"/>
      <c r="E405"/>
      <c r="BU405" s="27" t="s">
        <v>8</v>
      </c>
      <c r="BV405" s="27" t="s">
        <v>7</v>
      </c>
      <c r="BW405" s="27" t="s">
        <v>8</v>
      </c>
      <c r="BX405" s="27" t="s">
        <v>7</v>
      </c>
      <c r="CA405" s="27" t="s">
        <v>8</v>
      </c>
      <c r="CB405" s="27" t="s">
        <v>7</v>
      </c>
      <c r="CC405" s="27" t="s">
        <v>8</v>
      </c>
      <c r="CD405" s="27" t="s">
        <v>7</v>
      </c>
      <c r="CE405" s="27" t="s">
        <v>8</v>
      </c>
      <c r="CF405" s="27" t="s">
        <v>7</v>
      </c>
      <c r="CG405" s="27" t="s">
        <v>8</v>
      </c>
    </row>
    <row r="406" spans="1:85" x14ac:dyDescent="0.25">
      <c r="A406" s="7">
        <v>36.027247984129012</v>
      </c>
      <c r="B406"/>
      <c r="C406"/>
      <c r="D406"/>
      <c r="E406"/>
      <c r="BU406" s="27" t="s">
        <v>8</v>
      </c>
      <c r="BV406" s="27" t="s">
        <v>7</v>
      </c>
      <c r="BW406" s="27" t="s">
        <v>8</v>
      </c>
      <c r="BX406" s="27" t="s">
        <v>7</v>
      </c>
      <c r="CA406" s="27" t="s">
        <v>8</v>
      </c>
      <c r="CB406" s="27" t="s">
        <v>7</v>
      </c>
      <c r="CD406" s="27" t="s">
        <v>7</v>
      </c>
      <c r="CF406" s="27" t="s">
        <v>7</v>
      </c>
      <c r="CG406" s="27" t="s">
        <v>8</v>
      </c>
    </row>
    <row r="407" spans="1:85" x14ac:dyDescent="0.25">
      <c r="A407" s="7">
        <v>35.320831356989224</v>
      </c>
      <c r="B407"/>
      <c r="C407"/>
      <c r="D407"/>
      <c r="E407"/>
      <c r="BU407" s="27" t="s">
        <v>8</v>
      </c>
      <c r="BV407" s="27" t="s">
        <v>7</v>
      </c>
      <c r="BW407" s="27" t="s">
        <v>8</v>
      </c>
      <c r="BX407" s="27" t="s">
        <v>7</v>
      </c>
      <c r="CA407" s="27" t="s">
        <v>8</v>
      </c>
      <c r="CF407" s="27" t="s">
        <v>7</v>
      </c>
    </row>
    <row r="408" spans="1:85" x14ac:dyDescent="0.25">
      <c r="A408" s="7">
        <v>34.628266036263945</v>
      </c>
      <c r="B408"/>
      <c r="C408"/>
      <c r="D408"/>
      <c r="E408"/>
      <c r="BU408" s="27" t="s">
        <v>8</v>
      </c>
      <c r="BV408" s="27" t="s">
        <v>7</v>
      </c>
      <c r="BW408" s="27" t="s">
        <v>8</v>
      </c>
      <c r="BX408" s="27" t="s">
        <v>7</v>
      </c>
      <c r="BY408" s="27" t="s">
        <v>8</v>
      </c>
      <c r="CA408" s="27" t="s">
        <v>8</v>
      </c>
    </row>
    <row r="409" spans="1:85" x14ac:dyDescent="0.25">
      <c r="A409" s="7">
        <v>33.949280427709752</v>
      </c>
      <c r="B409"/>
      <c r="C409"/>
      <c r="D409"/>
      <c r="E409"/>
      <c r="BU409" s="27" t="s">
        <v>8</v>
      </c>
      <c r="BV409" s="27" t="s">
        <v>7</v>
      </c>
      <c r="BX409" s="27" t="s">
        <v>7</v>
      </c>
      <c r="BY409" s="27" t="s">
        <v>8</v>
      </c>
      <c r="BZ409" s="27" t="s">
        <v>7</v>
      </c>
      <c r="CA409" s="27" t="s">
        <v>8</v>
      </c>
    </row>
    <row r="410" spans="1:85" x14ac:dyDescent="0.25">
      <c r="A410" s="7">
        <v>33.28360826246054</v>
      </c>
      <c r="B410"/>
      <c r="C410"/>
      <c r="D410"/>
      <c r="E410"/>
      <c r="BU410" s="27" t="s">
        <v>8</v>
      </c>
      <c r="BX410" s="27" t="s">
        <v>7</v>
      </c>
      <c r="BY410" s="27" t="s">
        <v>8</v>
      </c>
      <c r="BZ410" s="27" t="s">
        <v>7</v>
      </c>
      <c r="CA410" s="27" t="s">
        <v>8</v>
      </c>
    </row>
    <row r="411" spans="1:85" x14ac:dyDescent="0.25">
      <c r="A411" s="7">
        <v>32.630988492608374</v>
      </c>
      <c r="B411"/>
      <c r="C411"/>
      <c r="D411"/>
      <c r="E411"/>
      <c r="BU411" s="27" t="s">
        <v>8</v>
      </c>
      <c r="BX411" s="27" t="s">
        <v>7</v>
      </c>
      <c r="BY411" s="27" t="s">
        <v>8</v>
      </c>
      <c r="BZ411" s="27" t="s">
        <v>7</v>
      </c>
      <c r="CA411" s="27" t="s">
        <v>8</v>
      </c>
    </row>
    <row r="412" spans="1:85" x14ac:dyDescent="0.25">
      <c r="A412" s="7">
        <v>31.99116518883174</v>
      </c>
      <c r="B412"/>
      <c r="C412"/>
      <c r="D412"/>
      <c r="E412"/>
      <c r="BU412" s="27" t="s">
        <v>8</v>
      </c>
      <c r="BX412" s="27" t="s">
        <v>7</v>
      </c>
      <c r="BY412" s="27" t="s">
        <v>8</v>
      </c>
      <c r="BZ412" s="27" t="s">
        <v>7</v>
      </c>
      <c r="CA412" s="27" t="s">
        <v>8</v>
      </c>
    </row>
    <row r="413" spans="1:85" x14ac:dyDescent="0.25">
      <c r="A413" s="7">
        <v>31.363887440031117</v>
      </c>
      <c r="B413"/>
      <c r="C413"/>
      <c r="D413"/>
      <c r="E413"/>
      <c r="BU413" s="27" t="s">
        <v>8</v>
      </c>
      <c r="BX413" s="27" t="s">
        <v>7</v>
      </c>
      <c r="BY413" s="27" t="s">
        <v>8</v>
      </c>
      <c r="BZ413" s="27" t="s">
        <v>7</v>
      </c>
      <c r="CA413" s="27" t="s">
        <v>8</v>
      </c>
    </row>
    <row r="414" spans="1:85" x14ac:dyDescent="0.25">
      <c r="A414" s="7">
        <v>30.748909254932467</v>
      </c>
      <c r="B414"/>
      <c r="C414"/>
      <c r="D414"/>
      <c r="E414"/>
      <c r="BU414" s="27" t="s">
        <v>8</v>
      </c>
      <c r="BX414" s="27" t="s">
        <v>7</v>
      </c>
      <c r="BY414" s="27" t="s">
        <v>8</v>
      </c>
      <c r="BZ414" s="27" t="s">
        <v>7</v>
      </c>
    </row>
    <row r="415" spans="1:85" x14ac:dyDescent="0.25">
      <c r="A415" s="7">
        <v>30.145989465620065</v>
      </c>
      <c r="B415"/>
      <c r="C415"/>
      <c r="D415"/>
      <c r="E415"/>
      <c r="BU415" s="27" t="s">
        <v>8</v>
      </c>
      <c r="BX415" s="27" t="s">
        <v>7</v>
      </c>
      <c r="BY415" s="27" t="s">
        <v>8</v>
      </c>
    </row>
    <row r="416" spans="1:85" x14ac:dyDescent="0.25">
      <c r="A416" s="7">
        <v>29.55489163296085</v>
      </c>
      <c r="B416"/>
      <c r="C416"/>
      <c r="D416"/>
      <c r="E416"/>
      <c r="BK416" s="27" t="s">
        <v>8</v>
      </c>
      <c r="BU416" s="27" t="s">
        <v>8</v>
      </c>
      <c r="BX416" s="27" t="s">
        <v>7</v>
      </c>
      <c r="BY416" s="27" t="s">
        <v>8</v>
      </c>
    </row>
    <row r="417" spans="1:77" x14ac:dyDescent="0.25">
      <c r="A417" s="7">
        <v>28.975383953883185</v>
      </c>
      <c r="B417"/>
      <c r="C417"/>
      <c r="D417"/>
      <c r="E417"/>
      <c r="BK417" s="27" t="s">
        <v>8</v>
      </c>
      <c r="BL417" s="27" t="s">
        <v>7</v>
      </c>
      <c r="BU417" s="27" t="s">
        <v>8</v>
      </c>
      <c r="BX417" s="27" t="s">
        <v>7</v>
      </c>
      <c r="BY417" s="27" t="s">
        <v>8</v>
      </c>
    </row>
    <row r="418" spans="1:77" x14ac:dyDescent="0.25">
      <c r="A418" s="7">
        <v>28.407239170473709</v>
      </c>
      <c r="B418"/>
      <c r="C418"/>
      <c r="D418"/>
      <c r="E418"/>
      <c r="BK418" s="27" t="s">
        <v>8</v>
      </c>
      <c r="BL418" s="27" t="s">
        <v>7</v>
      </c>
      <c r="BU418" s="27" t="s">
        <v>8</v>
      </c>
      <c r="BX418" s="27" t="s">
        <v>7</v>
      </c>
      <c r="BY418" s="27" t="s">
        <v>8</v>
      </c>
    </row>
    <row r="419" spans="1:77" x14ac:dyDescent="0.25">
      <c r="A419" s="7">
        <v>27.850234480856578</v>
      </c>
      <c r="B419"/>
      <c r="C419"/>
      <c r="D419"/>
      <c r="E419"/>
      <c r="BK419" s="27" t="s">
        <v>8</v>
      </c>
      <c r="BL419" s="27" t="s">
        <v>7</v>
      </c>
      <c r="BU419" s="27" t="s">
        <v>8</v>
      </c>
      <c r="BX419" s="27" t="s">
        <v>7</v>
      </c>
      <c r="BY419" s="27" t="s">
        <v>8</v>
      </c>
    </row>
    <row r="420" spans="1:77" x14ac:dyDescent="0.25">
      <c r="A420" s="7">
        <v>27.304151451820175</v>
      </c>
      <c r="B420"/>
      <c r="C420"/>
      <c r="D420"/>
      <c r="E420"/>
      <c r="BI420" s="27" t="s">
        <v>8</v>
      </c>
      <c r="BK420" s="27" t="s">
        <v>8</v>
      </c>
      <c r="BL420" s="27" t="s">
        <v>7</v>
      </c>
      <c r="BU420" s="27" t="s">
        <v>8</v>
      </c>
      <c r="BX420" s="27" t="s">
        <v>7</v>
      </c>
    </row>
    <row r="421" spans="1:77" x14ac:dyDescent="0.25">
      <c r="A421" s="7">
        <v>26.768775933157034</v>
      </c>
      <c r="B421"/>
      <c r="C421"/>
      <c r="D421"/>
      <c r="E421"/>
      <c r="BI421" s="27" t="s">
        <v>8</v>
      </c>
      <c r="BJ421" s="27" t="s">
        <v>7</v>
      </c>
      <c r="BK421" s="27" t="s">
        <v>8</v>
      </c>
      <c r="BL421" s="27" t="s">
        <v>7</v>
      </c>
      <c r="BS421" s="27" t="s">
        <v>8</v>
      </c>
      <c r="BU421" s="27" t="s">
        <v>8</v>
      </c>
    </row>
    <row r="422" spans="1:77" x14ac:dyDescent="0.25">
      <c r="A422" s="7">
        <v>26.243897973683367</v>
      </c>
      <c r="B422"/>
      <c r="C422"/>
      <c r="D422"/>
      <c r="E422"/>
      <c r="BI422" s="27" t="s">
        <v>8</v>
      </c>
      <c r="BJ422" s="27" t="s">
        <v>7</v>
      </c>
      <c r="BK422" s="27" t="s">
        <v>8</v>
      </c>
      <c r="BL422" s="27" t="s">
        <v>7</v>
      </c>
      <c r="BO422" s="27" t="s">
        <v>8</v>
      </c>
      <c r="BS422" s="27" t="s">
        <v>8</v>
      </c>
      <c r="BT422" s="27" t="s">
        <v>7</v>
      </c>
      <c r="BU422" s="27" t="s">
        <v>8</v>
      </c>
    </row>
    <row r="423" spans="1:77" x14ac:dyDescent="0.25">
      <c r="A423" s="7">
        <v>25.729311738905263</v>
      </c>
      <c r="B423"/>
      <c r="C423"/>
      <c r="D423"/>
      <c r="E423"/>
      <c r="BI423" s="27" t="s">
        <v>8</v>
      </c>
      <c r="BJ423" s="27" t="s">
        <v>7</v>
      </c>
      <c r="BK423" s="27" t="s">
        <v>8</v>
      </c>
      <c r="BL423" s="27" t="s">
        <v>7</v>
      </c>
      <c r="BM423" s="27" t="s">
        <v>8</v>
      </c>
      <c r="BO423" s="27" t="s">
        <v>8</v>
      </c>
      <c r="BP423" s="27" t="s">
        <v>7</v>
      </c>
      <c r="BS423" s="27" t="s">
        <v>8</v>
      </c>
      <c r="BT423" s="27" t="s">
        <v>7</v>
      </c>
      <c r="BU423" s="27" t="s">
        <v>8</v>
      </c>
    </row>
    <row r="424" spans="1:77" x14ac:dyDescent="0.25">
      <c r="A424" s="7">
        <v>25.224815430299277</v>
      </c>
      <c r="B424"/>
      <c r="C424"/>
      <c r="D424"/>
      <c r="E424"/>
      <c r="BG424" s="27" t="s">
        <v>8</v>
      </c>
      <c r="BI424" s="27" t="s">
        <v>8</v>
      </c>
      <c r="BJ424" s="27" t="s">
        <v>7</v>
      </c>
      <c r="BK424" s="27" t="s">
        <v>8</v>
      </c>
      <c r="BL424" s="27" t="s">
        <v>7</v>
      </c>
      <c r="BM424" s="27" t="s">
        <v>8</v>
      </c>
      <c r="BN424" s="27" t="s">
        <v>7</v>
      </c>
      <c r="BO424" s="27" t="s">
        <v>8</v>
      </c>
      <c r="BP424" s="27" t="s">
        <v>7</v>
      </c>
      <c r="BQ424" s="27" t="s">
        <v>8</v>
      </c>
      <c r="BS424" s="27" t="s">
        <v>8</v>
      </c>
      <c r="BT424" s="27" t="s">
        <v>7</v>
      </c>
      <c r="BU424" s="27" t="s">
        <v>8</v>
      </c>
    </row>
    <row r="425" spans="1:77" x14ac:dyDescent="0.25">
      <c r="A425" s="7">
        <v>24.73021120617576</v>
      </c>
      <c r="B425"/>
      <c r="C425"/>
      <c r="D425"/>
      <c r="E425"/>
      <c r="BG425" s="27" t="s">
        <v>8</v>
      </c>
      <c r="BH425" s="27" t="s">
        <v>7</v>
      </c>
      <c r="BI425" s="27" t="s">
        <v>8</v>
      </c>
      <c r="BJ425" s="27" t="s">
        <v>7</v>
      </c>
      <c r="BL425" s="27" t="s">
        <v>7</v>
      </c>
      <c r="BM425" s="27" t="s">
        <v>8</v>
      </c>
      <c r="BN425" s="27" t="s">
        <v>7</v>
      </c>
      <c r="BO425" s="27" t="s">
        <v>8</v>
      </c>
      <c r="BP425" s="27" t="s">
        <v>7</v>
      </c>
      <c r="BQ425" s="27" t="s">
        <v>8</v>
      </c>
      <c r="BR425" s="27" t="s">
        <v>7</v>
      </c>
      <c r="BS425" s="27" t="s">
        <v>8</v>
      </c>
      <c r="BT425" s="27" t="s">
        <v>7</v>
      </c>
    </row>
    <row r="426" spans="1:77" x14ac:dyDescent="0.25">
      <c r="A426" s="7">
        <v>24.24530510409388</v>
      </c>
      <c r="B426"/>
      <c r="C426"/>
      <c r="D426"/>
      <c r="E426"/>
      <c r="BG426" s="27" t="s">
        <v>8</v>
      </c>
      <c r="BH426" s="27" t="s">
        <v>7</v>
      </c>
      <c r="BI426" s="27" t="s">
        <v>8</v>
      </c>
      <c r="BL426" s="27" t="s">
        <v>7</v>
      </c>
      <c r="BM426" s="27" t="s">
        <v>8</v>
      </c>
      <c r="BN426" s="27" t="s">
        <v>7</v>
      </c>
      <c r="BO426" s="27" t="s">
        <v>8</v>
      </c>
      <c r="BP426" s="27" t="s">
        <v>7</v>
      </c>
      <c r="BQ426" s="27" t="s">
        <v>8</v>
      </c>
      <c r="BR426" s="27" t="s">
        <v>7</v>
      </c>
      <c r="BS426" s="27" t="s">
        <v>8</v>
      </c>
    </row>
    <row r="427" spans="1:77" x14ac:dyDescent="0.25">
      <c r="A427" s="7">
        <v>23.769906964797922</v>
      </c>
      <c r="B427"/>
      <c r="C427"/>
      <c r="D427"/>
      <c r="E427"/>
      <c r="BG427" s="27" t="s">
        <v>8</v>
      </c>
      <c r="BH427" s="27" t="s">
        <v>7</v>
      </c>
      <c r="BI427" s="27" t="s">
        <v>8</v>
      </c>
      <c r="BL427" s="27" t="s">
        <v>7</v>
      </c>
      <c r="BM427" s="27" t="s">
        <v>8</v>
      </c>
      <c r="BN427" s="27" t="s">
        <v>7</v>
      </c>
      <c r="BO427" s="27" t="s">
        <v>8</v>
      </c>
      <c r="BP427" s="27" t="s">
        <v>7</v>
      </c>
      <c r="BR427" s="27" t="s">
        <v>7</v>
      </c>
    </row>
    <row r="428" spans="1:77" x14ac:dyDescent="0.25">
      <c r="A428" s="7">
        <v>23.303830357645023</v>
      </c>
      <c r="B428"/>
      <c r="C428"/>
      <c r="D428"/>
      <c r="E428"/>
      <c r="BG428" s="27" t="s">
        <v>8</v>
      </c>
      <c r="BH428" s="27" t="s">
        <v>7</v>
      </c>
      <c r="BI428" s="27" t="s">
        <v>8</v>
      </c>
      <c r="BL428" s="27" t="s">
        <v>7</v>
      </c>
      <c r="BM428" s="27" t="s">
        <v>8</v>
      </c>
      <c r="BN428" s="27" t="s">
        <v>7</v>
      </c>
      <c r="BO428" s="27" t="s">
        <v>8</v>
      </c>
    </row>
    <row r="429" spans="1:77" x14ac:dyDescent="0.25">
      <c r="A429" s="7">
        <v>22.84689250749512</v>
      </c>
      <c r="B429"/>
      <c r="C429"/>
      <c r="D429"/>
      <c r="E429"/>
      <c r="BG429" s="27" t="s">
        <v>8</v>
      </c>
      <c r="BH429" s="27" t="s">
        <v>7</v>
      </c>
      <c r="BI429" s="27" t="s">
        <v>8</v>
      </c>
      <c r="BL429" s="27" t="s">
        <v>7</v>
      </c>
      <c r="BM429" s="27" t="s">
        <v>8</v>
      </c>
      <c r="BN429" s="27" t="s">
        <v>7</v>
      </c>
      <c r="BO429" s="27" t="s">
        <v>8</v>
      </c>
    </row>
    <row r="430" spans="1:77" x14ac:dyDescent="0.25">
      <c r="A430" s="7">
        <v>22.398914223034431</v>
      </c>
      <c r="B430"/>
      <c r="C430"/>
      <c r="D430"/>
      <c r="E430"/>
      <c r="BG430" s="27" t="s">
        <v>8</v>
      </c>
      <c r="BH430" s="27" t="s">
        <v>7</v>
      </c>
      <c r="BI430" s="27" t="s">
        <v>8</v>
      </c>
      <c r="BL430" s="27" t="s">
        <v>7</v>
      </c>
      <c r="BM430" s="27" t="s">
        <v>8</v>
      </c>
      <c r="BN430" s="27" t="s">
        <v>7</v>
      </c>
      <c r="BO430" s="27" t="s">
        <v>8</v>
      </c>
    </row>
    <row r="431" spans="1:77" x14ac:dyDescent="0.25">
      <c r="A431" s="7">
        <v>21.959719826504344</v>
      </c>
      <c r="B431"/>
      <c r="C431"/>
      <c r="D431"/>
      <c r="E431"/>
      <c r="BG431" s="27" t="s">
        <v>8</v>
      </c>
      <c r="BH431" s="27" t="s">
        <v>7</v>
      </c>
      <c r="BI431" s="27" t="s">
        <v>8</v>
      </c>
      <c r="BL431" s="27" t="s">
        <v>7</v>
      </c>
      <c r="BM431" s="27" t="s">
        <v>8</v>
      </c>
      <c r="BN431" s="27" t="s">
        <v>7</v>
      </c>
      <c r="BO431" s="27" t="s">
        <v>8</v>
      </c>
    </row>
    <row r="432" spans="1:77" x14ac:dyDescent="0.25">
      <c r="A432" s="7">
        <v>21.52913708480818</v>
      </c>
      <c r="B432"/>
      <c r="C432"/>
      <c r="D432"/>
      <c r="E432"/>
      <c r="BG432" s="27" t="s">
        <v>8</v>
      </c>
      <c r="BH432" s="27" t="s">
        <v>7</v>
      </c>
      <c r="BI432" s="27" t="s">
        <v>8</v>
      </c>
      <c r="BL432" s="27" t="s">
        <v>7</v>
      </c>
      <c r="BM432" s="27" t="s">
        <v>8</v>
      </c>
      <c r="BN432" s="27" t="s">
        <v>7</v>
      </c>
      <c r="BO432" s="27" t="s">
        <v>8</v>
      </c>
    </row>
    <row r="433" spans="1:67" x14ac:dyDescent="0.25">
      <c r="A433" s="7">
        <v>21.106997141968804</v>
      </c>
      <c r="B433"/>
      <c r="C433"/>
      <c r="D433"/>
      <c r="E433"/>
      <c r="BG433" s="27" t="s">
        <v>8</v>
      </c>
      <c r="BH433" s="27" t="s">
        <v>7</v>
      </c>
      <c r="BI433" s="27" t="s">
        <v>8</v>
      </c>
      <c r="BL433" s="27" t="s">
        <v>7</v>
      </c>
      <c r="BM433" s="27" t="s">
        <v>8</v>
      </c>
      <c r="BN433" s="27" t="s">
        <v>7</v>
      </c>
      <c r="BO433" s="27" t="s">
        <v>8</v>
      </c>
    </row>
    <row r="434" spans="1:67" x14ac:dyDescent="0.25">
      <c r="A434" s="7">
        <v>20.693134452910591</v>
      </c>
      <c r="B434"/>
      <c r="C434"/>
      <c r="D434"/>
      <c r="E434"/>
      <c r="BG434" s="27" t="s">
        <v>8</v>
      </c>
      <c r="BH434" s="27" t="s">
        <v>7</v>
      </c>
      <c r="BI434" s="27" t="s">
        <v>8</v>
      </c>
      <c r="BL434" s="27" t="s">
        <v>7</v>
      </c>
      <c r="BN434" s="27" t="s">
        <v>7</v>
      </c>
    </row>
    <row r="435" spans="1:67" x14ac:dyDescent="0.25">
      <c r="A435" s="7">
        <v>20.287386718539796</v>
      </c>
      <c r="B435"/>
      <c r="C435"/>
      <c r="D435"/>
      <c r="E435" t="s">
        <v>8</v>
      </c>
      <c r="BG435" s="27" t="s">
        <v>8</v>
      </c>
      <c r="BH435" s="27" t="s">
        <v>7</v>
      </c>
    </row>
    <row r="436" spans="1:67" x14ac:dyDescent="0.25">
      <c r="A436" s="7">
        <v>19.889594822097838</v>
      </c>
      <c r="B436"/>
      <c r="C436"/>
      <c r="D436"/>
      <c r="E436" t="s">
        <v>8</v>
      </c>
      <c r="F436" s="27" t="s">
        <v>7</v>
      </c>
      <c r="BG436" s="27" t="s">
        <v>8</v>
      </c>
    </row>
    <row r="437" spans="1:67" x14ac:dyDescent="0.25">
      <c r="A437" s="7">
        <v>19.499602766762585</v>
      </c>
      <c r="B437"/>
      <c r="C437"/>
      <c r="D437"/>
      <c r="E437" t="s">
        <v>8</v>
      </c>
      <c r="F437" s="27" t="s">
        <v>7</v>
      </c>
      <c r="BG437" s="27" t="s">
        <v>8</v>
      </c>
    </row>
    <row r="438" spans="1:67" x14ac:dyDescent="0.25">
      <c r="A438" s="7">
        <v>19.117257614473122</v>
      </c>
      <c r="B438"/>
      <c r="C438"/>
      <c r="D438"/>
      <c r="E438" t="s">
        <v>8</v>
      </c>
      <c r="F438" s="27" t="s">
        <v>7</v>
      </c>
      <c r="BG438" s="27" t="s">
        <v>8</v>
      </c>
    </row>
    <row r="439" spans="1:67" x14ac:dyDescent="0.25">
      <c r="A439" s="7">
        <v>18.74240942595404</v>
      </c>
      <c r="B439"/>
      <c r="C439"/>
      <c r="D439"/>
      <c r="E439" t="s">
        <v>8</v>
      </c>
      <c r="F439" s="27" t="s">
        <v>7</v>
      </c>
      <c r="BG439" s="27" t="s">
        <v>8</v>
      </c>
    </row>
    <row r="440" spans="1:67" x14ac:dyDescent="0.25">
      <c r="A440" s="7">
        <v>18.374911201915726</v>
      </c>
      <c r="B440"/>
      <c r="C440"/>
      <c r="D440"/>
      <c r="E440" t="s">
        <v>8</v>
      </c>
      <c r="F440" s="27" t="s">
        <v>7</v>
      </c>
      <c r="BG440" s="27" t="s">
        <v>8</v>
      </c>
    </row>
    <row r="441" spans="1:67" x14ac:dyDescent="0.25">
      <c r="A441" s="7">
        <v>18.014618825407574</v>
      </c>
      <c r="B441"/>
      <c r="C441"/>
      <c r="D441"/>
      <c r="E441" t="s">
        <v>8</v>
      </c>
      <c r="F441" s="27" t="s">
        <v>7</v>
      </c>
      <c r="BG441" s="27" t="s">
        <v>8</v>
      </c>
    </row>
    <row r="442" spans="1:67" x14ac:dyDescent="0.25">
      <c r="A442" s="7">
        <v>17.661391005301542</v>
      </c>
      <c r="B442"/>
      <c r="C442"/>
      <c r="D442"/>
      <c r="E442" t="s">
        <v>8</v>
      </c>
      <c r="F442" s="27" t="s">
        <v>7</v>
      </c>
      <c r="BG442" s="27" t="s">
        <v>8</v>
      </c>
    </row>
    <row r="443" spans="1:67" x14ac:dyDescent="0.25">
      <c r="A443" s="7">
        <v>17.315089220883866</v>
      </c>
      <c r="B443"/>
      <c r="C443"/>
      <c r="D443"/>
      <c r="E443" t="s">
        <v>8</v>
      </c>
      <c r="F443" s="27" t="s">
        <v>7</v>
      </c>
      <c r="BG443" s="27" t="s">
        <v>8</v>
      </c>
    </row>
    <row r="444" spans="1:67" x14ac:dyDescent="0.25">
      <c r="A444" s="7">
        <v>16.975577667533202</v>
      </c>
      <c r="B444"/>
      <c r="C444"/>
      <c r="D444"/>
      <c r="E444" t="s">
        <v>8</v>
      </c>
      <c r="F444" s="27" t="s">
        <v>7</v>
      </c>
      <c r="BE444" s="27" t="s">
        <v>8</v>
      </c>
      <c r="BG444" s="27" t="s">
        <v>8</v>
      </c>
    </row>
    <row r="445" spans="1:67" x14ac:dyDescent="0.25">
      <c r="A445" s="7">
        <v>16.642723203463923</v>
      </c>
      <c r="B445"/>
      <c r="C445"/>
      <c r="D445"/>
      <c r="E445" t="s">
        <v>8</v>
      </c>
      <c r="F445" s="27" t="s">
        <v>7</v>
      </c>
      <c r="BE445" s="27" t="s">
        <v>8</v>
      </c>
      <c r="BF445" s="27" t="s">
        <v>7</v>
      </c>
      <c r="BG445" s="27" t="s">
        <v>8</v>
      </c>
    </row>
    <row r="446" spans="1:67" x14ac:dyDescent="0.25">
      <c r="A446" s="7">
        <v>16.316395297513651</v>
      </c>
      <c r="B446"/>
      <c r="C446"/>
      <c r="D446"/>
      <c r="E446" t="s">
        <v>8</v>
      </c>
      <c r="F446" s="27" t="s">
        <v>7</v>
      </c>
      <c r="BE446" s="27" t="s">
        <v>8</v>
      </c>
      <c r="BF446" s="27" t="s">
        <v>7</v>
      </c>
      <c r="BG446" s="27" t="s">
        <v>8</v>
      </c>
    </row>
    <row r="447" spans="1:67" x14ac:dyDescent="0.25">
      <c r="A447" s="7">
        <v>15.996465977954561</v>
      </c>
      <c r="B447"/>
      <c r="C447"/>
      <c r="D447"/>
      <c r="E447" t="s">
        <v>8</v>
      </c>
      <c r="F447" s="27" t="s">
        <v>7</v>
      </c>
      <c r="G447" s="27" t="s">
        <v>8</v>
      </c>
      <c r="BE447" s="27" t="s">
        <v>8</v>
      </c>
      <c r="BF447" s="27" t="s">
        <v>7</v>
      </c>
    </row>
    <row r="448" spans="1:67" x14ac:dyDescent="0.25">
      <c r="A448" s="7">
        <v>15.682809782308393</v>
      </c>
      <c r="B448"/>
      <c r="C448"/>
      <c r="D448"/>
      <c r="E448" t="s">
        <v>8</v>
      </c>
      <c r="F448" s="27" t="s">
        <v>7</v>
      </c>
      <c r="G448" s="27" t="s">
        <v>8</v>
      </c>
      <c r="H448" s="27" t="s">
        <v>7</v>
      </c>
      <c r="BE448" s="27" t="s">
        <v>8</v>
      </c>
    </row>
    <row r="449" spans="1:57" x14ac:dyDescent="0.25">
      <c r="A449" s="7">
        <v>15.375303708145482</v>
      </c>
      <c r="B449"/>
      <c r="C449"/>
      <c r="D449"/>
      <c r="E449" t="s">
        <v>8</v>
      </c>
      <c r="F449" s="27" t="s">
        <v>7</v>
      </c>
      <c r="G449" s="27" t="s">
        <v>8</v>
      </c>
      <c r="H449" s="27" t="s">
        <v>7</v>
      </c>
      <c r="I449" s="27" t="s">
        <v>8</v>
      </c>
      <c r="K449" s="27" t="s">
        <v>8</v>
      </c>
      <c r="BE449" s="27" t="s">
        <v>8</v>
      </c>
    </row>
    <row r="450" spans="1:57" x14ac:dyDescent="0.25">
      <c r="A450" s="7">
        <v>15.073827164848511</v>
      </c>
      <c r="B450"/>
      <c r="C450"/>
      <c r="D450"/>
      <c r="E450" t="s">
        <v>8</v>
      </c>
      <c r="F450" s="27" t="s">
        <v>7</v>
      </c>
      <c r="G450" s="27" t="s">
        <v>8</v>
      </c>
      <c r="H450" s="27" t="s">
        <v>7</v>
      </c>
      <c r="I450" s="27" t="s">
        <v>8</v>
      </c>
      <c r="J450" s="27" t="s">
        <v>7</v>
      </c>
      <c r="K450" s="27" t="s">
        <v>8</v>
      </c>
      <c r="L450" s="27" t="s">
        <v>7</v>
      </c>
      <c r="BE450" s="27" t="s">
        <v>8</v>
      </c>
    </row>
    <row r="451" spans="1:57" x14ac:dyDescent="0.25">
      <c r="A451" s="7">
        <v>14.77826192632207</v>
      </c>
      <c r="B451"/>
      <c r="C451"/>
      <c r="D451"/>
      <c r="E451" t="s">
        <v>8</v>
      </c>
      <c r="F451" s="27" t="s">
        <v>7</v>
      </c>
      <c r="G451" s="27" t="s">
        <v>8</v>
      </c>
      <c r="H451" s="27" t="s">
        <v>7</v>
      </c>
      <c r="I451" s="27" t="s">
        <v>8</v>
      </c>
      <c r="J451" s="27" t="s">
        <v>7</v>
      </c>
      <c r="K451" s="27" t="s">
        <v>8</v>
      </c>
      <c r="L451" s="27" t="s">
        <v>7</v>
      </c>
      <c r="M451" s="27" t="s">
        <v>8</v>
      </c>
      <c r="BE451" s="27" t="s">
        <v>8</v>
      </c>
    </row>
    <row r="452" spans="1:57" x14ac:dyDescent="0.25">
      <c r="A452" s="7">
        <v>14.488492084629481</v>
      </c>
      <c r="B452"/>
      <c r="C452"/>
      <c r="D452"/>
      <c r="E452" t="s">
        <v>8</v>
      </c>
      <c r="F452" s="27" t="s">
        <v>7</v>
      </c>
      <c r="G452" s="27" t="s">
        <v>8</v>
      </c>
      <c r="H452" s="27" t="s">
        <v>7</v>
      </c>
      <c r="I452" s="27" t="s">
        <v>8</v>
      </c>
      <c r="J452" s="27" t="s">
        <v>7</v>
      </c>
      <c r="K452" s="27" t="s">
        <v>8</v>
      </c>
      <c r="L452" s="27" t="s">
        <v>7</v>
      </c>
      <c r="M452" s="27" t="s">
        <v>8</v>
      </c>
      <c r="N452" s="27" t="s">
        <v>7</v>
      </c>
      <c r="BA452" s="27" t="s">
        <v>8</v>
      </c>
      <c r="BC452" s="27" t="s">
        <v>8</v>
      </c>
      <c r="BE452" s="27" t="s">
        <v>8</v>
      </c>
    </row>
    <row r="453" spans="1:57" x14ac:dyDescent="0.25">
      <c r="A453" s="7">
        <v>14.204404004538707</v>
      </c>
      <c r="B453"/>
      <c r="C453"/>
      <c r="D453"/>
      <c r="E453" t="s">
        <v>8</v>
      </c>
      <c r="F453" s="27" t="s">
        <v>7</v>
      </c>
      <c r="G453" s="27" t="s">
        <v>8</v>
      </c>
      <c r="H453" s="27" t="s">
        <v>7</v>
      </c>
      <c r="I453" s="27" t="s">
        <v>8</v>
      </c>
      <c r="J453" s="27" t="s">
        <v>7</v>
      </c>
      <c r="K453" s="27" t="s">
        <v>8</v>
      </c>
      <c r="L453" s="27" t="s">
        <v>7</v>
      </c>
      <c r="M453" s="27" t="s">
        <v>8</v>
      </c>
      <c r="N453" s="27" t="s">
        <v>7</v>
      </c>
      <c r="BA453" s="27" t="s">
        <v>8</v>
      </c>
      <c r="BB453" s="27" t="s">
        <v>7</v>
      </c>
      <c r="BC453" s="27" t="s">
        <v>8</v>
      </c>
      <c r="BD453" s="27" t="s">
        <v>7</v>
      </c>
      <c r="BE453" s="27" t="s">
        <v>8</v>
      </c>
    </row>
    <row r="454" spans="1:57" x14ac:dyDescent="0.25">
      <c r="A454" s="7">
        <v>13.925886278959517</v>
      </c>
      <c r="B454"/>
      <c r="C454"/>
      <c r="D454"/>
      <c r="E454" t="s">
        <v>8</v>
      </c>
      <c r="F454" s="27" t="s">
        <v>7</v>
      </c>
      <c r="G454" s="27" t="s">
        <v>8</v>
      </c>
      <c r="H454" s="27" t="s">
        <v>7</v>
      </c>
      <c r="I454" s="27" t="s">
        <v>8</v>
      </c>
      <c r="J454" s="27" t="s">
        <v>7</v>
      </c>
      <c r="L454" s="27" t="s">
        <v>7</v>
      </c>
      <c r="M454" s="27" t="s">
        <v>8</v>
      </c>
      <c r="N454" s="27" t="s">
        <v>7</v>
      </c>
      <c r="BA454" s="27" t="s">
        <v>8</v>
      </c>
      <c r="BB454" s="27" t="s">
        <v>7</v>
      </c>
      <c r="BC454" s="27" t="s">
        <v>8</v>
      </c>
      <c r="BD454" s="27" t="s">
        <v>7</v>
      </c>
      <c r="BE454" s="27" t="s">
        <v>8</v>
      </c>
    </row>
    <row r="455" spans="1:57" x14ac:dyDescent="0.25">
      <c r="A455" s="7">
        <v>13.652829685254428</v>
      </c>
      <c r="B455"/>
      <c r="C455"/>
      <c r="D455"/>
      <c r="E455" t="s">
        <v>8</v>
      </c>
      <c r="F455" s="27" t="s">
        <v>7</v>
      </c>
      <c r="G455" s="27" t="s">
        <v>8</v>
      </c>
      <c r="H455" s="27" t="s">
        <v>7</v>
      </c>
      <c r="I455" s="27" t="s">
        <v>8</v>
      </c>
      <c r="L455" s="27" t="s">
        <v>7</v>
      </c>
      <c r="M455" s="27" t="s">
        <v>8</v>
      </c>
      <c r="N455" s="27" t="s">
        <v>7</v>
      </c>
      <c r="BA455" s="27" t="s">
        <v>8</v>
      </c>
      <c r="BB455" s="27" t="s">
        <v>7</v>
      </c>
      <c r="BC455" s="27" t="s">
        <v>8</v>
      </c>
      <c r="BD455" s="27" t="s">
        <v>7</v>
      </c>
      <c r="BE455" s="27" t="s">
        <v>8</v>
      </c>
    </row>
    <row r="456" spans="1:57" x14ac:dyDescent="0.25">
      <c r="A456" s="7">
        <v>13.385127142406303</v>
      </c>
      <c r="B456"/>
      <c r="C456"/>
      <c r="D456"/>
      <c r="E456" t="s">
        <v>8</v>
      </c>
      <c r="F456" s="27" t="s">
        <v>7</v>
      </c>
      <c r="G456" s="27" t="s">
        <v>8</v>
      </c>
      <c r="H456" s="27" t="s">
        <v>7</v>
      </c>
      <c r="I456" s="27" t="s">
        <v>8</v>
      </c>
      <c r="L456" s="27" t="s">
        <v>7</v>
      </c>
      <c r="M456" s="27" t="s">
        <v>8</v>
      </c>
      <c r="N456" s="27" t="s">
        <v>7</v>
      </c>
      <c r="BA456" s="27" t="s">
        <v>8</v>
      </c>
      <c r="BB456" s="27" t="s">
        <v>7</v>
      </c>
      <c r="BC456" s="27" t="s">
        <v>8</v>
      </c>
      <c r="BD456" s="27" t="s">
        <v>7</v>
      </c>
      <c r="BE456" s="27" t="s">
        <v>8</v>
      </c>
    </row>
    <row r="457" spans="1:57" x14ac:dyDescent="0.25">
      <c r="A457" s="7">
        <v>13.122673669025787</v>
      </c>
      <c r="B457"/>
      <c r="C457"/>
      <c r="D457"/>
      <c r="E457" t="s">
        <v>8</v>
      </c>
      <c r="F457" s="27" t="s">
        <v>7</v>
      </c>
      <c r="G457" s="27" t="s">
        <v>8</v>
      </c>
      <c r="H457" s="27" t="s">
        <v>7</v>
      </c>
      <c r="I457" s="27" t="s">
        <v>8</v>
      </c>
      <c r="L457" s="27" t="s">
        <v>7</v>
      </c>
      <c r="M457" s="27" t="s">
        <v>8</v>
      </c>
      <c r="N457" s="27" t="s">
        <v>7</v>
      </c>
      <c r="BA457" s="27" t="s">
        <v>8</v>
      </c>
      <c r="BB457" s="27" t="s">
        <v>7</v>
      </c>
      <c r="BC457" s="27" t="s">
        <v>8</v>
      </c>
      <c r="BD457" s="27" t="s">
        <v>7</v>
      </c>
    </row>
    <row r="458" spans="1:57" x14ac:dyDescent="0.25">
      <c r="A458" s="7">
        <v>12.865366342182144</v>
      </c>
      <c r="B458"/>
      <c r="C458"/>
      <c r="D458"/>
      <c r="E458" t="s">
        <v>8</v>
      </c>
      <c r="F458" s="27" t="s">
        <v>7</v>
      </c>
      <c r="G458" s="27" t="s">
        <v>8</v>
      </c>
      <c r="H458" s="27" t="s">
        <v>7</v>
      </c>
      <c r="I458" s="27" t="s">
        <v>8</v>
      </c>
      <c r="L458" s="27" t="s">
        <v>7</v>
      </c>
      <c r="M458" s="27" t="s">
        <v>8</v>
      </c>
      <c r="N458" s="27" t="s">
        <v>7</v>
      </c>
      <c r="O458" s="27" t="s">
        <v>8</v>
      </c>
      <c r="BA458" s="27" t="s">
        <v>8</v>
      </c>
      <c r="BB458" s="27" t="s">
        <v>7</v>
      </c>
      <c r="BC458" s="27" t="s">
        <v>8</v>
      </c>
    </row>
    <row r="459" spans="1:57" x14ac:dyDescent="0.25">
      <c r="A459" s="7">
        <v>12.613104257041318</v>
      </c>
      <c r="B459"/>
      <c r="C459"/>
      <c r="D459"/>
      <c r="E459" t="s">
        <v>8</v>
      </c>
      <c r="F459" s="27" t="s">
        <v>7</v>
      </c>
      <c r="G459" s="27" t="s">
        <v>8</v>
      </c>
      <c r="H459" s="27" t="s">
        <v>7</v>
      </c>
      <c r="I459" s="27" t="s">
        <v>8</v>
      </c>
      <c r="L459" s="27" t="s">
        <v>7</v>
      </c>
      <c r="N459" s="27" t="s">
        <v>7</v>
      </c>
      <c r="O459" s="27" t="s">
        <v>8</v>
      </c>
      <c r="P459" s="27" t="s">
        <v>7</v>
      </c>
      <c r="BA459" s="27" t="s">
        <v>8</v>
      </c>
      <c r="BB459" s="27" t="s">
        <v>7</v>
      </c>
      <c r="BC459" s="27" t="s">
        <v>8</v>
      </c>
    </row>
    <row r="460" spans="1:57" x14ac:dyDescent="0.25">
      <c r="A460" s="7">
        <v>12.36578848729541</v>
      </c>
      <c r="B460"/>
      <c r="C460"/>
      <c r="D460"/>
      <c r="E460" t="s">
        <v>8</v>
      </c>
      <c r="F460" s="27" t="s">
        <v>7</v>
      </c>
      <c r="G460" s="27" t="s">
        <v>8</v>
      </c>
      <c r="H460" s="27" t="s">
        <v>7</v>
      </c>
      <c r="I460" s="27" t="s">
        <v>8</v>
      </c>
      <c r="N460" s="27" t="s">
        <v>7</v>
      </c>
      <c r="O460" s="27" t="s">
        <v>8</v>
      </c>
      <c r="P460" s="27" t="s">
        <v>7</v>
      </c>
      <c r="BA460" s="27" t="s">
        <v>8</v>
      </c>
      <c r="BB460" s="27" t="s">
        <v>7</v>
      </c>
    </row>
    <row r="461" spans="1:57" x14ac:dyDescent="0.25">
      <c r="A461" s="7">
        <v>12.123322046368049</v>
      </c>
      <c r="B461"/>
      <c r="C461"/>
      <c r="D461"/>
      <c r="E461" t="s">
        <v>8</v>
      </c>
      <c r="F461" s="27" t="s">
        <v>7</v>
      </c>
      <c r="G461" s="27" t="s">
        <v>8</v>
      </c>
      <c r="H461" s="27" t="s">
        <v>7</v>
      </c>
      <c r="I461" s="27" t="s">
        <v>8</v>
      </c>
      <c r="N461" s="27" t="s">
        <v>7</v>
      </c>
      <c r="O461" s="27" t="s">
        <v>8</v>
      </c>
      <c r="P461" s="27" t="s">
        <v>7</v>
      </c>
      <c r="Q461" s="27" t="s">
        <v>8</v>
      </c>
      <c r="BA461" s="27" t="s">
        <v>8</v>
      </c>
    </row>
    <row r="462" spans="1:57" x14ac:dyDescent="0.25">
      <c r="A462" s="7">
        <v>11.88560984938044</v>
      </c>
      <c r="B462"/>
      <c r="C462"/>
      <c r="D462"/>
      <c r="E462" t="s">
        <v>8</v>
      </c>
      <c r="F462" s="27" t="s">
        <v>7</v>
      </c>
      <c r="G462" s="27" t="s">
        <v>8</v>
      </c>
      <c r="H462" s="27" t="s">
        <v>7</v>
      </c>
      <c r="I462" s="27" t="s">
        <v>8</v>
      </c>
      <c r="N462" s="27" t="s">
        <v>7</v>
      </c>
      <c r="P462" s="27" t="s">
        <v>7</v>
      </c>
      <c r="Q462" s="27" t="s">
        <v>8</v>
      </c>
      <c r="R462" s="27" t="s">
        <v>7</v>
      </c>
      <c r="BA462" s="27" t="s">
        <v>8</v>
      </c>
    </row>
    <row r="463" spans="1:57" x14ac:dyDescent="0.25">
      <c r="A463" s="7">
        <v>11.652558675863176</v>
      </c>
      <c r="B463"/>
      <c r="C463"/>
      <c r="D463"/>
      <c r="E463" t="s">
        <v>8</v>
      </c>
      <c r="F463" s="27" t="s">
        <v>7</v>
      </c>
      <c r="G463" s="27" t="s">
        <v>8</v>
      </c>
      <c r="H463" s="27" t="s">
        <v>7</v>
      </c>
      <c r="P463" s="27" t="s">
        <v>7</v>
      </c>
      <c r="Q463" s="27" t="s">
        <v>8</v>
      </c>
      <c r="R463" s="27" t="s">
        <v>7</v>
      </c>
      <c r="BA463" s="27" t="s">
        <v>8</v>
      </c>
    </row>
    <row r="464" spans="1:57" x14ac:dyDescent="0.25">
      <c r="A464" s="7">
        <v>11.424077133199193</v>
      </c>
      <c r="B464"/>
      <c r="C464"/>
      <c r="D464"/>
      <c r="E464" t="s">
        <v>8</v>
      </c>
      <c r="F464" s="27" t="s">
        <v>7</v>
      </c>
      <c r="G464" s="27" t="s">
        <v>8</v>
      </c>
      <c r="P464" s="27" t="s">
        <v>7</v>
      </c>
      <c r="Q464" s="27" t="s">
        <v>8</v>
      </c>
      <c r="R464" s="27" t="s">
        <v>7</v>
      </c>
      <c r="BA464" s="27" t="s">
        <v>8</v>
      </c>
    </row>
    <row r="465" spans="1:53" x14ac:dyDescent="0.25">
      <c r="A465" s="7">
        <v>11.200075620783522</v>
      </c>
      <c r="B465"/>
      <c r="C465"/>
      <c r="D465"/>
      <c r="E465" t="s">
        <v>8</v>
      </c>
      <c r="F465" s="27" t="s">
        <v>7</v>
      </c>
      <c r="G465" s="27" t="s">
        <v>8</v>
      </c>
      <c r="P465" s="27" t="s">
        <v>7</v>
      </c>
      <c r="Q465" s="27" t="s">
        <v>8</v>
      </c>
      <c r="R465" s="27" t="s">
        <v>7</v>
      </c>
      <c r="BA465" s="27" t="s">
        <v>8</v>
      </c>
    </row>
    <row r="466" spans="1:53" x14ac:dyDescent="0.25">
      <c r="A466" s="7">
        <v>10.980466294885806</v>
      </c>
      <c r="B466"/>
      <c r="C466"/>
      <c r="D466"/>
      <c r="E466" t="s">
        <v>8</v>
      </c>
      <c r="F466" s="27" t="s">
        <v>7</v>
      </c>
      <c r="G466" s="27" t="s">
        <v>8</v>
      </c>
      <c r="P466" s="27" t="s">
        <v>7</v>
      </c>
      <c r="R466" s="27" t="s">
        <v>7</v>
      </c>
      <c r="BA466" s="27" t="s">
        <v>8</v>
      </c>
    </row>
    <row r="467" spans="1:53" x14ac:dyDescent="0.25">
      <c r="A467" s="7">
        <v>10.765163034201771</v>
      </c>
      <c r="B467"/>
      <c r="C467"/>
      <c r="D467"/>
      <c r="E467" t="s">
        <v>8</v>
      </c>
      <c r="F467" s="27" t="s">
        <v>7</v>
      </c>
      <c r="G467" s="27" t="s">
        <v>8</v>
      </c>
      <c r="R467" s="27" t="s">
        <v>7</v>
      </c>
      <c r="U467" s="27" t="s">
        <v>8</v>
      </c>
      <c r="W467" s="27" t="s">
        <v>8</v>
      </c>
      <c r="BA467" s="27" t="s">
        <v>8</v>
      </c>
    </row>
    <row r="468" spans="1:53" x14ac:dyDescent="0.25">
      <c r="A468" s="7">
        <v>10.554081406080169</v>
      </c>
      <c r="B468"/>
      <c r="C468"/>
      <c r="D468"/>
      <c r="E468" t="s">
        <v>8</v>
      </c>
      <c r="F468" s="27" t="s">
        <v>7</v>
      </c>
      <c r="G468" s="27" t="s">
        <v>8</v>
      </c>
      <c r="R468" s="27" t="s">
        <v>7</v>
      </c>
      <c r="U468" s="27" t="s">
        <v>8</v>
      </c>
      <c r="V468" s="27" t="s">
        <v>7</v>
      </c>
      <c r="W468" s="27" t="s">
        <v>8</v>
      </c>
      <c r="X468" s="27" t="s">
        <v>7</v>
      </c>
      <c r="BA468" s="27" t="s">
        <v>8</v>
      </c>
    </row>
    <row r="469" spans="1:53" x14ac:dyDescent="0.25">
      <c r="A469" s="7">
        <v>10.34713863341193</v>
      </c>
      <c r="B469"/>
      <c r="C469"/>
      <c r="D469"/>
      <c r="E469" t="s">
        <v>8</v>
      </c>
      <c r="F469" s="27" t="s">
        <v>7</v>
      </c>
      <c r="R469" s="27" t="s">
        <v>7</v>
      </c>
      <c r="U469" s="27" t="s">
        <v>8</v>
      </c>
      <c r="V469" s="27" t="s">
        <v>7</v>
      </c>
      <c r="W469" s="27" t="s">
        <v>8</v>
      </c>
      <c r="X469" s="27" t="s">
        <v>7</v>
      </c>
      <c r="AW469" s="27" t="s">
        <v>8</v>
      </c>
      <c r="BA469" s="27" t="s">
        <v>8</v>
      </c>
    </row>
    <row r="470" spans="1:53" x14ac:dyDescent="0.25">
      <c r="A470" s="7">
        <v>10.14425356216856</v>
      </c>
      <c r="B470"/>
      <c r="C470"/>
      <c r="D470"/>
      <c r="E470" t="s">
        <v>8</v>
      </c>
      <c r="R470" s="27" t="s">
        <v>7</v>
      </c>
      <c r="U470" s="27" t="s">
        <v>8</v>
      </c>
      <c r="V470" s="27" t="s">
        <v>7</v>
      </c>
      <c r="W470" s="27" t="s">
        <v>8</v>
      </c>
      <c r="X470" s="27" t="s">
        <v>7</v>
      </c>
      <c r="AC470" s="27" t="s">
        <v>8</v>
      </c>
      <c r="AW470" s="27" t="s">
        <v>8</v>
      </c>
      <c r="AX470" s="27" t="s">
        <v>7</v>
      </c>
      <c r="BA470" s="27" t="s">
        <v>8</v>
      </c>
    </row>
    <row r="471" spans="1:53" x14ac:dyDescent="0.25">
      <c r="A471" s="7">
        <v>9.9453466295770188</v>
      </c>
      <c r="B471"/>
      <c r="C471"/>
      <c r="D471"/>
      <c r="E471" t="s">
        <v>8</v>
      </c>
      <c r="R471" s="27" t="s">
        <v>7</v>
      </c>
      <c r="U471" s="27" t="s">
        <v>8</v>
      </c>
      <c r="V471" s="27" t="s">
        <v>7</v>
      </c>
      <c r="W471" s="27" t="s">
        <v>8</v>
      </c>
      <c r="X471" s="27" t="s">
        <v>7</v>
      </c>
      <c r="AC471" s="27" t="s">
        <v>8</v>
      </c>
      <c r="AD471" s="27" t="s">
        <v>7</v>
      </c>
      <c r="AW471" s="27" t="s">
        <v>8</v>
      </c>
      <c r="AX471" s="27" t="s">
        <v>7</v>
      </c>
      <c r="BA471" s="27" t="s">
        <v>8</v>
      </c>
    </row>
    <row r="472" spans="1:53" x14ac:dyDescent="0.25">
      <c r="A472" s="7">
        <v>9.7503398329186464</v>
      </c>
      <c r="B472"/>
      <c r="C472"/>
      <c r="D472"/>
      <c r="E472" t="s">
        <v>8</v>
      </c>
      <c r="R472" s="27" t="s">
        <v>7</v>
      </c>
      <c r="U472" s="27" t="s">
        <v>8</v>
      </c>
      <c r="V472" s="27" t="s">
        <v>7</v>
      </c>
      <c r="X472" s="27" t="s">
        <v>7</v>
      </c>
      <c r="AC472" s="27" t="s">
        <v>8</v>
      </c>
      <c r="AD472" s="27" t="s">
        <v>7</v>
      </c>
      <c r="AW472" s="27" t="s">
        <v>8</v>
      </c>
      <c r="AX472" s="27" t="s">
        <v>7</v>
      </c>
      <c r="BA472" s="27" t="s">
        <v>8</v>
      </c>
    </row>
    <row r="473" spans="1:53" x14ac:dyDescent="0.25">
      <c r="A473" s="7">
        <v>9.5591566989398498</v>
      </c>
      <c r="B473"/>
      <c r="C473"/>
      <c r="D473"/>
      <c r="E473" t="s">
        <v>8</v>
      </c>
      <c r="R473" s="27" t="s">
        <v>7</v>
      </c>
      <c r="U473" s="27" t="s">
        <v>8</v>
      </c>
      <c r="X473" s="27" t="s">
        <v>7</v>
      </c>
      <c r="AC473" s="27" t="s">
        <v>8</v>
      </c>
      <c r="AD473" s="27" t="s">
        <v>7</v>
      </c>
      <c r="AW473" s="27" t="s">
        <v>8</v>
      </c>
      <c r="AX473" s="27" t="s">
        <v>7</v>
      </c>
      <c r="BA473" s="27" t="s">
        <v>8</v>
      </c>
    </row>
    <row r="474" spans="1:53" x14ac:dyDescent="0.25">
      <c r="A474" s="7">
        <v>9.3717222538625968</v>
      </c>
      <c r="B474"/>
      <c r="C474"/>
      <c r="D474"/>
      <c r="E474" t="s">
        <v>8</v>
      </c>
      <c r="R474" s="27" t="s">
        <v>7</v>
      </c>
      <c r="S474" s="27" t="s">
        <v>8</v>
      </c>
      <c r="U474" s="27" t="s">
        <v>8</v>
      </c>
      <c r="X474" s="27" t="s">
        <v>7</v>
      </c>
      <c r="AC474" s="27" t="s">
        <v>8</v>
      </c>
      <c r="AD474" s="27" t="s">
        <v>7</v>
      </c>
      <c r="AE474" s="27" t="s">
        <v>8</v>
      </c>
      <c r="AW474" s="27" t="s">
        <v>8</v>
      </c>
      <c r="AX474" s="27" t="s">
        <v>7</v>
      </c>
      <c r="BA474" s="27" t="s">
        <v>8</v>
      </c>
    </row>
    <row r="475" spans="1:53" x14ac:dyDescent="0.25">
      <c r="A475" s="7">
        <v>9.1879629939829375</v>
      </c>
      <c r="B475"/>
      <c r="C475"/>
      <c r="D475"/>
      <c r="E475" t="s">
        <v>8</v>
      </c>
      <c r="R475" s="27" t="s">
        <v>7</v>
      </c>
      <c r="S475" s="27" t="s">
        <v>8</v>
      </c>
      <c r="T475" s="27" t="s">
        <v>7</v>
      </c>
      <c r="U475" s="27" t="s">
        <v>8</v>
      </c>
      <c r="X475" s="27" t="s">
        <v>7</v>
      </c>
      <c r="AC475" s="27" t="s">
        <v>8</v>
      </c>
      <c r="AD475" s="27" t="s">
        <v>7</v>
      </c>
      <c r="AE475" s="27" t="s">
        <v>8</v>
      </c>
      <c r="AF475" s="27" t="s">
        <v>7</v>
      </c>
      <c r="AU475" s="27" t="s">
        <v>8</v>
      </c>
      <c r="AW475" s="27" t="s">
        <v>8</v>
      </c>
      <c r="AX475" s="27" t="s">
        <v>7</v>
      </c>
      <c r="AY475" s="27" t="s">
        <v>8</v>
      </c>
      <c r="BA475" s="27" t="s">
        <v>8</v>
      </c>
    </row>
    <row r="476" spans="1:53" x14ac:dyDescent="0.25">
      <c r="A476" s="7">
        <v>9.0078068568460168</v>
      </c>
      <c r="B476"/>
      <c r="C476"/>
      <c r="D476"/>
      <c r="E476" t="s">
        <v>8</v>
      </c>
      <c r="R476" s="27" t="s">
        <v>7</v>
      </c>
      <c r="S476" s="27" t="s">
        <v>8</v>
      </c>
      <c r="T476" s="27" t="s">
        <v>7</v>
      </c>
      <c r="U476" s="27" t="s">
        <v>8</v>
      </c>
      <c r="X476" s="27" t="s">
        <v>7</v>
      </c>
      <c r="AC476" s="27" t="s">
        <v>8</v>
      </c>
      <c r="AD476" s="27" t="s">
        <v>7</v>
      </c>
      <c r="AE476" s="27" t="s">
        <v>8</v>
      </c>
      <c r="AF476" s="27" t="s">
        <v>7</v>
      </c>
      <c r="AU476" s="27" t="s">
        <v>8</v>
      </c>
      <c r="AV476" s="27" t="s">
        <v>7</v>
      </c>
      <c r="AW476" s="27" t="s">
        <v>8</v>
      </c>
      <c r="AX476" s="27" t="s">
        <v>7</v>
      </c>
      <c r="AY476" s="27" t="s">
        <v>8</v>
      </c>
      <c r="AZ476" s="27" t="s">
        <v>7</v>
      </c>
      <c r="BA476" s="27" t="s">
        <v>8</v>
      </c>
    </row>
    <row r="477" spans="1:53" x14ac:dyDescent="0.25">
      <c r="A477" s="7">
        <v>8.8311831929862912</v>
      </c>
      <c r="B477"/>
      <c r="C477"/>
      <c r="D477"/>
      <c r="E477" t="s">
        <v>8</v>
      </c>
      <c r="R477" s="27" t="s">
        <v>7</v>
      </c>
      <c r="S477" s="27" t="s">
        <v>8</v>
      </c>
      <c r="T477" s="27" t="s">
        <v>7</v>
      </c>
      <c r="X477" s="27" t="s">
        <v>7</v>
      </c>
      <c r="AC477" s="27" t="s">
        <v>8</v>
      </c>
      <c r="AD477" s="27" t="s">
        <v>7</v>
      </c>
      <c r="AE477" s="27" t="s">
        <v>8</v>
      </c>
      <c r="AF477" s="27" t="s">
        <v>7</v>
      </c>
      <c r="AM477" s="27" t="s">
        <v>8</v>
      </c>
      <c r="AU477" s="27" t="s">
        <v>8</v>
      </c>
      <c r="AV477" s="27" t="s">
        <v>7</v>
      </c>
      <c r="AW477" s="27" t="s">
        <v>8</v>
      </c>
      <c r="AX477" s="27" t="s">
        <v>7</v>
      </c>
      <c r="AY477" s="27" t="s">
        <v>8</v>
      </c>
      <c r="AZ477" s="27" t="s">
        <v>7</v>
      </c>
      <c r="BA477" s="27" t="s">
        <v>8</v>
      </c>
    </row>
    <row r="478" spans="1:53" x14ac:dyDescent="0.25">
      <c r="A478" s="7">
        <v>8.6580227382218542</v>
      </c>
      <c r="B478"/>
      <c r="C478"/>
      <c r="D478"/>
      <c r="E478" t="s">
        <v>8</v>
      </c>
      <c r="R478" s="27" t="s">
        <v>7</v>
      </c>
      <c r="S478" s="27" t="s">
        <v>8</v>
      </c>
      <c r="X478" s="27" t="s">
        <v>7</v>
      </c>
      <c r="AC478" s="27" t="s">
        <v>8</v>
      </c>
      <c r="AD478" s="27" t="s">
        <v>7</v>
      </c>
      <c r="AE478" s="27" t="s">
        <v>8</v>
      </c>
      <c r="AF478" s="27" t="s">
        <v>7</v>
      </c>
      <c r="AM478" s="27" t="s">
        <v>8</v>
      </c>
      <c r="AN478" s="27" t="s">
        <v>7</v>
      </c>
      <c r="AU478" s="27" t="s">
        <v>8</v>
      </c>
      <c r="AV478" s="27" t="s">
        <v>7</v>
      </c>
      <c r="AW478" s="27" t="s">
        <v>8</v>
      </c>
      <c r="AX478" s="27" t="s">
        <v>7</v>
      </c>
      <c r="AY478" s="27" t="s">
        <v>8</v>
      </c>
      <c r="AZ478" s="27" t="s">
        <v>7</v>
      </c>
    </row>
    <row r="479" spans="1:53" x14ac:dyDescent="0.25">
      <c r="A479" s="7">
        <v>8.4882575864920131</v>
      </c>
      <c r="B479"/>
      <c r="C479"/>
      <c r="D479"/>
      <c r="E479" t="s">
        <v>8</v>
      </c>
      <c r="R479" s="27" t="s">
        <v>7</v>
      </c>
      <c r="S479" s="27" t="s">
        <v>8</v>
      </c>
      <c r="X479" s="27" t="s">
        <v>7</v>
      </c>
      <c r="AC479" s="27" t="s">
        <v>8</v>
      </c>
      <c r="AD479" s="27" t="s">
        <v>7</v>
      </c>
      <c r="AE479" s="27" t="s">
        <v>8</v>
      </c>
      <c r="AF479" s="27" t="s">
        <v>7</v>
      </c>
      <c r="AK479" s="27" t="s">
        <v>8</v>
      </c>
      <c r="AM479" s="27" t="s">
        <v>8</v>
      </c>
      <c r="AN479" s="27" t="s">
        <v>7</v>
      </c>
      <c r="AS479" s="27" t="s">
        <v>8</v>
      </c>
      <c r="AU479" s="27" t="s">
        <v>8</v>
      </c>
      <c r="AV479" s="27" t="s">
        <v>7</v>
      </c>
      <c r="AX479" s="27" t="s">
        <v>7</v>
      </c>
      <c r="AY479" s="27" t="s">
        <v>8</v>
      </c>
    </row>
    <row r="480" spans="1:53" x14ac:dyDescent="0.25">
      <c r="A480" s="7">
        <v>8.3218211632274635</v>
      </c>
      <c r="B480"/>
      <c r="C480"/>
      <c r="D480"/>
      <c r="E480" t="s">
        <v>8</v>
      </c>
      <c r="R480" s="27" t="s">
        <v>7</v>
      </c>
      <c r="S480" s="27" t="s">
        <v>8</v>
      </c>
      <c r="X480" s="27" t="s">
        <v>7</v>
      </c>
      <c r="Y480" s="27" t="s">
        <v>8</v>
      </c>
      <c r="AC480" s="27" t="s">
        <v>8</v>
      </c>
      <c r="AD480" s="27" t="s">
        <v>7</v>
      </c>
      <c r="AF480" s="27" t="s">
        <v>7</v>
      </c>
      <c r="AK480" s="27" t="s">
        <v>8</v>
      </c>
      <c r="AL480" s="27" t="s">
        <v>7</v>
      </c>
      <c r="AM480" s="27" t="s">
        <v>8</v>
      </c>
      <c r="AN480" s="27" t="s">
        <v>7</v>
      </c>
      <c r="AS480" s="27" t="s">
        <v>8</v>
      </c>
      <c r="AT480" s="27" t="s">
        <v>7</v>
      </c>
      <c r="AU480" s="27" t="s">
        <v>8</v>
      </c>
      <c r="AX480" s="27" t="s">
        <v>7</v>
      </c>
    </row>
    <row r="481" spans="1:47" x14ac:dyDescent="0.25">
      <c r="A481" s="7">
        <v>8.1586481992426112</v>
      </c>
      <c r="B481"/>
      <c r="C481"/>
      <c r="D481"/>
      <c r="E481" t="s">
        <v>8</v>
      </c>
      <c r="R481" s="27" t="s">
        <v>7</v>
      </c>
      <c r="X481" s="27" t="s">
        <v>7</v>
      </c>
      <c r="Y481" s="27" t="s">
        <v>8</v>
      </c>
      <c r="Z481" s="27" t="s">
        <v>7</v>
      </c>
      <c r="AC481" s="27" t="s">
        <v>8</v>
      </c>
      <c r="AF481" s="27" t="s">
        <v>7</v>
      </c>
      <c r="AK481" s="27" t="s">
        <v>8</v>
      </c>
      <c r="AL481" s="27" t="s">
        <v>7</v>
      </c>
      <c r="AM481" s="27" t="s">
        <v>8</v>
      </c>
      <c r="AN481" s="27" t="s">
        <v>7</v>
      </c>
      <c r="AS481" s="27" t="s">
        <v>8</v>
      </c>
      <c r="AT481" s="27" t="s">
        <v>7</v>
      </c>
      <c r="AU481" s="27" t="s">
        <v>8</v>
      </c>
    </row>
    <row r="482" spans="1:47" x14ac:dyDescent="0.25">
      <c r="A482" s="7">
        <v>7.9986747051398144</v>
      </c>
      <c r="B482"/>
      <c r="C482"/>
      <c r="D482"/>
      <c r="E482" t="s">
        <v>8</v>
      </c>
      <c r="X482" s="27" t="s">
        <v>7</v>
      </c>
      <c r="Y482" s="27" t="s">
        <v>8</v>
      </c>
      <c r="Z482" s="27" t="s">
        <v>7</v>
      </c>
      <c r="AC482" s="27" t="s">
        <v>8</v>
      </c>
      <c r="AF482" s="27" t="s">
        <v>7</v>
      </c>
      <c r="AK482" s="27" t="s">
        <v>8</v>
      </c>
      <c r="AL482" s="27" t="s">
        <v>7</v>
      </c>
      <c r="AM482" s="27" t="s">
        <v>8</v>
      </c>
      <c r="AN482" s="27" t="s">
        <v>7</v>
      </c>
      <c r="AS482" s="27" t="s">
        <v>8</v>
      </c>
      <c r="AT482" s="27" t="s">
        <v>7</v>
      </c>
      <c r="AU482" s="27" t="s">
        <v>8</v>
      </c>
    </row>
    <row r="483" spans="1:47" x14ac:dyDescent="0.25">
      <c r="A483" s="7">
        <v>7.8418379462155041</v>
      </c>
      <c r="B483"/>
      <c r="C483"/>
      <c r="D483"/>
      <c r="E483" t="s">
        <v>8</v>
      </c>
      <c r="X483" s="27" t="s">
        <v>7</v>
      </c>
      <c r="Y483" s="27" t="s">
        <v>8</v>
      </c>
      <c r="Z483" s="27" t="s">
        <v>7</v>
      </c>
      <c r="AC483" s="27" t="s">
        <v>8</v>
      </c>
      <c r="AF483" s="27" t="s">
        <v>7</v>
      </c>
      <c r="AI483" s="27" t="s">
        <v>8</v>
      </c>
      <c r="AK483" s="27" t="s">
        <v>8</v>
      </c>
      <c r="AL483" s="27" t="s">
        <v>7</v>
      </c>
      <c r="AN483" s="27" t="s">
        <v>7</v>
      </c>
      <c r="AO483" s="27" t="s">
        <v>8</v>
      </c>
      <c r="AQ483" s="27" t="s">
        <v>8</v>
      </c>
      <c r="AS483" s="27" t="s">
        <v>8</v>
      </c>
      <c r="AT483" s="27" t="s">
        <v>7</v>
      </c>
      <c r="AU483" s="27" t="s">
        <v>8</v>
      </c>
    </row>
    <row r="484" spans="1:47" x14ac:dyDescent="0.25">
      <c r="A484" s="7">
        <v>7.688076417858337</v>
      </c>
      <c r="B484"/>
      <c r="C484"/>
      <c r="D484"/>
      <c r="E484" t="s">
        <v>8</v>
      </c>
      <c r="X484" s="27" t="s">
        <v>7</v>
      </c>
      <c r="Y484" s="27" t="s">
        <v>8</v>
      </c>
      <c r="Z484" s="27" t="s">
        <v>7</v>
      </c>
      <c r="AA484" s="27" t="s">
        <v>8</v>
      </c>
      <c r="AC484" s="27" t="s">
        <v>8</v>
      </c>
      <c r="AF484" s="27" t="s">
        <v>7</v>
      </c>
      <c r="AG484" s="27" t="s">
        <v>8</v>
      </c>
      <c r="AI484" s="27" t="s">
        <v>8</v>
      </c>
      <c r="AJ484" s="27" t="s">
        <v>7</v>
      </c>
      <c r="AK484" s="27" t="s">
        <v>8</v>
      </c>
      <c r="AN484" s="27" t="s">
        <v>7</v>
      </c>
      <c r="AO484" s="27" t="s">
        <v>8</v>
      </c>
      <c r="AP484" s="27" t="s">
        <v>7</v>
      </c>
      <c r="AQ484" s="27" t="s">
        <v>8</v>
      </c>
      <c r="AR484" s="27" t="s">
        <v>7</v>
      </c>
      <c r="AS484" s="27" t="s">
        <v>8</v>
      </c>
      <c r="AT484" s="27" t="s">
        <v>7</v>
      </c>
    </row>
    <row r="485" spans="1:47" x14ac:dyDescent="0.25">
      <c r="A485" s="7">
        <v>7.5373298214297417</v>
      </c>
      <c r="B485"/>
      <c r="C485"/>
      <c r="D485"/>
      <c r="E485" t="s">
        <v>8</v>
      </c>
      <c r="X485" s="27" t="s">
        <v>7</v>
      </c>
      <c r="Y485" s="27" t="s">
        <v>8</v>
      </c>
      <c r="Z485" s="27" t="s">
        <v>7</v>
      </c>
      <c r="AA485" s="27" t="s">
        <v>8</v>
      </c>
      <c r="AB485" s="27" t="s">
        <v>7</v>
      </c>
      <c r="AC485" s="27" t="s">
        <v>8</v>
      </c>
      <c r="AF485" s="27" t="s">
        <v>7</v>
      </c>
      <c r="AG485" s="27" t="s">
        <v>8</v>
      </c>
      <c r="AH485" s="27" t="s">
        <v>7</v>
      </c>
      <c r="AI485" s="27" t="s">
        <v>8</v>
      </c>
      <c r="AJ485" s="27" t="s">
        <v>7</v>
      </c>
      <c r="AK485" s="27" t="s">
        <v>8</v>
      </c>
      <c r="AN485" s="27" t="s">
        <v>7</v>
      </c>
      <c r="AO485" s="27" t="s">
        <v>8</v>
      </c>
      <c r="AP485" s="27" t="s">
        <v>7</v>
      </c>
      <c r="AQ485" s="27" t="s">
        <v>8</v>
      </c>
      <c r="AR485" s="27" t="s">
        <v>7</v>
      </c>
      <c r="AS485" s="27" t="s">
        <v>8</v>
      </c>
    </row>
    <row r="486" spans="1:47" x14ac:dyDescent="0.25">
      <c r="A486" s="7">
        <v>7.389539040617394</v>
      </c>
      <c r="B486"/>
      <c r="C486"/>
      <c r="D486"/>
      <c r="E486" t="s">
        <v>8</v>
      </c>
      <c r="X486" s="27" t="s">
        <v>7</v>
      </c>
      <c r="Y486" s="27" t="s">
        <v>8</v>
      </c>
      <c r="Z486" s="27" t="s">
        <v>7</v>
      </c>
      <c r="AA486" s="27" t="s">
        <v>8</v>
      </c>
      <c r="AB486" s="27" t="s">
        <v>7</v>
      </c>
      <c r="AC486" s="27" t="s">
        <v>8</v>
      </c>
      <c r="AF486" s="27" t="s">
        <v>7</v>
      </c>
      <c r="AG486" s="27" t="s">
        <v>8</v>
      </c>
      <c r="AH486" s="27" t="s">
        <v>7</v>
      </c>
      <c r="AI486" s="27" t="s">
        <v>8</v>
      </c>
      <c r="AJ486" s="27" t="s">
        <v>7</v>
      </c>
      <c r="AK486" s="27" t="s">
        <v>8</v>
      </c>
      <c r="AN486" s="27" t="s">
        <v>7</v>
      </c>
      <c r="AP486" s="27" t="s">
        <v>7</v>
      </c>
      <c r="AR486" s="27" t="s">
        <v>7</v>
      </c>
      <c r="AS486" s="27" t="s">
        <v>8</v>
      </c>
    </row>
    <row r="487" spans="1:47" x14ac:dyDescent="0.25">
      <c r="A487" s="7">
        <v>7.2446461182523469</v>
      </c>
      <c r="B487"/>
      <c r="C487"/>
      <c r="D487"/>
      <c r="E487" t="s">
        <v>8</v>
      </c>
      <c r="X487" s="27" t="s">
        <v>7</v>
      </c>
      <c r="Y487" s="27" t="s">
        <v>8</v>
      </c>
      <c r="Z487" s="27" t="s">
        <v>7</v>
      </c>
      <c r="AA487" s="27" t="s">
        <v>8</v>
      </c>
      <c r="AB487" s="27" t="s">
        <v>7</v>
      </c>
      <c r="AC487" s="27" t="s">
        <v>8</v>
      </c>
      <c r="AF487" s="27" t="s">
        <v>7</v>
      </c>
      <c r="AG487" s="27" t="s">
        <v>8</v>
      </c>
      <c r="AH487" s="27" t="s">
        <v>7</v>
      </c>
      <c r="AJ487" s="27" t="s">
        <v>7</v>
      </c>
      <c r="AK487" s="27" t="s">
        <v>8</v>
      </c>
      <c r="AR487" s="27" t="s">
        <v>7</v>
      </c>
      <c r="AS487" s="27" t="s">
        <v>8</v>
      </c>
    </row>
    <row r="488" spans="1:47" x14ac:dyDescent="0.25">
      <c r="A488" s="7">
        <v>7.1025942335807324</v>
      </c>
      <c r="B488"/>
      <c r="C488"/>
      <c r="D488"/>
      <c r="E488" t="s">
        <v>8</v>
      </c>
      <c r="X488" s="27" t="s">
        <v>7</v>
      </c>
      <c r="Y488" s="27" t="s">
        <v>8</v>
      </c>
      <c r="Z488" s="27" t="s">
        <v>7</v>
      </c>
      <c r="AB488" s="27" t="s">
        <v>7</v>
      </c>
      <c r="AC488" s="27" t="s">
        <v>8</v>
      </c>
      <c r="AF488" s="27" t="s">
        <v>7</v>
      </c>
      <c r="AJ488" s="27" t="s">
        <v>7</v>
      </c>
      <c r="AR488" s="27" t="s">
        <v>7</v>
      </c>
    </row>
    <row r="489" spans="1:47" x14ac:dyDescent="0.25">
      <c r="A489" s="7">
        <v>6.9633276799811101</v>
      </c>
      <c r="B489"/>
      <c r="C489"/>
      <c r="D489"/>
      <c r="E489" t="s">
        <v>8</v>
      </c>
      <c r="X489" s="27" t="s">
        <v>7</v>
      </c>
      <c r="Y489" s="27" t="s">
        <v>8</v>
      </c>
      <c r="AB489" s="27" t="s">
        <v>7</v>
      </c>
      <c r="AC489" s="27" t="s">
        <v>8</v>
      </c>
    </row>
    <row r="490" spans="1:47" x14ac:dyDescent="0.25">
      <c r="A490" s="7">
        <v>6.8267918431187349</v>
      </c>
      <c r="B490"/>
      <c r="C490"/>
      <c r="D490"/>
      <c r="E490" t="s">
        <v>8</v>
      </c>
      <c r="X490" s="27" t="s">
        <v>7</v>
      </c>
      <c r="Y490" s="27" t="s">
        <v>8</v>
      </c>
      <c r="AB490" s="27" t="s">
        <v>7</v>
      </c>
      <c r="AC490" s="27" t="s">
        <v>8</v>
      </c>
    </row>
    <row r="491" spans="1:47" x14ac:dyDescent="0.25">
      <c r="A491" s="7">
        <v>6.692933179528171</v>
      </c>
      <c r="B491"/>
      <c r="C491"/>
      <c r="D491"/>
      <c r="E491" t="s">
        <v>8</v>
      </c>
      <c r="X491" s="27" t="s">
        <v>7</v>
      </c>
      <c r="Y491" s="27" t="s">
        <v>8</v>
      </c>
      <c r="AB491" s="27" t="s">
        <v>7</v>
      </c>
      <c r="AC491" s="27" t="s">
        <v>8</v>
      </c>
    </row>
    <row r="492" spans="1:47" x14ac:dyDescent="0.25">
      <c r="A492" s="7">
        <v>6.5616991956158541</v>
      </c>
      <c r="B492"/>
      <c r="C492"/>
      <c r="D492"/>
      <c r="E492" t="s">
        <v>8</v>
      </c>
      <c r="X492" s="27" t="s">
        <v>7</v>
      </c>
      <c r="AB492" s="27" t="s">
        <v>7</v>
      </c>
      <c r="AC492" s="27" t="s">
        <v>8</v>
      </c>
    </row>
    <row r="493" spans="1:47" x14ac:dyDescent="0.25">
      <c r="A493" s="7">
        <v>6.4330384270743668</v>
      </c>
      <c r="B493"/>
      <c r="C493"/>
      <c r="D493"/>
      <c r="E493" t="s">
        <v>8</v>
      </c>
      <c r="AB493" s="27" t="s">
        <v>7</v>
      </c>
      <c r="AC493" s="27" t="s">
        <v>8</v>
      </c>
    </row>
    <row r="494" spans="1:47" x14ac:dyDescent="0.25">
      <c r="A494" s="7">
        <v>6.3069004187003594</v>
      </c>
      <c r="B494"/>
      <c r="C494"/>
      <c r="D494"/>
      <c r="E494" t="s">
        <v>8</v>
      </c>
      <c r="AB494" s="27" t="s">
        <v>7</v>
      </c>
      <c r="AC494" s="27" t="s">
        <v>8</v>
      </c>
    </row>
    <row r="495" spans="1:47" x14ac:dyDescent="0.25">
      <c r="A495" s="7">
        <v>6.1832357046081956</v>
      </c>
      <c r="B495"/>
      <c r="C495"/>
      <c r="D495"/>
      <c r="E495" t="s">
        <v>8</v>
      </c>
      <c r="AB495" s="27" t="s">
        <v>7</v>
      </c>
      <c r="AC495" s="27" t="s">
        <v>8</v>
      </c>
    </row>
    <row r="496" spans="1:47" x14ac:dyDescent="0.25">
      <c r="A496" s="7">
        <v>6.0619957888315641</v>
      </c>
      <c r="B496"/>
      <c r="C496"/>
      <c r="D496"/>
      <c r="E496" t="s">
        <v>8</v>
      </c>
      <c r="AB496" s="27" t="s">
        <v>7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17" operator="equal">
      <formula>$U$1</formula>
    </cfRule>
    <cfRule type="cellIs" dxfId="89" priority="918" operator="equal">
      <formula>$S$1</formula>
    </cfRule>
  </conditionalFormatting>
  <conditionalFormatting sqref="D27">
    <cfRule type="cellIs" dxfId="88" priority="915" operator="equal">
      <formula>$S$1</formula>
    </cfRule>
    <cfRule type="cellIs" dxfId="87" priority="916" operator="equal">
      <formula>$U$1</formula>
    </cfRule>
  </conditionalFormatting>
  <conditionalFormatting sqref="C164">
    <cfRule type="cellIs" dxfId="86" priority="913" operator="equal">
      <formula>$U$1</formula>
    </cfRule>
    <cfRule type="cellIs" dxfId="85" priority="914" operator="equal">
      <formula>$S$1</formula>
    </cfRule>
  </conditionalFormatting>
  <conditionalFormatting sqref="D164">
    <cfRule type="cellIs" dxfId="84" priority="911" operator="equal">
      <formula>$S$1</formula>
    </cfRule>
    <cfRule type="cellIs" dxfId="83" priority="912" operator="equal">
      <formula>$U$1</formula>
    </cfRule>
  </conditionalFormatting>
  <conditionalFormatting sqref="C55">
    <cfRule type="cellIs" dxfId="82" priority="909" operator="equal">
      <formula>$U$1</formula>
    </cfRule>
    <cfRule type="cellIs" dxfId="81" priority="910" operator="equal">
      <formula>$S$1</formula>
    </cfRule>
  </conditionalFormatting>
  <conditionalFormatting sqref="D55">
    <cfRule type="cellIs" dxfId="80" priority="907" operator="equal">
      <formula>$S$1</formula>
    </cfRule>
    <cfRule type="cellIs" dxfId="79" priority="908" operator="equal">
      <formula>$U$1</formula>
    </cfRule>
  </conditionalFormatting>
  <conditionalFormatting sqref="C89">
    <cfRule type="cellIs" dxfId="78" priority="905" operator="equal">
      <formula>$U$1</formula>
    </cfRule>
    <cfRule type="cellIs" dxfId="77" priority="906" operator="equal">
      <formula>$S$1</formula>
    </cfRule>
  </conditionalFormatting>
  <conditionalFormatting sqref="D89">
    <cfRule type="cellIs" dxfId="76" priority="903" operator="equal">
      <formula>$S$1</formula>
    </cfRule>
    <cfRule type="cellIs" dxfId="75" priority="904" operator="equal">
      <formula>$U$1</formula>
    </cfRule>
  </conditionalFormatting>
  <conditionalFormatting sqref="C136">
    <cfRule type="cellIs" dxfId="74" priority="901" operator="equal">
      <formula>$U$1</formula>
    </cfRule>
    <cfRule type="cellIs" dxfId="73" priority="902" operator="equal">
      <formula>$S$1</formula>
    </cfRule>
  </conditionalFormatting>
  <conditionalFormatting sqref="D136">
    <cfRule type="cellIs" dxfId="72" priority="899" operator="equal">
      <formula>$S$1</formula>
    </cfRule>
    <cfRule type="cellIs" dxfId="71" priority="900" operator="equal">
      <formula>$U$1</formula>
    </cfRule>
  </conditionalFormatting>
  <conditionalFormatting sqref="C1">
    <cfRule type="cellIs" dxfId="70" priority="89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11" zoomScale="90" zoomScaleNormal="90" workbookViewId="0">
      <pane xSplit="4" topLeftCell="BK1" activePane="topRight" state="frozen"/>
      <selection activeCell="A109" sqref="A109"/>
      <selection pane="topRight" activeCell="DG137" sqref="DG13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100" x14ac:dyDescent="0.25">
      <c r="A97" s="30">
        <v>1071.6914527012709</v>
      </c>
      <c r="C97" s="7">
        <v>0.11686133436193799</v>
      </c>
      <c r="D97"/>
      <c r="E97"/>
    </row>
    <row r="98" spans="1:100" x14ac:dyDescent="0.25">
      <c r="A98" s="30">
        <v>1020.6585263821628</v>
      </c>
      <c r="E98"/>
    </row>
    <row r="99" spans="1:100" x14ac:dyDescent="0.25">
      <c r="A99" s="30">
        <v>972.05573941158355</v>
      </c>
      <c r="C99" s="1" t="s">
        <v>11</v>
      </c>
      <c r="D99" s="1" t="s">
        <v>12</v>
      </c>
      <c r="E99"/>
    </row>
    <row r="100" spans="1:100" x14ac:dyDescent="0.25">
      <c r="A100" s="30">
        <v>925.76737086817479</v>
      </c>
      <c r="C100"/>
      <c r="D100"/>
      <c r="E100"/>
    </row>
    <row r="101" spans="1:100" x14ac:dyDescent="0.25">
      <c r="A101" s="30">
        <v>881.68321035064264</v>
      </c>
      <c r="E101"/>
    </row>
    <row r="102" spans="1:100" x14ac:dyDescent="0.25">
      <c r="A102" s="30">
        <v>839.69829557204059</v>
      </c>
      <c r="C102" s="1" t="s">
        <v>13</v>
      </c>
      <c r="E102"/>
    </row>
    <row r="103" spans="1:100" x14ac:dyDescent="0.25">
      <c r="A103" s="30">
        <v>799.71266244956246</v>
      </c>
      <c r="C103" s="1">
        <f>C92</f>
        <v>0</v>
      </c>
      <c r="E103"/>
    </row>
    <row r="104" spans="1:100" x14ac:dyDescent="0.25">
      <c r="A104" s="30">
        <v>761.63110709482135</v>
      </c>
      <c r="C104"/>
      <c r="E104"/>
    </row>
    <row r="105" spans="1:100" x14ac:dyDescent="0.25">
      <c r="A105" s="30">
        <v>725.36295913792503</v>
      </c>
      <c r="C105" s="1" t="s">
        <v>14</v>
      </c>
      <c r="E105"/>
    </row>
    <row r="106" spans="1:100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100" x14ac:dyDescent="0.25">
      <c r="A107" s="30">
        <v>657.92558651965976</v>
      </c>
      <c r="E107"/>
    </row>
    <row r="108" spans="1:100" x14ac:dyDescent="0.25">
      <c r="A108" s="30">
        <v>626.59579668539027</v>
      </c>
      <c r="E108"/>
    </row>
    <row r="109" spans="1:100" x14ac:dyDescent="0.25">
      <c r="A109" s="30">
        <v>596.75790160513361</v>
      </c>
      <c r="E109"/>
    </row>
    <row r="110" spans="1:100" x14ac:dyDescent="0.25">
      <c r="A110" s="30">
        <v>568.34085867155579</v>
      </c>
      <c r="E110"/>
    </row>
    <row r="111" spans="1:100" x14ac:dyDescent="0.25">
      <c r="A111" s="30">
        <v>541.27700825862451</v>
      </c>
      <c r="C111" s="1" t="str">
        <f>ADDRESS(C121-1,1,1,1)</f>
        <v>$A$136</v>
      </c>
      <c r="D111" s="1" t="str">
        <f>ADDRESS(C121-1,D121,1,1)</f>
        <v>$DG$136</v>
      </c>
      <c r="E111"/>
      <c r="CU111" s="31" t="s">
        <v>8</v>
      </c>
    </row>
    <row r="112" spans="1:100" x14ac:dyDescent="0.25">
      <c r="A112" s="30">
        <v>515.50191262726139</v>
      </c>
      <c r="C112" s="1" t="str">
        <f>ADDRESS(C121,1,1,1)</f>
        <v>$A$137</v>
      </c>
      <c r="D112" s="1" t="str">
        <f>ADDRESS(C121,D121-1,1,1)</f>
        <v>$DF$137</v>
      </c>
      <c r="E112"/>
      <c r="CU112" s="27" t="s">
        <v>8</v>
      </c>
      <c r="CV112" s="31" t="s">
        <v>7</v>
      </c>
    </row>
    <row r="113" spans="1:109" x14ac:dyDescent="0.25">
      <c r="A113" s="30">
        <v>490.95420250215363</v>
      </c>
      <c r="C113" s="1" t="str">
        <f>ADDRESS(C121+1,1,1,1)</f>
        <v>$A$138</v>
      </c>
      <c r="D113" s="1" t="str">
        <f>ADDRESS(C121-1,D121+1,1,1)</f>
        <v>$DH$136</v>
      </c>
      <c r="CU113" s="27" t="s">
        <v>8</v>
      </c>
      <c r="CV113" s="27" t="s">
        <v>7</v>
      </c>
      <c r="CW113" s="31"/>
    </row>
    <row r="114" spans="1:109" x14ac:dyDescent="0.25">
      <c r="A114" s="30">
        <v>467.57543095443202</v>
      </c>
      <c r="C114" s="1" t="str">
        <f>ADDRESS(C121,D121,1,1)</f>
        <v>$DG$137</v>
      </c>
      <c r="D114" s="1" t="str">
        <f>ADDRESS(C121+1,D121+1,1,1)</f>
        <v>$DH$138</v>
      </c>
      <c r="CU114" s="27" t="s">
        <v>8</v>
      </c>
      <c r="CV114" s="27" t="s">
        <v>7</v>
      </c>
      <c r="CX114" s="31"/>
    </row>
    <row r="115" spans="1:109" x14ac:dyDescent="0.25">
      <c r="A115" s="30">
        <v>445.30993424231622</v>
      </c>
      <c r="C115" s="1" t="str">
        <f>ADDRESS(C121+1,D121,1,1)</f>
        <v>$DG$138</v>
      </c>
      <c r="CU115" s="27" t="s">
        <v>8</v>
      </c>
      <c r="CV115" s="27" t="s">
        <v>7</v>
      </c>
      <c r="CY115" s="31"/>
    </row>
    <row r="116" spans="1:109" x14ac:dyDescent="0.25">
      <c r="A116" s="30">
        <v>424.10469927839637</v>
      </c>
      <c r="C116" s="1">
        <f>C117-1</f>
        <v>136</v>
      </c>
      <c r="CU116" s="27" t="s">
        <v>8</v>
      </c>
      <c r="CV116" s="27" t="s">
        <v>7</v>
      </c>
      <c r="CZ116" s="31"/>
    </row>
    <row r="117" spans="1:109" x14ac:dyDescent="0.25">
      <c r="A117" s="30">
        <v>403.9092374079965</v>
      </c>
      <c r="C117" s="1">
        <f>C121</f>
        <v>137</v>
      </c>
      <c r="D117" s="1">
        <f>D121</f>
        <v>111</v>
      </c>
      <c r="CU117" s="27" t="s">
        <v>8</v>
      </c>
      <c r="CV117" s="27" t="s">
        <v>7</v>
      </c>
      <c r="DA117" s="31"/>
    </row>
    <row r="118" spans="1:109" x14ac:dyDescent="0.25">
      <c r="A118" s="30">
        <v>384.6754641980919</v>
      </c>
      <c r="C118" s="1">
        <f>C117+1</f>
        <v>138</v>
      </c>
      <c r="D118" s="1">
        <f>D117+1</f>
        <v>112</v>
      </c>
      <c r="CU118" s="27" t="s">
        <v>8</v>
      </c>
      <c r="CV118" s="27" t="s">
        <v>7</v>
      </c>
    </row>
    <row r="119" spans="1:109" x14ac:dyDescent="0.25">
      <c r="A119" s="30">
        <v>366.35758495056371</v>
      </c>
      <c r="CU119" s="27" t="s">
        <v>8</v>
      </c>
      <c r="CV119" s="19" t="s">
        <v>7</v>
      </c>
    </row>
    <row r="120" spans="1:109" x14ac:dyDescent="0.25">
      <c r="A120" s="30">
        <v>348.91198566720351</v>
      </c>
      <c r="C120" s="1" t="s">
        <v>9</v>
      </c>
      <c r="CU120" s="27" t="s">
        <v>8</v>
      </c>
      <c r="CV120" s="27" t="s">
        <v>7</v>
      </c>
    </row>
    <row r="121" spans="1:109" x14ac:dyDescent="0.25">
      <c r="A121" s="30">
        <v>332.29712920686046</v>
      </c>
      <c r="C121" s="18">
        <v>137</v>
      </c>
      <c r="D121" s="19">
        <v>111</v>
      </c>
      <c r="E121" s="19"/>
      <c r="CS121" s="27" t="s">
        <v>8</v>
      </c>
      <c r="CU121" s="27" t="s">
        <v>8</v>
      </c>
      <c r="CV121" s="27" t="s">
        <v>7</v>
      </c>
      <c r="CY121" s="27" t="s">
        <v>8</v>
      </c>
    </row>
    <row r="122" spans="1:109" x14ac:dyDescent="0.25">
      <c r="A122" s="30">
        <v>316.47345638748612</v>
      </c>
      <c r="C122" s="1" t="str">
        <f>INDEX(1:1048576,C117,D117)</f>
        <v>X</v>
      </c>
      <c r="CS122" s="27" t="s">
        <v>8</v>
      </c>
      <c r="CT122" s="27" t="s">
        <v>7</v>
      </c>
      <c r="CU122" s="27" t="s">
        <v>8</v>
      </c>
      <c r="CV122" s="27" t="s">
        <v>7</v>
      </c>
      <c r="CW122" s="27" t="s">
        <v>8</v>
      </c>
      <c r="CY122" s="27" t="s">
        <v>8</v>
      </c>
      <c r="CZ122" s="27" t="s">
        <v>7</v>
      </c>
    </row>
    <row r="123" spans="1:109" x14ac:dyDescent="0.25">
      <c r="A123" s="30">
        <v>301.40329179760585</v>
      </c>
      <c r="C123" s="1" t="str">
        <f>"R"&amp;C121</f>
        <v>R137</v>
      </c>
      <c r="D123" s="1" t="str">
        <f>"C"&amp;D121</f>
        <v>C111</v>
      </c>
      <c r="CK123" s="27" t="s">
        <v>8</v>
      </c>
      <c r="CS123" s="27" t="s">
        <v>8</v>
      </c>
      <c r="CT123" s="27" t="s">
        <v>7</v>
      </c>
      <c r="CU123" s="27" t="s">
        <v>8</v>
      </c>
      <c r="CV123" s="27" t="s">
        <v>7</v>
      </c>
      <c r="CW123" s="27" t="s">
        <v>8</v>
      </c>
      <c r="CX123" s="27" t="s">
        <v>7</v>
      </c>
      <c r="CY123" s="27" t="s">
        <v>8</v>
      </c>
      <c r="CZ123" s="27" t="s">
        <v>7</v>
      </c>
    </row>
    <row r="124" spans="1:109" x14ac:dyDescent="0.25">
      <c r="A124" s="30">
        <v>287.05075409295796</v>
      </c>
      <c r="C124" s="1">
        <f>SUM(C130:D130)</f>
        <v>0</v>
      </c>
      <c r="D124" s="1">
        <f>IF(C124=0,0,1)</f>
        <v>0</v>
      </c>
      <c r="CK124" s="27" t="s">
        <v>8</v>
      </c>
      <c r="CL124" s="27" t="s">
        <v>7</v>
      </c>
      <c r="CQ124" s="27" t="s">
        <v>8</v>
      </c>
      <c r="CS124" s="27" t="s">
        <v>8</v>
      </c>
      <c r="CT124" s="27" t="s">
        <v>7</v>
      </c>
      <c r="CV124" s="27" t="s">
        <v>7</v>
      </c>
      <c r="CW124" s="27" t="s">
        <v>8</v>
      </c>
      <c r="CX124" s="27" t="s">
        <v>7</v>
      </c>
      <c r="CY124" s="27" t="s">
        <v>8</v>
      </c>
      <c r="CZ124" s="27" t="s">
        <v>7</v>
      </c>
    </row>
    <row r="125" spans="1:109" x14ac:dyDescent="0.25">
      <c r="A125" s="30">
        <v>273.38167056472184</v>
      </c>
      <c r="CK125" s="27" t="s">
        <v>8</v>
      </c>
      <c r="CL125" s="27" t="s">
        <v>7</v>
      </c>
      <c r="CO125" s="27" t="s">
        <v>8</v>
      </c>
      <c r="CQ125" s="27" t="s">
        <v>8</v>
      </c>
      <c r="CR125" s="27" t="s">
        <v>7</v>
      </c>
      <c r="CS125" s="27" t="s">
        <v>8</v>
      </c>
      <c r="CV125" s="27" t="s">
        <v>7</v>
      </c>
      <c r="CW125" s="27" t="s">
        <v>8</v>
      </c>
      <c r="CX125" s="27" t="s">
        <v>7</v>
      </c>
      <c r="CY125" s="27" t="s">
        <v>8</v>
      </c>
      <c r="CZ125" s="27" t="s">
        <v>7</v>
      </c>
      <c r="DA125" s="27" t="s">
        <v>8</v>
      </c>
    </row>
    <row r="126" spans="1:109" x14ac:dyDescent="0.25">
      <c r="A126" s="30">
        <v>260.36349577592557</v>
      </c>
      <c r="C126" s="1" t="s">
        <v>10</v>
      </c>
      <c r="CK126" s="27" t="s">
        <v>8</v>
      </c>
      <c r="CL126" s="27" t="s">
        <v>7</v>
      </c>
      <c r="CO126" s="27" t="s">
        <v>8</v>
      </c>
      <c r="CP126" s="27" t="s">
        <v>7</v>
      </c>
      <c r="CQ126" s="27" t="s">
        <v>8</v>
      </c>
      <c r="CR126" s="27" t="s">
        <v>7</v>
      </c>
      <c r="CS126" s="27" t="s">
        <v>8</v>
      </c>
      <c r="CV126" s="27" t="s">
        <v>7</v>
      </c>
      <c r="CW126" s="27" t="s">
        <v>8</v>
      </c>
      <c r="CX126" s="27" t="s">
        <v>7</v>
      </c>
      <c r="CY126" s="27" t="s">
        <v>8</v>
      </c>
      <c r="CZ126" s="27" t="s">
        <v>7</v>
      </c>
      <c r="DA126" s="27" t="s">
        <v>8</v>
      </c>
      <c r="DB126" s="27" t="s">
        <v>7</v>
      </c>
    </row>
    <row r="127" spans="1:109" x14ac:dyDescent="0.25">
      <c r="A127" s="30">
        <v>247.96523407231004</v>
      </c>
      <c r="C127" s="30">
        <v>152.22914361432771</v>
      </c>
      <c r="D127"/>
      <c r="CK127" s="27" t="s">
        <v>8</v>
      </c>
      <c r="CL127" s="27" t="s">
        <v>7</v>
      </c>
      <c r="CM127" s="27" t="s">
        <v>8</v>
      </c>
      <c r="CO127" s="27" t="s">
        <v>8</v>
      </c>
      <c r="CP127" s="27" t="s">
        <v>7</v>
      </c>
      <c r="CQ127" s="27" t="s">
        <v>8</v>
      </c>
      <c r="CR127" s="27" t="s">
        <v>7</v>
      </c>
      <c r="CS127" s="27" t="s">
        <v>8</v>
      </c>
      <c r="CV127" s="27" t="s">
        <v>7</v>
      </c>
      <c r="CW127" s="27" t="s">
        <v>8</v>
      </c>
      <c r="CX127" s="27" t="s">
        <v>7</v>
      </c>
      <c r="CY127" s="27" t="s">
        <v>8</v>
      </c>
      <c r="CZ127" s="27" t="s">
        <v>7</v>
      </c>
      <c r="DA127" s="27" t="s">
        <v>8</v>
      </c>
      <c r="DB127" s="19" t="s">
        <v>7</v>
      </c>
      <c r="DC127" s="19"/>
      <c r="DD127" s="19"/>
      <c r="DE127" s="19"/>
    </row>
    <row r="128" spans="1:109" x14ac:dyDescent="0.25">
      <c r="A128" s="30">
        <v>236.15736578315241</v>
      </c>
      <c r="BI128" s="27" t="s">
        <v>8</v>
      </c>
      <c r="CK128" s="27" t="s">
        <v>8</v>
      </c>
      <c r="CL128" s="27" t="s">
        <v>7</v>
      </c>
      <c r="CM128" s="27" t="s">
        <v>8</v>
      </c>
      <c r="CN128" s="27" t="s">
        <v>7</v>
      </c>
      <c r="CO128" s="27" t="s">
        <v>8</v>
      </c>
      <c r="CP128" s="27" t="s">
        <v>7</v>
      </c>
      <c r="CQ128" s="27" t="s">
        <v>8</v>
      </c>
      <c r="CR128" s="27" t="s">
        <v>7</v>
      </c>
      <c r="CS128" s="27" t="s">
        <v>8</v>
      </c>
      <c r="CV128" s="27" t="s">
        <v>7</v>
      </c>
      <c r="CW128" s="27" t="s">
        <v>8</v>
      </c>
      <c r="CX128" s="27" t="s">
        <v>7</v>
      </c>
      <c r="CZ128" s="27" t="s">
        <v>7</v>
      </c>
      <c r="DB128" s="19" t="s">
        <v>7</v>
      </c>
      <c r="DC128" s="19"/>
      <c r="DD128" s="31"/>
      <c r="DE128" s="19"/>
    </row>
    <row r="129" spans="1:111" x14ac:dyDescent="0.25">
      <c r="A129" s="30">
        <v>224.91177693633563</v>
      </c>
      <c r="C129" s="1" t="s">
        <v>11</v>
      </c>
      <c r="D129" s="1" t="s">
        <v>12</v>
      </c>
      <c r="E129"/>
      <c r="BI129" s="27" t="s">
        <v>8</v>
      </c>
      <c r="BJ129" s="27" t="s">
        <v>7</v>
      </c>
      <c r="CK129" s="27" t="s">
        <v>8</v>
      </c>
      <c r="CL129" s="27" t="s">
        <v>7</v>
      </c>
      <c r="CM129" s="27" t="s">
        <v>8</v>
      </c>
      <c r="CN129" s="27" t="s">
        <v>7</v>
      </c>
      <c r="CO129" s="27" t="s">
        <v>8</v>
      </c>
      <c r="CP129" s="27" t="s">
        <v>7</v>
      </c>
      <c r="CR129" s="27" t="s">
        <v>7</v>
      </c>
      <c r="CV129" s="27" t="s">
        <v>7</v>
      </c>
      <c r="DB129" s="19" t="s">
        <v>7</v>
      </c>
      <c r="DC129" s="31"/>
      <c r="DD129" s="19"/>
      <c r="DE129" s="19"/>
    </row>
    <row r="130" spans="1:111" x14ac:dyDescent="0.25">
      <c r="A130" s="30">
        <v>214.20169232031964</v>
      </c>
      <c r="C130" s="6"/>
      <c r="D130" s="6"/>
      <c r="E130"/>
      <c r="AM130" s="27" t="s">
        <v>8</v>
      </c>
      <c r="BI130" s="27" t="s">
        <v>8</v>
      </c>
      <c r="BJ130" s="27" t="s">
        <v>7</v>
      </c>
      <c r="CK130" s="27" t="s">
        <v>8</v>
      </c>
      <c r="CL130" s="27" t="s">
        <v>7</v>
      </c>
      <c r="CM130" s="27" t="s">
        <v>8</v>
      </c>
      <c r="CN130" s="27" t="s">
        <v>7</v>
      </c>
      <c r="CO130" s="27" t="s">
        <v>8</v>
      </c>
      <c r="DB130" s="31" t="s">
        <v>7</v>
      </c>
      <c r="DC130" s="19" t="s">
        <v>8</v>
      </c>
      <c r="DD130" s="19"/>
      <c r="DE130" s="19"/>
    </row>
    <row r="131" spans="1:111" x14ac:dyDescent="0.25">
      <c r="A131" s="30">
        <v>204.00161173363773</v>
      </c>
      <c r="E131"/>
      <c r="AM131" s="27" t="s">
        <v>8</v>
      </c>
      <c r="AN131" s="27" t="s">
        <v>7</v>
      </c>
      <c r="BI131" s="27" t="s">
        <v>8</v>
      </c>
      <c r="BJ131" s="27" t="s">
        <v>7</v>
      </c>
      <c r="BO131" s="31" t="s">
        <v>8</v>
      </c>
      <c r="CK131" s="27" t="s">
        <v>8</v>
      </c>
      <c r="CL131" s="27" t="s">
        <v>7</v>
      </c>
      <c r="CM131" s="27" t="s">
        <v>8</v>
      </c>
      <c r="CN131" s="27" t="s">
        <v>7</v>
      </c>
      <c r="DA131" s="31"/>
      <c r="DB131" s="19" t="s">
        <v>7</v>
      </c>
      <c r="DC131" s="19" t="s">
        <v>8</v>
      </c>
      <c r="DD131" s="19" t="s">
        <v>7</v>
      </c>
      <c r="DE131" s="19"/>
    </row>
    <row r="132" spans="1:111" x14ac:dyDescent="0.25">
      <c r="A132" s="30">
        <v>194.28724927013116</v>
      </c>
      <c r="C132" s="1" t="s">
        <v>13</v>
      </c>
      <c r="E132"/>
      <c r="AM132" s="27" t="s">
        <v>8</v>
      </c>
      <c r="AN132" s="27" t="s">
        <v>7</v>
      </c>
      <c r="BG132" s="27" t="s">
        <v>8</v>
      </c>
      <c r="BI132" s="27" t="s">
        <v>8</v>
      </c>
      <c r="BJ132" s="27" t="s">
        <v>7</v>
      </c>
      <c r="BM132" s="27" t="s">
        <v>8</v>
      </c>
      <c r="BO132" s="27" t="s">
        <v>8</v>
      </c>
      <c r="BP132" s="31" t="s">
        <v>7</v>
      </c>
      <c r="CK132" s="27" t="s">
        <v>8</v>
      </c>
      <c r="CL132" s="27" t="s">
        <v>7</v>
      </c>
      <c r="CM132" s="27" t="s">
        <v>8</v>
      </c>
      <c r="CZ132" s="31"/>
      <c r="DB132" s="19" t="s">
        <v>7</v>
      </c>
      <c r="DC132" s="19" t="s">
        <v>8</v>
      </c>
      <c r="DD132" s="19" t="s">
        <v>7</v>
      </c>
      <c r="DE132" s="19"/>
    </row>
    <row r="133" spans="1:111" x14ac:dyDescent="0.25">
      <c r="A133" s="30">
        <v>185.03547549536299</v>
      </c>
      <c r="C133" s="1" t="str">
        <f>C122</f>
        <v>X</v>
      </c>
      <c r="E133"/>
      <c r="AM133" s="27" t="s">
        <v>8</v>
      </c>
      <c r="AN133" s="27" t="s">
        <v>7</v>
      </c>
      <c r="BE133" s="27" t="s">
        <v>8</v>
      </c>
      <c r="BG133" s="27" t="s">
        <v>8</v>
      </c>
      <c r="BH133" s="27" t="s">
        <v>7</v>
      </c>
      <c r="BI133" s="27" t="s">
        <v>8</v>
      </c>
      <c r="BJ133" s="27" t="s">
        <v>7</v>
      </c>
      <c r="BK133" s="27" t="s">
        <v>8</v>
      </c>
      <c r="BM133" s="27" t="s">
        <v>8</v>
      </c>
      <c r="BN133" s="27" t="s">
        <v>7</v>
      </c>
      <c r="BO133" s="27" t="s">
        <v>8</v>
      </c>
      <c r="BP133" s="27" t="s">
        <v>7</v>
      </c>
      <c r="BQ133" s="31"/>
      <c r="CI133" s="27" t="s">
        <v>8</v>
      </c>
      <c r="CK133" s="27" t="s">
        <v>8</v>
      </c>
      <c r="CL133" s="27" t="s">
        <v>7</v>
      </c>
      <c r="CM133" s="27" t="s">
        <v>8</v>
      </c>
      <c r="CY133" s="31"/>
      <c r="DB133" s="19" t="s">
        <v>7</v>
      </c>
      <c r="DC133" s="19"/>
      <c r="DD133" s="19" t="s">
        <v>7</v>
      </c>
      <c r="DE133" s="19"/>
    </row>
    <row r="134" spans="1:111" x14ac:dyDescent="0.25">
      <c r="A134" s="30">
        <v>176.22426237653616</v>
      </c>
      <c r="C134"/>
      <c r="E134"/>
      <c r="AM134" s="27" t="s">
        <v>8</v>
      </c>
      <c r="AN134" s="27" t="s">
        <v>7</v>
      </c>
      <c r="AO134" s="27" t="s">
        <v>8</v>
      </c>
      <c r="BE134" s="27" t="s">
        <v>8</v>
      </c>
      <c r="BF134" s="27" t="s">
        <v>7</v>
      </c>
      <c r="BG134" s="27" t="s">
        <v>8</v>
      </c>
      <c r="BH134" s="27" t="s">
        <v>7</v>
      </c>
      <c r="BI134" s="27" t="s">
        <v>8</v>
      </c>
      <c r="BJ134" s="27" t="s">
        <v>7</v>
      </c>
      <c r="BK134" s="27" t="s">
        <v>8</v>
      </c>
      <c r="BL134" s="27" t="s">
        <v>7</v>
      </c>
      <c r="BM134" s="27" t="s">
        <v>8</v>
      </c>
      <c r="BN134" s="27" t="s">
        <v>7</v>
      </c>
      <c r="BO134" s="27" t="s">
        <v>8</v>
      </c>
      <c r="BP134" s="27" t="s">
        <v>7</v>
      </c>
      <c r="BR134" s="31"/>
      <c r="CI134" s="27" t="s">
        <v>8</v>
      </c>
      <c r="CJ134" s="27" t="s">
        <v>7</v>
      </c>
      <c r="CK134" s="27" t="s">
        <v>8</v>
      </c>
      <c r="CL134" s="27" t="s">
        <v>7</v>
      </c>
      <c r="CX134" s="31"/>
      <c r="DD134" s="27" t="s">
        <v>7</v>
      </c>
    </row>
    <row r="135" spans="1:111" x14ac:dyDescent="0.25">
      <c r="A135" s="30">
        <v>167.83263083479633</v>
      </c>
      <c r="C135" s="1" t="s">
        <v>14</v>
      </c>
      <c r="E135"/>
      <c r="AM135" s="27" t="s">
        <v>8</v>
      </c>
      <c r="AN135" s="27" t="s">
        <v>7</v>
      </c>
      <c r="AO135" s="27" t="s">
        <v>8</v>
      </c>
      <c r="AP135" s="27" t="s">
        <v>7</v>
      </c>
      <c r="BE135" s="27" t="s">
        <v>8</v>
      </c>
      <c r="BF135" s="27" t="s">
        <v>7</v>
      </c>
      <c r="BG135" s="27" t="s">
        <v>8</v>
      </c>
      <c r="BH135" s="27" t="s">
        <v>7</v>
      </c>
      <c r="BJ135" s="27" t="s">
        <v>7</v>
      </c>
      <c r="BK135" s="27" t="s">
        <v>8</v>
      </c>
      <c r="BL135" s="27" t="s">
        <v>7</v>
      </c>
      <c r="BM135" s="27" t="s">
        <v>8</v>
      </c>
      <c r="BN135" s="27" t="s">
        <v>7</v>
      </c>
      <c r="BO135" s="27" t="s">
        <v>8</v>
      </c>
      <c r="BP135" s="27" t="s">
        <v>7</v>
      </c>
      <c r="BS135" s="31"/>
      <c r="CI135" s="27" t="s">
        <v>8</v>
      </c>
      <c r="CJ135" s="27" t="s">
        <v>7</v>
      </c>
      <c r="CK135" s="27" t="s">
        <v>8</v>
      </c>
      <c r="CW135" s="31"/>
      <c r="DD135" s="27" t="s">
        <v>7</v>
      </c>
    </row>
    <row r="136" spans="1:111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  <c r="AM136" s="27" t="s">
        <v>8</v>
      </c>
      <c r="AN136" s="27" t="s">
        <v>7</v>
      </c>
      <c r="AO136" s="27" t="s">
        <v>8</v>
      </c>
      <c r="AP136" s="27" t="s">
        <v>7</v>
      </c>
      <c r="AS136" s="27" t="s">
        <v>8</v>
      </c>
      <c r="AY136" s="27" t="s">
        <v>8</v>
      </c>
      <c r="BA136" s="27" t="s">
        <v>8</v>
      </c>
      <c r="BE136" s="27" t="s">
        <v>8</v>
      </c>
      <c r="BF136" s="27" t="s">
        <v>7</v>
      </c>
      <c r="BJ136" s="27" t="s">
        <v>7</v>
      </c>
      <c r="BK136" s="27" t="s">
        <v>8</v>
      </c>
      <c r="BL136" s="27" t="s">
        <v>7</v>
      </c>
      <c r="BN136" s="27" t="s">
        <v>7</v>
      </c>
      <c r="BO136" s="27" t="s">
        <v>8</v>
      </c>
      <c r="BP136" s="27" t="s">
        <v>7</v>
      </c>
      <c r="BT136" s="31"/>
      <c r="CG136" s="27" t="s">
        <v>8</v>
      </c>
      <c r="CI136" s="27" t="s">
        <v>8</v>
      </c>
      <c r="CJ136" s="27" t="s">
        <v>7</v>
      </c>
      <c r="CK136" s="27" t="s">
        <v>8</v>
      </c>
      <c r="CV136" s="31"/>
      <c r="DD136" s="27" t="s">
        <v>7</v>
      </c>
    </row>
    <row r="137" spans="1:111" x14ac:dyDescent="0.25">
      <c r="A137" s="30">
        <v>152.22914361432771</v>
      </c>
      <c r="E137"/>
      <c r="AM137" s="27" t="s">
        <v>8</v>
      </c>
      <c r="AN137" s="27" t="s">
        <v>7</v>
      </c>
      <c r="AP137" s="27" t="s">
        <v>7</v>
      </c>
      <c r="AQ137" s="27" t="s">
        <v>8</v>
      </c>
      <c r="AS137" s="27" t="s">
        <v>8</v>
      </c>
      <c r="AT137" s="27" t="s">
        <v>7</v>
      </c>
      <c r="AY137" s="27" t="s">
        <v>8</v>
      </c>
      <c r="AZ137" s="27" t="s">
        <v>7</v>
      </c>
      <c r="BA137" s="27" t="s">
        <v>8</v>
      </c>
      <c r="BB137" s="27" t="s">
        <v>7</v>
      </c>
      <c r="BE137" s="27" t="s">
        <v>8</v>
      </c>
      <c r="BJ137" s="27" t="s">
        <v>7</v>
      </c>
      <c r="BK137" s="27" t="s">
        <v>8</v>
      </c>
      <c r="BN137" s="27" t="s">
        <v>7</v>
      </c>
      <c r="BO137" s="27" t="s">
        <v>8</v>
      </c>
      <c r="BP137" s="27" t="s">
        <v>7</v>
      </c>
      <c r="BU137" s="31"/>
      <c r="CE137" s="27" t="s">
        <v>8</v>
      </c>
      <c r="CG137" s="27" t="s">
        <v>8</v>
      </c>
      <c r="CH137" s="27" t="s">
        <v>7</v>
      </c>
      <c r="CI137" s="27" t="s">
        <v>8</v>
      </c>
      <c r="CJ137" s="27" t="s">
        <v>7</v>
      </c>
      <c r="CK137" s="27" t="s">
        <v>8</v>
      </c>
      <c r="CU137" s="31"/>
      <c r="DD137" s="27" t="s">
        <v>7</v>
      </c>
      <c r="DG137" s="27" t="s">
        <v>8</v>
      </c>
    </row>
    <row r="138" spans="1:111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AM138" s="27" t="s">
        <v>8</v>
      </c>
      <c r="AP138" s="27" t="s">
        <v>7</v>
      </c>
      <c r="AQ138" s="27" t="s">
        <v>8</v>
      </c>
      <c r="AR138" s="27" t="s">
        <v>7</v>
      </c>
      <c r="AS138" s="27" t="s">
        <v>8</v>
      </c>
      <c r="AT138" s="27" t="s">
        <v>7</v>
      </c>
      <c r="AW138" s="27" t="s">
        <v>8</v>
      </c>
      <c r="AY138" s="27" t="s">
        <v>8</v>
      </c>
      <c r="AZ138" s="27" t="s">
        <v>7</v>
      </c>
      <c r="BA138" s="27" t="s">
        <v>8</v>
      </c>
      <c r="BB138" s="27" t="s">
        <v>7</v>
      </c>
      <c r="BC138" s="27" t="s">
        <v>8</v>
      </c>
      <c r="BE138" s="27" t="s">
        <v>8</v>
      </c>
      <c r="BJ138" s="27" t="s">
        <v>7</v>
      </c>
      <c r="BK138" s="27" t="s">
        <v>8</v>
      </c>
      <c r="BN138" s="27" t="s">
        <v>7</v>
      </c>
      <c r="BO138" s="27" t="s">
        <v>8</v>
      </c>
      <c r="BP138" s="27" t="s">
        <v>7</v>
      </c>
      <c r="BV138" s="31"/>
      <c r="CE138" s="27" t="s">
        <v>8</v>
      </c>
      <c r="CF138" s="27" t="s">
        <v>7</v>
      </c>
      <c r="CG138" s="27" t="s">
        <v>8</v>
      </c>
      <c r="CH138" s="27" t="s">
        <v>7</v>
      </c>
      <c r="CI138" s="27" t="s">
        <v>8</v>
      </c>
      <c r="CJ138" s="27" t="s">
        <v>7</v>
      </c>
      <c r="CK138" s="27" t="s">
        <v>8</v>
      </c>
      <c r="CT138" s="31"/>
      <c r="DD138" s="27" t="s">
        <v>7</v>
      </c>
      <c r="DG138" s="27" t="s">
        <v>8</v>
      </c>
    </row>
    <row r="139" spans="1:111" x14ac:dyDescent="0.25">
      <c r="A139" s="30">
        <v>138.07632073861922</v>
      </c>
      <c r="E139"/>
      <c r="AM139" s="27" t="s">
        <v>8</v>
      </c>
      <c r="AP139" s="27" t="s">
        <v>7</v>
      </c>
      <c r="AQ139" s="27" t="s">
        <v>8</v>
      </c>
      <c r="AR139" s="27" t="s">
        <v>7</v>
      </c>
      <c r="AS139" s="27" t="s">
        <v>8</v>
      </c>
      <c r="AT139" s="27" t="s">
        <v>7</v>
      </c>
      <c r="AW139" s="27" t="s">
        <v>8</v>
      </c>
      <c r="AX139" s="27" t="s">
        <v>7</v>
      </c>
      <c r="AY139" s="27" t="s">
        <v>8</v>
      </c>
      <c r="AZ139" s="27" t="s">
        <v>7</v>
      </c>
      <c r="BB139" s="27" t="s">
        <v>7</v>
      </c>
      <c r="BC139" s="27" t="s">
        <v>8</v>
      </c>
      <c r="BD139" s="27" t="s">
        <v>7</v>
      </c>
      <c r="BE139" s="27" t="s">
        <v>8</v>
      </c>
      <c r="BJ139" s="27" t="s">
        <v>7</v>
      </c>
      <c r="BK139" s="27" t="s">
        <v>8</v>
      </c>
      <c r="BN139" s="27" t="s">
        <v>7</v>
      </c>
      <c r="BP139" s="27" t="s">
        <v>7</v>
      </c>
      <c r="BW139" s="31"/>
      <c r="CE139" s="27" t="s">
        <v>8</v>
      </c>
      <c r="CF139" s="27" t="s">
        <v>7</v>
      </c>
      <c r="CG139" s="27" t="s">
        <v>8</v>
      </c>
      <c r="CH139" s="27" t="s">
        <v>7</v>
      </c>
      <c r="CI139" s="27" t="s">
        <v>8</v>
      </c>
      <c r="CJ139" s="27" t="s">
        <v>7</v>
      </c>
      <c r="CS139" s="31"/>
      <c r="DD139" s="27" t="s">
        <v>7</v>
      </c>
      <c r="DE139" s="27" t="s">
        <v>8</v>
      </c>
      <c r="DG139" s="27" t="s">
        <v>8</v>
      </c>
    </row>
    <row r="140" spans="1:111" x14ac:dyDescent="0.25">
      <c r="A140" s="30">
        <v>131.50125784630401</v>
      </c>
      <c r="C140" s="1">
        <v>0</v>
      </c>
      <c r="E140"/>
      <c r="AM140" s="27" t="s">
        <v>8</v>
      </c>
      <c r="AP140" s="27" t="s">
        <v>7</v>
      </c>
      <c r="AQ140" s="27" t="s">
        <v>8</v>
      </c>
      <c r="AR140" s="27" t="s">
        <v>7</v>
      </c>
      <c r="AS140" s="27" t="s">
        <v>8</v>
      </c>
      <c r="AT140" s="27" t="s">
        <v>7</v>
      </c>
      <c r="AW140" s="27" t="s">
        <v>8</v>
      </c>
      <c r="AX140" s="27" t="s">
        <v>7</v>
      </c>
      <c r="AY140" s="27" t="s">
        <v>8</v>
      </c>
      <c r="BB140" s="27" t="s">
        <v>7</v>
      </c>
      <c r="BC140" s="27" t="s">
        <v>8</v>
      </c>
      <c r="BD140" s="27" t="s">
        <v>7</v>
      </c>
      <c r="BE140" s="27" t="s">
        <v>8</v>
      </c>
      <c r="BJ140" s="27" t="s">
        <v>7</v>
      </c>
      <c r="BK140" s="27" t="s">
        <v>8</v>
      </c>
      <c r="BP140" s="27" t="s">
        <v>7</v>
      </c>
      <c r="BX140" s="31"/>
      <c r="CE140" s="27" t="s">
        <v>8</v>
      </c>
      <c r="CF140" s="27" t="s">
        <v>7</v>
      </c>
      <c r="CH140" s="27" t="s">
        <v>7</v>
      </c>
      <c r="CR140" s="31"/>
      <c r="DD140" s="27" t="s">
        <v>7</v>
      </c>
      <c r="DE140" s="27" t="s">
        <v>8</v>
      </c>
      <c r="DF140" s="27" t="s">
        <v>7</v>
      </c>
      <c r="DG140" s="27" t="s">
        <v>8</v>
      </c>
    </row>
    <row r="141" spans="1:111" x14ac:dyDescent="0.25">
      <c r="A141" s="30">
        <v>125.23929318695619</v>
      </c>
      <c r="C141" s="1">
        <v>1</v>
      </c>
      <c r="E141"/>
      <c r="AM141" s="27" t="s">
        <v>8</v>
      </c>
      <c r="AP141" s="27" t="s">
        <v>7</v>
      </c>
      <c r="AQ141" s="27" t="s">
        <v>8</v>
      </c>
      <c r="AR141" s="27" t="s">
        <v>7</v>
      </c>
      <c r="AT141" s="27" t="s">
        <v>7</v>
      </c>
      <c r="AU141" s="27" t="s">
        <v>8</v>
      </c>
      <c r="AW141" s="27" t="s">
        <v>8</v>
      </c>
      <c r="AX141" s="27" t="s">
        <v>7</v>
      </c>
      <c r="BB141" s="27" t="s">
        <v>7</v>
      </c>
      <c r="BD141" s="27" t="s">
        <v>7</v>
      </c>
      <c r="BE141" s="27" t="s">
        <v>8</v>
      </c>
      <c r="BJ141" s="27" t="s">
        <v>7</v>
      </c>
      <c r="BP141" s="27" t="s">
        <v>7</v>
      </c>
      <c r="BY141" s="31"/>
      <c r="CE141" s="27" t="s">
        <v>8</v>
      </c>
      <c r="CQ141" s="31"/>
      <c r="DD141" s="27" t="s">
        <v>7</v>
      </c>
      <c r="DE141" s="27" t="s">
        <v>8</v>
      </c>
      <c r="DF141" s="27" t="s">
        <v>7</v>
      </c>
      <c r="DG141" s="27" t="s">
        <v>8</v>
      </c>
    </row>
    <row r="142" spans="1:111" x14ac:dyDescent="0.25">
      <c r="A142" s="30">
        <v>119.27551732091065</v>
      </c>
      <c r="C142" s="1">
        <v>2</v>
      </c>
      <c r="E142"/>
      <c r="AM142" s="27" t="s">
        <v>8</v>
      </c>
      <c r="AP142" s="27" t="s">
        <v>7</v>
      </c>
      <c r="AQ142" s="27" t="s">
        <v>8</v>
      </c>
      <c r="AT142" s="27" t="s">
        <v>7</v>
      </c>
      <c r="AU142" s="27" t="s">
        <v>8</v>
      </c>
      <c r="AV142" s="27" t="s">
        <v>7</v>
      </c>
      <c r="AW142" s="27" t="s">
        <v>8</v>
      </c>
      <c r="BD142" s="27" t="s">
        <v>7</v>
      </c>
      <c r="BP142" s="27" t="s">
        <v>7</v>
      </c>
      <c r="BQ142" s="27" t="s">
        <v>8</v>
      </c>
      <c r="BS142" s="27" t="s">
        <v>8</v>
      </c>
      <c r="BZ142" s="31"/>
      <c r="CE142" s="27" t="s">
        <v>8</v>
      </c>
      <c r="CP142" s="31"/>
      <c r="DD142" s="27" t="s">
        <v>7</v>
      </c>
      <c r="DE142" s="27" t="s">
        <v>8</v>
      </c>
      <c r="DF142" s="27" t="s">
        <v>7</v>
      </c>
    </row>
    <row r="143" spans="1:111" x14ac:dyDescent="0.25">
      <c r="A143" s="30">
        <v>113.59573078181967</v>
      </c>
      <c r="C143" s="1">
        <v>3</v>
      </c>
      <c r="E143"/>
      <c r="AM143" s="27" t="s">
        <v>8</v>
      </c>
      <c r="AP143" s="27" t="s">
        <v>7</v>
      </c>
      <c r="AQ143" s="27" t="s">
        <v>8</v>
      </c>
      <c r="AT143" s="27" t="s">
        <v>7</v>
      </c>
      <c r="AU143" s="27" t="s">
        <v>8</v>
      </c>
      <c r="AV143" s="27" t="s">
        <v>7</v>
      </c>
      <c r="AW143" s="27" t="s">
        <v>8</v>
      </c>
      <c r="BP143" s="27" t="s">
        <v>7</v>
      </c>
      <c r="BQ143" s="27" t="s">
        <v>8</v>
      </c>
      <c r="BR143" s="27" t="s">
        <v>7</v>
      </c>
      <c r="BS143" s="27" t="s">
        <v>8</v>
      </c>
      <c r="BT143" s="27" t="s">
        <v>7</v>
      </c>
      <c r="CA143" s="31"/>
      <c r="CE143" s="27" t="s">
        <v>8</v>
      </c>
      <c r="CO143" s="31"/>
      <c r="DD143" s="27" t="s">
        <v>7</v>
      </c>
    </row>
    <row r="144" spans="1:111" x14ac:dyDescent="0.25">
      <c r="A144" s="30">
        <v>108.18641026839968</v>
      </c>
      <c r="C144" s="1">
        <v>4</v>
      </c>
      <c r="E144"/>
      <c r="AM144" s="27" t="s">
        <v>8</v>
      </c>
      <c r="AP144" s="27" t="s">
        <v>7</v>
      </c>
      <c r="AQ144" s="27" t="s">
        <v>8</v>
      </c>
      <c r="AT144" s="27" t="s">
        <v>7</v>
      </c>
      <c r="AU144" s="27" t="s">
        <v>8</v>
      </c>
      <c r="AV144" s="27" t="s">
        <v>7</v>
      </c>
      <c r="BP144" s="27" t="s">
        <v>7</v>
      </c>
      <c r="BQ144" s="27" t="s">
        <v>8</v>
      </c>
      <c r="BR144" s="27" t="s">
        <v>7</v>
      </c>
      <c r="BS144" s="27" t="s">
        <v>8</v>
      </c>
      <c r="BT144" s="27" t="s">
        <v>7</v>
      </c>
      <c r="BU144" s="27" t="s">
        <v>8</v>
      </c>
      <c r="CB144" s="31"/>
      <c r="CE144" s="27" t="s">
        <v>8</v>
      </c>
      <c r="CN144" s="31"/>
    </row>
    <row r="145" spans="1:91" x14ac:dyDescent="0.25">
      <c r="A145" s="30">
        <v>103.03467644609493</v>
      </c>
      <c r="E145"/>
      <c r="AM145" s="27" t="s">
        <v>8</v>
      </c>
      <c r="AP145" s="27" t="s">
        <v>7</v>
      </c>
      <c r="AQ145" s="27" t="s">
        <v>8</v>
      </c>
      <c r="AT145" s="27" t="s">
        <v>7</v>
      </c>
      <c r="AU145" s="27" t="s">
        <v>8</v>
      </c>
      <c r="BP145" s="27" t="s">
        <v>7</v>
      </c>
      <c r="BQ145" s="27" t="s">
        <v>8</v>
      </c>
      <c r="BR145" s="27" t="s">
        <v>7</v>
      </c>
      <c r="BS145" s="27" t="s">
        <v>8</v>
      </c>
      <c r="BT145" s="27" t="s">
        <v>7</v>
      </c>
      <c r="BU145" s="27" t="s">
        <v>8</v>
      </c>
      <c r="BV145" s="27" t="s">
        <v>7</v>
      </c>
      <c r="CC145" s="31" t="s">
        <v>8</v>
      </c>
      <c r="CE145" s="27" t="s">
        <v>8</v>
      </c>
      <c r="CM145" s="31"/>
    </row>
    <row r="146" spans="1:91" x14ac:dyDescent="0.25">
      <c r="A146" s="30">
        <v>98.128263281995174</v>
      </c>
      <c r="E146"/>
      <c r="AM146" s="27" t="s">
        <v>8</v>
      </c>
      <c r="AP146" s="27" t="s">
        <v>7</v>
      </c>
      <c r="AQ146" s="27" t="s">
        <v>8</v>
      </c>
      <c r="AT146" s="27" t="s">
        <v>7</v>
      </c>
      <c r="AU146" s="27" t="s">
        <v>8</v>
      </c>
      <c r="BP146" s="27" t="s">
        <v>7</v>
      </c>
      <c r="BQ146" s="27" t="s">
        <v>8</v>
      </c>
      <c r="BR146" s="27" t="s">
        <v>7</v>
      </c>
      <c r="BS146" s="27" t="s">
        <v>8</v>
      </c>
      <c r="BT146" s="27" t="s">
        <v>7</v>
      </c>
      <c r="BU146" s="27" t="s">
        <v>8</v>
      </c>
      <c r="BV146" s="27" t="s">
        <v>7</v>
      </c>
      <c r="CC146" s="27" t="s">
        <v>8</v>
      </c>
      <c r="CD146" s="31" t="s">
        <v>7</v>
      </c>
      <c r="CE146" s="27" t="s">
        <v>8</v>
      </c>
      <c r="CL146" s="31"/>
    </row>
    <row r="147" spans="1:91" x14ac:dyDescent="0.25">
      <c r="A147" s="30">
        <v>93.455488839995397</v>
      </c>
      <c r="E147"/>
      <c r="AM147" s="27" t="s">
        <v>8</v>
      </c>
      <c r="AP147" s="27" t="s">
        <v>7</v>
      </c>
      <c r="AQ147" s="27" t="s">
        <v>8</v>
      </c>
      <c r="AT147" s="27" t="s">
        <v>7</v>
      </c>
      <c r="BP147" s="27" t="s">
        <v>7</v>
      </c>
      <c r="BQ147" s="27" t="s">
        <v>8</v>
      </c>
      <c r="BR147" s="27" t="s">
        <v>7</v>
      </c>
      <c r="BS147" s="27" t="s">
        <v>8</v>
      </c>
      <c r="BT147" s="27" t="s">
        <v>7</v>
      </c>
      <c r="BU147" s="27" t="s">
        <v>8</v>
      </c>
      <c r="BV147" s="27" t="s">
        <v>7</v>
      </c>
      <c r="BW147" s="27" t="s">
        <v>8</v>
      </c>
      <c r="BY147" s="27" t="s">
        <v>8</v>
      </c>
      <c r="CC147" s="27" t="s">
        <v>8</v>
      </c>
      <c r="CD147" s="27" t="s">
        <v>7</v>
      </c>
      <c r="CE147" s="31" t="s">
        <v>8</v>
      </c>
      <c r="CK147" s="31"/>
    </row>
    <row r="148" spans="1:91" x14ac:dyDescent="0.25">
      <c r="A148" s="30">
        <v>89.005227466662276</v>
      </c>
      <c r="E148"/>
      <c r="AM148" s="27" t="s">
        <v>8</v>
      </c>
      <c r="AP148" s="27" t="s">
        <v>7</v>
      </c>
      <c r="AQ148" s="27" t="s">
        <v>8</v>
      </c>
      <c r="BP148" s="27" t="s">
        <v>7</v>
      </c>
      <c r="BQ148" s="27" t="s">
        <v>8</v>
      </c>
      <c r="BR148" s="27" t="s">
        <v>7</v>
      </c>
      <c r="BS148" s="27" t="s">
        <v>8</v>
      </c>
      <c r="BT148" s="27" t="s">
        <v>7</v>
      </c>
      <c r="BV148" s="27" t="s">
        <v>7</v>
      </c>
      <c r="BW148" s="27" t="s">
        <v>8</v>
      </c>
      <c r="BX148" s="27" t="s">
        <v>7</v>
      </c>
      <c r="BY148" s="27" t="s">
        <v>8</v>
      </c>
      <c r="BZ148" s="27" t="s">
        <v>7</v>
      </c>
      <c r="CC148" s="27" t="s">
        <v>8</v>
      </c>
      <c r="CD148" s="27" t="s">
        <v>7</v>
      </c>
      <c r="CE148" s="27" t="s">
        <v>8</v>
      </c>
      <c r="CJ148" s="31"/>
    </row>
    <row r="149" spans="1:91" x14ac:dyDescent="0.25">
      <c r="A149" s="30">
        <v>84.766883301583121</v>
      </c>
      <c r="E149"/>
      <c r="AM149" s="27" t="s">
        <v>8</v>
      </c>
      <c r="AP149" s="27" t="s">
        <v>7</v>
      </c>
      <c r="AQ149" s="27" t="s">
        <v>8</v>
      </c>
      <c r="BP149" s="27" t="s">
        <v>7</v>
      </c>
      <c r="BQ149" s="27" t="s">
        <v>8</v>
      </c>
      <c r="BR149" s="27" t="s">
        <v>7</v>
      </c>
      <c r="BS149" s="27" t="s">
        <v>8</v>
      </c>
      <c r="BV149" s="32" t="s">
        <v>7</v>
      </c>
      <c r="BW149" s="27" t="s">
        <v>8</v>
      </c>
      <c r="BX149" s="27" t="s">
        <v>7</v>
      </c>
      <c r="BY149" s="27" t="s">
        <v>8</v>
      </c>
      <c r="BZ149" s="27" t="s">
        <v>7</v>
      </c>
      <c r="CC149" s="27" t="s">
        <v>8</v>
      </c>
      <c r="CD149" s="27" t="s">
        <v>7</v>
      </c>
      <c r="CE149" s="27" t="s">
        <v>8</v>
      </c>
      <c r="CI149" s="31"/>
    </row>
    <row r="150" spans="1:91" x14ac:dyDescent="0.25">
      <c r="A150" s="30">
        <v>80.730365049126775</v>
      </c>
      <c r="E150"/>
      <c r="AM150" s="27" t="s">
        <v>8</v>
      </c>
      <c r="AP150" s="27" t="s">
        <v>7</v>
      </c>
      <c r="AQ150" s="27" t="s">
        <v>8</v>
      </c>
      <c r="BP150" s="27" t="s">
        <v>7</v>
      </c>
      <c r="BQ150" s="27" t="s">
        <v>8</v>
      </c>
      <c r="BR150" s="27" t="s">
        <v>7</v>
      </c>
      <c r="BS150" s="27" t="s">
        <v>8</v>
      </c>
      <c r="BV150" s="27" t="s">
        <v>7</v>
      </c>
      <c r="BX150" s="27" t="s">
        <v>7</v>
      </c>
      <c r="BY150" s="27" t="s">
        <v>8</v>
      </c>
      <c r="BZ150" s="27" t="s">
        <v>7</v>
      </c>
      <c r="CC150" s="27" t="s">
        <v>8</v>
      </c>
      <c r="CD150" s="27" t="s">
        <v>7</v>
      </c>
      <c r="CE150" s="27" t="s">
        <v>8</v>
      </c>
      <c r="CH150" s="31"/>
    </row>
    <row r="151" spans="1:91" x14ac:dyDescent="0.25">
      <c r="A151" s="30">
        <v>76.886061951549308</v>
      </c>
      <c r="E151"/>
      <c r="AM151" s="27" t="s">
        <v>8</v>
      </c>
      <c r="AP151" s="27" t="s">
        <v>7</v>
      </c>
      <c r="AQ151" s="27" t="s">
        <v>8</v>
      </c>
      <c r="BP151" s="27" t="s">
        <v>7</v>
      </c>
      <c r="BR151" s="27" t="s">
        <v>7</v>
      </c>
      <c r="BS151" s="27" t="s">
        <v>8</v>
      </c>
      <c r="BX151" s="27" t="s">
        <v>7</v>
      </c>
      <c r="BZ151" s="27" t="s">
        <v>7</v>
      </c>
      <c r="CC151" s="27" t="s">
        <v>8</v>
      </c>
      <c r="CD151" s="27" t="s">
        <v>7</v>
      </c>
      <c r="CE151" s="27" t="s">
        <v>8</v>
      </c>
      <c r="CG151" s="31"/>
    </row>
    <row r="152" spans="1:91" x14ac:dyDescent="0.25">
      <c r="A152" s="30">
        <v>73.22482090623744</v>
      </c>
      <c r="E152"/>
      <c r="AK152" s="27" t="s">
        <v>8</v>
      </c>
      <c r="AM152" s="27" t="s">
        <v>8</v>
      </c>
      <c r="AP152" s="27" t="s">
        <v>7</v>
      </c>
      <c r="AQ152" s="27" t="s">
        <v>8</v>
      </c>
      <c r="BR152" s="27" t="s">
        <v>7</v>
      </c>
      <c r="BS152" s="27" t="s">
        <v>8</v>
      </c>
      <c r="BZ152" s="27" t="s">
        <v>7</v>
      </c>
      <c r="CC152" s="33" t="s">
        <v>8</v>
      </c>
      <c r="CD152" s="27" t="s">
        <v>7</v>
      </c>
      <c r="CE152" s="27" t="s">
        <v>8</v>
      </c>
      <c r="CF152" s="31"/>
    </row>
    <row r="153" spans="1:91" x14ac:dyDescent="0.25">
      <c r="A153" s="30">
        <v>69.737924672607079</v>
      </c>
      <c r="C153" s="7"/>
      <c r="D153"/>
      <c r="E153"/>
      <c r="AK153" s="27" t="s">
        <v>8</v>
      </c>
      <c r="AL153" s="27" t="s">
        <v>7</v>
      </c>
      <c r="AM153" s="27" t="s">
        <v>8</v>
      </c>
      <c r="AP153" s="27" t="s">
        <v>7</v>
      </c>
      <c r="AQ153" s="27" t="s">
        <v>8</v>
      </c>
      <c r="BR153" s="27" t="s">
        <v>7</v>
      </c>
      <c r="BS153" s="27" t="s">
        <v>8</v>
      </c>
      <c r="BZ153" s="27" t="s">
        <v>7</v>
      </c>
      <c r="CA153" s="27" t="s">
        <v>8</v>
      </c>
      <c r="CC153" s="27" t="s">
        <v>8</v>
      </c>
      <c r="CD153" s="18" t="s">
        <v>7</v>
      </c>
      <c r="CE153" s="31" t="s">
        <v>8</v>
      </c>
    </row>
    <row r="154" spans="1:91" x14ac:dyDescent="0.25">
      <c r="A154" s="30">
        <v>66.417071116768639</v>
      </c>
      <c r="E154"/>
      <c r="AK154" s="27" t="s">
        <v>8</v>
      </c>
      <c r="AL154" s="27" t="s">
        <v>7</v>
      </c>
      <c r="AM154" s="27" t="s">
        <v>8</v>
      </c>
      <c r="AP154" s="27" t="s">
        <v>7</v>
      </c>
      <c r="BR154" s="27" t="s">
        <v>7</v>
      </c>
      <c r="BZ154" s="27" t="s">
        <v>7</v>
      </c>
      <c r="CA154" s="27" t="s">
        <v>8</v>
      </c>
      <c r="CB154" s="27" t="s">
        <v>7</v>
      </c>
      <c r="CC154" s="27" t="s">
        <v>8</v>
      </c>
      <c r="CD154" s="31" t="s">
        <v>7</v>
      </c>
    </row>
    <row r="155" spans="1:91" x14ac:dyDescent="0.25">
      <c r="A155" s="30">
        <v>63.254353444541557</v>
      </c>
      <c r="E155"/>
      <c r="AK155" s="27" t="s">
        <v>8</v>
      </c>
      <c r="AL155" s="27" t="s">
        <v>7</v>
      </c>
      <c r="AM155" s="27" t="s">
        <v>8</v>
      </c>
      <c r="BZ155" s="27" t="s">
        <v>7</v>
      </c>
      <c r="CA155" s="27" t="s">
        <v>8</v>
      </c>
      <c r="CB155" s="27" t="s">
        <v>7</v>
      </c>
      <c r="CC155" s="31" t="s">
        <v>8</v>
      </c>
    </row>
    <row r="156" spans="1:91" x14ac:dyDescent="0.25">
      <c r="A156" s="30">
        <v>60.242241375753864</v>
      </c>
      <c r="C156"/>
      <c r="D156"/>
      <c r="E156"/>
      <c r="AK156" s="27" t="s">
        <v>8</v>
      </c>
      <c r="AL156" s="27" t="s">
        <v>7</v>
      </c>
      <c r="BZ156" s="27" t="s">
        <v>7</v>
      </c>
      <c r="CA156" s="27" t="s">
        <v>8</v>
      </c>
      <c r="CB156" s="31" t="s">
        <v>7</v>
      </c>
    </row>
    <row r="157" spans="1:91" x14ac:dyDescent="0.25">
      <c r="A157" s="30">
        <v>57.373563215003678</v>
      </c>
      <c r="E157"/>
      <c r="AK157" s="27" t="s">
        <v>8</v>
      </c>
      <c r="BZ157" s="27" t="s">
        <v>7</v>
      </c>
      <c r="CA157" s="31" t="s">
        <v>8</v>
      </c>
    </row>
    <row r="158" spans="1:91" x14ac:dyDescent="0.25">
      <c r="A158" s="30">
        <v>54.641488776193974</v>
      </c>
      <c r="E158"/>
      <c r="AK158" s="27" t="s">
        <v>8</v>
      </c>
      <c r="BZ158" s="31" t="s">
        <v>7</v>
      </c>
    </row>
    <row r="159" spans="1:91" x14ac:dyDescent="0.25">
      <c r="A159" s="30">
        <v>52.039513120184736</v>
      </c>
      <c r="E159"/>
      <c r="AK159" s="27" t="s">
        <v>8</v>
      </c>
    </row>
    <row r="160" spans="1:91" x14ac:dyDescent="0.25">
      <c r="A160" s="30">
        <v>49.561441066842605</v>
      </c>
      <c r="C160"/>
      <c r="E160"/>
      <c r="AK160" s="27" t="s">
        <v>8</v>
      </c>
    </row>
    <row r="161" spans="1:37" x14ac:dyDescent="0.25">
      <c r="A161" s="30">
        <v>47.201372444612005</v>
      </c>
      <c r="E161"/>
      <c r="AK161" s="27" t="s">
        <v>8</v>
      </c>
    </row>
    <row r="162" spans="1:37" x14ac:dyDescent="0.25">
      <c r="A162" s="30">
        <v>44.95368804248762</v>
      </c>
      <c r="E162"/>
      <c r="AK162" s="27" t="s">
        <v>8</v>
      </c>
    </row>
    <row r="163" spans="1:37" x14ac:dyDescent="0.25">
      <c r="A163" s="30">
        <v>42.81303623094059</v>
      </c>
      <c r="E163"/>
      <c r="AK163" s="27" t="s">
        <v>8</v>
      </c>
    </row>
    <row r="164" spans="1:37" x14ac:dyDescent="0.25">
      <c r="A164" s="30">
        <v>40.774320219943419</v>
      </c>
      <c r="E164"/>
      <c r="AE164" s="27" t="s">
        <v>8</v>
      </c>
      <c r="AI164" s="27" t="s">
        <v>8</v>
      </c>
      <c r="AK164" s="27" t="s">
        <v>8</v>
      </c>
    </row>
    <row r="165" spans="1:37" x14ac:dyDescent="0.25">
      <c r="A165" s="30">
        <v>38.832685923755633</v>
      </c>
      <c r="E165"/>
      <c r="AE165" s="27" t="s">
        <v>8</v>
      </c>
      <c r="AF165" s="27" t="s">
        <v>7</v>
      </c>
      <c r="AG165" s="27" t="s">
        <v>8</v>
      </c>
      <c r="AI165" s="27" t="s">
        <v>8</v>
      </c>
      <c r="AJ165" s="27" t="s">
        <v>7</v>
      </c>
      <c r="AK165" s="27" t="s">
        <v>8</v>
      </c>
    </row>
    <row r="166" spans="1:37" x14ac:dyDescent="0.25">
      <c r="A166" s="30">
        <v>36.983510403576794</v>
      </c>
      <c r="E166"/>
      <c r="AE166" s="27" t="s">
        <v>8</v>
      </c>
      <c r="AF166" s="27" t="s">
        <v>7</v>
      </c>
      <c r="AG166" s="27" t="s">
        <v>8</v>
      </c>
      <c r="AH166" s="27" t="s">
        <v>7</v>
      </c>
      <c r="AI166" s="27" t="s">
        <v>8</v>
      </c>
      <c r="AJ166" s="27" t="s">
        <v>7</v>
      </c>
      <c r="AK166" s="27" t="s">
        <v>8</v>
      </c>
    </row>
    <row r="167" spans="1:37" x14ac:dyDescent="0.25">
      <c r="A167" s="30">
        <v>35.222390860549325</v>
      </c>
      <c r="E167"/>
      <c r="AE167" s="27" t="s">
        <v>8</v>
      </c>
      <c r="AF167" s="27" t="s">
        <v>7</v>
      </c>
      <c r="AG167" s="27" t="s">
        <v>8</v>
      </c>
      <c r="AH167" s="27" t="s">
        <v>7</v>
      </c>
      <c r="AI167" s="27" t="s">
        <v>8</v>
      </c>
      <c r="AJ167" s="27" t="s">
        <v>7</v>
      </c>
    </row>
    <row r="168" spans="1:37" x14ac:dyDescent="0.25">
      <c r="A168" s="30">
        <v>33.545134152904119</v>
      </c>
      <c r="E168"/>
      <c r="AE168" s="27" t="s">
        <v>8</v>
      </c>
      <c r="AF168" s="27" t="s">
        <v>7</v>
      </c>
      <c r="AH168" s="27" t="s">
        <v>7</v>
      </c>
      <c r="AI168" s="27" t="s">
        <v>8</v>
      </c>
    </row>
    <row r="169" spans="1:37" x14ac:dyDescent="0.25">
      <c r="A169" s="30">
        <v>31.947746812289637</v>
      </c>
      <c r="E169"/>
      <c r="AE169" s="27" t="s">
        <v>8</v>
      </c>
      <c r="AH169" s="27" t="s">
        <v>7</v>
      </c>
      <c r="AI169" s="27" t="s">
        <v>8</v>
      </c>
    </row>
    <row r="170" spans="1:37" x14ac:dyDescent="0.25">
      <c r="A170" s="30">
        <v>30.426425535513939</v>
      </c>
      <c r="E170"/>
      <c r="AE170" s="27" t="s">
        <v>8</v>
      </c>
      <c r="AH170" s="27" t="s">
        <v>7</v>
      </c>
      <c r="AI170" s="27" t="s">
        <v>8</v>
      </c>
    </row>
    <row r="171" spans="1:37" x14ac:dyDescent="0.25">
      <c r="A171" s="30">
        <v>28.977548129060892</v>
      </c>
      <c r="E171"/>
      <c r="AA171" s="27" t="s">
        <v>8</v>
      </c>
      <c r="AE171" s="27" t="s">
        <v>8</v>
      </c>
      <c r="AH171" s="27" t="s">
        <v>7</v>
      </c>
      <c r="AI171" s="27" t="s">
        <v>8</v>
      </c>
    </row>
    <row r="172" spans="1:37" x14ac:dyDescent="0.25">
      <c r="A172" s="30">
        <v>27.597664884819896</v>
      </c>
      <c r="E172"/>
      <c r="AA172" s="27" t="s">
        <v>8</v>
      </c>
      <c r="AB172" s="27" t="s">
        <v>7</v>
      </c>
      <c r="AE172" s="27" t="s">
        <v>8</v>
      </c>
      <c r="AH172" s="27" t="s">
        <v>7</v>
      </c>
    </row>
    <row r="173" spans="1:37" x14ac:dyDescent="0.25">
      <c r="A173" s="30">
        <v>26.283490366495137</v>
      </c>
      <c r="E173"/>
      <c r="AA173" s="27" t="s">
        <v>8</v>
      </c>
      <c r="AB173" s="27" t="s">
        <v>7</v>
      </c>
      <c r="AE173" s="27" t="s">
        <v>8</v>
      </c>
    </row>
    <row r="174" spans="1:37" x14ac:dyDescent="0.25">
      <c r="A174" s="30">
        <v>25.031895587138223</v>
      </c>
      <c r="E174"/>
      <c r="Y174" s="27" t="s">
        <v>8</v>
      </c>
      <c r="AA174" s="27" t="s">
        <v>8</v>
      </c>
      <c r="AB174" s="27" t="s">
        <v>7</v>
      </c>
      <c r="AC174" s="27" t="s">
        <v>8</v>
      </c>
      <c r="AE174" s="27" t="s">
        <v>8</v>
      </c>
    </row>
    <row r="175" spans="1:37" x14ac:dyDescent="0.25">
      <c r="A175" s="30">
        <v>23.839900559179259</v>
      </c>
      <c r="E175"/>
      <c r="Y175" s="27" t="s">
        <v>8</v>
      </c>
      <c r="Z175" s="27" t="s">
        <v>7</v>
      </c>
      <c r="AA175" s="27" t="s">
        <v>8</v>
      </c>
      <c r="AB175" s="27" t="s">
        <v>7</v>
      </c>
      <c r="AC175" s="27" t="s">
        <v>8</v>
      </c>
      <c r="AD175" s="27" t="s">
        <v>7</v>
      </c>
      <c r="AE175" s="27" t="s">
        <v>8</v>
      </c>
    </row>
    <row r="176" spans="1:37" x14ac:dyDescent="0.25">
      <c r="A176" s="30">
        <v>22.704667199218342</v>
      </c>
      <c r="E176"/>
      <c r="Y176" s="27" t="s">
        <v>8</v>
      </c>
      <c r="Z176" s="27" t="s">
        <v>7</v>
      </c>
      <c r="AA176" s="27" t="s">
        <v>8</v>
      </c>
      <c r="AB176" s="27" t="s">
        <v>7</v>
      </c>
      <c r="AC176" s="27" t="s">
        <v>8</v>
      </c>
      <c r="AD176" s="27" t="s">
        <v>7</v>
      </c>
      <c r="AE176" s="27" t="s">
        <v>8</v>
      </c>
    </row>
    <row r="177" spans="1:30" x14ac:dyDescent="0.25">
      <c r="A177" s="30">
        <v>21.623492570684135</v>
      </c>
      <c r="E177"/>
      <c r="Y177" s="27" t="s">
        <v>8</v>
      </c>
      <c r="Z177" s="27" t="s">
        <v>7</v>
      </c>
      <c r="AA177" s="27" t="s">
        <v>8</v>
      </c>
      <c r="AB177" s="27" t="s">
        <v>7</v>
      </c>
      <c r="AC177" s="27" t="s">
        <v>8</v>
      </c>
      <c r="AD177" s="27" t="s">
        <v>7</v>
      </c>
    </row>
    <row r="178" spans="1:30" x14ac:dyDescent="0.25">
      <c r="A178" s="30">
        <v>20.593802448270605</v>
      </c>
      <c r="C178" s="7"/>
      <c r="D178"/>
      <c r="E178"/>
      <c r="Y178" s="27" t="s">
        <v>8</v>
      </c>
      <c r="Z178" s="27" t="s">
        <v>7</v>
      </c>
      <c r="AB178" s="27" t="s">
        <v>7</v>
      </c>
    </row>
    <row r="179" spans="1:30" x14ac:dyDescent="0.25">
      <c r="A179" s="30">
        <v>19.613145188829147</v>
      </c>
      <c r="E179" t="s">
        <v>8</v>
      </c>
      <c r="Y179" s="27" t="s">
        <v>8</v>
      </c>
    </row>
    <row r="180" spans="1:30" x14ac:dyDescent="0.25">
      <c r="A180" s="30">
        <v>18.679185894122998</v>
      </c>
      <c r="E180" t="s">
        <v>8</v>
      </c>
      <c r="F180" s="27" t="s">
        <v>7</v>
      </c>
      <c r="Y180" s="27" t="s">
        <v>8</v>
      </c>
    </row>
    <row r="181" spans="1:30" x14ac:dyDescent="0.25">
      <c r="A181" s="30">
        <v>17.78970085154571</v>
      </c>
      <c r="C181"/>
      <c r="D181"/>
      <c r="E181" t="s">
        <v>8</v>
      </c>
      <c r="F181" s="27" t="s">
        <v>7</v>
      </c>
      <c r="Y181" s="27" t="s">
        <v>8</v>
      </c>
    </row>
    <row r="182" spans="1:30" x14ac:dyDescent="0.25">
      <c r="A182" s="30">
        <v>16.942572239567344</v>
      </c>
      <c r="E182" t="s">
        <v>8</v>
      </c>
      <c r="F182" s="27" t="s">
        <v>7</v>
      </c>
      <c r="Y182" s="27" t="s">
        <v>8</v>
      </c>
    </row>
    <row r="183" spans="1:30" x14ac:dyDescent="0.25">
      <c r="A183" s="30">
        <v>16.135783085302233</v>
      </c>
      <c r="E183" t="s">
        <v>8</v>
      </c>
      <c r="F183" s="27" t="s">
        <v>7</v>
      </c>
      <c r="Y183" s="27" t="s">
        <v>8</v>
      </c>
    </row>
    <row r="184" spans="1:30" x14ac:dyDescent="0.25">
      <c r="A184" s="30">
        <v>15.367412462192602</v>
      </c>
      <c r="E184" t="s">
        <v>8</v>
      </c>
      <c r="F184" s="27" t="s">
        <v>7</v>
      </c>
      <c r="G184" s="27" t="s">
        <v>8</v>
      </c>
      <c r="I184" s="27" t="s">
        <v>8</v>
      </c>
      <c r="Y184" s="27" t="s">
        <v>8</v>
      </c>
    </row>
    <row r="185" spans="1:30" x14ac:dyDescent="0.25">
      <c r="A185" s="30">
        <v>14.635630916373906</v>
      </c>
      <c r="C185"/>
      <c r="E185" t="s">
        <v>8</v>
      </c>
      <c r="F185" s="27" t="s">
        <v>7</v>
      </c>
      <c r="G185" s="27" t="s">
        <v>8</v>
      </c>
      <c r="H185" s="27" t="s">
        <v>7</v>
      </c>
      <c r="I185" s="27" t="s">
        <v>8</v>
      </c>
      <c r="J185" s="27" t="s">
        <v>7</v>
      </c>
      <c r="K185" s="27" t="s">
        <v>8</v>
      </c>
      <c r="W185" s="27" t="s">
        <v>8</v>
      </c>
      <c r="Y185" s="27" t="s">
        <v>8</v>
      </c>
    </row>
    <row r="186" spans="1:30" x14ac:dyDescent="0.25">
      <c r="A186" s="30">
        <v>13.938696110832291</v>
      </c>
      <c r="E186" t="s">
        <v>8</v>
      </c>
      <c r="F186" s="27" t="s">
        <v>7</v>
      </c>
      <c r="G186" s="27" t="s">
        <v>8</v>
      </c>
      <c r="H186" s="27" t="s">
        <v>7</v>
      </c>
      <c r="I186" s="27" t="s">
        <v>8</v>
      </c>
      <c r="J186" s="27" t="s">
        <v>7</v>
      </c>
      <c r="K186" s="27" t="s">
        <v>8</v>
      </c>
      <c r="L186" s="27" t="s">
        <v>7</v>
      </c>
      <c r="W186" s="27" t="s">
        <v>8</v>
      </c>
      <c r="X186" s="27" t="s">
        <v>7</v>
      </c>
      <c r="Y186" s="27" t="s">
        <v>8</v>
      </c>
    </row>
    <row r="187" spans="1:30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F187" s="27" t="s">
        <v>7</v>
      </c>
      <c r="G187" s="27" t="s">
        <v>8</v>
      </c>
      <c r="H187" s="27" t="s">
        <v>7</v>
      </c>
      <c r="I187" s="27" t="s">
        <v>8</v>
      </c>
      <c r="J187" s="27" t="s">
        <v>7</v>
      </c>
      <c r="K187" s="27" t="s">
        <v>8</v>
      </c>
      <c r="L187" s="27" t="s">
        <v>7</v>
      </c>
      <c r="W187" s="27" t="s">
        <v>8</v>
      </c>
      <c r="X187" s="27" t="s">
        <v>7</v>
      </c>
      <c r="Y187" s="27" t="s">
        <v>8</v>
      </c>
    </row>
    <row r="188" spans="1:30" x14ac:dyDescent="0.25">
      <c r="A188" s="30">
        <v>12.64280826379346</v>
      </c>
      <c r="E188" t="s">
        <v>8</v>
      </c>
      <c r="F188" s="27" t="s">
        <v>7</v>
      </c>
      <c r="G188" s="27" t="s">
        <v>8</v>
      </c>
      <c r="H188" s="27" t="s">
        <v>7</v>
      </c>
      <c r="I188" s="27" t="s">
        <v>8</v>
      </c>
      <c r="J188" s="27" t="s">
        <v>7</v>
      </c>
      <c r="L188" s="27" t="s">
        <v>7</v>
      </c>
      <c r="W188" s="27" t="s">
        <v>8</v>
      </c>
      <c r="X188" s="27" t="s">
        <v>7</v>
      </c>
    </row>
    <row r="189" spans="1:30" x14ac:dyDescent="0.25">
      <c r="A189" s="30">
        <v>12.04076977504139</v>
      </c>
      <c r="E189" t="s">
        <v>8</v>
      </c>
      <c r="F189" s="27" t="s">
        <v>7</v>
      </c>
      <c r="G189" s="27" t="s">
        <v>8</v>
      </c>
      <c r="H189" s="27" t="s">
        <v>7</v>
      </c>
      <c r="L189" s="27" t="s">
        <v>7</v>
      </c>
      <c r="W189" s="27" t="s">
        <v>8</v>
      </c>
    </row>
    <row r="190" spans="1:30" x14ac:dyDescent="0.25">
      <c r="A190" s="30">
        <v>11.467399785753704</v>
      </c>
      <c r="E190" t="s">
        <v>8</v>
      </c>
      <c r="F190" s="27" t="s">
        <v>7</v>
      </c>
      <c r="G190" s="27" t="s">
        <v>8</v>
      </c>
      <c r="L190" s="27" t="s">
        <v>7</v>
      </c>
      <c r="W190" s="27" t="s">
        <v>8</v>
      </c>
    </row>
    <row r="191" spans="1:30" x14ac:dyDescent="0.25">
      <c r="A191" s="30">
        <v>10.921333129289241</v>
      </c>
      <c r="E191" t="s">
        <v>8</v>
      </c>
      <c r="F191" s="27" t="s">
        <v>7</v>
      </c>
      <c r="G191" s="27" t="s">
        <v>8</v>
      </c>
      <c r="L191" s="27" t="s">
        <v>7</v>
      </c>
      <c r="M191" s="27" t="s">
        <v>8</v>
      </c>
      <c r="W191" s="27" t="s">
        <v>8</v>
      </c>
    </row>
    <row r="192" spans="1:30" x14ac:dyDescent="0.25">
      <c r="A192" s="30">
        <v>10.401269646942135</v>
      </c>
      <c r="E192" t="s">
        <v>8</v>
      </c>
      <c r="F192" s="27" t="s">
        <v>7</v>
      </c>
      <c r="L192" s="27" t="s">
        <v>7</v>
      </c>
      <c r="M192" s="27" t="s">
        <v>8</v>
      </c>
      <c r="N192" s="27" t="s">
        <v>7</v>
      </c>
      <c r="W192" s="27" t="s">
        <v>8</v>
      </c>
    </row>
    <row r="193" spans="1:23" x14ac:dyDescent="0.25">
      <c r="A193" s="30">
        <v>9.9059710923258422</v>
      </c>
      <c r="E193" t="s">
        <v>8</v>
      </c>
      <c r="L193" s="27" t="s">
        <v>7</v>
      </c>
      <c r="M193" s="27" t="s">
        <v>8</v>
      </c>
      <c r="N193" s="27" t="s">
        <v>7</v>
      </c>
      <c r="Q193" s="27" t="s">
        <v>8</v>
      </c>
      <c r="U193" s="27" t="s">
        <v>8</v>
      </c>
      <c r="W193" s="27" t="s">
        <v>8</v>
      </c>
    </row>
    <row r="194" spans="1:23" x14ac:dyDescent="0.25">
      <c r="A194" s="30">
        <v>9.4342581831674686</v>
      </c>
      <c r="E194" t="s">
        <v>8</v>
      </c>
      <c r="L194" s="27" t="s">
        <v>7</v>
      </c>
      <c r="M194" s="27" t="s">
        <v>8</v>
      </c>
      <c r="N194" s="27" t="s">
        <v>7</v>
      </c>
      <c r="Q194" s="27" t="s">
        <v>8</v>
      </c>
      <c r="R194" s="27" t="s">
        <v>7</v>
      </c>
      <c r="U194" s="27" t="s">
        <v>8</v>
      </c>
      <c r="V194" s="27" t="s">
        <v>7</v>
      </c>
      <c r="W194" s="27" t="s">
        <v>8</v>
      </c>
    </row>
    <row r="195" spans="1:23" x14ac:dyDescent="0.25">
      <c r="A195" s="30">
        <v>8.9850077934928265</v>
      </c>
      <c r="E195" t="s">
        <v>8</v>
      </c>
      <c r="L195" s="27" t="s">
        <v>7</v>
      </c>
      <c r="M195" s="27" t="s">
        <v>8</v>
      </c>
      <c r="N195" s="27" t="s">
        <v>7</v>
      </c>
      <c r="Q195" s="27" t="s">
        <v>8</v>
      </c>
      <c r="R195" s="27" t="s">
        <v>7</v>
      </c>
      <c r="U195" s="27" t="s">
        <v>8</v>
      </c>
      <c r="V195" s="27" t="s">
        <v>7</v>
      </c>
      <c r="W195" s="27" t="s">
        <v>8</v>
      </c>
    </row>
    <row r="196" spans="1:23" x14ac:dyDescent="0.25">
      <c r="A196" s="30">
        <v>8.5571502795169767</v>
      </c>
      <c r="E196" t="s">
        <v>8</v>
      </c>
      <c r="L196" s="27" t="s">
        <v>7</v>
      </c>
      <c r="N196" s="27" t="s">
        <v>7</v>
      </c>
      <c r="Q196" s="27" t="s">
        <v>8</v>
      </c>
      <c r="R196" s="27" t="s">
        <v>7</v>
      </c>
      <c r="S196" s="27" t="s">
        <v>8</v>
      </c>
      <c r="U196" s="27" t="s">
        <v>8</v>
      </c>
      <c r="V196" s="27" t="s">
        <v>7</v>
      </c>
    </row>
    <row r="197" spans="1:23" x14ac:dyDescent="0.25">
      <c r="A197" s="30">
        <v>8.1496669328733109</v>
      </c>
      <c r="E197" t="s">
        <v>8</v>
      </c>
      <c r="N197" s="27" t="s">
        <v>7</v>
      </c>
      <c r="O197" s="27" t="s">
        <v>8</v>
      </c>
      <c r="Q197" s="27" t="s">
        <v>8</v>
      </c>
      <c r="R197" s="27" t="s">
        <v>7</v>
      </c>
      <c r="S197" s="27" t="s">
        <v>8</v>
      </c>
      <c r="T197" s="27" t="s">
        <v>7</v>
      </c>
      <c r="U197" s="27" t="s">
        <v>8</v>
      </c>
    </row>
    <row r="198" spans="1:23" x14ac:dyDescent="0.25">
      <c r="A198" s="30">
        <v>7.7615875551174378</v>
      </c>
      <c r="E198" t="s">
        <v>8</v>
      </c>
      <c r="N198" s="27" t="s">
        <v>7</v>
      </c>
      <c r="O198" s="27" t="s">
        <v>8</v>
      </c>
      <c r="P198" s="27" t="s">
        <v>7</v>
      </c>
      <c r="Q198" s="27" t="s">
        <v>8</v>
      </c>
      <c r="R198" s="27" t="s">
        <v>7</v>
      </c>
      <c r="S198" s="27" t="s">
        <v>8</v>
      </c>
      <c r="T198" s="27" t="s">
        <v>7</v>
      </c>
      <c r="U198" s="27" t="s">
        <v>8</v>
      </c>
    </row>
    <row r="199" spans="1:23" x14ac:dyDescent="0.25">
      <c r="A199" s="30">
        <v>7.3919881477308929</v>
      </c>
      <c r="E199" t="s">
        <v>8</v>
      </c>
      <c r="N199" s="27" t="s">
        <v>7</v>
      </c>
      <c r="O199" s="27" t="s">
        <v>8</v>
      </c>
      <c r="P199" s="27" t="s">
        <v>7</v>
      </c>
      <c r="Q199" s="27" t="s">
        <v>8</v>
      </c>
      <c r="R199" s="27" t="s">
        <v>7</v>
      </c>
      <c r="S199" s="27" t="s">
        <v>8</v>
      </c>
      <c r="T199" s="27" t="s">
        <v>7</v>
      </c>
    </row>
    <row r="200" spans="1:23" x14ac:dyDescent="0.25">
      <c r="A200" s="30">
        <v>7.0399887121246598</v>
      </c>
      <c r="E200" t="s">
        <v>8</v>
      </c>
      <c r="N200" s="27" t="s">
        <v>7</v>
      </c>
      <c r="O200" s="27" t="s">
        <v>8</v>
      </c>
      <c r="P200" s="27" t="s">
        <v>7</v>
      </c>
      <c r="Q200" s="27" t="s">
        <v>8</v>
      </c>
      <c r="R200" s="27" t="s">
        <v>7</v>
      </c>
    </row>
    <row r="201" spans="1:23" x14ac:dyDescent="0.25">
      <c r="A201" s="30">
        <v>6.7047511544044376</v>
      </c>
      <c r="E201" t="s">
        <v>8</v>
      </c>
      <c r="N201" s="27" t="s">
        <v>7</v>
      </c>
      <c r="P201" s="27" t="s">
        <v>7</v>
      </c>
      <c r="Q201" s="27" t="s">
        <v>8</v>
      </c>
    </row>
    <row r="202" spans="1:23" x14ac:dyDescent="0.25">
      <c r="A202" s="30">
        <v>6.3854772899089882</v>
      </c>
      <c r="E202" t="s">
        <v>8</v>
      </c>
      <c r="P202" s="27" t="s">
        <v>7</v>
      </c>
      <c r="Q202" s="27" t="s">
        <v>8</v>
      </c>
    </row>
    <row r="203" spans="1:23" x14ac:dyDescent="0.25">
      <c r="A203" s="30">
        <v>6.0814069427704647</v>
      </c>
      <c r="C203" s="7"/>
      <c r="D203"/>
      <c r="E203" t="s">
        <v>8</v>
      </c>
      <c r="P203" s="27" t="s">
        <v>7</v>
      </c>
    </row>
    <row r="204" spans="1:23" x14ac:dyDescent="0.25">
      <c r="A204" s="30">
        <v>5.7918161359718709</v>
      </c>
      <c r="E204" t="s">
        <v>8</v>
      </c>
    </row>
    <row r="205" spans="1:23" x14ac:dyDescent="0.25">
      <c r="A205" s="30">
        <v>5.5160153675922574</v>
      </c>
      <c r="E205" t="s">
        <v>8</v>
      </c>
    </row>
    <row r="206" spans="1:23" x14ac:dyDescent="0.25">
      <c r="A206" s="30">
        <v>5.2533479691354827</v>
      </c>
      <c r="C206"/>
      <c r="D206"/>
      <c r="E206" t="s">
        <v>8</v>
      </c>
    </row>
    <row r="207" spans="1:23" x14ac:dyDescent="0.25">
      <c r="A207" s="30">
        <v>5.0031885420337927</v>
      </c>
      <c r="E207" t="s">
        <v>8</v>
      </c>
    </row>
    <row r="208" spans="1:23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32" operator="equal">
      <formula>$U$1</formula>
    </cfRule>
    <cfRule type="cellIs" dxfId="67" priority="933" operator="equal">
      <formula>$S$1</formula>
    </cfRule>
  </conditionalFormatting>
  <conditionalFormatting sqref="D136">
    <cfRule type="cellIs" dxfId="66" priority="930" operator="equal">
      <formula>$S$1</formula>
    </cfRule>
    <cfRule type="cellIs" dxfId="65" priority="931" operator="equal">
      <formula>$U$1</formula>
    </cfRule>
  </conditionalFormatting>
  <conditionalFormatting sqref="C162">
    <cfRule type="cellIs" dxfId="64" priority="928" operator="equal">
      <formula>$U$1</formula>
    </cfRule>
    <cfRule type="cellIs" dxfId="63" priority="929" operator="equal">
      <formula>$S$1</formula>
    </cfRule>
  </conditionalFormatting>
  <conditionalFormatting sqref="D162">
    <cfRule type="cellIs" dxfId="62" priority="926" operator="equal">
      <formula>$S$1</formula>
    </cfRule>
    <cfRule type="cellIs" dxfId="61" priority="927" operator="equal">
      <formula>$U$1</formula>
    </cfRule>
  </conditionalFormatting>
  <conditionalFormatting sqref="C187">
    <cfRule type="cellIs" dxfId="60" priority="924" operator="equal">
      <formula>$U$1</formula>
    </cfRule>
    <cfRule type="cellIs" dxfId="59" priority="925" operator="equal">
      <formula>$S$1</formula>
    </cfRule>
  </conditionalFormatting>
  <conditionalFormatting sqref="D187">
    <cfRule type="cellIs" dxfId="58" priority="922" operator="equal">
      <formula>$S$1</formula>
    </cfRule>
    <cfRule type="cellIs" dxfId="57" priority="923" operator="equal">
      <formula>$U$1</formula>
    </cfRule>
  </conditionalFormatting>
  <conditionalFormatting sqref="C212">
    <cfRule type="cellIs" dxfId="56" priority="920" operator="equal">
      <formula>$U$1</formula>
    </cfRule>
    <cfRule type="cellIs" dxfId="55" priority="921" operator="equal">
      <formula>$S$1</formula>
    </cfRule>
  </conditionalFormatting>
  <conditionalFormatting sqref="D212">
    <cfRule type="cellIs" dxfId="54" priority="918" operator="equal">
      <formula>$S$1</formula>
    </cfRule>
    <cfRule type="cellIs" dxfId="53" priority="919" operator="equal">
      <formula>$U$1</formula>
    </cfRule>
  </conditionalFormatting>
  <conditionalFormatting sqref="C237">
    <cfRule type="cellIs" dxfId="52" priority="916" operator="equal">
      <formula>$U$1</formula>
    </cfRule>
    <cfRule type="cellIs" dxfId="51" priority="917" operator="equal">
      <formula>$S$1</formula>
    </cfRule>
  </conditionalFormatting>
  <conditionalFormatting sqref="D237">
    <cfRule type="cellIs" dxfId="50" priority="914" operator="equal">
      <formula>$S$1</formula>
    </cfRule>
    <cfRule type="cellIs" dxfId="49" priority="915" operator="equal">
      <formula>$U$1</formula>
    </cfRule>
  </conditionalFormatting>
  <conditionalFormatting sqref="C106">
    <cfRule type="cellIs" dxfId="48" priority="912" operator="equal">
      <formula>$U$1</formula>
    </cfRule>
    <cfRule type="cellIs" dxfId="47" priority="913" operator="equal">
      <formula>$S$1</formula>
    </cfRule>
  </conditionalFormatting>
  <conditionalFormatting sqref="D106">
    <cfRule type="cellIs" dxfId="46" priority="910" operator="equal">
      <formula>$S$1</formula>
    </cfRule>
    <cfRule type="cellIs" dxfId="45" priority="911" operator="equal">
      <formula>$U$1</formula>
    </cfRule>
  </conditionalFormatting>
  <conditionalFormatting sqref="C81">
    <cfRule type="cellIs" dxfId="44" priority="908" operator="equal">
      <formula>$U$1</formula>
    </cfRule>
    <cfRule type="cellIs" dxfId="43" priority="909" operator="equal">
      <formula>$S$1</formula>
    </cfRule>
  </conditionalFormatting>
  <conditionalFormatting sqref="D81">
    <cfRule type="cellIs" dxfId="42" priority="906" operator="equal">
      <formula>$S$1</formula>
    </cfRule>
    <cfRule type="cellIs" dxfId="41" priority="907" operator="equal">
      <formula>$U$1</formula>
    </cfRule>
  </conditionalFormatting>
  <conditionalFormatting sqref="C56">
    <cfRule type="cellIs" dxfId="40" priority="904" operator="equal">
      <formula>$U$1</formula>
    </cfRule>
    <cfRule type="cellIs" dxfId="39" priority="905" operator="equal">
      <formula>$S$1</formula>
    </cfRule>
  </conditionalFormatting>
  <conditionalFormatting sqref="D56">
    <cfRule type="cellIs" dxfId="38" priority="902" operator="equal">
      <formula>$S$1</formula>
    </cfRule>
    <cfRule type="cellIs" dxfId="37" priority="903" operator="equal">
      <formula>$U$1</formula>
    </cfRule>
  </conditionalFormatting>
  <conditionalFormatting sqref="C31">
    <cfRule type="cellIs" dxfId="36" priority="900" operator="equal">
      <formula>$U$1</formula>
    </cfRule>
    <cfRule type="cellIs" dxfId="35" priority="901" operator="equal">
      <formula>$S$1</formula>
    </cfRule>
  </conditionalFormatting>
  <conditionalFormatting sqref="D31">
    <cfRule type="cellIs" dxfId="34" priority="898" operator="equal">
      <formula>$S$1</formula>
    </cfRule>
    <cfRule type="cellIs" dxfId="33" priority="89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49" zoomScale="90" zoomScaleNormal="90" workbookViewId="0">
      <pane xSplit="4" topLeftCell="G1" activePane="topRight" state="frozen"/>
      <selection activeCell="A109" sqref="A109"/>
      <selection pane="topRight" activeCell="AO68" sqref="AO6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41" x14ac:dyDescent="0.25">
      <c r="A49" s="30">
        <v>955.59381772732638</v>
      </c>
      <c r="C49" s="1">
        <f>C38</f>
        <v>0</v>
      </c>
      <c r="E49"/>
    </row>
    <row r="50" spans="1:41" x14ac:dyDescent="0.25">
      <c r="A50" s="30">
        <v>868.72165247938756</v>
      </c>
      <c r="C50"/>
      <c r="D50"/>
      <c r="E50"/>
    </row>
    <row r="51" spans="1:41" x14ac:dyDescent="0.25">
      <c r="A51" s="30">
        <v>789.74695679944318</v>
      </c>
      <c r="C51" s="1" t="s">
        <v>14</v>
      </c>
      <c r="E51"/>
    </row>
    <row r="52" spans="1:41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41" x14ac:dyDescent="0.25">
      <c r="A53" s="30">
        <v>652.68343537144051</v>
      </c>
      <c r="E53"/>
    </row>
    <row r="54" spans="1:41" x14ac:dyDescent="0.25">
      <c r="A54" s="30">
        <v>593.34857761040041</v>
      </c>
      <c r="E54"/>
    </row>
    <row r="55" spans="1:41" x14ac:dyDescent="0.25">
      <c r="A55" s="30">
        <v>539.40779782763673</v>
      </c>
      <c r="E55"/>
      <c r="AI55" s="31" t="s">
        <v>8</v>
      </c>
    </row>
    <row r="56" spans="1:41" x14ac:dyDescent="0.25">
      <c r="A56" s="30">
        <v>490.37072529785149</v>
      </c>
      <c r="E56"/>
      <c r="AI56" s="27" t="s">
        <v>8</v>
      </c>
      <c r="AJ56" s="31" t="s">
        <v>7</v>
      </c>
    </row>
    <row r="57" spans="1:41" x14ac:dyDescent="0.25">
      <c r="A57" s="30">
        <v>445.79156845259223</v>
      </c>
      <c r="E57"/>
      <c r="AI57" s="27" t="s">
        <v>8</v>
      </c>
      <c r="AJ57" s="27" t="s">
        <v>7</v>
      </c>
      <c r="AK57" s="31"/>
    </row>
    <row r="58" spans="1:41" x14ac:dyDescent="0.25">
      <c r="A58" s="30">
        <v>405.26506222962928</v>
      </c>
      <c r="E58"/>
      <c r="AI58" s="27" t="s">
        <v>8</v>
      </c>
      <c r="AJ58" s="27" t="s">
        <v>7</v>
      </c>
      <c r="AL58" s="31"/>
    </row>
    <row r="59" spans="1:41" x14ac:dyDescent="0.25">
      <c r="A59" s="30">
        <v>368.42278384511752</v>
      </c>
      <c r="E59"/>
      <c r="AI59" s="27" t="s">
        <v>8</v>
      </c>
      <c r="AJ59" s="27" t="s">
        <v>7</v>
      </c>
      <c r="AM59" s="31"/>
    </row>
    <row r="60" spans="1:41" x14ac:dyDescent="0.25">
      <c r="A60" s="30">
        <v>334.92980349556137</v>
      </c>
      <c r="E60"/>
      <c r="AI60" s="27" t="s">
        <v>8</v>
      </c>
      <c r="AJ60" s="27" t="s">
        <v>7</v>
      </c>
      <c r="AM60" s="27" t="s">
        <v>8</v>
      </c>
      <c r="AN60" s="31"/>
    </row>
    <row r="61" spans="1:41" x14ac:dyDescent="0.25">
      <c r="A61" s="30">
        <v>304.48163954141938</v>
      </c>
      <c r="E61"/>
      <c r="AI61" s="27" t="s">
        <v>8</v>
      </c>
      <c r="AJ61" s="27" t="s">
        <v>7</v>
      </c>
      <c r="AK61" s="27" t="s">
        <v>8</v>
      </c>
      <c r="AM61" s="27" t="s">
        <v>8</v>
      </c>
      <c r="AN61" s="27" t="s">
        <v>7</v>
      </c>
      <c r="AO61" s="31"/>
    </row>
    <row r="62" spans="1:41" x14ac:dyDescent="0.25">
      <c r="A62" s="30">
        <v>276.80149049219943</v>
      </c>
      <c r="E62"/>
      <c r="AG62" s="27" t="s">
        <v>8</v>
      </c>
      <c r="AI62" s="27" t="s">
        <v>8</v>
      </c>
      <c r="AJ62" s="27" t="s">
        <v>7</v>
      </c>
      <c r="AK62" s="27" t="s">
        <v>8</v>
      </c>
      <c r="AL62" s="27" t="s">
        <v>7</v>
      </c>
      <c r="AM62" s="27" t="s">
        <v>8</v>
      </c>
      <c r="AN62" s="27" t="s">
        <v>7</v>
      </c>
    </row>
    <row r="63" spans="1:41" x14ac:dyDescent="0.25">
      <c r="A63" s="30">
        <v>251.63771862927217</v>
      </c>
      <c r="E63"/>
      <c r="AG63" s="27" t="s">
        <v>8</v>
      </c>
      <c r="AH63" s="27" t="s">
        <v>7</v>
      </c>
      <c r="AI63" s="27" t="s">
        <v>8</v>
      </c>
      <c r="AJ63" s="27" t="s">
        <v>7</v>
      </c>
      <c r="AK63" s="27" t="s">
        <v>8</v>
      </c>
      <c r="AL63" s="27" t="s">
        <v>7</v>
      </c>
      <c r="AM63" s="27" t="s">
        <v>8</v>
      </c>
      <c r="AN63" s="27" t="s">
        <v>7</v>
      </c>
    </row>
    <row r="64" spans="1:41" x14ac:dyDescent="0.25">
      <c r="A64" s="30">
        <v>228.76156239024741</v>
      </c>
      <c r="E64"/>
      <c r="U64" s="27" t="s">
        <v>8</v>
      </c>
      <c r="AG64" s="27" t="s">
        <v>8</v>
      </c>
      <c r="AH64" s="27" t="s">
        <v>7</v>
      </c>
      <c r="AI64" s="27" t="s">
        <v>8</v>
      </c>
      <c r="AJ64" s="27" t="s">
        <v>7</v>
      </c>
      <c r="AL64" s="27" t="s">
        <v>7</v>
      </c>
      <c r="AN64" s="27" t="s">
        <v>7</v>
      </c>
    </row>
    <row r="65" spans="1:41" x14ac:dyDescent="0.25">
      <c r="A65" s="30">
        <v>207.96505671840671</v>
      </c>
      <c r="E65"/>
      <c r="O65" s="27" t="s">
        <v>8</v>
      </c>
      <c r="U65" s="27" t="s">
        <v>8</v>
      </c>
      <c r="V65" s="27" t="s">
        <v>7</v>
      </c>
      <c r="AG65" s="27" t="s">
        <v>8</v>
      </c>
      <c r="AH65" s="27" t="s">
        <v>7</v>
      </c>
      <c r="AI65" s="27" t="s">
        <v>8</v>
      </c>
      <c r="AN65" s="27" t="s">
        <v>7</v>
      </c>
    </row>
    <row r="66" spans="1:41" x14ac:dyDescent="0.25">
      <c r="A66" s="30">
        <v>189.05914247127882</v>
      </c>
      <c r="E66"/>
      <c r="O66" s="27" t="s">
        <v>8</v>
      </c>
      <c r="P66" s="27" t="s">
        <v>7</v>
      </c>
      <c r="U66" s="27" t="s">
        <v>8</v>
      </c>
      <c r="V66" s="27" t="s">
        <v>7</v>
      </c>
      <c r="W66" s="34" t="s">
        <v>8</v>
      </c>
      <c r="Y66" s="34" t="s">
        <v>8</v>
      </c>
      <c r="AG66" s="27" t="s">
        <v>8</v>
      </c>
      <c r="AH66" s="27" t="s">
        <v>7</v>
      </c>
      <c r="AI66" s="27" t="s">
        <v>8</v>
      </c>
      <c r="AN66" s="27" t="s">
        <v>7</v>
      </c>
    </row>
    <row r="67" spans="1:41" x14ac:dyDescent="0.25">
      <c r="A67" s="30">
        <v>171.87194770116255</v>
      </c>
      <c r="C67" s="1" t="s">
        <v>15</v>
      </c>
      <c r="E67"/>
      <c r="O67" s="27" t="s">
        <v>8</v>
      </c>
      <c r="P67" s="27" t="s">
        <v>7</v>
      </c>
      <c r="U67" s="27" t="s">
        <v>8</v>
      </c>
      <c r="V67" s="27" t="s">
        <v>7</v>
      </c>
      <c r="W67" s="27" t="s">
        <v>8</v>
      </c>
      <c r="X67" s="27" t="s">
        <v>7</v>
      </c>
      <c r="Y67" s="27" t="s">
        <v>8</v>
      </c>
      <c r="Z67" s="27" t="s">
        <v>7</v>
      </c>
      <c r="AG67" s="27" t="s">
        <v>8</v>
      </c>
      <c r="AH67" s="27" t="s">
        <v>7</v>
      </c>
      <c r="AN67" s="27" t="s">
        <v>7</v>
      </c>
    </row>
    <row r="68" spans="1:41" x14ac:dyDescent="0.25">
      <c r="A68" s="30">
        <v>156.24722518287504</v>
      </c>
      <c r="C68" s="7">
        <v>0.11167815779424731</v>
      </c>
      <c r="D68"/>
      <c r="E68"/>
      <c r="O68" s="27" t="s">
        <v>8</v>
      </c>
      <c r="P68" s="27" t="s">
        <v>7</v>
      </c>
      <c r="Q68" s="27" t="s">
        <v>8</v>
      </c>
      <c r="S68" s="27" t="s">
        <v>8</v>
      </c>
      <c r="U68" s="27" t="s">
        <v>8</v>
      </c>
      <c r="V68" s="27" t="s">
        <v>7</v>
      </c>
      <c r="W68" s="27" t="s">
        <v>8</v>
      </c>
      <c r="X68" s="27" t="s">
        <v>7</v>
      </c>
      <c r="Y68" s="27" t="s">
        <v>8</v>
      </c>
      <c r="Z68" s="27" t="s">
        <v>7</v>
      </c>
      <c r="AG68" s="27" t="s">
        <v>8</v>
      </c>
      <c r="AN68" s="27" t="s">
        <v>7</v>
      </c>
      <c r="AO68" s="27" t="s">
        <v>8</v>
      </c>
    </row>
    <row r="69" spans="1:41" x14ac:dyDescent="0.25">
      <c r="A69" s="30">
        <v>142.04293198443185</v>
      </c>
      <c r="E69"/>
      <c r="O69" s="27" t="s">
        <v>8</v>
      </c>
      <c r="P69" s="27" t="s">
        <v>7</v>
      </c>
      <c r="Q69" s="27" t="s">
        <v>8</v>
      </c>
      <c r="R69" s="27" t="s">
        <v>7</v>
      </c>
      <c r="S69" s="27" t="s">
        <v>8</v>
      </c>
      <c r="T69" s="27" t="s">
        <v>7</v>
      </c>
      <c r="U69" s="27" t="s">
        <v>8</v>
      </c>
      <c r="V69" s="27" t="s">
        <v>7</v>
      </c>
      <c r="W69" s="27" t="s">
        <v>8</v>
      </c>
      <c r="X69" s="27" t="s">
        <v>7</v>
      </c>
      <c r="Z69" s="27" t="s">
        <v>7</v>
      </c>
      <c r="AG69" s="27" t="s">
        <v>8</v>
      </c>
      <c r="AN69" s="27" t="s">
        <v>7</v>
      </c>
      <c r="AO69" s="31" t="s">
        <v>8</v>
      </c>
    </row>
    <row r="70" spans="1:41" x14ac:dyDescent="0.25">
      <c r="A70" s="30">
        <v>129.1299381676653</v>
      </c>
      <c r="C70" s="1" t="s">
        <v>11</v>
      </c>
      <c r="D70" s="1" t="s">
        <v>12</v>
      </c>
      <c r="E70"/>
      <c r="O70" s="27" t="s">
        <v>8</v>
      </c>
      <c r="P70" s="27" t="s">
        <v>7</v>
      </c>
      <c r="Q70" s="27" t="s">
        <v>8</v>
      </c>
      <c r="R70" s="27" t="s">
        <v>7</v>
      </c>
      <c r="S70" s="27" t="s">
        <v>8</v>
      </c>
      <c r="T70" s="27" t="s">
        <v>7</v>
      </c>
      <c r="U70" s="27" t="s">
        <v>8</v>
      </c>
      <c r="V70" s="27" t="s">
        <v>7</v>
      </c>
      <c r="Z70" s="27" t="s">
        <v>7</v>
      </c>
      <c r="AG70" s="27" t="s">
        <v>8</v>
      </c>
      <c r="AN70" s="31" t="s">
        <v>7</v>
      </c>
      <c r="AO70" s="27" t="s">
        <v>8</v>
      </c>
    </row>
    <row r="71" spans="1:41" x14ac:dyDescent="0.25">
      <c r="A71" s="30">
        <v>117.39085287969573</v>
      </c>
      <c r="C71"/>
      <c r="D71"/>
      <c r="E71"/>
      <c r="O71" s="27" t="s">
        <v>8</v>
      </c>
      <c r="P71" s="27" t="s">
        <v>7</v>
      </c>
      <c r="Q71" s="27" t="s">
        <v>8</v>
      </c>
      <c r="R71" s="27" t="s">
        <v>7</v>
      </c>
      <c r="S71" s="27" t="s">
        <v>8</v>
      </c>
      <c r="T71" s="27" t="s">
        <v>7</v>
      </c>
      <c r="Z71" s="27" t="s">
        <v>7</v>
      </c>
      <c r="AA71" s="34" t="s">
        <v>8</v>
      </c>
      <c r="AC71" s="34" t="s">
        <v>8</v>
      </c>
      <c r="AG71" s="33" t="s">
        <v>8</v>
      </c>
      <c r="AM71" s="31"/>
      <c r="AN71" s="27" t="s">
        <v>7</v>
      </c>
    </row>
    <row r="72" spans="1:41" x14ac:dyDescent="0.25">
      <c r="A72" s="30">
        <v>106.71895716335975</v>
      </c>
      <c r="E72"/>
      <c r="O72" s="27" t="s">
        <v>8</v>
      </c>
      <c r="P72" s="27" t="s">
        <v>7</v>
      </c>
      <c r="Q72" s="27" t="s">
        <v>8</v>
      </c>
      <c r="R72" s="27" t="s">
        <v>7</v>
      </c>
      <c r="S72" s="27" t="s">
        <v>8</v>
      </c>
      <c r="Z72" s="27" t="s">
        <v>7</v>
      </c>
      <c r="AA72" s="27" t="s">
        <v>8</v>
      </c>
      <c r="AB72" s="27" t="s">
        <v>7</v>
      </c>
      <c r="AC72" s="27" t="s">
        <v>8</v>
      </c>
      <c r="AD72" s="27" t="s">
        <v>7</v>
      </c>
      <c r="AE72" s="27" t="s">
        <v>8</v>
      </c>
      <c r="AG72" s="27" t="s">
        <v>8</v>
      </c>
      <c r="AL72" s="31"/>
    </row>
    <row r="73" spans="1:41" x14ac:dyDescent="0.25">
      <c r="A73" s="30">
        <v>97.017233784872488</v>
      </c>
      <c r="C73" s="1" t="s">
        <v>13</v>
      </c>
      <c r="E73"/>
      <c r="O73" s="27" t="s">
        <v>8</v>
      </c>
      <c r="P73" s="27" t="s">
        <v>7</v>
      </c>
      <c r="Q73" s="27" t="s">
        <v>8</v>
      </c>
      <c r="R73" s="27" t="s">
        <v>7</v>
      </c>
      <c r="Z73" s="27" t="s">
        <v>7</v>
      </c>
      <c r="AA73" s="27" t="s">
        <v>8</v>
      </c>
      <c r="AB73" s="27" t="s">
        <v>7</v>
      </c>
      <c r="AC73" s="27" t="s">
        <v>8</v>
      </c>
      <c r="AD73" s="27" t="s">
        <v>7</v>
      </c>
      <c r="AE73" s="27" t="s">
        <v>8</v>
      </c>
      <c r="AF73" s="27" t="s">
        <v>7</v>
      </c>
      <c r="AG73" s="27" t="s">
        <v>8</v>
      </c>
      <c r="AK73" s="31"/>
    </row>
    <row r="74" spans="1:41" x14ac:dyDescent="0.25">
      <c r="A74" s="30">
        <v>88.197485258974979</v>
      </c>
      <c r="C74" s="1">
        <f>C63</f>
        <v>0</v>
      </c>
      <c r="E74"/>
      <c r="O74" s="27" t="s">
        <v>8</v>
      </c>
      <c r="P74" s="27" t="s">
        <v>7</v>
      </c>
      <c r="Q74" s="27" t="s">
        <v>8</v>
      </c>
      <c r="Z74" s="27" t="s">
        <v>7</v>
      </c>
      <c r="AA74" s="27" t="s">
        <v>8</v>
      </c>
      <c r="AB74" s="27" t="s">
        <v>7</v>
      </c>
      <c r="AC74" s="27" t="s">
        <v>8</v>
      </c>
      <c r="AD74" s="27" t="s">
        <v>7</v>
      </c>
      <c r="AE74" s="27" t="s">
        <v>8</v>
      </c>
      <c r="AF74" s="27" t="s">
        <v>7</v>
      </c>
      <c r="AG74" s="27" t="s">
        <v>8</v>
      </c>
      <c r="AJ74" s="31"/>
    </row>
    <row r="75" spans="1:41" x14ac:dyDescent="0.25">
      <c r="A75" s="30">
        <v>80.179532053613613</v>
      </c>
      <c r="C75"/>
      <c r="D75"/>
      <c r="E75"/>
      <c r="O75" s="27" t="s">
        <v>8</v>
      </c>
      <c r="P75" s="27" t="s">
        <v>7</v>
      </c>
      <c r="Q75" s="27" t="s">
        <v>8</v>
      </c>
      <c r="Z75" s="27" t="s">
        <v>7</v>
      </c>
      <c r="AB75" s="27" t="s">
        <v>7</v>
      </c>
      <c r="AC75" s="27" t="s">
        <v>8</v>
      </c>
      <c r="AD75" s="27" t="s">
        <v>7</v>
      </c>
      <c r="AE75" s="27" t="s">
        <v>8</v>
      </c>
      <c r="AF75" s="27" t="s">
        <v>7</v>
      </c>
      <c r="AG75" s="27" t="s">
        <v>8</v>
      </c>
      <c r="AI75" s="31"/>
    </row>
    <row r="76" spans="1:41" x14ac:dyDescent="0.25">
      <c r="A76" s="30">
        <v>72.890483685103277</v>
      </c>
      <c r="C76" s="1" t="s">
        <v>14</v>
      </c>
      <c r="E76"/>
      <c r="O76" s="27" t="s">
        <v>8</v>
      </c>
      <c r="P76" s="27" t="s">
        <v>7</v>
      </c>
      <c r="Q76" s="27" t="s">
        <v>8</v>
      </c>
      <c r="AB76" s="27" t="s">
        <v>7</v>
      </c>
      <c r="AC76" s="27" t="s">
        <v>8</v>
      </c>
      <c r="AD76" s="27" t="s">
        <v>7</v>
      </c>
      <c r="AE76" s="27" t="s">
        <v>8</v>
      </c>
      <c r="AF76" s="18" t="s">
        <v>7</v>
      </c>
      <c r="AG76" s="27" t="s">
        <v>8</v>
      </c>
      <c r="AH76" s="31"/>
    </row>
    <row r="77" spans="1:41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O77" s="27" t="s">
        <v>8</v>
      </c>
      <c r="P77" s="27" t="s">
        <v>7</v>
      </c>
      <c r="AB77" s="27" t="s">
        <v>7</v>
      </c>
      <c r="AD77" s="27" t="s">
        <v>7</v>
      </c>
      <c r="AE77" s="27" t="s">
        <v>8</v>
      </c>
      <c r="AF77" s="27" t="s">
        <v>7</v>
      </c>
      <c r="AG77" s="31"/>
    </row>
    <row r="78" spans="1:41" x14ac:dyDescent="0.25">
      <c r="A78" s="30">
        <v>60.240069161242367</v>
      </c>
      <c r="E78"/>
      <c r="O78" s="27" t="s">
        <v>8</v>
      </c>
      <c r="AD78" s="27" t="s">
        <v>7</v>
      </c>
      <c r="AE78" s="27" t="s">
        <v>8</v>
      </c>
      <c r="AF78" s="31"/>
    </row>
    <row r="79" spans="1:41" x14ac:dyDescent="0.25">
      <c r="A79" s="30">
        <v>54.763699237493057</v>
      </c>
      <c r="E79"/>
      <c r="O79" s="27" t="s">
        <v>8</v>
      </c>
      <c r="AD79" s="27" t="s">
        <v>7</v>
      </c>
      <c r="AE79" s="31"/>
    </row>
    <row r="80" spans="1:41" x14ac:dyDescent="0.25">
      <c r="A80" s="30">
        <v>49.785181124993684</v>
      </c>
      <c r="E80"/>
      <c r="O80" s="27" t="s">
        <v>8</v>
      </c>
      <c r="AD80" s="31"/>
    </row>
    <row r="81" spans="1:29" x14ac:dyDescent="0.25">
      <c r="A81" s="30">
        <v>45.259255568176073</v>
      </c>
      <c r="E81"/>
      <c r="O81" s="27" t="s">
        <v>8</v>
      </c>
      <c r="AC81" s="31"/>
    </row>
    <row r="82" spans="1:29" x14ac:dyDescent="0.25">
      <c r="A82" s="30">
        <v>41.144777789250973</v>
      </c>
      <c r="E82"/>
      <c r="M82" s="27" t="s">
        <v>8</v>
      </c>
      <c r="O82" s="27" t="s">
        <v>8</v>
      </c>
      <c r="AB82" s="31"/>
    </row>
    <row r="83" spans="1:29" x14ac:dyDescent="0.25">
      <c r="A83" s="30">
        <v>37.404343444773609</v>
      </c>
      <c r="E83"/>
      <c r="M83" s="27" t="s">
        <v>8</v>
      </c>
      <c r="N83" s="27" t="s">
        <v>7</v>
      </c>
      <c r="O83" s="27" t="s">
        <v>8</v>
      </c>
      <c r="AA83" s="31"/>
    </row>
    <row r="84" spans="1:29" x14ac:dyDescent="0.25">
      <c r="A84" s="30">
        <v>34.003948586157826</v>
      </c>
      <c r="E84"/>
      <c r="M84" s="27" t="s">
        <v>8</v>
      </c>
      <c r="N84" s="27" t="s">
        <v>7</v>
      </c>
      <c r="O84" s="27" t="s">
        <v>8</v>
      </c>
      <c r="Z84" s="31"/>
    </row>
    <row r="85" spans="1:29" x14ac:dyDescent="0.25">
      <c r="A85" s="30">
        <v>30.912680532870748</v>
      </c>
      <c r="E85"/>
      <c r="M85" s="27" t="s">
        <v>8</v>
      </c>
      <c r="N85" s="27" t="s">
        <v>7</v>
      </c>
      <c r="O85" s="27" t="s">
        <v>8</v>
      </c>
      <c r="Y85" s="31"/>
    </row>
    <row r="86" spans="1:29" x14ac:dyDescent="0.25">
      <c r="A86" s="30">
        <v>28.102436848064315</v>
      </c>
      <c r="E86"/>
      <c r="K86" s="27" t="s">
        <v>8</v>
      </c>
      <c r="M86" s="27" t="s">
        <v>8</v>
      </c>
      <c r="N86" s="27" t="s">
        <v>7</v>
      </c>
      <c r="X86" s="31"/>
    </row>
    <row r="87" spans="1:29" x14ac:dyDescent="0.25">
      <c r="A87" s="30">
        <v>25.547669861876649</v>
      </c>
      <c r="E87"/>
      <c r="K87" s="27" t="s">
        <v>8</v>
      </c>
      <c r="L87" s="27" t="s">
        <v>7</v>
      </c>
      <c r="M87" s="27" t="s">
        <v>8</v>
      </c>
      <c r="W87" s="31"/>
    </row>
    <row r="88" spans="1:29" x14ac:dyDescent="0.25">
      <c r="A88" s="30">
        <v>23.225154419887861</v>
      </c>
      <c r="E88"/>
      <c r="K88" s="27" t="s">
        <v>8</v>
      </c>
      <c r="L88" s="27" t="s">
        <v>7</v>
      </c>
      <c r="M88" s="27" t="s">
        <v>8</v>
      </c>
      <c r="V88" s="31"/>
    </row>
    <row r="89" spans="1:29" x14ac:dyDescent="0.25">
      <c r="A89" s="30">
        <v>21.113776745352599</v>
      </c>
      <c r="E89"/>
      <c r="K89" s="27" t="s">
        <v>8</v>
      </c>
      <c r="L89" s="27" t="s">
        <v>7</v>
      </c>
      <c r="U89" s="31"/>
    </row>
    <row r="90" spans="1:29" x14ac:dyDescent="0.25">
      <c r="A90" s="30">
        <v>19.194342495775089</v>
      </c>
      <c r="E90" t="s">
        <v>8</v>
      </c>
      <c r="K90" s="27" t="s">
        <v>8</v>
      </c>
      <c r="T90" s="31"/>
    </row>
    <row r="91" spans="1:29" x14ac:dyDescent="0.25">
      <c r="A91" s="30">
        <v>17.449402268886445</v>
      </c>
      <c r="E91" t="s">
        <v>8</v>
      </c>
      <c r="F91" s="27" t="s">
        <v>7</v>
      </c>
      <c r="K91" s="27" t="s">
        <v>8</v>
      </c>
      <c r="S91" s="31"/>
    </row>
    <row r="92" spans="1:29" x14ac:dyDescent="0.25">
      <c r="A92" s="30">
        <v>15.863092971714948</v>
      </c>
      <c r="C92" s="1" t="s">
        <v>15</v>
      </c>
      <c r="E92" t="s">
        <v>8</v>
      </c>
      <c r="F92" s="27" t="s">
        <v>7</v>
      </c>
      <c r="G92" s="27" t="s">
        <v>8</v>
      </c>
      <c r="K92" s="27" t="s">
        <v>8</v>
      </c>
      <c r="R92" s="31"/>
    </row>
    <row r="93" spans="1:29" x14ac:dyDescent="0.25">
      <c r="A93" s="30">
        <v>14.420993610649951</v>
      </c>
      <c r="C93" s="7">
        <v>0.11167815779424731</v>
      </c>
      <c r="D93"/>
      <c r="E93" t="s">
        <v>8</v>
      </c>
      <c r="F93" s="27" t="s">
        <v>7</v>
      </c>
      <c r="G93" s="27" t="s">
        <v>8</v>
      </c>
      <c r="H93" s="27" t="s">
        <v>7</v>
      </c>
      <c r="K93" s="27" t="s">
        <v>8</v>
      </c>
      <c r="Q93" s="31"/>
    </row>
    <row r="94" spans="1:29" x14ac:dyDescent="0.25">
      <c r="A94" s="30">
        <v>13.109994191499954</v>
      </c>
      <c r="E94" t="s">
        <v>8</v>
      </c>
      <c r="F94" s="27" t="s">
        <v>7</v>
      </c>
      <c r="G94" s="27" t="s">
        <v>8</v>
      </c>
      <c r="H94" s="27" t="s">
        <v>7</v>
      </c>
      <c r="K94" s="27" t="s">
        <v>8</v>
      </c>
      <c r="P94" s="31"/>
    </row>
    <row r="95" spans="1:29" x14ac:dyDescent="0.25">
      <c r="A95" s="30">
        <v>11.918176537727231</v>
      </c>
      <c r="C95" s="1" t="s">
        <v>11</v>
      </c>
      <c r="D95" s="1" t="s">
        <v>12</v>
      </c>
      <c r="E95" t="s">
        <v>8</v>
      </c>
      <c r="F95" s="27" t="s">
        <v>7</v>
      </c>
      <c r="G95" s="27" t="s">
        <v>8</v>
      </c>
      <c r="H95" s="27" t="s">
        <v>7</v>
      </c>
      <c r="K95" s="27" t="s">
        <v>8</v>
      </c>
      <c r="O95" s="31"/>
    </row>
    <row r="96" spans="1:29" x14ac:dyDescent="0.25">
      <c r="A96" s="30">
        <v>10.834705943388391</v>
      </c>
      <c r="C96"/>
      <c r="D96"/>
      <c r="E96" t="s">
        <v>8</v>
      </c>
      <c r="F96" s="27" t="s">
        <v>7</v>
      </c>
      <c r="H96" s="27" t="s">
        <v>7</v>
      </c>
      <c r="K96" s="27" t="s">
        <v>8</v>
      </c>
      <c r="N96" s="31"/>
    </row>
    <row r="97" spans="1:13" x14ac:dyDescent="0.25">
      <c r="A97" s="30">
        <v>9.849732675807628</v>
      </c>
      <c r="E97" t="s">
        <v>8</v>
      </c>
      <c r="H97" s="27" t="s">
        <v>7</v>
      </c>
      <c r="I97" s="27" t="s">
        <v>8</v>
      </c>
      <c r="K97" s="27" t="s">
        <v>8</v>
      </c>
      <c r="M97" s="31"/>
    </row>
    <row r="98" spans="1:13" x14ac:dyDescent="0.25">
      <c r="A98" s="30">
        <v>8.9543024325523888</v>
      </c>
      <c r="C98" s="1" t="s">
        <v>13</v>
      </c>
      <c r="E98" t="s">
        <v>8</v>
      </c>
      <c r="H98" s="27" t="s">
        <v>7</v>
      </c>
      <c r="I98" s="27" t="s">
        <v>8</v>
      </c>
      <c r="J98" s="27" t="s">
        <v>7</v>
      </c>
      <c r="K98" s="27" t="s">
        <v>8</v>
      </c>
      <c r="L98" s="31"/>
    </row>
    <row r="99" spans="1:13" x14ac:dyDescent="0.25">
      <c r="A99" s="30">
        <v>8.140274938683989</v>
      </c>
      <c r="C99" s="1">
        <f>C88</f>
        <v>0</v>
      </c>
      <c r="E99" t="s">
        <v>8</v>
      </c>
      <c r="H99" s="27" t="s">
        <v>7</v>
      </c>
      <c r="I99" s="27" t="s">
        <v>8</v>
      </c>
      <c r="J99" s="27" t="s">
        <v>7</v>
      </c>
      <c r="K99" s="31" t="s">
        <v>8</v>
      </c>
    </row>
    <row r="100" spans="1:13" x14ac:dyDescent="0.25">
      <c r="A100" s="30">
        <v>7.4002499442581717</v>
      </c>
      <c r="C100"/>
      <c r="D100"/>
      <c r="E100" t="s">
        <v>8</v>
      </c>
      <c r="H100" s="27" t="s">
        <v>7</v>
      </c>
      <c r="I100" s="27" t="s">
        <v>8</v>
      </c>
      <c r="J100" s="31" t="s">
        <v>7</v>
      </c>
    </row>
    <row r="101" spans="1:13" x14ac:dyDescent="0.25">
      <c r="A101" s="30">
        <v>6.72749994932561</v>
      </c>
      <c r="C101" s="1" t="s">
        <v>14</v>
      </c>
      <c r="E101" t="s">
        <v>8</v>
      </c>
      <c r="H101" s="27" t="s">
        <v>7</v>
      </c>
      <c r="I101" s="31" t="s">
        <v>8</v>
      </c>
    </row>
    <row r="102" spans="1:13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H102" s="31" t="s">
        <v>7</v>
      </c>
    </row>
    <row r="103" spans="1:13" x14ac:dyDescent="0.25">
      <c r="A103" s="30">
        <v>5.5599173134922388</v>
      </c>
      <c r="E103" t="s">
        <v>8</v>
      </c>
    </row>
    <row r="104" spans="1:13" x14ac:dyDescent="0.25">
      <c r="A104" s="30">
        <v>5.0544702849929442</v>
      </c>
      <c r="E104" t="s">
        <v>8</v>
      </c>
    </row>
    <row r="105" spans="1:13" x14ac:dyDescent="0.25">
      <c r="A105" s="30">
        <v>4.594972986357222</v>
      </c>
      <c r="E105" t="s">
        <v>8</v>
      </c>
    </row>
    <row r="106" spans="1:13" x14ac:dyDescent="0.25">
      <c r="A106" s="30">
        <v>4.1772481694156562</v>
      </c>
      <c r="E106" t="s">
        <v>8</v>
      </c>
    </row>
    <row r="107" spans="1:13" x14ac:dyDescent="0.25">
      <c r="A107" s="30">
        <v>3.7974983358324148</v>
      </c>
      <c r="E107" t="s">
        <v>8</v>
      </c>
    </row>
    <row r="108" spans="1:13" x14ac:dyDescent="0.25">
      <c r="A108" s="30">
        <v>3.4522712143931042</v>
      </c>
      <c r="E108" t="s">
        <v>8</v>
      </c>
    </row>
    <row r="109" spans="1:13" x14ac:dyDescent="0.25">
      <c r="A109" s="30">
        <v>3.1384283767210035</v>
      </c>
      <c r="E109" t="s">
        <v>8</v>
      </c>
    </row>
    <row r="110" spans="1:13" x14ac:dyDescent="0.25">
      <c r="A110" s="30">
        <v>2.8531167061100029</v>
      </c>
      <c r="E110" t="s">
        <v>8</v>
      </c>
    </row>
    <row r="111" spans="1:13" x14ac:dyDescent="0.25">
      <c r="A111" s="30">
        <v>2.5937424601000023</v>
      </c>
      <c r="C111" s="1" t="str">
        <f>ADDRESS(C121-1,1,1,1)</f>
        <v>$A$67</v>
      </c>
      <c r="D111" s="1" t="str">
        <f>ADDRESS(C121-1,D121,1,1)</f>
        <v>$AO$67</v>
      </c>
      <c r="E111" t="s">
        <v>8</v>
      </c>
    </row>
    <row r="112" spans="1:13" x14ac:dyDescent="0.25">
      <c r="A112" s="30">
        <v>2.3579476910000019</v>
      </c>
      <c r="C112" s="1" t="str">
        <f>ADDRESS(C121,1,1,1)</f>
        <v>$A$68</v>
      </c>
      <c r="D112" s="1" t="str">
        <f>ADDRESS(C121,D121-1,1,1)</f>
        <v>$AN$68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$A$69</v>
      </c>
      <c r="D113" s="1" t="str">
        <f>ADDRESS(C121-1,D121+1,1,1)</f>
        <v>$AP$67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$AO$68</v>
      </c>
      <c r="D114" s="1" t="str">
        <f>ADDRESS(C121+1,D121+1,1,1)</f>
        <v>$AP$69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$AO$69</v>
      </c>
      <c r="E115" s="1" t="s">
        <v>8</v>
      </c>
    </row>
    <row r="116" spans="1:5" x14ac:dyDescent="0.25">
      <c r="A116" s="30">
        <v>1.6105100000000008</v>
      </c>
      <c r="C116" s="1">
        <f>C117-1</f>
        <v>67</v>
      </c>
      <c r="E116" s="1" t="s">
        <v>8</v>
      </c>
    </row>
    <row r="117" spans="1:5" x14ac:dyDescent="0.25">
      <c r="A117" s="30">
        <v>1.4641000000000006</v>
      </c>
      <c r="C117" s="1">
        <f>C121</f>
        <v>68</v>
      </c>
      <c r="D117" s="1">
        <f>D121</f>
        <v>41</v>
      </c>
      <c r="E117" s="1" t="s">
        <v>8</v>
      </c>
    </row>
    <row r="118" spans="1:5" x14ac:dyDescent="0.25">
      <c r="A118" s="30">
        <v>1.3310000000000004</v>
      </c>
      <c r="C118" s="1">
        <f>C117+1</f>
        <v>69</v>
      </c>
      <c r="D118" s="1">
        <f>D117+1</f>
        <v>42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68</v>
      </c>
      <c r="D121" s="19">
        <v>41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X</v>
      </c>
    </row>
    <row r="123" spans="1:5" x14ac:dyDescent="0.25">
      <c r="A123" s="30">
        <v>0.82644628099173523</v>
      </c>
      <c r="C123" s="1" t="str">
        <f>"R"&amp;C121</f>
        <v>R68</v>
      </c>
      <c r="D123" s="1" t="str">
        <f>"C"&amp;D121</f>
        <v>C41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156.24722518287504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X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16" operator="equal">
      <formula>$U$1</formula>
    </cfRule>
    <cfRule type="cellIs" dxfId="30" priority="917" operator="equal">
      <formula>$S$1</formula>
    </cfRule>
  </conditionalFormatting>
  <conditionalFormatting sqref="D136">
    <cfRule type="cellIs" dxfId="29" priority="914" operator="equal">
      <formula>$S$1</formula>
    </cfRule>
    <cfRule type="cellIs" dxfId="28" priority="915" operator="equal">
      <formula>$U$1</formula>
    </cfRule>
  </conditionalFormatting>
  <conditionalFormatting sqref="C102">
    <cfRule type="cellIs" dxfId="27" priority="912" operator="equal">
      <formula>$U$1</formula>
    </cfRule>
    <cfRule type="cellIs" dxfId="26" priority="913" operator="equal">
      <formula>$S$1</formula>
    </cfRule>
  </conditionalFormatting>
  <conditionalFormatting sqref="D102">
    <cfRule type="cellIs" dxfId="25" priority="910" operator="equal">
      <formula>$S$1</formula>
    </cfRule>
    <cfRule type="cellIs" dxfId="24" priority="911" operator="equal">
      <formula>$U$1</formula>
    </cfRule>
  </conditionalFormatting>
  <conditionalFormatting sqref="C77">
    <cfRule type="cellIs" dxfId="23" priority="908" operator="equal">
      <formula>$U$1</formula>
    </cfRule>
    <cfRule type="cellIs" dxfId="22" priority="909" operator="equal">
      <formula>$S$1</formula>
    </cfRule>
  </conditionalFormatting>
  <conditionalFormatting sqref="D77">
    <cfRule type="cellIs" dxfId="21" priority="906" operator="equal">
      <formula>$S$1</formula>
    </cfRule>
    <cfRule type="cellIs" dxfId="20" priority="907" operator="equal">
      <formula>$U$1</formula>
    </cfRule>
  </conditionalFormatting>
  <conditionalFormatting sqref="C52">
    <cfRule type="cellIs" dxfId="19" priority="904" operator="equal">
      <formula>$U$1</formula>
    </cfRule>
    <cfRule type="cellIs" dxfId="18" priority="905" operator="equal">
      <formula>$S$1</formula>
    </cfRule>
  </conditionalFormatting>
  <conditionalFormatting sqref="D52">
    <cfRule type="cellIs" dxfId="17" priority="902" operator="equal">
      <formula>$S$1</formula>
    </cfRule>
    <cfRule type="cellIs" dxfId="16" priority="903" operator="equal">
      <formula>$U$1</formula>
    </cfRule>
  </conditionalFormatting>
  <conditionalFormatting sqref="C26">
    <cfRule type="cellIs" dxfId="15" priority="900" operator="equal">
      <formula>$U$1</formula>
    </cfRule>
    <cfRule type="cellIs" dxfId="14" priority="901" operator="equal">
      <formula>$S$1</formula>
    </cfRule>
  </conditionalFormatting>
  <conditionalFormatting sqref="D26">
    <cfRule type="cellIs" dxfId="13" priority="898" operator="equal">
      <formula>$S$1</formula>
    </cfRule>
    <cfRule type="cellIs" dxfId="12" priority="89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54.641488776193974</v>
      </c>
      <c r="F3" s="30">
        <v>63.254353444541557</v>
      </c>
      <c r="G3" s="30">
        <v>103.03467644609493</v>
      </c>
      <c r="H3" s="25">
        <f>IF(G3="","",(3*(G3-F3))+E3)</f>
        <v>173.98245778085411</v>
      </c>
      <c r="I3" s="7"/>
      <c r="J3" s="7">
        <f>(E3+G3)/2</f>
        <v>78.838082611144458</v>
      </c>
      <c r="K3" s="7">
        <f>H3/2</f>
        <v>86.991228890427053</v>
      </c>
      <c r="M3" s="26">
        <f>IF(OR(J3="",H3=""),"",H3/J3)</f>
        <v>2.206832688194527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2022-01-28T01:16:14Z</dcterms:modified>
</cp:coreProperties>
</file>