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7690036-E1F0-4F78-834B-E144AA23ABD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09" i="1"/>
  <c r="Q1009" i="1" s="1"/>
  <c r="R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09" i="1"/>
  <c r="T100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5"/>
  <c r="C133" i="5" s="1"/>
  <c r="D136" i="5" s="1"/>
  <c r="C116" i="4"/>
  <c r="C118" i="4"/>
  <c r="C118" i="3"/>
  <c r="C122" i="3"/>
  <c r="C133" i="3" s="1"/>
  <c r="D136" i="3" s="1"/>
  <c r="D118" i="3"/>
  <c r="R1008" i="1"/>
  <c r="D136" i="4" l="1"/>
  <c r="C138" i="4" s="1"/>
  <c r="C136" i="5"/>
  <c r="C138" i="5" s="1"/>
  <c r="C136" i="3"/>
  <c r="C138" i="3" s="1"/>
  <c r="R1007" i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S335" i="1" l="1"/>
  <c r="T335" i="1" s="1"/>
  <c r="R334" i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<sst xmlns="http://schemas.openxmlformats.org/spreadsheetml/2006/main" count="8944" uniqueCount="34">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</sst>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31.96</c:v>
                </c:pt>
                <c:pt idx="1">
                  <c:v>32.36</c:v>
                </c:pt>
                <c:pt idx="2">
                  <c:v>35.869999999999997</c:v>
                </c:pt>
                <c:pt idx="3">
                  <c:v>36.020000000000003</c:v>
                </c:pt>
                <c:pt idx="4">
                  <c:v>34.61</c:v>
                </c:pt>
                <c:pt idx="5">
                  <c:v>29.24</c:v>
                </c:pt>
                <c:pt idx="6">
                  <c:v>34.61</c:v>
                </c:pt>
                <c:pt idx="7">
                  <c:v>38.979999999999997</c:v>
                </c:pt>
                <c:pt idx="8">
                  <c:v>37.020000000000003</c:v>
                </c:pt>
                <c:pt idx="9">
                  <c:v>38.28</c:v>
                </c:pt>
                <c:pt idx="10">
                  <c:v>39.130000000000003</c:v>
                </c:pt>
                <c:pt idx="11">
                  <c:v>43.65</c:v>
                </c:pt>
                <c:pt idx="12">
                  <c:v>39.119999999999997</c:v>
                </c:pt>
                <c:pt idx="13">
                  <c:v>40.42</c:v>
                </c:pt>
                <c:pt idx="14">
                  <c:v>37.6</c:v>
                </c:pt>
                <c:pt idx="15">
                  <c:v>40.22</c:v>
                </c:pt>
                <c:pt idx="16">
                  <c:v>38.700000000000003</c:v>
                </c:pt>
                <c:pt idx="17">
                  <c:v>37.86</c:v>
                </c:pt>
                <c:pt idx="18">
                  <c:v>34.979999999999997</c:v>
                </c:pt>
                <c:pt idx="19">
                  <c:v>35.869999999999997</c:v>
                </c:pt>
                <c:pt idx="20">
                  <c:v>38.58</c:v>
                </c:pt>
                <c:pt idx="21">
                  <c:v>40.08</c:v>
                </c:pt>
                <c:pt idx="22">
                  <c:v>38.659999999999997</c:v>
                </c:pt>
                <c:pt idx="23">
                  <c:v>42.1</c:v>
                </c:pt>
                <c:pt idx="24">
                  <c:v>39.25</c:v>
                </c:pt>
                <c:pt idx="25">
                  <c:v>35.53</c:v>
                </c:pt>
                <c:pt idx="26">
                  <c:v>36.36</c:v>
                </c:pt>
                <c:pt idx="27">
                  <c:v>32.39</c:v>
                </c:pt>
                <c:pt idx="28">
                  <c:v>30.16</c:v>
                </c:pt>
                <c:pt idx="29">
                  <c:v>27.94</c:v>
                </c:pt>
                <c:pt idx="30">
                  <c:v>26.59</c:v>
                </c:pt>
                <c:pt idx="31">
                  <c:v>29.71</c:v>
                </c:pt>
                <c:pt idx="32">
                  <c:v>32.119999999999997</c:v>
                </c:pt>
                <c:pt idx="33">
                  <c:v>29.66</c:v>
                </c:pt>
                <c:pt idx="34">
                  <c:v>26.9</c:v>
                </c:pt>
                <c:pt idx="35">
                  <c:v>28.36</c:v>
                </c:pt>
                <c:pt idx="36">
                  <c:v>27.37</c:v>
                </c:pt>
                <c:pt idx="37">
                  <c:v>23.63</c:v>
                </c:pt>
                <c:pt idx="38">
                  <c:v>21.52</c:v>
                </c:pt>
                <c:pt idx="39">
                  <c:v>22.16</c:v>
                </c:pt>
                <c:pt idx="40">
                  <c:v>23.15</c:v>
                </c:pt>
                <c:pt idx="41">
                  <c:v>21.21</c:v>
                </c:pt>
                <c:pt idx="42">
                  <c:v>21.83</c:v>
                </c:pt>
                <c:pt idx="43">
                  <c:v>22.34</c:v>
                </c:pt>
                <c:pt idx="44">
                  <c:v>21.8</c:v>
                </c:pt>
                <c:pt idx="45">
                  <c:v>21.74</c:v>
                </c:pt>
                <c:pt idx="46">
                  <c:v>24.49</c:v>
                </c:pt>
                <c:pt idx="47">
                  <c:v>22.74</c:v>
                </c:pt>
                <c:pt idx="48">
                  <c:v>22.54</c:v>
                </c:pt>
                <c:pt idx="49">
                  <c:v>22.45</c:v>
                </c:pt>
                <c:pt idx="50">
                  <c:v>25.32</c:v>
                </c:pt>
                <c:pt idx="51">
                  <c:v>24.3</c:v>
                </c:pt>
                <c:pt idx="52">
                  <c:v>24.33</c:v>
                </c:pt>
                <c:pt idx="53">
                  <c:v>24.57</c:v>
                </c:pt>
                <c:pt idx="54">
                  <c:v>28.15</c:v>
                </c:pt>
                <c:pt idx="55">
                  <c:v>32.79</c:v>
                </c:pt>
                <c:pt idx="56">
                  <c:v>28.37</c:v>
                </c:pt>
                <c:pt idx="57">
                  <c:v>26.67</c:v>
                </c:pt>
                <c:pt idx="58">
                  <c:v>27.51</c:v>
                </c:pt>
                <c:pt idx="59">
                  <c:v>28.1</c:v>
                </c:pt>
                <c:pt idx="60">
                  <c:v>27.39</c:v>
                </c:pt>
                <c:pt idx="61">
                  <c:v>26.73</c:v>
                </c:pt>
                <c:pt idx="62">
                  <c:v>27.07</c:v>
                </c:pt>
                <c:pt idx="63">
                  <c:v>29.77</c:v>
                </c:pt>
                <c:pt idx="64">
                  <c:v>30.48</c:v>
                </c:pt>
                <c:pt idx="65">
                  <c:v>32.049999999999997</c:v>
                </c:pt>
                <c:pt idx="66">
                  <c:v>32.17</c:v>
                </c:pt>
                <c:pt idx="67">
                  <c:v>30.88</c:v>
                </c:pt>
                <c:pt idx="68">
                  <c:v>29.43</c:v>
                </c:pt>
                <c:pt idx="69">
                  <c:v>28.12</c:v>
                </c:pt>
                <c:pt idx="70">
                  <c:v>26.62</c:v>
                </c:pt>
                <c:pt idx="71">
                  <c:v>29.44</c:v>
                </c:pt>
                <c:pt idx="72">
                  <c:v>28.29</c:v>
                </c:pt>
                <c:pt idx="73">
                  <c:v>31.45</c:v>
                </c:pt>
                <c:pt idx="74">
                  <c:v>31.93</c:v>
                </c:pt>
                <c:pt idx="75">
                  <c:v>32.5</c:v>
                </c:pt>
                <c:pt idx="76">
                  <c:v>32.049999999999997</c:v>
                </c:pt>
                <c:pt idx="77">
                  <c:v>32.94</c:v>
                </c:pt>
                <c:pt idx="78">
                  <c:v>32.049999999999997</c:v>
                </c:pt>
                <c:pt idx="79">
                  <c:v>35.840000000000003</c:v>
                </c:pt>
                <c:pt idx="80">
                  <c:v>36.619999999999997</c:v>
                </c:pt>
                <c:pt idx="81">
                  <c:v>35.729999999999997</c:v>
                </c:pt>
                <c:pt idx="82">
                  <c:v>36.22</c:v>
                </c:pt>
                <c:pt idx="83">
                  <c:v>36.770000000000003</c:v>
                </c:pt>
                <c:pt idx="84">
                  <c:v>37.51</c:v>
                </c:pt>
                <c:pt idx="85">
                  <c:v>38.49</c:v>
                </c:pt>
                <c:pt idx="86">
                  <c:v>37.1</c:v>
                </c:pt>
                <c:pt idx="87">
                  <c:v>37.31</c:v>
                </c:pt>
                <c:pt idx="88">
                  <c:v>37.24</c:v>
                </c:pt>
                <c:pt idx="89">
                  <c:v>37.299999999999997</c:v>
                </c:pt>
                <c:pt idx="90">
                  <c:v>39.549999999999997</c:v>
                </c:pt>
                <c:pt idx="91">
                  <c:v>38</c:v>
                </c:pt>
                <c:pt idx="92">
                  <c:v>36.75</c:v>
                </c:pt>
                <c:pt idx="93">
                  <c:v>42.99</c:v>
                </c:pt>
                <c:pt idx="94">
                  <c:v>35.31</c:v>
                </c:pt>
                <c:pt idx="95">
                  <c:v>34.26</c:v>
                </c:pt>
                <c:pt idx="96">
                  <c:v>35.69</c:v>
                </c:pt>
                <c:pt idx="97">
                  <c:v>34.06</c:v>
                </c:pt>
                <c:pt idx="98">
                  <c:v>34.340000000000003</c:v>
                </c:pt>
                <c:pt idx="99">
                  <c:v>35.950000000000003</c:v>
                </c:pt>
                <c:pt idx="100">
                  <c:v>35</c:v>
                </c:pt>
                <c:pt idx="101">
                  <c:v>31.88</c:v>
                </c:pt>
                <c:pt idx="102">
                  <c:v>32.44</c:v>
                </c:pt>
                <c:pt idx="103">
                  <c:v>33.130000000000003</c:v>
                </c:pt>
                <c:pt idx="104">
                  <c:v>33.08</c:v>
                </c:pt>
                <c:pt idx="105">
                  <c:v>33.82</c:v>
                </c:pt>
                <c:pt idx="106">
                  <c:v>34.53</c:v>
                </c:pt>
                <c:pt idx="107">
                  <c:v>33.479999999999997</c:v>
                </c:pt>
                <c:pt idx="108">
                  <c:v>32.01</c:v>
                </c:pt>
                <c:pt idx="109">
                  <c:v>32.42</c:v>
                </c:pt>
                <c:pt idx="110">
                  <c:v>35.159999999999997</c:v>
                </c:pt>
                <c:pt idx="111">
                  <c:v>35.04</c:v>
                </c:pt>
                <c:pt idx="112">
                  <c:v>36.67</c:v>
                </c:pt>
                <c:pt idx="113">
                  <c:v>35.15</c:v>
                </c:pt>
                <c:pt idx="114">
                  <c:v>36.75</c:v>
                </c:pt>
                <c:pt idx="115">
                  <c:v>36.58</c:v>
                </c:pt>
                <c:pt idx="116">
                  <c:v>38.71</c:v>
                </c:pt>
                <c:pt idx="117">
                  <c:v>38.619999999999997</c:v>
                </c:pt>
                <c:pt idx="118">
                  <c:v>37.85</c:v>
                </c:pt>
                <c:pt idx="119">
                  <c:v>36.229999999999997</c:v>
                </c:pt>
                <c:pt idx="120">
                  <c:v>33.880000000000003</c:v>
                </c:pt>
                <c:pt idx="121">
                  <c:v>33.700000000000003</c:v>
                </c:pt>
                <c:pt idx="122">
                  <c:v>37.21</c:v>
                </c:pt>
                <c:pt idx="123">
                  <c:v>39.799999999999997</c:v>
                </c:pt>
                <c:pt idx="124">
                  <c:v>39.450000000000003</c:v>
                </c:pt>
                <c:pt idx="125">
                  <c:v>42.58</c:v>
                </c:pt>
                <c:pt idx="126">
                  <c:v>41.51</c:v>
                </c:pt>
                <c:pt idx="127">
                  <c:v>39.71</c:v>
                </c:pt>
                <c:pt idx="128">
                  <c:v>30.45</c:v>
                </c:pt>
                <c:pt idx="129">
                  <c:v>39.229999999999997</c:v>
                </c:pt>
                <c:pt idx="130">
                  <c:v>44.27</c:v>
                </c:pt>
                <c:pt idx="131">
                  <c:v>40.76</c:v>
                </c:pt>
                <c:pt idx="132">
                  <c:v>33.46</c:v>
                </c:pt>
                <c:pt idx="133">
                  <c:v>37.07</c:v>
                </c:pt>
                <c:pt idx="134">
                  <c:v>34.119999999999997</c:v>
                </c:pt>
                <c:pt idx="135">
                  <c:v>34.200000000000003</c:v>
                </c:pt>
                <c:pt idx="136">
                  <c:v>35.82</c:v>
                </c:pt>
                <c:pt idx="137">
                  <c:v>34.89</c:v>
                </c:pt>
                <c:pt idx="138">
                  <c:v>27.33</c:v>
                </c:pt>
                <c:pt idx="139">
                  <c:v>29.41</c:v>
                </c:pt>
                <c:pt idx="140">
                  <c:v>26.85</c:v>
                </c:pt>
                <c:pt idx="141">
                  <c:v>20.69</c:v>
                </c:pt>
                <c:pt idx="142">
                  <c:v>21.08</c:v>
                </c:pt>
                <c:pt idx="143">
                  <c:v>25.08</c:v>
                </c:pt>
                <c:pt idx="144">
                  <c:v>25.73</c:v>
                </c:pt>
                <c:pt idx="145">
                  <c:v>24.4</c:v>
                </c:pt>
                <c:pt idx="146">
                  <c:v>24.11</c:v>
                </c:pt>
                <c:pt idx="147">
                  <c:v>24.14</c:v>
                </c:pt>
                <c:pt idx="148">
                  <c:v>25.44</c:v>
                </c:pt>
                <c:pt idx="149">
                  <c:v>22.89</c:v>
                </c:pt>
                <c:pt idx="150">
                  <c:v>22.14</c:v>
                </c:pt>
                <c:pt idx="151">
                  <c:v>21.2</c:v>
                </c:pt>
                <c:pt idx="152">
                  <c:v>21.31</c:v>
                </c:pt>
                <c:pt idx="153">
                  <c:v>20.420000000000002</c:v>
                </c:pt>
                <c:pt idx="154">
                  <c:v>17.899999999999999</c:v>
                </c:pt>
                <c:pt idx="155">
                  <c:v>20.056000000000001</c:v>
                </c:pt>
                <c:pt idx="156">
                  <c:v>19.538</c:v>
                </c:pt>
                <c:pt idx="157">
                  <c:v>21.808</c:v>
                </c:pt>
                <c:pt idx="158">
                  <c:v>22.65</c:v>
                </c:pt>
                <c:pt idx="159">
                  <c:v>22.14</c:v>
                </c:pt>
                <c:pt idx="160">
                  <c:v>18.928000000000001</c:v>
                </c:pt>
                <c:pt idx="161">
                  <c:v>18.687999999999999</c:v>
                </c:pt>
                <c:pt idx="162">
                  <c:v>17.948</c:v>
                </c:pt>
                <c:pt idx="163">
                  <c:v>16.003</c:v>
                </c:pt>
                <c:pt idx="164">
                  <c:v>15.784000000000001</c:v>
                </c:pt>
                <c:pt idx="165">
                  <c:v>15.91</c:v>
                </c:pt>
                <c:pt idx="166">
                  <c:v>15.56</c:v>
                </c:pt>
                <c:pt idx="167">
                  <c:v>15.212</c:v>
                </c:pt>
                <c:pt idx="168">
                  <c:v>14.06</c:v>
                </c:pt>
                <c:pt idx="169">
                  <c:v>14.558</c:v>
                </c:pt>
                <c:pt idx="170">
                  <c:v>14.105</c:v>
                </c:pt>
                <c:pt idx="171">
                  <c:v>13.651</c:v>
                </c:pt>
                <c:pt idx="172">
                  <c:v>13.138999999999999</c:v>
                </c:pt>
                <c:pt idx="173">
                  <c:v>14.006</c:v>
                </c:pt>
                <c:pt idx="174">
                  <c:v>13.589</c:v>
                </c:pt>
                <c:pt idx="175">
                  <c:v>13.032</c:v>
                </c:pt>
                <c:pt idx="176">
                  <c:v>12.808</c:v>
                </c:pt>
                <c:pt idx="177">
                  <c:v>12.12</c:v>
                </c:pt>
                <c:pt idx="178">
                  <c:v>12.476000000000001</c:v>
                </c:pt>
                <c:pt idx="179">
                  <c:v>12.311999999999999</c:v>
                </c:pt>
                <c:pt idx="180">
                  <c:v>12.598000000000001</c:v>
                </c:pt>
                <c:pt idx="181">
                  <c:v>12.14</c:v>
                </c:pt>
                <c:pt idx="182">
                  <c:v>11.798999999999999</c:v>
                </c:pt>
                <c:pt idx="183">
                  <c:v>11.589</c:v>
                </c:pt>
                <c:pt idx="184">
                  <c:v>11.702</c:v>
                </c:pt>
                <c:pt idx="185">
                  <c:v>11.385999999999999</c:v>
                </c:pt>
                <c:pt idx="186">
                  <c:v>11.446</c:v>
                </c:pt>
                <c:pt idx="187">
                  <c:v>11.426</c:v>
                </c:pt>
                <c:pt idx="188">
                  <c:v>11.442</c:v>
                </c:pt>
                <c:pt idx="189">
                  <c:v>11.377000000000001</c:v>
                </c:pt>
                <c:pt idx="190">
                  <c:v>10.481</c:v>
                </c:pt>
                <c:pt idx="191">
                  <c:v>9.4429999999999996</c:v>
                </c:pt>
                <c:pt idx="192">
                  <c:v>9.98</c:v>
                </c:pt>
                <c:pt idx="193">
                  <c:v>10.972</c:v>
                </c:pt>
                <c:pt idx="194">
                  <c:v>11.022</c:v>
                </c:pt>
                <c:pt idx="195">
                  <c:v>11.148999999999999</c:v>
                </c:pt>
                <c:pt idx="196">
                  <c:v>11.474</c:v>
                </c:pt>
                <c:pt idx="197">
                  <c:v>11.747</c:v>
                </c:pt>
                <c:pt idx="198">
                  <c:v>12.092000000000001</c:v>
                </c:pt>
                <c:pt idx="199">
                  <c:v>12.981</c:v>
                </c:pt>
                <c:pt idx="200">
                  <c:v>14.077</c:v>
                </c:pt>
                <c:pt idx="201">
                  <c:v>14.425000000000001</c:v>
                </c:pt>
                <c:pt idx="202">
                  <c:v>13.180999999999999</c:v>
                </c:pt>
                <c:pt idx="203">
                  <c:v>11.916</c:v>
                </c:pt>
                <c:pt idx="204">
                  <c:v>12.939</c:v>
                </c:pt>
                <c:pt idx="205">
                  <c:v>13.135999999999999</c:v>
                </c:pt>
                <c:pt idx="206">
                  <c:v>13.531000000000001</c:v>
                </c:pt>
                <c:pt idx="207">
                  <c:v>12.307</c:v>
                </c:pt>
                <c:pt idx="208">
                  <c:v>11.8</c:v>
                </c:pt>
                <c:pt idx="209">
                  <c:v>11.795</c:v>
                </c:pt>
                <c:pt idx="210">
                  <c:v>11.032999999999999</c:v>
                </c:pt>
                <c:pt idx="211">
                  <c:v>12.045</c:v>
                </c:pt>
                <c:pt idx="212">
                  <c:v>11.65</c:v>
                </c:pt>
                <c:pt idx="213">
                  <c:v>10.89</c:v>
                </c:pt>
                <c:pt idx="214">
                  <c:v>10.087</c:v>
                </c:pt>
                <c:pt idx="215">
                  <c:v>9.5960000000000001</c:v>
                </c:pt>
                <c:pt idx="216">
                  <c:v>9.0660000000000007</c:v>
                </c:pt>
                <c:pt idx="217">
                  <c:v>10.385999999999999</c:v>
                </c:pt>
                <c:pt idx="218">
                  <c:v>9.6129999999999995</c:v>
                </c:pt>
                <c:pt idx="219">
                  <c:v>9.0020000000000007</c:v>
                </c:pt>
                <c:pt idx="220">
                  <c:v>9.5190000000000001</c:v>
                </c:pt>
                <c:pt idx="221">
                  <c:v>11.977</c:v>
                </c:pt>
                <c:pt idx="222">
                  <c:v>11.85</c:v>
                </c:pt>
                <c:pt idx="223">
                  <c:v>12.472</c:v>
                </c:pt>
                <c:pt idx="224">
                  <c:v>13.618</c:v>
                </c:pt>
                <c:pt idx="225">
                  <c:v>13.425000000000001</c:v>
                </c:pt>
                <c:pt idx="226">
                  <c:v>12.951000000000001</c:v>
                </c:pt>
                <c:pt idx="227">
                  <c:v>13.301</c:v>
                </c:pt>
                <c:pt idx="228">
                  <c:v>12.53</c:v>
                </c:pt>
                <c:pt idx="229">
                  <c:v>11.616</c:v>
                </c:pt>
                <c:pt idx="230">
                  <c:v>11.95</c:v>
                </c:pt>
                <c:pt idx="231">
                  <c:v>12.829000000000001</c:v>
                </c:pt>
                <c:pt idx="232">
                  <c:v>13.932</c:v>
                </c:pt>
                <c:pt idx="233">
                  <c:v>13.56</c:v>
                </c:pt>
                <c:pt idx="234">
                  <c:v>13.46</c:v>
                </c:pt>
                <c:pt idx="235">
                  <c:v>15.125</c:v>
                </c:pt>
                <c:pt idx="236">
                  <c:v>14.858000000000001</c:v>
                </c:pt>
                <c:pt idx="237">
                  <c:v>15.067</c:v>
                </c:pt>
                <c:pt idx="238">
                  <c:v>16.664999999999999</c:v>
                </c:pt>
                <c:pt idx="239">
                  <c:v>14.86</c:v>
                </c:pt>
                <c:pt idx="240">
                  <c:v>13.757</c:v>
                </c:pt>
                <c:pt idx="241">
                  <c:v>13.962</c:v>
                </c:pt>
                <c:pt idx="242">
                  <c:v>12.551</c:v>
                </c:pt>
                <c:pt idx="243">
                  <c:v>12.058999999999999</c:v>
                </c:pt>
                <c:pt idx="244">
                  <c:v>12.701000000000001</c:v>
                </c:pt>
                <c:pt idx="245">
                  <c:v>14.525</c:v>
                </c:pt>
                <c:pt idx="246">
                  <c:v>15.278</c:v>
                </c:pt>
                <c:pt idx="247">
                  <c:v>13.933999999999999</c:v>
                </c:pt>
                <c:pt idx="248">
                  <c:v>14.541</c:v>
                </c:pt>
                <c:pt idx="249">
                  <c:v>11.648</c:v>
                </c:pt>
                <c:pt idx="250">
                  <c:v>12.237</c:v>
                </c:pt>
                <c:pt idx="251">
                  <c:v>13.571999999999999</c:v>
                </c:pt>
                <c:pt idx="252">
                  <c:v>16.916</c:v>
                </c:pt>
                <c:pt idx="253">
                  <c:v>13.757</c:v>
                </c:pt>
                <c:pt idx="254">
                  <c:v>22.84</c:v>
                </c:pt>
                <c:pt idx="255">
                  <c:v>21.091000000000001</c:v>
                </c:pt>
                <c:pt idx="256">
                  <c:v>24.263999999999999</c:v>
                </c:pt>
                <c:pt idx="257">
                  <c:v>24.495000000000001</c:v>
                </c:pt>
                <c:pt idx="258">
                  <c:v>25.856000000000002</c:v>
                </c:pt>
                <c:pt idx="259">
                  <c:v>23.494</c:v>
                </c:pt>
                <c:pt idx="260">
                  <c:v>23.012</c:v>
                </c:pt>
                <c:pt idx="261">
                  <c:v>26.902000000000001</c:v>
                </c:pt>
                <c:pt idx="262">
                  <c:v>25.356999999999999</c:v>
                </c:pt>
                <c:pt idx="263">
                  <c:v>28.712</c:v>
                </c:pt>
                <c:pt idx="264">
                  <c:v>29.524000000000001</c:v>
                </c:pt>
                <c:pt idx="265">
                  <c:v>28.640999999999998</c:v>
                </c:pt>
                <c:pt idx="266">
                  <c:v>25.542000000000002</c:v>
                </c:pt>
                <c:pt idx="267">
                  <c:v>24.876999999999999</c:v>
                </c:pt>
                <c:pt idx="268">
                  <c:v>20.963000000000001</c:v>
                </c:pt>
                <c:pt idx="269">
                  <c:v>22.937999999999999</c:v>
                </c:pt>
                <c:pt idx="270">
                  <c:v>23.088000000000001</c:v>
                </c:pt>
                <c:pt idx="271">
                  <c:v>23.800999999999998</c:v>
                </c:pt>
                <c:pt idx="272">
                  <c:v>22.704000000000001</c:v>
                </c:pt>
                <c:pt idx="273">
                  <c:v>22.222000000000001</c:v>
                </c:pt>
                <c:pt idx="274">
                  <c:v>22.927</c:v>
                </c:pt>
                <c:pt idx="275">
                  <c:v>23.038</c:v>
                </c:pt>
                <c:pt idx="276">
                  <c:v>22.058</c:v>
                </c:pt>
                <c:pt idx="277">
                  <c:v>18.687000000000001</c:v>
                </c:pt>
                <c:pt idx="278">
                  <c:v>18.457999999999998</c:v>
                </c:pt>
                <c:pt idx="279">
                  <c:v>20.515000000000001</c:v>
                </c:pt>
                <c:pt idx="280">
                  <c:v>18.725000000000001</c:v>
                </c:pt>
                <c:pt idx="281">
                  <c:v>19.550999999999998</c:v>
                </c:pt>
                <c:pt idx="282">
                  <c:v>21.254000000000001</c:v>
                </c:pt>
                <c:pt idx="283">
                  <c:v>19.199000000000002</c:v>
                </c:pt>
                <c:pt idx="284">
                  <c:v>21.402999999999999</c:v>
                </c:pt>
                <c:pt idx="285">
                  <c:v>24.341999999999999</c:v>
                </c:pt>
                <c:pt idx="286">
                  <c:v>25.46</c:v>
                </c:pt>
                <c:pt idx="287">
                  <c:v>27.786000000000001</c:v>
                </c:pt>
                <c:pt idx="288">
                  <c:v>27.068000000000001</c:v>
                </c:pt>
                <c:pt idx="289">
                  <c:v>23.829000000000001</c:v>
                </c:pt>
                <c:pt idx="290">
                  <c:v>22.012</c:v>
                </c:pt>
                <c:pt idx="291">
                  <c:v>23.364999999999998</c:v>
                </c:pt>
                <c:pt idx="292">
                  <c:v>21.024999999999999</c:v>
                </c:pt>
                <c:pt idx="293">
                  <c:v>21.393000000000001</c:v>
                </c:pt>
                <c:pt idx="294">
                  <c:v>20.542999999999999</c:v>
                </c:pt>
                <c:pt idx="295">
                  <c:v>19.558</c:v>
                </c:pt>
                <c:pt idx="296">
                  <c:v>21.655999999999999</c:v>
                </c:pt>
                <c:pt idx="297">
                  <c:v>21.431000000000001</c:v>
                </c:pt>
                <c:pt idx="298">
                  <c:v>21.524999999999999</c:v>
                </c:pt>
                <c:pt idx="299">
                  <c:v>20.033000000000001</c:v>
                </c:pt>
                <c:pt idx="300">
                  <c:v>20.315000000000001</c:v>
                </c:pt>
                <c:pt idx="301">
                  <c:v>19.472999999999999</c:v>
                </c:pt>
                <c:pt idx="302">
                  <c:v>19.081</c:v>
                </c:pt>
                <c:pt idx="303">
                  <c:v>19.968</c:v>
                </c:pt>
                <c:pt idx="304">
                  <c:v>20.273</c:v>
                </c:pt>
                <c:pt idx="305">
                  <c:v>19.331</c:v>
                </c:pt>
                <c:pt idx="306">
                  <c:v>18.704000000000001</c:v>
                </c:pt>
                <c:pt idx="307">
                  <c:v>18.940000000000001</c:v>
                </c:pt>
                <c:pt idx="308">
                  <c:v>17.100000000000001</c:v>
                </c:pt>
                <c:pt idx="309">
                  <c:v>17.423999999999999</c:v>
                </c:pt>
                <c:pt idx="310">
                  <c:v>18.724</c:v>
                </c:pt>
                <c:pt idx="311">
                  <c:v>19.178999999999998</c:v>
                </c:pt>
                <c:pt idx="312">
                  <c:v>20.52</c:v>
                </c:pt>
                <c:pt idx="313">
                  <c:v>20.914999999999999</c:v>
                </c:pt>
                <c:pt idx="314">
                  <c:v>22.19</c:v>
                </c:pt>
                <c:pt idx="315">
                  <c:v>22.106000000000002</c:v>
                </c:pt>
                <c:pt idx="316">
                  <c:v>20.896000000000001</c:v>
                </c:pt>
                <c:pt idx="317">
                  <c:v>21.007999999999999</c:v>
                </c:pt>
                <c:pt idx="318">
                  <c:v>19.838000000000001</c:v>
                </c:pt>
                <c:pt idx="319">
                  <c:v>18.443999999999999</c:v>
                </c:pt>
                <c:pt idx="320">
                  <c:v>19.363</c:v>
                </c:pt>
                <c:pt idx="321">
                  <c:v>18.552</c:v>
                </c:pt>
                <c:pt idx="322">
                  <c:v>19.332999999999998</c:v>
                </c:pt>
                <c:pt idx="323">
                  <c:v>19.61</c:v>
                </c:pt>
                <c:pt idx="324">
                  <c:v>21.106999999999999</c:v>
                </c:pt>
                <c:pt idx="325">
                  <c:v>19.391999999999999</c:v>
                </c:pt>
                <c:pt idx="326">
                  <c:v>19.457999999999998</c:v>
                </c:pt>
                <c:pt idx="327">
                  <c:v>18.91</c:v>
                </c:pt>
                <c:pt idx="328">
                  <c:v>18.670999999999999</c:v>
                </c:pt>
                <c:pt idx="329">
                  <c:v>18.855</c:v>
                </c:pt>
                <c:pt idx="330">
                  <c:v>21.431000000000001</c:v>
                </c:pt>
                <c:pt idx="331">
                  <c:v>18.850999999999999</c:v>
                </c:pt>
                <c:pt idx="332">
                  <c:v>18.701000000000001</c:v>
                </c:pt>
                <c:pt idx="333">
                  <c:v>17.649000000000001</c:v>
                </c:pt>
                <c:pt idx="334">
                  <c:v>19.120999999999999</c:v>
                </c:pt>
                <c:pt idx="335">
                  <c:v>18.86</c:v>
                </c:pt>
                <c:pt idx="336">
                  <c:v>17.686</c:v>
                </c:pt>
                <c:pt idx="337">
                  <c:v>19.420000000000002</c:v>
                </c:pt>
                <c:pt idx="338">
                  <c:v>20.079999999999998</c:v>
                </c:pt>
                <c:pt idx="339">
                  <c:v>21.152000000000001</c:v>
                </c:pt>
                <c:pt idx="340">
                  <c:v>21.568999999999999</c:v>
                </c:pt>
                <c:pt idx="341">
                  <c:v>21.648</c:v>
                </c:pt>
                <c:pt idx="342">
                  <c:v>22.898</c:v>
                </c:pt>
                <c:pt idx="343">
                  <c:v>23.091999999999999</c:v>
                </c:pt>
                <c:pt idx="344">
                  <c:v>23.83</c:v>
                </c:pt>
                <c:pt idx="345">
                  <c:v>25.067</c:v>
                </c:pt>
                <c:pt idx="346">
                  <c:v>22.489000000000001</c:v>
                </c:pt>
                <c:pt idx="347">
                  <c:v>19.084</c:v>
                </c:pt>
                <c:pt idx="348">
                  <c:v>20.248000000000001</c:v>
                </c:pt>
                <c:pt idx="349">
                  <c:v>21.076000000000001</c:v>
                </c:pt>
                <c:pt idx="350">
                  <c:v>17.652000000000001</c:v>
                </c:pt>
                <c:pt idx="351">
                  <c:v>14.965</c:v>
                </c:pt>
                <c:pt idx="352">
                  <c:v>15.057</c:v>
                </c:pt>
                <c:pt idx="353">
                  <c:v>14.169</c:v>
                </c:pt>
                <c:pt idx="354">
                  <c:v>13.840999999999999</c:v>
                </c:pt>
                <c:pt idx="355">
                  <c:v>12.087</c:v>
                </c:pt>
                <c:pt idx="356">
                  <c:v>12.19</c:v>
                </c:pt>
                <c:pt idx="357">
                  <c:v>9.1519999999999992</c:v>
                </c:pt>
                <c:pt idx="358">
                  <c:v>9.3030000000000008</c:v>
                </c:pt>
                <c:pt idx="359">
                  <c:v>8.8930000000000007</c:v>
                </c:pt>
                <c:pt idx="360">
                  <c:v>9.2899999999999991</c:v>
                </c:pt>
                <c:pt idx="361">
                  <c:v>8.1449999999999996</c:v>
                </c:pt>
                <c:pt idx="362">
                  <c:v>8.048</c:v>
                </c:pt>
                <c:pt idx="363">
                  <c:v>7.9749999999999996</c:v>
                </c:pt>
                <c:pt idx="364">
                  <c:v>8.0410000000000004</c:v>
                </c:pt>
                <c:pt idx="365">
                  <c:v>6.9530000000000003</c:v>
                </c:pt>
                <c:pt idx="366">
                  <c:v>7.7320000000000002</c:v>
                </c:pt>
                <c:pt idx="367">
                  <c:v>7.7380000000000004</c:v>
                </c:pt>
                <c:pt idx="368">
                  <c:v>8.24</c:v>
                </c:pt>
                <c:pt idx="369">
                  <c:v>8.3290000000000006</c:v>
                </c:pt>
                <c:pt idx="370">
                  <c:v>7.9850000000000003</c:v>
                </c:pt>
                <c:pt idx="371">
                  <c:v>7.1769999999999996</c:v>
                </c:pt>
                <c:pt idx="372">
                  <c:v>8.9090000000000007</c:v>
                </c:pt>
                <c:pt idx="373">
                  <c:v>8.891</c:v>
                </c:pt>
                <c:pt idx="374">
                  <c:v>9.5389999999999997</c:v>
                </c:pt>
                <c:pt idx="375">
                  <c:v>8.5440000000000005</c:v>
                </c:pt>
                <c:pt idx="376">
                  <c:v>9.0299999999999994</c:v>
                </c:pt>
                <c:pt idx="377">
                  <c:v>7.8959999999999999</c:v>
                </c:pt>
                <c:pt idx="378">
                  <c:v>6.476</c:v>
                </c:pt>
                <c:pt idx="379">
                  <c:v>6.242</c:v>
                </c:pt>
                <c:pt idx="380">
                  <c:v>5.7110000000000003</c:v>
                </c:pt>
                <c:pt idx="381">
                  <c:v>5.726</c:v>
                </c:pt>
                <c:pt idx="382">
                  <c:v>6.4089999999999998</c:v>
                </c:pt>
                <c:pt idx="383">
                  <c:v>6.54</c:v>
                </c:pt>
                <c:pt idx="384">
                  <c:v>5.931</c:v>
                </c:pt>
                <c:pt idx="385">
                  <c:v>6.2640000000000002</c:v>
                </c:pt>
                <c:pt idx="386">
                  <c:v>6.6820000000000004</c:v>
                </c:pt>
                <c:pt idx="387">
                  <c:v>6.1959999999999997</c:v>
                </c:pt>
                <c:pt idx="388">
                  <c:v>6.0439999999999996</c:v>
                </c:pt>
                <c:pt idx="389">
                  <c:v>5.8289999999999997</c:v>
                </c:pt>
                <c:pt idx="390">
                  <c:v>5.42</c:v>
                </c:pt>
                <c:pt idx="391">
                  <c:v>5.8609999999999998</c:v>
                </c:pt>
                <c:pt idx="392">
                  <c:v>6.4649999999999999</c:v>
                </c:pt>
                <c:pt idx="393">
                  <c:v>5.4240000000000004</c:v>
                </c:pt>
                <c:pt idx="394">
                  <c:v>5.6219999999999999</c:v>
                </c:pt>
                <c:pt idx="395">
                  <c:v>5.391</c:v>
                </c:pt>
                <c:pt idx="396">
                  <c:v>4.8419999999999996</c:v>
                </c:pt>
                <c:pt idx="397">
                  <c:v>4.8099999999999996</c:v>
                </c:pt>
                <c:pt idx="398">
                  <c:v>4.9089999999999998</c:v>
                </c:pt>
                <c:pt idx="399">
                  <c:v>4.9589999999999996</c:v>
                </c:pt>
                <c:pt idx="400">
                  <c:v>4.3949999999999996</c:v>
                </c:pt>
                <c:pt idx="401">
                  <c:v>4.9429999999999996</c:v>
                </c:pt>
                <c:pt idx="402">
                  <c:v>5.0309999999999997</c:v>
                </c:pt>
                <c:pt idx="403">
                  <c:v>5.0359999999999996</c:v>
                </c:pt>
                <c:pt idx="404">
                  <c:v>5.2889999999999997</c:v>
                </c:pt>
                <c:pt idx="405">
                  <c:v>5.3289999999999997</c:v>
                </c:pt>
                <c:pt idx="406">
                  <c:v>5.3540000000000001</c:v>
                </c:pt>
                <c:pt idx="407">
                  <c:v>5.4939999999999998</c:v>
                </c:pt>
                <c:pt idx="408">
                  <c:v>5.2910000000000004</c:v>
                </c:pt>
                <c:pt idx="409">
                  <c:v>5.2270000000000003</c:v>
                </c:pt>
                <c:pt idx="410">
                  <c:v>5.1950000000000003</c:v>
                </c:pt>
                <c:pt idx="411">
                  <c:v>5.0599999999999996</c:v>
                </c:pt>
                <c:pt idx="412">
                  <c:v>4.7069999999999999</c:v>
                </c:pt>
                <c:pt idx="413">
                  <c:v>4.6550000000000002</c:v>
                </c:pt>
                <c:pt idx="414">
                  <c:v>4.8040000000000003</c:v>
                </c:pt>
                <c:pt idx="415">
                  <c:v>4.7380000000000004</c:v>
                </c:pt>
                <c:pt idx="416">
                  <c:v>5.0999999999999996</c:v>
                </c:pt>
                <c:pt idx="417">
                  <c:v>5.2130000000000001</c:v>
                </c:pt>
                <c:pt idx="418">
                  <c:v>5.2610000000000001</c:v>
                </c:pt>
                <c:pt idx="419">
                  <c:v>5.0490000000000004</c:v>
                </c:pt>
                <c:pt idx="420">
                  <c:v>5.5</c:v>
                </c:pt>
                <c:pt idx="421">
                  <c:v>5.51</c:v>
                </c:pt>
                <c:pt idx="422">
                  <c:v>5.2560000000000002</c:v>
                </c:pt>
                <c:pt idx="423">
                  <c:v>5.5709999999999997</c:v>
                </c:pt>
                <c:pt idx="424">
                  <c:v>5.4290000000000003</c:v>
                </c:pt>
                <c:pt idx="425">
                  <c:v>5.43</c:v>
                </c:pt>
                <c:pt idx="426">
                  <c:v>5.3680000000000003</c:v>
                </c:pt>
                <c:pt idx="427">
                  <c:v>5.33</c:v>
                </c:pt>
                <c:pt idx="428">
                  <c:v>5.9039999999999999</c:v>
                </c:pt>
                <c:pt idx="429">
                  <c:v>5.9660000000000002</c:v>
                </c:pt>
                <c:pt idx="430">
                  <c:v>5.8109999999999999</c:v>
                </c:pt>
                <c:pt idx="431">
                  <c:v>5.4809999999999999</c:v>
                </c:pt>
                <c:pt idx="432">
                  <c:v>5.9219999999999997</c:v>
                </c:pt>
                <c:pt idx="433">
                  <c:v>5.2679999999999998</c:v>
                </c:pt>
                <c:pt idx="434">
                  <c:v>5.0970000000000004</c:v>
                </c:pt>
                <c:pt idx="435">
                  <c:v>5.1050000000000004</c:v>
                </c:pt>
                <c:pt idx="436">
                  <c:v>5.2850000000000001</c:v>
                </c:pt>
                <c:pt idx="437">
                  <c:v>5.0839999999999996</c:v>
                </c:pt>
                <c:pt idx="438">
                  <c:v>4.9790000000000001</c:v>
                </c:pt>
                <c:pt idx="439">
                  <c:v>5.0449999999999999</c:v>
                </c:pt>
                <c:pt idx="440">
                  <c:v>5.2130000000000001</c:v>
                </c:pt>
                <c:pt idx="441">
                  <c:v>5.03</c:v>
                </c:pt>
                <c:pt idx="442">
                  <c:v>5.0330000000000004</c:v>
                </c:pt>
                <c:pt idx="443">
                  <c:v>5.0839999999999996</c:v>
                </c:pt>
                <c:pt idx="444">
                  <c:v>5.1550000000000002</c:v>
                </c:pt>
                <c:pt idx="445">
                  <c:v>4.8090000000000002</c:v>
                </c:pt>
                <c:pt idx="446">
                  <c:v>4.6189999999999998</c:v>
                </c:pt>
                <c:pt idx="447">
                  <c:v>4.88</c:v>
                </c:pt>
                <c:pt idx="448">
                  <c:v>4.5039999999999996</c:v>
                </c:pt>
                <c:pt idx="449">
                  <c:v>4.3869999999999996</c:v>
                </c:pt>
                <c:pt idx="450">
                  <c:v>4.4800000000000004</c:v>
                </c:pt>
                <c:pt idx="451">
                  <c:v>4.6029999999999998</c:v>
                </c:pt>
                <c:pt idx="452">
                  <c:v>4.7430000000000003</c:v>
                </c:pt>
                <c:pt idx="453">
                  <c:v>4.6159999999999997</c:v>
                </c:pt>
                <c:pt idx="454">
                  <c:v>4.62</c:v>
                </c:pt>
                <c:pt idx="455">
                  <c:v>4.633</c:v>
                </c:pt>
                <c:pt idx="456">
                  <c:v>4.8029999999999999</c:v>
                </c:pt>
                <c:pt idx="457">
                  <c:v>5.1379999999999999</c:v>
                </c:pt>
                <c:pt idx="458">
                  <c:v>5.1449999999999996</c:v>
                </c:pt>
                <c:pt idx="459">
                  <c:v>5.2919999999999998</c:v>
                </c:pt>
                <c:pt idx="460">
                  <c:v>5.5430000000000001</c:v>
                </c:pt>
                <c:pt idx="461">
                  <c:v>5.3639999999999999</c:v>
                </c:pt>
                <c:pt idx="462">
                  <c:v>5.444</c:v>
                </c:pt>
                <c:pt idx="463">
                  <c:v>5.2409999999999997</c:v>
                </c:pt>
                <c:pt idx="464">
                  <c:v>5.024</c:v>
                </c:pt>
                <c:pt idx="465">
                  <c:v>5.5019999999999998</c:v>
                </c:pt>
                <c:pt idx="466">
                  <c:v>5.7619999999999996</c:v>
                </c:pt>
                <c:pt idx="467">
                  <c:v>5.4660000000000002</c:v>
                </c:pt>
                <c:pt idx="468">
                  <c:v>5.4029999999999996</c:v>
                </c:pt>
                <c:pt idx="469">
                  <c:v>5.7690000000000001</c:v>
                </c:pt>
                <c:pt idx="470">
                  <c:v>5.7270000000000003</c:v>
                </c:pt>
                <c:pt idx="471">
                  <c:v>6.0119999999999996</c:v>
                </c:pt>
                <c:pt idx="472">
                  <c:v>5.97</c:v>
                </c:pt>
                <c:pt idx="473">
                  <c:v>6.0720000000000001</c:v>
                </c:pt>
                <c:pt idx="474">
                  <c:v>5.5339999999999998</c:v>
                </c:pt>
                <c:pt idx="475">
                  <c:v>5.1550000000000002</c:v>
                </c:pt>
                <c:pt idx="476">
                  <c:v>5.0339999999999998</c:v>
                </c:pt>
                <c:pt idx="477">
                  <c:v>4.8730000000000002</c:v>
                </c:pt>
                <c:pt idx="478">
                  <c:v>4.7359999999999998</c:v>
                </c:pt>
                <c:pt idx="479">
                  <c:v>5.3659999999999997</c:v>
                </c:pt>
                <c:pt idx="480">
                  <c:v>5.3140000000000001</c:v>
                </c:pt>
                <c:pt idx="481">
                  <c:v>5.01</c:v>
                </c:pt>
                <c:pt idx="482">
                  <c:v>4.9059999999999997</c:v>
                </c:pt>
                <c:pt idx="483">
                  <c:v>5.1349999999999998</c:v>
                </c:pt>
                <c:pt idx="484">
                  <c:v>5.3719999999999999</c:v>
                </c:pt>
                <c:pt idx="485">
                  <c:v>5.3090000000000002</c:v>
                </c:pt>
                <c:pt idx="486">
                  <c:v>4.8259999999999996</c:v>
                </c:pt>
                <c:pt idx="487">
                  <c:v>4.7270000000000003</c:v>
                </c:pt>
                <c:pt idx="488">
                  <c:v>4.6070000000000002</c:v>
                </c:pt>
                <c:pt idx="489">
                  <c:v>4.7910000000000004</c:v>
                </c:pt>
                <c:pt idx="490">
                  <c:v>4.4829999999999997</c:v>
                </c:pt>
                <c:pt idx="491">
                  <c:v>3.839</c:v>
                </c:pt>
                <c:pt idx="492">
                  <c:v>4.21</c:v>
                </c:pt>
                <c:pt idx="493">
                  <c:v>4.0810000000000004</c:v>
                </c:pt>
                <c:pt idx="494">
                  <c:v>4.6639999999999997</c:v>
                </c:pt>
                <c:pt idx="495">
                  <c:v>4.9429999999999996</c:v>
                </c:pt>
                <c:pt idx="496">
                  <c:v>4.9660000000000002</c:v>
                </c:pt>
                <c:pt idx="497">
                  <c:v>5.0620000000000003</c:v>
                </c:pt>
                <c:pt idx="498">
                  <c:v>5.1219999999999999</c:v>
                </c:pt>
                <c:pt idx="499">
                  <c:v>4.8659999999999997</c:v>
                </c:pt>
                <c:pt idx="500">
                  <c:v>5.3810000000000002</c:v>
                </c:pt>
                <c:pt idx="501">
                  <c:v>5.32</c:v>
                </c:pt>
                <c:pt idx="502">
                  <c:v>5.6029999999999998</c:v>
                </c:pt>
                <c:pt idx="503">
                  <c:v>5.3419999999999996</c:v>
                </c:pt>
                <c:pt idx="504">
                  <c:v>5.3239999999999998</c:v>
                </c:pt>
                <c:pt idx="505">
                  <c:v>5.32</c:v>
                </c:pt>
                <c:pt idx="506">
                  <c:v>4.952</c:v>
                </c:pt>
                <c:pt idx="507">
                  <c:v>5.0529999999999999</c:v>
                </c:pt>
                <c:pt idx="508">
                  <c:v>5.1779999999999999</c:v>
                </c:pt>
                <c:pt idx="509">
                  <c:v>4.9180000000000001</c:v>
                </c:pt>
                <c:pt idx="510">
                  <c:v>5.4630000000000001</c:v>
                </c:pt>
                <c:pt idx="511">
                  <c:v>4.899</c:v>
                </c:pt>
                <c:pt idx="512">
                  <c:v>6.6429999999999998</c:v>
                </c:pt>
                <c:pt idx="513">
                  <c:v>7.218</c:v>
                </c:pt>
                <c:pt idx="514">
                  <c:v>7.2050000000000001</c:v>
                </c:pt>
                <c:pt idx="515">
                  <c:v>7.6210000000000004</c:v>
                </c:pt>
                <c:pt idx="516">
                  <c:v>7.27</c:v>
                </c:pt>
                <c:pt idx="517">
                  <c:v>7.5590000000000002</c:v>
                </c:pt>
                <c:pt idx="518">
                  <c:v>7.2910000000000004</c:v>
                </c:pt>
                <c:pt idx="519">
                  <c:v>7.7080000000000002</c:v>
                </c:pt>
                <c:pt idx="520">
                  <c:v>8.3780000000000001</c:v>
                </c:pt>
                <c:pt idx="521">
                  <c:v>8.2110000000000003</c:v>
                </c:pt>
                <c:pt idx="522">
                  <c:v>8.532</c:v>
                </c:pt>
                <c:pt idx="523">
                  <c:v>6.4109999999999996</c:v>
                </c:pt>
                <c:pt idx="524">
                  <c:v>5.6059999999999999</c:v>
                </c:pt>
                <c:pt idx="525">
                  <c:v>6.2969999999999997</c:v>
                </c:pt>
                <c:pt idx="526">
                  <c:v>5.65</c:v>
                </c:pt>
                <c:pt idx="527">
                  <c:v>5.8259999999999996</c:v>
                </c:pt>
                <c:pt idx="528">
                  <c:v>5.907</c:v>
                </c:pt>
                <c:pt idx="529">
                  <c:v>6.2430000000000003</c:v>
                </c:pt>
                <c:pt idx="530">
                  <c:v>6.077</c:v>
                </c:pt>
                <c:pt idx="531">
                  <c:v>6.0960000000000001</c:v>
                </c:pt>
                <c:pt idx="532">
                  <c:v>6.085</c:v>
                </c:pt>
                <c:pt idx="533">
                  <c:v>5.9020000000000001</c:v>
                </c:pt>
                <c:pt idx="534">
                  <c:v>4.9160000000000004</c:v>
                </c:pt>
                <c:pt idx="535">
                  <c:v>5.4740000000000002</c:v>
                </c:pt>
                <c:pt idx="536">
                  <c:v>5.2729999999999997</c:v>
                </c:pt>
                <c:pt idx="537">
                  <c:v>4.4260000000000002</c:v>
                </c:pt>
                <c:pt idx="538">
                  <c:v>4.0149999999999997</c:v>
                </c:pt>
                <c:pt idx="539">
                  <c:v>4.1719999999999997</c:v>
                </c:pt>
                <c:pt idx="540">
                  <c:v>4.1440000000000001</c:v>
                </c:pt>
                <c:pt idx="541">
                  <c:v>4.0209999999999999</c:v>
                </c:pt>
                <c:pt idx="542">
                  <c:v>3.82</c:v>
                </c:pt>
                <c:pt idx="543">
                  <c:v>3.9119999999999999</c:v>
                </c:pt>
                <c:pt idx="544">
                  <c:v>4.0839999999999996</c:v>
                </c:pt>
                <c:pt idx="545">
                  <c:v>3.7930000000000001</c:v>
                </c:pt>
                <c:pt idx="546">
                  <c:v>3.7029999999999998</c:v>
                </c:pt>
                <c:pt idx="547">
                  <c:v>3.6339999999999999</c:v>
                </c:pt>
                <c:pt idx="548">
                  <c:v>3.7509999999999999</c:v>
                </c:pt>
                <c:pt idx="549">
                  <c:v>3.593</c:v>
                </c:pt>
                <c:pt idx="550">
                  <c:v>3.81</c:v>
                </c:pt>
                <c:pt idx="551">
                  <c:v>3.9169999999999998</c:v>
                </c:pt>
                <c:pt idx="552">
                  <c:v>3.8250000000000002</c:v>
                </c:pt>
                <c:pt idx="553">
                  <c:v>3.9630000000000001</c:v>
                </c:pt>
                <c:pt idx="554">
                  <c:v>4.0119999999999996</c:v>
                </c:pt>
                <c:pt idx="555">
                  <c:v>4.01</c:v>
                </c:pt>
                <c:pt idx="556">
                  <c:v>3.8809999999999998</c:v>
                </c:pt>
                <c:pt idx="557">
                  <c:v>4.202</c:v>
                </c:pt>
                <c:pt idx="558">
                  <c:v>4.3600000000000003</c:v>
                </c:pt>
                <c:pt idx="559">
                  <c:v>4.1449999999999996</c:v>
                </c:pt>
                <c:pt idx="560">
                  <c:v>4.077</c:v>
                </c:pt>
                <c:pt idx="561">
                  <c:v>4.0469999999999997</c:v>
                </c:pt>
                <c:pt idx="562">
                  <c:v>3.9590000000000001</c:v>
                </c:pt>
                <c:pt idx="563">
                  <c:v>3.8719999999999999</c:v>
                </c:pt>
                <c:pt idx="564">
                  <c:v>4.0229999999999997</c:v>
                </c:pt>
                <c:pt idx="565">
                  <c:v>3.9209999999999998</c:v>
                </c:pt>
                <c:pt idx="566">
                  <c:v>4.0529999999999999</c:v>
                </c:pt>
                <c:pt idx="567">
                  <c:v>3.7879999999999998</c:v>
                </c:pt>
                <c:pt idx="568">
                  <c:v>3.5539999999999998</c:v>
                </c:pt>
                <c:pt idx="569">
                  <c:v>3.2490000000000001</c:v>
                </c:pt>
                <c:pt idx="570">
                  <c:v>3.0209999999999999</c:v>
                </c:pt>
                <c:pt idx="571">
                  <c:v>2.93</c:v>
                </c:pt>
                <c:pt idx="572">
                  <c:v>2.7789999999999999</c:v>
                </c:pt>
                <c:pt idx="573">
                  <c:v>2.69</c:v>
                </c:pt>
                <c:pt idx="574">
                  <c:v>2.6589999999999998</c:v>
                </c:pt>
                <c:pt idx="575">
                  <c:v>2.6589999999999998</c:v>
                </c:pt>
                <c:pt idx="576">
                  <c:v>2.5950000000000002</c:v>
                </c:pt>
                <c:pt idx="577">
                  <c:v>2.6459999999999999</c:v>
                </c:pt>
                <c:pt idx="578">
                  <c:v>2.504</c:v>
                </c:pt>
                <c:pt idx="579">
                  <c:v>2.4289999999999998</c:v>
                </c:pt>
                <c:pt idx="580">
                  <c:v>2.6219999999999999</c:v>
                </c:pt>
                <c:pt idx="581">
                  <c:v>2.6240000000000001</c:v>
                </c:pt>
                <c:pt idx="582">
                  <c:v>2.6850000000000001</c:v>
                </c:pt>
                <c:pt idx="583">
                  <c:v>2.774</c:v>
                </c:pt>
                <c:pt idx="584">
                  <c:v>2.6880000000000002</c:v>
                </c:pt>
                <c:pt idx="585">
                  <c:v>2.5990000000000002</c:v>
                </c:pt>
                <c:pt idx="586">
                  <c:v>2.62</c:v>
                </c:pt>
                <c:pt idx="587">
                  <c:v>2.597</c:v>
                </c:pt>
                <c:pt idx="588">
                  <c:v>2.6429999999999998</c:v>
                </c:pt>
                <c:pt idx="589">
                  <c:v>2.7029999999999998</c:v>
                </c:pt>
                <c:pt idx="590">
                  <c:v>2.7290000000000001</c:v>
                </c:pt>
                <c:pt idx="591">
                  <c:v>2.7050000000000001</c:v>
                </c:pt>
                <c:pt idx="592">
                  <c:v>2.7559999999999998</c:v>
                </c:pt>
                <c:pt idx="593">
                  <c:v>2.8730000000000002</c:v>
                </c:pt>
                <c:pt idx="594">
                  <c:v>2.8620000000000001</c:v>
                </c:pt>
                <c:pt idx="595">
                  <c:v>2.7629999999999999</c:v>
                </c:pt>
                <c:pt idx="596">
                  <c:v>3.1139999999999999</c:v>
                </c:pt>
                <c:pt idx="597">
                  <c:v>3.117</c:v>
                </c:pt>
                <c:pt idx="598">
                  <c:v>3.1549999999999998</c:v>
                </c:pt>
                <c:pt idx="599">
                  <c:v>3.02</c:v>
                </c:pt>
                <c:pt idx="600">
                  <c:v>3.056</c:v>
                </c:pt>
                <c:pt idx="601">
                  <c:v>3.093</c:v>
                </c:pt>
                <c:pt idx="602">
                  <c:v>3.11</c:v>
                </c:pt>
                <c:pt idx="603">
                  <c:v>2.9060000000000001</c:v>
                </c:pt>
                <c:pt idx="604">
                  <c:v>2.7610000000000001</c:v>
                </c:pt>
                <c:pt idx="605">
                  <c:v>2.8620000000000001</c:v>
                </c:pt>
                <c:pt idx="606">
                  <c:v>2.7280000000000002</c:v>
                </c:pt>
                <c:pt idx="607">
                  <c:v>2.8170000000000002</c:v>
                </c:pt>
                <c:pt idx="608">
                  <c:v>2.677</c:v>
                </c:pt>
                <c:pt idx="609">
                  <c:v>2.6709999999999998</c:v>
                </c:pt>
                <c:pt idx="610">
                  <c:v>2.601</c:v>
                </c:pt>
                <c:pt idx="611">
                  <c:v>2.5830000000000002</c:v>
                </c:pt>
                <c:pt idx="612">
                  <c:v>2.6120000000000001</c:v>
                </c:pt>
                <c:pt idx="613">
                  <c:v>2.4950000000000001</c:v>
                </c:pt>
                <c:pt idx="614">
                  <c:v>2.5920000000000001</c:v>
                </c:pt>
                <c:pt idx="615">
                  <c:v>2.65</c:v>
                </c:pt>
                <c:pt idx="616">
                  <c:v>2.5129999999999999</c:v>
                </c:pt>
                <c:pt idx="617">
                  <c:v>2.7050000000000001</c:v>
                </c:pt>
                <c:pt idx="618">
                  <c:v>2.617</c:v>
                </c:pt>
                <c:pt idx="619">
                  <c:v>2.6</c:v>
                </c:pt>
                <c:pt idx="620">
                  <c:v>2.544</c:v>
                </c:pt>
                <c:pt idx="621">
                  <c:v>2.5550000000000002</c:v>
                </c:pt>
                <c:pt idx="622">
                  <c:v>2.4729999999999999</c:v>
                </c:pt>
                <c:pt idx="623">
                  <c:v>2.528</c:v>
                </c:pt>
                <c:pt idx="624">
                  <c:v>2.54</c:v>
                </c:pt>
                <c:pt idx="625">
                  <c:v>2.4860000000000002</c:v>
                </c:pt>
                <c:pt idx="626">
                  <c:v>2.3940000000000001</c:v>
                </c:pt>
                <c:pt idx="627">
                  <c:v>2.5139999999999998</c:v>
                </c:pt>
                <c:pt idx="628">
                  <c:v>2.75</c:v>
                </c:pt>
                <c:pt idx="629">
                  <c:v>2.806</c:v>
                </c:pt>
                <c:pt idx="630">
                  <c:v>2.7250000000000001</c:v>
                </c:pt>
                <c:pt idx="631">
                  <c:v>2.6190000000000002</c:v>
                </c:pt>
                <c:pt idx="632">
                  <c:v>2.7069999999999999</c:v>
                </c:pt>
                <c:pt idx="633">
                  <c:v>2.7610000000000001</c:v>
                </c:pt>
                <c:pt idx="634">
                  <c:v>2.774</c:v>
                </c:pt>
                <c:pt idx="635">
                  <c:v>2.8730000000000002</c:v>
                </c:pt>
                <c:pt idx="636">
                  <c:v>2.8279999999999998</c:v>
                </c:pt>
                <c:pt idx="637">
                  <c:v>2.734</c:v>
                </c:pt>
                <c:pt idx="638">
                  <c:v>2.9289999999999998</c:v>
                </c:pt>
                <c:pt idx="639">
                  <c:v>2.7930000000000001</c:v>
                </c:pt>
                <c:pt idx="640">
                  <c:v>2.7669999999999999</c:v>
                </c:pt>
                <c:pt idx="641">
                  <c:v>2.8079999999999998</c:v>
                </c:pt>
                <c:pt idx="642">
                  <c:v>2.871</c:v>
                </c:pt>
                <c:pt idx="643">
                  <c:v>2.7480000000000002</c:v>
                </c:pt>
                <c:pt idx="644">
                  <c:v>2.427</c:v>
                </c:pt>
                <c:pt idx="645">
                  <c:v>2.3879999999999999</c:v>
                </c:pt>
                <c:pt idx="646">
                  <c:v>2.2709999999999999</c:v>
                </c:pt>
                <c:pt idx="647">
                  <c:v>2.2709999999999999</c:v>
                </c:pt>
                <c:pt idx="648">
                  <c:v>2.3820000000000001</c:v>
                </c:pt>
                <c:pt idx="649">
                  <c:v>2.5089999999999999</c:v>
                </c:pt>
                <c:pt idx="650">
                  <c:v>2.367</c:v>
                </c:pt>
                <c:pt idx="651">
                  <c:v>2.4220000000000002</c:v>
                </c:pt>
                <c:pt idx="652">
                  <c:v>2.27</c:v>
                </c:pt>
                <c:pt idx="653">
                  <c:v>2.3610000000000002</c:v>
                </c:pt>
                <c:pt idx="654">
                  <c:v>2.2589999999999999</c:v>
                </c:pt>
                <c:pt idx="655">
                  <c:v>2.2989999999999999</c:v>
                </c:pt>
                <c:pt idx="656">
                  <c:v>2.306</c:v>
                </c:pt>
                <c:pt idx="657">
                  <c:v>2.3069999999999999</c:v>
                </c:pt>
                <c:pt idx="658">
                  <c:v>2.573</c:v>
                </c:pt>
                <c:pt idx="659">
                  <c:v>2.4929999999999999</c:v>
                </c:pt>
                <c:pt idx="660">
                  <c:v>2.3460000000000001</c:v>
                </c:pt>
                <c:pt idx="661">
                  <c:v>2.407</c:v>
                </c:pt>
                <c:pt idx="662">
                  <c:v>2.0640000000000001</c:v>
                </c:pt>
                <c:pt idx="663">
                  <c:v>2.0219999999999998</c:v>
                </c:pt>
                <c:pt idx="664">
                  <c:v>1.978</c:v>
                </c:pt>
                <c:pt idx="665">
                  <c:v>1.982</c:v>
                </c:pt>
                <c:pt idx="666">
                  <c:v>1.9690000000000001</c:v>
                </c:pt>
                <c:pt idx="667">
                  <c:v>1.95</c:v>
                </c:pt>
                <c:pt idx="668">
                  <c:v>1.9570000000000001</c:v>
                </c:pt>
                <c:pt idx="669">
                  <c:v>1.85</c:v>
                </c:pt>
                <c:pt idx="670">
                  <c:v>1.9710000000000001</c:v>
                </c:pt>
                <c:pt idx="671">
                  <c:v>1.992</c:v>
                </c:pt>
                <c:pt idx="672">
                  <c:v>2.173</c:v>
                </c:pt>
                <c:pt idx="673">
                  <c:v>2.0790000000000002</c:v>
                </c:pt>
                <c:pt idx="674">
                  <c:v>2.1429999999999998</c:v>
                </c:pt>
                <c:pt idx="675">
                  <c:v>2.1110000000000002</c:v>
                </c:pt>
                <c:pt idx="676">
                  <c:v>1.917</c:v>
                </c:pt>
                <c:pt idx="677">
                  <c:v>2.1680000000000001</c:v>
                </c:pt>
                <c:pt idx="678">
                  <c:v>2.165</c:v>
                </c:pt>
                <c:pt idx="679">
                  <c:v>2.0670000000000002</c:v>
                </c:pt>
                <c:pt idx="680">
                  <c:v>1.8109999999999999</c:v>
                </c:pt>
                <c:pt idx="681">
                  <c:v>1.7629999999999999</c:v>
                </c:pt>
                <c:pt idx="682">
                  <c:v>1.671</c:v>
                </c:pt>
                <c:pt idx="683">
                  <c:v>1.921</c:v>
                </c:pt>
                <c:pt idx="684">
                  <c:v>1.837</c:v>
                </c:pt>
                <c:pt idx="685">
                  <c:v>1.804</c:v>
                </c:pt>
                <c:pt idx="686">
                  <c:v>1.615</c:v>
                </c:pt>
                <c:pt idx="687">
                  <c:v>2.9940000000000002</c:v>
                </c:pt>
                <c:pt idx="688">
                  <c:v>3.0619999999999998</c:v>
                </c:pt>
                <c:pt idx="689">
                  <c:v>3.0259999999999998</c:v>
                </c:pt>
                <c:pt idx="690">
                  <c:v>3.081</c:v>
                </c:pt>
                <c:pt idx="691">
                  <c:v>3.6179999999999999</c:v>
                </c:pt>
                <c:pt idx="692">
                  <c:v>3.8540000000000001</c:v>
                </c:pt>
                <c:pt idx="693">
                  <c:v>3.7559999999999998</c:v>
                </c:pt>
                <c:pt idx="694">
                  <c:v>3.7429999999999999</c:v>
                </c:pt>
                <c:pt idx="695">
                  <c:v>3.6230000000000002</c:v>
                </c:pt>
                <c:pt idx="696">
                  <c:v>3.7090000000000001</c:v>
                </c:pt>
                <c:pt idx="697">
                  <c:v>3.347</c:v>
                </c:pt>
                <c:pt idx="698">
                  <c:v>3.4430000000000001</c:v>
                </c:pt>
                <c:pt idx="699">
                  <c:v>3.548</c:v>
                </c:pt>
                <c:pt idx="700">
                  <c:v>3.6920000000000002</c:v>
                </c:pt>
                <c:pt idx="701">
                  <c:v>3.641</c:v>
                </c:pt>
                <c:pt idx="702">
                  <c:v>4.0510000000000002</c:v>
                </c:pt>
                <c:pt idx="703">
                  <c:v>4.3929999999999998</c:v>
                </c:pt>
                <c:pt idx="704">
                  <c:v>4.7939999999999996</c:v>
                </c:pt>
                <c:pt idx="705">
                  <c:v>5.0110000000000001</c:v>
                </c:pt>
                <c:pt idx="706">
                  <c:v>4.9530000000000003</c:v>
                </c:pt>
                <c:pt idx="707">
                  <c:v>4.4610000000000003</c:v>
                </c:pt>
                <c:pt idx="708">
                  <c:v>4.1459999999999999</c:v>
                </c:pt>
                <c:pt idx="709">
                  <c:v>4.4409999999999998</c:v>
                </c:pt>
                <c:pt idx="710">
                  <c:v>4.2699999999999996</c:v>
                </c:pt>
                <c:pt idx="711">
                  <c:v>4.3819999999999997</c:v>
                </c:pt>
                <c:pt idx="712">
                  <c:v>4.6079999999999997</c:v>
                </c:pt>
                <c:pt idx="713">
                  <c:v>5.1109999999999998</c:v>
                </c:pt>
                <c:pt idx="714">
                  <c:v>4.9059999999999997</c:v>
                </c:pt>
                <c:pt idx="715">
                  <c:v>5.109</c:v>
                </c:pt>
                <c:pt idx="716">
                  <c:v>5.1050000000000004</c:v>
                </c:pt>
                <c:pt idx="717">
                  <c:v>4.7729999999999997</c:v>
                </c:pt>
                <c:pt idx="718">
                  <c:v>4.7569999999999997</c:v>
                </c:pt>
                <c:pt idx="719">
                  <c:v>4.6289999999999996</c:v>
                </c:pt>
                <c:pt idx="720">
                  <c:v>4.8250000000000002</c:v>
                </c:pt>
                <c:pt idx="721">
                  <c:v>4.5890000000000004</c:v>
                </c:pt>
                <c:pt idx="722">
                  <c:v>4.33</c:v>
                </c:pt>
                <c:pt idx="723">
                  <c:v>4.22</c:v>
                </c:pt>
                <c:pt idx="724">
                  <c:v>4.2629999999999999</c:v>
                </c:pt>
                <c:pt idx="725">
                  <c:v>4.4029999999999996</c:v>
                </c:pt>
                <c:pt idx="726">
                  <c:v>4.3879999999999999</c:v>
                </c:pt>
                <c:pt idx="727">
                  <c:v>4.3970000000000002</c:v>
                </c:pt>
                <c:pt idx="728">
                  <c:v>4.41</c:v>
                </c:pt>
                <c:pt idx="729">
                  <c:v>4.4009999999999998</c:v>
                </c:pt>
                <c:pt idx="730">
                  <c:v>4.577</c:v>
                </c:pt>
                <c:pt idx="731">
                  <c:v>4.5149999999999997</c:v>
                </c:pt>
                <c:pt idx="732">
                  <c:v>4.4779999999999998</c:v>
                </c:pt>
                <c:pt idx="733">
                  <c:v>4.3899999999999997</c:v>
                </c:pt>
                <c:pt idx="734">
                  <c:v>4.4880000000000004</c:v>
                </c:pt>
                <c:pt idx="735">
                  <c:v>4.4630000000000001</c:v>
                </c:pt>
                <c:pt idx="736">
                  <c:v>4.657</c:v>
                </c:pt>
                <c:pt idx="737">
                  <c:v>4.6399999999999997</c:v>
                </c:pt>
                <c:pt idx="738">
                  <c:v>4.5049999999999999</c:v>
                </c:pt>
                <c:pt idx="739">
                  <c:v>4.516</c:v>
                </c:pt>
                <c:pt idx="740">
                  <c:v>4.625</c:v>
                </c:pt>
                <c:pt idx="741">
                  <c:v>5.0149999999999997</c:v>
                </c:pt>
                <c:pt idx="742">
                  <c:v>5.0970000000000004</c:v>
                </c:pt>
                <c:pt idx="743">
                  <c:v>4.5730000000000004</c:v>
                </c:pt>
                <c:pt idx="744">
                  <c:v>4.53</c:v>
                </c:pt>
                <c:pt idx="745">
                  <c:v>4.2450000000000001</c:v>
                </c:pt>
                <c:pt idx="746">
                  <c:v>4.2530000000000001</c:v>
                </c:pt>
                <c:pt idx="747">
                  <c:v>4.2640000000000002</c:v>
                </c:pt>
                <c:pt idx="748">
                  <c:v>4.2699999999999996</c:v>
                </c:pt>
                <c:pt idx="749">
                  <c:v>4.2450000000000001</c:v>
                </c:pt>
                <c:pt idx="750">
                  <c:v>3.9950000000000001</c:v>
                </c:pt>
                <c:pt idx="751">
                  <c:v>4.0750000000000002</c:v>
                </c:pt>
                <c:pt idx="752">
                  <c:v>4.1109999999999998</c:v>
                </c:pt>
                <c:pt idx="753">
                  <c:v>4.2</c:v>
                </c:pt>
                <c:pt idx="754">
                  <c:v>4.25</c:v>
                </c:pt>
                <c:pt idx="755">
                  <c:v>4.2370000000000001</c:v>
                </c:pt>
                <c:pt idx="756">
                  <c:v>4.0960000000000001</c:v>
                </c:pt>
                <c:pt idx="757">
                  <c:v>4.38</c:v>
                </c:pt>
                <c:pt idx="758">
                  <c:v>4.2270000000000003</c:v>
                </c:pt>
                <c:pt idx="759">
                  <c:v>4.1660000000000004</c:v>
                </c:pt>
                <c:pt idx="760">
                  <c:v>4.2530000000000001</c:v>
                </c:pt>
                <c:pt idx="761">
                  <c:v>4.3979999999999997</c:v>
                </c:pt>
                <c:pt idx="762">
                  <c:v>4.5060000000000002</c:v>
                </c:pt>
                <c:pt idx="763">
                  <c:v>4.5640000000000001</c:v>
                </c:pt>
                <c:pt idx="764">
                  <c:v>4.2549999999999999</c:v>
                </c:pt>
                <c:pt idx="765">
                  <c:v>4.3890000000000002</c:v>
                </c:pt>
                <c:pt idx="766">
                  <c:v>4.298</c:v>
                </c:pt>
                <c:pt idx="767">
                  <c:v>4.2569999999999997</c:v>
                </c:pt>
                <c:pt idx="768">
                  <c:v>4.0570000000000004</c:v>
                </c:pt>
                <c:pt idx="769">
                  <c:v>4.3099999999999996</c:v>
                </c:pt>
                <c:pt idx="770">
                  <c:v>4.266</c:v>
                </c:pt>
                <c:pt idx="771">
                  <c:v>4.2649999999999997</c:v>
                </c:pt>
                <c:pt idx="772">
                  <c:v>3.64</c:v>
                </c:pt>
                <c:pt idx="773">
                  <c:v>4.0529999999999999</c:v>
                </c:pt>
                <c:pt idx="774">
                  <c:v>4.4939999999999998</c:v>
                </c:pt>
                <c:pt idx="775">
                  <c:v>4.2590000000000003</c:v>
                </c:pt>
                <c:pt idx="776">
                  <c:v>3.9670000000000001</c:v>
                </c:pt>
                <c:pt idx="777">
                  <c:v>4.1020000000000003</c:v>
                </c:pt>
                <c:pt idx="778">
                  <c:v>3.823</c:v>
                </c:pt>
                <c:pt idx="779">
                  <c:v>3.58</c:v>
                </c:pt>
                <c:pt idx="780">
                  <c:v>3.6659999999999999</c:v>
                </c:pt>
                <c:pt idx="781">
                  <c:v>3.9209999999999998</c:v>
                </c:pt>
                <c:pt idx="782">
                  <c:v>3.7639999999999998</c:v>
                </c:pt>
                <c:pt idx="783">
                  <c:v>3.6520000000000001</c:v>
                </c:pt>
                <c:pt idx="784">
                  <c:v>3.49</c:v>
                </c:pt>
                <c:pt idx="785">
                  <c:v>3.5550000000000002</c:v>
                </c:pt>
                <c:pt idx="786">
                  <c:v>3.6360000000000001</c:v>
                </c:pt>
                <c:pt idx="787">
                  <c:v>3.665</c:v>
                </c:pt>
                <c:pt idx="788">
                  <c:v>3.8130000000000002</c:v>
                </c:pt>
                <c:pt idx="789">
                  <c:v>3.9209999999999998</c:v>
                </c:pt>
                <c:pt idx="790">
                  <c:v>4.0119999999999996</c:v>
                </c:pt>
                <c:pt idx="791">
                  <c:v>3.68</c:v>
                </c:pt>
                <c:pt idx="792">
                  <c:v>3.5670000000000002</c:v>
                </c:pt>
                <c:pt idx="793">
                  <c:v>3.4729999999999999</c:v>
                </c:pt>
                <c:pt idx="794">
                  <c:v>3.39</c:v>
                </c:pt>
                <c:pt idx="795">
                  <c:v>3.0830000000000002</c:v>
                </c:pt>
                <c:pt idx="796">
                  <c:v>3.2189999999999999</c:v>
                </c:pt>
                <c:pt idx="797">
                  <c:v>2.9409999999999998</c:v>
                </c:pt>
                <c:pt idx="798">
                  <c:v>3.1890000000000001</c:v>
                </c:pt>
                <c:pt idx="799">
                  <c:v>3.3340000000000001</c:v>
                </c:pt>
                <c:pt idx="800">
                  <c:v>3.5190000000000001</c:v>
                </c:pt>
                <c:pt idx="801">
                  <c:v>3.6059999999999999</c:v>
                </c:pt>
                <c:pt idx="802">
                  <c:v>3.895</c:v>
                </c:pt>
                <c:pt idx="803">
                  <c:v>3.964</c:v>
                </c:pt>
                <c:pt idx="804">
                  <c:v>3.9260000000000002</c:v>
                </c:pt>
                <c:pt idx="805">
                  <c:v>4.0060000000000002</c:v>
                </c:pt>
                <c:pt idx="806">
                  <c:v>3.9860000000000002</c:v>
                </c:pt>
                <c:pt idx="807">
                  <c:v>4.2279999999999998</c:v>
                </c:pt>
                <c:pt idx="808">
                  <c:v>4.3529999999999998</c:v>
                </c:pt>
                <c:pt idx="809">
                  <c:v>4.1920000000000002</c:v>
                </c:pt>
                <c:pt idx="810">
                  <c:v>3.9649999999999999</c:v>
                </c:pt>
                <c:pt idx="811">
                  <c:v>3.806</c:v>
                </c:pt>
                <c:pt idx="812">
                  <c:v>3.88</c:v>
                </c:pt>
                <c:pt idx="813">
                  <c:v>3.835</c:v>
                </c:pt>
                <c:pt idx="814">
                  <c:v>3.7559999999999998</c:v>
                </c:pt>
                <c:pt idx="815">
                  <c:v>3.613</c:v>
                </c:pt>
                <c:pt idx="816">
                  <c:v>3.383</c:v>
                </c:pt>
                <c:pt idx="817">
                  <c:v>3.419</c:v>
                </c:pt>
                <c:pt idx="818">
                  <c:v>3.2570000000000001</c:v>
                </c:pt>
                <c:pt idx="819">
                  <c:v>3.2629999999999999</c:v>
                </c:pt>
                <c:pt idx="820">
                  <c:v>3.016</c:v>
                </c:pt>
                <c:pt idx="821">
                  <c:v>3.1509999999999998</c:v>
                </c:pt>
                <c:pt idx="822">
                  <c:v>3.1</c:v>
                </c:pt>
                <c:pt idx="823">
                  <c:v>3.1960000000000002</c:v>
                </c:pt>
                <c:pt idx="824">
                  <c:v>3.0779999999999998</c:v>
                </c:pt>
                <c:pt idx="825">
                  <c:v>3.048</c:v>
                </c:pt>
                <c:pt idx="826">
                  <c:v>2.8180000000000001</c:v>
                </c:pt>
                <c:pt idx="827">
                  <c:v>2.69</c:v>
                </c:pt>
                <c:pt idx="828">
                  <c:v>2.8639999999999999</c:v>
                </c:pt>
                <c:pt idx="829">
                  <c:v>2.98</c:v>
                </c:pt>
                <c:pt idx="830">
                  <c:v>2.9020000000000001</c:v>
                </c:pt>
                <c:pt idx="831">
                  <c:v>2.7349999999999999</c:v>
                </c:pt>
                <c:pt idx="832">
                  <c:v>2.7469999999999999</c:v>
                </c:pt>
                <c:pt idx="833">
                  <c:v>2.907</c:v>
                </c:pt>
                <c:pt idx="834">
                  <c:v>2.8420000000000001</c:v>
                </c:pt>
                <c:pt idx="835">
                  <c:v>2.9380000000000002</c:v>
                </c:pt>
                <c:pt idx="836">
                  <c:v>3.0910000000000002</c:v>
                </c:pt>
                <c:pt idx="837">
                  <c:v>2.8650000000000002</c:v>
                </c:pt>
                <c:pt idx="838">
                  <c:v>2.8220000000000001</c:v>
                </c:pt>
                <c:pt idx="839">
                  <c:v>2.8090000000000002</c:v>
                </c:pt>
                <c:pt idx="840">
                  <c:v>2.8889999999999998</c:v>
                </c:pt>
                <c:pt idx="841">
                  <c:v>2.903</c:v>
                </c:pt>
                <c:pt idx="842">
                  <c:v>2.8919999999999999</c:v>
                </c:pt>
                <c:pt idx="843">
                  <c:v>2.891</c:v>
                </c:pt>
                <c:pt idx="844">
                  <c:v>2.6419999999999999</c:v>
                </c:pt>
                <c:pt idx="845">
                  <c:v>2.7669999999999999</c:v>
                </c:pt>
                <c:pt idx="846">
                  <c:v>2.5680000000000001</c:v>
                </c:pt>
                <c:pt idx="847">
                  <c:v>2.585</c:v>
                </c:pt>
                <c:pt idx="848">
                  <c:v>2.601</c:v>
                </c:pt>
                <c:pt idx="849">
                  <c:v>2.5329999999999999</c:v>
                </c:pt>
                <c:pt idx="850">
                  <c:v>2.653</c:v>
                </c:pt>
                <c:pt idx="851">
                  <c:v>2.1949999999999998</c:v>
                </c:pt>
                <c:pt idx="852">
                  <c:v>2.2709999999999999</c:v>
                </c:pt>
                <c:pt idx="853">
                  <c:v>2.2759999999999998</c:v>
                </c:pt>
                <c:pt idx="854">
                  <c:v>2.214</c:v>
                </c:pt>
                <c:pt idx="855">
                  <c:v>2.2810000000000001</c:v>
                </c:pt>
                <c:pt idx="856">
                  <c:v>2.2200000000000002</c:v>
                </c:pt>
                <c:pt idx="857">
                  <c:v>2.5649999999999999</c:v>
                </c:pt>
                <c:pt idx="858">
                  <c:v>2.911</c:v>
                </c:pt>
                <c:pt idx="859">
                  <c:v>3.0649999999999999</c:v>
                </c:pt>
                <c:pt idx="860">
                  <c:v>3.1909999999999998</c:v>
                </c:pt>
                <c:pt idx="861">
                  <c:v>3.1280000000000001</c:v>
                </c:pt>
                <c:pt idx="862">
                  <c:v>3.2890000000000001</c:v>
                </c:pt>
                <c:pt idx="863">
                  <c:v>3.29</c:v>
                </c:pt>
                <c:pt idx="864">
                  <c:v>3.3290000000000002</c:v>
                </c:pt>
                <c:pt idx="865">
                  <c:v>3.4329999999999998</c:v>
                </c:pt>
                <c:pt idx="866">
                  <c:v>3.1030000000000002</c:v>
                </c:pt>
                <c:pt idx="867">
                  <c:v>3.1709999999999998</c:v>
                </c:pt>
                <c:pt idx="868">
                  <c:v>3.069</c:v>
                </c:pt>
                <c:pt idx="869">
                  <c:v>2.5649999999999999</c:v>
                </c:pt>
                <c:pt idx="870">
                  <c:v>2.5840000000000001</c:v>
                </c:pt>
                <c:pt idx="871">
                  <c:v>2.7360000000000002</c:v>
                </c:pt>
                <c:pt idx="872">
                  <c:v>2.7269999999999999</c:v>
                </c:pt>
                <c:pt idx="873">
                  <c:v>2.16</c:v>
                </c:pt>
                <c:pt idx="874">
                  <c:v>2.0350000000000001</c:v>
                </c:pt>
                <c:pt idx="875">
                  <c:v>1.944</c:v>
                </c:pt>
                <c:pt idx="876">
                  <c:v>2.0369999999999999</c:v>
                </c:pt>
                <c:pt idx="877">
                  <c:v>2.1560000000000001</c:v>
                </c:pt>
                <c:pt idx="878">
                  <c:v>2.1219999999999999</c:v>
                </c:pt>
                <c:pt idx="879">
                  <c:v>2.129</c:v>
                </c:pt>
                <c:pt idx="880">
                  <c:v>2.0169999999999999</c:v>
                </c:pt>
                <c:pt idx="881">
                  <c:v>2.153</c:v>
                </c:pt>
                <c:pt idx="882">
                  <c:v>2.161</c:v>
                </c:pt>
                <c:pt idx="883">
                  <c:v>2.3220000000000001</c:v>
                </c:pt>
                <c:pt idx="884">
                  <c:v>2.5670000000000002</c:v>
                </c:pt>
                <c:pt idx="885">
                  <c:v>2.6160000000000001</c:v>
                </c:pt>
                <c:pt idx="886">
                  <c:v>2.617</c:v>
                </c:pt>
                <c:pt idx="887">
                  <c:v>2.694</c:v>
                </c:pt>
                <c:pt idx="888">
                  <c:v>2.7149999999999999</c:v>
                </c:pt>
                <c:pt idx="889">
                  <c:v>2.7149999999999999</c:v>
                </c:pt>
                <c:pt idx="890">
                  <c:v>2.6669999999999998</c:v>
                </c:pt>
                <c:pt idx="891">
                  <c:v>2.8660000000000001</c:v>
                </c:pt>
                <c:pt idx="892">
                  <c:v>2.8919999999999999</c:v>
                </c:pt>
                <c:pt idx="893">
                  <c:v>2.9710000000000001</c:v>
                </c:pt>
                <c:pt idx="894">
                  <c:v>2.91</c:v>
                </c:pt>
                <c:pt idx="895">
                  <c:v>2.8820000000000001</c:v>
                </c:pt>
                <c:pt idx="896">
                  <c:v>2.8980000000000001</c:v>
                </c:pt>
                <c:pt idx="897">
                  <c:v>2.8610000000000002</c:v>
                </c:pt>
                <c:pt idx="898">
                  <c:v>3.258</c:v>
                </c:pt>
                <c:pt idx="899">
                  <c:v>3.3410000000000002</c:v>
                </c:pt>
                <c:pt idx="900">
                  <c:v>3.552</c:v>
                </c:pt>
                <c:pt idx="901">
                  <c:v>3.3490000000000002</c:v>
                </c:pt>
                <c:pt idx="902">
                  <c:v>3.1459999999999999</c:v>
                </c:pt>
                <c:pt idx="903">
                  <c:v>3.2709999999999999</c:v>
                </c:pt>
                <c:pt idx="904">
                  <c:v>3.4980000000000002</c:v>
                </c:pt>
                <c:pt idx="905">
                  <c:v>3.57</c:v>
                </c:pt>
                <c:pt idx="906">
                  <c:v>3.7669999999999999</c:v>
                </c:pt>
                <c:pt idx="907">
                  <c:v>3.5920000000000001</c:v>
                </c:pt>
                <c:pt idx="908">
                  <c:v>3.69</c:v>
                </c:pt>
                <c:pt idx="909">
                  <c:v>3.6469999999999998</c:v>
                </c:pt>
                <c:pt idx="910">
                  <c:v>3.5379999999999998</c:v>
                </c:pt>
                <c:pt idx="911">
                  <c:v>3.649</c:v>
                </c:pt>
                <c:pt idx="912">
                  <c:v>3.5939999999999999</c:v>
                </c:pt>
                <c:pt idx="913">
                  <c:v>3.593</c:v>
                </c:pt>
                <c:pt idx="914">
                  <c:v>3.6120000000000001</c:v>
                </c:pt>
                <c:pt idx="915">
                  <c:v>3.617</c:v>
                </c:pt>
                <c:pt idx="916">
                  <c:v>3.8879999999999999</c:v>
                </c:pt>
                <c:pt idx="917">
                  <c:v>3.7890000000000001</c:v>
                </c:pt>
                <c:pt idx="918">
                  <c:v>3.8919999999999999</c:v>
                </c:pt>
                <c:pt idx="919">
                  <c:v>3.7189999999999999</c:v>
                </c:pt>
                <c:pt idx="920">
                  <c:v>3.9910000000000001</c:v>
                </c:pt>
                <c:pt idx="921">
                  <c:v>4.218</c:v>
                </c:pt>
                <c:pt idx="922">
                  <c:v>4.0439999999999996</c:v>
                </c:pt>
                <c:pt idx="923">
                  <c:v>3.9279999999999999</c:v>
                </c:pt>
                <c:pt idx="924">
                  <c:v>4.085</c:v>
                </c:pt>
                <c:pt idx="925">
                  <c:v>3.8250000000000002</c:v>
                </c:pt>
                <c:pt idx="926">
                  <c:v>3.649</c:v>
                </c:pt>
                <c:pt idx="927">
                  <c:v>4.1319999999999997</c:v>
                </c:pt>
                <c:pt idx="928">
                  <c:v>3.8050000000000002</c:v>
                </c:pt>
                <c:pt idx="929">
                  <c:v>4.2679999999999998</c:v>
                </c:pt>
                <c:pt idx="930">
                  <c:v>4.5259999999999998</c:v>
                </c:pt>
                <c:pt idx="931">
                  <c:v>4.3540000000000001</c:v>
                </c:pt>
                <c:pt idx="932">
                  <c:v>4.4829999999999997</c:v>
                </c:pt>
                <c:pt idx="933">
                  <c:v>4.984</c:v>
                </c:pt>
                <c:pt idx="934">
                  <c:v>5.1749999999999998</c:v>
                </c:pt>
                <c:pt idx="935">
                  <c:v>5.3979999999999997</c:v>
                </c:pt>
                <c:pt idx="936">
                  <c:v>5.2880000000000003</c:v>
                </c:pt>
                <c:pt idx="937">
                  <c:v>5.3529999999999998</c:v>
                </c:pt>
                <c:pt idx="938">
                  <c:v>5.4779999999999998</c:v>
                </c:pt>
                <c:pt idx="939">
                  <c:v>5.5739999999999998</c:v>
                </c:pt>
                <c:pt idx="940">
                  <c:v>5.3369999999999997</c:v>
                </c:pt>
                <c:pt idx="941">
                  <c:v>5.4749999999999996</c:v>
                </c:pt>
                <c:pt idx="942">
                  <c:v>5.4429999999999996</c:v>
                </c:pt>
                <c:pt idx="943">
                  <c:v>6.0579999999999998</c:v>
                </c:pt>
                <c:pt idx="944">
                  <c:v>5.9279999999999999</c:v>
                </c:pt>
                <c:pt idx="945">
                  <c:v>5.5579999999999998</c:v>
                </c:pt>
                <c:pt idx="946">
                  <c:v>6.35</c:v>
                </c:pt>
                <c:pt idx="947">
                  <c:v>6.5810000000000004</c:v>
                </c:pt>
                <c:pt idx="948">
                  <c:v>6.665</c:v>
                </c:pt>
                <c:pt idx="949">
                  <c:v>6.8380000000000001</c:v>
                </c:pt>
                <c:pt idx="950">
                  <c:v>6.758</c:v>
                </c:pt>
                <c:pt idx="951">
                  <c:v>6.5229999999999997</c:v>
                </c:pt>
                <c:pt idx="952">
                  <c:v>6.4779999999999998</c:v>
                </c:pt>
                <c:pt idx="953">
                  <c:v>6.6280000000000001</c:v>
                </c:pt>
                <c:pt idx="954">
                  <c:v>6.5709999999999997</c:v>
                </c:pt>
                <c:pt idx="955">
                  <c:v>7.0090000000000003</c:v>
                </c:pt>
                <c:pt idx="956">
                  <c:v>6.6920000000000002</c:v>
                </c:pt>
                <c:pt idx="957">
                  <c:v>6.1669999999999998</c:v>
                </c:pt>
                <c:pt idx="958">
                  <c:v>6.2220000000000004</c:v>
                </c:pt>
                <c:pt idx="959">
                  <c:v>6.266</c:v>
                </c:pt>
                <c:pt idx="960">
                  <c:v>6.1239999999999997</c:v>
                </c:pt>
                <c:pt idx="961">
                  <c:v>5.9429999999999996</c:v>
                </c:pt>
                <c:pt idx="962">
                  <c:v>6.0810000000000004</c:v>
                </c:pt>
                <c:pt idx="963">
                  <c:v>5.8259999999999996</c:v>
                </c:pt>
                <c:pt idx="964">
                  <c:v>6.0960000000000001</c:v>
                </c:pt>
                <c:pt idx="965">
                  <c:v>6.2789999999999999</c:v>
                </c:pt>
                <c:pt idx="966">
                  <c:v>5.9870000000000001</c:v>
                </c:pt>
                <c:pt idx="967">
                  <c:v>6.14</c:v>
                </c:pt>
                <c:pt idx="968">
                  <c:v>5.93</c:v>
                </c:pt>
                <c:pt idx="969">
                  <c:v>6.5060000000000002</c:v>
                </c:pt>
                <c:pt idx="970">
                  <c:v>6.3879999999999999</c:v>
                </c:pt>
                <c:pt idx="971">
                  <c:v>5.7709999999999999</c:v>
                </c:pt>
                <c:pt idx="972">
                  <c:v>5.782</c:v>
                </c:pt>
                <c:pt idx="973">
                  <c:v>5.9260000000000002</c:v>
                </c:pt>
                <c:pt idx="974">
                  <c:v>4.6959999999999997</c:v>
                </c:pt>
                <c:pt idx="975">
                  <c:v>4.7779999999999996</c:v>
                </c:pt>
                <c:pt idx="976">
                  <c:v>4.6550000000000002</c:v>
                </c:pt>
                <c:pt idx="977">
                  <c:v>4.4809999999999999</c:v>
                </c:pt>
                <c:pt idx="978">
                  <c:v>4.3849999999999998</c:v>
                </c:pt>
                <c:pt idx="979">
                  <c:v>4.4539999999999997</c:v>
                </c:pt>
                <c:pt idx="980">
                  <c:v>4.3369999999999997</c:v>
                </c:pt>
                <c:pt idx="981">
                  <c:v>4.306</c:v>
                </c:pt>
                <c:pt idx="982">
                  <c:v>4.7430000000000003</c:v>
                </c:pt>
                <c:pt idx="983">
                  <c:v>4.673</c:v>
                </c:pt>
                <c:pt idx="984">
                  <c:v>4.8520000000000003</c:v>
                </c:pt>
                <c:pt idx="985">
                  <c:v>4.6840000000000002</c:v>
                </c:pt>
                <c:pt idx="986">
                  <c:v>4.4130000000000003</c:v>
                </c:pt>
                <c:pt idx="987">
                  <c:v>4.2779999999999996</c:v>
                </c:pt>
                <c:pt idx="988">
                  <c:v>4.5469999999999997</c:v>
                </c:pt>
                <c:pt idx="989">
                  <c:v>4</c:v>
                </c:pt>
                <c:pt idx="990">
                  <c:v>3.8969999999999998</c:v>
                </c:pt>
                <c:pt idx="991">
                  <c:v>3.75</c:v>
                </c:pt>
                <c:pt idx="992">
                  <c:v>3.9020000000000001</c:v>
                </c:pt>
                <c:pt idx="993">
                  <c:v>3.7970000000000002</c:v>
                </c:pt>
                <c:pt idx="994">
                  <c:v>3.88</c:v>
                </c:pt>
                <c:pt idx="995">
                  <c:v>4.3129999999999997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5-4342-8BBE-CCA2B35A104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2.3142485834631574</c:v>
                </c:pt>
                <c:pt idx="1">
                  <c:v>2.3178337543058922</c:v>
                </c:pt>
                <c:pt idx="2">
                  <c:v>2.3784381051969432</c:v>
                </c:pt>
                <c:pt idx="3">
                  <c:v>2.3858513820599065</c:v>
                </c:pt>
                <c:pt idx="4">
                  <c:v>2.2710308248679172</c:v>
                </c:pt>
                <c:pt idx="5">
                  <c:v>2.1846069332524243</c:v>
                </c:pt>
                <c:pt idx="6">
                  <c:v>2.2352950284326045</c:v>
                </c:pt>
                <c:pt idx="7">
                  <c:v>2.2923768014682242</c:v>
                </c:pt>
                <c:pt idx="8">
                  <c:v>2.3070125830270247</c:v>
                </c:pt>
                <c:pt idx="9">
                  <c:v>2.3074514645770252</c:v>
                </c:pt>
                <c:pt idx="10">
                  <c:v>2.3044599082577037</c:v>
                </c:pt>
                <c:pt idx="11">
                  <c:v>2.3389343342444109</c:v>
                </c:pt>
                <c:pt idx="12">
                  <c:v>2.2987763129725547</c:v>
                </c:pt>
                <c:pt idx="13">
                  <c:v>2.3283136276898517</c:v>
                </c:pt>
                <c:pt idx="14">
                  <c:v>2.2891479458133532</c:v>
                </c:pt>
                <c:pt idx="15">
                  <c:v>2.3377068536836374</c:v>
                </c:pt>
                <c:pt idx="16">
                  <c:v>2.3461442883831025</c:v>
                </c:pt>
                <c:pt idx="17">
                  <c:v>2.3245067082881654</c:v>
                </c:pt>
                <c:pt idx="18">
                  <c:v>2.2416093701957696</c:v>
                </c:pt>
                <c:pt idx="19">
                  <c:v>2.2798172684249893</c:v>
                </c:pt>
                <c:pt idx="20">
                  <c:v>2.3138634310489956</c:v>
                </c:pt>
                <c:pt idx="21">
                  <c:v>2.4256229384712813</c:v>
                </c:pt>
                <c:pt idx="22">
                  <c:v>2.3800745744415783</c:v>
                </c:pt>
                <c:pt idx="23">
                  <c:v>2.3855040166475696</c:v>
                </c:pt>
                <c:pt idx="24">
                  <c:v>2.3478171380668242</c:v>
                </c:pt>
                <c:pt idx="25">
                  <c:v>2.2945203221964472</c:v>
                </c:pt>
                <c:pt idx="26">
                  <c:v>2.2950901445137402</c:v>
                </c:pt>
                <c:pt idx="27">
                  <c:v>2.2475753061545127</c:v>
                </c:pt>
                <c:pt idx="28">
                  <c:v>2.2230482253582742</c:v>
                </c:pt>
                <c:pt idx="29">
                  <c:v>2.18494324488849</c:v>
                </c:pt>
                <c:pt idx="30">
                  <c:v>2.1515128386799933</c:v>
                </c:pt>
                <c:pt idx="31">
                  <c:v>2.1814718332221283</c:v>
                </c:pt>
                <c:pt idx="32">
                  <c:v>2.2085284075813636</c:v>
                </c:pt>
                <c:pt idx="33">
                  <c:v>2.173627061654535</c:v>
                </c:pt>
                <c:pt idx="34">
                  <c:v>2.1546064053496483</c:v>
                </c:pt>
                <c:pt idx="35">
                  <c:v>2.1747840482999798</c:v>
                </c:pt>
                <c:pt idx="36">
                  <c:v>2.1523638431485854</c:v>
                </c:pt>
                <c:pt idx="37">
                  <c:v>2.1229120843339655</c:v>
                </c:pt>
                <c:pt idx="38">
                  <c:v>2.1058985926006319</c:v>
                </c:pt>
                <c:pt idx="39">
                  <c:v>2.1073505419602814</c:v>
                </c:pt>
                <c:pt idx="40">
                  <c:v>2.122436848681212</c:v>
                </c:pt>
                <c:pt idx="41">
                  <c:v>2.1083119056151172</c:v>
                </c:pt>
                <c:pt idx="42">
                  <c:v>2.1085698996782125</c:v>
                </c:pt>
                <c:pt idx="43">
                  <c:v>2.1242966114445165</c:v>
                </c:pt>
                <c:pt idx="44">
                  <c:v>2.1053772568281603</c:v>
                </c:pt>
                <c:pt idx="45">
                  <c:v>2.0959009835230753</c:v>
                </c:pt>
                <c:pt idx="46">
                  <c:v>2.1169318296003947</c:v>
                </c:pt>
                <c:pt idx="47">
                  <c:v>2.1135591145911996</c:v>
                </c:pt>
                <c:pt idx="48">
                  <c:v>2.1117542878257671</c:v>
                </c:pt>
                <c:pt idx="49">
                  <c:v>2.121463420436605</c:v>
                </c:pt>
                <c:pt idx="50">
                  <c:v>2.1470538732441518</c:v>
                </c:pt>
                <c:pt idx="51">
                  <c:v>2.1264763597410075</c:v>
                </c:pt>
                <c:pt idx="52">
                  <c:v>2.1404949947458856</c:v>
                </c:pt>
                <c:pt idx="53">
                  <c:v>2.1051791393008856</c:v>
                </c:pt>
                <c:pt idx="54">
                  <c:v>2.1397779923988018</c:v>
                </c:pt>
                <c:pt idx="55">
                  <c:v>2.1211629794571802</c:v>
                </c:pt>
                <c:pt idx="56">
                  <c:v>2.0423364046520787</c:v>
                </c:pt>
                <c:pt idx="57">
                  <c:v>2.0195965116639987</c:v>
                </c:pt>
                <c:pt idx="58">
                  <c:v>2.0332329646172651</c:v>
                </c:pt>
                <c:pt idx="59">
                  <c:v>2.047307859374587</c:v>
                </c:pt>
                <c:pt idx="60">
                  <c:v>2.0369423124965524</c:v>
                </c:pt>
                <c:pt idx="61">
                  <c:v>2.0199732352719733</c:v>
                </c:pt>
                <c:pt idx="62">
                  <c:v>2.0297340909460471</c:v>
                </c:pt>
                <c:pt idx="63">
                  <c:v>2.0413642689619698</c:v>
                </c:pt>
                <c:pt idx="64">
                  <c:v>2.0491818962212287</c:v>
                </c:pt>
                <c:pt idx="65">
                  <c:v>2.0538920913472754</c:v>
                </c:pt>
                <c:pt idx="66">
                  <c:v>2.0513573385953379</c:v>
                </c:pt>
                <c:pt idx="67">
                  <c:v>2.0296655375530692</c:v>
                </c:pt>
                <c:pt idx="68">
                  <c:v>2.0192080938704606</c:v>
                </c:pt>
                <c:pt idx="69">
                  <c:v>2.0081808690099727</c:v>
                </c:pt>
                <c:pt idx="70">
                  <c:v>1.9967763580766396</c:v>
                </c:pt>
                <c:pt idx="71">
                  <c:v>2.0107835294419725</c:v>
                </c:pt>
                <c:pt idx="72">
                  <c:v>1.9863334379762794</c:v>
                </c:pt>
                <c:pt idx="73">
                  <c:v>2.0153815269563289</c:v>
                </c:pt>
                <c:pt idx="74">
                  <c:v>2.0291767503993459</c:v>
                </c:pt>
                <c:pt idx="75">
                  <c:v>2.0321342996789755</c:v>
                </c:pt>
                <c:pt idx="76">
                  <c:v>2.0332154446049593</c:v>
                </c:pt>
                <c:pt idx="77">
                  <c:v>2.0271474960439839</c:v>
                </c:pt>
                <c:pt idx="78">
                  <c:v>2.0248341290526048</c:v>
                </c:pt>
                <c:pt idx="79">
                  <c:v>2.0348084247389733</c:v>
                </c:pt>
                <c:pt idx="80">
                  <c:v>2.0539833402626888</c:v>
                </c:pt>
                <c:pt idx="81">
                  <c:v>2.037567062581056</c:v>
                </c:pt>
                <c:pt idx="82">
                  <c:v>2.0436391902045856</c:v>
                </c:pt>
                <c:pt idx="83">
                  <c:v>2.0342632864900021</c:v>
                </c:pt>
                <c:pt idx="84">
                  <c:v>2.0483730584766939</c:v>
                </c:pt>
                <c:pt idx="85">
                  <c:v>2.0514186396209251</c:v>
                </c:pt>
                <c:pt idx="86">
                  <c:v>2.0234040301638663</c:v>
                </c:pt>
                <c:pt idx="87">
                  <c:v>2.028968103228681</c:v>
                </c:pt>
                <c:pt idx="88">
                  <c:v>2.0153954478786811</c:v>
                </c:pt>
                <c:pt idx="89">
                  <c:v>2.0029042160532846</c:v>
                </c:pt>
                <c:pt idx="90">
                  <c:v>2.0099115098866176</c:v>
                </c:pt>
                <c:pt idx="91">
                  <c:v>2.0093332790685849</c:v>
                </c:pt>
                <c:pt idx="92">
                  <c:v>2.0193076872421818</c:v>
                </c:pt>
                <c:pt idx="93">
                  <c:v>2.0675994437127132</c:v>
                </c:pt>
                <c:pt idx="94">
                  <c:v>1.9796159813280787</c:v>
                </c:pt>
                <c:pt idx="95">
                  <c:v>1.9666193565252619</c:v>
                </c:pt>
                <c:pt idx="96">
                  <c:v>1.9750078525488839</c:v>
                </c:pt>
                <c:pt idx="97">
                  <c:v>1.9706320079316826</c:v>
                </c:pt>
                <c:pt idx="98">
                  <c:v>1.9945314675049108</c:v>
                </c:pt>
                <c:pt idx="99">
                  <c:v>2.0174445535928704</c:v>
                </c:pt>
                <c:pt idx="100">
                  <c:v>2.0031106100634584</c:v>
                </c:pt>
                <c:pt idx="101">
                  <c:v>1.9708629071019599</c:v>
                </c:pt>
                <c:pt idx="102">
                  <c:v>1.9703247468718394</c:v>
                </c:pt>
                <c:pt idx="103">
                  <c:v>1.9722688256035468</c:v>
                </c:pt>
                <c:pt idx="104">
                  <c:v>1.9856932139944037</c:v>
                </c:pt>
                <c:pt idx="105">
                  <c:v>1.988145072267131</c:v>
                </c:pt>
                <c:pt idx="106">
                  <c:v>2.0105252232404931</c:v>
                </c:pt>
                <c:pt idx="107">
                  <c:v>1.9754915042657213</c:v>
                </c:pt>
                <c:pt idx="108">
                  <c:v>1.9490600186365077</c:v>
                </c:pt>
                <c:pt idx="109">
                  <c:v>1.9588061126153311</c:v>
                </c:pt>
                <c:pt idx="110">
                  <c:v>1.9824493516854611</c:v>
                </c:pt>
                <c:pt idx="111">
                  <c:v>1.988204207700494</c:v>
                </c:pt>
                <c:pt idx="112">
                  <c:v>2.0117087190392033</c:v>
                </c:pt>
                <c:pt idx="113">
                  <c:v>1.9958095574325685</c:v>
                </c:pt>
                <c:pt idx="114">
                  <c:v>1.9901690019289413</c:v>
                </c:pt>
                <c:pt idx="115">
                  <c:v>1.9922757906494712</c:v>
                </c:pt>
                <c:pt idx="116">
                  <c:v>2.0163484731323282</c:v>
                </c:pt>
                <c:pt idx="117">
                  <c:v>2.0291238892634538</c:v>
                </c:pt>
                <c:pt idx="118">
                  <c:v>2.0438408065782192</c:v>
                </c:pt>
                <c:pt idx="119">
                  <c:v>2.0150084397904857</c:v>
                </c:pt>
                <c:pt idx="120">
                  <c:v>1.9778004468247719</c:v>
                </c:pt>
                <c:pt idx="121">
                  <c:v>1.9945265616748995</c:v>
                </c:pt>
                <c:pt idx="122">
                  <c:v>2.0332007575066173</c:v>
                </c:pt>
                <c:pt idx="123">
                  <c:v>2.0640441651538461</c:v>
                </c:pt>
                <c:pt idx="124">
                  <c:v>2.0341933844538462</c:v>
                </c:pt>
                <c:pt idx="125">
                  <c:v>2.0756371587543128</c:v>
                </c:pt>
                <c:pt idx="126">
                  <c:v>1.9982091357047287</c:v>
                </c:pt>
                <c:pt idx="127">
                  <c:v>1.9769041516231323</c:v>
                </c:pt>
                <c:pt idx="128">
                  <c:v>1.8643761268637338</c:v>
                </c:pt>
                <c:pt idx="129">
                  <c:v>1.9575968127185726</c:v>
                </c:pt>
                <c:pt idx="130">
                  <c:v>2.0144132698608743</c:v>
                </c:pt>
                <c:pt idx="131">
                  <c:v>1.9240272821786377</c:v>
                </c:pt>
                <c:pt idx="132">
                  <c:v>1.8366013119216082</c:v>
                </c:pt>
                <c:pt idx="133">
                  <c:v>1.8843147061466079</c:v>
                </c:pt>
                <c:pt idx="134">
                  <c:v>1.8009165855950375</c:v>
                </c:pt>
                <c:pt idx="135">
                  <c:v>1.7951404633979573</c:v>
                </c:pt>
                <c:pt idx="136">
                  <c:v>1.8416166714077611</c:v>
                </c:pt>
                <c:pt idx="137">
                  <c:v>1.7793164511996231</c:v>
                </c:pt>
                <c:pt idx="138">
                  <c:v>1.6657326709063758</c:v>
                </c:pt>
                <c:pt idx="139">
                  <c:v>1.7252821658288169</c:v>
                </c:pt>
                <c:pt idx="140">
                  <c:v>1.6081792732187494</c:v>
                </c:pt>
                <c:pt idx="141">
                  <c:v>1.5286981811457316</c:v>
                </c:pt>
                <c:pt idx="142">
                  <c:v>1.5142771552783847</c:v>
                </c:pt>
                <c:pt idx="143">
                  <c:v>1.5385593015613341</c:v>
                </c:pt>
                <c:pt idx="144">
                  <c:v>1.5462934491565972</c:v>
                </c:pt>
                <c:pt idx="145">
                  <c:v>1.5257186103204976</c:v>
                </c:pt>
                <c:pt idx="146">
                  <c:v>1.5321880014199392</c:v>
                </c:pt>
                <c:pt idx="147">
                  <c:v>1.5300061466856849</c:v>
                </c:pt>
                <c:pt idx="148">
                  <c:v>1.5426433568496334</c:v>
                </c:pt>
                <c:pt idx="149">
                  <c:v>1.4903965058799675</c:v>
                </c:pt>
                <c:pt idx="150">
                  <c:v>1.5397580067957481</c:v>
                </c:pt>
                <c:pt idx="151">
                  <c:v>1.5281032755400727</c:v>
                </c:pt>
                <c:pt idx="152">
                  <c:v>1.5344119356435013</c:v>
                </c:pt>
                <c:pt idx="153">
                  <c:v>1.5080058038384234</c:v>
                </c:pt>
                <c:pt idx="154">
                  <c:v>1.475837564406218</c:v>
                </c:pt>
                <c:pt idx="155">
                  <c:v>1.4986742064356775</c:v>
                </c:pt>
                <c:pt idx="156">
                  <c:v>1.4886020459858358</c:v>
                </c:pt>
                <c:pt idx="157">
                  <c:v>1.5205434011900669</c:v>
                </c:pt>
                <c:pt idx="158">
                  <c:v>1.5399459337783827</c:v>
                </c:pt>
                <c:pt idx="159">
                  <c:v>1.556208995044313</c:v>
                </c:pt>
                <c:pt idx="160">
                  <c:v>1.5197757318638212</c:v>
                </c:pt>
                <c:pt idx="161">
                  <c:v>1.5349379368663241</c:v>
                </c:pt>
                <c:pt idx="162">
                  <c:v>1.567493202088142</c:v>
                </c:pt>
                <c:pt idx="163">
                  <c:v>1.5267554324218242</c:v>
                </c:pt>
                <c:pt idx="164">
                  <c:v>1.5394350501304288</c:v>
                </c:pt>
                <c:pt idx="165">
                  <c:v>1.5559762572685756</c:v>
                </c:pt>
                <c:pt idx="166">
                  <c:v>1.5357456942009349</c:v>
                </c:pt>
                <c:pt idx="167">
                  <c:v>1.5184069011715231</c:v>
                </c:pt>
                <c:pt idx="168">
                  <c:v>1.5016363381237934</c:v>
                </c:pt>
                <c:pt idx="169">
                  <c:v>1.5105152864448361</c:v>
                </c:pt>
                <c:pt idx="170">
                  <c:v>1.5209452312256246</c:v>
                </c:pt>
                <c:pt idx="171">
                  <c:v>1.5116100776977606</c:v>
                </c:pt>
                <c:pt idx="172">
                  <c:v>1.5027036452988176</c:v>
                </c:pt>
                <c:pt idx="173">
                  <c:v>1.5183307155219397</c:v>
                </c:pt>
                <c:pt idx="174">
                  <c:v>1.5118129629721804</c:v>
                </c:pt>
                <c:pt idx="175">
                  <c:v>1.5037021994975135</c:v>
                </c:pt>
                <c:pt idx="176">
                  <c:v>1.4942252469489574</c:v>
                </c:pt>
                <c:pt idx="177">
                  <c:v>1.4819114788657106</c:v>
                </c:pt>
                <c:pt idx="178">
                  <c:v>1.4846283203120538</c:v>
                </c:pt>
                <c:pt idx="179">
                  <c:v>1.4823707979545426</c:v>
                </c:pt>
                <c:pt idx="180">
                  <c:v>1.5030326043752376</c:v>
                </c:pt>
                <c:pt idx="181">
                  <c:v>1.4932522020477448</c:v>
                </c:pt>
                <c:pt idx="182">
                  <c:v>1.4710886822725868</c:v>
                </c:pt>
                <c:pt idx="183">
                  <c:v>1.4556405626884983</c:v>
                </c:pt>
                <c:pt idx="184">
                  <c:v>1.4621246477592547</c:v>
                </c:pt>
                <c:pt idx="185">
                  <c:v>1.4434460645820282</c:v>
                </c:pt>
                <c:pt idx="186">
                  <c:v>1.4801638556801053</c:v>
                </c:pt>
                <c:pt idx="187">
                  <c:v>1.473250359961451</c:v>
                </c:pt>
                <c:pt idx="188">
                  <c:v>1.4723524160744168</c:v>
                </c:pt>
                <c:pt idx="189">
                  <c:v>1.4527850448343709</c:v>
                </c:pt>
                <c:pt idx="190">
                  <c:v>1.4323973398874359</c:v>
                </c:pt>
                <c:pt idx="191">
                  <c:v>1.4097882810745244</c:v>
                </c:pt>
                <c:pt idx="192">
                  <c:v>1.415454155028165</c:v>
                </c:pt>
                <c:pt idx="193">
                  <c:v>1.4376122570279297</c:v>
                </c:pt>
                <c:pt idx="194">
                  <c:v>1.4481120804870762</c:v>
                </c:pt>
                <c:pt idx="195">
                  <c:v>1.4580499541422458</c:v>
                </c:pt>
                <c:pt idx="196">
                  <c:v>1.5175249627875755</c:v>
                </c:pt>
                <c:pt idx="197">
                  <c:v>1.5128345582855216</c:v>
                </c:pt>
                <c:pt idx="198">
                  <c:v>1.5053262133588219</c:v>
                </c:pt>
                <c:pt idx="199">
                  <c:v>1.5273514065148674</c:v>
                </c:pt>
                <c:pt idx="200">
                  <c:v>1.541621412849312</c:v>
                </c:pt>
                <c:pt idx="201">
                  <c:v>1.5570197950424876</c:v>
                </c:pt>
                <c:pt idx="202">
                  <c:v>1.530468646270245</c:v>
                </c:pt>
                <c:pt idx="203">
                  <c:v>1.5081691087249829</c:v>
                </c:pt>
                <c:pt idx="204">
                  <c:v>1.5208659604997807</c:v>
                </c:pt>
                <c:pt idx="205">
                  <c:v>1.5315925544134039</c:v>
                </c:pt>
                <c:pt idx="206">
                  <c:v>1.5441210485473085</c:v>
                </c:pt>
                <c:pt idx="207">
                  <c:v>1.5123167037960825</c:v>
                </c:pt>
                <c:pt idx="208">
                  <c:v>1.5021224612122512</c:v>
                </c:pt>
                <c:pt idx="209">
                  <c:v>1.5054938848558119</c:v>
                </c:pt>
                <c:pt idx="210">
                  <c:v>1.4845234620498804</c:v>
                </c:pt>
                <c:pt idx="211">
                  <c:v>1.4944169121636166</c:v>
                </c:pt>
                <c:pt idx="212">
                  <c:v>1.4700475070948937</c:v>
                </c:pt>
                <c:pt idx="213">
                  <c:v>1.4780816731729425</c:v>
                </c:pt>
                <c:pt idx="214">
                  <c:v>1.4596231976758216</c:v>
                </c:pt>
                <c:pt idx="215">
                  <c:v>1.4384244605358216</c:v>
                </c:pt>
                <c:pt idx="216">
                  <c:v>1.4164411484487285</c:v>
                </c:pt>
                <c:pt idx="217">
                  <c:v>1.4457141785907197</c:v>
                </c:pt>
                <c:pt idx="218">
                  <c:v>1.427874673891401</c:v>
                </c:pt>
                <c:pt idx="219">
                  <c:v>1.424949177617451</c:v>
                </c:pt>
                <c:pt idx="220">
                  <c:v>1.434041446093991</c:v>
                </c:pt>
                <c:pt idx="221">
                  <c:v>1.4732253473870411</c:v>
                </c:pt>
                <c:pt idx="222">
                  <c:v>1.4664867417062755</c:v>
                </c:pt>
                <c:pt idx="223">
                  <c:v>1.478425369350574</c:v>
                </c:pt>
                <c:pt idx="224">
                  <c:v>1.4864204794079796</c:v>
                </c:pt>
                <c:pt idx="225">
                  <c:v>1.5062510396619477</c:v>
                </c:pt>
                <c:pt idx="226">
                  <c:v>1.488650826562635</c:v>
                </c:pt>
                <c:pt idx="227">
                  <c:v>1.4937135377904081</c:v>
                </c:pt>
                <c:pt idx="228">
                  <c:v>1.4781508439606637</c:v>
                </c:pt>
                <c:pt idx="229">
                  <c:v>1.4615756605748049</c:v>
                </c:pt>
                <c:pt idx="230">
                  <c:v>1.4575725658407892</c:v>
                </c:pt>
                <c:pt idx="231">
                  <c:v>1.4661255716787549</c:v>
                </c:pt>
                <c:pt idx="232">
                  <c:v>1.4812359201020968</c:v>
                </c:pt>
                <c:pt idx="233">
                  <c:v>1.4584603517669186</c:v>
                </c:pt>
                <c:pt idx="234">
                  <c:v>1.4361627482268291</c:v>
                </c:pt>
                <c:pt idx="235">
                  <c:v>1.4536803418411408</c:v>
                </c:pt>
                <c:pt idx="236">
                  <c:v>1.4489369506079772</c:v>
                </c:pt>
                <c:pt idx="237">
                  <c:v>1.458717876575655</c:v>
                </c:pt>
                <c:pt idx="238">
                  <c:v>1.4688629843538528</c:v>
                </c:pt>
                <c:pt idx="239">
                  <c:v>1.4475132523483289</c:v>
                </c:pt>
                <c:pt idx="240">
                  <c:v>1.4362688033551625</c:v>
                </c:pt>
                <c:pt idx="241">
                  <c:v>1.4418923649790576</c:v>
                </c:pt>
                <c:pt idx="242">
                  <c:v>1.419415231712764</c:v>
                </c:pt>
                <c:pt idx="243">
                  <c:v>1.4121076736552802</c:v>
                </c:pt>
                <c:pt idx="244">
                  <c:v>1.4297788473541131</c:v>
                </c:pt>
                <c:pt idx="245">
                  <c:v>1.445785405634521</c:v>
                </c:pt>
                <c:pt idx="246">
                  <c:v>1.4427915772318123</c:v>
                </c:pt>
                <c:pt idx="247">
                  <c:v>1.4181319366259533</c:v>
                </c:pt>
                <c:pt idx="248">
                  <c:v>1.4068923050810904</c:v>
                </c:pt>
                <c:pt idx="249">
                  <c:v>1.3451530182168565</c:v>
                </c:pt>
                <c:pt idx="250">
                  <c:v>1.3119657982473012</c:v>
                </c:pt>
                <c:pt idx="251">
                  <c:v>1.3244699157626361</c:v>
                </c:pt>
                <c:pt idx="252">
                  <c:v>1.3447105192370561</c:v>
                </c:pt>
                <c:pt idx="253">
                  <c:v>1.2814315601765283</c:v>
                </c:pt>
                <c:pt idx="254">
                  <c:v>1.3304046405098433</c:v>
                </c:pt>
                <c:pt idx="255">
                  <c:v>1.3094583824522288</c:v>
                </c:pt>
                <c:pt idx="256">
                  <c:v>1.3411942103893968</c:v>
                </c:pt>
                <c:pt idx="257">
                  <c:v>1.3487576723162336</c:v>
                </c:pt>
                <c:pt idx="258">
                  <c:v>1.4171303738177388</c:v>
                </c:pt>
                <c:pt idx="259">
                  <c:v>1.3917258377094552</c:v>
                </c:pt>
                <c:pt idx="260">
                  <c:v>1.3934710914716382</c:v>
                </c:pt>
                <c:pt idx="261">
                  <c:v>1.4281521568405573</c:v>
                </c:pt>
                <c:pt idx="262">
                  <c:v>1.3953485147489915</c:v>
                </c:pt>
                <c:pt idx="263">
                  <c:v>1.4188062153719694</c:v>
                </c:pt>
                <c:pt idx="264">
                  <c:v>1.402856312951229</c:v>
                </c:pt>
                <c:pt idx="265">
                  <c:v>1.3920431451768347</c:v>
                </c:pt>
                <c:pt idx="266">
                  <c:v>1.3927233879978203</c:v>
                </c:pt>
                <c:pt idx="267">
                  <c:v>1.3955866180002972</c:v>
                </c:pt>
                <c:pt idx="268">
                  <c:v>1.3557322435020907</c:v>
                </c:pt>
                <c:pt idx="269">
                  <c:v>1.3878881582442981</c:v>
                </c:pt>
                <c:pt idx="270">
                  <c:v>1.3933385062295491</c:v>
                </c:pt>
                <c:pt idx="271">
                  <c:v>1.392252018158578</c:v>
                </c:pt>
                <c:pt idx="272">
                  <c:v>1.3819021264396092</c:v>
                </c:pt>
                <c:pt idx="273">
                  <c:v>1.3779437605246316</c:v>
                </c:pt>
                <c:pt idx="274">
                  <c:v>1.3736372388997056</c:v>
                </c:pt>
                <c:pt idx="275">
                  <c:v>1.3750400167429355</c:v>
                </c:pt>
                <c:pt idx="276">
                  <c:v>1.3554975743737374</c:v>
                </c:pt>
                <c:pt idx="277">
                  <c:v>1.3371401875208946</c:v>
                </c:pt>
                <c:pt idx="278">
                  <c:v>1.3374205107297488</c:v>
                </c:pt>
                <c:pt idx="279">
                  <c:v>1.3593825658815484</c:v>
                </c:pt>
                <c:pt idx="280">
                  <c:v>1.2947200413889166</c:v>
                </c:pt>
                <c:pt idx="281">
                  <c:v>1.3356280975565635</c:v>
                </c:pt>
                <c:pt idx="282">
                  <c:v>1.3677152634560992</c:v>
                </c:pt>
                <c:pt idx="283">
                  <c:v>1.3220827738664529</c:v>
                </c:pt>
                <c:pt idx="284">
                  <c:v>1.3599780176816627</c:v>
                </c:pt>
                <c:pt idx="285">
                  <c:v>1.3516164291725803</c:v>
                </c:pt>
                <c:pt idx="286">
                  <c:v>1.3890034900482304</c:v>
                </c:pt>
                <c:pt idx="287">
                  <c:v>1.4044675954721686</c:v>
                </c:pt>
                <c:pt idx="288">
                  <c:v>1.3763883200489342</c:v>
                </c:pt>
                <c:pt idx="289">
                  <c:v>1.2953351555078108</c:v>
                </c:pt>
                <c:pt idx="290">
                  <c:v>1.2750736890846026</c:v>
                </c:pt>
                <c:pt idx="291">
                  <c:v>1.2925694431866821</c:v>
                </c:pt>
                <c:pt idx="292">
                  <c:v>1.2641470576352725</c:v>
                </c:pt>
                <c:pt idx="293">
                  <c:v>1.284953750422932</c:v>
                </c:pt>
                <c:pt idx="294">
                  <c:v>1.2679109968631979</c:v>
                </c:pt>
                <c:pt idx="295">
                  <c:v>1.2480730767346631</c:v>
                </c:pt>
                <c:pt idx="296">
                  <c:v>1.2716699017927524</c:v>
                </c:pt>
                <c:pt idx="297">
                  <c:v>1.2920078051528399</c:v>
                </c:pt>
                <c:pt idx="298">
                  <c:v>1.2823873437054345</c:v>
                </c:pt>
                <c:pt idx="299">
                  <c:v>1.2616636703372692</c:v>
                </c:pt>
                <c:pt idx="300">
                  <c:v>1.3210490326698714</c:v>
                </c:pt>
                <c:pt idx="301">
                  <c:v>1.3031265327256476</c:v>
                </c:pt>
                <c:pt idx="302">
                  <c:v>1.3061997572301471</c:v>
                </c:pt>
                <c:pt idx="303">
                  <c:v>1.3075609404936157</c:v>
                </c:pt>
                <c:pt idx="304">
                  <c:v>1.3115125213340584</c:v>
                </c:pt>
                <c:pt idx="305">
                  <c:v>1.3041365525297919</c:v>
                </c:pt>
                <c:pt idx="306">
                  <c:v>1.3010007939950481</c:v>
                </c:pt>
                <c:pt idx="307">
                  <c:v>1.2988168319796596</c:v>
                </c:pt>
                <c:pt idx="308">
                  <c:v>1.2803404779396492</c:v>
                </c:pt>
                <c:pt idx="309">
                  <c:v>1.2888715117482248</c:v>
                </c:pt>
                <c:pt idx="310">
                  <c:v>1.3007023073274298</c:v>
                </c:pt>
                <c:pt idx="311">
                  <c:v>1.3177446385328015</c:v>
                </c:pt>
                <c:pt idx="312">
                  <c:v>1.3359926015036883</c:v>
                </c:pt>
                <c:pt idx="313">
                  <c:v>1.3381188968876163</c:v>
                </c:pt>
                <c:pt idx="314">
                  <c:v>1.3533393976395567</c:v>
                </c:pt>
                <c:pt idx="315">
                  <c:v>1.3599983438959067</c:v>
                </c:pt>
                <c:pt idx="316">
                  <c:v>1.375097735131215</c:v>
                </c:pt>
                <c:pt idx="317">
                  <c:v>1.3657342555136258</c:v>
                </c:pt>
                <c:pt idx="318">
                  <c:v>1.3477399127278802</c:v>
                </c:pt>
                <c:pt idx="319">
                  <c:v>1.3373127931134694</c:v>
                </c:pt>
                <c:pt idx="320">
                  <c:v>1.3527374717154188</c:v>
                </c:pt>
                <c:pt idx="321">
                  <c:v>1.3411386121219266</c:v>
                </c:pt>
                <c:pt idx="322">
                  <c:v>1.3420421219427197</c:v>
                </c:pt>
                <c:pt idx="323">
                  <c:v>1.3367964695060153</c:v>
                </c:pt>
                <c:pt idx="324">
                  <c:v>1.3537988699939192</c:v>
                </c:pt>
                <c:pt idx="325">
                  <c:v>1.3217621760551554</c:v>
                </c:pt>
                <c:pt idx="326">
                  <c:v>1.3157185110811025</c:v>
                </c:pt>
                <c:pt idx="327">
                  <c:v>1.3000538219909168</c:v>
                </c:pt>
                <c:pt idx="328">
                  <c:v>1.2900989411426649</c:v>
                </c:pt>
                <c:pt idx="329">
                  <c:v>1.288055125876727</c:v>
                </c:pt>
                <c:pt idx="330">
                  <c:v>1.320053622085317</c:v>
                </c:pt>
                <c:pt idx="331">
                  <c:v>1.2857414545445569</c:v>
                </c:pt>
                <c:pt idx="332">
                  <c:v>1.3006839428354675</c:v>
                </c:pt>
                <c:pt idx="333">
                  <c:v>1.2793737057560635</c:v>
                </c:pt>
                <c:pt idx="334">
                  <c:v>1.2841756640082123</c:v>
                </c:pt>
                <c:pt idx="335">
                  <c:v>1.3092917752428281</c:v>
                </c:pt>
                <c:pt idx="336">
                  <c:v>1.2600540899780415</c:v>
                </c:pt>
                <c:pt idx="337">
                  <c:v>1.2983220393052792</c:v>
                </c:pt>
                <c:pt idx="338">
                  <c:v>1.319060137337857</c:v>
                </c:pt>
                <c:pt idx="339">
                  <c:v>1.2960383165618568</c:v>
                </c:pt>
                <c:pt idx="340">
                  <c:v>1.2469522100478363</c:v>
                </c:pt>
                <c:pt idx="341">
                  <c:v>1.2521836746381685</c:v>
                </c:pt>
                <c:pt idx="342">
                  <c:v>1.2712784229569858</c:v>
                </c:pt>
                <c:pt idx="343">
                  <c:v>1.2591606386729626</c:v>
                </c:pt>
                <c:pt idx="344">
                  <c:v>1.2920416492243936</c:v>
                </c:pt>
                <c:pt idx="345">
                  <c:v>1.3064292775874728</c:v>
                </c:pt>
                <c:pt idx="346">
                  <c:v>1.2694661059614682</c:v>
                </c:pt>
                <c:pt idx="347">
                  <c:v>1.2082842161218934</c:v>
                </c:pt>
                <c:pt idx="348">
                  <c:v>1.2235264909869541</c:v>
                </c:pt>
                <c:pt idx="349">
                  <c:v>1.2350510588436565</c:v>
                </c:pt>
                <c:pt idx="350">
                  <c:v>1.1763295841099244</c:v>
                </c:pt>
                <c:pt idx="351">
                  <c:v>1.1339955005862712</c:v>
                </c:pt>
                <c:pt idx="352">
                  <c:v>1.1109391104976012</c:v>
                </c:pt>
                <c:pt idx="353">
                  <c:v>1.0851818833928581</c:v>
                </c:pt>
                <c:pt idx="354">
                  <c:v>1.0807178160998647</c:v>
                </c:pt>
                <c:pt idx="355">
                  <c:v>1.0015621075266434</c:v>
                </c:pt>
                <c:pt idx="356">
                  <c:v>1.0318761668891403</c:v>
                </c:pt>
                <c:pt idx="357">
                  <c:v>0.95586027188386624</c:v>
                </c:pt>
                <c:pt idx="358">
                  <c:v>0.94830550604831076</c:v>
                </c:pt>
                <c:pt idx="359">
                  <c:v>0.91932745804559035</c:v>
                </c:pt>
                <c:pt idx="360">
                  <c:v>0.93479533132777759</c:v>
                </c:pt>
                <c:pt idx="361">
                  <c:v>0.87619134522325448</c:v>
                </c:pt>
                <c:pt idx="362">
                  <c:v>0.89035311487499169</c:v>
                </c:pt>
                <c:pt idx="363">
                  <c:v>0.88868743885203128</c:v>
                </c:pt>
                <c:pt idx="364">
                  <c:v>0.9042975280551564</c:v>
                </c:pt>
                <c:pt idx="365">
                  <c:v>0.87167462395609563</c:v>
                </c:pt>
                <c:pt idx="366">
                  <c:v>0.90701321178199446</c:v>
                </c:pt>
                <c:pt idx="367">
                  <c:v>0.90035625676401443</c:v>
                </c:pt>
                <c:pt idx="368">
                  <c:v>0.92971757305016645</c:v>
                </c:pt>
                <c:pt idx="369">
                  <c:v>0.93016547931104565</c:v>
                </c:pt>
                <c:pt idx="370">
                  <c:v>0.92369242228259785</c:v>
                </c:pt>
                <c:pt idx="371">
                  <c:v>0.89492350850347901</c:v>
                </c:pt>
                <c:pt idx="372">
                  <c:v>0.94293117820595174</c:v>
                </c:pt>
                <c:pt idx="373">
                  <c:v>0.92733667257281893</c:v>
                </c:pt>
                <c:pt idx="374">
                  <c:v>0.97652843560909253</c:v>
                </c:pt>
                <c:pt idx="375">
                  <c:v>0.9282505392106154</c:v>
                </c:pt>
                <c:pt idx="376">
                  <c:v>0.9361111821391318</c:v>
                </c:pt>
                <c:pt idx="377">
                  <c:v>0.86992152537249101</c:v>
                </c:pt>
                <c:pt idx="378">
                  <c:v>0.78279786591453882</c:v>
                </c:pt>
                <c:pt idx="379">
                  <c:v>0.75525159242281692</c:v>
                </c:pt>
                <c:pt idx="380">
                  <c:v>0.72705539349382109</c:v>
                </c:pt>
                <c:pt idx="381">
                  <c:v>0.74189812710723646</c:v>
                </c:pt>
                <c:pt idx="382">
                  <c:v>0.74195603598401549</c:v>
                </c:pt>
                <c:pt idx="383">
                  <c:v>0.76175748016206679</c:v>
                </c:pt>
                <c:pt idx="384">
                  <c:v>0.72937375531250448</c:v>
                </c:pt>
                <c:pt idx="385">
                  <c:v>0.73994390328367576</c:v>
                </c:pt>
                <c:pt idx="386">
                  <c:v>0.75877068215769716</c:v>
                </c:pt>
                <c:pt idx="387">
                  <c:v>0.72471429840952506</c:v>
                </c:pt>
                <c:pt idx="388">
                  <c:v>0.69977024116731801</c:v>
                </c:pt>
                <c:pt idx="389">
                  <c:v>0.66136047835860523</c:v>
                </c:pt>
                <c:pt idx="390">
                  <c:v>0.62470639858575716</c:v>
                </c:pt>
                <c:pt idx="391">
                  <c:v>0.65252965172096389</c:v>
                </c:pt>
                <c:pt idx="392">
                  <c:v>0.67804737093412193</c:v>
                </c:pt>
                <c:pt idx="393">
                  <c:v>0.62751955760292677</c:v>
                </c:pt>
                <c:pt idx="394">
                  <c:v>0.66074907050381748</c:v>
                </c:pt>
                <c:pt idx="395">
                  <c:v>0.62246558845991518</c:v>
                </c:pt>
                <c:pt idx="396">
                  <c:v>0.60401101815812019</c:v>
                </c:pt>
                <c:pt idx="397">
                  <c:v>0.5992869533518731</c:v>
                </c:pt>
                <c:pt idx="398">
                  <c:v>0.60345964312009348</c:v>
                </c:pt>
                <c:pt idx="399">
                  <c:v>0.60257368944282075</c:v>
                </c:pt>
                <c:pt idx="400">
                  <c:v>0.5840264799696594</c:v>
                </c:pt>
                <c:pt idx="401">
                  <c:v>0.59738021228610849</c:v>
                </c:pt>
                <c:pt idx="402">
                  <c:v>0.59523536942293398</c:v>
                </c:pt>
                <c:pt idx="403">
                  <c:v>0.59115544859524161</c:v>
                </c:pt>
                <c:pt idx="404">
                  <c:v>0.59945136240818298</c:v>
                </c:pt>
                <c:pt idx="405">
                  <c:v>0.60895143306897659</c:v>
                </c:pt>
                <c:pt idx="406">
                  <c:v>0.60777139688574466</c:v>
                </c:pt>
                <c:pt idx="407">
                  <c:v>0.62460054550370159</c:v>
                </c:pt>
                <c:pt idx="408">
                  <c:v>0.59392904987054684</c:v>
                </c:pt>
                <c:pt idx="409">
                  <c:v>0.58624180576267781</c:v>
                </c:pt>
                <c:pt idx="410">
                  <c:v>0.58127959468053014</c:v>
                </c:pt>
                <c:pt idx="411">
                  <c:v>0.58335520717298295</c:v>
                </c:pt>
                <c:pt idx="412">
                  <c:v>0.57205237985374491</c:v>
                </c:pt>
                <c:pt idx="413">
                  <c:v>0.56866409189445366</c:v>
                </c:pt>
                <c:pt idx="414">
                  <c:v>0.57779935349724443</c:v>
                </c:pt>
                <c:pt idx="415">
                  <c:v>0.56936438193749672</c:v>
                </c:pt>
                <c:pt idx="416">
                  <c:v>0.57677417733372427</c:v>
                </c:pt>
                <c:pt idx="417">
                  <c:v>0.58040449484816869</c:v>
                </c:pt>
                <c:pt idx="418">
                  <c:v>0.57822172112029435</c:v>
                </c:pt>
                <c:pt idx="419">
                  <c:v>0.56849708957442602</c:v>
                </c:pt>
                <c:pt idx="420">
                  <c:v>0.58286981575714991</c:v>
                </c:pt>
                <c:pt idx="421">
                  <c:v>0.58342534043429284</c:v>
                </c:pt>
                <c:pt idx="422">
                  <c:v>0.57149940835048185</c:v>
                </c:pt>
                <c:pt idx="423">
                  <c:v>0.58727690778271147</c:v>
                </c:pt>
                <c:pt idx="424">
                  <c:v>0.57851591475441733</c:v>
                </c:pt>
                <c:pt idx="425">
                  <c:v>0.57839807339743443</c:v>
                </c:pt>
                <c:pt idx="426">
                  <c:v>0.57451596754554757</c:v>
                </c:pt>
                <c:pt idx="427">
                  <c:v>0.56205562322844016</c:v>
                </c:pt>
                <c:pt idx="428">
                  <c:v>0.60776831655100216</c:v>
                </c:pt>
                <c:pt idx="429">
                  <c:v>0.63651593818626795</c:v>
                </c:pt>
                <c:pt idx="430">
                  <c:v>0.64798812016420915</c:v>
                </c:pt>
                <c:pt idx="431">
                  <c:v>0.62687773710880867</c:v>
                </c:pt>
                <c:pt idx="432">
                  <c:v>0.6372380477512104</c:v>
                </c:pt>
                <c:pt idx="433">
                  <c:v>0.5960802291027264</c:v>
                </c:pt>
                <c:pt idx="434">
                  <c:v>0.59592128828021329</c:v>
                </c:pt>
                <c:pt idx="435">
                  <c:v>0.59660061839021328</c:v>
                </c:pt>
                <c:pt idx="436">
                  <c:v>0.59789375244648446</c:v>
                </c:pt>
                <c:pt idx="437">
                  <c:v>0.58725628768799754</c:v>
                </c:pt>
                <c:pt idx="438">
                  <c:v>0.58360140008144867</c:v>
                </c:pt>
                <c:pt idx="439">
                  <c:v>0.58448663404735768</c:v>
                </c:pt>
                <c:pt idx="440">
                  <c:v>0.59232056115575782</c:v>
                </c:pt>
                <c:pt idx="441">
                  <c:v>0.58394084897514542</c:v>
                </c:pt>
                <c:pt idx="442">
                  <c:v>0.59842867252062926</c:v>
                </c:pt>
                <c:pt idx="443">
                  <c:v>0.61369120552893175</c:v>
                </c:pt>
                <c:pt idx="444">
                  <c:v>0.61449075789813079</c:v>
                </c:pt>
                <c:pt idx="445">
                  <c:v>0.58979678193381857</c:v>
                </c:pt>
                <c:pt idx="446">
                  <c:v>0.58347399269125444</c:v>
                </c:pt>
                <c:pt idx="447">
                  <c:v>0.60840031228194102</c:v>
                </c:pt>
                <c:pt idx="448">
                  <c:v>0.58552241502557556</c:v>
                </c:pt>
                <c:pt idx="449">
                  <c:v>0.57449699085531836</c:v>
                </c:pt>
                <c:pt idx="450">
                  <c:v>0.57033811747917296</c:v>
                </c:pt>
                <c:pt idx="451">
                  <c:v>0.56754621309525133</c:v>
                </c:pt>
                <c:pt idx="452">
                  <c:v>0.57873196483456812</c:v>
                </c:pt>
                <c:pt idx="453">
                  <c:v>0.57331156691736029</c:v>
                </c:pt>
                <c:pt idx="454">
                  <c:v>0.58300674626872395</c:v>
                </c:pt>
                <c:pt idx="455">
                  <c:v>0.57364591077027705</c:v>
                </c:pt>
                <c:pt idx="456">
                  <c:v>0.57864340852723617</c:v>
                </c:pt>
                <c:pt idx="457">
                  <c:v>0.58973174003790907</c:v>
                </c:pt>
                <c:pt idx="458">
                  <c:v>0.59690856215349042</c:v>
                </c:pt>
                <c:pt idx="459">
                  <c:v>0.59876075432874842</c:v>
                </c:pt>
                <c:pt idx="460">
                  <c:v>0.61083048464253487</c:v>
                </c:pt>
                <c:pt idx="461">
                  <c:v>0.60025213413665257</c:v>
                </c:pt>
                <c:pt idx="462">
                  <c:v>0.59596733181665251</c:v>
                </c:pt>
                <c:pt idx="463">
                  <c:v>0.59079011398824921</c:v>
                </c:pt>
                <c:pt idx="464">
                  <c:v>0.59079011398824921</c:v>
                </c:pt>
                <c:pt idx="465">
                  <c:v>0.61187052336214132</c:v>
                </c:pt>
                <c:pt idx="466">
                  <c:v>0.62631952298977212</c:v>
                </c:pt>
                <c:pt idx="467">
                  <c:v>0.61553091293782614</c:v>
                </c:pt>
                <c:pt idx="468">
                  <c:v>0.60960209825871214</c:v>
                </c:pt>
                <c:pt idx="469">
                  <c:v>0.62669047910312725</c:v>
                </c:pt>
                <c:pt idx="470">
                  <c:v>0.61875489957694363</c:v>
                </c:pt>
                <c:pt idx="471">
                  <c:v>0.63837658866563929</c:v>
                </c:pt>
                <c:pt idx="472">
                  <c:v>0.63644930724979554</c:v>
                </c:pt>
                <c:pt idx="473">
                  <c:v>0.64379525076415678</c:v>
                </c:pt>
                <c:pt idx="474">
                  <c:v>0.61552710787502729</c:v>
                </c:pt>
                <c:pt idx="475">
                  <c:v>0.60664855545034868</c:v>
                </c:pt>
                <c:pt idx="476">
                  <c:v>0.60271904612842353</c:v>
                </c:pt>
                <c:pt idx="477">
                  <c:v>0.59008923843569627</c:v>
                </c:pt>
                <c:pt idx="478">
                  <c:v>0.57721009401498558</c:v>
                </c:pt>
                <c:pt idx="479">
                  <c:v>0.59739601786728791</c:v>
                </c:pt>
                <c:pt idx="480">
                  <c:v>0.58703776030237564</c:v>
                </c:pt>
                <c:pt idx="481">
                  <c:v>0.57333787025215099</c:v>
                </c:pt>
                <c:pt idx="482">
                  <c:v>0.57257437462565852</c:v>
                </c:pt>
                <c:pt idx="483">
                  <c:v>0.57710342942333137</c:v>
                </c:pt>
                <c:pt idx="484">
                  <c:v>0.58850063690295296</c:v>
                </c:pt>
                <c:pt idx="485">
                  <c:v>0.59010761914771481</c:v>
                </c:pt>
                <c:pt idx="486">
                  <c:v>0.56864162427000642</c:v>
                </c:pt>
                <c:pt idx="487">
                  <c:v>0.59064604791470499</c:v>
                </c:pt>
                <c:pt idx="488">
                  <c:v>0.58319884815699075</c:v>
                </c:pt>
                <c:pt idx="489">
                  <c:v>0.58576121429053185</c:v>
                </c:pt>
                <c:pt idx="490">
                  <c:v>0.56308563602309292</c:v>
                </c:pt>
                <c:pt idx="491">
                  <c:v>0.54117266130376829</c:v>
                </c:pt>
                <c:pt idx="492">
                  <c:v>0.55764367817038318</c:v>
                </c:pt>
                <c:pt idx="493">
                  <c:v>0.54893595351816971</c:v>
                </c:pt>
                <c:pt idx="494">
                  <c:v>0.5682164535924098</c:v>
                </c:pt>
                <c:pt idx="495">
                  <c:v>0.57570664406779448</c:v>
                </c:pt>
                <c:pt idx="496">
                  <c:v>0.57661897368790505</c:v>
                </c:pt>
                <c:pt idx="497">
                  <c:v>0.57886336144414086</c:v>
                </c:pt>
                <c:pt idx="498">
                  <c:v>0.57730558914301722</c:v>
                </c:pt>
                <c:pt idx="499">
                  <c:v>0.56681295905834272</c:v>
                </c:pt>
                <c:pt idx="500">
                  <c:v>0.59386485583343873</c:v>
                </c:pt>
                <c:pt idx="501">
                  <c:v>0.58920824488229306</c:v>
                </c:pt>
                <c:pt idx="502">
                  <c:v>0.60202086428843682</c:v>
                </c:pt>
                <c:pt idx="503">
                  <c:v>0.58703840299680421</c:v>
                </c:pt>
                <c:pt idx="504">
                  <c:v>0.58167653749056192</c:v>
                </c:pt>
                <c:pt idx="505">
                  <c:v>0.5868279176603578</c:v>
                </c:pt>
                <c:pt idx="506">
                  <c:v>0.57794303900487021</c:v>
                </c:pt>
                <c:pt idx="507">
                  <c:v>0.57813955424321561</c:v>
                </c:pt>
                <c:pt idx="508">
                  <c:v>0.56507821234980937</c:v>
                </c:pt>
                <c:pt idx="509">
                  <c:v>0.54154211311512779</c:v>
                </c:pt>
                <c:pt idx="510">
                  <c:v>0.5617180611682937</c:v>
                </c:pt>
                <c:pt idx="511">
                  <c:v>0.52307875045627494</c:v>
                </c:pt>
                <c:pt idx="512">
                  <c:v>0.55816119701302502</c:v>
                </c:pt>
                <c:pt idx="513">
                  <c:v>0.57092965330007384</c:v>
                </c:pt>
                <c:pt idx="514">
                  <c:v>0.57963887693910998</c:v>
                </c:pt>
                <c:pt idx="515">
                  <c:v>0.59614505497183445</c:v>
                </c:pt>
                <c:pt idx="516">
                  <c:v>0.59243564416840511</c:v>
                </c:pt>
                <c:pt idx="517">
                  <c:v>0.611987612962821</c:v>
                </c:pt>
                <c:pt idx="518">
                  <c:v>0.60522737391049097</c:v>
                </c:pt>
                <c:pt idx="519">
                  <c:v>0.61874671064056863</c:v>
                </c:pt>
                <c:pt idx="520">
                  <c:v>0.67503216443513836</c:v>
                </c:pt>
                <c:pt idx="521">
                  <c:v>0.66578083480367178</c:v>
                </c:pt>
                <c:pt idx="522">
                  <c:v>0.64734867589033107</c:v>
                </c:pt>
                <c:pt idx="523">
                  <c:v>0.50018500637553887</c:v>
                </c:pt>
                <c:pt idx="524">
                  <c:v>0.45995065459121953</c:v>
                </c:pt>
                <c:pt idx="525">
                  <c:v>0.49970100056006417</c:v>
                </c:pt>
                <c:pt idx="526">
                  <c:v>0.47019108086896105</c:v>
                </c:pt>
                <c:pt idx="527">
                  <c:v>0.46729672964006513</c:v>
                </c:pt>
                <c:pt idx="528">
                  <c:v>0.46829706230383261</c:v>
                </c:pt>
                <c:pt idx="529">
                  <c:v>0.48995759753998985</c:v>
                </c:pt>
                <c:pt idx="530">
                  <c:v>0.47374347933280953</c:v>
                </c:pt>
                <c:pt idx="531">
                  <c:v>0.47902213810880956</c:v>
                </c:pt>
                <c:pt idx="532">
                  <c:v>0.50706345967415833</c:v>
                </c:pt>
                <c:pt idx="533">
                  <c:v>0.4971904059304354</c:v>
                </c:pt>
                <c:pt idx="534">
                  <c:v>0.45038577769028315</c:v>
                </c:pt>
                <c:pt idx="535">
                  <c:v>0.47096750692944889</c:v>
                </c:pt>
                <c:pt idx="536">
                  <c:v>0.4725932313370958</c:v>
                </c:pt>
                <c:pt idx="537">
                  <c:v>0.41458797766937661</c:v>
                </c:pt>
                <c:pt idx="538">
                  <c:v>0.39559277395199915</c:v>
                </c:pt>
                <c:pt idx="539">
                  <c:v>0.39844550072811191</c:v>
                </c:pt>
                <c:pt idx="540">
                  <c:v>0.40212011555977878</c:v>
                </c:pt>
                <c:pt idx="541">
                  <c:v>0.38937155424178621</c:v>
                </c:pt>
                <c:pt idx="542">
                  <c:v>0.37304732216321473</c:v>
                </c:pt>
                <c:pt idx="543">
                  <c:v>0.40216256305587211</c:v>
                </c:pt>
                <c:pt idx="544">
                  <c:v>0.39493837138849491</c:v>
                </c:pt>
                <c:pt idx="545">
                  <c:v>0.3686643737260672</c:v>
                </c:pt>
                <c:pt idx="546">
                  <c:v>0.36419797092398382</c:v>
                </c:pt>
                <c:pt idx="547">
                  <c:v>0.35942846488381991</c:v>
                </c:pt>
                <c:pt idx="548">
                  <c:v>0.37450172629788364</c:v>
                </c:pt>
                <c:pt idx="549">
                  <c:v>0.36125729408521701</c:v>
                </c:pt>
                <c:pt idx="550">
                  <c:v>0.3631497161914195</c:v>
                </c:pt>
                <c:pt idx="551">
                  <c:v>0.36219591488713376</c:v>
                </c:pt>
                <c:pt idx="552">
                  <c:v>0.3471850217365961</c:v>
                </c:pt>
                <c:pt idx="553">
                  <c:v>0.35762581326938297</c:v>
                </c:pt>
                <c:pt idx="554">
                  <c:v>0.36521059292147096</c:v>
                </c:pt>
                <c:pt idx="555">
                  <c:v>0.36240137749922607</c:v>
                </c:pt>
                <c:pt idx="556">
                  <c:v>0.34253665426649882</c:v>
                </c:pt>
                <c:pt idx="557">
                  <c:v>0.36365856001715213</c:v>
                </c:pt>
                <c:pt idx="558">
                  <c:v>0.37239928532567673</c:v>
                </c:pt>
                <c:pt idx="559">
                  <c:v>0.36228810141744139</c:v>
                </c:pt>
                <c:pt idx="560">
                  <c:v>0.3531499656190818</c:v>
                </c:pt>
                <c:pt idx="561">
                  <c:v>0.34406821947595451</c:v>
                </c:pt>
                <c:pt idx="562">
                  <c:v>0.33653570555651396</c:v>
                </c:pt>
                <c:pt idx="563">
                  <c:v>0.32544123686061444</c:v>
                </c:pt>
                <c:pt idx="564">
                  <c:v>0.3510971827689478</c:v>
                </c:pt>
                <c:pt idx="565">
                  <c:v>0.35635024883026101</c:v>
                </c:pt>
                <c:pt idx="566">
                  <c:v>0.41241225585469787</c:v>
                </c:pt>
                <c:pt idx="567">
                  <c:v>0.38566547554890851</c:v>
                </c:pt>
                <c:pt idx="568">
                  <c:v>0.34714114325645568</c:v>
                </c:pt>
                <c:pt idx="569">
                  <c:v>0.30545577411424663</c:v>
                </c:pt>
                <c:pt idx="570">
                  <c:v>0.27883391885289011</c:v>
                </c:pt>
                <c:pt idx="571">
                  <c:v>0.28009264339312934</c:v>
                </c:pt>
                <c:pt idx="572">
                  <c:v>0.26332989875899704</c:v>
                </c:pt>
                <c:pt idx="573">
                  <c:v>0.2526549513869788</c:v>
                </c:pt>
                <c:pt idx="574">
                  <c:v>0.26117315744655961</c:v>
                </c:pt>
                <c:pt idx="575">
                  <c:v>0.26811494700319127</c:v>
                </c:pt>
                <c:pt idx="576">
                  <c:v>0.26283558782281752</c:v>
                </c:pt>
                <c:pt idx="577">
                  <c:v>0.26733348573595472</c:v>
                </c:pt>
                <c:pt idx="578">
                  <c:v>0.25054741643212697</c:v>
                </c:pt>
                <c:pt idx="579">
                  <c:v>0.24705345516947638</c:v>
                </c:pt>
                <c:pt idx="580">
                  <c:v>0.25839786144017401</c:v>
                </c:pt>
                <c:pt idx="581">
                  <c:v>0.25075023139217406</c:v>
                </c:pt>
                <c:pt idx="582">
                  <c:v>0.25046284663050739</c:v>
                </c:pt>
                <c:pt idx="583">
                  <c:v>0.26638291016212567</c:v>
                </c:pt>
                <c:pt idx="584">
                  <c:v>0.26105405520255348</c:v>
                </c:pt>
                <c:pt idx="585">
                  <c:v>0.25630353756875179</c:v>
                </c:pt>
                <c:pt idx="586">
                  <c:v>0.25811683002392416</c:v>
                </c:pt>
                <c:pt idx="587">
                  <c:v>0.25288796128678126</c:v>
                </c:pt>
                <c:pt idx="588">
                  <c:v>0.25553387959450274</c:v>
                </c:pt>
                <c:pt idx="589">
                  <c:v>0.25754522040058975</c:v>
                </c:pt>
                <c:pt idx="590">
                  <c:v>0.25639122163637929</c:v>
                </c:pt>
                <c:pt idx="591">
                  <c:v>0.25486300178747812</c:v>
                </c:pt>
                <c:pt idx="592">
                  <c:v>0.25038949619320433</c:v>
                </c:pt>
                <c:pt idx="593">
                  <c:v>0.25403483505820429</c:v>
                </c:pt>
                <c:pt idx="594">
                  <c:v>0.2517955705737337</c:v>
                </c:pt>
                <c:pt idx="595">
                  <c:v>0.2492803967800494</c:v>
                </c:pt>
                <c:pt idx="596">
                  <c:v>0.26322225522914039</c:v>
                </c:pt>
                <c:pt idx="597">
                  <c:v>0.25378862899445465</c:v>
                </c:pt>
                <c:pt idx="598">
                  <c:v>0.25604864577481179</c:v>
                </c:pt>
                <c:pt idx="599">
                  <c:v>0.24799063873741536</c:v>
                </c:pt>
                <c:pt idx="600">
                  <c:v>0.24466403543335036</c:v>
                </c:pt>
                <c:pt idx="601">
                  <c:v>0.25119202564472964</c:v>
                </c:pt>
                <c:pt idx="602">
                  <c:v>0.25756479487969897</c:v>
                </c:pt>
                <c:pt idx="603">
                  <c:v>0.24071827095471771</c:v>
                </c:pt>
                <c:pt idx="604">
                  <c:v>0.23060051405395679</c:v>
                </c:pt>
                <c:pt idx="605">
                  <c:v>0.23565588973030355</c:v>
                </c:pt>
                <c:pt idx="606">
                  <c:v>0.22451159567540163</c:v>
                </c:pt>
                <c:pt idx="607">
                  <c:v>0.23491848294944415</c:v>
                </c:pt>
                <c:pt idx="608">
                  <c:v>0.2248763078631614</c:v>
                </c:pt>
                <c:pt idx="609">
                  <c:v>0.22139984132237198</c:v>
                </c:pt>
                <c:pt idx="610">
                  <c:v>0.21347943619364471</c:v>
                </c:pt>
                <c:pt idx="611">
                  <c:v>0.22059980185182654</c:v>
                </c:pt>
                <c:pt idx="612">
                  <c:v>0.22059980185182651</c:v>
                </c:pt>
                <c:pt idx="613">
                  <c:v>0.21374943632336496</c:v>
                </c:pt>
                <c:pt idx="614">
                  <c:v>0.21963795435199854</c:v>
                </c:pt>
                <c:pt idx="615">
                  <c:v>0.2239312569253985</c:v>
                </c:pt>
                <c:pt idx="616">
                  <c:v>0.21769886345006861</c:v>
                </c:pt>
                <c:pt idx="617">
                  <c:v>0.22830928916270754</c:v>
                </c:pt>
                <c:pt idx="618">
                  <c:v>0.20800924391428646</c:v>
                </c:pt>
                <c:pt idx="619">
                  <c:v>0.19873321508899236</c:v>
                </c:pt>
                <c:pt idx="620">
                  <c:v>0.19886525057391038</c:v>
                </c:pt>
                <c:pt idx="621">
                  <c:v>0.20392509670168812</c:v>
                </c:pt>
                <c:pt idx="622">
                  <c:v>0.19947966227311667</c:v>
                </c:pt>
                <c:pt idx="623">
                  <c:v>0.20265656321458164</c:v>
                </c:pt>
                <c:pt idx="624">
                  <c:v>0.1983697832297602</c:v>
                </c:pt>
                <c:pt idx="625">
                  <c:v>0.19544064827882685</c:v>
                </c:pt>
                <c:pt idx="626">
                  <c:v>0.1912851904242322</c:v>
                </c:pt>
                <c:pt idx="627">
                  <c:v>0.19334188616890571</c:v>
                </c:pt>
                <c:pt idx="628">
                  <c:v>0.19521472202928133</c:v>
                </c:pt>
                <c:pt idx="629">
                  <c:v>0.20239273536428132</c:v>
                </c:pt>
                <c:pt idx="630">
                  <c:v>0.19583420195250351</c:v>
                </c:pt>
                <c:pt idx="631">
                  <c:v>0.19192388903750349</c:v>
                </c:pt>
                <c:pt idx="632">
                  <c:v>0.20253569056417009</c:v>
                </c:pt>
                <c:pt idx="633">
                  <c:v>0.20489383865992769</c:v>
                </c:pt>
                <c:pt idx="634">
                  <c:v>0.19585157359705213</c:v>
                </c:pt>
                <c:pt idx="635">
                  <c:v>0.20016819970973371</c:v>
                </c:pt>
                <c:pt idx="636">
                  <c:v>0.19698123540453363</c:v>
                </c:pt>
                <c:pt idx="637">
                  <c:v>0.19751086626408587</c:v>
                </c:pt>
                <c:pt idx="638">
                  <c:v>0.21895610623602305</c:v>
                </c:pt>
                <c:pt idx="639">
                  <c:v>0.21092241301553047</c:v>
                </c:pt>
                <c:pt idx="640">
                  <c:v>0.20851518601553046</c:v>
                </c:pt>
                <c:pt idx="641">
                  <c:v>0.20593706405274359</c:v>
                </c:pt>
                <c:pt idx="642">
                  <c:v>0.21042639438129537</c:v>
                </c:pt>
                <c:pt idx="643">
                  <c:v>0.19827239794320017</c:v>
                </c:pt>
                <c:pt idx="644">
                  <c:v>0.17212958988457677</c:v>
                </c:pt>
                <c:pt idx="645">
                  <c:v>0.17024676841374345</c:v>
                </c:pt>
                <c:pt idx="646">
                  <c:v>0.16601448482178266</c:v>
                </c:pt>
                <c:pt idx="647">
                  <c:v>0.17053294043995171</c:v>
                </c:pt>
                <c:pt idx="648">
                  <c:v>0.18569584978777781</c:v>
                </c:pt>
                <c:pt idx="649">
                  <c:v>0.19683430996848372</c:v>
                </c:pt>
                <c:pt idx="650">
                  <c:v>0.18879882237053502</c:v>
                </c:pt>
                <c:pt idx="651">
                  <c:v>0.19299730568453502</c:v>
                </c:pt>
                <c:pt idx="652">
                  <c:v>0.18229060210484269</c:v>
                </c:pt>
                <c:pt idx="653">
                  <c:v>0.19393499986484269</c:v>
                </c:pt>
                <c:pt idx="654">
                  <c:v>0.18892618393563915</c:v>
                </c:pt>
                <c:pt idx="655">
                  <c:v>0.18435589315491915</c:v>
                </c:pt>
                <c:pt idx="656">
                  <c:v>0.18750488491465941</c:v>
                </c:pt>
                <c:pt idx="657">
                  <c:v>0.18766776662386991</c:v>
                </c:pt>
                <c:pt idx="658">
                  <c:v>0.19896493919080457</c:v>
                </c:pt>
                <c:pt idx="659">
                  <c:v>0.18386370325440143</c:v>
                </c:pt>
                <c:pt idx="660">
                  <c:v>0.16150110755967509</c:v>
                </c:pt>
                <c:pt idx="661">
                  <c:v>0.17644504206155004</c:v>
                </c:pt>
                <c:pt idx="662">
                  <c:v>0.1514282972345444</c:v>
                </c:pt>
                <c:pt idx="663">
                  <c:v>0.14983631702207381</c:v>
                </c:pt>
                <c:pt idx="664">
                  <c:v>0.14821392738745845</c:v>
                </c:pt>
                <c:pt idx="665">
                  <c:v>0.15289945598042143</c:v>
                </c:pt>
                <c:pt idx="666">
                  <c:v>0.16026421629842144</c:v>
                </c:pt>
                <c:pt idx="667">
                  <c:v>0.15557639159772835</c:v>
                </c:pt>
                <c:pt idx="668">
                  <c:v>0.15847849582654192</c:v>
                </c:pt>
                <c:pt idx="669">
                  <c:v>0.15682369748313876</c:v>
                </c:pt>
                <c:pt idx="670">
                  <c:v>0.1644508606486064</c:v>
                </c:pt>
                <c:pt idx="671">
                  <c:v>0.15503230983139329</c:v>
                </c:pt>
                <c:pt idx="672">
                  <c:v>0.16020915656876972</c:v>
                </c:pt>
                <c:pt idx="673">
                  <c:v>0.15362817667778608</c:v>
                </c:pt>
                <c:pt idx="674">
                  <c:v>0.15876709303454281</c:v>
                </c:pt>
                <c:pt idx="675">
                  <c:v>0.1608696107616315</c:v>
                </c:pt>
                <c:pt idx="676">
                  <c:v>0.15083887775413149</c:v>
                </c:pt>
                <c:pt idx="677">
                  <c:v>0.16060797321771172</c:v>
                </c:pt>
                <c:pt idx="678">
                  <c:v>0.15424012410012275</c:v>
                </c:pt>
                <c:pt idx="679">
                  <c:v>0.15176970298714029</c:v>
                </c:pt>
                <c:pt idx="680">
                  <c:v>0.13949939487761273</c:v>
                </c:pt>
                <c:pt idx="681">
                  <c:v>0.12877035152471117</c:v>
                </c:pt>
                <c:pt idx="682">
                  <c:v>0.12804427005495506</c:v>
                </c:pt>
                <c:pt idx="683">
                  <c:v>0.13306294089670034</c:v>
                </c:pt>
                <c:pt idx="684">
                  <c:v>0.13918339680439265</c:v>
                </c:pt>
                <c:pt idx="685">
                  <c:v>0.13938308211789915</c:v>
                </c:pt>
                <c:pt idx="686">
                  <c:v>0.10694498057825871</c:v>
                </c:pt>
                <c:pt idx="687">
                  <c:v>0.15895312050617164</c:v>
                </c:pt>
                <c:pt idx="688">
                  <c:v>0.14892558680001775</c:v>
                </c:pt>
                <c:pt idx="689">
                  <c:v>0.14526438776951781</c:v>
                </c:pt>
                <c:pt idx="690">
                  <c:v>0.1400889271158815</c:v>
                </c:pt>
                <c:pt idx="691">
                  <c:v>0.16153100373609056</c:v>
                </c:pt>
                <c:pt idx="692">
                  <c:v>0.16792886893476605</c:v>
                </c:pt>
                <c:pt idx="693">
                  <c:v>0.1590856122182443</c:v>
                </c:pt>
                <c:pt idx="694">
                  <c:v>0.17134969660705029</c:v>
                </c:pt>
                <c:pt idx="695">
                  <c:v>0.17349346430177559</c:v>
                </c:pt>
                <c:pt idx="696">
                  <c:v>0.17011738108385696</c:v>
                </c:pt>
                <c:pt idx="697">
                  <c:v>0.15850611720200042</c:v>
                </c:pt>
                <c:pt idx="698">
                  <c:v>0.16421923471013994</c:v>
                </c:pt>
                <c:pt idx="699">
                  <c:v>0.17383254420492256</c:v>
                </c:pt>
                <c:pt idx="700">
                  <c:v>0.1802861430336799</c:v>
                </c:pt>
                <c:pt idx="701">
                  <c:v>0.17151996988577292</c:v>
                </c:pt>
                <c:pt idx="702">
                  <c:v>0.18122954842763625</c:v>
                </c:pt>
                <c:pt idx="703">
                  <c:v>0.19614702512123622</c:v>
                </c:pt>
                <c:pt idx="704">
                  <c:v>0.20941935650789403</c:v>
                </c:pt>
                <c:pt idx="705">
                  <c:v>0.22100513802459734</c:v>
                </c:pt>
                <c:pt idx="706">
                  <c:v>0.20288675138796017</c:v>
                </c:pt>
                <c:pt idx="707">
                  <c:v>0.17146716471392567</c:v>
                </c:pt>
                <c:pt idx="708">
                  <c:v>0.15869259990691209</c:v>
                </c:pt>
                <c:pt idx="709">
                  <c:v>0.17125431672518096</c:v>
                </c:pt>
                <c:pt idx="710">
                  <c:v>0.15551415858507006</c:v>
                </c:pt>
                <c:pt idx="711">
                  <c:v>0.14601406961492083</c:v>
                </c:pt>
                <c:pt idx="712">
                  <c:v>0.14506691191397436</c:v>
                </c:pt>
                <c:pt idx="713">
                  <c:v>0.15134706339223528</c:v>
                </c:pt>
                <c:pt idx="714">
                  <c:v>0.14475688945013002</c:v>
                </c:pt>
                <c:pt idx="715">
                  <c:v>0.15704738731263007</c:v>
                </c:pt>
                <c:pt idx="716">
                  <c:v>0.1662225383915481</c:v>
                </c:pt>
                <c:pt idx="717">
                  <c:v>0.15419080886437792</c:v>
                </c:pt>
                <c:pt idx="718">
                  <c:v>0.14292709339856891</c:v>
                </c:pt>
                <c:pt idx="719">
                  <c:v>0.13681462383824286</c:v>
                </c:pt>
                <c:pt idx="720">
                  <c:v>0.1401926704820752</c:v>
                </c:pt>
                <c:pt idx="721">
                  <c:v>0.1295164356263234</c:v>
                </c:pt>
                <c:pt idx="722">
                  <c:v>0.10981831682358054</c:v>
                </c:pt>
                <c:pt idx="723">
                  <c:v>9.6409121646234511E-2</c:v>
                </c:pt>
                <c:pt idx="724">
                  <c:v>8.2848417300234595E-2</c:v>
                </c:pt>
                <c:pt idx="725">
                  <c:v>8.840119353523461E-2</c:v>
                </c:pt>
                <c:pt idx="726">
                  <c:v>8.5845534774259033E-2</c:v>
                </c:pt>
                <c:pt idx="727">
                  <c:v>8.3991298479259013E-2</c:v>
                </c:pt>
                <c:pt idx="728">
                  <c:v>8.7728758871195509E-2</c:v>
                </c:pt>
                <c:pt idx="729">
                  <c:v>8.5881183967104605E-2</c:v>
                </c:pt>
                <c:pt idx="730">
                  <c:v>9.2165560441396108E-2</c:v>
                </c:pt>
                <c:pt idx="731">
                  <c:v>8.9162403761255268E-2</c:v>
                </c:pt>
                <c:pt idx="732">
                  <c:v>9.0832731539564102E-2</c:v>
                </c:pt>
                <c:pt idx="733">
                  <c:v>8.8581423714666152E-2</c:v>
                </c:pt>
                <c:pt idx="734">
                  <c:v>9.0063728052951902E-2</c:v>
                </c:pt>
                <c:pt idx="735">
                  <c:v>8.7760985594887375E-2</c:v>
                </c:pt>
                <c:pt idx="736">
                  <c:v>9.0733611813292286E-2</c:v>
                </c:pt>
                <c:pt idx="737">
                  <c:v>8.9060775380444601E-2</c:v>
                </c:pt>
                <c:pt idx="738">
                  <c:v>8.7245171863710599E-2</c:v>
                </c:pt>
                <c:pt idx="739">
                  <c:v>8.8586477504612862E-2</c:v>
                </c:pt>
                <c:pt idx="740">
                  <c:v>9.0511370440554892E-2</c:v>
                </c:pt>
                <c:pt idx="741">
                  <c:v>9.8693924309769671E-2</c:v>
                </c:pt>
                <c:pt idx="742">
                  <c:v>9.7624878192894685E-2</c:v>
                </c:pt>
                <c:pt idx="743">
                  <c:v>8.1267672199637403E-2</c:v>
                </c:pt>
                <c:pt idx="744">
                  <c:v>8.8627183615715102E-2</c:v>
                </c:pt>
                <c:pt idx="745">
                  <c:v>8.2095355507671608E-2</c:v>
                </c:pt>
                <c:pt idx="746">
                  <c:v>8.0278581052671619E-2</c:v>
                </c:pt>
                <c:pt idx="747">
                  <c:v>8.2324135966031609E-2</c:v>
                </c:pt>
                <c:pt idx="748">
                  <c:v>9.0324066483008308E-2</c:v>
                </c:pt>
                <c:pt idx="749">
                  <c:v>9.5636362012420095E-2</c:v>
                </c:pt>
                <c:pt idx="750">
                  <c:v>8.4782656447990087E-2</c:v>
                </c:pt>
                <c:pt idx="751">
                  <c:v>8.9102145001207472E-2</c:v>
                </c:pt>
                <c:pt idx="752">
                  <c:v>9.5908365315651931E-2</c:v>
                </c:pt>
                <c:pt idx="753">
                  <c:v>9.7533311524985261E-2</c:v>
                </c:pt>
                <c:pt idx="754">
                  <c:v>0.10250597059321186</c:v>
                </c:pt>
                <c:pt idx="755">
                  <c:v>0.10501124477233137</c:v>
                </c:pt>
                <c:pt idx="756">
                  <c:v>0.10183529706299803</c:v>
                </c:pt>
                <c:pt idx="757">
                  <c:v>0.10838416912978817</c:v>
                </c:pt>
                <c:pt idx="758">
                  <c:v>0.10728173961943356</c:v>
                </c:pt>
                <c:pt idx="759">
                  <c:v>0.10612666354321346</c:v>
                </c:pt>
                <c:pt idx="760">
                  <c:v>0.11189436860779677</c:v>
                </c:pt>
                <c:pt idx="761">
                  <c:v>0.11989387027500985</c:v>
                </c:pt>
                <c:pt idx="762">
                  <c:v>0.12856760616667653</c:v>
                </c:pt>
                <c:pt idx="763">
                  <c:v>0.13748984626528116</c:v>
                </c:pt>
                <c:pt idx="764">
                  <c:v>0.12874181336677054</c:v>
                </c:pt>
                <c:pt idx="765">
                  <c:v>0.13039451699890728</c:v>
                </c:pt>
                <c:pt idx="766">
                  <c:v>0.12358651486133324</c:v>
                </c:pt>
                <c:pt idx="767">
                  <c:v>0.12003613745975428</c:v>
                </c:pt>
                <c:pt idx="768">
                  <c:v>0.11384921087263565</c:v>
                </c:pt>
                <c:pt idx="769">
                  <c:v>0.11976762094127762</c:v>
                </c:pt>
                <c:pt idx="770">
                  <c:v>0.11629323768471045</c:v>
                </c:pt>
                <c:pt idx="771">
                  <c:v>0.11097997166011586</c:v>
                </c:pt>
                <c:pt idx="772">
                  <c:v>9.6235082785095127E-2</c:v>
                </c:pt>
                <c:pt idx="773">
                  <c:v>0.11239526679072939</c:v>
                </c:pt>
                <c:pt idx="774">
                  <c:v>0.13337890513146108</c:v>
                </c:pt>
                <c:pt idx="775">
                  <c:v>0.12569397326896112</c:v>
                </c:pt>
                <c:pt idx="776">
                  <c:v>0.1164678481778136</c:v>
                </c:pt>
                <c:pt idx="777">
                  <c:v>0.12946644336227142</c:v>
                </c:pt>
                <c:pt idx="778">
                  <c:v>0.1160563379793885</c:v>
                </c:pt>
                <c:pt idx="779">
                  <c:v>0.11073610153874952</c:v>
                </c:pt>
                <c:pt idx="780">
                  <c:v>0.11567049681706275</c:v>
                </c:pt>
                <c:pt idx="781">
                  <c:v>0.1243083919380305</c:v>
                </c:pt>
                <c:pt idx="782">
                  <c:v>0.11931926225394107</c:v>
                </c:pt>
                <c:pt idx="783">
                  <c:v>0.11858360530030472</c:v>
                </c:pt>
                <c:pt idx="784">
                  <c:v>0.11443330440869183</c:v>
                </c:pt>
                <c:pt idx="785">
                  <c:v>0.11861936875824487</c:v>
                </c:pt>
                <c:pt idx="786">
                  <c:v>0.12212161531225554</c:v>
                </c:pt>
                <c:pt idx="787">
                  <c:v>0.12856611810526525</c:v>
                </c:pt>
                <c:pt idx="788">
                  <c:v>0.13306677116552004</c:v>
                </c:pt>
                <c:pt idx="789">
                  <c:v>0.12931128357811669</c:v>
                </c:pt>
                <c:pt idx="790">
                  <c:v>0.13161380601079278</c:v>
                </c:pt>
                <c:pt idx="791">
                  <c:v>0.12367372389395309</c:v>
                </c:pt>
                <c:pt idx="792">
                  <c:v>0.12021927768940111</c:v>
                </c:pt>
                <c:pt idx="793">
                  <c:v>0.11615375645761203</c:v>
                </c:pt>
                <c:pt idx="794">
                  <c:v>0.12060311979102342</c:v>
                </c:pt>
                <c:pt idx="795">
                  <c:v>0.11025246049318947</c:v>
                </c:pt>
                <c:pt idx="796">
                  <c:v>0.11517208780756656</c:v>
                </c:pt>
                <c:pt idx="797">
                  <c:v>0.10631078757009919</c:v>
                </c:pt>
                <c:pt idx="798">
                  <c:v>0.1069604276418044</c:v>
                </c:pt>
                <c:pt idx="799">
                  <c:v>0.11105509349975622</c:v>
                </c:pt>
                <c:pt idx="800">
                  <c:v>0.11863979831028253</c:v>
                </c:pt>
                <c:pt idx="801">
                  <c:v>0.11550653174818289</c:v>
                </c:pt>
                <c:pt idx="802">
                  <c:v>0.12066841680168941</c:v>
                </c:pt>
                <c:pt idx="803">
                  <c:v>0.12039832871208488</c:v>
                </c:pt>
                <c:pt idx="804">
                  <c:v>0.11714286795901822</c:v>
                </c:pt>
                <c:pt idx="805">
                  <c:v>0.11960969648090056</c:v>
                </c:pt>
                <c:pt idx="806">
                  <c:v>0.10919111609690051</c:v>
                </c:pt>
                <c:pt idx="807">
                  <c:v>0.11505136369530047</c:v>
                </c:pt>
                <c:pt idx="808">
                  <c:v>0.11123609395713724</c:v>
                </c:pt>
                <c:pt idx="809">
                  <c:v>9.8476319382363869E-2</c:v>
                </c:pt>
                <c:pt idx="810">
                  <c:v>9.1171837270545675E-2</c:v>
                </c:pt>
                <c:pt idx="811">
                  <c:v>8.4634385822247804E-2</c:v>
                </c:pt>
                <c:pt idx="812">
                  <c:v>8.7923833708840396E-2</c:v>
                </c:pt>
                <c:pt idx="813">
                  <c:v>7.9946952558437173E-2</c:v>
                </c:pt>
                <c:pt idx="814">
                  <c:v>7.6548701944622766E-2</c:v>
                </c:pt>
                <c:pt idx="815">
                  <c:v>6.789197744926892E-2</c:v>
                </c:pt>
                <c:pt idx="816">
                  <c:v>6.0329607764299964E-2</c:v>
                </c:pt>
                <c:pt idx="817">
                  <c:v>5.9209164887299964E-2</c:v>
                </c:pt>
                <c:pt idx="818">
                  <c:v>5.6300199654834217E-2</c:v>
                </c:pt>
                <c:pt idx="819">
                  <c:v>5.4271822881141893E-2</c:v>
                </c:pt>
                <c:pt idx="820">
                  <c:v>4.9339827547872667E-2</c:v>
                </c:pt>
                <c:pt idx="821">
                  <c:v>5.1615760434992664E-2</c:v>
                </c:pt>
                <c:pt idx="822">
                  <c:v>4.9641853185332818E-2</c:v>
                </c:pt>
                <c:pt idx="823">
                  <c:v>5.6858570687110602E-2</c:v>
                </c:pt>
                <c:pt idx="824">
                  <c:v>5.3075842323345876E-2</c:v>
                </c:pt>
                <c:pt idx="825">
                  <c:v>5.6574545241451155E-2</c:v>
                </c:pt>
                <c:pt idx="826">
                  <c:v>5.1007481932942862E-2</c:v>
                </c:pt>
                <c:pt idx="827">
                  <c:v>5.072999049072064E-2</c:v>
                </c:pt>
                <c:pt idx="828">
                  <c:v>5.2193381614628685E-2</c:v>
                </c:pt>
                <c:pt idx="829">
                  <c:v>5.552216974953994E-2</c:v>
                </c:pt>
                <c:pt idx="830">
                  <c:v>5.1387863292949039E-2</c:v>
                </c:pt>
                <c:pt idx="831">
                  <c:v>4.843786398593708E-2</c:v>
                </c:pt>
                <c:pt idx="832">
                  <c:v>4.9053888193507186E-2</c:v>
                </c:pt>
                <c:pt idx="833">
                  <c:v>5.1288478830063211E-2</c:v>
                </c:pt>
                <c:pt idx="834">
                  <c:v>4.8477397607967973E-2</c:v>
                </c:pt>
                <c:pt idx="835">
                  <c:v>4.68554344865394E-2</c:v>
                </c:pt>
                <c:pt idx="836">
                  <c:v>5.1916330649039388E-2</c:v>
                </c:pt>
                <c:pt idx="837">
                  <c:v>4.4340952345338587E-2</c:v>
                </c:pt>
                <c:pt idx="838">
                  <c:v>4.2514446661646256E-2</c:v>
                </c:pt>
                <c:pt idx="839">
                  <c:v>4.1810917259979583E-2</c:v>
                </c:pt>
                <c:pt idx="840">
                  <c:v>4.2610580288304702E-2</c:v>
                </c:pt>
                <c:pt idx="841">
                  <c:v>3.8614316677738687E-2</c:v>
                </c:pt>
                <c:pt idx="842">
                  <c:v>4.0035670163877261E-2</c:v>
                </c:pt>
                <c:pt idx="843">
                  <c:v>4.7381946804490316E-2</c:v>
                </c:pt>
                <c:pt idx="844">
                  <c:v>3.7392694822073261E-2</c:v>
                </c:pt>
                <c:pt idx="845">
                  <c:v>4.0598235246960157E-2</c:v>
                </c:pt>
                <c:pt idx="846">
                  <c:v>3.4163441180908506E-2</c:v>
                </c:pt>
                <c:pt idx="847">
                  <c:v>3.2212523341152412E-2</c:v>
                </c:pt>
                <c:pt idx="848">
                  <c:v>3.1778898189902413E-2</c:v>
                </c:pt>
                <c:pt idx="849">
                  <c:v>2.7176348307911463E-2</c:v>
                </c:pt>
                <c:pt idx="850">
                  <c:v>3.0815386947414238E-2</c:v>
                </c:pt>
                <c:pt idx="851">
                  <c:v>1.8388351179015806E-2</c:v>
                </c:pt>
                <c:pt idx="852">
                  <c:v>1.805416773670426E-2</c:v>
                </c:pt>
                <c:pt idx="853">
                  <c:v>1.5826010320444721E-2</c:v>
                </c:pt>
                <c:pt idx="854">
                  <c:v>1.1942924828076316E-2</c:v>
                </c:pt>
                <c:pt idx="855">
                  <c:v>1.0812026843440547E-2</c:v>
                </c:pt>
                <c:pt idx="856">
                  <c:v>1.0102647201040538E-2</c:v>
                </c:pt>
                <c:pt idx="857">
                  <c:v>1.3097464874719007E-2</c:v>
                </c:pt>
                <c:pt idx="858">
                  <c:v>2.0443755644719008E-2</c:v>
                </c:pt>
                <c:pt idx="859">
                  <c:v>2.0443755644719008E-2</c:v>
                </c:pt>
                <c:pt idx="860">
                  <c:v>2.3946224867873133E-2</c:v>
                </c:pt>
                <c:pt idx="861">
                  <c:v>2.173817539602849E-2</c:v>
                </c:pt>
                <c:pt idx="862">
                  <c:v>2.0242531089290507E-2</c:v>
                </c:pt>
                <c:pt idx="863">
                  <c:v>2.2582025129110853E-2</c:v>
                </c:pt>
                <c:pt idx="864">
                  <c:v>2.4797334766057434E-2</c:v>
                </c:pt>
                <c:pt idx="865">
                  <c:v>2.6677757028215687E-2</c:v>
                </c:pt>
                <c:pt idx="866">
                  <c:v>2.1267302400390535E-2</c:v>
                </c:pt>
                <c:pt idx="867">
                  <c:v>2.1704216850198962E-2</c:v>
                </c:pt>
                <c:pt idx="868">
                  <c:v>1.8590532058047084E-2</c:v>
                </c:pt>
                <c:pt idx="869">
                  <c:v>5.4333283530681939E-3</c:v>
                </c:pt>
                <c:pt idx="870">
                  <c:v>4.7842437414015327E-3</c:v>
                </c:pt>
                <c:pt idx="871">
                  <c:v>1.1930181227361791E-2</c:v>
                </c:pt>
                <c:pt idx="872">
                  <c:v>8.5820064068721259E-3</c:v>
                </c:pt>
                <c:pt idx="873">
                  <c:v>1.0172532582122095E-3</c:v>
                </c:pt>
                <c:pt idx="874">
                  <c:v>7.3091513307601153E-4</c:v>
                </c:pt>
                <c:pt idx="875">
                  <c:v>4.5686412141251829E-3</c:v>
                </c:pt>
                <c:pt idx="876">
                  <c:v>4.0295386522768437E-3</c:v>
                </c:pt>
                <c:pt idx="877">
                  <c:v>5.8201524078323992E-3</c:v>
                </c:pt>
                <c:pt idx="878">
                  <c:v>6.7643675960676886E-3</c:v>
                </c:pt>
                <c:pt idx="879">
                  <c:v>6.3958379522080456E-3</c:v>
                </c:pt>
                <c:pt idx="880">
                  <c:v>5.9652324891278684E-3</c:v>
                </c:pt>
                <c:pt idx="881">
                  <c:v>1.001160389076722E-2</c:v>
                </c:pt>
                <c:pt idx="882">
                  <c:v>1.0236795170628326E-2</c:v>
                </c:pt>
                <c:pt idx="883">
                  <c:v>1.4866016417567102E-2</c:v>
                </c:pt>
                <c:pt idx="884">
                  <c:v>2.0818045508093418E-2</c:v>
                </c:pt>
                <c:pt idx="885">
                  <c:v>2.0931341177389189E-2</c:v>
                </c:pt>
                <c:pt idx="886">
                  <c:v>2.1690861917389184E-2</c:v>
                </c:pt>
                <c:pt idx="887">
                  <c:v>2.3493971286148878E-2</c:v>
                </c:pt>
                <c:pt idx="888">
                  <c:v>2.2423767780788875E-2</c:v>
                </c:pt>
                <c:pt idx="889">
                  <c:v>2.2143553477182325E-2</c:v>
                </c:pt>
                <c:pt idx="890">
                  <c:v>2.0465471094710419E-2</c:v>
                </c:pt>
                <c:pt idx="891">
                  <c:v>2.161804646626752E-2</c:v>
                </c:pt>
                <c:pt idx="892">
                  <c:v>2.0825462125569839E-2</c:v>
                </c:pt>
                <c:pt idx="893">
                  <c:v>1.9044077362842565E-2</c:v>
                </c:pt>
                <c:pt idx="894">
                  <c:v>1.7792619741858955E-2</c:v>
                </c:pt>
                <c:pt idx="895">
                  <c:v>1.6178218171858955E-2</c:v>
                </c:pt>
                <c:pt idx="896">
                  <c:v>1.7685260112599684E-2</c:v>
                </c:pt>
                <c:pt idx="897">
                  <c:v>1.7827602275048659E-2</c:v>
                </c:pt>
                <c:pt idx="898">
                  <c:v>2.2164139752197873E-2</c:v>
                </c:pt>
                <c:pt idx="899">
                  <c:v>2.1869359949597874E-2</c:v>
                </c:pt>
                <c:pt idx="900">
                  <c:v>2.6762709518059404E-2</c:v>
                </c:pt>
                <c:pt idx="901">
                  <c:v>2.3253412108059403E-2</c:v>
                </c:pt>
                <c:pt idx="902">
                  <c:v>2.0302254496302082E-2</c:v>
                </c:pt>
                <c:pt idx="903">
                  <c:v>2.1888211932016368E-2</c:v>
                </c:pt>
                <c:pt idx="904">
                  <c:v>2.1102796331107277E-2</c:v>
                </c:pt>
                <c:pt idx="905">
                  <c:v>2.4664757414743631E-2</c:v>
                </c:pt>
                <c:pt idx="906">
                  <c:v>2.6878969466517213E-2</c:v>
                </c:pt>
                <c:pt idx="907">
                  <c:v>2.591654801238678E-2</c:v>
                </c:pt>
                <c:pt idx="908">
                  <c:v>2.7466336358548941E-2</c:v>
                </c:pt>
                <c:pt idx="909">
                  <c:v>2.759407500498251E-2</c:v>
                </c:pt>
                <c:pt idx="910">
                  <c:v>2.9662083547923688E-2</c:v>
                </c:pt>
                <c:pt idx="911">
                  <c:v>2.9773028575771795E-2</c:v>
                </c:pt>
                <c:pt idx="912">
                  <c:v>3.0125367265057514E-2</c:v>
                </c:pt>
                <c:pt idx="913">
                  <c:v>2.978880824353853E-2</c:v>
                </c:pt>
                <c:pt idx="914">
                  <c:v>3.0114178950246602E-2</c:v>
                </c:pt>
                <c:pt idx="915">
                  <c:v>2.9476824055137903E-2</c:v>
                </c:pt>
                <c:pt idx="916">
                  <c:v>3.257726387039403E-2</c:v>
                </c:pt>
                <c:pt idx="917">
                  <c:v>3.1251896025970061E-2</c:v>
                </c:pt>
                <c:pt idx="918">
                  <c:v>3.3123767543084687E-2</c:v>
                </c:pt>
                <c:pt idx="919">
                  <c:v>3.2611783605622648E-2</c:v>
                </c:pt>
                <c:pt idx="920">
                  <c:v>3.4861696828139208E-2</c:v>
                </c:pt>
                <c:pt idx="921">
                  <c:v>3.6686399668335284E-2</c:v>
                </c:pt>
                <c:pt idx="922">
                  <c:v>3.5297888842539503E-2</c:v>
                </c:pt>
                <c:pt idx="923">
                  <c:v>3.5370267463138753E-2</c:v>
                </c:pt>
                <c:pt idx="924">
                  <c:v>3.6023565377958706E-2</c:v>
                </c:pt>
                <c:pt idx="925">
                  <c:v>3.2827272410334944E-2</c:v>
                </c:pt>
                <c:pt idx="926">
                  <c:v>3.2122021978443042E-2</c:v>
                </c:pt>
                <c:pt idx="927">
                  <c:v>3.6705394998750737E-2</c:v>
                </c:pt>
                <c:pt idx="928">
                  <c:v>3.4615041147146343E-2</c:v>
                </c:pt>
                <c:pt idx="929">
                  <c:v>3.765787785537919E-2</c:v>
                </c:pt>
                <c:pt idx="930">
                  <c:v>3.846332524220071E-2</c:v>
                </c:pt>
                <c:pt idx="931">
                  <c:v>3.6105878336049113E-2</c:v>
                </c:pt>
                <c:pt idx="932">
                  <c:v>3.6078974766165971E-2</c:v>
                </c:pt>
                <c:pt idx="933">
                  <c:v>3.8874538067721537E-2</c:v>
                </c:pt>
                <c:pt idx="934">
                  <c:v>4.0189291406801289E-2</c:v>
                </c:pt>
                <c:pt idx="935">
                  <c:v>4.1689569278890837E-2</c:v>
                </c:pt>
                <c:pt idx="936">
                  <c:v>4.0408191465510571E-2</c:v>
                </c:pt>
                <c:pt idx="937">
                  <c:v>4.130089539339292E-2</c:v>
                </c:pt>
                <c:pt idx="938">
                  <c:v>4.2646957228188259E-2</c:v>
                </c:pt>
                <c:pt idx="939">
                  <c:v>4.5702117492307862E-2</c:v>
                </c:pt>
                <c:pt idx="940">
                  <c:v>4.3051586118813892E-2</c:v>
                </c:pt>
                <c:pt idx="941">
                  <c:v>4.4081080746898614E-2</c:v>
                </c:pt>
                <c:pt idx="942">
                  <c:v>4.3290604271473999E-2</c:v>
                </c:pt>
                <c:pt idx="943">
                  <c:v>4.8725343087180378E-2</c:v>
                </c:pt>
                <c:pt idx="944">
                  <c:v>4.6554676790047524E-2</c:v>
                </c:pt>
                <c:pt idx="945">
                  <c:v>4.3628737346450674E-2</c:v>
                </c:pt>
                <c:pt idx="946">
                  <c:v>5.0151952871450689E-2</c:v>
                </c:pt>
                <c:pt idx="947">
                  <c:v>5.3335891188069612E-2</c:v>
                </c:pt>
                <c:pt idx="948">
                  <c:v>5.4346791030890108E-2</c:v>
                </c:pt>
                <c:pt idx="949">
                  <c:v>5.5082504439837476E-2</c:v>
                </c:pt>
                <c:pt idx="950">
                  <c:v>5.8208083819082761E-2</c:v>
                </c:pt>
                <c:pt idx="951">
                  <c:v>5.5700582976362753E-2</c:v>
                </c:pt>
                <c:pt idx="952">
                  <c:v>5.386355125400983E-2</c:v>
                </c:pt>
                <c:pt idx="953">
                  <c:v>5.3471154226850733E-2</c:v>
                </c:pt>
                <c:pt idx="954">
                  <c:v>5.5327821872937694E-2</c:v>
                </c:pt>
                <c:pt idx="955">
                  <c:v>5.8615309973990323E-2</c:v>
                </c:pt>
                <c:pt idx="956">
                  <c:v>5.1823828517891239E-2</c:v>
                </c:pt>
                <c:pt idx="957">
                  <c:v>4.6612432670621443E-2</c:v>
                </c:pt>
                <c:pt idx="958">
                  <c:v>4.7367669474118385E-2</c:v>
                </c:pt>
                <c:pt idx="959">
                  <c:v>4.3202707722447609E-2</c:v>
                </c:pt>
                <c:pt idx="960">
                  <c:v>4.3153945703938282E-2</c:v>
                </c:pt>
                <c:pt idx="961">
                  <c:v>4.0586353797724711E-2</c:v>
                </c:pt>
                <c:pt idx="962">
                  <c:v>4.1156941522098249E-2</c:v>
                </c:pt>
                <c:pt idx="963">
                  <c:v>3.3166752647112309E-2</c:v>
                </c:pt>
                <c:pt idx="964">
                  <c:v>3.6286011067751506E-2</c:v>
                </c:pt>
                <c:pt idx="965">
                  <c:v>3.74859153315081E-2</c:v>
                </c:pt>
                <c:pt idx="966">
                  <c:v>3.4709737449104661E-2</c:v>
                </c:pt>
                <c:pt idx="967">
                  <c:v>2.7788827384617975E-2</c:v>
                </c:pt>
                <c:pt idx="968">
                  <c:v>1.5234943180678617E-2</c:v>
                </c:pt>
                <c:pt idx="969">
                  <c:v>3.753674226581425E-2</c:v>
                </c:pt>
                <c:pt idx="970">
                  <c:v>4.5332683381763966E-2</c:v>
                </c:pt>
                <c:pt idx="971">
                  <c:v>3.1768464283462083E-2</c:v>
                </c:pt>
                <c:pt idx="972">
                  <c:v>4.544655562398621E-2</c:v>
                </c:pt>
                <c:pt idx="973">
                  <c:v>2.4986522949187861E-2</c:v>
                </c:pt>
                <c:pt idx="974">
                  <c:v>7.1103681159423691E-3</c:v>
                </c:pt>
                <c:pt idx="975">
                  <c:v>6.8055124766662417E-3</c:v>
                </c:pt>
                <c:pt idx="976">
                  <c:v>3.1405086309079129E-3</c:v>
                </c:pt>
                <c:pt idx="977">
                  <c:v>-9.2427693420128081E-4</c:v>
                </c:pt>
                <c:pt idx="978">
                  <c:v>-4.187725099479957E-3</c:v>
                </c:pt>
                <c:pt idx="979">
                  <c:v>-1.9215904403425753E-3</c:v>
                </c:pt>
                <c:pt idx="980">
                  <c:v>2.8947920979386834E-3</c:v>
                </c:pt>
                <c:pt idx="981">
                  <c:v>-4.8199737889967481E-3</c:v>
                </c:pt>
                <c:pt idx="982">
                  <c:v>4.9256879234600573E-3</c:v>
                </c:pt>
                <c:pt idx="983">
                  <c:v>5.8912735137670773E-4</c:v>
                </c:pt>
                <c:pt idx="984">
                  <c:v>-1.224610481245076E-3</c:v>
                </c:pt>
                <c:pt idx="985">
                  <c:v>2.161834425203514E-3</c:v>
                </c:pt>
                <c:pt idx="986">
                  <c:v>1.1014693809945515E-3</c:v>
                </c:pt>
                <c:pt idx="987">
                  <c:v>-1.6923644187679374E-3</c:v>
                </c:pt>
                <c:pt idx="988">
                  <c:v>3.1283060961038792E-3</c:v>
                </c:pt>
                <c:pt idx="989">
                  <c:v>-2.8956494260582739E-3</c:v>
                </c:pt>
                <c:pt idx="990">
                  <c:v>-8.1783503818375104E-3</c:v>
                </c:pt>
                <c:pt idx="991">
                  <c:v>-5.544139898443423E-3</c:v>
                </c:pt>
                <c:pt idx="992">
                  <c:v>-2.8082922775259896E-3</c:v>
                </c:pt>
                <c:pt idx="993">
                  <c:v>-6.8284875857862754E-4</c:v>
                </c:pt>
                <c:pt idx="994">
                  <c:v>2.9712583554571542E-3</c:v>
                </c:pt>
                <c:pt idx="995">
                  <c:v>5.4789922299738822E-3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5-4342-8BBE-CCA2B35A1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2633199"/>
        <c:axId val="632632783"/>
      </c:lineChart>
      <c:dateAx>
        <c:axId val="632633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632783"/>
        <c:crosses val="autoZero"/>
        <c:auto val="1"/>
        <c:lblOffset val="100"/>
        <c:baseTimeUnit val="days"/>
      </c:dateAx>
      <c:valAx>
        <c:axId val="63263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63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3702080-C6E8-477E-BFE0-AD96CDD01C38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3D297A-51BB-41AD-B332-08715151131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44.8</v>
      </c>
      <c r="D2" s="4">
        <f>MIN(D3:D1912)</f>
        <v>1.0609999999999999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32.369999999999997</v>
      </c>
      <c r="C5">
        <v>32.94</v>
      </c>
      <c r="D5">
        <v>31.77</v>
      </c>
      <c r="E5">
        <v>31.96</v>
      </c>
      <c r="F5">
        <v>530968.34</v>
      </c>
      <c r="G5">
        <v>31.96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-0.67521367521367248</v>
      </c>
      <c r="Q5">
        <f t="shared" ref="Q5" si="1">F5*P5</f>
        <v>-358517.08427350281</v>
      </c>
      <c r="R5">
        <f t="shared" ref="R5" si="2">R6+Q5</f>
        <v>231424858.34631574</v>
      </c>
      <c r="S5">
        <f t="shared" ref="S5" si="3">R5/100000</f>
        <v>2314.2485834631575</v>
      </c>
      <c r="T5">
        <f t="shared" ref="T5" si="4">S5/1000</f>
        <v>2.3142485834631574</v>
      </c>
    </row>
    <row r="6" spans="1:20" x14ac:dyDescent="0.25">
      <c r="A6" s="5">
        <v>44587</v>
      </c>
      <c r="B6">
        <v>35.880000000000003</v>
      </c>
      <c r="C6">
        <v>36.39</v>
      </c>
      <c r="D6">
        <v>31.25</v>
      </c>
      <c r="E6">
        <v>32.36</v>
      </c>
      <c r="F6">
        <v>10668026.15</v>
      </c>
      <c r="G6">
        <v>32.36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-0.5680933852140081</v>
      </c>
      <c r="Q6">
        <f t="shared" ref="Q6" si="6">F6*P6</f>
        <v>-6060435.0891050622</v>
      </c>
      <c r="R6">
        <f t="shared" ref="R6" si="7">R7+Q6</f>
        <v>231783375.43058926</v>
      </c>
      <c r="S6">
        <f t="shared" ref="S6" si="8">R6/100000</f>
        <v>2317.8337543058924</v>
      </c>
      <c r="T6">
        <f t="shared" ref="T6" si="9">S6/1000</f>
        <v>2.3178337543058922</v>
      </c>
    </row>
    <row r="7" spans="1:20" x14ac:dyDescent="0.25">
      <c r="A7" s="5">
        <v>44586</v>
      </c>
      <c r="B7">
        <v>36.03</v>
      </c>
      <c r="C7">
        <v>37.19</v>
      </c>
      <c r="D7">
        <v>34.76</v>
      </c>
      <c r="E7">
        <v>35.869999999999997</v>
      </c>
      <c r="F7">
        <v>8578220.3699999992</v>
      </c>
      <c r="G7">
        <v>35.869999999999997</v>
      </c>
      <c r="L7" t="s">
        <v>8</v>
      </c>
      <c r="M7" t="s">
        <v>8</v>
      </c>
      <c r="N7" t="s">
        <v>7</v>
      </c>
      <c r="P7">
        <f t="shared" ref="P7" si="10">IF(C7=D7,0,((E7-D7)-(C7-E7))/(C7-D7))</f>
        <v>-8.6419753086420109E-2</v>
      </c>
      <c r="Q7">
        <f t="shared" ref="Q7" si="11">F7*P7</f>
        <v>-741327.68629629933</v>
      </c>
      <c r="R7">
        <f t="shared" ref="R7" si="12">R8+Q7</f>
        <v>237843810.51969433</v>
      </c>
      <c r="S7">
        <f t="shared" ref="S7" si="13">R7/100000</f>
        <v>2378.4381051969431</v>
      </c>
      <c r="T7">
        <f t="shared" ref="T7" si="14">S7/1000</f>
        <v>2.3784381051969432</v>
      </c>
    </row>
    <row r="8" spans="1:20" x14ac:dyDescent="0.25">
      <c r="A8" s="5">
        <v>44585</v>
      </c>
      <c r="B8">
        <v>34.6</v>
      </c>
      <c r="C8">
        <v>37.049999999999997</v>
      </c>
      <c r="D8">
        <v>29.81</v>
      </c>
      <c r="E8">
        <v>36.020000000000003</v>
      </c>
      <c r="F8">
        <v>16048278.65</v>
      </c>
      <c r="G8">
        <v>36.020000000000003</v>
      </c>
      <c r="L8" t="s">
        <v>8</v>
      </c>
      <c r="M8" t="s">
        <v>8</v>
      </c>
      <c r="N8" t="s">
        <v>7</v>
      </c>
      <c r="P8">
        <f t="shared" ref="P8" si="15">IF(C8=D8,0,((E8-D8)-(C8-E8))/(C8-D8))</f>
        <v>0.71546961325967007</v>
      </c>
      <c r="Q8">
        <f t="shared" ref="Q8" si="16">F8*P8</f>
        <v>11482055.71919892</v>
      </c>
      <c r="R8">
        <f t="shared" ref="R8" si="17">R9+Q8</f>
        <v>238585138.20599064</v>
      </c>
      <c r="S8">
        <f t="shared" ref="S8" si="18">R8/100000</f>
        <v>2385.8513820599064</v>
      </c>
      <c r="T8">
        <f t="shared" ref="T8" si="19">S8/1000</f>
        <v>2.3858513820599065</v>
      </c>
    </row>
    <row r="9" spans="1:20" x14ac:dyDescent="0.25">
      <c r="A9" s="5">
        <v>44584</v>
      </c>
      <c r="B9">
        <v>29.28</v>
      </c>
      <c r="C9">
        <v>34.78</v>
      </c>
      <c r="D9">
        <v>29.1</v>
      </c>
      <c r="E9">
        <v>34.61</v>
      </c>
      <c r="F9">
        <v>9192653.6400000006</v>
      </c>
      <c r="G9">
        <v>34.61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0.94014084507042195</v>
      </c>
      <c r="Q9">
        <f t="shared" ref="Q9" si="21">F9*P9</f>
        <v>8642389.1615492906</v>
      </c>
      <c r="R9">
        <f t="shared" ref="R9" si="22">R10+Q9</f>
        <v>227103082.48679173</v>
      </c>
      <c r="S9">
        <f t="shared" ref="S9" si="23">R9/100000</f>
        <v>2271.0308248679171</v>
      </c>
      <c r="T9">
        <f t="shared" ref="T9" si="24">S9/1000</f>
        <v>2.2710308248679172</v>
      </c>
    </row>
    <row r="10" spans="1:20" x14ac:dyDescent="0.25">
      <c r="A10" s="5">
        <v>44583</v>
      </c>
      <c r="B10">
        <v>34.6</v>
      </c>
      <c r="C10">
        <v>35.08</v>
      </c>
      <c r="D10">
        <v>27.31</v>
      </c>
      <c r="E10">
        <v>29.24</v>
      </c>
      <c r="F10">
        <v>10072800.5</v>
      </c>
      <c r="G10">
        <v>29.24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-0.50321750321750325</v>
      </c>
      <c r="Q10">
        <f t="shared" ref="Q10" si="26">F10*P10</f>
        <v>-5068809.5180180185</v>
      </c>
      <c r="R10">
        <f t="shared" ref="R10" si="27">R11+Q10</f>
        <v>218460693.32524243</v>
      </c>
      <c r="S10">
        <f t="shared" ref="S10" si="28">R10/100000</f>
        <v>2184.6069332524244</v>
      </c>
      <c r="T10">
        <f t="shared" ref="T10" si="29">S10/1000</f>
        <v>2.1846069332524243</v>
      </c>
    </row>
    <row r="11" spans="1:20" x14ac:dyDescent="0.25">
      <c r="A11" s="5">
        <v>44582</v>
      </c>
      <c r="B11">
        <v>38.979999999999997</v>
      </c>
      <c r="C11">
        <v>41.14</v>
      </c>
      <c r="D11">
        <v>32.1</v>
      </c>
      <c r="E11">
        <v>34.61</v>
      </c>
      <c r="F11">
        <v>12836299.210000001</v>
      </c>
      <c r="G11">
        <v>34.61</v>
      </c>
      <c r="L11" t="s">
        <v>7</v>
      </c>
      <c r="M11" t="s">
        <v>7</v>
      </c>
      <c r="N11" t="s">
        <v>8</v>
      </c>
      <c r="P11">
        <f t="shared" ref="P11" si="30">IF(C11=D11,0,((E11-D11)-(C11-E11))/(C11-D11))</f>
        <v>-0.44469026548672608</v>
      </c>
      <c r="Q11">
        <f t="shared" ref="Q11" si="31">F11*P11</f>
        <v>-5708177.3035619529</v>
      </c>
      <c r="R11">
        <f t="shared" ref="R11" si="32">R12+Q11</f>
        <v>223529502.84326044</v>
      </c>
      <c r="S11">
        <f t="shared" ref="S11" si="33">R11/100000</f>
        <v>2235.2950284326043</v>
      </c>
      <c r="T11">
        <f t="shared" ref="T11" si="34">S11/1000</f>
        <v>2.2352950284326045</v>
      </c>
    </row>
    <row r="12" spans="1:20" x14ac:dyDescent="0.25">
      <c r="A12" s="5">
        <v>44581</v>
      </c>
      <c r="B12">
        <v>37.020000000000003</v>
      </c>
      <c r="C12">
        <v>42.1</v>
      </c>
      <c r="D12">
        <v>36.93</v>
      </c>
      <c r="E12">
        <v>38.979999999999997</v>
      </c>
      <c r="F12">
        <v>7071681.3700000001</v>
      </c>
      <c r="G12">
        <v>38.979999999999997</v>
      </c>
      <c r="L12" t="s">
        <v>8</v>
      </c>
      <c r="M12" t="s">
        <v>7</v>
      </c>
      <c r="N12" t="s">
        <v>8</v>
      </c>
      <c r="P12">
        <f t="shared" ref="P12" si="35">IF(C12=D12,0,((E12-D12)-(C12-E12))/(C12-D12))</f>
        <v>-0.20696324951644238</v>
      </c>
      <c r="Q12">
        <f t="shared" ref="Q12" si="36">F12*P12</f>
        <v>-1463578.1558800871</v>
      </c>
      <c r="R12">
        <f t="shared" ref="R12" si="37">R13+Q12</f>
        <v>229237680.14682239</v>
      </c>
      <c r="S12">
        <f t="shared" ref="S12" si="38">R12/100000</f>
        <v>2292.3768014682241</v>
      </c>
      <c r="T12">
        <f t="shared" ref="T12" si="39">S12/1000</f>
        <v>2.2923768014682242</v>
      </c>
    </row>
    <row r="13" spans="1:20" x14ac:dyDescent="0.25">
      <c r="A13" s="5">
        <v>44580</v>
      </c>
      <c r="B13">
        <v>38.24</v>
      </c>
      <c r="C13">
        <v>38.840000000000003</v>
      </c>
      <c r="D13">
        <v>35.24</v>
      </c>
      <c r="E13">
        <v>37.020000000000003</v>
      </c>
      <c r="F13">
        <v>3949933.95</v>
      </c>
      <c r="G13">
        <v>37.020000000000003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-1.111111111111087E-2</v>
      </c>
      <c r="Q13">
        <f t="shared" ref="Q13" si="41">F13*P13</f>
        <v>-43888.154999999053</v>
      </c>
      <c r="R13">
        <f t="shared" ref="R13" si="42">R14+Q13</f>
        <v>230701258.30270249</v>
      </c>
      <c r="S13">
        <f t="shared" ref="S13" si="43">R13/100000</f>
        <v>2307.0125830270249</v>
      </c>
      <c r="T13">
        <f t="shared" ref="T13" si="44">S13/1000</f>
        <v>2.3070125830270247</v>
      </c>
    </row>
    <row r="14" spans="1:20" x14ac:dyDescent="0.25">
      <c r="A14" s="5">
        <v>44579</v>
      </c>
      <c r="B14">
        <v>39.130000000000003</v>
      </c>
      <c r="C14">
        <v>40.08</v>
      </c>
      <c r="D14">
        <v>36.25</v>
      </c>
      <c r="E14">
        <v>38.28</v>
      </c>
      <c r="F14">
        <v>4981591.6100000003</v>
      </c>
      <c r="G14">
        <v>38.28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6.0052219321149888E-2</v>
      </c>
      <c r="Q14">
        <f t="shared" ref="Q14" si="46">F14*P14</f>
        <v>299155.63193212019</v>
      </c>
      <c r="R14">
        <f t="shared" ref="R14" si="47">R15+Q14</f>
        <v>230745146.45770249</v>
      </c>
      <c r="S14">
        <f t="shared" ref="S14" si="48">R14/100000</f>
        <v>2307.451464577025</v>
      </c>
      <c r="T14">
        <f t="shared" ref="T14" si="49">S14/1000</f>
        <v>2.3074514645770252</v>
      </c>
    </row>
    <row r="15" spans="1:20" x14ac:dyDescent="0.25">
      <c r="A15" s="5">
        <v>44578</v>
      </c>
      <c r="B15">
        <v>43.66</v>
      </c>
      <c r="C15">
        <v>44.56</v>
      </c>
      <c r="D15">
        <v>37.94</v>
      </c>
      <c r="E15">
        <v>39.130000000000003</v>
      </c>
      <c r="F15">
        <v>5382563.6799999997</v>
      </c>
      <c r="G15">
        <v>39.130000000000003</v>
      </c>
      <c r="L15" t="s">
        <v>8</v>
      </c>
      <c r="M15" t="s">
        <v>8</v>
      </c>
      <c r="N15" t="s">
        <v>8</v>
      </c>
      <c r="P15">
        <f t="shared" ref="P15" si="50">IF(C15=D15,0,((E15-D15)-(C15-E15))/(C15-D15))</f>
        <v>-0.64048338368579938</v>
      </c>
      <c r="Q15">
        <f t="shared" ref="Q15" si="51">F15*P15</f>
        <v>-3447442.598670688</v>
      </c>
      <c r="R15">
        <f t="shared" ref="R15" si="52">R16+Q15</f>
        <v>230445990.82577038</v>
      </c>
      <c r="S15">
        <f t="shared" ref="S15" si="53">R15/100000</f>
        <v>2304.4599082577038</v>
      </c>
      <c r="T15">
        <f t="shared" ref="T15" si="54">S15/1000</f>
        <v>2.3044599082577037</v>
      </c>
    </row>
    <row r="16" spans="1:20" x14ac:dyDescent="0.25">
      <c r="A16" s="5">
        <v>44577</v>
      </c>
      <c r="B16">
        <v>39.1</v>
      </c>
      <c r="C16">
        <v>43.82</v>
      </c>
      <c r="D16">
        <v>38.81</v>
      </c>
      <c r="E16">
        <v>43.65</v>
      </c>
      <c r="F16">
        <v>4308173.16</v>
      </c>
      <c r="G16">
        <v>43.65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0.93213572854291349</v>
      </c>
      <c r="Q16">
        <f t="shared" ref="Q16" si="56">F16*P16</f>
        <v>4015802.127185626</v>
      </c>
      <c r="R16">
        <f t="shared" ref="R16" si="57">R17+Q16</f>
        <v>233893433.42444107</v>
      </c>
      <c r="S16">
        <f t="shared" ref="S16" si="58">R16/100000</f>
        <v>2338.9343342444108</v>
      </c>
      <c r="T16">
        <f t="shared" ref="T16" si="59">S16/1000</f>
        <v>2.3389343342444109</v>
      </c>
    </row>
    <row r="17" spans="1:20" x14ac:dyDescent="0.25">
      <c r="A17" s="5">
        <v>44576</v>
      </c>
      <c r="B17">
        <v>40.42</v>
      </c>
      <c r="C17">
        <v>40.96</v>
      </c>
      <c r="D17">
        <v>39.11</v>
      </c>
      <c r="E17">
        <v>39.119999999999997</v>
      </c>
      <c r="F17">
        <v>2986012.69</v>
      </c>
      <c r="G17">
        <v>39.119999999999997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-0.9891891891891913</v>
      </c>
      <c r="Q17">
        <f t="shared" ref="Q17" si="61">F17*P17</f>
        <v>-2953731.4717297358</v>
      </c>
      <c r="R17">
        <f t="shared" ref="R17" si="62">R18+Q17</f>
        <v>229877631.29725546</v>
      </c>
      <c r="S17">
        <f t="shared" ref="S17" si="63">R17/100000</f>
        <v>2298.7763129725545</v>
      </c>
      <c r="T17">
        <f t="shared" ref="T17" si="64">S17/1000</f>
        <v>2.2987763129725547</v>
      </c>
    </row>
    <row r="18" spans="1:20" x14ac:dyDescent="0.25">
      <c r="A18" s="5">
        <v>44575</v>
      </c>
      <c r="B18">
        <v>37.6</v>
      </c>
      <c r="C18">
        <v>40.83</v>
      </c>
      <c r="D18">
        <v>36.659999999999997</v>
      </c>
      <c r="E18">
        <v>40.42</v>
      </c>
      <c r="F18">
        <v>4875250.55</v>
      </c>
      <c r="G18">
        <v>40.42</v>
      </c>
      <c r="L18" t="s">
        <v>7</v>
      </c>
      <c r="M18" t="s">
        <v>8</v>
      </c>
      <c r="N18" t="s">
        <v>8</v>
      </c>
      <c r="P18">
        <f t="shared" ref="P18" si="65">IF(C18=D18,0,((E18-D18)-(C18-E18))/(C18-D18))</f>
        <v>0.80335731414868272</v>
      </c>
      <c r="Q18">
        <f t="shared" ref="Q18" si="66">F18*P18</f>
        <v>3916568.187649888</v>
      </c>
      <c r="R18">
        <f t="shared" ref="R18" si="67">R19+Q18</f>
        <v>232831362.76898518</v>
      </c>
      <c r="S18">
        <f t="shared" ref="S18" si="68">R18/100000</f>
        <v>2328.3136276898517</v>
      </c>
      <c r="T18">
        <f t="shared" ref="T18" si="69">S18/1000</f>
        <v>2.3283136276898517</v>
      </c>
    </row>
    <row r="19" spans="1:20" x14ac:dyDescent="0.25">
      <c r="A19" s="5">
        <v>44574</v>
      </c>
      <c r="B19">
        <v>40.21</v>
      </c>
      <c r="C19">
        <v>41.28</v>
      </c>
      <c r="D19">
        <v>37.409999999999997</v>
      </c>
      <c r="E19">
        <v>37.6</v>
      </c>
      <c r="F19">
        <v>5384612.4199999999</v>
      </c>
      <c r="G19">
        <v>37.6</v>
      </c>
      <c r="L19" t="s">
        <v>7</v>
      </c>
      <c r="M19" t="s">
        <v>8</v>
      </c>
      <c r="N19" t="s">
        <v>8</v>
      </c>
      <c r="P19">
        <f t="shared" ref="P19" si="70">IF(C19=D19,0,((E19-D19)-(C19-E19))/(C19-D19))</f>
        <v>-0.90180878552971333</v>
      </c>
      <c r="Q19">
        <f t="shared" ref="Q19" si="71">F19*P19</f>
        <v>-4855890.7870284105</v>
      </c>
      <c r="R19">
        <f t="shared" ref="R19" si="72">R20+Q19</f>
        <v>228914794.58133531</v>
      </c>
      <c r="S19">
        <f t="shared" ref="S19" si="73">R19/100000</f>
        <v>2289.1479458133531</v>
      </c>
      <c r="T19">
        <f t="shared" ref="T19" si="74">S19/1000</f>
        <v>2.2891479458133532</v>
      </c>
    </row>
    <row r="20" spans="1:20" x14ac:dyDescent="0.25">
      <c r="A20" s="5">
        <v>44573</v>
      </c>
      <c r="B20">
        <v>38.68</v>
      </c>
      <c r="C20">
        <v>42.33</v>
      </c>
      <c r="D20">
        <v>38.590000000000003</v>
      </c>
      <c r="E20">
        <v>40.22</v>
      </c>
      <c r="F20">
        <v>6574167.8700000001</v>
      </c>
      <c r="G20">
        <v>40.22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-0.12834224598930605</v>
      </c>
      <c r="Q20">
        <f t="shared" ref="Q20" si="76">F20*P20</f>
        <v>-843743.46994653216</v>
      </c>
      <c r="R20">
        <f t="shared" ref="R20" si="77">R21+Q20</f>
        <v>233770685.36836371</v>
      </c>
      <c r="S20">
        <f t="shared" ref="S20" si="78">R20/100000</f>
        <v>2337.7068536836373</v>
      </c>
      <c r="T20">
        <f t="shared" ref="T20" si="79">S20/1000</f>
        <v>2.3377068536836374</v>
      </c>
    </row>
    <row r="21" spans="1:20" x14ac:dyDescent="0.25">
      <c r="A21" s="5">
        <v>44572</v>
      </c>
      <c r="B21">
        <v>37.869999999999997</v>
      </c>
      <c r="C21">
        <v>40.049999999999997</v>
      </c>
      <c r="D21">
        <v>36.1</v>
      </c>
      <c r="E21">
        <v>38.700000000000003</v>
      </c>
      <c r="F21">
        <v>6837475.3099999996</v>
      </c>
      <c r="G21">
        <v>38.700000000000003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0.31645569620253378</v>
      </c>
      <c r="Q21">
        <f t="shared" ref="Q21" si="81">F21*P21</f>
        <v>2163758.0094936853</v>
      </c>
      <c r="R21">
        <f t="shared" ref="R21" si="82">R22+Q21</f>
        <v>234614428.83831024</v>
      </c>
      <c r="S21">
        <f t="shared" ref="S21" si="83">R21/100000</f>
        <v>2346.1442883831023</v>
      </c>
      <c r="T21">
        <f t="shared" ref="T21" si="84">S21/1000</f>
        <v>2.3461442883831025</v>
      </c>
    </row>
    <row r="22" spans="1:20" x14ac:dyDescent="0.25">
      <c r="A22" s="5">
        <v>44571</v>
      </c>
      <c r="B22">
        <v>34.97</v>
      </c>
      <c r="C22">
        <v>38.159999999999997</v>
      </c>
      <c r="D22">
        <v>32.9</v>
      </c>
      <c r="E22">
        <v>37.86</v>
      </c>
      <c r="F22">
        <v>9357081.5099999998</v>
      </c>
      <c r="G22">
        <v>37.86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0.88593155893536224</v>
      </c>
      <c r="Q22">
        <f t="shared" ref="Q22" si="86">F22*P22</f>
        <v>8289733.8092395533</v>
      </c>
      <c r="R22">
        <f t="shared" ref="R22" si="87">R23+Q22</f>
        <v>232450670.82881656</v>
      </c>
      <c r="S22">
        <f t="shared" ref="S22" si="88">R22/100000</f>
        <v>2324.5067082881656</v>
      </c>
      <c r="T22">
        <f t="shared" ref="T22" si="89">S22/1000</f>
        <v>2.3245067082881654</v>
      </c>
    </row>
    <row r="23" spans="1:20" x14ac:dyDescent="0.25">
      <c r="A23" s="5">
        <v>44570</v>
      </c>
      <c r="B23">
        <v>35.85</v>
      </c>
      <c r="C23">
        <v>38.08</v>
      </c>
      <c r="D23">
        <v>34.11</v>
      </c>
      <c r="E23">
        <v>34.979999999999997</v>
      </c>
      <c r="F23">
        <v>6802033.9000000004</v>
      </c>
      <c r="G23">
        <v>34.979999999999997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-0.56171284634760821</v>
      </c>
      <c r="Q23">
        <f t="shared" ref="Q23" si="91">F23*P23</f>
        <v>-3820789.8229219224</v>
      </c>
      <c r="R23">
        <f t="shared" ref="R23" si="92">R24+Q23</f>
        <v>224160937.019577</v>
      </c>
      <c r="S23">
        <f t="shared" ref="S23" si="93">R23/100000</f>
        <v>2241.6093701957698</v>
      </c>
      <c r="T23">
        <f t="shared" ref="T23" si="94">S23/1000</f>
        <v>2.2416093701957696</v>
      </c>
    </row>
    <row r="24" spans="1:20" x14ac:dyDescent="0.25">
      <c r="A24" s="5">
        <v>44569</v>
      </c>
      <c r="B24">
        <v>38.57</v>
      </c>
      <c r="C24">
        <v>40.340000000000003</v>
      </c>
      <c r="D24">
        <v>34.049999999999997</v>
      </c>
      <c r="E24">
        <v>35.869999999999997</v>
      </c>
      <c r="F24">
        <v>8081145.7699999996</v>
      </c>
      <c r="G24">
        <v>35.869999999999997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-0.42130365659777474</v>
      </c>
      <c r="Q24">
        <f t="shared" ref="Q24" si="96">F24*P24</f>
        <v>-3404616.2624006397</v>
      </c>
      <c r="R24">
        <f t="shared" ref="R24" si="97">R25+Q24</f>
        <v>227981726.84249893</v>
      </c>
      <c r="S24">
        <f t="shared" ref="S24" si="98">R24/100000</f>
        <v>2279.8172684249894</v>
      </c>
      <c r="T24">
        <f t="shared" ref="T24" si="99">S24/1000</f>
        <v>2.2798172684249893</v>
      </c>
    </row>
    <row r="25" spans="1:20" x14ac:dyDescent="0.25">
      <c r="A25" s="5">
        <v>44568</v>
      </c>
      <c r="B25">
        <v>40.08</v>
      </c>
      <c r="C25">
        <v>44.7</v>
      </c>
      <c r="D25">
        <v>37.700000000000003</v>
      </c>
      <c r="E25">
        <v>38.58</v>
      </c>
      <c r="F25">
        <v>14929705.189999999</v>
      </c>
      <c r="G25">
        <v>38.58</v>
      </c>
      <c r="L25" t="s">
        <v>8</v>
      </c>
      <c r="M25" t="s">
        <v>8</v>
      </c>
      <c r="N25" t="s">
        <v>8</v>
      </c>
      <c r="P25">
        <f t="shared" ref="P25" si="100">IF(C25=D25,0,((E25-D25)-(C25-E25))/(C25-D25))</f>
        <v>-0.74857142857142989</v>
      </c>
      <c r="Q25">
        <f t="shared" ref="Q25" si="101">F25*P25</f>
        <v>-11175950.74222859</v>
      </c>
      <c r="R25">
        <f t="shared" ref="R25" si="102">R26+Q25</f>
        <v>231386343.10489956</v>
      </c>
      <c r="S25">
        <f t="shared" ref="S25" si="103">R25/100000</f>
        <v>2313.8634310489956</v>
      </c>
      <c r="T25">
        <f t="shared" ref="T25" si="104">S25/1000</f>
        <v>2.3138634310489956</v>
      </c>
    </row>
    <row r="26" spans="1:20" x14ac:dyDescent="0.25">
      <c r="A26" s="5">
        <v>44567</v>
      </c>
      <c r="B26">
        <v>38.65</v>
      </c>
      <c r="C26">
        <v>41.49</v>
      </c>
      <c r="D26">
        <v>35.43</v>
      </c>
      <c r="E26">
        <v>40.08</v>
      </c>
      <c r="F26">
        <v>8519231.0500000007</v>
      </c>
      <c r="G26">
        <v>40.08</v>
      </c>
      <c r="L26" t="s">
        <v>8</v>
      </c>
      <c r="M26" t="s">
        <v>8</v>
      </c>
      <c r="N26" t="s">
        <v>8</v>
      </c>
      <c r="P26">
        <f t="shared" ref="P26" si="105">IF(C26=D26,0,((E26-D26)-(C26-E26))/(C26-D26))</f>
        <v>0.53465346534653357</v>
      </c>
      <c r="Q26">
        <f t="shared" ref="Q26" si="106">F26*P26</f>
        <v>4554836.4029702879</v>
      </c>
      <c r="R26">
        <f t="shared" ref="R26" si="107">R27+Q26</f>
        <v>242562293.84712815</v>
      </c>
      <c r="S26">
        <f t="shared" ref="S26" si="108">R26/100000</f>
        <v>2425.6229384712815</v>
      </c>
      <c r="T26">
        <f t="shared" ref="T26" si="109">S26/1000</f>
        <v>2.4256229384712813</v>
      </c>
    </row>
    <row r="27" spans="1:20" x14ac:dyDescent="0.25">
      <c r="A27" s="5">
        <v>44566</v>
      </c>
      <c r="B27">
        <v>42.11</v>
      </c>
      <c r="C27">
        <v>43.27</v>
      </c>
      <c r="D27">
        <v>34.590000000000003</v>
      </c>
      <c r="E27">
        <v>38.659999999999997</v>
      </c>
      <c r="F27">
        <v>8727325.6199999992</v>
      </c>
      <c r="G27">
        <v>38.659999999999997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-6.2211981566821818E-2</v>
      </c>
      <c r="Q27">
        <f t="shared" ref="Q27" si="111">F27*P27</f>
        <v>-542944.22059909173</v>
      </c>
      <c r="R27">
        <f t="shared" ref="R27" si="112">R28+Q27</f>
        <v>238007457.44415787</v>
      </c>
      <c r="S27">
        <f t="shared" ref="S27" si="113">R27/100000</f>
        <v>2380.0745744415785</v>
      </c>
      <c r="T27">
        <f t="shared" ref="T27" si="114">S27/1000</f>
        <v>2.3800745744415783</v>
      </c>
    </row>
    <row r="28" spans="1:20" x14ac:dyDescent="0.25">
      <c r="A28" s="5">
        <v>44565</v>
      </c>
      <c r="B28">
        <v>39.229999999999997</v>
      </c>
      <c r="C28">
        <v>43.95</v>
      </c>
      <c r="D28">
        <v>37.51</v>
      </c>
      <c r="E28">
        <v>42.1</v>
      </c>
      <c r="F28">
        <v>8857791.9000000004</v>
      </c>
      <c r="G28">
        <v>42.1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0.42546583850931674</v>
      </c>
      <c r="Q28">
        <f t="shared" ref="Q28" si="116">F28*P28</f>
        <v>3768687.8580745342</v>
      </c>
      <c r="R28">
        <f t="shared" ref="R28" si="117">R29+Q28</f>
        <v>238550401.66475695</v>
      </c>
      <c r="S28">
        <f t="shared" ref="S28" si="118">R28/100000</f>
        <v>2385.5040166475696</v>
      </c>
      <c r="T28">
        <f t="shared" ref="T28" si="119">S28/1000</f>
        <v>2.3855040166475696</v>
      </c>
    </row>
    <row r="29" spans="1:20" x14ac:dyDescent="0.25">
      <c r="A29" s="5">
        <v>44564</v>
      </c>
      <c r="B29">
        <v>35.53</v>
      </c>
      <c r="C29">
        <v>39.799999999999997</v>
      </c>
      <c r="D29">
        <v>34.229999999999997</v>
      </c>
      <c r="E29">
        <v>39.25</v>
      </c>
      <c r="F29">
        <v>6641236.3399999999</v>
      </c>
      <c r="G29">
        <v>39.25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0.80251346499102438</v>
      </c>
      <c r="Q29">
        <f t="shared" ref="Q29" si="121">F29*P29</f>
        <v>5329681.5870377086</v>
      </c>
      <c r="R29">
        <f t="shared" ref="R29" si="122">R30+Q29</f>
        <v>234781713.80668241</v>
      </c>
      <c r="S29">
        <f t="shared" ref="S29" si="123">R29/100000</f>
        <v>2347.8171380668241</v>
      </c>
      <c r="T29">
        <f t="shared" ref="T29" si="124">S29/1000</f>
        <v>2.3478171380668242</v>
      </c>
    </row>
    <row r="30" spans="1:20" x14ac:dyDescent="0.25">
      <c r="A30" s="5">
        <v>44563</v>
      </c>
      <c r="B30">
        <v>36.35</v>
      </c>
      <c r="C30">
        <v>36.880000000000003</v>
      </c>
      <c r="D30">
        <v>34.22</v>
      </c>
      <c r="E30">
        <v>35.53</v>
      </c>
      <c r="F30">
        <v>3789318.41</v>
      </c>
      <c r="G30">
        <v>35.53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-1.5037593984962065E-2</v>
      </c>
      <c r="Q30">
        <f t="shared" ref="Q30" si="126">F30*P30</f>
        <v>-56982.231729322019</v>
      </c>
      <c r="R30">
        <f t="shared" ref="R30" si="127">R31+Q30</f>
        <v>229452032.2196447</v>
      </c>
      <c r="S30">
        <f t="shared" ref="S30" si="128">R30/100000</f>
        <v>2294.5203221964471</v>
      </c>
      <c r="T30">
        <f t="shared" ref="T30" si="129">S30/1000</f>
        <v>2.2945203221964472</v>
      </c>
    </row>
    <row r="31" spans="1:20" x14ac:dyDescent="0.25">
      <c r="A31" s="5">
        <v>44562</v>
      </c>
      <c r="B31">
        <v>32.409999999999997</v>
      </c>
      <c r="C31">
        <v>37</v>
      </c>
      <c r="D31">
        <v>32.340000000000003</v>
      </c>
      <c r="E31">
        <v>36.36</v>
      </c>
      <c r="F31">
        <v>6550862.3300000001</v>
      </c>
      <c r="G31">
        <v>36.36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0.72532188841201672</v>
      </c>
      <c r="Q31">
        <f t="shared" ref="Q31" si="131">F31*P31</f>
        <v>4751483.8359227441</v>
      </c>
      <c r="R31">
        <f t="shared" ref="R31" si="132">R32+Q31</f>
        <v>229509014.45137402</v>
      </c>
      <c r="S31">
        <f t="shared" ref="S31" si="133">R31/100000</f>
        <v>2295.0901445137401</v>
      </c>
      <c r="T31">
        <f t="shared" ref="T31" si="134">S31/1000</f>
        <v>2.2950901445137402</v>
      </c>
    </row>
    <row r="32" spans="1:20" x14ac:dyDescent="0.25">
      <c r="A32" s="5">
        <v>44561</v>
      </c>
      <c r="B32">
        <v>30.16</v>
      </c>
      <c r="C32">
        <v>33.299999999999997</v>
      </c>
      <c r="D32">
        <v>30.11</v>
      </c>
      <c r="E32">
        <v>32.39</v>
      </c>
      <c r="F32">
        <v>5711050.2000000002</v>
      </c>
      <c r="G32">
        <v>32.39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0.42946708463950017</v>
      </c>
      <c r="Q32">
        <f t="shared" ref="Q32" si="136">F32*P32</f>
        <v>2452708.0796238347</v>
      </c>
      <c r="R32">
        <f t="shared" ref="R32" si="137">R33+Q32</f>
        <v>224757530.61545128</v>
      </c>
      <c r="S32">
        <f t="shared" ref="S32" si="138">R32/100000</f>
        <v>2247.5753061545129</v>
      </c>
      <c r="T32">
        <f t="shared" ref="T32" si="139">S32/1000</f>
        <v>2.2475753061545127</v>
      </c>
    </row>
    <row r="33" spans="1:20" x14ac:dyDescent="0.25">
      <c r="A33" s="5">
        <v>44560</v>
      </c>
      <c r="B33">
        <v>27.94</v>
      </c>
      <c r="C33">
        <v>30.55</v>
      </c>
      <c r="D33">
        <v>26.38</v>
      </c>
      <c r="E33">
        <v>30.16</v>
      </c>
      <c r="F33">
        <v>4687249.8099999996</v>
      </c>
      <c r="G33">
        <v>30.16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0.81294964028776961</v>
      </c>
      <c r="Q33">
        <f t="shared" ref="Q33" si="141">F33*P33</f>
        <v>3810498.0469784159</v>
      </c>
      <c r="R33">
        <f t="shared" ref="R33" si="142">R34+Q33</f>
        <v>222304822.53582743</v>
      </c>
      <c r="S33">
        <f t="shared" ref="S33" si="143">R33/100000</f>
        <v>2223.0482253582741</v>
      </c>
      <c r="T33">
        <f t="shared" ref="T33" si="144">S33/1000</f>
        <v>2.2230482253582742</v>
      </c>
    </row>
    <row r="34" spans="1:20" x14ac:dyDescent="0.25">
      <c r="A34" s="5">
        <v>44559</v>
      </c>
      <c r="B34">
        <v>26.62</v>
      </c>
      <c r="C34">
        <v>28.16</v>
      </c>
      <c r="D34">
        <v>25.1</v>
      </c>
      <c r="E34">
        <v>27.94</v>
      </c>
      <c r="F34">
        <v>3904467.29</v>
      </c>
      <c r="G34">
        <v>27.94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0.85620915032679812</v>
      </c>
      <c r="Q34">
        <f t="shared" ref="Q34" si="146">F34*P34</f>
        <v>3343040.620849676</v>
      </c>
      <c r="R34">
        <f t="shared" ref="R34" si="147">R35+Q34</f>
        <v>218494324.48884901</v>
      </c>
      <c r="S34">
        <f t="shared" ref="S34" si="148">R34/100000</f>
        <v>2184.94324488849</v>
      </c>
      <c r="T34">
        <f t="shared" ref="T34" si="149">S34/1000</f>
        <v>2.18494324488849</v>
      </c>
    </row>
    <row r="35" spans="1:20" x14ac:dyDescent="0.25">
      <c r="A35" s="5">
        <v>44558</v>
      </c>
      <c r="B35">
        <v>29.71</v>
      </c>
      <c r="C35">
        <v>29.72</v>
      </c>
      <c r="D35">
        <v>26.16</v>
      </c>
      <c r="E35">
        <v>26.59</v>
      </c>
      <c r="F35">
        <v>3950148.91</v>
      </c>
      <c r="G35">
        <v>26.59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-0.75842696629213491</v>
      </c>
      <c r="Q35">
        <f t="shared" ref="Q35" si="151">F35*P35</f>
        <v>-2995899.4542134837</v>
      </c>
      <c r="R35">
        <f t="shared" ref="R35" si="152">R36+Q35</f>
        <v>215151283.86799935</v>
      </c>
      <c r="S35">
        <f t="shared" ref="S35" si="153">R35/100000</f>
        <v>2151.5128386799934</v>
      </c>
      <c r="T35">
        <f t="shared" ref="T35" si="154">S35/1000</f>
        <v>2.1515128386799933</v>
      </c>
    </row>
    <row r="36" spans="1:20" x14ac:dyDescent="0.25">
      <c r="A36" s="5">
        <v>44557</v>
      </c>
      <c r="B36">
        <v>32.130000000000003</v>
      </c>
      <c r="C36">
        <v>32.700000000000003</v>
      </c>
      <c r="D36">
        <v>29.56</v>
      </c>
      <c r="E36">
        <v>29.71</v>
      </c>
      <c r="F36">
        <v>2991466.32</v>
      </c>
      <c r="G36">
        <v>29.71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-0.90445859872611345</v>
      </c>
      <c r="Q36">
        <f t="shared" ref="Q36" si="156">F36*P36</f>
        <v>-2705657.4359235633</v>
      </c>
      <c r="R36">
        <f t="shared" ref="R36" si="157">R37+Q36</f>
        <v>218147183.32221282</v>
      </c>
      <c r="S36">
        <f t="shared" ref="S36" si="158">R36/100000</f>
        <v>2181.4718332221282</v>
      </c>
      <c r="T36">
        <f t="shared" ref="T36" si="159">S36/1000</f>
        <v>2.1814718332221283</v>
      </c>
    </row>
    <row r="37" spans="1:20" x14ac:dyDescent="0.25">
      <c r="A37" s="5">
        <v>44556</v>
      </c>
      <c r="B37">
        <v>29.67</v>
      </c>
      <c r="C37">
        <v>32.25</v>
      </c>
      <c r="D37">
        <v>28.56</v>
      </c>
      <c r="E37">
        <v>32.119999999999997</v>
      </c>
      <c r="F37">
        <v>3754692.9</v>
      </c>
      <c r="G37">
        <v>32.119999999999997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0.92953929539295255</v>
      </c>
      <c r="Q37">
        <f t="shared" ref="Q37" si="161">F37*P37</f>
        <v>3490134.5926829213</v>
      </c>
      <c r="R37">
        <f t="shared" ref="R37" si="162">R38+Q37</f>
        <v>220852840.75813639</v>
      </c>
      <c r="S37">
        <f t="shared" ref="S37" si="163">R37/100000</f>
        <v>2208.5284075813638</v>
      </c>
      <c r="T37">
        <f t="shared" ref="T37" si="164">S37/1000</f>
        <v>2.2085284075813636</v>
      </c>
    </row>
    <row r="38" spans="1:20" x14ac:dyDescent="0.25">
      <c r="A38" s="5">
        <v>44555</v>
      </c>
      <c r="B38">
        <v>26.91</v>
      </c>
      <c r="C38">
        <v>29.69</v>
      </c>
      <c r="D38">
        <v>26.62</v>
      </c>
      <c r="E38">
        <v>29.66</v>
      </c>
      <c r="F38">
        <v>1939980.56</v>
      </c>
      <c r="G38">
        <v>29.66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0.98045602605863114</v>
      </c>
      <c r="Q38">
        <f t="shared" ref="Q38" si="166">F38*P38</f>
        <v>1902065.6304885978</v>
      </c>
      <c r="R38">
        <f t="shared" ref="R38" si="167">R39+Q38</f>
        <v>217362706.16545346</v>
      </c>
      <c r="S38">
        <f t="shared" ref="S38" si="168">R38/100000</f>
        <v>2173.6270616545348</v>
      </c>
      <c r="T38">
        <f t="shared" ref="T38" si="169">S38/1000</f>
        <v>2.173627061654535</v>
      </c>
    </row>
    <row r="39" spans="1:20" x14ac:dyDescent="0.25">
      <c r="A39" s="5">
        <v>44554</v>
      </c>
      <c r="B39">
        <v>28.37</v>
      </c>
      <c r="C39">
        <v>29.76</v>
      </c>
      <c r="D39">
        <v>26.74</v>
      </c>
      <c r="E39">
        <v>26.9</v>
      </c>
      <c r="F39">
        <v>2256906.73</v>
      </c>
      <c r="G39">
        <v>26.9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-0.89403973509933776</v>
      </c>
      <c r="Q39">
        <f t="shared" ref="Q39" si="171">F39*P39</f>
        <v>-2017764.2950331126</v>
      </c>
      <c r="R39">
        <f t="shared" ref="R39" si="172">R40+Q39</f>
        <v>215460640.53496486</v>
      </c>
      <c r="S39">
        <f t="shared" ref="S39" si="173">R39/100000</f>
        <v>2154.6064053496484</v>
      </c>
      <c r="T39">
        <f t="shared" ref="T39" si="174">S39/1000</f>
        <v>2.1546064053496483</v>
      </c>
    </row>
    <row r="40" spans="1:20" x14ac:dyDescent="0.25">
      <c r="A40" s="5">
        <v>44553</v>
      </c>
      <c r="B40">
        <v>27.38</v>
      </c>
      <c r="C40">
        <v>28.88</v>
      </c>
      <c r="D40">
        <v>26.37</v>
      </c>
      <c r="E40">
        <v>28.36</v>
      </c>
      <c r="F40">
        <v>3828211.9</v>
      </c>
      <c r="G40">
        <v>28.36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0.58565737051792832</v>
      </c>
      <c r="Q40">
        <f t="shared" ref="Q40" si="176">F40*P40</f>
        <v>2242020.5151394424</v>
      </c>
      <c r="R40">
        <f t="shared" ref="R40" si="177">R41+Q40</f>
        <v>217478404.82999799</v>
      </c>
      <c r="S40">
        <f t="shared" ref="S40" si="178">R40/100000</f>
        <v>2174.78404829998</v>
      </c>
      <c r="T40">
        <f t="shared" ref="T40" si="179">S40/1000</f>
        <v>2.1747840482999798</v>
      </c>
    </row>
    <row r="41" spans="1:20" x14ac:dyDescent="0.25">
      <c r="A41" s="5">
        <v>44552</v>
      </c>
      <c r="B41">
        <v>23.63</v>
      </c>
      <c r="C41">
        <v>28.48</v>
      </c>
      <c r="D41">
        <v>23.35</v>
      </c>
      <c r="E41">
        <v>27.37</v>
      </c>
      <c r="F41">
        <v>5192011.09</v>
      </c>
      <c r="G41">
        <v>27.37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0.56725146198830423</v>
      </c>
      <c r="Q41">
        <f t="shared" ref="Q41" si="181">F41*P41</f>
        <v>2945175.8814619891</v>
      </c>
      <c r="R41">
        <f t="shared" ref="R41" si="182">R42+Q41</f>
        <v>215236384.31485856</v>
      </c>
      <c r="S41">
        <f t="shared" ref="S41" si="183">R41/100000</f>
        <v>2152.3638431485856</v>
      </c>
      <c r="T41">
        <f t="shared" ref="T41" si="184">S41/1000</f>
        <v>2.1523638431485854</v>
      </c>
    </row>
    <row r="42" spans="1:20" x14ac:dyDescent="0.25">
      <c r="A42" s="5">
        <v>44551</v>
      </c>
      <c r="B42">
        <v>21.53</v>
      </c>
      <c r="C42">
        <v>23.7</v>
      </c>
      <c r="D42">
        <v>21.48</v>
      </c>
      <c r="E42">
        <v>23.63</v>
      </c>
      <c r="F42">
        <v>1815863.06</v>
      </c>
      <c r="G42">
        <v>23.63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0.93693693693693669</v>
      </c>
      <c r="Q42">
        <f t="shared" ref="Q42" si="186">F42*P42</f>
        <v>1701349.1733333329</v>
      </c>
      <c r="R42">
        <f t="shared" ref="R42" si="187">R43+Q42</f>
        <v>212291208.43339658</v>
      </c>
      <c r="S42">
        <f t="shared" ref="S42" si="188">R42/100000</f>
        <v>2122.9120843339656</v>
      </c>
      <c r="T42">
        <f t="shared" ref="T42" si="189">S42/1000</f>
        <v>2.1229120843339655</v>
      </c>
    </row>
    <row r="43" spans="1:20" x14ac:dyDescent="0.25">
      <c r="A43" s="5">
        <v>44550</v>
      </c>
      <c r="B43">
        <v>22.15</v>
      </c>
      <c r="C43">
        <v>22.44</v>
      </c>
      <c r="D43">
        <v>20.73</v>
      </c>
      <c r="E43">
        <v>21.52</v>
      </c>
      <c r="F43">
        <v>1909871.85</v>
      </c>
      <c r="G43">
        <v>21.52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-7.602339181286695E-2</v>
      </c>
      <c r="Q43">
        <f t="shared" ref="Q43" si="191">F43*P43</f>
        <v>-145194.93596491506</v>
      </c>
      <c r="R43">
        <f t="shared" ref="R43" si="192">R44+Q43</f>
        <v>210589859.26006323</v>
      </c>
      <c r="S43">
        <f t="shared" ref="S43" si="193">R43/100000</f>
        <v>2105.8985926006321</v>
      </c>
      <c r="T43">
        <f t="shared" ref="T43" si="194">S43/1000</f>
        <v>2.1058985926006319</v>
      </c>
    </row>
    <row r="44" spans="1:20" x14ac:dyDescent="0.25">
      <c r="A44" s="5">
        <v>44549</v>
      </c>
      <c r="B44">
        <v>23.16</v>
      </c>
      <c r="C44">
        <v>23.72</v>
      </c>
      <c r="D44">
        <v>22</v>
      </c>
      <c r="E44">
        <v>22.16</v>
      </c>
      <c r="F44">
        <v>1853460.54</v>
      </c>
      <c r="G44">
        <v>22.16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-0.81395348837209269</v>
      </c>
      <c r="Q44">
        <f t="shared" ref="Q44" si="196">F44*P44</f>
        <v>-1508630.6720930226</v>
      </c>
      <c r="R44">
        <f t="shared" ref="R44" si="197">R45+Q44</f>
        <v>210735054.19602814</v>
      </c>
      <c r="S44">
        <f t="shared" ref="S44" si="198">R44/100000</f>
        <v>2107.3505419602816</v>
      </c>
      <c r="T44">
        <f t="shared" ref="T44" si="199">S44/1000</f>
        <v>2.1073505419602814</v>
      </c>
    </row>
    <row r="45" spans="1:20" x14ac:dyDescent="0.25">
      <c r="A45" s="5">
        <v>44548</v>
      </c>
      <c r="B45">
        <v>21.21</v>
      </c>
      <c r="C45">
        <v>23.25</v>
      </c>
      <c r="D45">
        <v>20.92</v>
      </c>
      <c r="E45">
        <v>23.15</v>
      </c>
      <c r="F45">
        <v>1545122.88</v>
      </c>
      <c r="G45">
        <v>23.15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0.91416309012875407</v>
      </c>
      <c r="Q45">
        <f t="shared" ref="Q45" si="201">F45*P45</f>
        <v>1412494.3066094399</v>
      </c>
      <c r="R45">
        <f t="shared" ref="R45" si="202">R46+Q45</f>
        <v>212243684.86812118</v>
      </c>
      <c r="S45">
        <f t="shared" ref="S45" si="203">R45/100000</f>
        <v>2122.4368486812118</v>
      </c>
      <c r="T45">
        <f t="shared" ref="T45" si="204">S45/1000</f>
        <v>2.122436848681212</v>
      </c>
    </row>
    <row r="46" spans="1:20" x14ac:dyDescent="0.25">
      <c r="A46" s="5">
        <v>44547</v>
      </c>
      <c r="B46">
        <v>21.83</v>
      </c>
      <c r="C46">
        <v>22.06</v>
      </c>
      <c r="D46">
        <v>20.38</v>
      </c>
      <c r="E46">
        <v>21.21</v>
      </c>
      <c r="F46">
        <v>2167150.13</v>
      </c>
      <c r="G46">
        <v>21.21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-1.1904761904759538E-2</v>
      </c>
      <c r="Q46">
        <f t="shared" ref="Q46" si="206">F46*P46</f>
        <v>-25799.406309518679</v>
      </c>
      <c r="R46">
        <f t="shared" ref="R46" si="207">R47+Q46</f>
        <v>210831190.56151173</v>
      </c>
      <c r="S46">
        <f t="shared" ref="S46" si="208">R46/100000</f>
        <v>2108.3119056151172</v>
      </c>
      <c r="T46">
        <f t="shared" ref="T46" si="209">S46/1000</f>
        <v>2.1083119056151172</v>
      </c>
    </row>
    <row r="47" spans="1:20" x14ac:dyDescent="0.25">
      <c r="A47" s="5">
        <v>44546</v>
      </c>
      <c r="B47">
        <v>22.34</v>
      </c>
      <c r="C47">
        <v>23.5</v>
      </c>
      <c r="D47">
        <v>21.66</v>
      </c>
      <c r="E47">
        <v>21.83</v>
      </c>
      <c r="F47">
        <v>1929143.31</v>
      </c>
      <c r="G47">
        <v>21.83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-0.81521739130434978</v>
      </c>
      <c r="Q47">
        <f t="shared" ref="Q47" si="211">F47*P47</f>
        <v>-1572671.1766304385</v>
      </c>
      <c r="R47">
        <f t="shared" ref="R47" si="212">R48+Q47</f>
        <v>210856989.96782124</v>
      </c>
      <c r="S47">
        <f t="shared" ref="S47" si="213">R47/100000</f>
        <v>2108.5698996782126</v>
      </c>
      <c r="T47">
        <f t="shared" ref="T47" si="214">S47/1000</f>
        <v>2.1085698996782125</v>
      </c>
    </row>
    <row r="48" spans="1:20" x14ac:dyDescent="0.25">
      <c r="A48" s="5">
        <v>44545</v>
      </c>
      <c r="B48">
        <v>21.81</v>
      </c>
      <c r="C48">
        <v>22.87</v>
      </c>
      <c r="D48">
        <v>20.18</v>
      </c>
      <c r="E48">
        <v>22.34</v>
      </c>
      <c r="F48">
        <v>3122273.86</v>
      </c>
      <c r="G48">
        <v>22.34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0.60594795539033397</v>
      </c>
      <c r="Q48">
        <f t="shared" ref="Q48" si="216">F48*P48</f>
        <v>1891935.4616356858</v>
      </c>
      <c r="R48">
        <f t="shared" ref="R48" si="217">R49+Q48</f>
        <v>212429661.14445168</v>
      </c>
      <c r="S48">
        <f t="shared" ref="S48" si="218">R48/100000</f>
        <v>2124.2966114445167</v>
      </c>
      <c r="T48">
        <f t="shared" ref="T48" si="219">S48/1000</f>
        <v>2.1242966114445165</v>
      </c>
    </row>
    <row r="49" spans="1:20" x14ac:dyDescent="0.25">
      <c r="A49" s="5">
        <v>44544</v>
      </c>
      <c r="B49">
        <v>21.74</v>
      </c>
      <c r="C49">
        <v>22.14</v>
      </c>
      <c r="D49">
        <v>20.96</v>
      </c>
      <c r="E49">
        <v>21.8</v>
      </c>
      <c r="F49">
        <v>2236400.5</v>
      </c>
      <c r="G49">
        <v>21.8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0.42372881355932213</v>
      </c>
      <c r="Q49">
        <f t="shared" ref="Q49" si="221">F49*P49</f>
        <v>947627.33050847473</v>
      </c>
      <c r="R49">
        <f t="shared" ref="R49" si="222">R50+Q49</f>
        <v>210537725.682816</v>
      </c>
      <c r="S49">
        <f t="shared" ref="S49" si="223">R49/100000</f>
        <v>2105.3772568281602</v>
      </c>
      <c r="T49">
        <f t="shared" ref="T49" si="224">S49/1000</f>
        <v>2.1053772568281603</v>
      </c>
    </row>
    <row r="50" spans="1:20" x14ac:dyDescent="0.25">
      <c r="A50" s="5">
        <v>44543</v>
      </c>
      <c r="B50">
        <v>24.5</v>
      </c>
      <c r="C50">
        <v>24.94</v>
      </c>
      <c r="D50">
        <v>21.06</v>
      </c>
      <c r="E50">
        <v>21.74</v>
      </c>
      <c r="F50">
        <v>3238082.65</v>
      </c>
      <c r="G50">
        <v>21.74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-0.64948453608247458</v>
      </c>
      <c r="Q50">
        <f t="shared" ref="Q50" si="226">F50*P50</f>
        <v>-2103084.6077319598</v>
      </c>
      <c r="R50">
        <f t="shared" ref="R50" si="227">R51+Q50</f>
        <v>209590098.35230753</v>
      </c>
      <c r="S50">
        <f t="shared" ref="S50" si="228">R50/100000</f>
        <v>2095.9009835230754</v>
      </c>
      <c r="T50">
        <f t="shared" ref="T50" si="229">S50/1000</f>
        <v>2.0959009835230753</v>
      </c>
    </row>
    <row r="51" spans="1:20" x14ac:dyDescent="0.25">
      <c r="A51" s="5">
        <v>44542</v>
      </c>
      <c r="B51">
        <v>24.41</v>
      </c>
      <c r="C51">
        <v>25.22</v>
      </c>
      <c r="D51">
        <v>23.48</v>
      </c>
      <c r="E51">
        <v>24.49</v>
      </c>
      <c r="F51">
        <v>2095901.47</v>
      </c>
      <c r="G51">
        <v>24.49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0.16091954022988381</v>
      </c>
      <c r="Q51">
        <f t="shared" ref="Q51" si="231">F51*P51</f>
        <v>337271.50091953762</v>
      </c>
      <c r="R51">
        <f t="shared" ref="R51" si="232">R52+Q51</f>
        <v>211693182.9600395</v>
      </c>
      <c r="S51">
        <f t="shared" ref="S51" si="233">R51/100000</f>
        <v>2116.9318296003948</v>
      </c>
      <c r="T51">
        <f t="shared" ref="T51" si="234">S51/1000</f>
        <v>2.1169318296003947</v>
      </c>
    </row>
    <row r="52" spans="1:20" x14ac:dyDescent="0.25">
      <c r="A52" s="5">
        <v>44541</v>
      </c>
      <c r="B52">
        <v>22.54</v>
      </c>
      <c r="C52">
        <v>22.78</v>
      </c>
      <c r="D52">
        <v>21.97</v>
      </c>
      <c r="E52">
        <v>22.74</v>
      </c>
      <c r="F52">
        <v>200261.6</v>
      </c>
      <c r="G52">
        <v>22.74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0.90123456790122813</v>
      </c>
      <c r="Q52">
        <f t="shared" ref="Q52" si="236">F52*P52</f>
        <v>180482.6765432086</v>
      </c>
      <c r="R52">
        <f t="shared" ref="R52" si="237">R53+Q52</f>
        <v>211355911.45911995</v>
      </c>
      <c r="S52">
        <f t="shared" ref="S52" si="238">R52/100000</f>
        <v>2113.5591145911994</v>
      </c>
      <c r="T52">
        <f t="shared" ref="T52" si="239">S52/1000</f>
        <v>2.1135591145911996</v>
      </c>
    </row>
    <row r="53" spans="1:20" x14ac:dyDescent="0.25">
      <c r="A53" s="5">
        <v>44540</v>
      </c>
      <c r="B53">
        <v>22.46</v>
      </c>
      <c r="C53">
        <v>23.88</v>
      </c>
      <c r="D53">
        <v>21.85</v>
      </c>
      <c r="E53">
        <v>22.54</v>
      </c>
      <c r="F53">
        <v>3032236.8</v>
      </c>
      <c r="G53">
        <v>22.54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-0.32019704433497681</v>
      </c>
      <c r="Q53">
        <f t="shared" ref="Q53" si="241">F53*P53</f>
        <v>-970913.26108374819</v>
      </c>
      <c r="R53">
        <f t="shared" ref="R53" si="242">R54+Q53</f>
        <v>211175428.78257674</v>
      </c>
      <c r="S53">
        <f t="shared" ref="S53" si="243">R53/100000</f>
        <v>2111.7542878257673</v>
      </c>
      <c r="T53">
        <f t="shared" ref="T53" si="244">S53/1000</f>
        <v>2.1117542878257671</v>
      </c>
    </row>
    <row r="54" spans="1:20" x14ac:dyDescent="0.25">
      <c r="A54" s="5">
        <v>44539</v>
      </c>
      <c r="B54">
        <v>25.32</v>
      </c>
      <c r="C54">
        <v>25.6</v>
      </c>
      <c r="D54">
        <v>22.42</v>
      </c>
      <c r="E54">
        <v>22.45</v>
      </c>
      <c r="F54">
        <v>2608257.69</v>
      </c>
      <c r="G54">
        <v>22.45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-0.98113207547169967</v>
      </c>
      <c r="Q54">
        <f t="shared" ref="Q54" si="246">F54*P54</f>
        <v>-2559045.2807547208</v>
      </c>
      <c r="R54">
        <f t="shared" ref="R54" si="247">R55+Q54</f>
        <v>212146342.04366049</v>
      </c>
      <c r="S54">
        <f t="shared" ref="S54" si="248">R54/100000</f>
        <v>2121.4634204366048</v>
      </c>
      <c r="T54">
        <f t="shared" ref="T54" si="249">S54/1000</f>
        <v>2.121463420436605</v>
      </c>
    </row>
    <row r="55" spans="1:20" x14ac:dyDescent="0.25">
      <c r="A55" s="5">
        <v>44538</v>
      </c>
      <c r="B55">
        <v>24.3</v>
      </c>
      <c r="C55">
        <v>26</v>
      </c>
      <c r="D55">
        <v>22.82</v>
      </c>
      <c r="E55">
        <v>25.32</v>
      </c>
      <c r="F55">
        <v>3595411.7</v>
      </c>
      <c r="G55">
        <v>25.32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0.57232704402515733</v>
      </c>
      <c r="Q55">
        <f t="shared" ref="Q55" si="251">F55*P55</f>
        <v>2057751.3503144658</v>
      </c>
      <c r="R55">
        <f t="shared" ref="R55" si="252">R56+Q55</f>
        <v>214705387.32441521</v>
      </c>
      <c r="S55">
        <f t="shared" ref="S55" si="253">R55/100000</f>
        <v>2147.0538732441519</v>
      </c>
      <c r="T55">
        <f t="shared" ref="T55" si="254">S55/1000</f>
        <v>2.1470538732441518</v>
      </c>
    </row>
    <row r="56" spans="1:20" x14ac:dyDescent="0.25">
      <c r="A56" s="5">
        <v>44537</v>
      </c>
      <c r="B56">
        <v>24.33</v>
      </c>
      <c r="C56">
        <v>25.44</v>
      </c>
      <c r="D56">
        <v>23.8</v>
      </c>
      <c r="E56">
        <v>24.3</v>
      </c>
      <c r="F56">
        <v>3592275.22</v>
      </c>
      <c r="G56">
        <v>24.3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-0.39024390243902463</v>
      </c>
      <c r="Q56">
        <f t="shared" ref="Q56" si="256">F56*P56</f>
        <v>-1401863.5004878058</v>
      </c>
      <c r="R56">
        <f t="shared" ref="R56" si="257">R57+Q56</f>
        <v>212647635.97410074</v>
      </c>
      <c r="S56">
        <f t="shared" ref="S56" si="258">R56/100000</f>
        <v>2126.4763597410074</v>
      </c>
      <c r="T56">
        <f t="shared" ref="T56" si="259">S56/1000</f>
        <v>2.1264763597410075</v>
      </c>
    </row>
    <row r="57" spans="1:20" x14ac:dyDescent="0.25">
      <c r="A57" s="5">
        <v>44536</v>
      </c>
      <c r="B57">
        <v>24.57</v>
      </c>
      <c r="C57">
        <v>24.82</v>
      </c>
      <c r="D57">
        <v>22.02</v>
      </c>
      <c r="E57">
        <v>24.33</v>
      </c>
      <c r="F57">
        <v>5433208.5300000003</v>
      </c>
      <c r="G57">
        <v>24.33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0.64999999999999869</v>
      </c>
      <c r="Q57">
        <f t="shared" ref="Q57" si="261">F57*P57</f>
        <v>3531585.5444999929</v>
      </c>
      <c r="R57">
        <f t="shared" ref="R57" si="262">R58+Q57</f>
        <v>214049499.47458854</v>
      </c>
      <c r="S57">
        <f t="shared" ref="S57" si="263">R57/100000</f>
        <v>2140.4949947458854</v>
      </c>
      <c r="T57">
        <f t="shared" ref="T57" si="264">S57/1000</f>
        <v>2.1404949947458856</v>
      </c>
    </row>
    <row r="58" spans="1:20" x14ac:dyDescent="0.25">
      <c r="A58" s="5">
        <v>44535</v>
      </c>
      <c r="B58">
        <v>28.15</v>
      </c>
      <c r="C58">
        <v>29.31</v>
      </c>
      <c r="D58">
        <v>23.55</v>
      </c>
      <c r="E58">
        <v>24.57</v>
      </c>
      <c r="F58">
        <v>5357241.7699999996</v>
      </c>
      <c r="G58">
        <v>24.57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-0.64583333333333337</v>
      </c>
      <c r="Q58">
        <f t="shared" ref="Q58" si="266">F58*P58</f>
        <v>-3459885.3097916665</v>
      </c>
      <c r="R58">
        <f t="shared" ref="R58" si="267">R59+Q58</f>
        <v>210517913.93008855</v>
      </c>
      <c r="S58">
        <f t="shared" ref="S58" si="268">R58/100000</f>
        <v>2105.1791393008857</v>
      </c>
      <c r="T58">
        <f t="shared" ref="T58" si="269">S58/1000</f>
        <v>2.1051791393008856</v>
      </c>
    </row>
    <row r="59" spans="1:20" x14ac:dyDescent="0.25">
      <c r="A59" s="5">
        <v>44534</v>
      </c>
      <c r="B59">
        <v>32.79</v>
      </c>
      <c r="C59">
        <v>32.92</v>
      </c>
      <c r="D59">
        <v>21.82</v>
      </c>
      <c r="E59">
        <v>28.15</v>
      </c>
      <c r="F59">
        <v>13245297.67</v>
      </c>
      <c r="G59">
        <v>28.15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0.14054054054054008</v>
      </c>
      <c r="Q59">
        <f t="shared" ref="Q59" si="271">F59*P59</f>
        <v>1861501.2941621561</v>
      </c>
      <c r="R59">
        <f t="shared" ref="R59" si="272">R60+Q59</f>
        <v>213977799.2398802</v>
      </c>
      <c r="S59">
        <f t="shared" ref="S59" si="273">R59/100000</f>
        <v>2139.7779923988019</v>
      </c>
      <c r="T59">
        <f t="shared" ref="T59" si="274">S59/1000</f>
        <v>2.1397779923988018</v>
      </c>
    </row>
    <row r="60" spans="1:20" x14ac:dyDescent="0.25">
      <c r="A60" s="5">
        <v>44533</v>
      </c>
      <c r="B60">
        <v>28.37</v>
      </c>
      <c r="C60">
        <v>33.6</v>
      </c>
      <c r="D60">
        <v>27.72</v>
      </c>
      <c r="E60">
        <v>32.79</v>
      </c>
      <c r="F60">
        <v>10880287.789999999</v>
      </c>
      <c r="G60">
        <v>32.79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0.72448979591836671</v>
      </c>
      <c r="Q60">
        <f t="shared" ref="Q60" si="276">F60*P60</f>
        <v>7882657.4805101966</v>
      </c>
      <c r="R60">
        <f t="shared" ref="R60" si="277">R61+Q60</f>
        <v>212116297.94571805</v>
      </c>
      <c r="S60">
        <f t="shared" ref="S60" si="278">R60/100000</f>
        <v>2121.1629794571804</v>
      </c>
      <c r="T60">
        <f t="shared" ref="T60" si="279">S60/1000</f>
        <v>2.1211629794571802</v>
      </c>
    </row>
    <row r="61" spans="1:20" x14ac:dyDescent="0.25">
      <c r="A61" s="5">
        <v>44532</v>
      </c>
      <c r="B61">
        <v>26.66</v>
      </c>
      <c r="C61">
        <v>28.64</v>
      </c>
      <c r="D61">
        <v>25.62</v>
      </c>
      <c r="E61">
        <v>28.37</v>
      </c>
      <c r="F61">
        <v>2769132.13</v>
      </c>
      <c r="G61">
        <v>28.37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0.82119205298013276</v>
      </c>
      <c r="Q61">
        <f t="shared" ref="Q61" si="281">F61*P61</f>
        <v>2273989.2988079479</v>
      </c>
      <c r="R61">
        <f t="shared" ref="R61" si="282">R62+Q61</f>
        <v>204233640.46520784</v>
      </c>
      <c r="S61">
        <f t="shared" ref="S61" si="283">R61/100000</f>
        <v>2042.3364046520785</v>
      </c>
      <c r="T61">
        <f t="shared" ref="T61" si="284">S61/1000</f>
        <v>2.0423364046520787</v>
      </c>
    </row>
    <row r="62" spans="1:20" x14ac:dyDescent="0.25">
      <c r="A62" s="5">
        <v>44531</v>
      </c>
      <c r="B62">
        <v>27.52</v>
      </c>
      <c r="C62">
        <v>28.27</v>
      </c>
      <c r="D62">
        <v>26.28</v>
      </c>
      <c r="E62">
        <v>26.67</v>
      </c>
      <c r="F62">
        <v>2242689.37</v>
      </c>
      <c r="G62">
        <v>26.67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-0.60804020100502421</v>
      </c>
      <c r="Q62">
        <f t="shared" ref="Q62" si="286">F62*P62</f>
        <v>-1363645.2953266313</v>
      </c>
      <c r="R62">
        <f t="shared" ref="R62" si="287">R63+Q62</f>
        <v>201959651.1663999</v>
      </c>
      <c r="S62">
        <f t="shared" ref="S62" si="288">R62/100000</f>
        <v>2019.5965116639989</v>
      </c>
      <c r="T62">
        <f t="shared" ref="T62" si="289">S62/1000</f>
        <v>2.0195965116639987</v>
      </c>
    </row>
    <row r="63" spans="1:20" x14ac:dyDescent="0.25">
      <c r="A63" s="5">
        <v>44530</v>
      </c>
      <c r="B63">
        <v>28.09</v>
      </c>
      <c r="C63">
        <v>29.35</v>
      </c>
      <c r="D63">
        <v>26.96</v>
      </c>
      <c r="E63">
        <v>27.51</v>
      </c>
      <c r="F63">
        <v>2607674.2999999998</v>
      </c>
      <c r="G63">
        <v>27.51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-0.53974895397489486</v>
      </c>
      <c r="Q63">
        <f t="shared" ref="Q63" si="291">F63*P63</f>
        <v>-1407489.4757322161</v>
      </c>
      <c r="R63">
        <f t="shared" ref="R63" si="292">R64+Q63</f>
        <v>203323296.46172652</v>
      </c>
      <c r="S63">
        <f t="shared" ref="S63" si="293">R63/100000</f>
        <v>2033.2329646172652</v>
      </c>
      <c r="T63">
        <f t="shared" ref="T63" si="294">S63/1000</f>
        <v>2.0332329646172651</v>
      </c>
    </row>
    <row r="64" spans="1:20" x14ac:dyDescent="0.25">
      <c r="A64" s="5">
        <v>44529</v>
      </c>
      <c r="B64">
        <v>27.39</v>
      </c>
      <c r="C64">
        <v>28.45</v>
      </c>
      <c r="D64">
        <v>26.72</v>
      </c>
      <c r="E64">
        <v>28.1</v>
      </c>
      <c r="F64">
        <v>1741009.33</v>
      </c>
      <c r="G64">
        <v>28.1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0.59537572254335513</v>
      </c>
      <c r="Q64">
        <f t="shared" ref="Q64" si="296">F64*P64</f>
        <v>1036554.6878034726</v>
      </c>
      <c r="R64">
        <f t="shared" ref="R64" si="297">R65+Q64</f>
        <v>204730785.93745872</v>
      </c>
      <c r="S64">
        <f t="shared" ref="S64" si="298">R64/100000</f>
        <v>2047.3078593745872</v>
      </c>
      <c r="T64">
        <f t="shared" ref="T64" si="299">S64/1000</f>
        <v>2.047307859374587</v>
      </c>
    </row>
    <row r="65" spans="1:20" x14ac:dyDescent="0.25">
      <c r="A65" s="5">
        <v>44528</v>
      </c>
      <c r="B65">
        <v>26.73</v>
      </c>
      <c r="C65">
        <v>27.64</v>
      </c>
      <c r="D65">
        <v>24.67</v>
      </c>
      <c r="E65">
        <v>27.39</v>
      </c>
      <c r="F65">
        <v>2040411.31</v>
      </c>
      <c r="G65">
        <v>27.39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0.83164983164983164</v>
      </c>
      <c r="Q65">
        <f t="shared" ref="Q65" si="301">F65*P65</f>
        <v>1696907.7224579125</v>
      </c>
      <c r="R65">
        <f t="shared" ref="R65" si="302">R66+Q65</f>
        <v>203694231.24965525</v>
      </c>
      <c r="S65">
        <f t="shared" ref="S65" si="303">R65/100000</f>
        <v>2036.9423124965524</v>
      </c>
      <c r="T65">
        <f t="shared" ref="T65" si="304">S65/1000</f>
        <v>2.0369423124965524</v>
      </c>
    </row>
    <row r="66" spans="1:20" x14ac:dyDescent="0.25">
      <c r="A66" s="5">
        <v>44527</v>
      </c>
      <c r="B66">
        <v>27.06</v>
      </c>
      <c r="C66">
        <v>28.06</v>
      </c>
      <c r="D66">
        <v>26.44</v>
      </c>
      <c r="E66">
        <v>26.73</v>
      </c>
      <c r="F66">
        <v>1520440.98</v>
      </c>
      <c r="G66">
        <v>26.73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-0.64197530864197583</v>
      </c>
      <c r="Q66">
        <f t="shared" ref="Q66" si="306">F66*P66</f>
        <v>-976085.56740740815</v>
      </c>
      <c r="R66">
        <f t="shared" ref="R66" si="307">R67+Q66</f>
        <v>201997323.52719733</v>
      </c>
      <c r="S66">
        <f t="shared" ref="S66" si="308">R66/100000</f>
        <v>2019.9732352719734</v>
      </c>
      <c r="T66">
        <f t="shared" ref="T66" si="309">S66/1000</f>
        <v>2.0199732352719733</v>
      </c>
    </row>
    <row r="67" spans="1:20" x14ac:dyDescent="0.25">
      <c r="A67" s="5">
        <v>44526</v>
      </c>
      <c r="B67">
        <v>29.77</v>
      </c>
      <c r="C67">
        <v>30.3</v>
      </c>
      <c r="D67">
        <v>25.15</v>
      </c>
      <c r="E67">
        <v>27.07</v>
      </c>
      <c r="F67">
        <v>4572169.22</v>
      </c>
      <c r="G67">
        <v>27.07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-0.25436893203883459</v>
      </c>
      <c r="Q67">
        <f t="shared" ref="Q67" si="311">F67*P67</f>
        <v>-1163017.8015922313</v>
      </c>
      <c r="R67">
        <f t="shared" ref="R67" si="312">R68+Q67</f>
        <v>202973409.09460473</v>
      </c>
      <c r="S67">
        <f t="shared" ref="S67" si="313">R67/100000</f>
        <v>2029.7340909460472</v>
      </c>
      <c r="T67">
        <f t="shared" ref="T67" si="314">S67/1000</f>
        <v>2.0297340909460471</v>
      </c>
    </row>
    <row r="68" spans="1:20" x14ac:dyDescent="0.25">
      <c r="A68" s="5">
        <v>44525</v>
      </c>
      <c r="B68">
        <v>29.62</v>
      </c>
      <c r="C68">
        <v>30.9</v>
      </c>
      <c r="D68">
        <v>29.28</v>
      </c>
      <c r="E68">
        <v>29.77</v>
      </c>
      <c r="F68">
        <v>1978836.9</v>
      </c>
      <c r="G68">
        <v>29.77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-0.39506172839506271</v>
      </c>
      <c r="Q68">
        <f t="shared" ref="Q68" si="316">F68*P68</f>
        <v>-781762.72592592787</v>
      </c>
      <c r="R68">
        <f t="shared" ref="R68" si="317">R69+Q68</f>
        <v>204136426.89619696</v>
      </c>
      <c r="S68">
        <f t="shared" ref="S68" si="318">R68/100000</f>
        <v>2041.3642689619696</v>
      </c>
      <c r="T68">
        <f t="shared" ref="T68" si="319">S68/1000</f>
        <v>2.0413642689619698</v>
      </c>
    </row>
    <row r="69" spans="1:20" x14ac:dyDescent="0.25">
      <c r="A69" s="5">
        <v>44524</v>
      </c>
      <c r="B69">
        <v>32.049999999999997</v>
      </c>
      <c r="C69">
        <v>32.07</v>
      </c>
      <c r="D69">
        <v>29.92</v>
      </c>
      <c r="E69">
        <v>30.48</v>
      </c>
      <c r="F69">
        <v>983196.07</v>
      </c>
      <c r="G69">
        <v>30.48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-0.47906976744186131</v>
      </c>
      <c r="Q69">
        <f t="shared" ref="Q69" si="321">F69*P69</f>
        <v>-471019.51260465197</v>
      </c>
      <c r="R69">
        <f t="shared" ref="R69" si="322">R70+Q69</f>
        <v>204918189.62212288</v>
      </c>
      <c r="S69">
        <f t="shared" ref="S69" si="323">R69/100000</f>
        <v>2049.1818962212287</v>
      </c>
      <c r="T69">
        <f t="shared" ref="T69" si="324">S69/1000</f>
        <v>2.0491818962212287</v>
      </c>
    </row>
    <row r="70" spans="1:20" x14ac:dyDescent="0.25">
      <c r="A70" s="5">
        <v>44523</v>
      </c>
      <c r="B70">
        <v>32.159999999999997</v>
      </c>
      <c r="C70">
        <v>33.24</v>
      </c>
      <c r="D70">
        <v>30.66</v>
      </c>
      <c r="E70">
        <v>32.049999999999997</v>
      </c>
      <c r="F70">
        <v>3269831.05</v>
      </c>
      <c r="G70">
        <v>32.049999999999997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7.7519379844958158E-2</v>
      </c>
      <c r="Q70">
        <f t="shared" ref="Q70" si="326">F70*P70</f>
        <v>253475.27519378834</v>
      </c>
      <c r="R70">
        <f t="shared" ref="R70" si="327">R71+Q70</f>
        <v>205389209.13472754</v>
      </c>
      <c r="S70">
        <f t="shared" ref="S70" si="328">R70/100000</f>
        <v>2053.8920913472753</v>
      </c>
      <c r="T70">
        <f t="shared" ref="T70" si="329">S70/1000</f>
        <v>2.0538920913472754</v>
      </c>
    </row>
    <row r="71" spans="1:20" x14ac:dyDescent="0.25">
      <c r="A71" s="5">
        <v>44522</v>
      </c>
      <c r="B71">
        <v>30.89</v>
      </c>
      <c r="C71">
        <v>33.799999999999997</v>
      </c>
      <c r="D71">
        <v>28.95</v>
      </c>
      <c r="E71">
        <v>32.17</v>
      </c>
      <c r="F71">
        <v>6616681.4500000002</v>
      </c>
      <c r="G71">
        <v>32.17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0.32783505154639331</v>
      </c>
      <c r="Q71">
        <f t="shared" ref="Q71" si="331">F71*P71</f>
        <v>2169180.1042268146</v>
      </c>
      <c r="R71">
        <f t="shared" ref="R71" si="332">R72+Q71</f>
        <v>205135733.85953376</v>
      </c>
      <c r="S71">
        <f t="shared" ref="S71" si="333">R71/100000</f>
        <v>2051.3573385953378</v>
      </c>
      <c r="T71">
        <f t="shared" ref="T71" si="334">S71/1000</f>
        <v>2.0513573385953379</v>
      </c>
    </row>
    <row r="72" spans="1:20" x14ac:dyDescent="0.25">
      <c r="A72" s="5">
        <v>44521</v>
      </c>
      <c r="B72">
        <v>29.44</v>
      </c>
      <c r="C72">
        <v>32</v>
      </c>
      <c r="D72">
        <v>28.32</v>
      </c>
      <c r="E72">
        <v>30.88</v>
      </c>
      <c r="F72">
        <v>2672457.83</v>
      </c>
      <c r="G72">
        <v>30.88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0.39130434782608636</v>
      </c>
      <c r="Q72">
        <f t="shared" ref="Q72" si="336">F72*P72</f>
        <v>1045744.368260868</v>
      </c>
      <c r="R72">
        <f t="shared" ref="R72" si="337">R73+Q72</f>
        <v>202966553.75530693</v>
      </c>
      <c r="S72">
        <f t="shared" ref="S72" si="338">R72/100000</f>
        <v>2029.6655375530693</v>
      </c>
      <c r="T72">
        <f t="shared" ref="T72" si="339">S72/1000</f>
        <v>2.0296655375530692</v>
      </c>
    </row>
    <row r="73" spans="1:20" x14ac:dyDescent="0.25">
      <c r="A73" s="5">
        <v>44520</v>
      </c>
      <c r="B73">
        <v>28.12</v>
      </c>
      <c r="C73">
        <v>29.85</v>
      </c>
      <c r="D73">
        <v>27.8</v>
      </c>
      <c r="E73">
        <v>29.43</v>
      </c>
      <c r="F73">
        <v>1868248.84</v>
      </c>
      <c r="G73">
        <v>29.43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0.59024390243902292</v>
      </c>
      <c r="Q73">
        <f t="shared" ref="Q73" si="341">F73*P73</f>
        <v>1102722.4860487778</v>
      </c>
      <c r="R73">
        <f t="shared" ref="R73" si="342">R74+Q73</f>
        <v>201920809.38704607</v>
      </c>
      <c r="S73">
        <f t="shared" ref="S73" si="343">R73/100000</f>
        <v>2019.2080938704607</v>
      </c>
      <c r="T73">
        <f t="shared" ref="T73" si="344">S73/1000</f>
        <v>2.0192080938704606</v>
      </c>
    </row>
    <row r="74" spans="1:20" x14ac:dyDescent="0.25">
      <c r="A74" s="5">
        <v>44519</v>
      </c>
      <c r="B74">
        <v>26.65</v>
      </c>
      <c r="C74">
        <v>28.55</v>
      </c>
      <c r="D74">
        <v>25.97</v>
      </c>
      <c r="E74">
        <v>28.12</v>
      </c>
      <c r="F74">
        <v>1710676.64</v>
      </c>
      <c r="G74">
        <v>28.12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0.66666666666666707</v>
      </c>
      <c r="Q74">
        <f t="shared" ref="Q74" si="346">F74*P74</f>
        <v>1140451.093333334</v>
      </c>
      <c r="R74">
        <f t="shared" ref="R74" si="347">R75+Q74</f>
        <v>200818086.90099728</v>
      </c>
      <c r="S74">
        <f t="shared" ref="S74" si="348">R74/100000</f>
        <v>2008.1808690099729</v>
      </c>
      <c r="T74">
        <f t="shared" ref="T74" si="349">S74/1000</f>
        <v>2.0081808690099727</v>
      </c>
    </row>
    <row r="75" spans="1:20" x14ac:dyDescent="0.25">
      <c r="A75" s="5">
        <v>44518</v>
      </c>
      <c r="B75">
        <v>29.43</v>
      </c>
      <c r="C75">
        <v>29.79</v>
      </c>
      <c r="D75">
        <v>25.29</v>
      </c>
      <c r="E75">
        <v>26.62</v>
      </c>
      <c r="F75">
        <v>3425666.91</v>
      </c>
      <c r="G75">
        <v>26.62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-0.40888888888888808</v>
      </c>
      <c r="Q75">
        <f t="shared" ref="Q75" si="351">F75*P75</f>
        <v>-1400717.1365333307</v>
      </c>
      <c r="R75">
        <f t="shared" ref="R75" si="352">R76+Q75</f>
        <v>199677635.80766395</v>
      </c>
      <c r="S75">
        <f t="shared" ref="S75" si="353">R75/100000</f>
        <v>1996.7763580766396</v>
      </c>
      <c r="T75">
        <f t="shared" ref="T75" si="354">S75/1000</f>
        <v>1.9967763580766396</v>
      </c>
    </row>
    <row r="76" spans="1:20" x14ac:dyDescent="0.25">
      <c r="A76" s="5">
        <v>44517</v>
      </c>
      <c r="B76">
        <v>28.28</v>
      </c>
      <c r="C76">
        <v>29.63</v>
      </c>
      <c r="D76">
        <v>26.89</v>
      </c>
      <c r="E76">
        <v>29.44</v>
      </c>
      <c r="F76">
        <v>2838697.06</v>
      </c>
      <c r="G76">
        <v>29.44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0.8613138686131403</v>
      </c>
      <c r="Q76">
        <f t="shared" ref="Q76" si="356">F76*P76</f>
        <v>2445009.1465693475</v>
      </c>
      <c r="R76">
        <f t="shared" ref="R76" si="357">R77+Q76</f>
        <v>201078352.94419727</v>
      </c>
      <c r="S76">
        <f t="shared" ref="S76" si="358">R76/100000</f>
        <v>2010.7835294419726</v>
      </c>
      <c r="T76">
        <f t="shared" ref="T76" si="359">S76/1000</f>
        <v>2.0107835294419725</v>
      </c>
    </row>
    <row r="77" spans="1:20" x14ac:dyDescent="0.25">
      <c r="A77" s="5">
        <v>44516</v>
      </c>
      <c r="B77">
        <v>31.45</v>
      </c>
      <c r="C77">
        <v>31.47</v>
      </c>
      <c r="D77">
        <v>27.46</v>
      </c>
      <c r="E77">
        <v>28.29</v>
      </c>
      <c r="F77">
        <v>4956716.46</v>
      </c>
      <c r="G77">
        <v>28.29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-0.58603491271820518</v>
      </c>
      <c r="Q77">
        <f t="shared" ref="Q77" si="361">F77*P77</f>
        <v>-2904808.898004991</v>
      </c>
      <c r="R77">
        <f t="shared" ref="R77" si="362">R78+Q77</f>
        <v>198633343.79762793</v>
      </c>
      <c r="S77">
        <f t="shared" ref="S77" si="363">R77/100000</f>
        <v>1986.3334379762794</v>
      </c>
      <c r="T77">
        <f t="shared" ref="T77" si="364">S77/1000</f>
        <v>1.9863334379762794</v>
      </c>
    </row>
    <row r="78" spans="1:20" x14ac:dyDescent="0.25">
      <c r="A78" s="5">
        <v>44515</v>
      </c>
      <c r="B78">
        <v>31.92</v>
      </c>
      <c r="C78">
        <v>34.15</v>
      </c>
      <c r="D78">
        <v>30.57</v>
      </c>
      <c r="E78">
        <v>31.45</v>
      </c>
      <c r="F78">
        <v>2713565.93</v>
      </c>
      <c r="G78">
        <v>31.45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-0.50837988826815672</v>
      </c>
      <c r="Q78">
        <f t="shared" ref="Q78" si="366">F78*P78</f>
        <v>-1379522.3443016768</v>
      </c>
      <c r="R78">
        <f t="shared" ref="R78" si="367">R79+Q78</f>
        <v>201538152.6956329</v>
      </c>
      <c r="S78">
        <f t="shared" ref="S78" si="368">R78/100000</f>
        <v>2015.381526956329</v>
      </c>
      <c r="T78">
        <f t="shared" ref="T78" si="369">S78/1000</f>
        <v>2.0153815269563289</v>
      </c>
    </row>
    <row r="79" spans="1:20" x14ac:dyDescent="0.25">
      <c r="A79" s="5">
        <v>44514</v>
      </c>
      <c r="B79">
        <v>32.51</v>
      </c>
      <c r="C79">
        <v>33.270000000000003</v>
      </c>
      <c r="D79">
        <v>31.11</v>
      </c>
      <c r="E79">
        <v>31.93</v>
      </c>
      <c r="F79">
        <v>1228520.47</v>
      </c>
      <c r="G79">
        <v>31.93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-0.24074074074074178</v>
      </c>
      <c r="Q79">
        <f t="shared" ref="Q79" si="371">F79*P79</f>
        <v>-295754.92796296423</v>
      </c>
      <c r="R79">
        <f t="shared" ref="R79" si="372">R80+Q79</f>
        <v>202917675.03993458</v>
      </c>
      <c r="S79">
        <f t="shared" ref="S79" si="373">R79/100000</f>
        <v>2029.1767503993458</v>
      </c>
      <c r="T79">
        <f t="shared" ref="T79" si="374">S79/1000</f>
        <v>2.0291767503993459</v>
      </c>
    </row>
    <row r="80" spans="1:20" x14ac:dyDescent="0.25">
      <c r="A80" s="5">
        <v>44513</v>
      </c>
      <c r="B80">
        <v>32.049999999999997</v>
      </c>
      <c r="C80">
        <v>33.19</v>
      </c>
      <c r="D80">
        <v>31.92</v>
      </c>
      <c r="E80">
        <v>32.5</v>
      </c>
      <c r="F80">
        <v>1248230.96</v>
      </c>
      <c r="G80">
        <v>32.5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-8.6614173228346275E-2</v>
      </c>
      <c r="Q80">
        <f t="shared" ref="Q80" si="376">F80*P80</f>
        <v>-108114.49259842497</v>
      </c>
      <c r="R80">
        <f t="shared" ref="R80" si="377">R81+Q80</f>
        <v>203213429.96789753</v>
      </c>
      <c r="S80">
        <f t="shared" ref="S80" si="378">R80/100000</f>
        <v>2032.1342996789754</v>
      </c>
      <c r="T80">
        <f t="shared" ref="T80" si="379">S80/1000</f>
        <v>2.0321342996789755</v>
      </c>
    </row>
    <row r="81" spans="1:20" x14ac:dyDescent="0.25">
      <c r="A81" s="5">
        <v>44512</v>
      </c>
      <c r="B81">
        <v>32.92</v>
      </c>
      <c r="C81">
        <v>32.979999999999997</v>
      </c>
      <c r="D81">
        <v>30.52</v>
      </c>
      <c r="E81">
        <v>32.049999999999997</v>
      </c>
      <c r="F81">
        <v>2487858.91</v>
      </c>
      <c r="G81">
        <v>32.049999999999997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0.24390243902438966</v>
      </c>
      <c r="Q81">
        <f t="shared" ref="Q81" si="381">F81*P81</f>
        <v>606794.85609755956</v>
      </c>
      <c r="R81">
        <f t="shared" ref="R81" si="382">R82+Q81</f>
        <v>203321544.46049595</v>
      </c>
      <c r="S81">
        <f t="shared" ref="S81" si="383">R81/100000</f>
        <v>2033.2154446049594</v>
      </c>
      <c r="T81">
        <f t="shared" ref="T81" si="384">S81/1000</f>
        <v>2.0332154446049593</v>
      </c>
    </row>
    <row r="82" spans="1:20" x14ac:dyDescent="0.25">
      <c r="A82" s="5">
        <v>44511</v>
      </c>
      <c r="B82">
        <v>32.049999999999997</v>
      </c>
      <c r="C82">
        <v>34</v>
      </c>
      <c r="D82">
        <v>31.68</v>
      </c>
      <c r="E82">
        <v>32.94</v>
      </c>
      <c r="F82">
        <v>2683505.71</v>
      </c>
      <c r="G82">
        <v>32.94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8.6206896551722284E-2</v>
      </c>
      <c r="Q82">
        <f t="shared" ref="Q82" si="386">F82*P82</f>
        <v>231336.69913792604</v>
      </c>
      <c r="R82">
        <f t="shared" ref="R82" si="387">R83+Q82</f>
        <v>202714749.6043984</v>
      </c>
      <c r="S82">
        <f t="shared" ref="S82" si="388">R82/100000</f>
        <v>2027.1474960439839</v>
      </c>
      <c r="T82">
        <f t="shared" ref="T82" si="389">S82/1000</f>
        <v>2.0271474960439839</v>
      </c>
    </row>
    <row r="83" spans="1:20" x14ac:dyDescent="0.25">
      <c r="A83" s="5">
        <v>44510</v>
      </c>
      <c r="B83">
        <v>35.83</v>
      </c>
      <c r="C83">
        <v>37.270000000000003</v>
      </c>
      <c r="D83">
        <v>28.32</v>
      </c>
      <c r="E83">
        <v>32.049999999999997</v>
      </c>
      <c r="F83">
        <v>5991271.5700000003</v>
      </c>
      <c r="G83">
        <v>32.049999999999997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-0.16648044692737526</v>
      </c>
      <c r="Q83">
        <f t="shared" ref="Q83" si="391">F83*P83</f>
        <v>-997429.56863687735</v>
      </c>
      <c r="R83">
        <f t="shared" ref="R83" si="392">R84+Q83</f>
        <v>202483412.90526047</v>
      </c>
      <c r="S83">
        <f t="shared" ref="S83" si="393">R83/100000</f>
        <v>2024.8341290526048</v>
      </c>
      <c r="T83">
        <f t="shared" ref="T83" si="394">S83/1000</f>
        <v>2.0248341290526048</v>
      </c>
    </row>
    <row r="84" spans="1:20" x14ac:dyDescent="0.25">
      <c r="A84" s="5">
        <v>44509</v>
      </c>
      <c r="B84">
        <v>36.619999999999997</v>
      </c>
      <c r="C84">
        <v>37.979999999999997</v>
      </c>
      <c r="D84">
        <v>35.450000000000003</v>
      </c>
      <c r="E84">
        <v>35.840000000000003</v>
      </c>
      <c r="F84">
        <v>2772144.93</v>
      </c>
      <c r="G84">
        <v>35.840000000000003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-0.69169960474308179</v>
      </c>
      <c r="Q84">
        <f t="shared" ref="Q84" si="396">F84*P84</f>
        <v>-1917491.5523715382</v>
      </c>
      <c r="R84">
        <f t="shared" ref="R84" si="397">R85+Q84</f>
        <v>203480842.47389734</v>
      </c>
      <c r="S84">
        <f t="shared" ref="S84" si="398">R84/100000</f>
        <v>2034.8084247389734</v>
      </c>
      <c r="T84">
        <f t="shared" ref="T84" si="399">S84/1000</f>
        <v>2.0348084247389733</v>
      </c>
    </row>
    <row r="85" spans="1:20" x14ac:dyDescent="0.25">
      <c r="A85" s="5">
        <v>44508</v>
      </c>
      <c r="B85">
        <v>35.729999999999997</v>
      </c>
      <c r="C85">
        <v>36.96</v>
      </c>
      <c r="D85">
        <v>35</v>
      </c>
      <c r="E85">
        <v>36.619999999999997</v>
      </c>
      <c r="F85">
        <v>2513742.52</v>
      </c>
      <c r="G85">
        <v>36.619999999999997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0.65306122448979254</v>
      </c>
      <c r="Q85">
        <f t="shared" ref="Q85" si="401">F85*P85</f>
        <v>1641627.7681632568</v>
      </c>
      <c r="R85">
        <f t="shared" ref="R85" si="402">R86+Q85</f>
        <v>205398334.02626887</v>
      </c>
      <c r="S85">
        <f t="shared" ref="S85" si="403">R85/100000</f>
        <v>2053.9833402626887</v>
      </c>
      <c r="T85">
        <f t="shared" ref="T85" si="404">S85/1000</f>
        <v>2.0539833402626888</v>
      </c>
    </row>
    <row r="86" spans="1:20" x14ac:dyDescent="0.25">
      <c r="A86" s="5">
        <v>44507</v>
      </c>
      <c r="B86">
        <v>36.22</v>
      </c>
      <c r="C86">
        <v>36.479999999999997</v>
      </c>
      <c r="D86">
        <v>35.46</v>
      </c>
      <c r="E86">
        <v>35.729999999999997</v>
      </c>
      <c r="F86">
        <v>1290327.1200000001</v>
      </c>
      <c r="G86">
        <v>35.729999999999997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-0.47058823529412336</v>
      </c>
      <c r="Q86">
        <f t="shared" ref="Q86" si="406">F86*P86</f>
        <v>-607212.76235294854</v>
      </c>
      <c r="R86">
        <f t="shared" ref="R86" si="407">R87+Q86</f>
        <v>203756706.25810561</v>
      </c>
      <c r="S86">
        <f t="shared" ref="S86" si="408">R86/100000</f>
        <v>2037.567062581056</v>
      </c>
      <c r="T86">
        <f t="shared" ref="T86" si="409">S86/1000</f>
        <v>2.037567062581056</v>
      </c>
    </row>
    <row r="87" spans="1:20" x14ac:dyDescent="0.25">
      <c r="A87" s="5">
        <v>44506</v>
      </c>
      <c r="B87">
        <v>36.770000000000003</v>
      </c>
      <c r="C87">
        <v>37.049999999999997</v>
      </c>
      <c r="D87">
        <v>34.17</v>
      </c>
      <c r="E87">
        <v>36.22</v>
      </c>
      <c r="F87">
        <v>2213328.09</v>
      </c>
      <c r="G87">
        <v>36.22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0.42361111111111138</v>
      </c>
      <c r="Q87">
        <f t="shared" ref="Q87" si="411">F87*P87</f>
        <v>937590.37145833392</v>
      </c>
      <c r="R87">
        <f t="shared" ref="R87" si="412">R88+Q87</f>
        <v>204363919.02045855</v>
      </c>
      <c r="S87">
        <f t="shared" ref="S87" si="413">R87/100000</f>
        <v>2043.6391902045855</v>
      </c>
      <c r="T87">
        <f t="shared" ref="T87" si="414">S87/1000</f>
        <v>2.0436391902045856</v>
      </c>
    </row>
    <row r="88" spans="1:20" x14ac:dyDescent="0.25">
      <c r="A88" s="5">
        <v>44505</v>
      </c>
      <c r="B88">
        <v>37.51</v>
      </c>
      <c r="C88">
        <v>38.979999999999997</v>
      </c>
      <c r="D88">
        <v>36.35</v>
      </c>
      <c r="E88">
        <v>36.770000000000003</v>
      </c>
      <c r="F88">
        <v>2073111.75</v>
      </c>
      <c r="G88">
        <v>36.770000000000003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-0.68060836501900956</v>
      </c>
      <c r="Q88">
        <f t="shared" ref="Q88" si="416">F88*P88</f>
        <v>-1410977.1986691977</v>
      </c>
      <c r="R88">
        <f t="shared" ref="R88" si="417">R89+Q88</f>
        <v>203426328.64900023</v>
      </c>
      <c r="S88">
        <f t="shared" ref="S88" si="418">R88/100000</f>
        <v>2034.2632864900022</v>
      </c>
      <c r="T88">
        <f t="shared" ref="T88" si="419">S88/1000</f>
        <v>2.0342632864900021</v>
      </c>
    </row>
    <row r="89" spans="1:20" x14ac:dyDescent="0.25">
      <c r="A89" s="5">
        <v>44504</v>
      </c>
      <c r="B89">
        <v>38.49</v>
      </c>
      <c r="C89">
        <v>39.22</v>
      </c>
      <c r="D89">
        <v>36.1</v>
      </c>
      <c r="E89">
        <v>37.51</v>
      </c>
      <c r="F89">
        <v>3167404.39</v>
      </c>
      <c r="G89">
        <v>37.51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-9.6153846153847602E-2</v>
      </c>
      <c r="Q89">
        <f t="shared" ref="Q89" si="421">F89*P89</f>
        <v>-304558.11442308151</v>
      </c>
      <c r="R89">
        <f t="shared" ref="R89" si="422">R90+Q89</f>
        <v>204837305.84766942</v>
      </c>
      <c r="S89">
        <f t="shared" ref="S89" si="423">R89/100000</f>
        <v>2048.373058476694</v>
      </c>
      <c r="T89">
        <f t="shared" ref="T89" si="424">S89/1000</f>
        <v>2.0483730584766939</v>
      </c>
    </row>
    <row r="90" spans="1:20" x14ac:dyDescent="0.25">
      <c r="A90" s="5">
        <v>44503</v>
      </c>
      <c r="B90">
        <v>37.1</v>
      </c>
      <c r="C90">
        <v>38.880000000000003</v>
      </c>
      <c r="D90">
        <v>35.479999999999997</v>
      </c>
      <c r="E90">
        <v>38.49</v>
      </c>
      <c r="F90">
        <v>3635483.67</v>
      </c>
      <c r="G90">
        <v>38.49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0.77058823529411768</v>
      </c>
      <c r="Q90">
        <f t="shared" ref="Q90" si="426">F90*P90</f>
        <v>2801460.9457058823</v>
      </c>
      <c r="R90">
        <f t="shared" ref="R90" si="427">R91+Q90</f>
        <v>205141863.96209252</v>
      </c>
      <c r="S90">
        <f t="shared" ref="S90" si="428">R90/100000</f>
        <v>2051.4186396209252</v>
      </c>
      <c r="T90">
        <f t="shared" ref="T90" si="429">S90/1000</f>
        <v>2.0514186396209251</v>
      </c>
    </row>
    <row r="91" spans="1:20" x14ac:dyDescent="0.25">
      <c r="A91" s="5">
        <v>44502</v>
      </c>
      <c r="B91">
        <v>37.299999999999997</v>
      </c>
      <c r="C91">
        <v>38.44</v>
      </c>
      <c r="D91">
        <v>36.28</v>
      </c>
      <c r="E91">
        <v>37.1</v>
      </c>
      <c r="F91">
        <v>2311230.35</v>
      </c>
      <c r="G91">
        <v>37.1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-0.24074074074073928</v>
      </c>
      <c r="Q91">
        <f t="shared" ref="Q91" si="431">F91*P91</f>
        <v>-556407.30648147815</v>
      </c>
      <c r="R91">
        <f t="shared" ref="R91" si="432">R92+Q91</f>
        <v>202340403.01638663</v>
      </c>
      <c r="S91">
        <f t="shared" ref="S91" si="433">R91/100000</f>
        <v>2023.4040301638663</v>
      </c>
      <c r="T91">
        <f t="shared" ref="T91" si="434">S91/1000</f>
        <v>2.0234040301638663</v>
      </c>
    </row>
    <row r="92" spans="1:20" x14ac:dyDescent="0.25">
      <c r="A92" s="5">
        <v>44501</v>
      </c>
      <c r="B92">
        <v>37.26</v>
      </c>
      <c r="C92">
        <v>38.18</v>
      </c>
      <c r="D92">
        <v>34.700000000000003</v>
      </c>
      <c r="E92">
        <v>37.31</v>
      </c>
      <c r="F92">
        <v>2714531.07</v>
      </c>
      <c r="G92">
        <v>37.31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0.500000000000001</v>
      </c>
      <c r="Q92">
        <f t="shared" ref="Q92" si="436">F92*P92</f>
        <v>1357265.5350000027</v>
      </c>
      <c r="R92">
        <f t="shared" ref="R92" si="437">R93+Q92</f>
        <v>202896810.32286811</v>
      </c>
      <c r="S92">
        <f t="shared" ref="S92" si="438">R92/100000</f>
        <v>2028.968103228681</v>
      </c>
      <c r="T92">
        <f t="shared" ref="T92" si="439">S92/1000</f>
        <v>2.028968103228681</v>
      </c>
    </row>
    <row r="93" spans="1:20" x14ac:dyDescent="0.25">
      <c r="A93" s="5">
        <v>44500</v>
      </c>
      <c r="B93">
        <v>37.28</v>
      </c>
      <c r="C93">
        <v>37.74</v>
      </c>
      <c r="D93">
        <v>35.22</v>
      </c>
      <c r="E93">
        <v>37.24</v>
      </c>
      <c r="F93">
        <v>2070914.75</v>
      </c>
      <c r="G93">
        <v>37.24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0.6031746031746037</v>
      </c>
      <c r="Q93">
        <f t="shared" ref="Q93" si="441">F93*P93</f>
        <v>1249123.1825396835</v>
      </c>
      <c r="R93">
        <f t="shared" ref="R93" si="442">R94+Q93</f>
        <v>201539544.78786811</v>
      </c>
      <c r="S93">
        <f t="shared" ref="S93" si="443">R93/100000</f>
        <v>2015.3954478786811</v>
      </c>
      <c r="T93">
        <f t="shared" ref="T93" si="444">S93/1000</f>
        <v>2.0153954478786811</v>
      </c>
    </row>
    <row r="94" spans="1:20" x14ac:dyDescent="0.25">
      <c r="A94" s="5">
        <v>44499</v>
      </c>
      <c r="B94">
        <v>39.54</v>
      </c>
      <c r="C94">
        <v>39.56</v>
      </c>
      <c r="D94">
        <v>36.17</v>
      </c>
      <c r="E94">
        <v>37.299999999999997</v>
      </c>
      <c r="F94">
        <v>2102188.15</v>
      </c>
      <c r="G94">
        <v>37.299999999999997</v>
      </c>
      <c r="L94" t="s">
        <v>7</v>
      </c>
      <c r="M94" t="s">
        <v>8</v>
      </c>
      <c r="N94" t="s">
        <v>8</v>
      </c>
      <c r="P94">
        <f t="shared" ref="P94" si="445">IF(C94=D94,0,((E94-D94)-(C94-E94))/(C94-D94))</f>
        <v>-0.33333333333333615</v>
      </c>
      <c r="Q94">
        <f t="shared" ref="Q94" si="446">F94*P94</f>
        <v>-700729.38333333924</v>
      </c>
      <c r="R94">
        <f t="shared" ref="R94" si="447">R95+Q94</f>
        <v>200290421.60532844</v>
      </c>
      <c r="S94">
        <f t="shared" ref="S94" si="448">R94/100000</f>
        <v>2002.9042160532845</v>
      </c>
      <c r="T94">
        <f t="shared" ref="T94" si="449">S94/1000</f>
        <v>2.0029042160532846</v>
      </c>
    </row>
    <row r="95" spans="1:20" x14ac:dyDescent="0.25">
      <c r="A95" s="5">
        <v>44498</v>
      </c>
      <c r="B95">
        <v>38.01</v>
      </c>
      <c r="C95">
        <v>41.05</v>
      </c>
      <c r="D95">
        <v>38</v>
      </c>
      <c r="E95">
        <v>39.549999999999997</v>
      </c>
      <c r="F95">
        <v>3527207.99</v>
      </c>
      <c r="G95">
        <v>39.549999999999997</v>
      </c>
      <c r="L95" t="s">
        <v>7</v>
      </c>
      <c r="M95" t="s">
        <v>8</v>
      </c>
      <c r="N95" t="s">
        <v>8</v>
      </c>
      <c r="P95">
        <f t="shared" ref="P95" si="450">IF(C95=D95,0,((E95-D95)-(C95-E95))/(C95-D95))</f>
        <v>1.6393442622949905E-2</v>
      </c>
      <c r="Q95">
        <f t="shared" ref="Q95" si="451">F95*P95</f>
        <v>57823.081803275461</v>
      </c>
      <c r="R95">
        <f t="shared" ref="R95" si="452">R96+Q95</f>
        <v>200991150.98866177</v>
      </c>
      <c r="S95">
        <f t="shared" ref="S95" si="453">R95/100000</f>
        <v>2009.9115098866178</v>
      </c>
      <c r="T95">
        <f t="shared" ref="T95" si="454">S95/1000</f>
        <v>2.0099115098866176</v>
      </c>
    </row>
    <row r="96" spans="1:20" x14ac:dyDescent="0.25">
      <c r="A96" s="5">
        <v>44497</v>
      </c>
      <c r="B96">
        <v>36.76</v>
      </c>
      <c r="C96">
        <v>40.9</v>
      </c>
      <c r="D96">
        <v>36.090000000000003</v>
      </c>
      <c r="E96">
        <v>38</v>
      </c>
      <c r="F96">
        <v>4846151.8499999996</v>
      </c>
      <c r="G96">
        <v>38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-0.20582120582120644</v>
      </c>
      <c r="Q96">
        <f t="shared" ref="Q96" si="456">F96*P96</f>
        <v>-997440.8173596703</v>
      </c>
      <c r="R96">
        <f t="shared" ref="R96" si="457">R97+Q96</f>
        <v>200933327.9068585</v>
      </c>
      <c r="S96">
        <f t="shared" ref="S96" si="458">R96/100000</f>
        <v>2009.3332790685849</v>
      </c>
      <c r="T96">
        <f t="shared" ref="T96" si="459">S96/1000</f>
        <v>2.0093332790685849</v>
      </c>
    </row>
    <row r="97" spans="1:20" x14ac:dyDescent="0.25">
      <c r="A97" s="5">
        <v>44496</v>
      </c>
      <c r="B97">
        <v>42.99</v>
      </c>
      <c r="C97">
        <v>43.28</v>
      </c>
      <c r="D97">
        <v>35</v>
      </c>
      <c r="E97">
        <v>36.75</v>
      </c>
      <c r="F97">
        <v>8365182.9199999999</v>
      </c>
      <c r="G97">
        <v>36.75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-0.57729468599033817</v>
      </c>
      <c r="Q97">
        <f t="shared" ref="Q97" si="461">F97*P97</f>
        <v>-4829175.6470531402</v>
      </c>
      <c r="R97">
        <f t="shared" ref="R97" si="462">R98+Q97</f>
        <v>201930768.72421816</v>
      </c>
      <c r="S97">
        <f t="shared" ref="S97" si="463">R97/100000</f>
        <v>2019.3076872421816</v>
      </c>
      <c r="T97">
        <f t="shared" ref="T97" si="464">S97/1000</f>
        <v>2.0193076872421818</v>
      </c>
    </row>
    <row r="98" spans="1:20" x14ac:dyDescent="0.25">
      <c r="A98" s="5">
        <v>44495</v>
      </c>
      <c r="B98">
        <v>35.31</v>
      </c>
      <c r="C98">
        <v>43.26</v>
      </c>
      <c r="D98">
        <v>35.06</v>
      </c>
      <c r="E98">
        <v>42.99</v>
      </c>
      <c r="F98">
        <v>9418595.1899999995</v>
      </c>
      <c r="G98">
        <v>42.99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0.93414634146341557</v>
      </c>
      <c r="Q98">
        <f t="shared" ref="Q98" si="466">F98*P98</f>
        <v>8798346.2384634223</v>
      </c>
      <c r="R98">
        <f t="shared" ref="R98" si="467">R99+Q98</f>
        <v>206759944.37127131</v>
      </c>
      <c r="S98">
        <f t="shared" ref="S98" si="468">R98/100000</f>
        <v>2067.5994437127133</v>
      </c>
      <c r="T98">
        <f t="shared" ref="T98" si="469">S98/1000</f>
        <v>2.0675994437127132</v>
      </c>
    </row>
    <row r="99" spans="1:20" x14ac:dyDescent="0.25">
      <c r="A99" s="5">
        <v>44494</v>
      </c>
      <c r="B99">
        <v>34.270000000000003</v>
      </c>
      <c r="C99">
        <v>35.57</v>
      </c>
      <c r="D99">
        <v>34.15</v>
      </c>
      <c r="E99">
        <v>35.31</v>
      </c>
      <c r="F99">
        <v>2050578.58</v>
      </c>
      <c r="G99">
        <v>35.31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0.63380281690141171</v>
      </c>
      <c r="Q99">
        <f t="shared" ref="Q99" si="471">F99*P99</f>
        <v>1299662.4802816969</v>
      </c>
      <c r="R99">
        <f t="shared" ref="R99" si="472">R100+Q99</f>
        <v>197961598.13280788</v>
      </c>
      <c r="S99">
        <f t="shared" ref="S99" si="473">R99/100000</f>
        <v>1979.6159813280788</v>
      </c>
      <c r="T99">
        <f t="shared" ref="T99" si="474">S99/1000</f>
        <v>1.9796159813280787</v>
      </c>
    </row>
    <row r="100" spans="1:20" x14ac:dyDescent="0.25">
      <c r="A100" s="5">
        <v>44493</v>
      </c>
      <c r="B100">
        <v>35.700000000000003</v>
      </c>
      <c r="C100">
        <v>36.03</v>
      </c>
      <c r="D100">
        <v>33.49</v>
      </c>
      <c r="E100">
        <v>34.26</v>
      </c>
      <c r="F100">
        <v>2130677.9900000002</v>
      </c>
      <c r="G100">
        <v>34.26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-0.39370078740157771</v>
      </c>
      <c r="Q100">
        <f t="shared" ref="Q100" si="476">F100*P100</f>
        <v>-838849.60236221098</v>
      </c>
      <c r="R100">
        <f t="shared" ref="R100" si="477">R101+Q100</f>
        <v>196661935.65252617</v>
      </c>
      <c r="S100">
        <f t="shared" ref="S100" si="478">R100/100000</f>
        <v>1966.6193565252618</v>
      </c>
      <c r="T100">
        <f t="shared" ref="T100" si="479">S100/1000</f>
        <v>1.9666193565252619</v>
      </c>
    </row>
    <row r="101" spans="1:20" x14ac:dyDescent="0.25">
      <c r="A101" s="5">
        <v>44492</v>
      </c>
      <c r="B101">
        <v>34.06</v>
      </c>
      <c r="C101">
        <v>37.200000000000003</v>
      </c>
      <c r="D101">
        <v>33.770000000000003</v>
      </c>
      <c r="E101">
        <v>35.69</v>
      </c>
      <c r="F101">
        <v>3660767.57</v>
      </c>
      <c r="G101">
        <v>35.69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0.11953352769678995</v>
      </c>
      <c r="Q101">
        <f t="shared" ref="Q101" si="481">F101*P101</f>
        <v>437584.46172010544</v>
      </c>
      <c r="R101">
        <f t="shared" ref="R101" si="482">R102+Q101</f>
        <v>197500785.25488839</v>
      </c>
      <c r="S101">
        <f t="shared" ref="S101" si="483">R101/100000</f>
        <v>1975.0078525488839</v>
      </c>
      <c r="T101">
        <f t="shared" ref="T101" si="484">S101/1000</f>
        <v>1.9750078525488839</v>
      </c>
    </row>
    <row r="102" spans="1:20" x14ac:dyDescent="0.25">
      <c r="A102" s="5">
        <v>44491</v>
      </c>
      <c r="B102">
        <v>34.33</v>
      </c>
      <c r="C102">
        <v>36.159999999999997</v>
      </c>
      <c r="D102">
        <v>33.619999999999997</v>
      </c>
      <c r="E102">
        <v>34.06</v>
      </c>
      <c r="F102">
        <v>3656905.26</v>
      </c>
      <c r="G102">
        <v>34.06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-0.65354330708661024</v>
      </c>
      <c r="Q102">
        <f t="shared" ref="Q102" si="486">F102*P102</f>
        <v>-2389945.9573228201</v>
      </c>
      <c r="R102">
        <f t="shared" ref="R102" si="487">R103+Q102</f>
        <v>197063200.79316828</v>
      </c>
      <c r="S102">
        <f t="shared" ref="S102" si="488">R102/100000</f>
        <v>1970.6320079316827</v>
      </c>
      <c r="T102">
        <f t="shared" ref="T102" si="489">S102/1000</f>
        <v>1.9706320079316826</v>
      </c>
    </row>
    <row r="103" spans="1:20" x14ac:dyDescent="0.25">
      <c r="A103" s="5">
        <v>44490</v>
      </c>
      <c r="B103">
        <v>35.94</v>
      </c>
      <c r="C103">
        <v>36.83</v>
      </c>
      <c r="D103">
        <v>33.840000000000003</v>
      </c>
      <c r="E103">
        <v>34.340000000000003</v>
      </c>
      <c r="F103">
        <v>3442719.97</v>
      </c>
      <c r="G103">
        <v>34.340000000000003</v>
      </c>
      <c r="L103" t="s">
        <v>7</v>
      </c>
      <c r="M103" t="s">
        <v>8</v>
      </c>
      <c r="N103" t="s">
        <v>7</v>
      </c>
      <c r="P103">
        <f t="shared" ref="P103" si="490">IF(C103=D103,0,((E103-D103)-(C103-E103))/(C103-D103))</f>
        <v>-0.66555183946488239</v>
      </c>
      <c r="Q103">
        <f t="shared" ref="Q103" si="491">F103*P103</f>
        <v>-2291308.6087959846</v>
      </c>
      <c r="R103">
        <f t="shared" ref="R103" si="492">R104+Q103</f>
        <v>199453146.75049108</v>
      </c>
      <c r="S103">
        <f t="shared" ref="S103" si="493">R103/100000</f>
        <v>1994.5314675049108</v>
      </c>
      <c r="T103">
        <f t="shared" ref="T103" si="494">S103/1000</f>
        <v>1.9945314675049108</v>
      </c>
    </row>
    <row r="104" spans="1:20" x14ac:dyDescent="0.25">
      <c r="A104" s="5">
        <v>44489</v>
      </c>
      <c r="B104">
        <v>34.99</v>
      </c>
      <c r="C104">
        <v>36.9</v>
      </c>
      <c r="D104">
        <v>33.5</v>
      </c>
      <c r="E104">
        <v>35.950000000000003</v>
      </c>
      <c r="F104">
        <v>3249027.2</v>
      </c>
      <c r="G104">
        <v>35.950000000000003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0.44117647058823756</v>
      </c>
      <c r="Q104">
        <f t="shared" ref="Q104" si="496">F104*P104</f>
        <v>1433394.3529411838</v>
      </c>
      <c r="R104">
        <f t="shared" ref="R104" si="497">R105+Q104</f>
        <v>201744455.35928705</v>
      </c>
      <c r="S104">
        <f t="shared" ref="S104" si="498">R104/100000</f>
        <v>2017.4445535928705</v>
      </c>
      <c r="T104">
        <f t="shared" ref="T104" si="499">S104/1000</f>
        <v>2.0174445535928704</v>
      </c>
    </row>
    <row r="105" spans="1:20" x14ac:dyDescent="0.25">
      <c r="A105" s="5">
        <v>44488</v>
      </c>
      <c r="B105">
        <v>31.87</v>
      </c>
      <c r="C105">
        <v>35.32</v>
      </c>
      <c r="D105">
        <v>31.45</v>
      </c>
      <c r="E105">
        <v>35</v>
      </c>
      <c r="F105">
        <v>3863734.07</v>
      </c>
      <c r="G105">
        <v>35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0.83462532299741587</v>
      </c>
      <c r="Q105">
        <f t="shared" ref="Q105" si="501">F105*P105</f>
        <v>3224770.2961498699</v>
      </c>
      <c r="R105">
        <f t="shared" ref="R105" si="502">R106+Q105</f>
        <v>200311061.00634587</v>
      </c>
      <c r="S105">
        <f t="shared" ref="S105" si="503">R105/100000</f>
        <v>2003.1106100634586</v>
      </c>
      <c r="T105">
        <f t="shared" ref="T105" si="504">S105/1000</f>
        <v>2.0031106100634584</v>
      </c>
    </row>
    <row r="106" spans="1:20" x14ac:dyDescent="0.25">
      <c r="A106" s="5">
        <v>44487</v>
      </c>
      <c r="B106">
        <v>32.450000000000003</v>
      </c>
      <c r="C106">
        <v>32.68</v>
      </c>
      <c r="D106">
        <v>31.02</v>
      </c>
      <c r="E106">
        <v>31.88</v>
      </c>
      <c r="F106">
        <v>1488909.97</v>
      </c>
      <c r="G106">
        <v>31.88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3.614457831325224E-2</v>
      </c>
      <c r="Q106">
        <f t="shared" ref="Q106" si="506">F106*P106</f>
        <v>53816.023012047044</v>
      </c>
      <c r="R106">
        <f t="shared" ref="R106" si="507">R107+Q106</f>
        <v>197086290.71019599</v>
      </c>
      <c r="S106">
        <f t="shared" ref="S106" si="508">R106/100000</f>
        <v>1970.86290710196</v>
      </c>
      <c r="T106">
        <f t="shared" ref="T106" si="509">S106/1000</f>
        <v>1.9708629071019599</v>
      </c>
    </row>
    <row r="107" spans="1:20" x14ac:dyDescent="0.25">
      <c r="A107" s="5">
        <v>44486</v>
      </c>
      <c r="B107">
        <v>33.14</v>
      </c>
      <c r="C107">
        <v>34.28</v>
      </c>
      <c r="D107">
        <v>31</v>
      </c>
      <c r="E107">
        <v>32.44</v>
      </c>
      <c r="F107">
        <v>1594144.56</v>
      </c>
      <c r="G107">
        <v>32.44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-0.12195121951219681</v>
      </c>
      <c r="Q107">
        <f t="shared" ref="Q107" si="511">F107*P107</f>
        <v>-194407.87317073441</v>
      </c>
      <c r="R107">
        <f t="shared" ref="R107" si="512">R108+Q107</f>
        <v>197032474.68718395</v>
      </c>
      <c r="S107">
        <f t="shared" ref="S107" si="513">R107/100000</f>
        <v>1970.3247468718394</v>
      </c>
      <c r="T107">
        <f t="shared" ref="T107" si="514">S107/1000</f>
        <v>1.9703247468718394</v>
      </c>
    </row>
    <row r="108" spans="1:20" x14ac:dyDescent="0.25">
      <c r="A108" s="5">
        <v>44485</v>
      </c>
      <c r="B108">
        <v>33.090000000000003</v>
      </c>
      <c r="C108">
        <v>34.65</v>
      </c>
      <c r="D108">
        <v>32.9</v>
      </c>
      <c r="E108">
        <v>33.130000000000003</v>
      </c>
      <c r="F108">
        <v>1821137.96</v>
      </c>
      <c r="G108">
        <v>33.130000000000003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-0.73714285714285255</v>
      </c>
      <c r="Q108">
        <f t="shared" ref="Q108" si="516">F108*P108</f>
        <v>-1342438.8390857058</v>
      </c>
      <c r="R108">
        <f t="shared" ref="R108" si="517">R109+Q108</f>
        <v>197226882.56035468</v>
      </c>
      <c r="S108">
        <f t="shared" ref="S108" si="518">R108/100000</f>
        <v>1972.2688256035467</v>
      </c>
      <c r="T108">
        <f t="shared" ref="T108" si="519">S108/1000</f>
        <v>1.9722688256035468</v>
      </c>
    </row>
    <row r="109" spans="1:20" x14ac:dyDescent="0.25">
      <c r="A109" s="5">
        <v>44484</v>
      </c>
      <c r="B109">
        <v>33.83</v>
      </c>
      <c r="C109">
        <v>34.159999999999997</v>
      </c>
      <c r="D109">
        <v>32.18</v>
      </c>
      <c r="E109">
        <v>33.08</v>
      </c>
      <c r="F109">
        <v>2697044.1</v>
      </c>
      <c r="G109">
        <v>33.08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-9.0909090909090912E-2</v>
      </c>
      <c r="Q109">
        <f t="shared" ref="Q109" si="521">F109*P109</f>
        <v>-245185.8272727273</v>
      </c>
      <c r="R109">
        <f t="shared" ref="R109" si="522">R110+Q109</f>
        <v>198569321.39944038</v>
      </c>
      <c r="S109">
        <f t="shared" ref="S109" si="523">R109/100000</f>
        <v>1985.6932139944038</v>
      </c>
      <c r="T109">
        <f t="shared" ref="T109" si="524">S109/1000</f>
        <v>1.9856932139944037</v>
      </c>
    </row>
    <row r="110" spans="1:20" x14ac:dyDescent="0.25">
      <c r="A110" s="5">
        <v>44483</v>
      </c>
      <c r="B110">
        <v>34.549999999999997</v>
      </c>
      <c r="C110">
        <v>35.75</v>
      </c>
      <c r="D110">
        <v>33.46</v>
      </c>
      <c r="E110">
        <v>33.82</v>
      </c>
      <c r="F110">
        <v>3264365.97</v>
      </c>
      <c r="G110">
        <v>33.82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-0.6855895196506554</v>
      </c>
      <c r="Q110">
        <f t="shared" ref="Q110" si="526">F110*P110</f>
        <v>-2238015.0973362457</v>
      </c>
      <c r="R110">
        <f t="shared" ref="R110" si="527">R111+Q110</f>
        <v>198814507.22671309</v>
      </c>
      <c r="S110">
        <f t="shared" ref="S110" si="528">R110/100000</f>
        <v>1988.1450722671309</v>
      </c>
      <c r="T110">
        <f t="shared" ref="T110" si="529">S110/1000</f>
        <v>1.988145072267131</v>
      </c>
    </row>
    <row r="111" spans="1:20" x14ac:dyDescent="0.25">
      <c r="A111" s="5">
        <v>44482</v>
      </c>
      <c r="B111">
        <v>33.49</v>
      </c>
      <c r="C111">
        <v>34.93</v>
      </c>
      <c r="D111">
        <v>31.64</v>
      </c>
      <c r="E111">
        <v>34.53</v>
      </c>
      <c r="F111">
        <v>4628953.2300000004</v>
      </c>
      <c r="G111">
        <v>34.53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0.75683890577507684</v>
      </c>
      <c r="Q111">
        <f t="shared" ref="Q111" si="531">F111*P111</f>
        <v>3503371.8974772082</v>
      </c>
      <c r="R111">
        <f t="shared" ref="R111" si="532">R112+Q111</f>
        <v>201052522.32404932</v>
      </c>
      <c r="S111">
        <f t="shared" ref="S111" si="533">R111/100000</f>
        <v>2010.5252232404932</v>
      </c>
      <c r="T111">
        <f t="shared" ref="T111" si="534">S111/1000</f>
        <v>2.0105252232404931</v>
      </c>
    </row>
    <row r="112" spans="1:20" x14ac:dyDescent="0.25">
      <c r="A112" s="5">
        <v>44481</v>
      </c>
      <c r="B112">
        <v>32.020000000000003</v>
      </c>
      <c r="C112">
        <v>34.35</v>
      </c>
      <c r="D112">
        <v>29.9</v>
      </c>
      <c r="E112">
        <v>33.479999999999997</v>
      </c>
      <c r="F112">
        <v>4340225.5</v>
      </c>
      <c r="G112">
        <v>33.479999999999997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0.60898876404494207</v>
      </c>
      <c r="Q112">
        <f t="shared" ref="Q112" si="536">F112*P112</f>
        <v>2643148.5629213406</v>
      </c>
      <c r="R112">
        <f t="shared" ref="R112" si="537">R113+Q112</f>
        <v>197549150.42657211</v>
      </c>
      <c r="S112">
        <f t="shared" ref="S112" si="538">R112/100000</f>
        <v>1975.4915042657212</v>
      </c>
      <c r="T112">
        <f t="shared" ref="T112" si="539">S112/1000</f>
        <v>1.9754915042657213</v>
      </c>
    </row>
    <row r="113" spans="1:20" x14ac:dyDescent="0.25">
      <c r="A113" s="5">
        <v>44480</v>
      </c>
      <c r="B113">
        <v>32.4</v>
      </c>
      <c r="C113">
        <v>34.4</v>
      </c>
      <c r="D113">
        <v>31</v>
      </c>
      <c r="E113">
        <v>32.01</v>
      </c>
      <c r="F113">
        <v>2401211.56</v>
      </c>
      <c r="G113">
        <v>32.01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-0.40588235294117742</v>
      </c>
      <c r="Q113">
        <f t="shared" ref="Q113" si="541">F113*P113</f>
        <v>-974609.39788235526</v>
      </c>
      <c r="R113">
        <f t="shared" ref="R113" si="542">R114+Q113</f>
        <v>194906001.86365077</v>
      </c>
      <c r="S113">
        <f t="shared" ref="S113" si="543">R113/100000</f>
        <v>1949.0600186365077</v>
      </c>
      <c r="T113">
        <f t="shared" ref="T113" si="544">S113/1000</f>
        <v>1.9490600186365077</v>
      </c>
    </row>
    <row r="114" spans="1:20" x14ac:dyDescent="0.25">
      <c r="A114" s="5">
        <v>44479</v>
      </c>
      <c r="B114">
        <v>35.159999999999997</v>
      </c>
      <c r="C114">
        <v>35.18</v>
      </c>
      <c r="D114">
        <v>32.1</v>
      </c>
      <c r="E114">
        <v>32.42</v>
      </c>
      <c r="F114">
        <v>2984474.44</v>
      </c>
      <c r="G114">
        <v>32.42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-0.79220779220779192</v>
      </c>
      <c r="Q114">
        <f t="shared" ref="Q114" si="546">F114*P114</f>
        <v>-2364323.907012986</v>
      </c>
      <c r="R114">
        <f t="shared" ref="R114" si="547">R115+Q114</f>
        <v>195880611.26153311</v>
      </c>
      <c r="S114">
        <f t="shared" ref="S114" si="548">R114/100000</f>
        <v>1958.8061126153311</v>
      </c>
      <c r="T114">
        <f t="shared" ref="T114" si="549">S114/1000</f>
        <v>1.9588061126153311</v>
      </c>
    </row>
    <row r="115" spans="1:20" x14ac:dyDescent="0.25">
      <c r="A115" s="5">
        <v>44478</v>
      </c>
      <c r="B115">
        <v>35.03</v>
      </c>
      <c r="C115">
        <v>36.130000000000003</v>
      </c>
      <c r="D115">
        <v>34.6</v>
      </c>
      <c r="E115">
        <v>35.159999999999997</v>
      </c>
      <c r="F115">
        <v>2147543.83</v>
      </c>
      <c r="G115">
        <v>35.159999999999997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-0.2679738562091572</v>
      </c>
      <c r="Q115">
        <f t="shared" ref="Q115" si="551">F115*P115</f>
        <v>-575485.60150328279</v>
      </c>
      <c r="R115">
        <f t="shared" ref="R115" si="552">R116+Q115</f>
        <v>198244935.16854611</v>
      </c>
      <c r="S115">
        <f t="shared" ref="S115" si="553">R115/100000</f>
        <v>1982.4493516854611</v>
      </c>
      <c r="T115">
        <f t="shared" ref="T115" si="554">S115/1000</f>
        <v>1.9824493516854611</v>
      </c>
    </row>
    <row r="116" spans="1:20" x14ac:dyDescent="0.25">
      <c r="A116" s="5">
        <v>44477</v>
      </c>
      <c r="B116">
        <v>36.69</v>
      </c>
      <c r="C116">
        <v>36.950000000000003</v>
      </c>
      <c r="D116">
        <v>34.78</v>
      </c>
      <c r="E116">
        <v>35.04</v>
      </c>
      <c r="F116">
        <v>3091199.37</v>
      </c>
      <c r="G116">
        <v>35.04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-0.76036866359447208</v>
      </c>
      <c r="Q116">
        <f t="shared" ref="Q116" si="556">F116*P116</f>
        <v>-2350451.1338709742</v>
      </c>
      <c r="R116">
        <f t="shared" ref="R116" si="557">R117+Q116</f>
        <v>198820420.77004939</v>
      </c>
      <c r="S116">
        <f t="shared" ref="S116" si="558">R116/100000</f>
        <v>1988.204207700494</v>
      </c>
      <c r="T116">
        <f t="shared" ref="T116" si="559">S116/1000</f>
        <v>1.988204207700494</v>
      </c>
    </row>
    <row r="117" spans="1:20" x14ac:dyDescent="0.25">
      <c r="A117" s="5">
        <v>44476</v>
      </c>
      <c r="B117">
        <v>35.15</v>
      </c>
      <c r="C117">
        <v>38</v>
      </c>
      <c r="D117">
        <v>33.78</v>
      </c>
      <c r="E117">
        <v>36.67</v>
      </c>
      <c r="F117">
        <v>4300927.05</v>
      </c>
      <c r="G117">
        <v>36.67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0.36966824644549828</v>
      </c>
      <c r="Q117">
        <f t="shared" ref="Q117" si="561">F117*P117</f>
        <v>1589916.1606635097</v>
      </c>
      <c r="R117">
        <f t="shared" ref="R117" si="562">R118+Q117</f>
        <v>201170871.90392035</v>
      </c>
      <c r="S117">
        <f t="shared" ref="S117" si="563">R117/100000</f>
        <v>2011.7087190392035</v>
      </c>
      <c r="T117">
        <f t="shared" ref="T117" si="564">S117/1000</f>
        <v>2.0117087190392033</v>
      </c>
    </row>
    <row r="118" spans="1:20" x14ac:dyDescent="0.25">
      <c r="A118" s="5">
        <v>44475</v>
      </c>
      <c r="B118">
        <v>36.76</v>
      </c>
      <c r="C118">
        <v>36.86</v>
      </c>
      <c r="D118">
        <v>33</v>
      </c>
      <c r="E118">
        <v>35.15</v>
      </c>
      <c r="F118">
        <v>4948305.51</v>
      </c>
      <c r="G118">
        <v>35.15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0.11398963730569892</v>
      </c>
      <c r="Q118">
        <f t="shared" ref="Q118" si="566">F118*P118</f>
        <v>564055.55036269152</v>
      </c>
      <c r="R118">
        <f t="shared" ref="R118" si="567">R119+Q118</f>
        <v>199580955.74325684</v>
      </c>
      <c r="S118">
        <f t="shared" ref="S118" si="568">R118/100000</f>
        <v>1995.8095574325685</v>
      </c>
      <c r="T118">
        <f t="shared" ref="T118" si="569">S118/1000</f>
        <v>1.9958095574325685</v>
      </c>
    </row>
    <row r="119" spans="1:20" x14ac:dyDescent="0.25">
      <c r="A119" s="5">
        <v>44474</v>
      </c>
      <c r="B119">
        <v>36.79</v>
      </c>
      <c r="C119">
        <v>38.340000000000003</v>
      </c>
      <c r="D119">
        <v>35.32</v>
      </c>
      <c r="E119">
        <v>36.75</v>
      </c>
      <c r="F119">
        <v>3976563.71</v>
      </c>
      <c r="G119">
        <v>36.75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-5.2980132450332292E-2</v>
      </c>
      <c r="Q119">
        <f t="shared" ref="Q119" si="571">F119*P119</f>
        <v>-210678.87205298478</v>
      </c>
      <c r="R119">
        <f t="shared" ref="R119" si="572">R120+Q119</f>
        <v>199016900.19289413</v>
      </c>
      <c r="S119">
        <f t="shared" ref="S119" si="573">R119/100000</f>
        <v>1990.1690019289413</v>
      </c>
      <c r="T119">
        <f t="shared" ref="T119" si="574">S119/1000</f>
        <v>1.9901690019289413</v>
      </c>
    </row>
    <row r="120" spans="1:20" x14ac:dyDescent="0.25">
      <c r="A120" s="5">
        <v>44473</v>
      </c>
      <c r="B120">
        <v>38.76</v>
      </c>
      <c r="C120">
        <v>38.799999999999997</v>
      </c>
      <c r="D120">
        <v>36</v>
      </c>
      <c r="E120">
        <v>36.58</v>
      </c>
      <c r="F120">
        <v>4109970.18</v>
      </c>
      <c r="G120">
        <v>36.58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-0.58571428571428652</v>
      </c>
      <c r="Q120">
        <f t="shared" ref="Q120" si="576">F120*P120</f>
        <v>-2407268.2482857178</v>
      </c>
      <c r="R120">
        <f t="shared" ref="R120" si="577">R121+Q120</f>
        <v>199227579.06494713</v>
      </c>
      <c r="S120">
        <f t="shared" ref="S120" si="578">R120/100000</f>
        <v>1992.2757906494712</v>
      </c>
      <c r="T120">
        <f t="shared" ref="T120" si="579">S120/1000</f>
        <v>1.9922757906494712</v>
      </c>
    </row>
    <row r="121" spans="1:20" x14ac:dyDescent="0.25">
      <c r="A121" s="5">
        <v>44472</v>
      </c>
      <c r="B121">
        <v>38.630000000000003</v>
      </c>
      <c r="C121">
        <v>40.799999999999997</v>
      </c>
      <c r="D121">
        <v>37.78</v>
      </c>
      <c r="E121">
        <v>38.71</v>
      </c>
      <c r="F121">
        <v>3326013.51</v>
      </c>
      <c r="G121">
        <v>38.71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-0.38410596026490001</v>
      </c>
      <c r="Q121">
        <f t="shared" ref="Q121" si="581">F121*P121</f>
        <v>-1277541.6131125805</v>
      </c>
      <c r="R121">
        <f t="shared" ref="R121" si="582">R122+Q121</f>
        <v>201634847.31323284</v>
      </c>
      <c r="S121">
        <f t="shared" ref="S121" si="583">R121/100000</f>
        <v>2016.3484731323283</v>
      </c>
      <c r="T121">
        <f t="shared" ref="T121" si="584">S121/1000</f>
        <v>2.0163484731323282</v>
      </c>
    </row>
    <row r="122" spans="1:20" x14ac:dyDescent="0.25">
      <c r="A122" s="5">
        <v>44471</v>
      </c>
      <c r="B122">
        <v>37.86</v>
      </c>
      <c r="C122">
        <v>41.64</v>
      </c>
      <c r="D122">
        <v>37.17</v>
      </c>
      <c r="E122">
        <v>38.619999999999997</v>
      </c>
      <c r="F122">
        <v>4190103.21</v>
      </c>
      <c r="G122">
        <v>38.619999999999997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-0.35123042505593016</v>
      </c>
      <c r="Q122">
        <f t="shared" ref="Q122" si="586">F122*P122</f>
        <v>-1471691.7314765174</v>
      </c>
      <c r="R122">
        <f t="shared" ref="R122" si="587">R123+Q122</f>
        <v>202912388.92634541</v>
      </c>
      <c r="S122">
        <f t="shared" ref="S122" si="588">R122/100000</f>
        <v>2029.123889263454</v>
      </c>
      <c r="T122">
        <f t="shared" ref="T122" si="589">S122/1000</f>
        <v>2.0291238892634538</v>
      </c>
    </row>
    <row r="123" spans="1:20" x14ac:dyDescent="0.25">
      <c r="A123" s="5">
        <v>44470</v>
      </c>
      <c r="B123">
        <v>36.21</v>
      </c>
      <c r="C123">
        <v>38.56</v>
      </c>
      <c r="D123">
        <v>34.81</v>
      </c>
      <c r="E123">
        <v>37.85</v>
      </c>
      <c r="F123">
        <v>4640402.38</v>
      </c>
      <c r="G123">
        <v>37.85</v>
      </c>
      <c r="L123" t="s">
        <v>8</v>
      </c>
      <c r="M123" t="s">
        <v>7</v>
      </c>
      <c r="N123" t="s">
        <v>8</v>
      </c>
      <c r="P123">
        <f t="shared" ref="P123" si="590">IF(C123=D123,0,((E123-D123)-(C123-E123))/(C123-D123))</f>
        <v>0.62133333333333285</v>
      </c>
      <c r="Q123">
        <f t="shared" ref="Q123" si="591">F123*P123</f>
        <v>2883236.678773331</v>
      </c>
      <c r="R123">
        <f t="shared" ref="R123" si="592">R124+Q123</f>
        <v>204384080.65782192</v>
      </c>
      <c r="S123">
        <f t="shared" ref="S123" si="593">R123/100000</f>
        <v>2043.8408065782191</v>
      </c>
      <c r="T123">
        <f t="shared" ref="T123" si="594">S123/1000</f>
        <v>2.0438408065782192</v>
      </c>
    </row>
    <row r="124" spans="1:20" x14ac:dyDescent="0.25">
      <c r="A124" s="5">
        <v>44469</v>
      </c>
      <c r="B124">
        <v>33.880000000000003</v>
      </c>
      <c r="C124">
        <v>36.270000000000003</v>
      </c>
      <c r="D124">
        <v>33.47</v>
      </c>
      <c r="E124">
        <v>36.229999999999997</v>
      </c>
      <c r="F124">
        <v>3830234.57</v>
      </c>
      <c r="G124">
        <v>36.229999999999997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0.97142857142856698</v>
      </c>
      <c r="Q124">
        <f t="shared" ref="Q124" si="596">F124*P124</f>
        <v>3720799.2965714112</v>
      </c>
      <c r="R124">
        <f t="shared" ref="R124" si="597">R125+Q124</f>
        <v>201500843.97904858</v>
      </c>
      <c r="S124">
        <f t="shared" ref="S124" si="598">R124/100000</f>
        <v>2015.0084397904859</v>
      </c>
      <c r="T124">
        <f t="shared" ref="T124" si="599">S124/1000</f>
        <v>2.0150084397904857</v>
      </c>
    </row>
    <row r="125" spans="1:20" x14ac:dyDescent="0.25">
      <c r="A125" s="5">
        <v>44468</v>
      </c>
      <c r="B125">
        <v>33.700000000000003</v>
      </c>
      <c r="C125">
        <v>36.65</v>
      </c>
      <c r="D125">
        <v>32.74</v>
      </c>
      <c r="E125">
        <v>33.880000000000003</v>
      </c>
      <c r="F125">
        <v>4012215.28</v>
      </c>
      <c r="G125">
        <v>33.880000000000003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-0.41687979539641862</v>
      </c>
      <c r="Q125">
        <f t="shared" ref="Q125" si="601">F125*P125</f>
        <v>-1672611.4850127844</v>
      </c>
      <c r="R125">
        <f t="shared" ref="R125" si="602">R126+Q125</f>
        <v>197780044.68247718</v>
      </c>
      <c r="S125">
        <f t="shared" ref="S125" si="603">R125/100000</f>
        <v>1977.8004468247718</v>
      </c>
      <c r="T125">
        <f t="shared" ref="T125" si="604">S125/1000</f>
        <v>1.9778004468247719</v>
      </c>
    </row>
    <row r="126" spans="1:20" x14ac:dyDescent="0.25">
      <c r="A126" s="5">
        <v>44467</v>
      </c>
      <c r="B126">
        <v>37.200000000000003</v>
      </c>
      <c r="C126">
        <v>37.9</v>
      </c>
      <c r="D126">
        <v>33.36</v>
      </c>
      <c r="E126">
        <v>33.700000000000003</v>
      </c>
      <c r="F126">
        <v>4548726.66</v>
      </c>
      <c r="G126">
        <v>33.700000000000003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-0.85022026431717912</v>
      </c>
      <c r="Q126">
        <f t="shared" ref="Q126" si="606">F126*P126</f>
        <v>-3867419.5831717993</v>
      </c>
      <c r="R126">
        <f t="shared" ref="R126" si="607">R127+Q126</f>
        <v>199452656.16748995</v>
      </c>
      <c r="S126">
        <f t="shared" ref="S126" si="608">R126/100000</f>
        <v>1994.5265616748995</v>
      </c>
      <c r="T126">
        <f t="shared" ref="T126" si="609">S126/1000</f>
        <v>1.9945265616748995</v>
      </c>
    </row>
    <row r="127" spans="1:20" x14ac:dyDescent="0.25">
      <c r="A127" s="5">
        <v>44466</v>
      </c>
      <c r="B127">
        <v>39.81</v>
      </c>
      <c r="C127">
        <v>40.75</v>
      </c>
      <c r="D127">
        <v>36.6</v>
      </c>
      <c r="E127">
        <v>37.21</v>
      </c>
      <c r="F127">
        <v>4368605.5199999996</v>
      </c>
      <c r="G127">
        <v>37.21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-0.70602409638554231</v>
      </c>
      <c r="Q127">
        <f t="shared" ref="Q127" si="611">F127*P127</f>
        <v>-3084340.7647228921</v>
      </c>
      <c r="R127">
        <f t="shared" ref="R127" si="612">R128+Q127</f>
        <v>203320075.75066173</v>
      </c>
      <c r="S127">
        <f t="shared" ref="S127" si="613">R127/100000</f>
        <v>2033.2007575066173</v>
      </c>
      <c r="T127">
        <f t="shared" ref="T127" si="614">S127/1000</f>
        <v>2.0332007575066173</v>
      </c>
    </row>
    <row r="128" spans="1:20" x14ac:dyDescent="0.25">
      <c r="A128" s="5">
        <v>44465</v>
      </c>
      <c r="B128">
        <v>39.450000000000003</v>
      </c>
      <c r="C128">
        <v>41.7</v>
      </c>
      <c r="D128">
        <v>35.43</v>
      </c>
      <c r="E128">
        <v>39.799999999999997</v>
      </c>
      <c r="F128">
        <v>7577505.8700000001</v>
      </c>
      <c r="G128">
        <v>39.799999999999997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0.39393939393939242</v>
      </c>
      <c r="Q128">
        <f t="shared" ref="Q128" si="616">F128*P128</f>
        <v>2985078.0699999887</v>
      </c>
      <c r="R128">
        <f t="shared" ref="R128" si="617">R129+Q128</f>
        <v>206404416.51538461</v>
      </c>
      <c r="S128">
        <f t="shared" ref="S128" si="618">R128/100000</f>
        <v>2064.0441651538463</v>
      </c>
      <c r="T128">
        <f t="shared" ref="T128" si="619">S128/1000</f>
        <v>2.0640441651538461</v>
      </c>
    </row>
    <row r="129" spans="1:20" x14ac:dyDescent="0.25">
      <c r="A129" s="5">
        <v>44464</v>
      </c>
      <c r="B129">
        <v>42.56</v>
      </c>
      <c r="C129">
        <v>43.1</v>
      </c>
      <c r="D129">
        <v>38.81</v>
      </c>
      <c r="E129">
        <v>39.450000000000003</v>
      </c>
      <c r="F129">
        <v>5906770.4900000002</v>
      </c>
      <c r="G129">
        <v>39.450000000000003</v>
      </c>
      <c r="L129" t="s">
        <v>7</v>
      </c>
      <c r="M129" t="s">
        <v>8</v>
      </c>
      <c r="N129" t="s">
        <v>8</v>
      </c>
      <c r="P129">
        <f t="shared" ref="P129" si="620">IF(C129=D129,0,((E129-D129)-(C129-E129))/(C129-D129))</f>
        <v>-0.7016317016317013</v>
      </c>
      <c r="Q129">
        <f t="shared" ref="Q129" si="621">F129*P129</f>
        <v>-4144377.4300466185</v>
      </c>
      <c r="R129">
        <f t="shared" ref="R129" si="622">R130+Q129</f>
        <v>203419338.44538462</v>
      </c>
      <c r="S129">
        <f t="shared" ref="S129" si="623">R129/100000</f>
        <v>2034.1933844538462</v>
      </c>
      <c r="T129">
        <f t="shared" ref="T129" si="624">S129/1000</f>
        <v>2.0341933844538462</v>
      </c>
    </row>
    <row r="130" spans="1:20" x14ac:dyDescent="0.25">
      <c r="A130" s="5">
        <v>44463</v>
      </c>
      <c r="B130">
        <v>41.52</v>
      </c>
      <c r="C130">
        <v>44.3</v>
      </c>
      <c r="D130">
        <v>35.89</v>
      </c>
      <c r="E130">
        <v>42.58</v>
      </c>
      <c r="F130">
        <v>13102005.51</v>
      </c>
      <c r="G130">
        <v>42.58</v>
      </c>
      <c r="L130" t="s">
        <v>8</v>
      </c>
      <c r="M130" t="s">
        <v>7</v>
      </c>
      <c r="N130" t="s">
        <v>8</v>
      </c>
      <c r="P130">
        <f t="shared" ref="P130" si="625">IF(C130=D130,0,((E130-D130)-(C130-E130))/(C130-D130))</f>
        <v>0.59096313912009524</v>
      </c>
      <c r="Q130">
        <f t="shared" ref="Q130" si="626">F130*P130</f>
        <v>7742802.3049583845</v>
      </c>
      <c r="R130">
        <f t="shared" ref="R130" si="627">R131+Q130</f>
        <v>207563715.87543124</v>
      </c>
      <c r="S130">
        <f t="shared" ref="S130" si="628">R130/100000</f>
        <v>2075.6371587543126</v>
      </c>
      <c r="T130">
        <f t="shared" ref="T130" si="629">S130/1000</f>
        <v>2.0756371587543128</v>
      </c>
    </row>
    <row r="131" spans="1:20" x14ac:dyDescent="0.25">
      <c r="A131" s="5">
        <v>44462</v>
      </c>
      <c r="B131">
        <v>39.71</v>
      </c>
      <c r="C131">
        <v>43.33</v>
      </c>
      <c r="D131">
        <v>38.82</v>
      </c>
      <c r="E131">
        <v>41.51</v>
      </c>
      <c r="F131">
        <v>11044307.84</v>
      </c>
      <c r="G131">
        <v>41.51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0.19290465631928999</v>
      </c>
      <c r="Q131">
        <f t="shared" ref="Q131" si="631">F131*P131</f>
        <v>2130498.4081596402</v>
      </c>
      <c r="R131">
        <f t="shared" ref="R131" si="632">R132+Q131</f>
        <v>199820913.57047287</v>
      </c>
      <c r="S131">
        <f t="shared" ref="S131" si="633">R131/100000</f>
        <v>1998.2091357047286</v>
      </c>
      <c r="T131">
        <f t="shared" ref="T131" si="634">S131/1000</f>
        <v>1.9982091357047287</v>
      </c>
    </row>
    <row r="132" spans="1:20" x14ac:dyDescent="0.25">
      <c r="A132" s="5">
        <v>44461</v>
      </c>
      <c r="B132">
        <v>30.42</v>
      </c>
      <c r="C132">
        <v>40</v>
      </c>
      <c r="D132">
        <v>29.36</v>
      </c>
      <c r="E132">
        <v>39.71</v>
      </c>
      <c r="F132">
        <v>11901572.4</v>
      </c>
      <c r="G132">
        <v>39.71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0.94548872180451149</v>
      </c>
      <c r="Q132">
        <f t="shared" ref="Q132" si="636">F132*P132</f>
        <v>11252802.475939853</v>
      </c>
      <c r="R132">
        <f t="shared" ref="R132" si="637">R133+Q132</f>
        <v>197690415.16231322</v>
      </c>
      <c r="S132">
        <f t="shared" ref="S132" si="638">R132/100000</f>
        <v>1976.9041516231323</v>
      </c>
      <c r="T132">
        <f t="shared" ref="T132" si="639">S132/1000</f>
        <v>1.9769041516231323</v>
      </c>
    </row>
    <row r="133" spans="1:20" x14ac:dyDescent="0.25">
      <c r="A133" s="5">
        <v>44460</v>
      </c>
      <c r="B133">
        <v>33.979999999999997</v>
      </c>
      <c r="C133">
        <v>37.200000000000003</v>
      </c>
      <c r="D133">
        <v>28.83</v>
      </c>
      <c r="E133">
        <v>30.45</v>
      </c>
      <c r="F133">
        <v>15209690.85</v>
      </c>
      <c r="G133">
        <v>30.45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-0.61290322580645162</v>
      </c>
      <c r="Q133">
        <f t="shared" ref="Q133" si="641">F133*P133</f>
        <v>-9322068.5854838714</v>
      </c>
      <c r="R133">
        <f t="shared" ref="R133" si="642">R134+Q133</f>
        <v>186437612.68637338</v>
      </c>
      <c r="S133">
        <f t="shared" ref="S133" si="643">R133/100000</f>
        <v>1864.3761268637338</v>
      </c>
      <c r="T133">
        <f t="shared" ref="T133" si="644">S133/1000</f>
        <v>1.8643761268637338</v>
      </c>
    </row>
    <row r="134" spans="1:20" x14ac:dyDescent="0.25">
      <c r="A134" s="5">
        <v>44459</v>
      </c>
      <c r="B134">
        <v>44.28</v>
      </c>
      <c r="C134">
        <v>44.8</v>
      </c>
      <c r="D134">
        <v>38.369999999999997</v>
      </c>
      <c r="E134">
        <v>39.229999999999997</v>
      </c>
      <c r="F134">
        <v>7756471.75</v>
      </c>
      <c r="G134">
        <v>39.229999999999997</v>
      </c>
      <c r="L134" t="s">
        <v>8</v>
      </c>
      <c r="M134" t="s">
        <v>8</v>
      </c>
      <c r="N134" t="s">
        <v>8</v>
      </c>
      <c r="P134">
        <f t="shared" ref="P134" si="645">IF(C134=D134,0,((E134-D134)-(C134-E134))/(C134-D134))</f>
        <v>-0.73250388802488353</v>
      </c>
      <c r="Q134">
        <f t="shared" ref="Q134" si="646">F134*P134</f>
        <v>-5681645.7142301723</v>
      </c>
      <c r="R134">
        <f t="shared" ref="R134" si="647">R135+Q134</f>
        <v>195759681.27185726</v>
      </c>
      <c r="S134">
        <f t="shared" ref="S134" si="648">R134/100000</f>
        <v>1957.5968127185727</v>
      </c>
      <c r="T134">
        <f t="shared" ref="T134" si="649">S134/1000</f>
        <v>1.9575968127185726</v>
      </c>
    </row>
    <row r="135" spans="1:20" x14ac:dyDescent="0.25">
      <c r="A135" s="5">
        <v>44458</v>
      </c>
      <c r="B135">
        <v>40.78</v>
      </c>
      <c r="C135">
        <v>44.65</v>
      </c>
      <c r="D135">
        <v>37.72</v>
      </c>
      <c r="E135">
        <v>44.27</v>
      </c>
      <c r="F135">
        <v>10151943.187000001</v>
      </c>
      <c r="G135">
        <v>44.27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0.89033189033189164</v>
      </c>
      <c r="Q135">
        <f t="shared" ref="Q135" si="651">F135*P135</f>
        <v>9038598.7682236787</v>
      </c>
      <c r="R135">
        <f t="shared" ref="R135" si="652">R136+Q135</f>
        <v>201441326.98608744</v>
      </c>
      <c r="S135">
        <f t="shared" ref="S135" si="653">R135/100000</f>
        <v>2014.4132698608744</v>
      </c>
      <c r="T135">
        <f t="shared" ref="T135" si="654">S135/1000</f>
        <v>2.0144132698608743</v>
      </c>
    </row>
    <row r="136" spans="1:20" x14ac:dyDescent="0.25">
      <c r="A136" s="5">
        <v>44457</v>
      </c>
      <c r="B136">
        <v>33.46</v>
      </c>
      <c r="C136">
        <v>41.5</v>
      </c>
      <c r="D136">
        <v>32.68</v>
      </c>
      <c r="E136">
        <v>40.76</v>
      </c>
      <c r="F136">
        <v>10505409.505000001</v>
      </c>
      <c r="G136">
        <v>40.76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0.83219954648526029</v>
      </c>
      <c r="Q136">
        <f t="shared" ref="Q136" si="656">F136*P136</f>
        <v>8742597.025702944</v>
      </c>
      <c r="R136">
        <f t="shared" ref="R136" si="657">R137+Q136</f>
        <v>192402728.21786377</v>
      </c>
      <c r="S136">
        <f t="shared" ref="S136" si="658">R136/100000</f>
        <v>1924.0272821786377</v>
      </c>
      <c r="T136">
        <f t="shared" ref="T136" si="659">S136/1000</f>
        <v>1.9240272821786377</v>
      </c>
    </row>
    <row r="137" spans="1:20" x14ac:dyDescent="0.25">
      <c r="A137" s="5">
        <v>44456</v>
      </c>
      <c r="B137">
        <v>37.07</v>
      </c>
      <c r="C137">
        <v>38.090000000000003</v>
      </c>
      <c r="D137">
        <v>32.409999999999997</v>
      </c>
      <c r="E137">
        <v>33.46</v>
      </c>
      <c r="F137">
        <v>7570169.8099999996</v>
      </c>
      <c r="G137">
        <v>33.46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-0.63028169014084401</v>
      </c>
      <c r="Q137">
        <f t="shared" ref="Q137" si="661">F137*P137</f>
        <v>-4771339.422499992</v>
      </c>
      <c r="R137">
        <f t="shared" ref="R137" si="662">R138+Q137</f>
        <v>183660131.19216082</v>
      </c>
      <c r="S137">
        <f t="shared" ref="S137" si="663">R137/100000</f>
        <v>1836.6013119216082</v>
      </c>
      <c r="T137">
        <f t="shared" ref="T137" si="664">S137/1000</f>
        <v>1.8366013119216082</v>
      </c>
    </row>
    <row r="138" spans="1:20" x14ac:dyDescent="0.25">
      <c r="A138" s="5">
        <v>44455</v>
      </c>
      <c r="B138">
        <v>34.119999999999997</v>
      </c>
      <c r="C138">
        <v>37.25</v>
      </c>
      <c r="D138">
        <v>31.2</v>
      </c>
      <c r="E138">
        <v>37.07</v>
      </c>
      <c r="F138">
        <v>8867462.7300000004</v>
      </c>
      <c r="G138">
        <v>37.07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0.94049586776859517</v>
      </c>
      <c r="Q138">
        <f t="shared" ref="Q138" si="666">F138*P138</f>
        <v>8339812.0551570263</v>
      </c>
      <c r="R138">
        <f t="shared" ref="R138" si="667">R139+Q138</f>
        <v>188431470.6146608</v>
      </c>
      <c r="S138">
        <f t="shared" ref="S138" si="668">R138/100000</f>
        <v>1884.3147061466079</v>
      </c>
      <c r="T138">
        <f t="shared" ref="T138" si="669">S138/1000</f>
        <v>1.8843147061466079</v>
      </c>
    </row>
    <row r="139" spans="1:20" x14ac:dyDescent="0.25">
      <c r="A139" s="5">
        <v>44454</v>
      </c>
      <c r="B139">
        <v>34.19</v>
      </c>
      <c r="C139">
        <v>35.35</v>
      </c>
      <c r="D139">
        <v>32.61</v>
      </c>
      <c r="E139">
        <v>34.119999999999997</v>
      </c>
      <c r="F139">
        <v>5652348.1500000004</v>
      </c>
      <c r="G139">
        <v>34.119999999999997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0.10218978102189556</v>
      </c>
      <c r="Q139">
        <f t="shared" ref="Q139" si="671">F139*P139</f>
        <v>577612.21970801649</v>
      </c>
      <c r="R139">
        <f t="shared" ref="R139" si="672">R140+Q139</f>
        <v>180091658.55950376</v>
      </c>
      <c r="S139">
        <f t="shared" ref="S139" si="673">R139/100000</f>
        <v>1800.9165855950375</v>
      </c>
      <c r="T139">
        <f t="shared" ref="T139" si="674">S139/1000</f>
        <v>1.8009165855950375</v>
      </c>
    </row>
    <row r="140" spans="1:20" x14ac:dyDescent="0.25">
      <c r="A140" s="5">
        <v>44453</v>
      </c>
      <c r="B140">
        <v>35.799999999999997</v>
      </c>
      <c r="C140">
        <v>37.9</v>
      </c>
      <c r="D140">
        <v>32.799999999999997</v>
      </c>
      <c r="E140">
        <v>34.200000000000003</v>
      </c>
      <c r="F140">
        <v>10305593.949999999</v>
      </c>
      <c r="G140">
        <v>34.200000000000003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-0.45098039215686064</v>
      </c>
      <c r="Q140">
        <f t="shared" ref="Q140" si="676">F140*P140</f>
        <v>-4647620.8009803705</v>
      </c>
      <c r="R140">
        <f t="shared" ref="R140" si="677">R141+Q140</f>
        <v>179514046.33979574</v>
      </c>
      <c r="S140">
        <f t="shared" ref="S140" si="678">R140/100000</f>
        <v>1795.1404633979573</v>
      </c>
      <c r="T140">
        <f t="shared" ref="T140" si="679">S140/1000</f>
        <v>1.7951404633979573</v>
      </c>
    </row>
    <row r="141" spans="1:20" x14ac:dyDescent="0.25">
      <c r="A141" s="5">
        <v>44452</v>
      </c>
      <c r="B141">
        <v>34.909999999999997</v>
      </c>
      <c r="C141">
        <v>38.950000000000003</v>
      </c>
      <c r="D141">
        <v>30.25</v>
      </c>
      <c r="E141">
        <v>35.82</v>
      </c>
      <c r="F141">
        <v>22213603.107000001</v>
      </c>
      <c r="G141">
        <v>35.82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0.28045977011494216</v>
      </c>
      <c r="Q141">
        <f t="shared" ref="Q141" si="681">F141*P141</f>
        <v>6230022.0208137855</v>
      </c>
      <c r="R141">
        <f t="shared" ref="R141" si="682">R142+Q141</f>
        <v>184161667.1407761</v>
      </c>
      <c r="S141">
        <f t="shared" ref="S141" si="683">R141/100000</f>
        <v>1841.616671407761</v>
      </c>
      <c r="T141">
        <f t="shared" ref="T141" si="684">S141/1000</f>
        <v>1.8416166714077611</v>
      </c>
    </row>
    <row r="142" spans="1:20" x14ac:dyDescent="0.25">
      <c r="A142" s="5">
        <v>44451</v>
      </c>
      <c r="B142">
        <v>27.33</v>
      </c>
      <c r="C142">
        <v>35.26</v>
      </c>
      <c r="D142">
        <v>25.96</v>
      </c>
      <c r="E142">
        <v>34.89</v>
      </c>
      <c r="F142">
        <v>12340293.887</v>
      </c>
      <c r="G142">
        <v>34.89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0.92043010752688226</v>
      </c>
      <c r="Q142">
        <f t="shared" ref="Q142" si="686">F142*P142</f>
        <v>11358378.029324738</v>
      </c>
      <c r="R142">
        <f t="shared" ref="R142" si="687">R143+Q142</f>
        <v>177931645.1199623</v>
      </c>
      <c r="S142">
        <f t="shared" ref="S142" si="688">R142/100000</f>
        <v>1779.3164511996231</v>
      </c>
      <c r="T142">
        <f t="shared" ref="T142" si="689">S142/1000</f>
        <v>1.7793164511996231</v>
      </c>
    </row>
    <row r="143" spans="1:20" x14ac:dyDescent="0.25">
      <c r="A143" s="5">
        <v>44450</v>
      </c>
      <c r="B143">
        <v>29.4</v>
      </c>
      <c r="C143">
        <v>30.98</v>
      </c>
      <c r="D143">
        <v>26.72</v>
      </c>
      <c r="E143">
        <v>27.33</v>
      </c>
      <c r="F143">
        <v>8344764.7489999998</v>
      </c>
      <c r="G143">
        <v>27.33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-0.71361502347417882</v>
      </c>
      <c r="Q143">
        <f t="shared" ref="Q143" si="691">F143*P143</f>
        <v>-5954949.4922441347</v>
      </c>
      <c r="R143">
        <f t="shared" ref="R143" si="692">R144+Q143</f>
        <v>166573267.09063756</v>
      </c>
      <c r="S143">
        <f t="shared" ref="S143" si="693">R143/100000</f>
        <v>1665.7326709063757</v>
      </c>
      <c r="T143">
        <f t="shared" ref="T143" si="694">S143/1000</f>
        <v>1.6657326709063758</v>
      </c>
    </row>
    <row r="144" spans="1:20" x14ac:dyDescent="0.25">
      <c r="A144" s="5">
        <v>44449</v>
      </c>
      <c r="B144">
        <v>26.82</v>
      </c>
      <c r="C144">
        <v>30.48</v>
      </c>
      <c r="D144">
        <v>24.56</v>
      </c>
      <c r="E144">
        <v>29.41</v>
      </c>
      <c r="F144">
        <v>18339923.921999998</v>
      </c>
      <c r="G144">
        <v>29.41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0.63851351351351349</v>
      </c>
      <c r="Q144">
        <f t="shared" ref="Q144" si="696">F144*P144</f>
        <v>11710289.261006756</v>
      </c>
      <c r="R144">
        <f t="shared" ref="R144" si="697">R145+Q144</f>
        <v>172528216.58288169</v>
      </c>
      <c r="S144">
        <f t="shared" ref="S144" si="698">R144/100000</f>
        <v>1725.2821658288169</v>
      </c>
      <c r="T144">
        <f t="shared" ref="T144" si="699">S144/1000</f>
        <v>1.7252821658288169</v>
      </c>
    </row>
    <row r="145" spans="1:20" x14ac:dyDescent="0.25">
      <c r="A145" s="5">
        <v>44448</v>
      </c>
      <c r="B145">
        <v>20.71</v>
      </c>
      <c r="C145">
        <v>28.45</v>
      </c>
      <c r="D145">
        <v>20.43</v>
      </c>
      <c r="E145">
        <v>26.85</v>
      </c>
      <c r="F145">
        <v>13224862.208000001</v>
      </c>
      <c r="G145">
        <v>26.85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0.6009975062344145</v>
      </c>
      <c r="Q145">
        <f t="shared" ref="Q145" si="701">F145*P145</f>
        <v>7948109.2073017526</v>
      </c>
      <c r="R145">
        <f t="shared" ref="R145" si="702">R146+Q145</f>
        <v>160817927.32187495</v>
      </c>
      <c r="S145">
        <f t="shared" ref="S145" si="703">R145/100000</f>
        <v>1608.1792732187494</v>
      </c>
      <c r="T145">
        <f t="shared" ref="T145" si="704">S145/1000</f>
        <v>1.6081792732187494</v>
      </c>
    </row>
    <row r="146" spans="1:20" x14ac:dyDescent="0.25">
      <c r="A146" s="5">
        <v>44447</v>
      </c>
      <c r="B146">
        <v>21.09</v>
      </c>
      <c r="C146">
        <v>21.88</v>
      </c>
      <c r="D146">
        <v>18.45</v>
      </c>
      <c r="E146">
        <v>20.69</v>
      </c>
      <c r="F146">
        <v>4710868.45</v>
      </c>
      <c r="G146">
        <v>20.69</v>
      </c>
      <c r="L146" t="s">
        <v>7</v>
      </c>
      <c r="M146" t="s">
        <v>8</v>
      </c>
      <c r="N146" t="s">
        <v>7</v>
      </c>
      <c r="P146">
        <f t="shared" ref="P146" si="705">IF(C146=D146,0,((E146-D146)-(C146-E146))/(C146-D146))</f>
        <v>0.30612244897959312</v>
      </c>
      <c r="Q146">
        <f t="shared" ref="Q146" si="706">F146*P146</f>
        <v>1442102.5867347</v>
      </c>
      <c r="R146">
        <f t="shared" ref="R146" si="707">R147+Q146</f>
        <v>152869818.11457318</v>
      </c>
      <c r="S146">
        <f t="shared" ref="S146" si="708">R146/100000</f>
        <v>1528.6981811457317</v>
      </c>
      <c r="T146">
        <f t="shared" ref="T146" si="709">S146/1000</f>
        <v>1.5286981811457316</v>
      </c>
    </row>
    <row r="147" spans="1:20" x14ac:dyDescent="0.25">
      <c r="A147" s="5">
        <v>44446</v>
      </c>
      <c r="B147">
        <v>25.09</v>
      </c>
      <c r="C147">
        <v>27.45</v>
      </c>
      <c r="D147">
        <v>17.55</v>
      </c>
      <c r="E147">
        <v>21.08</v>
      </c>
      <c r="F147">
        <v>8464550.9930000007</v>
      </c>
      <c r="G147">
        <v>21.08</v>
      </c>
      <c r="L147" t="s">
        <v>8</v>
      </c>
      <c r="M147" t="s">
        <v>7</v>
      </c>
      <c r="N147" t="s">
        <v>7</v>
      </c>
      <c r="P147">
        <f t="shared" ref="P147" si="710">IF(C147=D147,0,((E147-D147)-(C147-E147))/(C147-D147))</f>
        <v>-0.28686868686868727</v>
      </c>
      <c r="Q147">
        <f t="shared" ref="Q147" si="711">F147*P147</f>
        <v>-2428214.6282949531</v>
      </c>
      <c r="R147">
        <f t="shared" ref="R147" si="712">R148+Q147</f>
        <v>151427715.52783847</v>
      </c>
      <c r="S147">
        <f t="shared" ref="S147" si="713">R147/100000</f>
        <v>1514.2771552783847</v>
      </c>
      <c r="T147">
        <f t="shared" ref="T147" si="714">S147/1000</f>
        <v>1.5142771552783847</v>
      </c>
    </row>
    <row r="148" spans="1:20" x14ac:dyDescent="0.25">
      <c r="A148" s="5">
        <v>44445</v>
      </c>
      <c r="B148">
        <v>25.71</v>
      </c>
      <c r="C148">
        <v>27.1</v>
      </c>
      <c r="D148">
        <v>23.68</v>
      </c>
      <c r="E148">
        <v>25.08</v>
      </c>
      <c r="F148">
        <v>4266255.6090000002</v>
      </c>
      <c r="G148">
        <v>25.08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-0.18128654970760358</v>
      </c>
      <c r="Q148">
        <f t="shared" ref="Q148" si="716">F148*P148</f>
        <v>-773414.75952632108</v>
      </c>
      <c r="R148">
        <f t="shared" ref="R148" si="717">R149+Q148</f>
        <v>153855930.15613341</v>
      </c>
      <c r="S148">
        <f t="shared" ref="S148" si="718">R148/100000</f>
        <v>1538.5593015613342</v>
      </c>
      <c r="T148">
        <f t="shared" ref="T148" si="719">S148/1000</f>
        <v>1.5385593015613341</v>
      </c>
    </row>
    <row r="149" spans="1:20" x14ac:dyDescent="0.25">
      <c r="A149" s="5">
        <v>44444</v>
      </c>
      <c r="B149">
        <v>24.4</v>
      </c>
      <c r="C149">
        <v>26.21</v>
      </c>
      <c r="D149">
        <v>23.8</v>
      </c>
      <c r="E149">
        <v>25.73</v>
      </c>
      <c r="F149">
        <v>3419680.11</v>
      </c>
      <c r="G149">
        <v>25.73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0.60165975103734404</v>
      </c>
      <c r="Q149">
        <f t="shared" ref="Q149" si="721">F149*P149</f>
        <v>2057483.8836099573</v>
      </c>
      <c r="R149">
        <f t="shared" ref="R149" si="722">R150+Q149</f>
        <v>154629344.91565973</v>
      </c>
      <c r="S149">
        <f t="shared" ref="S149" si="723">R149/100000</f>
        <v>1546.2934491565973</v>
      </c>
      <c r="T149">
        <f t="shared" ref="T149" si="724">S149/1000</f>
        <v>1.5462934491565972</v>
      </c>
    </row>
    <row r="150" spans="1:20" x14ac:dyDescent="0.25">
      <c r="A150" s="5">
        <v>44443</v>
      </c>
      <c r="B150">
        <v>24.1</v>
      </c>
      <c r="C150">
        <v>25.5</v>
      </c>
      <c r="D150">
        <v>23.71</v>
      </c>
      <c r="E150">
        <v>24.4</v>
      </c>
      <c r="F150">
        <v>2824441.48</v>
      </c>
      <c r="G150">
        <v>24.4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-0.22905027932961111</v>
      </c>
      <c r="Q150">
        <f t="shared" ref="Q150" si="726">F150*P150</f>
        <v>-646939.10994414019</v>
      </c>
      <c r="R150">
        <f t="shared" ref="R150" si="727">R151+Q150</f>
        <v>152571861.03204978</v>
      </c>
      <c r="S150">
        <f t="shared" ref="S150" si="728">R150/100000</f>
        <v>1525.7186103204976</v>
      </c>
      <c r="T150">
        <f t="shared" ref="T150" si="729">S150/1000</f>
        <v>1.5257186103204976</v>
      </c>
    </row>
    <row r="151" spans="1:20" x14ac:dyDescent="0.25">
      <c r="A151" s="5">
        <v>44442</v>
      </c>
      <c r="B151">
        <v>24.16</v>
      </c>
      <c r="C151">
        <v>24.96</v>
      </c>
      <c r="D151">
        <v>23.15</v>
      </c>
      <c r="E151">
        <v>24.11</v>
      </c>
      <c r="F151">
        <v>3590142.79</v>
      </c>
      <c r="G151">
        <v>24.11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6.0773480662983034E-2</v>
      </c>
      <c r="Q151">
        <f t="shared" ref="Q151" si="731">F151*P151</f>
        <v>218185.47342541296</v>
      </c>
      <c r="R151">
        <f t="shared" ref="R151" si="732">R152+Q151</f>
        <v>153218800.14199391</v>
      </c>
      <c r="S151">
        <f t="shared" ref="S151" si="733">R151/100000</f>
        <v>1532.1880014199392</v>
      </c>
      <c r="T151">
        <f t="shared" ref="T151" si="734">S151/1000</f>
        <v>1.5321880014199392</v>
      </c>
    </row>
    <row r="152" spans="1:20" x14ac:dyDescent="0.25">
      <c r="A152" s="5">
        <v>44441</v>
      </c>
      <c r="B152">
        <v>25.42</v>
      </c>
      <c r="C152">
        <v>25.77</v>
      </c>
      <c r="D152">
        <v>23.44</v>
      </c>
      <c r="E152">
        <v>24.14</v>
      </c>
      <c r="F152">
        <v>3166096.74</v>
      </c>
      <c r="G152">
        <v>24.14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-0.39914163090128774</v>
      </c>
      <c r="Q152">
        <f t="shared" ref="Q152" si="736">F152*P152</f>
        <v>-1263721.0163948506</v>
      </c>
      <c r="R152">
        <f t="shared" ref="R152" si="737">R153+Q152</f>
        <v>153000614.66856849</v>
      </c>
      <c r="S152">
        <f t="shared" ref="S152" si="738">R152/100000</f>
        <v>1530.0061466856848</v>
      </c>
      <c r="T152">
        <f t="shared" ref="T152" si="739">S152/1000</f>
        <v>1.5300061466856849</v>
      </c>
    </row>
    <row r="153" spans="1:20" x14ac:dyDescent="0.25">
      <c r="A153" s="5">
        <v>44440</v>
      </c>
      <c r="B153">
        <v>22.9</v>
      </c>
      <c r="C153">
        <v>25.98</v>
      </c>
      <c r="D153">
        <v>22.09</v>
      </c>
      <c r="E153">
        <v>25.44</v>
      </c>
      <c r="F153">
        <v>7232749.1200000001</v>
      </c>
      <c r="G153">
        <v>25.44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0.72236503856041179</v>
      </c>
      <c r="Q153">
        <f t="shared" ref="Q153" si="741">F153*P153</f>
        <v>5224685.0969665842</v>
      </c>
      <c r="R153">
        <f t="shared" ref="R153" si="742">R154+Q153</f>
        <v>154264335.68496335</v>
      </c>
      <c r="S153">
        <f t="shared" ref="S153" si="743">R153/100000</f>
        <v>1542.6433568496334</v>
      </c>
      <c r="T153">
        <f t="shared" ref="T153" si="744">S153/1000</f>
        <v>1.5426433568496334</v>
      </c>
    </row>
    <row r="154" spans="1:20" x14ac:dyDescent="0.25">
      <c r="A154" s="5">
        <v>44439</v>
      </c>
      <c r="B154">
        <v>22.16</v>
      </c>
      <c r="C154">
        <v>26.3</v>
      </c>
      <c r="D154">
        <v>21.56</v>
      </c>
      <c r="E154">
        <v>22.89</v>
      </c>
      <c r="F154">
        <v>11248726.651000001</v>
      </c>
      <c r="G154">
        <v>22.89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-0.43881856540084335</v>
      </c>
      <c r="Q154">
        <f t="shared" ref="Q154" si="746">F154*P154</f>
        <v>-4936150.0915780533</v>
      </c>
      <c r="R154">
        <f t="shared" ref="R154" si="747">R155+Q154</f>
        <v>149039650.58799675</v>
      </c>
      <c r="S154">
        <f t="shared" ref="S154" si="748">R154/100000</f>
        <v>1490.3965058799674</v>
      </c>
      <c r="T154">
        <f t="shared" ref="T154" si="749">S154/1000</f>
        <v>1.4903965058799675</v>
      </c>
    </row>
    <row r="155" spans="1:20" x14ac:dyDescent="0.25">
      <c r="A155" s="5">
        <v>44438</v>
      </c>
      <c r="B155">
        <v>21.2</v>
      </c>
      <c r="C155">
        <v>23.92</v>
      </c>
      <c r="D155">
        <v>19.48</v>
      </c>
      <c r="E155">
        <v>22.14</v>
      </c>
      <c r="F155">
        <v>5880341.6789999995</v>
      </c>
      <c r="G155">
        <v>22.14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0.19819819819819792</v>
      </c>
      <c r="Q155">
        <f t="shared" ref="Q155" si="751">F155*P155</f>
        <v>1165473.1255675659</v>
      </c>
      <c r="R155">
        <f t="shared" ref="R155" si="752">R156+Q155</f>
        <v>153975800.67957482</v>
      </c>
      <c r="S155">
        <f t="shared" ref="S155" si="753">R155/100000</f>
        <v>1539.7580067957481</v>
      </c>
      <c r="T155">
        <f t="shared" ref="T155" si="754">S155/1000</f>
        <v>1.5397580067957481</v>
      </c>
    </row>
    <row r="156" spans="1:20" x14ac:dyDescent="0.25">
      <c r="A156" s="5">
        <v>44437</v>
      </c>
      <c r="B156">
        <v>21.33</v>
      </c>
      <c r="C156">
        <v>22.42</v>
      </c>
      <c r="D156">
        <v>20.32</v>
      </c>
      <c r="E156">
        <v>21.2</v>
      </c>
      <c r="F156">
        <v>3896525.358</v>
      </c>
      <c r="G156">
        <v>21.2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-0.16190476190476341</v>
      </c>
      <c r="Q156">
        <f t="shared" ref="Q156" si="756">F156*P156</f>
        <v>-630866.01034286304</v>
      </c>
      <c r="R156">
        <f t="shared" ref="R156" si="757">R157+Q156</f>
        <v>152810327.55400726</v>
      </c>
      <c r="S156">
        <f t="shared" ref="S156" si="758">R156/100000</f>
        <v>1528.1032755400727</v>
      </c>
      <c r="T156">
        <f t="shared" ref="T156" si="759">S156/1000</f>
        <v>1.5281032755400727</v>
      </c>
    </row>
    <row r="157" spans="1:20" x14ac:dyDescent="0.25">
      <c r="A157" s="5">
        <v>44436</v>
      </c>
      <c r="B157">
        <v>20.43</v>
      </c>
      <c r="C157">
        <v>21.43</v>
      </c>
      <c r="D157">
        <v>19.5</v>
      </c>
      <c r="E157">
        <v>21.31</v>
      </c>
      <c r="F157">
        <v>3015611.5019999999</v>
      </c>
      <c r="G157">
        <v>21.31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0.87564766839378139</v>
      </c>
      <c r="Q157">
        <f t="shared" ref="Q157" si="761">F157*P157</f>
        <v>2640613.1805077689</v>
      </c>
      <c r="R157">
        <f t="shared" ref="R157" si="762">R158+Q157</f>
        <v>153441193.56435013</v>
      </c>
      <c r="S157">
        <f t="shared" ref="S157" si="763">R157/100000</f>
        <v>1534.4119356435012</v>
      </c>
      <c r="T157">
        <f t="shared" ref="T157" si="764">S157/1000</f>
        <v>1.5344119356435013</v>
      </c>
    </row>
    <row r="158" spans="1:20" x14ac:dyDescent="0.25">
      <c r="A158" s="5">
        <v>44435</v>
      </c>
      <c r="B158">
        <v>17.920000000000002</v>
      </c>
      <c r="C158">
        <v>20.56</v>
      </c>
      <c r="D158">
        <v>17.25</v>
      </c>
      <c r="E158">
        <v>20.420000000000002</v>
      </c>
      <c r="F158">
        <v>3514088.202</v>
      </c>
      <c r="G158">
        <v>20.420000000000002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0.91540785498489607</v>
      </c>
      <c r="Q158">
        <f t="shared" ref="Q158" si="766">F158*P158</f>
        <v>3216823.9432205502</v>
      </c>
      <c r="R158">
        <f t="shared" ref="R158" si="767">R159+Q158</f>
        <v>150800580.38384235</v>
      </c>
      <c r="S158">
        <f t="shared" ref="S158" si="768">R158/100000</f>
        <v>1508.0058038384234</v>
      </c>
      <c r="T158">
        <f t="shared" ref="T158" si="769">S158/1000</f>
        <v>1.5080058038384234</v>
      </c>
    </row>
    <row r="159" spans="1:20" x14ac:dyDescent="0.25">
      <c r="A159" s="5">
        <v>44434</v>
      </c>
      <c r="B159">
        <v>20.047999999999998</v>
      </c>
      <c r="C159">
        <v>20.329999999999998</v>
      </c>
      <c r="D159">
        <v>17.666</v>
      </c>
      <c r="E159">
        <v>17.899999999999999</v>
      </c>
      <c r="F159">
        <v>2770346.7379999999</v>
      </c>
      <c r="G159">
        <v>17.899999999999999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-0.82432432432432556</v>
      </c>
      <c r="Q159">
        <f t="shared" ref="Q159" si="771">F159*P159</f>
        <v>-2283664.2029459495</v>
      </c>
      <c r="R159">
        <f t="shared" ref="R159" si="772">R160+Q159</f>
        <v>147583756.44062179</v>
      </c>
      <c r="S159">
        <f t="shared" ref="S159" si="773">R159/100000</f>
        <v>1475.837564406218</v>
      </c>
      <c r="T159">
        <f t="shared" ref="T159" si="774">S159/1000</f>
        <v>1.475837564406218</v>
      </c>
    </row>
    <row r="160" spans="1:20" x14ac:dyDescent="0.25">
      <c r="A160" s="5">
        <v>44433</v>
      </c>
      <c r="B160">
        <v>19.538</v>
      </c>
      <c r="C160">
        <v>20.875</v>
      </c>
      <c r="D160">
        <v>18.603000000000002</v>
      </c>
      <c r="E160">
        <v>20.056000000000001</v>
      </c>
      <c r="F160">
        <v>3609455.6060000001</v>
      </c>
      <c r="G160">
        <v>20.056000000000001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0.27904929577464821</v>
      </c>
      <c r="Q160">
        <f t="shared" ref="Q160" si="776">F160*P160</f>
        <v>1007216.0449841561</v>
      </c>
      <c r="R160">
        <f t="shared" ref="R160" si="777">R161+Q160</f>
        <v>149867420.64356774</v>
      </c>
      <c r="S160">
        <f t="shared" ref="S160" si="778">R160/100000</f>
        <v>1498.6742064356774</v>
      </c>
      <c r="T160">
        <f t="shared" ref="T160" si="779">S160/1000</f>
        <v>1.4986742064356775</v>
      </c>
    </row>
    <row r="161" spans="1:20" x14ac:dyDescent="0.25">
      <c r="A161" s="5">
        <v>44432</v>
      </c>
      <c r="B161">
        <v>21.811</v>
      </c>
      <c r="C161">
        <v>22.036000000000001</v>
      </c>
      <c r="D161">
        <v>19.2</v>
      </c>
      <c r="E161">
        <v>19.538</v>
      </c>
      <c r="F161">
        <v>4193781.6370000001</v>
      </c>
      <c r="G161">
        <v>19.538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-0.76163610719322938</v>
      </c>
      <c r="Q161">
        <f t="shared" ref="Q161" si="781">F161*P161</f>
        <v>-3194135.5204231292</v>
      </c>
      <c r="R161">
        <f t="shared" ref="R161" si="782">R162+Q161</f>
        <v>148860204.59858358</v>
      </c>
      <c r="S161">
        <f t="shared" ref="S161" si="783">R161/100000</f>
        <v>1488.6020459858357</v>
      </c>
      <c r="T161">
        <f t="shared" ref="T161" si="784">S161/1000</f>
        <v>1.4886020459858358</v>
      </c>
    </row>
    <row r="162" spans="1:20" x14ac:dyDescent="0.25">
      <c r="A162" s="5">
        <v>44431</v>
      </c>
      <c r="B162">
        <v>21.85</v>
      </c>
      <c r="C162">
        <v>23.111000000000001</v>
      </c>
      <c r="D162">
        <v>21.282</v>
      </c>
      <c r="E162">
        <v>21.808</v>
      </c>
      <c r="F162">
        <v>4567211.3389999997</v>
      </c>
      <c r="G162">
        <v>21.808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-0.42482230727173359</v>
      </c>
      <c r="Q162">
        <f t="shared" ref="Q162" si="786">F162*P162</f>
        <v>-1940253.2588316037</v>
      </c>
      <c r="R162">
        <f t="shared" ref="R162" si="787">R163+Q162</f>
        <v>152054340.11900669</v>
      </c>
      <c r="S162">
        <f t="shared" ref="S162" si="788">R162/100000</f>
        <v>1520.543401190067</v>
      </c>
      <c r="T162">
        <f t="shared" ref="T162" si="789">S162/1000</f>
        <v>1.5205434011900669</v>
      </c>
    </row>
    <row r="163" spans="1:20" x14ac:dyDescent="0.25">
      <c r="A163" s="5">
        <v>44430</v>
      </c>
      <c r="B163">
        <v>22.152000000000001</v>
      </c>
      <c r="C163">
        <v>24.742999999999999</v>
      </c>
      <c r="D163">
        <v>22.071999999999999</v>
      </c>
      <c r="E163">
        <v>22.65</v>
      </c>
      <c r="F163">
        <v>2867236.7420000001</v>
      </c>
      <c r="G163">
        <v>22.65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-0.56720329464620023</v>
      </c>
      <c r="Q163">
        <f t="shared" ref="Q163" si="791">F163*P163</f>
        <v>-1626306.1265930373</v>
      </c>
      <c r="R163">
        <f t="shared" ref="R163" si="792">R164+Q163</f>
        <v>153994593.37783828</v>
      </c>
      <c r="S163">
        <f t="shared" ref="S163" si="793">R163/100000</f>
        <v>1539.9459337783828</v>
      </c>
      <c r="T163">
        <f t="shared" ref="T163" si="794">S163/1000</f>
        <v>1.5399459337783827</v>
      </c>
    </row>
    <row r="164" spans="1:20" x14ac:dyDescent="0.25">
      <c r="A164" s="5">
        <v>44429</v>
      </c>
      <c r="B164">
        <v>18.922999999999998</v>
      </c>
      <c r="C164">
        <v>23.9</v>
      </c>
      <c r="D164">
        <v>18.530999999999999</v>
      </c>
      <c r="E164">
        <v>22.14</v>
      </c>
      <c r="F164">
        <v>10579242.294</v>
      </c>
      <c r="G164">
        <v>22.14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0.34438442913019257</v>
      </c>
      <c r="Q164">
        <f t="shared" ref="Q164" si="796">F164*P164</f>
        <v>3643326.3180491789</v>
      </c>
      <c r="R164">
        <f t="shared" ref="R164" si="797">R165+Q164</f>
        <v>155620899.50443131</v>
      </c>
      <c r="S164">
        <f t="shared" ref="S164" si="798">R164/100000</f>
        <v>1556.208995044313</v>
      </c>
      <c r="T164">
        <f t="shared" ref="T164" si="799">S164/1000</f>
        <v>1.556208995044313</v>
      </c>
    </row>
    <row r="165" spans="1:20" x14ac:dyDescent="0.25">
      <c r="A165" s="5">
        <v>44428</v>
      </c>
      <c r="B165">
        <v>18.71</v>
      </c>
      <c r="C165">
        <v>20</v>
      </c>
      <c r="D165">
        <v>18.361999999999998</v>
      </c>
      <c r="E165">
        <v>18.928000000000001</v>
      </c>
      <c r="F165">
        <v>4908239.4850000003</v>
      </c>
      <c r="G165">
        <v>18.928000000000001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-0.30891330891330659</v>
      </c>
      <c r="Q165">
        <f t="shared" ref="Q165" si="801">F165*P165</f>
        <v>-1516220.5002502939</v>
      </c>
      <c r="R165">
        <f t="shared" ref="R165" si="802">R166+Q165</f>
        <v>151977573.18638211</v>
      </c>
      <c r="S165">
        <f t="shared" ref="S165" si="803">R165/100000</f>
        <v>1519.7757318638212</v>
      </c>
      <c r="T165">
        <f t="shared" ref="T165" si="804">S165/1000</f>
        <v>1.5197757318638212</v>
      </c>
    </row>
    <row r="166" spans="1:20" x14ac:dyDescent="0.25">
      <c r="A166" s="5">
        <v>44427</v>
      </c>
      <c r="B166">
        <v>17.931999999999999</v>
      </c>
      <c r="C166">
        <v>20.434999999999999</v>
      </c>
      <c r="D166">
        <v>17.773</v>
      </c>
      <c r="E166">
        <v>18.687999999999999</v>
      </c>
      <c r="F166">
        <v>10416119.714</v>
      </c>
      <c r="G166">
        <v>18.687999999999999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-0.31254695717505676</v>
      </c>
      <c r="Q166">
        <f t="shared" ref="Q166" si="806">F166*P166</f>
        <v>-3255526.5221818225</v>
      </c>
      <c r="R166">
        <f t="shared" ref="R166" si="807">R167+Q166</f>
        <v>153493793.68663239</v>
      </c>
      <c r="S166">
        <f t="shared" ref="S166" si="808">R166/100000</f>
        <v>1534.937936866324</v>
      </c>
      <c r="T166">
        <f t="shared" ref="T166" si="809">S166/1000</f>
        <v>1.5349379368663241</v>
      </c>
    </row>
    <row r="167" spans="1:20" x14ac:dyDescent="0.25">
      <c r="A167" s="5">
        <v>44426</v>
      </c>
      <c r="B167">
        <v>16.007000000000001</v>
      </c>
      <c r="C167">
        <v>18.574999999999999</v>
      </c>
      <c r="D167">
        <v>14.984999999999999</v>
      </c>
      <c r="E167">
        <v>17.948</v>
      </c>
      <c r="F167">
        <v>6260641.8279999997</v>
      </c>
      <c r="G167">
        <v>17.948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0.65069637883008413</v>
      </c>
      <c r="Q167">
        <f t="shared" ref="Q167" si="811">F167*P167</f>
        <v>4073776.966631758</v>
      </c>
      <c r="R167">
        <f t="shared" ref="R167" si="812">R168+Q167</f>
        <v>156749320.2088142</v>
      </c>
      <c r="S167">
        <f t="shared" ref="S167" si="813">R167/100000</f>
        <v>1567.493202088142</v>
      </c>
      <c r="T167">
        <f t="shared" ref="T167" si="814">S167/1000</f>
        <v>1.567493202088142</v>
      </c>
    </row>
    <row r="168" spans="1:20" x14ac:dyDescent="0.25">
      <c r="A168" s="5">
        <v>44425</v>
      </c>
      <c r="B168">
        <v>15.786</v>
      </c>
      <c r="C168">
        <v>17.5</v>
      </c>
      <c r="D168">
        <v>15.048999999999999</v>
      </c>
      <c r="E168">
        <v>16.003</v>
      </c>
      <c r="F168">
        <v>5723341.2529999996</v>
      </c>
      <c r="G168">
        <v>16.003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-0.22154222766217835</v>
      </c>
      <c r="Q168">
        <f t="shared" ref="Q168" si="816">F168*P168</f>
        <v>-1267961.7708604629</v>
      </c>
      <c r="R168">
        <f t="shared" ref="R168" si="817">R169+Q168</f>
        <v>152675543.24218243</v>
      </c>
      <c r="S168">
        <f t="shared" ref="S168" si="818">R168/100000</f>
        <v>1526.7554324218243</v>
      </c>
      <c r="T168">
        <f t="shared" ref="T168" si="819">S168/1000</f>
        <v>1.5267554324218242</v>
      </c>
    </row>
    <row r="169" spans="1:20" x14ac:dyDescent="0.25">
      <c r="A169" s="5">
        <v>44424</v>
      </c>
      <c r="B169">
        <v>15.912000000000001</v>
      </c>
      <c r="C169">
        <v>16.687999999999999</v>
      </c>
      <c r="D169">
        <v>15.49</v>
      </c>
      <c r="E169">
        <v>15.784000000000001</v>
      </c>
      <c r="F169">
        <v>3248584.6150000002</v>
      </c>
      <c r="G169">
        <v>15.784000000000001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-0.50918196994991516</v>
      </c>
      <c r="Q169">
        <f t="shared" ref="Q169" si="821">F169*P169</f>
        <v>-1654120.7138146868</v>
      </c>
      <c r="R169">
        <f t="shared" ref="R169" si="822">R170+Q169</f>
        <v>153943505.0130429</v>
      </c>
      <c r="S169">
        <f t="shared" ref="S169" si="823">R169/100000</f>
        <v>1539.4350501304289</v>
      </c>
      <c r="T169">
        <f t="shared" ref="T169" si="824">S169/1000</f>
        <v>1.5394350501304288</v>
      </c>
    </row>
    <row r="170" spans="1:20" x14ac:dyDescent="0.25">
      <c r="A170" s="5">
        <v>44423</v>
      </c>
      <c r="B170">
        <v>15.56</v>
      </c>
      <c r="C170">
        <v>15.955</v>
      </c>
      <c r="D170">
        <v>14.874000000000001</v>
      </c>
      <c r="E170">
        <v>15.91</v>
      </c>
      <c r="F170">
        <v>2206784.932</v>
      </c>
      <c r="G170">
        <v>15.91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0.91674375578168377</v>
      </c>
      <c r="Q170">
        <f t="shared" ref="Q170" si="826">F170*P170</f>
        <v>2023056.3067641077</v>
      </c>
      <c r="R170">
        <f t="shared" ref="R170" si="827">R171+Q170</f>
        <v>155597625.72685757</v>
      </c>
      <c r="S170">
        <f t="shared" ref="S170" si="828">R170/100000</f>
        <v>1555.9762572685756</v>
      </c>
      <c r="T170">
        <f t="shared" ref="T170" si="829">S170/1000</f>
        <v>1.5559762572685756</v>
      </c>
    </row>
    <row r="171" spans="1:20" x14ac:dyDescent="0.25">
      <c r="A171" s="5">
        <v>44422</v>
      </c>
      <c r="B171">
        <v>15.21</v>
      </c>
      <c r="C171">
        <v>15.773999999999999</v>
      </c>
      <c r="D171">
        <v>14.686</v>
      </c>
      <c r="E171">
        <v>15.56</v>
      </c>
      <c r="F171">
        <v>2858273.76</v>
      </c>
      <c r="G171">
        <v>15.56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0.6066176470588257</v>
      </c>
      <c r="Q171">
        <f t="shared" ref="Q171" si="831">F171*P171</f>
        <v>1733879.3029411826</v>
      </c>
      <c r="R171">
        <f t="shared" ref="R171" si="832">R172+Q171</f>
        <v>153574569.42009348</v>
      </c>
      <c r="S171">
        <f t="shared" ref="S171" si="833">R171/100000</f>
        <v>1535.7456942009348</v>
      </c>
      <c r="T171">
        <f t="shared" ref="T171" si="834">S171/1000</f>
        <v>1.5357456942009349</v>
      </c>
    </row>
    <row r="172" spans="1:20" x14ac:dyDescent="0.25">
      <c r="A172" s="5">
        <v>44421</v>
      </c>
      <c r="B172">
        <v>14.063000000000001</v>
      </c>
      <c r="C172">
        <v>15.339</v>
      </c>
      <c r="D172">
        <v>13.859</v>
      </c>
      <c r="E172">
        <v>15.212</v>
      </c>
      <c r="F172">
        <v>2024505.1640000001</v>
      </c>
      <c r="G172">
        <v>15.212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0.82837837837837758</v>
      </c>
      <c r="Q172">
        <f t="shared" ref="Q172" si="836">F172*P172</f>
        <v>1677056.3047729714</v>
      </c>
      <c r="R172">
        <f t="shared" ref="R172" si="837">R173+Q172</f>
        <v>151840690.1171523</v>
      </c>
      <c r="S172">
        <f t="shared" ref="S172" si="838">R172/100000</f>
        <v>1518.406901171523</v>
      </c>
      <c r="T172">
        <f t="shared" ref="T172" si="839">S172/1000</f>
        <v>1.5184069011715231</v>
      </c>
    </row>
    <row r="173" spans="1:20" x14ac:dyDescent="0.25">
      <c r="A173" s="5">
        <v>44420</v>
      </c>
      <c r="B173">
        <v>14.552</v>
      </c>
      <c r="C173">
        <v>15.196</v>
      </c>
      <c r="D173">
        <v>13.547000000000001</v>
      </c>
      <c r="E173">
        <v>14.06</v>
      </c>
      <c r="F173">
        <v>2350142.1800000002</v>
      </c>
      <c r="G173">
        <v>14.06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-0.37780473013947824</v>
      </c>
      <c r="Q173">
        <f t="shared" ref="Q173" si="841">F173*P173</f>
        <v>-887894.83210430515</v>
      </c>
      <c r="R173">
        <f t="shared" ref="R173" si="842">R174+Q173</f>
        <v>150163633.81237933</v>
      </c>
      <c r="S173">
        <f t="shared" ref="S173" si="843">R173/100000</f>
        <v>1501.6363381237934</v>
      </c>
      <c r="T173">
        <f t="shared" ref="T173" si="844">S173/1000</f>
        <v>1.5016363381237934</v>
      </c>
    </row>
    <row r="174" spans="1:20" x14ac:dyDescent="0.25">
      <c r="A174" s="5">
        <v>44419</v>
      </c>
      <c r="B174">
        <v>14.101000000000001</v>
      </c>
      <c r="C174">
        <v>15.456</v>
      </c>
      <c r="D174">
        <v>14.086</v>
      </c>
      <c r="E174">
        <v>14.558</v>
      </c>
      <c r="F174">
        <v>3354231.068</v>
      </c>
      <c r="G174">
        <v>14.558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-0.31094890510948936</v>
      </c>
      <c r="Q174">
        <f t="shared" ref="Q174" si="846">F174*P174</f>
        <v>-1042994.4780788332</v>
      </c>
      <c r="R174">
        <f t="shared" ref="R174" si="847">R175+Q174</f>
        <v>151051528.64448363</v>
      </c>
      <c r="S174">
        <f t="shared" ref="S174" si="848">R174/100000</f>
        <v>1510.5152864448362</v>
      </c>
      <c r="T174">
        <f t="shared" ref="T174" si="849">S174/1000</f>
        <v>1.5105152864448361</v>
      </c>
    </row>
    <row r="175" spans="1:20" x14ac:dyDescent="0.25">
      <c r="A175" s="5">
        <v>44418</v>
      </c>
      <c r="B175">
        <v>13.645</v>
      </c>
      <c r="C175">
        <v>14.4</v>
      </c>
      <c r="D175">
        <v>13.398</v>
      </c>
      <c r="E175">
        <v>14.105</v>
      </c>
      <c r="F175">
        <v>2270345.591</v>
      </c>
      <c r="G175">
        <v>14.105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0.41117764471057938</v>
      </c>
      <c r="Q175">
        <f t="shared" ref="Q175" si="851">F175*P175</f>
        <v>933515.35278642841</v>
      </c>
      <c r="R175">
        <f t="shared" ref="R175" si="852">R176+Q175</f>
        <v>152094523.12256247</v>
      </c>
      <c r="S175">
        <f t="shared" ref="S175" si="853">R175/100000</f>
        <v>1520.9452312256246</v>
      </c>
      <c r="T175">
        <f t="shared" ref="T175" si="854">S175/1000</f>
        <v>1.5209452312256246</v>
      </c>
    </row>
    <row r="176" spans="1:20" x14ac:dyDescent="0.25">
      <c r="A176" s="5">
        <v>44417</v>
      </c>
      <c r="B176">
        <v>13.14</v>
      </c>
      <c r="C176">
        <v>14.1</v>
      </c>
      <c r="D176">
        <v>12.653</v>
      </c>
      <c r="E176">
        <v>13.651</v>
      </c>
      <c r="F176">
        <v>2347469.523</v>
      </c>
      <c r="G176">
        <v>13.651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0.3794056668970282</v>
      </c>
      <c r="Q176">
        <f t="shared" ref="Q176" si="856">F176*P176</f>
        <v>890643.23989426368</v>
      </c>
      <c r="R176">
        <f t="shared" ref="R176" si="857">R177+Q176</f>
        <v>151161007.76977605</v>
      </c>
      <c r="S176">
        <f t="shared" ref="S176" si="858">R176/100000</f>
        <v>1511.6100776977605</v>
      </c>
      <c r="T176">
        <f t="shared" ref="T176" si="859">S176/1000</f>
        <v>1.5116100776977606</v>
      </c>
    </row>
    <row r="177" spans="1:20" x14ac:dyDescent="0.25">
      <c r="A177" s="5">
        <v>44416</v>
      </c>
      <c r="B177">
        <v>14.012</v>
      </c>
      <c r="C177">
        <v>14.24</v>
      </c>
      <c r="D177">
        <v>13.01</v>
      </c>
      <c r="E177">
        <v>13.138999999999999</v>
      </c>
      <c r="F177">
        <v>1977499.6270000001</v>
      </c>
      <c r="G177">
        <v>13.138999999999999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-0.7902439024390252</v>
      </c>
      <c r="Q177">
        <f t="shared" ref="Q177" si="861">F177*P177</f>
        <v>-1562707.0223121969</v>
      </c>
      <c r="R177">
        <f t="shared" ref="R177" si="862">R178+Q177</f>
        <v>150270364.52988178</v>
      </c>
      <c r="S177">
        <f t="shared" ref="S177" si="863">R177/100000</f>
        <v>1502.7036452988177</v>
      </c>
      <c r="T177">
        <f t="shared" ref="T177" si="864">S177/1000</f>
        <v>1.5027036452988176</v>
      </c>
    </row>
    <row r="178" spans="1:20" x14ac:dyDescent="0.25">
      <c r="A178" s="5">
        <v>44415</v>
      </c>
      <c r="B178">
        <v>13.603</v>
      </c>
      <c r="C178">
        <v>14.356</v>
      </c>
      <c r="D178">
        <v>13.443</v>
      </c>
      <c r="E178">
        <v>14.006</v>
      </c>
      <c r="F178">
        <v>2793759.6609999998</v>
      </c>
      <c r="G178">
        <v>14.006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0.23329682365827042</v>
      </c>
      <c r="Q178">
        <f t="shared" ref="Q178" si="866">F178*P178</f>
        <v>651775.25497590634</v>
      </c>
      <c r="R178">
        <f t="shared" ref="R178" si="867">R179+Q178</f>
        <v>151833071.55219397</v>
      </c>
      <c r="S178">
        <f t="shared" ref="S178" si="868">R178/100000</f>
        <v>1518.3307155219397</v>
      </c>
      <c r="T178">
        <f t="shared" ref="T178" si="869">S178/1000</f>
        <v>1.5183307155219397</v>
      </c>
    </row>
    <row r="179" spans="1:20" x14ac:dyDescent="0.25">
      <c r="A179" s="5">
        <v>44414</v>
      </c>
      <c r="B179">
        <v>13.034000000000001</v>
      </c>
      <c r="C179">
        <v>14.031000000000001</v>
      </c>
      <c r="D179">
        <v>12.724</v>
      </c>
      <c r="E179">
        <v>13.589</v>
      </c>
      <c r="F179">
        <v>2506091.693</v>
      </c>
      <c r="G179">
        <v>13.589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0.32364192807957148</v>
      </c>
      <c r="Q179">
        <f t="shared" ref="Q179" si="871">F179*P179</f>
        <v>811076.34746671747</v>
      </c>
      <c r="R179">
        <f t="shared" ref="R179" si="872">R180+Q179</f>
        <v>151181296.29721805</v>
      </c>
      <c r="S179">
        <f t="shared" ref="S179" si="873">R179/100000</f>
        <v>1511.8129629721805</v>
      </c>
      <c r="T179">
        <f t="shared" ref="T179" si="874">S179/1000</f>
        <v>1.5118129629721804</v>
      </c>
    </row>
    <row r="180" spans="1:20" x14ac:dyDescent="0.25">
      <c r="A180" s="5">
        <v>44413</v>
      </c>
      <c r="B180">
        <v>12.813000000000001</v>
      </c>
      <c r="C180">
        <v>13.236000000000001</v>
      </c>
      <c r="D180">
        <v>12.404999999999999</v>
      </c>
      <c r="E180">
        <v>13.032</v>
      </c>
      <c r="F180">
        <v>1861784.2949999999</v>
      </c>
      <c r="G180">
        <v>13.032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0.50902527075812198</v>
      </c>
      <c r="Q180">
        <f t="shared" ref="Q180" si="876">F180*P180</f>
        <v>947695.25485559425</v>
      </c>
      <c r="R180">
        <f t="shared" ref="R180" si="877">R181+Q180</f>
        <v>150370219.94975135</v>
      </c>
      <c r="S180">
        <f t="shared" ref="S180" si="878">R180/100000</f>
        <v>1503.7021994975134</v>
      </c>
      <c r="T180">
        <f t="shared" ref="T180" si="879">S180/1000</f>
        <v>1.5037021994975135</v>
      </c>
    </row>
    <row r="181" spans="1:20" x14ac:dyDescent="0.25">
      <c r="A181" s="5">
        <v>44412</v>
      </c>
      <c r="B181">
        <v>12.128</v>
      </c>
      <c r="C181">
        <v>12.916</v>
      </c>
      <c r="D181">
        <v>11.955</v>
      </c>
      <c r="E181">
        <v>12.808</v>
      </c>
      <c r="F181">
        <v>1588393.44</v>
      </c>
      <c r="G181">
        <v>12.808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0.77523413111342243</v>
      </c>
      <c r="Q181">
        <f t="shared" ref="Q181" si="881">F181*P181</f>
        <v>1231376.8083246599</v>
      </c>
      <c r="R181">
        <f t="shared" ref="R181" si="882">R182+Q181</f>
        <v>149422524.69489574</v>
      </c>
      <c r="S181">
        <f t="shared" ref="S181" si="883">R181/100000</f>
        <v>1494.2252469489574</v>
      </c>
      <c r="T181">
        <f t="shared" ref="T181" si="884">S181/1000</f>
        <v>1.4942252469489574</v>
      </c>
    </row>
    <row r="182" spans="1:20" x14ac:dyDescent="0.25">
      <c r="A182" s="5">
        <v>44411</v>
      </c>
      <c r="B182">
        <v>12.476000000000001</v>
      </c>
      <c r="C182">
        <v>12.657999999999999</v>
      </c>
      <c r="D182">
        <v>11.731</v>
      </c>
      <c r="E182">
        <v>12.12</v>
      </c>
      <c r="F182">
        <v>1690276.524</v>
      </c>
      <c r="G182">
        <v>12.12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-0.1607335490830647</v>
      </c>
      <c r="Q182">
        <f t="shared" ref="Q182" si="886">F182*P182</f>
        <v>-271684.14463430597</v>
      </c>
      <c r="R182">
        <f t="shared" ref="R182" si="887">R183+Q182</f>
        <v>148191147.88657108</v>
      </c>
      <c r="S182">
        <f t="shared" ref="S182" si="888">R182/100000</f>
        <v>1481.9114788657107</v>
      </c>
      <c r="T182">
        <f t="shared" ref="T182" si="889">S182/1000</f>
        <v>1.4819114788657106</v>
      </c>
    </row>
    <row r="183" spans="1:20" x14ac:dyDescent="0.25">
      <c r="A183" s="5">
        <v>44410</v>
      </c>
      <c r="B183">
        <v>12.319000000000001</v>
      </c>
      <c r="C183">
        <v>12.760999999999999</v>
      </c>
      <c r="D183">
        <v>12.098000000000001</v>
      </c>
      <c r="E183">
        <v>12.476000000000001</v>
      </c>
      <c r="F183">
        <v>1609394.9709999999</v>
      </c>
      <c r="G183">
        <v>12.476000000000001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0.14027149321267265</v>
      </c>
      <c r="Q183">
        <f t="shared" ref="Q183" si="891">F183*P183</f>
        <v>225752.235751136</v>
      </c>
      <c r="R183">
        <f t="shared" ref="R183" si="892">R184+Q183</f>
        <v>148462832.03120539</v>
      </c>
      <c r="S183">
        <f t="shared" ref="S183" si="893">R183/100000</f>
        <v>1484.6283203120538</v>
      </c>
      <c r="T183">
        <f t="shared" ref="T183" si="894">S183/1000</f>
        <v>1.4846283203120538</v>
      </c>
    </row>
    <row r="184" spans="1:20" x14ac:dyDescent="0.25">
      <c r="A184" s="5">
        <v>44409</v>
      </c>
      <c r="B184">
        <v>12.6</v>
      </c>
      <c r="C184">
        <v>13.444000000000001</v>
      </c>
      <c r="D184">
        <v>12.12</v>
      </c>
      <c r="E184">
        <v>12.311999999999999</v>
      </c>
      <c r="F184">
        <v>2910237.415</v>
      </c>
      <c r="G184">
        <v>12.311999999999999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-0.70996978851963755</v>
      </c>
      <c r="Q184">
        <f t="shared" ref="Q184" si="896">F184*P184</f>
        <v>-2066180.6420694867</v>
      </c>
      <c r="R184">
        <f t="shared" ref="R184" si="897">R185+Q184</f>
        <v>148237079.79545426</v>
      </c>
      <c r="S184">
        <f t="shared" ref="S184" si="898">R184/100000</f>
        <v>1482.3707979545427</v>
      </c>
      <c r="T184">
        <f t="shared" ref="T184" si="899">S184/1000</f>
        <v>1.4823707979545426</v>
      </c>
    </row>
    <row r="185" spans="1:20" x14ac:dyDescent="0.25">
      <c r="A185" s="5">
        <v>44408</v>
      </c>
      <c r="B185">
        <v>12.122999999999999</v>
      </c>
      <c r="C185">
        <v>12.935</v>
      </c>
      <c r="D185">
        <v>11.878</v>
      </c>
      <c r="E185">
        <v>12.598000000000001</v>
      </c>
      <c r="F185">
        <v>2699186.7519999999</v>
      </c>
      <c r="G185">
        <v>12.598000000000001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0.36234626300851536</v>
      </c>
      <c r="Q185">
        <f t="shared" ref="Q185" si="901">F185*P185</f>
        <v>978040.23274929228</v>
      </c>
      <c r="R185">
        <f t="shared" ref="R185" si="902">R186+Q185</f>
        <v>150303260.43752375</v>
      </c>
      <c r="S185">
        <f t="shared" ref="S185" si="903">R185/100000</f>
        <v>1503.0326043752375</v>
      </c>
      <c r="T185">
        <f t="shared" ref="T185" si="904">S185/1000</f>
        <v>1.5030326043752376</v>
      </c>
    </row>
    <row r="186" spans="1:20" x14ac:dyDescent="0.25">
      <c r="A186" s="5">
        <v>44407</v>
      </c>
      <c r="B186">
        <v>11.798999999999999</v>
      </c>
      <c r="C186">
        <v>12.188000000000001</v>
      </c>
      <c r="D186">
        <v>11.428000000000001</v>
      </c>
      <c r="E186">
        <v>12.14</v>
      </c>
      <c r="F186">
        <v>2536788.4079999998</v>
      </c>
      <c r="G186">
        <v>12.14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0.87368421052631562</v>
      </c>
      <c r="Q186">
        <f t="shared" ref="Q186" si="906">F186*P186</f>
        <v>2216351.9775157887</v>
      </c>
      <c r="R186">
        <f t="shared" ref="R186" si="907">R187+Q186</f>
        <v>149325220.20477447</v>
      </c>
      <c r="S186">
        <f t="shared" ref="S186" si="908">R186/100000</f>
        <v>1493.2522020477447</v>
      </c>
      <c r="T186">
        <f t="shared" ref="T186" si="909">S186/1000</f>
        <v>1.4932522020477448</v>
      </c>
    </row>
    <row r="187" spans="1:20" x14ac:dyDescent="0.25">
      <c r="A187" s="5">
        <v>44406</v>
      </c>
      <c r="B187">
        <v>11.590999999999999</v>
      </c>
      <c r="C187">
        <v>11.898</v>
      </c>
      <c r="D187">
        <v>11.311</v>
      </c>
      <c r="E187">
        <v>11.798999999999999</v>
      </c>
      <c r="F187">
        <v>2331117.2740000002</v>
      </c>
      <c r="G187">
        <v>11.798999999999999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0.66269165247018658</v>
      </c>
      <c r="Q187">
        <f t="shared" ref="Q187" si="911">F187*P187</f>
        <v>1544811.9584088568</v>
      </c>
      <c r="R187">
        <f t="shared" ref="R187" si="912">R188+Q187</f>
        <v>147108868.22725868</v>
      </c>
      <c r="S187">
        <f t="shared" ref="S187" si="913">R187/100000</f>
        <v>1471.0886822725868</v>
      </c>
      <c r="T187">
        <f t="shared" ref="T187" si="914">S187/1000</f>
        <v>1.4710886822725868</v>
      </c>
    </row>
    <row r="188" spans="1:20" x14ac:dyDescent="0.25">
      <c r="A188" s="5">
        <v>44405</v>
      </c>
      <c r="B188">
        <v>11.696999999999999</v>
      </c>
      <c r="C188">
        <v>11.968999999999999</v>
      </c>
      <c r="D188">
        <v>11.374000000000001</v>
      </c>
      <c r="E188">
        <v>11.589</v>
      </c>
      <c r="F188">
        <v>2338200.3739999998</v>
      </c>
      <c r="G188">
        <v>11.589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-0.27731092436974697</v>
      </c>
      <c r="Q188">
        <f t="shared" ref="Q188" si="916">F188*P188</f>
        <v>-648408.50707562803</v>
      </c>
      <c r="R188">
        <f t="shared" ref="R188" si="917">R189+Q188</f>
        <v>145564056.26884982</v>
      </c>
      <c r="S188">
        <f t="shared" ref="S188" si="918">R188/100000</f>
        <v>1455.6405626884982</v>
      </c>
      <c r="T188">
        <f t="shared" ref="T188" si="919">S188/1000</f>
        <v>1.4556405626884983</v>
      </c>
    </row>
    <row r="189" spans="1:20" x14ac:dyDescent="0.25">
      <c r="A189" s="5">
        <v>44404</v>
      </c>
      <c r="B189">
        <v>11.38</v>
      </c>
      <c r="C189">
        <v>11.805999999999999</v>
      </c>
      <c r="D189">
        <v>11.02</v>
      </c>
      <c r="E189">
        <v>11.702</v>
      </c>
      <c r="F189">
        <v>2540028.7850000001</v>
      </c>
      <c r="G189">
        <v>11.702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0.7353689567430044</v>
      </c>
      <c r="Q189">
        <f t="shared" ref="Q189" si="921">F189*P189</f>
        <v>1867858.3177226512</v>
      </c>
      <c r="R189">
        <f t="shared" ref="R189" si="922">R190+Q189</f>
        <v>146212464.77592546</v>
      </c>
      <c r="S189">
        <f t="shared" ref="S189" si="923">R189/100000</f>
        <v>1462.1246477592547</v>
      </c>
      <c r="T189">
        <f t="shared" ref="T189" si="924">S189/1000</f>
        <v>1.4621246477592547</v>
      </c>
    </row>
    <row r="190" spans="1:20" x14ac:dyDescent="0.25">
      <c r="A190" s="5">
        <v>44403</v>
      </c>
      <c r="B190">
        <v>11.442</v>
      </c>
      <c r="C190">
        <v>12.449</v>
      </c>
      <c r="D190">
        <v>11.31</v>
      </c>
      <c r="E190">
        <v>11.385999999999999</v>
      </c>
      <c r="F190">
        <v>4237240.5329999998</v>
      </c>
      <c r="G190">
        <v>11.385999999999999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-0.86654960491659561</v>
      </c>
      <c r="Q190">
        <f t="shared" ref="Q190" si="926">F190*P190</f>
        <v>-3671779.1098077348</v>
      </c>
      <c r="R190">
        <f t="shared" ref="R190" si="927">R191+Q190</f>
        <v>144344606.45820281</v>
      </c>
      <c r="S190">
        <f t="shared" ref="S190" si="928">R190/100000</f>
        <v>1443.4460645820282</v>
      </c>
      <c r="T190">
        <f t="shared" ref="T190" si="929">S190/1000</f>
        <v>1.4434460645820282</v>
      </c>
    </row>
    <row r="191" spans="1:20" x14ac:dyDescent="0.25">
      <c r="A191" s="5">
        <v>44402</v>
      </c>
      <c r="B191">
        <v>11.428000000000001</v>
      </c>
      <c r="C191">
        <v>11.621</v>
      </c>
      <c r="D191">
        <v>10.967000000000001</v>
      </c>
      <c r="E191">
        <v>11.446</v>
      </c>
      <c r="F191">
        <v>1487311.25</v>
      </c>
      <c r="G191">
        <v>11.446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0.4648318042813433</v>
      </c>
      <c r="Q191">
        <f t="shared" ref="Q191" si="931">F191*P191</f>
        <v>691349.57186544</v>
      </c>
      <c r="R191">
        <f t="shared" ref="R191" si="932">R192+Q191</f>
        <v>148016385.56801054</v>
      </c>
      <c r="S191">
        <f t="shared" ref="S191" si="933">R191/100000</f>
        <v>1480.1638556801054</v>
      </c>
      <c r="T191">
        <f t="shared" ref="T191:T197" si="934">S191/1000</f>
        <v>1.4801638556801053</v>
      </c>
    </row>
    <row r="192" spans="1:20" x14ac:dyDescent="0.25">
      <c r="A192" s="5">
        <v>44401</v>
      </c>
      <c r="B192">
        <v>11.449</v>
      </c>
      <c r="C192">
        <v>11.766999999999999</v>
      </c>
      <c r="D192">
        <v>11.058999999999999</v>
      </c>
      <c r="E192">
        <v>11.426</v>
      </c>
      <c r="F192">
        <v>2445170.2769999998</v>
      </c>
      <c r="G192">
        <v>11.426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3.6723163841810125E-2</v>
      </c>
      <c r="Q192">
        <f t="shared" ref="Q192" si="936">F192*P192</f>
        <v>89794.388703395234</v>
      </c>
      <c r="R192">
        <f t="shared" ref="R192" si="937">R193+Q192</f>
        <v>147325035.9961451</v>
      </c>
      <c r="S192">
        <f t="shared" ref="S192" si="938">R192/100000</f>
        <v>1473.2503599614511</v>
      </c>
      <c r="T192">
        <f t="shared" si="934"/>
        <v>1.473250359961451</v>
      </c>
    </row>
    <row r="193" spans="1:20" x14ac:dyDescent="0.25">
      <c r="A193" s="5">
        <v>44400</v>
      </c>
      <c r="B193">
        <v>11.378</v>
      </c>
      <c r="C193">
        <v>11.548999999999999</v>
      </c>
      <c r="D193">
        <v>10.677</v>
      </c>
      <c r="E193">
        <v>11.442</v>
      </c>
      <c r="F193">
        <v>2593122.7540000002</v>
      </c>
      <c r="G193">
        <v>11.442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0.75458715596330428</v>
      </c>
      <c r="Q193">
        <f t="shared" ref="Q193" si="940">F193*P193</f>
        <v>1956737.1240045913</v>
      </c>
      <c r="R193">
        <f t="shared" ref="R193" si="941">R194+Q193</f>
        <v>147235241.60744169</v>
      </c>
      <c r="S193">
        <f t="shared" ref="S193" si="942">R193/100000</f>
        <v>1472.3524160744169</v>
      </c>
      <c r="T193">
        <f t="shared" si="934"/>
        <v>1.4723524160744168</v>
      </c>
    </row>
    <row r="194" spans="1:20" x14ac:dyDescent="0.25">
      <c r="A194" s="5">
        <v>44399</v>
      </c>
      <c r="B194">
        <v>10.476000000000001</v>
      </c>
      <c r="C194">
        <v>11.62</v>
      </c>
      <c r="D194">
        <v>10.178000000000001</v>
      </c>
      <c r="E194">
        <v>11.377000000000001</v>
      </c>
      <c r="F194">
        <v>3075216.5830000001</v>
      </c>
      <c r="G194">
        <v>11.377000000000001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0.66296809986130534</v>
      </c>
      <c r="Q194">
        <f t="shared" ref="Q194" si="944">F194*P194</f>
        <v>2038770.4946934863</v>
      </c>
      <c r="R194">
        <f t="shared" ref="R194" si="945">R195+Q194</f>
        <v>145278504.48343709</v>
      </c>
      <c r="S194">
        <f t="shared" ref="S194" si="946">R194/100000</f>
        <v>1452.7850448343709</v>
      </c>
      <c r="T194">
        <f t="shared" si="934"/>
        <v>1.4527850448343709</v>
      </c>
    </row>
    <row r="195" spans="1:20" x14ac:dyDescent="0.25">
      <c r="A195" s="5">
        <v>44398</v>
      </c>
      <c r="B195">
        <v>9.4489999999999998</v>
      </c>
      <c r="C195">
        <v>10.701000000000001</v>
      </c>
      <c r="D195">
        <v>9.1349999999999998</v>
      </c>
      <c r="E195">
        <v>10.481</v>
      </c>
      <c r="F195">
        <v>3144385.977</v>
      </c>
      <c r="G195">
        <v>10.481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0.71902937420178736</v>
      </c>
      <c r="Q195">
        <f t="shared" ref="Q195" si="948">F195*P195</f>
        <v>2260905.8812911855</v>
      </c>
      <c r="R195">
        <f t="shared" ref="R195" si="949">R196+Q195</f>
        <v>143239733.9887436</v>
      </c>
      <c r="S195">
        <f t="shared" ref="S195" si="950">R195/100000</f>
        <v>1432.3973398874359</v>
      </c>
      <c r="T195">
        <f t="shared" si="934"/>
        <v>1.4323973398874359</v>
      </c>
    </row>
    <row r="196" spans="1:20" x14ac:dyDescent="0.25">
      <c r="A196" s="5">
        <v>44397</v>
      </c>
      <c r="B196">
        <v>9.984</v>
      </c>
      <c r="C196">
        <v>10.166</v>
      </c>
      <c r="D196">
        <v>8.93</v>
      </c>
      <c r="E196">
        <v>9.4429999999999996</v>
      </c>
      <c r="F196">
        <v>3334771.5269999998</v>
      </c>
      <c r="G196">
        <v>9.4429999999999996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-0.16990291262135981</v>
      </c>
      <c r="Q196">
        <f t="shared" ref="Q196" si="952">F196*P196</f>
        <v>-566587.39536407962</v>
      </c>
      <c r="R196">
        <f t="shared" ref="R196" si="953">R197+Q196</f>
        <v>140978828.10745242</v>
      </c>
      <c r="S196">
        <f t="shared" ref="S196" si="954">R196/100000</f>
        <v>1409.7882810745243</v>
      </c>
      <c r="T196">
        <f t="shared" si="934"/>
        <v>1.4097882810745244</v>
      </c>
    </row>
    <row r="197" spans="1:20" x14ac:dyDescent="0.25">
      <c r="A197" s="5">
        <v>44396</v>
      </c>
      <c r="B197">
        <v>10.981</v>
      </c>
      <c r="C197">
        <v>11.07</v>
      </c>
      <c r="D197">
        <v>9.923</v>
      </c>
      <c r="E197">
        <v>9.98</v>
      </c>
      <c r="F197">
        <v>2460342.9810000001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-0.90061028770706131</v>
      </c>
      <c r="Q197">
        <f t="shared" ref="Q197" si="956">F197*P197</f>
        <v>-2215810.1999764591</v>
      </c>
      <c r="R197">
        <f t="shared" ref="R197" si="957">R198+Q197</f>
        <v>141545415.5028165</v>
      </c>
      <c r="S197">
        <f t="shared" ref="S197" si="958">R197/100000</f>
        <v>1415.4541550281649</v>
      </c>
      <c r="T197">
        <f t="shared" si="934"/>
        <v>1.415454155028165</v>
      </c>
    </row>
    <row r="198" spans="1:20" x14ac:dyDescent="0.25">
      <c r="A198" s="5">
        <v>44395</v>
      </c>
      <c r="B198">
        <v>11.02</v>
      </c>
      <c r="C198">
        <v>11.557</v>
      </c>
      <c r="D198">
        <v>10.737</v>
      </c>
      <c r="E198">
        <v>10.972</v>
      </c>
      <c r="F198">
        <v>2459958.639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-0.42682926829268453</v>
      </c>
      <c r="Q198">
        <f t="shared" ref="Q198:Q261" si="960">F198*P198</f>
        <v>-1049982.3459146381</v>
      </c>
      <c r="R198">
        <f t="shared" ref="R198:R261" si="961">R199+Q198</f>
        <v>143761225.70279297</v>
      </c>
      <c r="S198">
        <f t="shared" ref="S198:S261" si="962">R198/100000</f>
        <v>1437.6122570279297</v>
      </c>
      <c r="T198">
        <f t="shared" ref="T198:T261" si="963">S198/1000</f>
        <v>1.4376122570279297</v>
      </c>
    </row>
    <row r="199" spans="1:20" x14ac:dyDescent="0.25">
      <c r="A199" s="5">
        <v>44394</v>
      </c>
      <c r="B199">
        <v>11.148999999999999</v>
      </c>
      <c r="C199">
        <v>11.507999999999999</v>
      </c>
      <c r="D199">
        <v>10.712999999999999</v>
      </c>
      <c r="E199">
        <v>11.022</v>
      </c>
      <c r="F199">
        <v>4463621.2180000003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-0.22264150943395955</v>
      </c>
      <c r="Q199">
        <f t="shared" si="960"/>
        <v>-993787.36551696912</v>
      </c>
      <c r="R199">
        <f t="shared" si="961"/>
        <v>144811208.0487076</v>
      </c>
      <c r="S199">
        <f t="shared" si="962"/>
        <v>1448.1120804870761</v>
      </c>
      <c r="T199">
        <f t="shared" si="963"/>
        <v>1.4481120804870762</v>
      </c>
    </row>
    <row r="200" spans="1:20" x14ac:dyDescent="0.25">
      <c r="A200" s="5">
        <v>44393</v>
      </c>
      <c r="B200">
        <v>11.468</v>
      </c>
      <c r="C200">
        <v>13.19</v>
      </c>
      <c r="D200">
        <v>10.976000000000001</v>
      </c>
      <c r="E200">
        <v>11.148999999999999</v>
      </c>
      <c r="F200">
        <v>7049125.7570000002</v>
      </c>
      <c r="G200">
        <v>0</v>
      </c>
      <c r="L200" t="s">
        <v>8</v>
      </c>
      <c r="M200" t="s">
        <v>8</v>
      </c>
      <c r="N200" t="s">
        <v>7</v>
      </c>
      <c r="P200">
        <f t="shared" si="959"/>
        <v>-0.84372177055104036</v>
      </c>
      <c r="Q200">
        <f t="shared" si="960"/>
        <v>-5947500.8645329829</v>
      </c>
      <c r="R200">
        <f t="shared" si="961"/>
        <v>145804995.41422457</v>
      </c>
      <c r="S200">
        <f t="shared" si="962"/>
        <v>1458.0499541422457</v>
      </c>
      <c r="T200">
        <f t="shared" si="963"/>
        <v>1.4580499541422458</v>
      </c>
    </row>
    <row r="201" spans="1:20" x14ac:dyDescent="0.25">
      <c r="A201" s="5">
        <v>44392</v>
      </c>
      <c r="B201">
        <v>11.749000000000001</v>
      </c>
      <c r="C201">
        <v>12.065</v>
      </c>
      <c r="D201">
        <v>10.653</v>
      </c>
      <c r="E201">
        <v>11.474</v>
      </c>
      <c r="F201">
        <v>2879500.503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0.16288951841359814</v>
      </c>
      <c r="Q201">
        <f t="shared" si="960"/>
        <v>469040.45020538359</v>
      </c>
      <c r="R201">
        <f t="shared" si="961"/>
        <v>151752496.27875754</v>
      </c>
      <c r="S201">
        <f t="shared" si="962"/>
        <v>1517.5249627875755</v>
      </c>
      <c r="T201">
        <f t="shared" si="963"/>
        <v>1.5175249627875755</v>
      </c>
    </row>
    <row r="202" spans="1:20" x14ac:dyDescent="0.25">
      <c r="A202" s="5">
        <v>44391</v>
      </c>
      <c r="B202">
        <v>12.087</v>
      </c>
      <c r="C202">
        <v>12.231</v>
      </c>
      <c r="D202">
        <v>11.019</v>
      </c>
      <c r="E202">
        <v>11.747</v>
      </c>
      <c r="F202">
        <v>3729554.9389999998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0.20132013201320118</v>
      </c>
      <c r="Q202">
        <f t="shared" si="960"/>
        <v>750834.49266996642</v>
      </c>
      <c r="R202">
        <f t="shared" si="961"/>
        <v>151283455.82855216</v>
      </c>
      <c r="S202">
        <f t="shared" si="962"/>
        <v>1512.8345582855216</v>
      </c>
      <c r="T202">
        <f t="shared" si="963"/>
        <v>1.5128345582855216</v>
      </c>
    </row>
    <row r="203" spans="1:20" x14ac:dyDescent="0.25">
      <c r="A203" s="5">
        <v>44390</v>
      </c>
      <c r="B203">
        <v>12.981999999999999</v>
      </c>
      <c r="C203">
        <v>13.728999999999999</v>
      </c>
      <c r="D203">
        <v>11.807</v>
      </c>
      <c r="E203">
        <v>12.092000000000001</v>
      </c>
      <c r="F203">
        <v>3131096.2459999998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-0.7034339229968779</v>
      </c>
      <c r="Q203">
        <f t="shared" si="960"/>
        <v>-2202519.3156045773</v>
      </c>
      <c r="R203">
        <f t="shared" si="961"/>
        <v>150532621.33588219</v>
      </c>
      <c r="S203">
        <f t="shared" si="962"/>
        <v>1505.3262133588219</v>
      </c>
      <c r="T203">
        <f t="shared" si="963"/>
        <v>1.5053262133588219</v>
      </c>
    </row>
    <row r="204" spans="1:20" x14ac:dyDescent="0.25">
      <c r="A204" s="5">
        <v>44389</v>
      </c>
      <c r="B204">
        <v>14.077999999999999</v>
      </c>
      <c r="C204">
        <v>14.129</v>
      </c>
      <c r="D204">
        <v>12.752000000000001</v>
      </c>
      <c r="E204">
        <v>12.981</v>
      </c>
      <c r="F204">
        <v>2138171.787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-0.66739288307915845</v>
      </c>
      <c r="Q204">
        <f t="shared" si="960"/>
        <v>-1427000.6334444464</v>
      </c>
      <c r="R204">
        <f t="shared" si="961"/>
        <v>152735140.65148675</v>
      </c>
      <c r="S204">
        <f t="shared" si="962"/>
        <v>1527.3514065148674</v>
      </c>
      <c r="T204">
        <f t="shared" si="963"/>
        <v>1.5273514065148674</v>
      </c>
    </row>
    <row r="205" spans="1:20" x14ac:dyDescent="0.25">
      <c r="A205" s="5">
        <v>44388</v>
      </c>
      <c r="B205">
        <v>14.429</v>
      </c>
      <c r="C205">
        <v>14.8</v>
      </c>
      <c r="D205">
        <v>13.871</v>
      </c>
      <c r="E205">
        <v>14.077</v>
      </c>
      <c r="F205">
        <v>2766943.338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-0.55651237890204641</v>
      </c>
      <c r="Q205">
        <f t="shared" si="960"/>
        <v>-1539838.2193175491</v>
      </c>
      <c r="R205">
        <f t="shared" si="961"/>
        <v>154162141.28493121</v>
      </c>
      <c r="S205">
        <f t="shared" si="962"/>
        <v>1541.621412849312</v>
      </c>
      <c r="T205">
        <f t="shared" si="963"/>
        <v>1.541621412849312</v>
      </c>
    </row>
    <row r="206" spans="1:20" x14ac:dyDescent="0.25">
      <c r="A206" s="5">
        <v>44387</v>
      </c>
      <c r="B206">
        <v>13.183</v>
      </c>
      <c r="C206">
        <v>14.541</v>
      </c>
      <c r="D206">
        <v>12.958</v>
      </c>
      <c r="E206">
        <v>14.425000000000001</v>
      </c>
      <c r="F206">
        <v>3111063.5460000001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0.85344283006948873</v>
      </c>
      <c r="Q206">
        <f t="shared" si="960"/>
        <v>2655114.8772242591</v>
      </c>
      <c r="R206">
        <f t="shared" si="961"/>
        <v>155701979.50424877</v>
      </c>
      <c r="S206">
        <f t="shared" si="962"/>
        <v>1557.0197950424877</v>
      </c>
      <c r="T206">
        <f t="shared" si="963"/>
        <v>1.5570197950424876</v>
      </c>
    </row>
    <row r="207" spans="1:20" x14ac:dyDescent="0.25">
      <c r="A207" s="5">
        <v>44386</v>
      </c>
      <c r="B207">
        <v>11.92</v>
      </c>
      <c r="C207">
        <v>13.699</v>
      </c>
      <c r="D207">
        <v>11.411</v>
      </c>
      <c r="E207">
        <v>13.180999999999999</v>
      </c>
      <c r="F207">
        <v>4075187.0529999998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0.54720279720279663</v>
      </c>
      <c r="Q207">
        <f t="shared" si="960"/>
        <v>2229953.7545262212</v>
      </c>
      <c r="R207">
        <f t="shared" si="961"/>
        <v>153046864.6270245</v>
      </c>
      <c r="S207">
        <f t="shared" si="962"/>
        <v>1530.468646270245</v>
      </c>
      <c r="T207">
        <f t="shared" si="963"/>
        <v>1.530468646270245</v>
      </c>
    </row>
    <row r="208" spans="1:20" x14ac:dyDescent="0.25">
      <c r="A208" s="5">
        <v>44385</v>
      </c>
      <c r="B208">
        <v>12.945</v>
      </c>
      <c r="C208">
        <v>12.974</v>
      </c>
      <c r="D208">
        <v>11.661</v>
      </c>
      <c r="E208">
        <v>11.916</v>
      </c>
      <c r="F208">
        <v>2076085.477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-0.61157654226961056</v>
      </c>
      <c r="Q208">
        <f t="shared" si="960"/>
        <v>-1269685.177479815</v>
      </c>
      <c r="R208">
        <f t="shared" si="961"/>
        <v>150816910.87249827</v>
      </c>
      <c r="S208">
        <f t="shared" si="962"/>
        <v>1508.1691087249828</v>
      </c>
      <c r="T208">
        <f t="shared" si="963"/>
        <v>1.5081691087249829</v>
      </c>
    </row>
    <row r="209" spans="1:20" x14ac:dyDescent="0.25">
      <c r="A209" s="5">
        <v>44384</v>
      </c>
      <c r="B209">
        <v>13.143000000000001</v>
      </c>
      <c r="C209">
        <v>13.51</v>
      </c>
      <c r="D209">
        <v>12.82</v>
      </c>
      <c r="E209">
        <v>12.939</v>
      </c>
      <c r="F209">
        <v>1637466.77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-0.65507246376811634</v>
      </c>
      <c r="Q209">
        <f t="shared" si="960"/>
        <v>-1072659.3913623195</v>
      </c>
      <c r="R209">
        <f t="shared" si="961"/>
        <v>152086596.04997808</v>
      </c>
      <c r="S209">
        <f t="shared" si="962"/>
        <v>1520.8659604997808</v>
      </c>
      <c r="T209">
        <f t="shared" si="963"/>
        <v>1.5208659604997807</v>
      </c>
    </row>
    <row r="210" spans="1:20" x14ac:dyDescent="0.25">
      <c r="A210" s="5">
        <v>44383</v>
      </c>
      <c r="B210">
        <v>13.541</v>
      </c>
      <c r="C210">
        <v>14.048999999999999</v>
      </c>
      <c r="D210">
        <v>12.811999999999999</v>
      </c>
      <c r="E210">
        <v>13.135999999999999</v>
      </c>
      <c r="F210">
        <v>2631196.4759999998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-0.47615198059822178</v>
      </c>
      <c r="Q210">
        <f t="shared" si="960"/>
        <v>-1252849.4133904614</v>
      </c>
      <c r="R210">
        <f t="shared" si="961"/>
        <v>153159255.44134039</v>
      </c>
      <c r="S210">
        <f t="shared" si="962"/>
        <v>1531.5925544134038</v>
      </c>
      <c r="T210">
        <f t="shared" si="963"/>
        <v>1.5315925544134039</v>
      </c>
    </row>
    <row r="211" spans="1:20" x14ac:dyDescent="0.25">
      <c r="A211" s="5">
        <v>44382</v>
      </c>
      <c r="B211">
        <v>12.311999999999999</v>
      </c>
      <c r="C211">
        <v>13.965999999999999</v>
      </c>
      <c r="D211">
        <v>11.927</v>
      </c>
      <c r="E211">
        <v>13.531000000000001</v>
      </c>
      <c r="F211">
        <v>5547395.9749999996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0.57332025502697515</v>
      </c>
      <c r="Q211">
        <f t="shared" si="960"/>
        <v>3180434.4751226152</v>
      </c>
      <c r="R211">
        <f t="shared" si="961"/>
        <v>154412104.85473084</v>
      </c>
      <c r="S211">
        <f t="shared" si="962"/>
        <v>1544.1210485473084</v>
      </c>
      <c r="T211">
        <f t="shared" si="963"/>
        <v>1.5441210485473085</v>
      </c>
    </row>
    <row r="212" spans="1:20" x14ac:dyDescent="0.25">
      <c r="A212" s="5">
        <v>44381</v>
      </c>
      <c r="B212">
        <v>11.804</v>
      </c>
      <c r="C212">
        <v>12.452</v>
      </c>
      <c r="D212">
        <v>11.515000000000001</v>
      </c>
      <c r="E212">
        <v>12.307</v>
      </c>
      <c r="F212">
        <v>1476353.2150000001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0.69050160085378942</v>
      </c>
      <c r="Q212">
        <f t="shared" si="960"/>
        <v>1019424.2583831388</v>
      </c>
      <c r="R212">
        <f t="shared" si="961"/>
        <v>151231670.37960824</v>
      </c>
      <c r="S212">
        <f t="shared" si="962"/>
        <v>1512.3167037960825</v>
      </c>
      <c r="T212">
        <f t="shared" si="963"/>
        <v>1.5123167037960825</v>
      </c>
    </row>
    <row r="213" spans="1:20" x14ac:dyDescent="0.25">
      <c r="A213" s="5">
        <v>44380</v>
      </c>
      <c r="B213">
        <v>11.795</v>
      </c>
      <c r="C213">
        <v>12.2</v>
      </c>
      <c r="D213">
        <v>11.526</v>
      </c>
      <c r="E213">
        <v>11.8</v>
      </c>
      <c r="F213">
        <v>1803444.0759999999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-0.18694362017803823</v>
      </c>
      <c r="Q213">
        <f t="shared" si="960"/>
        <v>-337142.3643560771</v>
      </c>
      <c r="R213">
        <f t="shared" si="961"/>
        <v>150212246.12122512</v>
      </c>
      <c r="S213">
        <f t="shared" si="962"/>
        <v>1502.1224612122512</v>
      </c>
      <c r="T213">
        <f t="shared" si="963"/>
        <v>1.5021224612122512</v>
      </c>
    </row>
    <row r="214" spans="1:20" x14ac:dyDescent="0.25">
      <c r="A214" s="5">
        <v>44379</v>
      </c>
      <c r="B214">
        <v>11.036</v>
      </c>
      <c r="C214">
        <v>11.81</v>
      </c>
      <c r="D214">
        <v>10.522</v>
      </c>
      <c r="E214">
        <v>11.795</v>
      </c>
      <c r="F214">
        <v>2147051.2379999999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0.97670807453416064</v>
      </c>
      <c r="Q214">
        <f t="shared" si="960"/>
        <v>2097042.2805931657</v>
      </c>
      <c r="R214">
        <f t="shared" si="961"/>
        <v>150549388.48558119</v>
      </c>
      <c r="S214">
        <f t="shared" si="962"/>
        <v>1505.493884855812</v>
      </c>
      <c r="T214">
        <f t="shared" si="963"/>
        <v>1.5054938848558119</v>
      </c>
    </row>
    <row r="215" spans="1:20" x14ac:dyDescent="0.25">
      <c r="A215" s="5">
        <v>44378</v>
      </c>
      <c r="B215">
        <v>12.045</v>
      </c>
      <c r="C215">
        <v>12.077999999999999</v>
      </c>
      <c r="D215">
        <v>10.712999999999999</v>
      </c>
      <c r="E215">
        <v>11.032999999999999</v>
      </c>
      <c r="F215">
        <v>1862697.8489999999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-0.5311355311355308</v>
      </c>
      <c r="Q215">
        <f t="shared" si="960"/>
        <v>-989345.01137362572</v>
      </c>
      <c r="R215">
        <f t="shared" si="961"/>
        <v>148452346.20498803</v>
      </c>
      <c r="S215">
        <f t="shared" si="962"/>
        <v>1484.5234620498804</v>
      </c>
      <c r="T215">
        <f t="shared" si="963"/>
        <v>1.4845234620498804</v>
      </c>
    </row>
    <row r="216" spans="1:20" x14ac:dyDescent="0.25">
      <c r="A216" s="5">
        <v>44377</v>
      </c>
      <c r="B216">
        <v>11.638</v>
      </c>
      <c r="C216">
        <v>12.052</v>
      </c>
      <c r="D216">
        <v>11.034000000000001</v>
      </c>
      <c r="E216">
        <v>12.045</v>
      </c>
      <c r="F216">
        <v>2470921.7489999998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0.98624754420432281</v>
      </c>
      <c r="Q216">
        <f t="shared" si="960"/>
        <v>2436940.5068723001</v>
      </c>
      <c r="R216">
        <f t="shared" si="961"/>
        <v>149441691.21636167</v>
      </c>
      <c r="S216">
        <f t="shared" si="962"/>
        <v>1494.4169121636166</v>
      </c>
      <c r="T216">
        <f t="shared" si="963"/>
        <v>1.4944169121636166</v>
      </c>
    </row>
    <row r="217" spans="1:20" x14ac:dyDescent="0.25">
      <c r="A217" s="5">
        <v>44376</v>
      </c>
      <c r="B217">
        <v>10.898999999999999</v>
      </c>
      <c r="C217">
        <v>12.875</v>
      </c>
      <c r="D217">
        <v>10.824999999999999</v>
      </c>
      <c r="E217">
        <v>11.65</v>
      </c>
      <c r="F217">
        <v>4117510.1150000002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-0.19512195121951142</v>
      </c>
      <c r="Q217">
        <f t="shared" si="960"/>
        <v>-803416.60780487489</v>
      </c>
      <c r="R217">
        <f t="shared" si="961"/>
        <v>147004750.70948938</v>
      </c>
      <c r="S217">
        <f t="shared" si="962"/>
        <v>1470.0475070948937</v>
      </c>
      <c r="T217">
        <f t="shared" si="963"/>
        <v>1.4700475070948937</v>
      </c>
    </row>
    <row r="218" spans="1:20" x14ac:dyDescent="0.25">
      <c r="A218" s="5">
        <v>44375</v>
      </c>
      <c r="B218">
        <v>10.08</v>
      </c>
      <c r="C218">
        <v>10.9</v>
      </c>
      <c r="D218">
        <v>9.9169999999999998</v>
      </c>
      <c r="E218">
        <v>10.89</v>
      </c>
      <c r="F218">
        <v>1884182.909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0.97965412004069219</v>
      </c>
      <c r="Q218">
        <f t="shared" si="960"/>
        <v>1845847.5497121066</v>
      </c>
      <c r="R218">
        <f t="shared" si="961"/>
        <v>147808167.31729424</v>
      </c>
      <c r="S218">
        <f t="shared" si="962"/>
        <v>1478.0816731729424</v>
      </c>
      <c r="T218">
        <f t="shared" si="963"/>
        <v>1.4780816731729425</v>
      </c>
    </row>
    <row r="219" spans="1:20" x14ac:dyDescent="0.25">
      <c r="A219" s="5">
        <v>44374</v>
      </c>
      <c r="B219">
        <v>9.59</v>
      </c>
      <c r="C219">
        <v>10.087</v>
      </c>
      <c r="D219">
        <v>9.4169999999999998</v>
      </c>
      <c r="E219">
        <v>10.087</v>
      </c>
      <c r="F219">
        <v>2119873.7140000002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1</v>
      </c>
      <c r="Q219">
        <f t="shared" si="960"/>
        <v>2119873.7140000002</v>
      </c>
      <c r="R219">
        <f t="shared" si="961"/>
        <v>145962319.76758215</v>
      </c>
      <c r="S219">
        <f t="shared" si="962"/>
        <v>1459.6231976758215</v>
      </c>
      <c r="T219">
        <f t="shared" si="963"/>
        <v>1.4596231976758216</v>
      </c>
    </row>
    <row r="220" spans="1:20" x14ac:dyDescent="0.25">
      <c r="A220" s="5">
        <v>44373</v>
      </c>
      <c r="B220">
        <v>9.0660000000000007</v>
      </c>
      <c r="C220">
        <v>9.6</v>
      </c>
      <c r="D220">
        <v>8.6470000000000002</v>
      </c>
      <c r="E220">
        <v>9.5960000000000001</v>
      </c>
      <c r="F220">
        <v>2216941.42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0.99160545645330622</v>
      </c>
      <c r="Q220">
        <f t="shared" si="960"/>
        <v>2198331.208709341</v>
      </c>
      <c r="R220">
        <f t="shared" si="961"/>
        <v>143842446.05358216</v>
      </c>
      <c r="S220">
        <f t="shared" si="962"/>
        <v>1438.4244605358217</v>
      </c>
      <c r="T220">
        <f t="shared" si="963"/>
        <v>1.4384244605358216</v>
      </c>
    </row>
    <row r="221" spans="1:20" x14ac:dyDescent="0.25">
      <c r="A221" s="5">
        <v>44372</v>
      </c>
      <c r="B221">
        <v>10.385999999999999</v>
      </c>
      <c r="C221">
        <v>10.702999999999999</v>
      </c>
      <c r="D221">
        <v>8.85</v>
      </c>
      <c r="E221">
        <v>9.0660000000000007</v>
      </c>
      <c r="F221">
        <v>3817236.091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-0.76686454398272952</v>
      </c>
      <c r="Q221">
        <f t="shared" si="960"/>
        <v>-2927303.0141991321</v>
      </c>
      <c r="R221">
        <f t="shared" si="961"/>
        <v>141644114.84487283</v>
      </c>
      <c r="S221">
        <f t="shared" si="962"/>
        <v>1416.4411484487284</v>
      </c>
      <c r="T221">
        <f t="shared" si="963"/>
        <v>1.4164411484487285</v>
      </c>
    </row>
    <row r="222" spans="1:20" x14ac:dyDescent="0.25">
      <c r="A222" s="5">
        <v>44371</v>
      </c>
      <c r="B222">
        <v>9.6050000000000004</v>
      </c>
      <c r="C222">
        <v>10.712999999999999</v>
      </c>
      <c r="D222">
        <v>9.01</v>
      </c>
      <c r="E222">
        <v>10.385999999999999</v>
      </c>
      <c r="F222">
        <v>2896156.0060000001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0.61597181444509685</v>
      </c>
      <c r="Q222">
        <f t="shared" si="960"/>
        <v>1783950.4699318849</v>
      </c>
      <c r="R222">
        <f t="shared" si="961"/>
        <v>144571417.85907197</v>
      </c>
      <c r="S222">
        <f t="shared" si="962"/>
        <v>1445.7141785907197</v>
      </c>
      <c r="T222">
        <f t="shared" si="963"/>
        <v>1.4457141785907197</v>
      </c>
    </row>
    <row r="223" spans="1:20" x14ac:dyDescent="0.25">
      <c r="A223" s="5">
        <v>44370</v>
      </c>
      <c r="B223">
        <v>8.9920000000000009</v>
      </c>
      <c r="C223">
        <v>10.489000000000001</v>
      </c>
      <c r="D223">
        <v>8.5649999999999995</v>
      </c>
      <c r="E223">
        <v>9.6129999999999995</v>
      </c>
      <c r="F223">
        <v>3272473.7390000001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8.9397089397088722E-2</v>
      </c>
      <c r="Q223">
        <f t="shared" si="960"/>
        <v>292549.62739500817</v>
      </c>
      <c r="R223">
        <f t="shared" si="961"/>
        <v>142787467.3891401</v>
      </c>
      <c r="S223">
        <f t="shared" si="962"/>
        <v>1427.874673891401</v>
      </c>
      <c r="T223">
        <f t="shared" si="963"/>
        <v>1.427874673891401</v>
      </c>
    </row>
    <row r="224" spans="1:20" x14ac:dyDescent="0.25">
      <c r="A224" s="5">
        <v>44369</v>
      </c>
      <c r="B224">
        <v>9.5169999999999995</v>
      </c>
      <c r="C224">
        <v>10.57</v>
      </c>
      <c r="D224">
        <v>7.83</v>
      </c>
      <c r="E224">
        <v>9.0020000000000007</v>
      </c>
      <c r="F224">
        <v>6291115.057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-0.14452554744525511</v>
      </c>
      <c r="Q224">
        <f t="shared" si="960"/>
        <v>-909226.84765401238</v>
      </c>
      <c r="R224">
        <f t="shared" si="961"/>
        <v>142494917.7617451</v>
      </c>
      <c r="S224">
        <f t="shared" si="962"/>
        <v>1424.9491776174509</v>
      </c>
      <c r="T224">
        <f t="shared" si="963"/>
        <v>1.424949177617451</v>
      </c>
    </row>
    <row r="225" spans="1:20" x14ac:dyDescent="0.25">
      <c r="A225" s="5">
        <v>44368</v>
      </c>
      <c r="B225">
        <v>11.983000000000001</v>
      </c>
      <c r="C225">
        <v>12.109</v>
      </c>
      <c r="D225">
        <v>9.4730000000000008</v>
      </c>
      <c r="E225">
        <v>9.5190000000000001</v>
      </c>
      <c r="F225">
        <v>4060092.9169999999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-0.96509863429438592</v>
      </c>
      <c r="Q225">
        <f t="shared" si="960"/>
        <v>-3918390.1293050093</v>
      </c>
      <c r="R225">
        <f t="shared" si="961"/>
        <v>143404144.60939911</v>
      </c>
      <c r="S225">
        <f t="shared" si="962"/>
        <v>1434.041446093991</v>
      </c>
      <c r="T225">
        <f t="shared" si="963"/>
        <v>1.434041446093991</v>
      </c>
    </row>
    <row r="226" spans="1:20" x14ac:dyDescent="0.25">
      <c r="A226" s="5">
        <v>44367</v>
      </c>
      <c r="B226">
        <v>11.853999999999999</v>
      </c>
      <c r="C226">
        <v>12.477</v>
      </c>
      <c r="D226">
        <v>11.04</v>
      </c>
      <c r="E226">
        <v>11.977</v>
      </c>
      <c r="F226">
        <v>2215875.5980000002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0.3041057759220604</v>
      </c>
      <c r="Q226">
        <f t="shared" si="960"/>
        <v>673860.56807654968</v>
      </c>
      <c r="R226">
        <f t="shared" si="961"/>
        <v>147322534.73870412</v>
      </c>
      <c r="S226">
        <f t="shared" si="962"/>
        <v>1473.2253473870412</v>
      </c>
      <c r="T226">
        <f t="shared" si="963"/>
        <v>1.4732253473870411</v>
      </c>
    </row>
    <row r="227" spans="1:20" x14ac:dyDescent="0.25">
      <c r="A227" s="5">
        <v>44366</v>
      </c>
      <c r="B227">
        <v>12.46</v>
      </c>
      <c r="C227">
        <v>12.721</v>
      </c>
      <c r="D227">
        <v>11.808999999999999</v>
      </c>
      <c r="E227">
        <v>11.85</v>
      </c>
      <c r="F227">
        <v>1311810.652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-0.91008771929824483</v>
      </c>
      <c r="Q227">
        <f t="shared" si="960"/>
        <v>-1193862.7644298235</v>
      </c>
      <c r="R227">
        <f t="shared" si="961"/>
        <v>146648674.17062756</v>
      </c>
      <c r="S227">
        <f t="shared" si="962"/>
        <v>1466.4867417062756</v>
      </c>
      <c r="T227">
        <f t="shared" si="963"/>
        <v>1.4664867417062755</v>
      </c>
    </row>
    <row r="228" spans="1:20" x14ac:dyDescent="0.25">
      <c r="A228" s="5">
        <v>44365</v>
      </c>
      <c r="B228">
        <v>13.622999999999999</v>
      </c>
      <c r="C228">
        <v>13.622999999999999</v>
      </c>
      <c r="D228">
        <v>11.927</v>
      </c>
      <c r="E228">
        <v>12.472</v>
      </c>
      <c r="F228">
        <v>2237575.3560000001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-0.35731132075471694</v>
      </c>
      <c r="Q228">
        <f t="shared" si="960"/>
        <v>-799511.00574056606</v>
      </c>
      <c r="R228">
        <f t="shared" si="961"/>
        <v>147842536.9350574</v>
      </c>
      <c r="S228">
        <f t="shared" si="962"/>
        <v>1478.4253693505741</v>
      </c>
      <c r="T228">
        <f t="shared" si="963"/>
        <v>1.478425369350574</v>
      </c>
    </row>
    <row r="229" spans="1:20" x14ac:dyDescent="0.25">
      <c r="A229" s="5">
        <v>44364</v>
      </c>
      <c r="B229">
        <v>13.419</v>
      </c>
      <c r="C229">
        <v>14.683</v>
      </c>
      <c r="D229">
        <v>13.292</v>
      </c>
      <c r="E229">
        <v>13.618</v>
      </c>
      <c r="F229">
        <v>3732653.4929999998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-0.53127246585190435</v>
      </c>
      <c r="Q229">
        <f t="shared" si="960"/>
        <v>-1983056.0253968339</v>
      </c>
      <c r="R229">
        <f t="shared" si="961"/>
        <v>148642047.94079795</v>
      </c>
      <c r="S229">
        <f t="shared" si="962"/>
        <v>1486.4204794079797</v>
      </c>
      <c r="T229">
        <f t="shared" si="963"/>
        <v>1.4864204794079796</v>
      </c>
    </row>
    <row r="230" spans="1:20" x14ac:dyDescent="0.25">
      <c r="A230" s="5">
        <v>44363</v>
      </c>
      <c r="B230">
        <v>12.951000000000001</v>
      </c>
      <c r="C230">
        <v>13.477</v>
      </c>
      <c r="D230">
        <v>12.313000000000001</v>
      </c>
      <c r="E230">
        <v>13.425000000000001</v>
      </c>
      <c r="F230">
        <v>1932702.6459999999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0.91065292096219996</v>
      </c>
      <c r="Q230">
        <f t="shared" si="960"/>
        <v>1760021.3099312726</v>
      </c>
      <c r="R230">
        <f t="shared" si="961"/>
        <v>150625103.96619478</v>
      </c>
      <c r="S230">
        <f t="shared" si="962"/>
        <v>1506.2510396619477</v>
      </c>
      <c r="T230">
        <f t="shared" si="963"/>
        <v>1.5062510396619477</v>
      </c>
    </row>
    <row r="231" spans="1:20" x14ac:dyDescent="0.25">
      <c r="A231" s="5">
        <v>44362</v>
      </c>
      <c r="B231">
        <v>13.315</v>
      </c>
      <c r="C231">
        <v>13.574999999999999</v>
      </c>
      <c r="D231">
        <v>12.641</v>
      </c>
      <c r="E231">
        <v>12.951000000000001</v>
      </c>
      <c r="F231">
        <v>1505914.7409999999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-0.33618843683083355</v>
      </c>
      <c r="Q231">
        <f t="shared" si="960"/>
        <v>-506271.12277729955</v>
      </c>
      <c r="R231">
        <f t="shared" si="961"/>
        <v>148865082.6562635</v>
      </c>
      <c r="S231">
        <f t="shared" si="962"/>
        <v>1488.6508265626351</v>
      </c>
      <c r="T231">
        <f t="shared" si="963"/>
        <v>1.488650826562635</v>
      </c>
    </row>
    <row r="232" spans="1:20" x14ac:dyDescent="0.25">
      <c r="A232" s="5">
        <v>44361</v>
      </c>
      <c r="B232">
        <v>12.531000000000001</v>
      </c>
      <c r="C232">
        <v>13.39</v>
      </c>
      <c r="D232">
        <v>12.215999999999999</v>
      </c>
      <c r="E232">
        <v>13.301</v>
      </c>
      <c r="F232">
        <v>1834397.8470000001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0.84838160136286145</v>
      </c>
      <c r="Q232">
        <f t="shared" si="960"/>
        <v>1556269.3829744454</v>
      </c>
      <c r="R232">
        <f t="shared" si="961"/>
        <v>149371353.77904081</v>
      </c>
      <c r="S232">
        <f t="shared" si="962"/>
        <v>1493.7135377904081</v>
      </c>
      <c r="T232">
        <f t="shared" si="963"/>
        <v>1.4937135377904081</v>
      </c>
    </row>
    <row r="233" spans="1:20" x14ac:dyDescent="0.25">
      <c r="A233" s="5">
        <v>44360</v>
      </c>
      <c r="B233">
        <v>11.625</v>
      </c>
      <c r="C233">
        <v>12.534000000000001</v>
      </c>
      <c r="D233">
        <v>11.288</v>
      </c>
      <c r="E233">
        <v>12.53</v>
      </c>
      <c r="F233">
        <v>1668229.281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0.99357945425360938</v>
      </c>
      <c r="Q233">
        <f t="shared" si="960"/>
        <v>1657518.338585871</v>
      </c>
      <c r="R233">
        <f t="shared" si="961"/>
        <v>147815084.39606637</v>
      </c>
      <c r="S233">
        <f t="shared" si="962"/>
        <v>1478.1508439606637</v>
      </c>
      <c r="T233">
        <f t="shared" si="963"/>
        <v>1.4781508439606637</v>
      </c>
    </row>
    <row r="234" spans="1:20" x14ac:dyDescent="0.25">
      <c r="A234" s="5">
        <v>44359</v>
      </c>
      <c r="B234">
        <v>11.941000000000001</v>
      </c>
      <c r="C234">
        <v>12.057</v>
      </c>
      <c r="D234">
        <v>10.914</v>
      </c>
      <c r="E234">
        <v>11.616</v>
      </c>
      <c r="F234">
        <v>1753079.4180000001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0.22834645669291259</v>
      </c>
      <c r="Q234">
        <f t="shared" si="960"/>
        <v>400309.47340157343</v>
      </c>
      <c r="R234">
        <f t="shared" si="961"/>
        <v>146157566.05748048</v>
      </c>
      <c r="S234">
        <f t="shared" si="962"/>
        <v>1461.5756605748049</v>
      </c>
      <c r="T234">
        <f t="shared" si="963"/>
        <v>1.4615756605748049</v>
      </c>
    </row>
    <row r="235" spans="1:20" x14ac:dyDescent="0.25">
      <c r="A235" s="5">
        <v>44358</v>
      </c>
      <c r="B235">
        <v>12.833</v>
      </c>
      <c r="C235">
        <v>12.952999999999999</v>
      </c>
      <c r="D235">
        <v>11.557</v>
      </c>
      <c r="E235">
        <v>11.95</v>
      </c>
      <c r="F235">
        <v>1957376.4180000001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-0.43696275071633356</v>
      </c>
      <c r="Q235">
        <f t="shared" si="960"/>
        <v>-855300.58379656391</v>
      </c>
      <c r="R235">
        <f t="shared" si="961"/>
        <v>145757256.58407891</v>
      </c>
      <c r="S235">
        <f t="shared" si="962"/>
        <v>1457.5725658407891</v>
      </c>
      <c r="T235">
        <f t="shared" si="963"/>
        <v>1.4575725658407892</v>
      </c>
    </row>
    <row r="236" spans="1:20" x14ac:dyDescent="0.25">
      <c r="A236" s="5">
        <v>44357</v>
      </c>
      <c r="B236">
        <v>13.94</v>
      </c>
      <c r="C236">
        <v>14.055</v>
      </c>
      <c r="D236">
        <v>12.558999999999999</v>
      </c>
      <c r="E236">
        <v>12.829000000000001</v>
      </c>
      <c r="F236">
        <v>2364548.247</v>
      </c>
      <c r="G236">
        <v>0</v>
      </c>
      <c r="L236" t="s">
        <v>7</v>
      </c>
      <c r="M236" t="s">
        <v>8</v>
      </c>
      <c r="N236" t="s">
        <v>8</v>
      </c>
      <c r="P236">
        <f t="shared" si="959"/>
        <v>-0.63903743315507855</v>
      </c>
      <c r="Q236">
        <f t="shared" si="960"/>
        <v>-1511034.8423342207</v>
      </c>
      <c r="R236">
        <f t="shared" si="961"/>
        <v>146612557.16787547</v>
      </c>
      <c r="S236">
        <f t="shared" si="962"/>
        <v>1466.1255716787548</v>
      </c>
      <c r="T236">
        <f t="shared" si="963"/>
        <v>1.4661255716787549</v>
      </c>
    </row>
    <row r="237" spans="1:20" x14ac:dyDescent="0.25">
      <c r="A237" s="5">
        <v>44356</v>
      </c>
      <c r="B237">
        <v>13.573</v>
      </c>
      <c r="C237">
        <v>14.005000000000001</v>
      </c>
      <c r="D237">
        <v>12.603</v>
      </c>
      <c r="E237">
        <v>13.932</v>
      </c>
      <c r="F237">
        <v>2542304.682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0.89586305278173983</v>
      </c>
      <c r="Q237">
        <f t="shared" si="960"/>
        <v>2277556.8335178304</v>
      </c>
      <c r="R237">
        <f t="shared" si="961"/>
        <v>148123592.01020968</v>
      </c>
      <c r="S237">
        <f t="shared" si="962"/>
        <v>1481.2359201020968</v>
      </c>
      <c r="T237">
        <f t="shared" si="963"/>
        <v>1.4812359201020968</v>
      </c>
    </row>
    <row r="238" spans="1:20" x14ac:dyDescent="0.25">
      <c r="A238" s="5">
        <v>44355</v>
      </c>
      <c r="B238">
        <v>13.46</v>
      </c>
      <c r="C238">
        <v>13.804</v>
      </c>
      <c r="D238">
        <v>12.015000000000001</v>
      </c>
      <c r="E238">
        <v>13.56</v>
      </c>
      <c r="F238">
        <v>3066134.7220000001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0.72722191168250438</v>
      </c>
      <c r="Q238">
        <f t="shared" si="960"/>
        <v>2229760.3540089442</v>
      </c>
      <c r="R238">
        <f t="shared" si="961"/>
        <v>145846035.17669186</v>
      </c>
      <c r="S238">
        <f t="shared" si="962"/>
        <v>1458.4603517669186</v>
      </c>
      <c r="T238">
        <f t="shared" si="963"/>
        <v>1.4584603517669186</v>
      </c>
    </row>
    <row r="239" spans="1:20" x14ac:dyDescent="0.25">
      <c r="A239" s="5">
        <v>44354</v>
      </c>
      <c r="B239">
        <v>15.131</v>
      </c>
      <c r="C239">
        <v>15.78</v>
      </c>
      <c r="D239">
        <v>13.275</v>
      </c>
      <c r="E239">
        <v>13.46</v>
      </c>
      <c r="F239">
        <v>2055342.9509999999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-0.85229540918163627</v>
      </c>
      <c r="Q239">
        <f t="shared" si="960"/>
        <v>-1751759.3614311367</v>
      </c>
      <c r="R239">
        <f t="shared" si="961"/>
        <v>143616274.82268292</v>
      </c>
      <c r="S239">
        <f t="shared" si="962"/>
        <v>1436.1627482268291</v>
      </c>
      <c r="T239">
        <f t="shared" si="963"/>
        <v>1.4361627482268291</v>
      </c>
    </row>
    <row r="240" spans="1:20" x14ac:dyDescent="0.25">
      <c r="A240" s="5">
        <v>44353</v>
      </c>
      <c r="B240">
        <v>14.851000000000001</v>
      </c>
      <c r="C240">
        <v>15.414</v>
      </c>
      <c r="D240">
        <v>14.472</v>
      </c>
      <c r="E240">
        <v>15.125</v>
      </c>
      <c r="F240">
        <v>1227547.9509999999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0.38641188959660372</v>
      </c>
      <c r="Q240">
        <f t="shared" si="960"/>
        <v>474339.12331634905</v>
      </c>
      <c r="R240">
        <f t="shared" si="961"/>
        <v>145368034.18411407</v>
      </c>
      <c r="S240">
        <f t="shared" si="962"/>
        <v>1453.6803418411407</v>
      </c>
      <c r="T240">
        <f t="shared" si="963"/>
        <v>1.4536803418411408</v>
      </c>
    </row>
    <row r="241" spans="1:20" x14ac:dyDescent="0.25">
      <c r="A241" s="5">
        <v>44352</v>
      </c>
      <c r="B241">
        <v>15.071</v>
      </c>
      <c r="C241">
        <v>16.343</v>
      </c>
      <c r="D241">
        <v>14.233000000000001</v>
      </c>
      <c r="E241">
        <v>14.858000000000001</v>
      </c>
      <c r="F241">
        <v>2399738.8130000001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-0.40758293838862542</v>
      </c>
      <c r="Q241">
        <f t="shared" si="960"/>
        <v>-978092.59676777211</v>
      </c>
      <c r="R241">
        <f t="shared" si="961"/>
        <v>144893695.06079772</v>
      </c>
      <c r="S241">
        <f t="shared" si="962"/>
        <v>1448.9369506079772</v>
      </c>
      <c r="T241">
        <f t="shared" si="963"/>
        <v>1.4489369506079772</v>
      </c>
    </row>
    <row r="242" spans="1:20" x14ac:dyDescent="0.25">
      <c r="A242" s="5">
        <v>44351</v>
      </c>
      <c r="B242">
        <v>16.667000000000002</v>
      </c>
      <c r="C242">
        <v>17.11</v>
      </c>
      <c r="D242">
        <v>14.013999999999999</v>
      </c>
      <c r="E242">
        <v>15.067</v>
      </c>
      <c r="F242">
        <v>3172651.8870000001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-0.31976744186046463</v>
      </c>
      <c r="Q242">
        <f t="shared" si="960"/>
        <v>-1014510.777819766</v>
      </c>
      <c r="R242">
        <f t="shared" si="961"/>
        <v>145871787.6575655</v>
      </c>
      <c r="S242">
        <f t="shared" si="962"/>
        <v>1458.7178765756551</v>
      </c>
      <c r="T242">
        <f t="shared" si="963"/>
        <v>1.458717876575655</v>
      </c>
    </row>
    <row r="243" spans="1:20" x14ac:dyDescent="0.25">
      <c r="A243" s="5">
        <v>44350</v>
      </c>
      <c r="B243">
        <v>14.872999999999999</v>
      </c>
      <c r="C243">
        <v>17.2</v>
      </c>
      <c r="D243">
        <v>14.651</v>
      </c>
      <c r="E243">
        <v>16.664999999999999</v>
      </c>
      <c r="F243">
        <v>3679544.7519999999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0.58022754021184764</v>
      </c>
      <c r="Q243">
        <f t="shared" si="960"/>
        <v>2134973.2005523727</v>
      </c>
      <c r="R243">
        <f t="shared" si="961"/>
        <v>146886298.43538526</v>
      </c>
      <c r="S243">
        <f t="shared" si="962"/>
        <v>1468.8629843538527</v>
      </c>
      <c r="T243">
        <f t="shared" si="963"/>
        <v>1.4688629843538528</v>
      </c>
    </row>
    <row r="244" spans="1:20" x14ac:dyDescent="0.25">
      <c r="A244" s="5">
        <v>44349</v>
      </c>
      <c r="B244">
        <v>13.744</v>
      </c>
      <c r="C244">
        <v>15.337999999999999</v>
      </c>
      <c r="D244">
        <v>13.582000000000001</v>
      </c>
      <c r="E244">
        <v>14.86</v>
      </c>
      <c r="F244">
        <v>2468156.554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0.45558086560364447</v>
      </c>
      <c r="Q244">
        <f t="shared" si="960"/>
        <v>1124444.8993166282</v>
      </c>
      <c r="R244">
        <f t="shared" si="961"/>
        <v>144751325.23483288</v>
      </c>
      <c r="S244">
        <f t="shared" si="962"/>
        <v>1447.5132523483289</v>
      </c>
      <c r="T244">
        <f t="shared" si="963"/>
        <v>1.4475132523483289</v>
      </c>
    </row>
    <row r="245" spans="1:20" x14ac:dyDescent="0.25">
      <c r="A245" s="5">
        <v>44348</v>
      </c>
      <c r="B245">
        <v>13.946999999999999</v>
      </c>
      <c r="C245">
        <v>14.532</v>
      </c>
      <c r="D245">
        <v>13.31</v>
      </c>
      <c r="E245">
        <v>13.757</v>
      </c>
      <c r="F245">
        <v>2095119.605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-0.26841243862520564</v>
      </c>
      <c r="Q245">
        <f t="shared" si="960"/>
        <v>-562356.16238952754</v>
      </c>
      <c r="R245">
        <f t="shared" si="961"/>
        <v>143626880.33551624</v>
      </c>
      <c r="S245">
        <f t="shared" si="962"/>
        <v>1436.2688033551624</v>
      </c>
      <c r="T245">
        <f t="shared" si="963"/>
        <v>1.4362688033551625</v>
      </c>
    </row>
    <row r="246" spans="1:20" x14ac:dyDescent="0.25">
      <c r="A246" s="5">
        <v>44347</v>
      </c>
      <c r="B246">
        <v>12.548</v>
      </c>
      <c r="C246">
        <v>14</v>
      </c>
      <c r="D246">
        <v>11.89</v>
      </c>
      <c r="E246">
        <v>13.962</v>
      </c>
      <c r="F246">
        <v>2331698.682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0.96398104265402818</v>
      </c>
      <c r="Q246">
        <f t="shared" si="960"/>
        <v>2247713.3266293835</v>
      </c>
      <c r="R246">
        <f t="shared" si="961"/>
        <v>144189236.49790576</v>
      </c>
      <c r="S246">
        <f t="shared" si="962"/>
        <v>1441.8923649790577</v>
      </c>
      <c r="T246">
        <f t="shared" si="963"/>
        <v>1.4418923649790576</v>
      </c>
    </row>
    <row r="247" spans="1:20" x14ac:dyDescent="0.25">
      <c r="A247" s="5">
        <v>44346</v>
      </c>
      <c r="B247">
        <v>12.064</v>
      </c>
      <c r="C247">
        <v>13.124000000000001</v>
      </c>
      <c r="D247">
        <v>11.263999999999999</v>
      </c>
      <c r="E247">
        <v>12.551</v>
      </c>
      <c r="F247">
        <v>1903649.578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0.38387096774193546</v>
      </c>
      <c r="Q247">
        <f t="shared" si="960"/>
        <v>730755.80574838701</v>
      </c>
      <c r="R247">
        <f t="shared" si="961"/>
        <v>141941523.17127639</v>
      </c>
      <c r="S247">
        <f t="shared" si="962"/>
        <v>1419.4152317127639</v>
      </c>
      <c r="T247">
        <f t="shared" si="963"/>
        <v>1.419415231712764</v>
      </c>
    </row>
    <row r="248" spans="1:20" x14ac:dyDescent="0.25">
      <c r="A248" s="5">
        <v>44345</v>
      </c>
      <c r="B248">
        <v>12.702</v>
      </c>
      <c r="C248">
        <v>14.404999999999999</v>
      </c>
      <c r="D248">
        <v>11.38</v>
      </c>
      <c r="E248">
        <v>12.058999999999999</v>
      </c>
      <c r="F248">
        <v>3206676.6910000001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-0.55107438016529009</v>
      </c>
      <c r="Q248">
        <f t="shared" si="960"/>
        <v>-1767117.3698833084</v>
      </c>
      <c r="R248">
        <f t="shared" si="961"/>
        <v>141210767.36552802</v>
      </c>
      <c r="S248">
        <f t="shared" si="962"/>
        <v>1412.1076736552802</v>
      </c>
      <c r="T248">
        <f t="shared" si="963"/>
        <v>1.4121076736552802</v>
      </c>
    </row>
    <row r="249" spans="1:20" x14ac:dyDescent="0.25">
      <c r="A249" s="5">
        <v>44344</v>
      </c>
      <c r="B249">
        <v>14.536</v>
      </c>
      <c r="C249">
        <v>14.627000000000001</v>
      </c>
      <c r="D249">
        <v>11.978999999999999</v>
      </c>
      <c r="E249">
        <v>12.701000000000001</v>
      </c>
      <c r="F249">
        <v>3520379.2629999998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-0.45468277945619268</v>
      </c>
      <c r="Q249">
        <f t="shared" si="960"/>
        <v>-1600655.8280407831</v>
      </c>
      <c r="R249">
        <f t="shared" si="961"/>
        <v>142977884.73541132</v>
      </c>
      <c r="S249">
        <f t="shared" si="962"/>
        <v>1429.7788473541132</v>
      </c>
      <c r="T249">
        <f t="shared" si="963"/>
        <v>1.4297788473541131</v>
      </c>
    </row>
    <row r="250" spans="1:20" x14ac:dyDescent="0.25">
      <c r="A250" s="5">
        <v>44343</v>
      </c>
      <c r="B250">
        <v>15.276999999999999</v>
      </c>
      <c r="C250">
        <v>15.315</v>
      </c>
      <c r="D250">
        <v>13.542999999999999</v>
      </c>
      <c r="E250">
        <v>14.525</v>
      </c>
      <c r="F250">
        <v>2763054.13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0.10835214446952704</v>
      </c>
      <c r="Q250">
        <f t="shared" si="960"/>
        <v>299382.84027088335</v>
      </c>
      <c r="R250">
        <f t="shared" si="961"/>
        <v>144578540.56345209</v>
      </c>
      <c r="S250">
        <f t="shared" si="962"/>
        <v>1445.7854056345209</v>
      </c>
      <c r="T250">
        <f t="shared" si="963"/>
        <v>1.445785405634521</v>
      </c>
    </row>
    <row r="251" spans="1:20" x14ac:dyDescent="0.25">
      <c r="A251" s="5">
        <v>44342</v>
      </c>
      <c r="B251">
        <v>13.916</v>
      </c>
      <c r="C251">
        <v>15.667</v>
      </c>
      <c r="D251">
        <v>13.6</v>
      </c>
      <c r="E251">
        <v>15.278</v>
      </c>
      <c r="F251">
        <v>3954342.679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0.6236090953072092</v>
      </c>
      <c r="Q251">
        <f t="shared" si="960"/>
        <v>2465964.060585876</v>
      </c>
      <c r="R251">
        <f t="shared" si="961"/>
        <v>144279157.72318122</v>
      </c>
      <c r="S251">
        <f t="shared" si="962"/>
        <v>1442.7915772318122</v>
      </c>
      <c r="T251">
        <f t="shared" si="963"/>
        <v>1.4427915772318123</v>
      </c>
    </row>
    <row r="252" spans="1:20" x14ac:dyDescent="0.25">
      <c r="A252" s="5">
        <v>44341</v>
      </c>
      <c r="B252">
        <v>14.541</v>
      </c>
      <c r="C252">
        <v>14.95</v>
      </c>
      <c r="D252">
        <v>12.356999999999999</v>
      </c>
      <c r="E252">
        <v>13.933999999999999</v>
      </c>
      <c r="F252">
        <v>5195073.9029999999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0.21635171615888929</v>
      </c>
      <c r="Q252">
        <f t="shared" si="960"/>
        <v>1123963.154486309</v>
      </c>
      <c r="R252">
        <f t="shared" si="961"/>
        <v>141813193.66259533</v>
      </c>
      <c r="S252">
        <f t="shared" si="962"/>
        <v>1418.1319366259534</v>
      </c>
      <c r="T252">
        <f t="shared" si="963"/>
        <v>1.4181319366259533</v>
      </c>
    </row>
    <row r="253" spans="1:20" x14ac:dyDescent="0.25">
      <c r="A253" s="5">
        <v>44340</v>
      </c>
      <c r="B253">
        <v>11.648999999999999</v>
      </c>
      <c r="C253">
        <v>14.58</v>
      </c>
      <c r="D253">
        <v>11.055999999999999</v>
      </c>
      <c r="E253">
        <v>14.541</v>
      </c>
      <c r="F253">
        <v>6313675.1859999998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0.97786606129398423</v>
      </c>
      <c r="Q253">
        <f t="shared" si="960"/>
        <v>6173928.6864233827</v>
      </c>
      <c r="R253">
        <f t="shared" si="961"/>
        <v>140689230.50810903</v>
      </c>
      <c r="S253">
        <f t="shared" si="962"/>
        <v>1406.8923050810904</v>
      </c>
      <c r="T253">
        <f t="shared" si="963"/>
        <v>1.4068923050810904</v>
      </c>
    </row>
    <row r="254" spans="1:20" x14ac:dyDescent="0.25">
      <c r="A254" s="5">
        <v>44339</v>
      </c>
      <c r="B254">
        <v>12.246</v>
      </c>
      <c r="C254">
        <v>13.097</v>
      </c>
      <c r="D254">
        <v>8.51</v>
      </c>
      <c r="E254">
        <v>11.648</v>
      </c>
      <c r="F254">
        <v>9013012.3149999995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0.36821451929365601</v>
      </c>
      <c r="Q254">
        <f t="shared" si="960"/>
        <v>3318721.9969555265</v>
      </c>
      <c r="R254">
        <f t="shared" si="961"/>
        <v>134515301.82168564</v>
      </c>
      <c r="S254">
        <f t="shared" si="962"/>
        <v>1345.1530182168565</v>
      </c>
      <c r="T254">
        <f t="shared" si="963"/>
        <v>1.3451530182168565</v>
      </c>
    </row>
    <row r="255" spans="1:20" x14ac:dyDescent="0.25">
      <c r="A255" s="5">
        <v>44338</v>
      </c>
      <c r="B255">
        <v>13.57</v>
      </c>
      <c r="C255">
        <v>13.699</v>
      </c>
      <c r="D255">
        <v>11.353999999999999</v>
      </c>
      <c r="E255">
        <v>12.237</v>
      </c>
      <c r="F255">
        <v>5064275.574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-0.24690831556503143</v>
      </c>
      <c r="Q255">
        <f t="shared" si="960"/>
        <v>-1250411.7515334727</v>
      </c>
      <c r="R255">
        <f t="shared" si="961"/>
        <v>131196579.82473011</v>
      </c>
      <c r="S255">
        <f t="shared" si="962"/>
        <v>1311.9657982473011</v>
      </c>
      <c r="T255">
        <f t="shared" si="963"/>
        <v>1.3119657982473012</v>
      </c>
    </row>
    <row r="256" spans="1:20" x14ac:dyDescent="0.25">
      <c r="A256" s="5">
        <v>44337</v>
      </c>
      <c r="B256">
        <v>16.917999999999999</v>
      </c>
      <c r="C256">
        <v>17.561</v>
      </c>
      <c r="D256">
        <v>11.353</v>
      </c>
      <c r="E256">
        <v>13.571999999999999</v>
      </c>
      <c r="F256">
        <v>7099077.1960000005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-0.28511597938144351</v>
      </c>
      <c r="Q256">
        <f t="shared" si="960"/>
        <v>-2024060.3474420118</v>
      </c>
      <c r="R256">
        <f t="shared" si="961"/>
        <v>132446991.57626359</v>
      </c>
      <c r="S256">
        <f t="shared" si="962"/>
        <v>1324.469915762636</v>
      </c>
      <c r="T256">
        <f t="shared" si="963"/>
        <v>1.3244699157626361</v>
      </c>
    </row>
    <row r="257" spans="1:20" x14ac:dyDescent="0.25">
      <c r="A257" s="5">
        <v>44336</v>
      </c>
      <c r="B257">
        <v>13.795</v>
      </c>
      <c r="C257">
        <v>17.363</v>
      </c>
      <c r="D257">
        <v>12.132999999999999</v>
      </c>
      <c r="E257">
        <v>16.916</v>
      </c>
      <c r="F257">
        <v>7632586.6210000003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0.82906309751434071</v>
      </c>
      <c r="Q257">
        <f t="shared" si="960"/>
        <v>6327895.9060527757</v>
      </c>
      <c r="R257">
        <f t="shared" si="961"/>
        <v>134471051.92370561</v>
      </c>
      <c r="S257">
        <f t="shared" si="962"/>
        <v>1344.7105192370561</v>
      </c>
      <c r="T257">
        <f t="shared" si="963"/>
        <v>1.3447105192370561</v>
      </c>
    </row>
    <row r="258" spans="1:20" x14ac:dyDescent="0.25">
      <c r="A258" s="5">
        <v>44335</v>
      </c>
      <c r="B258">
        <v>22.84</v>
      </c>
      <c r="C258">
        <v>23.5</v>
      </c>
      <c r="D258">
        <v>9.5510000000000002</v>
      </c>
      <c r="E258">
        <v>13.757</v>
      </c>
      <c r="F258">
        <v>12337466.093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-0.39694601763567289</v>
      </c>
      <c r="Q258">
        <f t="shared" si="960"/>
        <v>-4897308.0333314948</v>
      </c>
      <c r="R258">
        <f t="shared" si="961"/>
        <v>128143156.01765284</v>
      </c>
      <c r="S258">
        <f t="shared" si="962"/>
        <v>1281.4315601765284</v>
      </c>
      <c r="T258">
        <f t="shared" si="963"/>
        <v>1.2814315601765283</v>
      </c>
    </row>
    <row r="259" spans="1:20" x14ac:dyDescent="0.25">
      <c r="A259" s="5">
        <v>44334</v>
      </c>
      <c r="B259">
        <v>21.071999999999999</v>
      </c>
      <c r="C259">
        <v>23.416</v>
      </c>
      <c r="D259">
        <v>20.8</v>
      </c>
      <c r="E259">
        <v>22.84</v>
      </c>
      <c r="F259">
        <v>3742855.9479999999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0.55963302752293531</v>
      </c>
      <c r="Q259">
        <f t="shared" si="960"/>
        <v>2094625.805761466</v>
      </c>
      <c r="R259">
        <f t="shared" si="961"/>
        <v>133040464.05098434</v>
      </c>
      <c r="S259">
        <f t="shared" si="962"/>
        <v>1330.4046405098434</v>
      </c>
      <c r="T259">
        <f t="shared" si="963"/>
        <v>1.3304046405098433</v>
      </c>
    </row>
    <row r="260" spans="1:20" x14ac:dyDescent="0.25">
      <c r="A260" s="5">
        <v>44333</v>
      </c>
      <c r="B260">
        <v>24.248999999999999</v>
      </c>
      <c r="C260">
        <v>24.263999999999999</v>
      </c>
      <c r="D260">
        <v>20.648</v>
      </c>
      <c r="E260">
        <v>21.091000000000001</v>
      </c>
      <c r="F260">
        <v>4203544.0959999999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-0.75497787610619393</v>
      </c>
      <c r="Q260">
        <f t="shared" si="960"/>
        <v>-3173582.7937168111</v>
      </c>
      <c r="R260">
        <f t="shared" si="961"/>
        <v>130945838.24522287</v>
      </c>
      <c r="S260">
        <f t="shared" si="962"/>
        <v>1309.4583824522288</v>
      </c>
      <c r="T260">
        <f t="shared" si="963"/>
        <v>1.3094583824522288</v>
      </c>
    </row>
    <row r="261" spans="1:20" x14ac:dyDescent="0.25">
      <c r="A261" s="5">
        <v>44332</v>
      </c>
      <c r="B261">
        <v>24.495000000000001</v>
      </c>
      <c r="C261">
        <v>26.75</v>
      </c>
      <c r="D261">
        <v>22.631</v>
      </c>
      <c r="E261">
        <v>24.263999999999999</v>
      </c>
      <c r="F261">
        <v>3652274.2880000002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-0.20708909929594599</v>
      </c>
      <c r="Q261">
        <f t="shared" si="960"/>
        <v>-756346.19268366252</v>
      </c>
      <c r="R261">
        <f t="shared" si="961"/>
        <v>134119421.03893968</v>
      </c>
      <c r="S261">
        <f t="shared" si="962"/>
        <v>1341.1942103893969</v>
      </c>
      <c r="T261">
        <f t="shared" si="963"/>
        <v>1.3411942103893968</v>
      </c>
    </row>
    <row r="262" spans="1:20" x14ac:dyDescent="0.25">
      <c r="A262" s="5">
        <v>44331</v>
      </c>
      <c r="B262">
        <v>25.86</v>
      </c>
      <c r="C262">
        <v>28.748999999999999</v>
      </c>
      <c r="D262">
        <v>24.337</v>
      </c>
      <c r="E262">
        <v>24.495000000000001</v>
      </c>
      <c r="F262">
        <v>7364754.8590000002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-0.92837715321849446</v>
      </c>
      <c r="Q262">
        <f t="shared" ref="Q262:Q325" si="965">F262*P262</f>
        <v>-6837270.1501504947</v>
      </c>
      <c r="R262">
        <f t="shared" ref="R262:R325" si="966">R263+Q262</f>
        <v>134875767.23162335</v>
      </c>
      <c r="S262">
        <f t="shared" ref="S262:S325" si="967">R262/100000</f>
        <v>1348.7576723162335</v>
      </c>
      <c r="T262">
        <f t="shared" ref="T262:T325" si="968">S262/1000</f>
        <v>1.3487576723162336</v>
      </c>
    </row>
    <row r="263" spans="1:20" x14ac:dyDescent="0.25">
      <c r="A263" s="5">
        <v>44330</v>
      </c>
      <c r="B263">
        <v>23.494</v>
      </c>
      <c r="C263">
        <v>25.872</v>
      </c>
      <c r="D263">
        <v>23.402000000000001</v>
      </c>
      <c r="E263">
        <v>25.856000000000002</v>
      </c>
      <c r="F263">
        <v>2573798.3670000001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0.98704453441295692</v>
      </c>
      <c r="Q263">
        <f t="shared" si="965"/>
        <v>2540453.6108283438</v>
      </c>
      <c r="R263">
        <f t="shared" si="966"/>
        <v>141713037.38177386</v>
      </c>
      <c r="S263">
        <f t="shared" si="967"/>
        <v>1417.1303738177387</v>
      </c>
      <c r="T263">
        <f t="shared" si="968"/>
        <v>1.4171303738177388</v>
      </c>
    </row>
    <row r="264" spans="1:20" x14ac:dyDescent="0.25">
      <c r="A264" s="5">
        <v>44329</v>
      </c>
      <c r="B264">
        <v>22.946999999999999</v>
      </c>
      <c r="C264">
        <v>25.305</v>
      </c>
      <c r="D264">
        <v>21.814</v>
      </c>
      <c r="E264">
        <v>23.494</v>
      </c>
      <c r="F264">
        <v>4650901.4380000001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-3.7525064451446648E-2</v>
      </c>
      <c r="Q264">
        <f t="shared" si="965"/>
        <v>-174525.37621827589</v>
      </c>
      <c r="R264">
        <f t="shared" si="966"/>
        <v>139172583.77094552</v>
      </c>
      <c r="S264">
        <f t="shared" si="967"/>
        <v>1391.7258377094552</v>
      </c>
      <c r="T264">
        <f t="shared" si="968"/>
        <v>1.3917258377094552</v>
      </c>
    </row>
    <row r="265" spans="1:20" x14ac:dyDescent="0.25">
      <c r="A265" s="5">
        <v>44328</v>
      </c>
      <c r="B265">
        <v>26.898</v>
      </c>
      <c r="C265">
        <v>27.777999999999999</v>
      </c>
      <c r="D265">
        <v>22.3</v>
      </c>
      <c r="E265">
        <v>23.012</v>
      </c>
      <c r="F265">
        <v>4686306.7609999999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-0.74005111354508946</v>
      </c>
      <c r="Q265">
        <f t="shared" si="965"/>
        <v>-3468106.5368919312</v>
      </c>
      <c r="R265">
        <f t="shared" si="966"/>
        <v>139347109.14716381</v>
      </c>
      <c r="S265">
        <f t="shared" si="967"/>
        <v>1393.4710914716381</v>
      </c>
      <c r="T265">
        <f t="shared" si="968"/>
        <v>1.3934710914716382</v>
      </c>
    </row>
    <row r="266" spans="1:20" x14ac:dyDescent="0.25">
      <c r="A266" s="5">
        <v>44327</v>
      </c>
      <c r="B266">
        <v>25.356999999999999</v>
      </c>
      <c r="C266">
        <v>27.065000000000001</v>
      </c>
      <c r="D266">
        <v>23.834</v>
      </c>
      <c r="E266">
        <v>26.902000000000001</v>
      </c>
      <c r="F266">
        <v>3648487.6970000002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0.89910244506344772</v>
      </c>
      <c r="Q266">
        <f t="shared" si="965"/>
        <v>3280364.2091566077</v>
      </c>
      <c r="R266">
        <f t="shared" si="966"/>
        <v>142815215.68405575</v>
      </c>
      <c r="S266">
        <f t="shared" si="967"/>
        <v>1428.1521568405574</v>
      </c>
      <c r="T266">
        <f t="shared" si="968"/>
        <v>1.4281521568405573</v>
      </c>
    </row>
    <row r="267" spans="1:20" x14ac:dyDescent="0.25">
      <c r="A267" s="5">
        <v>44326</v>
      </c>
      <c r="B267">
        <v>28.712</v>
      </c>
      <c r="C267">
        <v>29.9</v>
      </c>
      <c r="D267">
        <v>23.6</v>
      </c>
      <c r="E267">
        <v>25.356999999999999</v>
      </c>
      <c r="F267">
        <v>5304505.1660000002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-0.44222222222222263</v>
      </c>
      <c r="Q267">
        <f t="shared" si="965"/>
        <v>-2345770.0622977801</v>
      </c>
      <c r="R267">
        <f t="shared" si="966"/>
        <v>139534851.47489914</v>
      </c>
      <c r="S267">
        <f t="shared" si="967"/>
        <v>1395.3485147489914</v>
      </c>
      <c r="T267">
        <f t="shared" si="968"/>
        <v>1.3953485147489915</v>
      </c>
    </row>
    <row r="268" spans="1:20" x14ac:dyDescent="0.25">
      <c r="A268" s="5">
        <v>44325</v>
      </c>
      <c r="B268">
        <v>29.492999999999999</v>
      </c>
      <c r="C268">
        <v>29.99</v>
      </c>
      <c r="D268">
        <v>26.1</v>
      </c>
      <c r="E268">
        <v>28.712</v>
      </c>
      <c r="F268">
        <v>4651058.5020000003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0.34293059125964026</v>
      </c>
      <c r="Q268">
        <f t="shared" si="965"/>
        <v>1594990.2420740367</v>
      </c>
      <c r="R268">
        <f t="shared" si="966"/>
        <v>141880621.53719693</v>
      </c>
      <c r="S268">
        <f t="shared" si="967"/>
        <v>1418.8062153719693</v>
      </c>
      <c r="T268">
        <f t="shared" si="968"/>
        <v>1.4188062153719694</v>
      </c>
    </row>
    <row r="269" spans="1:20" x14ac:dyDescent="0.25">
      <c r="A269" s="5">
        <v>44324</v>
      </c>
      <c r="B269">
        <v>28.651</v>
      </c>
      <c r="C269">
        <v>31.452000000000002</v>
      </c>
      <c r="D269">
        <v>26.870999999999999</v>
      </c>
      <c r="E269">
        <v>29.524000000000001</v>
      </c>
      <c r="F269">
        <v>6832430.5619999999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0.15826238812486376</v>
      </c>
      <c r="Q269">
        <f t="shared" si="965"/>
        <v>1081316.777439425</v>
      </c>
      <c r="R269">
        <f t="shared" si="966"/>
        <v>140285631.29512289</v>
      </c>
      <c r="S269">
        <f t="shared" si="967"/>
        <v>1402.856312951229</v>
      </c>
      <c r="T269">
        <f t="shared" si="968"/>
        <v>1.402856312951229</v>
      </c>
    </row>
    <row r="270" spans="1:20" x14ac:dyDescent="0.25">
      <c r="A270" s="5">
        <v>44323</v>
      </c>
      <c r="B270">
        <v>25.533000000000001</v>
      </c>
      <c r="C270">
        <v>32.323999999999998</v>
      </c>
      <c r="D270">
        <v>24.998999999999999</v>
      </c>
      <c r="E270">
        <v>28.640999999999998</v>
      </c>
      <c r="F270">
        <v>12153118.692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-5.5972696245734296E-3</v>
      </c>
      <c r="Q270">
        <f t="shared" si="965"/>
        <v>-68024.282098567171</v>
      </c>
      <c r="R270">
        <f t="shared" si="966"/>
        <v>139204314.51768348</v>
      </c>
      <c r="S270">
        <f t="shared" si="967"/>
        <v>1392.0431451768347</v>
      </c>
      <c r="T270">
        <f t="shared" si="968"/>
        <v>1.3920431451768347</v>
      </c>
    </row>
    <row r="271" spans="1:20" x14ac:dyDescent="0.25">
      <c r="A271" s="5">
        <v>44322</v>
      </c>
      <c r="B271">
        <v>24.876000000000001</v>
      </c>
      <c r="C271">
        <v>27.119</v>
      </c>
      <c r="D271">
        <v>24.091000000000001</v>
      </c>
      <c r="E271">
        <v>25.542000000000002</v>
      </c>
      <c r="F271">
        <v>6880841.625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-4.1611624834873753E-2</v>
      </c>
      <c r="Q271">
        <f t="shared" si="965"/>
        <v>-286323.00024768309</v>
      </c>
      <c r="R271">
        <f t="shared" si="966"/>
        <v>139272338.79978204</v>
      </c>
      <c r="S271">
        <f t="shared" si="967"/>
        <v>1392.7233879978203</v>
      </c>
      <c r="T271">
        <f t="shared" si="968"/>
        <v>1.3927233879978203</v>
      </c>
    </row>
    <row r="272" spans="1:20" x14ac:dyDescent="0.25">
      <c r="A272" s="5">
        <v>44321</v>
      </c>
      <c r="B272">
        <v>20.975000000000001</v>
      </c>
      <c r="C272">
        <v>24.881</v>
      </c>
      <c r="D272">
        <v>20.582000000000001</v>
      </c>
      <c r="E272">
        <v>24.876999999999999</v>
      </c>
      <c r="F272">
        <v>3992867.7689999999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0.9981391021167707</v>
      </c>
      <c r="Q272">
        <f t="shared" si="965"/>
        <v>3985437.4498206531</v>
      </c>
      <c r="R272">
        <f t="shared" si="966"/>
        <v>139558661.80002972</v>
      </c>
      <c r="S272">
        <f t="shared" si="967"/>
        <v>1395.5866180002972</v>
      </c>
      <c r="T272">
        <f t="shared" si="968"/>
        <v>1.3955866180002972</v>
      </c>
    </row>
    <row r="273" spans="1:20" x14ac:dyDescent="0.25">
      <c r="A273" s="5">
        <v>44320</v>
      </c>
      <c r="B273">
        <v>22.966999999999999</v>
      </c>
      <c r="C273">
        <v>23.4</v>
      </c>
      <c r="D273">
        <v>20.809000000000001</v>
      </c>
      <c r="E273">
        <v>20.963000000000001</v>
      </c>
      <c r="F273">
        <v>3649407.5819999999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-0.88112697800077189</v>
      </c>
      <c r="Q273">
        <f t="shared" si="965"/>
        <v>-3215591.4742207639</v>
      </c>
      <c r="R273">
        <f t="shared" si="966"/>
        <v>135573224.35020906</v>
      </c>
      <c r="S273">
        <f t="shared" si="967"/>
        <v>1355.7322435020906</v>
      </c>
      <c r="T273">
        <f t="shared" si="968"/>
        <v>1.3557322435020907</v>
      </c>
    </row>
    <row r="274" spans="1:20" x14ac:dyDescent="0.25">
      <c r="A274" s="5">
        <v>44319</v>
      </c>
      <c r="B274">
        <v>23.085999999999999</v>
      </c>
      <c r="C274">
        <v>23.786999999999999</v>
      </c>
      <c r="D274">
        <v>22.414000000000001</v>
      </c>
      <c r="E274">
        <v>22.937999999999999</v>
      </c>
      <c r="F274">
        <v>2302562.395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-0.23670793882010446</v>
      </c>
      <c r="Q274">
        <f t="shared" si="965"/>
        <v>-545034.79852513317</v>
      </c>
      <c r="R274">
        <f t="shared" si="966"/>
        <v>138788815.82442981</v>
      </c>
      <c r="S274">
        <f t="shared" si="967"/>
        <v>1387.8881582442982</v>
      </c>
      <c r="T274">
        <f t="shared" si="968"/>
        <v>1.3878881582442981</v>
      </c>
    </row>
    <row r="275" spans="1:20" x14ac:dyDescent="0.25">
      <c r="A275" s="5">
        <v>44318</v>
      </c>
      <c r="B275">
        <v>23.797999999999998</v>
      </c>
      <c r="C275">
        <v>23.936</v>
      </c>
      <c r="D275">
        <v>22.155000000000001</v>
      </c>
      <c r="E275">
        <v>23.088000000000001</v>
      </c>
      <c r="F275">
        <v>2276512.0639999998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4.7725996631106632E-2</v>
      </c>
      <c r="Q275">
        <f t="shared" si="965"/>
        <v>108648.8070971376</v>
      </c>
      <c r="R275">
        <f t="shared" si="966"/>
        <v>139333850.62295493</v>
      </c>
      <c r="S275">
        <f t="shared" si="967"/>
        <v>1393.3385062295492</v>
      </c>
      <c r="T275">
        <f t="shared" si="968"/>
        <v>1.3933385062295491</v>
      </c>
    </row>
    <row r="276" spans="1:20" x14ac:dyDescent="0.25">
      <c r="A276" s="5">
        <v>44317</v>
      </c>
      <c r="B276">
        <v>22.7</v>
      </c>
      <c r="C276">
        <v>24.488</v>
      </c>
      <c r="D276">
        <v>22.431999999999999</v>
      </c>
      <c r="E276">
        <v>23.800999999999998</v>
      </c>
      <c r="F276">
        <v>3120143.31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0.33171206225680849</v>
      </c>
      <c r="Q276">
        <f t="shared" si="965"/>
        <v>1034989.1718968846</v>
      </c>
      <c r="R276">
        <f t="shared" si="966"/>
        <v>139225201.8158578</v>
      </c>
      <c r="S276">
        <f t="shared" si="967"/>
        <v>1392.252018158578</v>
      </c>
      <c r="T276">
        <f t="shared" si="968"/>
        <v>1.392252018158578</v>
      </c>
    </row>
    <row r="277" spans="1:20" x14ac:dyDescent="0.25">
      <c r="A277" s="5">
        <v>44316</v>
      </c>
      <c r="B277">
        <v>22.222000000000001</v>
      </c>
      <c r="C277">
        <v>23.468</v>
      </c>
      <c r="D277">
        <v>21.684000000000001</v>
      </c>
      <c r="E277">
        <v>22.704000000000001</v>
      </c>
      <c r="F277">
        <v>2758486.247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0.14349775784753385</v>
      </c>
      <c r="Q277">
        <f t="shared" si="965"/>
        <v>395836.59149775846</v>
      </c>
      <c r="R277">
        <f t="shared" si="966"/>
        <v>138190212.64396092</v>
      </c>
      <c r="S277">
        <f t="shared" si="967"/>
        <v>1381.9021264396092</v>
      </c>
      <c r="T277">
        <f t="shared" si="968"/>
        <v>1.3819021264396092</v>
      </c>
    </row>
    <row r="278" spans="1:20" x14ac:dyDescent="0.25">
      <c r="A278" s="5">
        <v>44315</v>
      </c>
      <c r="B278">
        <v>22.928999999999998</v>
      </c>
      <c r="C278">
        <v>23.021000000000001</v>
      </c>
      <c r="D278">
        <v>21.129000000000001</v>
      </c>
      <c r="E278">
        <v>22.222000000000001</v>
      </c>
      <c r="F278">
        <v>2771407.7940000002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0.15539112050739987</v>
      </c>
      <c r="Q278">
        <f t="shared" si="965"/>
        <v>430652.16249260126</v>
      </c>
      <c r="R278">
        <f t="shared" si="966"/>
        <v>137794376.05246317</v>
      </c>
      <c r="S278">
        <f t="shared" si="967"/>
        <v>1377.9437605246317</v>
      </c>
      <c r="T278">
        <f t="shared" si="968"/>
        <v>1.3779437605246316</v>
      </c>
    </row>
    <row r="279" spans="1:20" x14ac:dyDescent="0.25">
      <c r="A279" s="5">
        <v>44314</v>
      </c>
      <c r="B279">
        <v>23.058</v>
      </c>
      <c r="C279">
        <v>24.163</v>
      </c>
      <c r="D279">
        <v>21.785</v>
      </c>
      <c r="E279">
        <v>22.927</v>
      </c>
      <c r="F279">
        <v>3548729.48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-3.9529015979815472E-2</v>
      </c>
      <c r="Q279">
        <f t="shared" si="965"/>
        <v>-140277.78432296225</v>
      </c>
      <c r="R279">
        <f t="shared" si="966"/>
        <v>137363723.88997057</v>
      </c>
      <c r="S279">
        <f t="shared" si="967"/>
        <v>1373.6372388997056</v>
      </c>
      <c r="T279">
        <f t="shared" si="968"/>
        <v>1.3736372388997056</v>
      </c>
    </row>
    <row r="280" spans="1:20" x14ac:dyDescent="0.25">
      <c r="A280" s="5">
        <v>44313</v>
      </c>
      <c r="B280">
        <v>22.079000000000001</v>
      </c>
      <c r="C280">
        <v>23.437999999999999</v>
      </c>
      <c r="D280">
        <v>21.244</v>
      </c>
      <c r="E280">
        <v>23.038</v>
      </c>
      <c r="F280">
        <v>3075761.733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0.63536918869644599</v>
      </c>
      <c r="Q280">
        <f t="shared" si="965"/>
        <v>1954244.2369197847</v>
      </c>
      <c r="R280">
        <f t="shared" si="966"/>
        <v>137504001.67429355</v>
      </c>
      <c r="S280">
        <f t="shared" si="967"/>
        <v>1375.0400167429354</v>
      </c>
      <c r="T280">
        <f t="shared" si="968"/>
        <v>1.3750400167429355</v>
      </c>
    </row>
    <row r="281" spans="1:20" x14ac:dyDescent="0.25">
      <c r="A281" s="5">
        <v>44312</v>
      </c>
      <c r="B281">
        <v>18.690000000000001</v>
      </c>
      <c r="C281">
        <v>23.5</v>
      </c>
      <c r="D281">
        <v>18.477</v>
      </c>
      <c r="E281">
        <v>22.058</v>
      </c>
      <c r="F281">
        <v>4310853.3969999999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0.42584113079832758</v>
      </c>
      <c r="Q281">
        <f t="shared" si="965"/>
        <v>1835738.6852842916</v>
      </c>
      <c r="R281">
        <f t="shared" si="966"/>
        <v>135549757.43737376</v>
      </c>
      <c r="S281">
        <f t="shared" si="967"/>
        <v>1355.4975743737375</v>
      </c>
      <c r="T281">
        <f t="shared" si="968"/>
        <v>1.3554975743737374</v>
      </c>
    </row>
    <row r="282" spans="1:20" x14ac:dyDescent="0.25">
      <c r="A282" s="5">
        <v>44311</v>
      </c>
      <c r="B282">
        <v>18.462</v>
      </c>
      <c r="C282">
        <v>19.8</v>
      </c>
      <c r="D282">
        <v>17.600999999999999</v>
      </c>
      <c r="E282">
        <v>18.687000000000001</v>
      </c>
      <c r="F282">
        <v>2283076.801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-1.2278308321963371E-2</v>
      </c>
      <c r="Q282">
        <f t="shared" si="965"/>
        <v>-28032.320885399811</v>
      </c>
      <c r="R282">
        <f t="shared" si="966"/>
        <v>133714018.75208946</v>
      </c>
      <c r="S282">
        <f t="shared" si="967"/>
        <v>1337.1401875208946</v>
      </c>
      <c r="T282">
        <f t="shared" si="968"/>
        <v>1.3371401875208946</v>
      </c>
    </row>
    <row r="283" spans="1:20" x14ac:dyDescent="0.25">
      <c r="A283" s="5">
        <v>44310</v>
      </c>
      <c r="B283">
        <v>20.497</v>
      </c>
      <c r="C283">
        <v>20.548999999999999</v>
      </c>
      <c r="D283">
        <v>18.303999999999998</v>
      </c>
      <c r="E283">
        <v>18.457999999999998</v>
      </c>
      <c r="F283">
        <v>2545421.4670000002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-0.86280623608017826</v>
      </c>
      <c r="Q283">
        <f t="shared" si="965"/>
        <v>-2196205.5151799559</v>
      </c>
      <c r="R283">
        <f t="shared" si="966"/>
        <v>133742051.07297486</v>
      </c>
      <c r="S283">
        <f t="shared" si="967"/>
        <v>1337.4205107297487</v>
      </c>
      <c r="T283">
        <f t="shared" si="968"/>
        <v>1.3374205107297488</v>
      </c>
    </row>
    <row r="284" spans="1:20" x14ac:dyDescent="0.25">
      <c r="A284" s="5">
        <v>44309</v>
      </c>
      <c r="B284">
        <v>18.725000000000001</v>
      </c>
      <c r="C284">
        <v>20.55</v>
      </c>
      <c r="D284">
        <v>16.559999999999999</v>
      </c>
      <c r="E284">
        <v>20.515000000000001</v>
      </c>
      <c r="F284">
        <v>6581721.2429999998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0.98245614035087714</v>
      </c>
      <c r="Q284">
        <f t="shared" si="965"/>
        <v>6466252.4492631573</v>
      </c>
      <c r="R284">
        <f t="shared" si="966"/>
        <v>135938256.58815482</v>
      </c>
      <c r="S284">
        <f t="shared" si="967"/>
        <v>1359.3825658815483</v>
      </c>
      <c r="T284">
        <f t="shared" si="968"/>
        <v>1.3593825658815484</v>
      </c>
    </row>
    <row r="285" spans="1:20" x14ac:dyDescent="0.25">
      <c r="A285" s="5">
        <v>44308</v>
      </c>
      <c r="B285">
        <v>19.57</v>
      </c>
      <c r="C285">
        <v>21.56</v>
      </c>
      <c r="D285">
        <v>18.5</v>
      </c>
      <c r="E285">
        <v>18.725000000000001</v>
      </c>
      <c r="F285">
        <v>4796116.93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-0.8529411764705872</v>
      </c>
      <c r="Q285">
        <f t="shared" si="965"/>
        <v>-4090805.6167647005</v>
      </c>
      <c r="R285">
        <f t="shared" si="966"/>
        <v>129472004.13889165</v>
      </c>
      <c r="S285">
        <f t="shared" si="967"/>
        <v>1294.7200413889166</v>
      </c>
      <c r="T285">
        <f t="shared" si="968"/>
        <v>1.2947200413889166</v>
      </c>
    </row>
    <row r="286" spans="1:20" x14ac:dyDescent="0.25">
      <c r="A286" s="5">
        <v>44307</v>
      </c>
      <c r="B286">
        <v>21.251000000000001</v>
      </c>
      <c r="C286">
        <v>21.5</v>
      </c>
      <c r="D286">
        <v>19.347000000000001</v>
      </c>
      <c r="E286">
        <v>19.550999999999998</v>
      </c>
      <c r="F286">
        <v>3958949.466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-0.81049698095680711</v>
      </c>
      <c r="Q286">
        <f t="shared" si="965"/>
        <v>-3208716.5899535636</v>
      </c>
      <c r="R286">
        <f t="shared" si="966"/>
        <v>133562809.75565635</v>
      </c>
      <c r="S286">
        <f t="shared" si="967"/>
        <v>1335.6280975565635</v>
      </c>
      <c r="T286">
        <f t="shared" si="968"/>
        <v>1.3356280975565635</v>
      </c>
    </row>
    <row r="287" spans="1:20" x14ac:dyDescent="0.25">
      <c r="A287" s="5">
        <v>44306</v>
      </c>
      <c r="B287">
        <v>19.196000000000002</v>
      </c>
      <c r="C287">
        <v>21.6</v>
      </c>
      <c r="D287">
        <v>17.643999999999998</v>
      </c>
      <c r="E287">
        <v>21.254000000000001</v>
      </c>
      <c r="F287">
        <v>5530702.4759999998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0.82507583417593533</v>
      </c>
      <c r="Q287">
        <f t="shared" si="965"/>
        <v>4563248.9589646105</v>
      </c>
      <c r="R287">
        <f t="shared" si="966"/>
        <v>136771526.3456099</v>
      </c>
      <c r="S287">
        <f t="shared" si="967"/>
        <v>1367.7152634560991</v>
      </c>
      <c r="T287">
        <f t="shared" si="968"/>
        <v>1.3677152634560992</v>
      </c>
    </row>
    <row r="288" spans="1:20" x14ac:dyDescent="0.25">
      <c r="A288" s="5">
        <v>44305</v>
      </c>
      <c r="B288">
        <v>21.388000000000002</v>
      </c>
      <c r="C288">
        <v>22.248000000000001</v>
      </c>
      <c r="D288">
        <v>18.841000000000001</v>
      </c>
      <c r="E288">
        <v>19.199000000000002</v>
      </c>
      <c r="F288">
        <v>4797811.0619999999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-0.78984443792192516</v>
      </c>
      <c r="Q288">
        <f t="shared" si="965"/>
        <v>-3789524.3815209847</v>
      </c>
      <c r="R288">
        <f t="shared" si="966"/>
        <v>132208277.38664529</v>
      </c>
      <c r="S288">
        <f t="shared" si="967"/>
        <v>1322.082773866453</v>
      </c>
      <c r="T288">
        <f t="shared" si="968"/>
        <v>1.3220827738664529</v>
      </c>
    </row>
    <row r="289" spans="1:20" x14ac:dyDescent="0.25">
      <c r="A289" s="5">
        <v>44304</v>
      </c>
      <c r="B289">
        <v>24.32</v>
      </c>
      <c r="C289">
        <v>24.849</v>
      </c>
      <c r="D289">
        <v>17.100000000000001</v>
      </c>
      <c r="E289">
        <v>21.402999999999999</v>
      </c>
      <c r="F289">
        <v>7560554.1840000004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0.11059491547296373</v>
      </c>
      <c r="Q289">
        <f t="shared" si="965"/>
        <v>836158.85090824228</v>
      </c>
      <c r="R289">
        <f t="shared" si="966"/>
        <v>135997801.76816627</v>
      </c>
      <c r="S289">
        <f t="shared" si="967"/>
        <v>1359.9780176816628</v>
      </c>
      <c r="T289">
        <f t="shared" si="968"/>
        <v>1.3599780176816627</v>
      </c>
    </row>
    <row r="290" spans="1:20" x14ac:dyDescent="0.25">
      <c r="A290" s="5">
        <v>44303</v>
      </c>
      <c r="B290">
        <v>25.46</v>
      </c>
      <c r="C290">
        <v>27.504999999999999</v>
      </c>
      <c r="D290">
        <v>24.282</v>
      </c>
      <c r="E290">
        <v>24.341999999999999</v>
      </c>
      <c r="F290">
        <v>3883290.2740000002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-0.96276760781880311</v>
      </c>
      <c r="Q290">
        <f t="shared" si="965"/>
        <v>-3738706.0875650048</v>
      </c>
      <c r="R290">
        <f t="shared" si="966"/>
        <v>135161642.91725802</v>
      </c>
      <c r="S290">
        <f t="shared" si="967"/>
        <v>1351.6164291725802</v>
      </c>
      <c r="T290">
        <f t="shared" si="968"/>
        <v>1.3516164291725803</v>
      </c>
    </row>
    <row r="291" spans="1:20" x14ac:dyDescent="0.25">
      <c r="A291" s="5">
        <v>44302</v>
      </c>
      <c r="B291">
        <v>27.798999999999999</v>
      </c>
      <c r="C291">
        <v>28.172000000000001</v>
      </c>
      <c r="D291">
        <v>24.027999999999999</v>
      </c>
      <c r="E291">
        <v>25.46</v>
      </c>
      <c r="F291">
        <v>5006504.1310000001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-0.30888030888030815</v>
      </c>
      <c r="Q291">
        <f t="shared" si="965"/>
        <v>-1546410.5423938187</v>
      </c>
      <c r="R291">
        <f t="shared" si="966"/>
        <v>138900349.00482303</v>
      </c>
      <c r="S291">
        <f t="shared" si="967"/>
        <v>1389.0034900482303</v>
      </c>
      <c r="T291">
        <f t="shared" si="968"/>
        <v>1.3890034900482304</v>
      </c>
    </row>
    <row r="292" spans="1:20" x14ac:dyDescent="0.25">
      <c r="A292" s="5">
        <v>44301</v>
      </c>
      <c r="B292">
        <v>27.077999999999999</v>
      </c>
      <c r="C292">
        <v>28.53</v>
      </c>
      <c r="D292">
        <v>25.939</v>
      </c>
      <c r="E292">
        <v>27.786000000000001</v>
      </c>
      <c r="F292">
        <v>6595956.7199999997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0.42570436125048283</v>
      </c>
      <c r="Q292">
        <f t="shared" si="965"/>
        <v>2807927.5423234296</v>
      </c>
      <c r="R292">
        <f t="shared" si="966"/>
        <v>140446759.54721686</v>
      </c>
      <c r="S292">
        <f t="shared" si="967"/>
        <v>1404.4675954721686</v>
      </c>
      <c r="T292">
        <f t="shared" si="968"/>
        <v>1.4044675954721686</v>
      </c>
    </row>
    <row r="293" spans="1:20" x14ac:dyDescent="0.25">
      <c r="A293" s="5">
        <v>44300</v>
      </c>
      <c r="B293">
        <v>23.821999999999999</v>
      </c>
      <c r="C293">
        <v>27.138000000000002</v>
      </c>
      <c r="D293">
        <v>22.777000000000001</v>
      </c>
      <c r="E293">
        <v>27.068000000000001</v>
      </c>
      <c r="F293">
        <v>8374149.5039999997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0.96789727126805769</v>
      </c>
      <c r="Q293">
        <f t="shared" si="965"/>
        <v>8105316.4541123584</v>
      </c>
      <c r="R293">
        <f t="shared" si="966"/>
        <v>137638832.00489342</v>
      </c>
      <c r="S293">
        <f t="shared" si="967"/>
        <v>1376.3883200489342</v>
      </c>
      <c r="T293">
        <f t="shared" si="968"/>
        <v>1.3763883200489342</v>
      </c>
    </row>
    <row r="294" spans="1:20" x14ac:dyDescent="0.25">
      <c r="A294" s="5">
        <v>44299</v>
      </c>
      <c r="B294">
        <v>22.001999999999999</v>
      </c>
      <c r="C294">
        <v>24.899000000000001</v>
      </c>
      <c r="D294">
        <v>21.332999999999998</v>
      </c>
      <c r="E294">
        <v>23.829000000000001</v>
      </c>
      <c r="F294">
        <v>5066787.466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0.39988782950084156</v>
      </c>
      <c r="Q294">
        <f t="shared" si="965"/>
        <v>2026146.6423208092</v>
      </c>
      <c r="R294">
        <f t="shared" si="966"/>
        <v>129533515.55078107</v>
      </c>
      <c r="S294">
        <f t="shared" si="967"/>
        <v>1295.3351555078107</v>
      </c>
      <c r="T294">
        <f t="shared" si="968"/>
        <v>1.2953351555078108</v>
      </c>
    </row>
    <row r="295" spans="1:20" x14ac:dyDescent="0.25">
      <c r="A295" s="5">
        <v>44298</v>
      </c>
      <c r="B295">
        <v>23.372</v>
      </c>
      <c r="C295">
        <v>23.785</v>
      </c>
      <c r="D295">
        <v>21.222000000000001</v>
      </c>
      <c r="E295">
        <v>22.012</v>
      </c>
      <c r="F295">
        <v>4561710.8609999996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-0.38353492001560707</v>
      </c>
      <c r="Q295">
        <f t="shared" si="965"/>
        <v>-1749575.410207961</v>
      </c>
      <c r="R295">
        <f t="shared" si="966"/>
        <v>127507368.90846026</v>
      </c>
      <c r="S295">
        <f t="shared" si="967"/>
        <v>1275.0736890846026</v>
      </c>
      <c r="T295">
        <f t="shared" si="968"/>
        <v>1.2750736890846026</v>
      </c>
    </row>
    <row r="296" spans="1:20" x14ac:dyDescent="0.25">
      <c r="A296" s="5">
        <v>44297</v>
      </c>
      <c r="B296">
        <v>21.006</v>
      </c>
      <c r="C296">
        <v>23.5</v>
      </c>
      <c r="D296">
        <v>20.734000000000002</v>
      </c>
      <c r="E296">
        <v>23.364999999999998</v>
      </c>
      <c r="F296">
        <v>3149692.2450000001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0.90238611713665828</v>
      </c>
      <c r="Q296">
        <f t="shared" si="965"/>
        <v>2842238.5551409945</v>
      </c>
      <c r="R296">
        <f t="shared" si="966"/>
        <v>129256944.31866822</v>
      </c>
      <c r="S296">
        <f t="shared" si="967"/>
        <v>1292.5694431866821</v>
      </c>
      <c r="T296">
        <f t="shared" si="968"/>
        <v>1.2925694431866821</v>
      </c>
    </row>
    <row r="297" spans="1:20" x14ac:dyDescent="0.25">
      <c r="A297" s="5">
        <v>44296</v>
      </c>
      <c r="B297">
        <v>21.396000000000001</v>
      </c>
      <c r="C297">
        <v>22.666</v>
      </c>
      <c r="D297">
        <v>20.550999999999998</v>
      </c>
      <c r="E297">
        <v>21.024999999999999</v>
      </c>
      <c r="F297">
        <v>3770878.77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-0.55177304964539031</v>
      </c>
      <c r="Q297">
        <f t="shared" si="965"/>
        <v>-2080669.2787659583</v>
      </c>
      <c r="R297">
        <f t="shared" si="966"/>
        <v>126414705.76352723</v>
      </c>
      <c r="S297">
        <f t="shared" si="967"/>
        <v>1264.1470576352724</v>
      </c>
      <c r="T297">
        <f t="shared" si="968"/>
        <v>1.2641470576352725</v>
      </c>
    </row>
    <row r="298" spans="1:20" x14ac:dyDescent="0.25">
      <c r="A298" s="5">
        <v>44295</v>
      </c>
      <c r="B298">
        <v>20.542999999999999</v>
      </c>
      <c r="C298">
        <v>21.539000000000001</v>
      </c>
      <c r="D298">
        <v>20.486000000000001</v>
      </c>
      <c r="E298">
        <v>21.393000000000001</v>
      </c>
      <c r="F298">
        <v>2358215.44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0.72269705603038803</v>
      </c>
      <c r="Q298">
        <f t="shared" si="965"/>
        <v>1704275.3559734062</v>
      </c>
      <c r="R298">
        <f t="shared" si="966"/>
        <v>128495375.04229319</v>
      </c>
      <c r="S298">
        <f t="shared" si="967"/>
        <v>1284.953750422932</v>
      </c>
      <c r="T298">
        <f t="shared" si="968"/>
        <v>1.284953750422932</v>
      </c>
    </row>
    <row r="299" spans="1:20" x14ac:dyDescent="0.25">
      <c r="A299" s="5">
        <v>44294</v>
      </c>
      <c r="B299">
        <v>19.565999999999999</v>
      </c>
      <c r="C299">
        <v>20.638999999999999</v>
      </c>
      <c r="D299">
        <v>19.472000000000001</v>
      </c>
      <c r="E299">
        <v>20.542999999999999</v>
      </c>
      <c r="F299">
        <v>2374446.44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0.83547557840616926</v>
      </c>
      <c r="Q299">
        <f t="shared" si="965"/>
        <v>1983792.0128534695</v>
      </c>
      <c r="R299">
        <f t="shared" si="966"/>
        <v>126791099.68631978</v>
      </c>
      <c r="S299">
        <f t="shared" si="967"/>
        <v>1267.9109968631979</v>
      </c>
      <c r="T299">
        <f t="shared" si="968"/>
        <v>1.2679109968631979</v>
      </c>
    </row>
    <row r="300" spans="1:20" x14ac:dyDescent="0.25">
      <c r="A300" s="5">
        <v>44293</v>
      </c>
      <c r="B300">
        <v>21.643000000000001</v>
      </c>
      <c r="C300">
        <v>22.1</v>
      </c>
      <c r="D300">
        <v>18.651</v>
      </c>
      <c r="E300">
        <v>19.558</v>
      </c>
      <c r="F300">
        <v>4977703.341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-0.47405044940562507</v>
      </c>
      <c r="Q300">
        <f t="shared" si="965"/>
        <v>-2359682.5058089313</v>
      </c>
      <c r="R300">
        <f t="shared" si="966"/>
        <v>124807307.67346631</v>
      </c>
      <c r="S300">
        <f t="shared" si="967"/>
        <v>1248.0730767346631</v>
      </c>
      <c r="T300">
        <f t="shared" si="968"/>
        <v>1.2480730767346631</v>
      </c>
    </row>
    <row r="301" spans="1:20" x14ac:dyDescent="0.25">
      <c r="A301" s="5">
        <v>44292</v>
      </c>
      <c r="B301">
        <v>21.45</v>
      </c>
      <c r="C301">
        <v>23.210999999999999</v>
      </c>
      <c r="D301">
        <v>21.038</v>
      </c>
      <c r="E301">
        <v>21.655999999999999</v>
      </c>
      <c r="F301">
        <v>4716570.3310000002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-0.43120110446387572</v>
      </c>
      <c r="Q301">
        <f t="shared" si="965"/>
        <v>-2033790.336008748</v>
      </c>
      <c r="R301">
        <f t="shared" si="966"/>
        <v>127166990.17927524</v>
      </c>
      <c r="S301">
        <f t="shared" si="967"/>
        <v>1271.6699017927524</v>
      </c>
      <c r="T301">
        <f t="shared" si="968"/>
        <v>1.2716699017927524</v>
      </c>
    </row>
    <row r="302" spans="1:20" x14ac:dyDescent="0.25">
      <c r="A302" s="5">
        <v>44291</v>
      </c>
      <c r="B302">
        <v>21.53</v>
      </c>
      <c r="C302">
        <v>22.22</v>
      </c>
      <c r="D302">
        <v>20</v>
      </c>
      <c r="E302">
        <v>21.431000000000001</v>
      </c>
      <c r="F302">
        <v>3326701.622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0.28918918918919068</v>
      </c>
      <c r="Q302">
        <f t="shared" si="965"/>
        <v>962046.14474054542</v>
      </c>
      <c r="R302">
        <f t="shared" si="966"/>
        <v>129200780.51528399</v>
      </c>
      <c r="S302">
        <f t="shared" si="967"/>
        <v>1292.0078051528399</v>
      </c>
      <c r="T302">
        <f t="shared" si="968"/>
        <v>1.2920078051528399</v>
      </c>
    </row>
    <row r="303" spans="1:20" x14ac:dyDescent="0.25">
      <c r="A303" s="5">
        <v>44290</v>
      </c>
      <c r="B303">
        <v>20.033999999999999</v>
      </c>
      <c r="C303">
        <v>21.933</v>
      </c>
      <c r="D303">
        <v>19.535</v>
      </c>
      <c r="E303">
        <v>21.524999999999999</v>
      </c>
      <c r="F303">
        <v>3141300.173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0.65971643035863115</v>
      </c>
      <c r="Q303">
        <f t="shared" si="965"/>
        <v>2072367.3368165104</v>
      </c>
      <c r="R303">
        <f t="shared" si="966"/>
        <v>128238734.37054344</v>
      </c>
      <c r="S303">
        <f t="shared" si="967"/>
        <v>1282.3873437054344</v>
      </c>
      <c r="T303">
        <f t="shared" si="968"/>
        <v>1.2823873437054345</v>
      </c>
    </row>
    <row r="304" spans="1:20" x14ac:dyDescent="0.25">
      <c r="A304" s="5">
        <v>44289</v>
      </c>
      <c r="B304">
        <v>20.312000000000001</v>
      </c>
      <c r="C304">
        <v>22.564</v>
      </c>
      <c r="D304">
        <v>19.843</v>
      </c>
      <c r="E304">
        <v>20.033000000000001</v>
      </c>
      <c r="F304">
        <v>6902501.9610000001</v>
      </c>
      <c r="G304">
        <v>0</v>
      </c>
      <c r="L304" t="s">
        <v>8</v>
      </c>
      <c r="M304" t="s">
        <v>8</v>
      </c>
      <c r="N304" t="s">
        <v>7</v>
      </c>
      <c r="P304">
        <f t="shared" si="964"/>
        <v>-0.86034546122748901</v>
      </c>
      <c r="Q304">
        <f t="shared" si="965"/>
        <v>-5938536.233260192</v>
      </c>
      <c r="R304">
        <f t="shared" si="966"/>
        <v>126166367.03372693</v>
      </c>
      <c r="S304">
        <f t="shared" si="967"/>
        <v>1261.6636703372692</v>
      </c>
      <c r="T304">
        <f t="shared" si="968"/>
        <v>1.2616636703372692</v>
      </c>
    </row>
    <row r="305" spans="1:20" x14ac:dyDescent="0.25">
      <c r="A305" s="5">
        <v>44288</v>
      </c>
      <c r="B305">
        <v>19.481999999999999</v>
      </c>
      <c r="C305">
        <v>20.422000000000001</v>
      </c>
      <c r="D305">
        <v>19.134</v>
      </c>
      <c r="E305">
        <v>20.315000000000001</v>
      </c>
      <c r="F305">
        <v>2149364.9840000002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0.83385093167701974</v>
      </c>
      <c r="Q305">
        <f t="shared" si="965"/>
        <v>1792249.9944223627</v>
      </c>
      <c r="R305">
        <f t="shared" si="966"/>
        <v>132104903.26698713</v>
      </c>
      <c r="S305">
        <f t="shared" si="967"/>
        <v>1321.0490326698714</v>
      </c>
      <c r="T305">
        <f t="shared" si="968"/>
        <v>1.3210490326698714</v>
      </c>
    </row>
    <row r="306" spans="1:20" x14ac:dyDescent="0.25">
      <c r="A306" s="5">
        <v>44287</v>
      </c>
      <c r="B306">
        <v>19.081</v>
      </c>
      <c r="C306">
        <v>20.2</v>
      </c>
      <c r="D306">
        <v>18.902000000000001</v>
      </c>
      <c r="E306">
        <v>19.472999999999999</v>
      </c>
      <c r="F306">
        <v>2557080.389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-0.12018489984591878</v>
      </c>
      <c r="Q306">
        <f t="shared" si="965"/>
        <v>-307322.450449928</v>
      </c>
      <c r="R306">
        <f t="shared" si="966"/>
        <v>130312653.27256477</v>
      </c>
      <c r="S306">
        <f t="shared" si="967"/>
        <v>1303.1265327256476</v>
      </c>
      <c r="T306">
        <f t="shared" si="968"/>
        <v>1.3031265327256476</v>
      </c>
    </row>
    <row r="307" spans="1:20" x14ac:dyDescent="0.25">
      <c r="A307" s="5">
        <v>44286</v>
      </c>
      <c r="B307">
        <v>19.968</v>
      </c>
      <c r="C307">
        <v>20.088000000000001</v>
      </c>
      <c r="D307">
        <v>18.167999999999999</v>
      </c>
      <c r="E307">
        <v>19.081</v>
      </c>
      <c r="F307">
        <v>2780289.219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-4.8958333333333909E-2</v>
      </c>
      <c r="Q307">
        <f t="shared" si="965"/>
        <v>-136118.32634687659</v>
      </c>
      <c r="R307">
        <f t="shared" si="966"/>
        <v>130619975.7230147</v>
      </c>
      <c r="S307">
        <f t="shared" si="967"/>
        <v>1306.199757230147</v>
      </c>
      <c r="T307">
        <f t="shared" si="968"/>
        <v>1.3061997572301471</v>
      </c>
    </row>
    <row r="308" spans="1:20" x14ac:dyDescent="0.25">
      <c r="A308" s="5">
        <v>44285</v>
      </c>
      <c r="B308">
        <v>20.27</v>
      </c>
      <c r="C308">
        <v>20.690999999999999</v>
      </c>
      <c r="D308">
        <v>19.471</v>
      </c>
      <c r="E308">
        <v>19.968</v>
      </c>
      <c r="F308">
        <v>2133154.2590000001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-0.18524590163934368</v>
      </c>
      <c r="Q308">
        <f t="shared" si="965"/>
        <v>-395158.08404426108</v>
      </c>
      <c r="R308">
        <f t="shared" si="966"/>
        <v>130756094.04936157</v>
      </c>
      <c r="S308">
        <f t="shared" si="967"/>
        <v>1307.5609404936158</v>
      </c>
      <c r="T308">
        <f t="shared" si="968"/>
        <v>1.3075609404936157</v>
      </c>
    </row>
    <row r="309" spans="1:20" x14ac:dyDescent="0.25">
      <c r="A309" s="5">
        <v>44284</v>
      </c>
      <c r="B309">
        <v>19.329000000000001</v>
      </c>
      <c r="C309">
        <v>20.989000000000001</v>
      </c>
      <c r="D309">
        <v>19.059999999999999</v>
      </c>
      <c r="E309">
        <v>20.273</v>
      </c>
      <c r="F309">
        <v>2862825.719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0.25764644893727284</v>
      </c>
      <c r="Q309">
        <f t="shared" si="965"/>
        <v>737596.88042664493</v>
      </c>
      <c r="R309">
        <f t="shared" si="966"/>
        <v>131151252.13340583</v>
      </c>
      <c r="S309">
        <f t="shared" si="967"/>
        <v>1311.5125213340584</v>
      </c>
      <c r="T309">
        <f t="shared" si="968"/>
        <v>1.3115125213340584</v>
      </c>
    </row>
    <row r="310" spans="1:20" x14ac:dyDescent="0.25">
      <c r="A310" s="5">
        <v>44283</v>
      </c>
      <c r="B310">
        <v>18.706</v>
      </c>
      <c r="C310">
        <v>20</v>
      </c>
      <c r="D310">
        <v>18.419</v>
      </c>
      <c r="E310">
        <v>19.331</v>
      </c>
      <c r="F310">
        <v>2040178.7009999999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0.15370018975331981</v>
      </c>
      <c r="Q310">
        <f t="shared" si="965"/>
        <v>313575.8534743815</v>
      </c>
      <c r="R310">
        <f t="shared" si="966"/>
        <v>130413655.25297919</v>
      </c>
      <c r="S310">
        <f t="shared" si="967"/>
        <v>1304.136552529792</v>
      </c>
      <c r="T310">
        <f t="shared" si="968"/>
        <v>1.3041365525297919</v>
      </c>
    </row>
    <row r="311" spans="1:20" x14ac:dyDescent="0.25">
      <c r="A311" s="5">
        <v>44282</v>
      </c>
      <c r="B311">
        <v>18.928999999999998</v>
      </c>
      <c r="C311">
        <v>19.210999999999999</v>
      </c>
      <c r="D311">
        <v>18.013999999999999</v>
      </c>
      <c r="E311">
        <v>18.704000000000001</v>
      </c>
      <c r="F311">
        <v>1428525.9739999999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0.15288220551378739</v>
      </c>
      <c r="Q311">
        <f t="shared" si="965"/>
        <v>218396.20153885131</v>
      </c>
      <c r="R311">
        <f t="shared" si="966"/>
        <v>130100079.39950481</v>
      </c>
      <c r="S311">
        <f t="shared" si="967"/>
        <v>1301.0007939950481</v>
      </c>
      <c r="T311">
        <f t="shared" si="968"/>
        <v>1.3010007939950481</v>
      </c>
    </row>
    <row r="312" spans="1:20" x14ac:dyDescent="0.25">
      <c r="A312" s="5">
        <v>44281</v>
      </c>
      <c r="B312">
        <v>17.094999999999999</v>
      </c>
      <c r="C312">
        <v>18.989999999999998</v>
      </c>
      <c r="D312">
        <v>17.059000000000001</v>
      </c>
      <c r="E312">
        <v>18.940000000000001</v>
      </c>
      <c r="F312">
        <v>1948543.946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0.948213360952877</v>
      </c>
      <c r="Q312">
        <f t="shared" si="965"/>
        <v>1847635.4040010413</v>
      </c>
      <c r="R312">
        <f t="shared" si="966"/>
        <v>129881683.19796596</v>
      </c>
      <c r="S312">
        <f t="shared" si="967"/>
        <v>1298.8168319796596</v>
      </c>
      <c r="T312">
        <f t="shared" si="968"/>
        <v>1.2988168319796596</v>
      </c>
    </row>
    <row r="313" spans="1:20" x14ac:dyDescent="0.25">
      <c r="A313" s="5">
        <v>44280</v>
      </c>
      <c r="B313">
        <v>17.422999999999998</v>
      </c>
      <c r="C313">
        <v>18.018999999999998</v>
      </c>
      <c r="D313">
        <v>16.629000000000001</v>
      </c>
      <c r="E313">
        <v>17.100000000000001</v>
      </c>
      <c r="F313">
        <v>2646905.5789999999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-0.32230215827337971</v>
      </c>
      <c r="Q313">
        <f t="shared" si="965"/>
        <v>-853103.38085754972</v>
      </c>
      <c r="R313">
        <f t="shared" si="966"/>
        <v>128034047.79396492</v>
      </c>
      <c r="S313">
        <f t="shared" si="967"/>
        <v>1280.3404779396492</v>
      </c>
      <c r="T313">
        <f t="shared" si="968"/>
        <v>1.2803404779396492</v>
      </c>
    </row>
    <row r="314" spans="1:20" x14ac:dyDescent="0.25">
      <c r="A314" s="5">
        <v>44279</v>
      </c>
      <c r="B314">
        <v>18.707999999999998</v>
      </c>
      <c r="C314">
        <v>19.79</v>
      </c>
      <c r="D314">
        <v>16.443999999999999</v>
      </c>
      <c r="E314">
        <v>17.423999999999999</v>
      </c>
      <c r="F314">
        <v>2856121.3569999998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-0.41422594142259389</v>
      </c>
      <c r="Q314">
        <f t="shared" si="965"/>
        <v>-1183079.5579205013</v>
      </c>
      <c r="R314">
        <f t="shared" si="966"/>
        <v>128887151.17482248</v>
      </c>
      <c r="S314">
        <f t="shared" si="967"/>
        <v>1288.8715117482247</v>
      </c>
      <c r="T314">
        <f t="shared" si="968"/>
        <v>1.2888715117482248</v>
      </c>
    </row>
    <row r="315" spans="1:20" x14ac:dyDescent="0.25">
      <c r="A315" s="5">
        <v>44278</v>
      </c>
      <c r="B315">
        <v>19.198</v>
      </c>
      <c r="C315">
        <v>19.863</v>
      </c>
      <c r="D315">
        <v>18.678999999999998</v>
      </c>
      <c r="E315">
        <v>18.724</v>
      </c>
      <c r="F315">
        <v>1844435.1140000001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-0.92398648648648363</v>
      </c>
      <c r="Q315">
        <f t="shared" si="965"/>
        <v>-1704233.1205371569</v>
      </c>
      <c r="R315">
        <f t="shared" si="966"/>
        <v>130070230.73274298</v>
      </c>
      <c r="S315">
        <f t="shared" si="967"/>
        <v>1300.7023073274297</v>
      </c>
      <c r="T315">
        <f t="shared" si="968"/>
        <v>1.3007023073274298</v>
      </c>
    </row>
    <row r="316" spans="1:20" x14ac:dyDescent="0.25">
      <c r="A316" s="5">
        <v>44277</v>
      </c>
      <c r="B316">
        <v>20.507999999999999</v>
      </c>
      <c r="C316">
        <v>21.166</v>
      </c>
      <c r="D316">
        <v>18.888000000000002</v>
      </c>
      <c r="E316">
        <v>19.178999999999998</v>
      </c>
      <c r="F316">
        <v>2450994.0830000001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-0.74451273046532307</v>
      </c>
      <c r="Q316">
        <f t="shared" si="965"/>
        <v>-1824796.2970886808</v>
      </c>
      <c r="R316">
        <f t="shared" si="966"/>
        <v>131774463.85328014</v>
      </c>
      <c r="S316">
        <f t="shared" si="967"/>
        <v>1317.7446385328014</v>
      </c>
      <c r="T316">
        <f t="shared" si="968"/>
        <v>1.3177446385328015</v>
      </c>
    </row>
    <row r="317" spans="1:20" x14ac:dyDescent="0.25">
      <c r="A317" s="5">
        <v>44276</v>
      </c>
      <c r="B317">
        <v>20.911000000000001</v>
      </c>
      <c r="C317">
        <v>21.257999999999999</v>
      </c>
      <c r="D317">
        <v>19.923999999999999</v>
      </c>
      <c r="E317">
        <v>20.52</v>
      </c>
      <c r="F317">
        <v>1997519.7479999999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-0.10644677661169377</v>
      </c>
      <c r="Q317">
        <f t="shared" si="965"/>
        <v>-212629.53839280282</v>
      </c>
      <c r="R317">
        <f t="shared" si="966"/>
        <v>133599260.15036882</v>
      </c>
      <c r="S317">
        <f t="shared" si="967"/>
        <v>1335.9926015036883</v>
      </c>
      <c r="T317">
        <f t="shared" si="968"/>
        <v>1.3359926015036883</v>
      </c>
    </row>
    <row r="318" spans="1:20" x14ac:dyDescent="0.25">
      <c r="A318" s="5">
        <v>44275</v>
      </c>
      <c r="B318">
        <v>22.186</v>
      </c>
      <c r="C318">
        <v>22.725999999999999</v>
      </c>
      <c r="D318">
        <v>20.716000000000001</v>
      </c>
      <c r="E318">
        <v>20.914999999999999</v>
      </c>
      <c r="F318">
        <v>1897841.595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-0.80199004975124555</v>
      </c>
      <c r="Q318">
        <f t="shared" si="965"/>
        <v>-1522050.0751940331</v>
      </c>
      <c r="R318">
        <f t="shared" si="966"/>
        <v>133811889.68876162</v>
      </c>
      <c r="S318">
        <f t="shared" si="967"/>
        <v>1338.1188968876163</v>
      </c>
      <c r="T318">
        <f t="shared" si="968"/>
        <v>1.3381188968876163</v>
      </c>
    </row>
    <row r="319" spans="1:20" x14ac:dyDescent="0.25">
      <c r="A319" s="5">
        <v>44274</v>
      </c>
      <c r="B319">
        <v>22.108000000000001</v>
      </c>
      <c r="C319">
        <v>23.184999999999999</v>
      </c>
      <c r="D319">
        <v>21.5</v>
      </c>
      <c r="E319">
        <v>22.19</v>
      </c>
      <c r="F319">
        <v>3678794.8990000002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-0.1810089020771492</v>
      </c>
      <c r="Q319">
        <f t="shared" si="965"/>
        <v>-665894.62563500705</v>
      </c>
      <c r="R319">
        <f t="shared" si="966"/>
        <v>135333939.76395565</v>
      </c>
      <c r="S319">
        <f t="shared" si="967"/>
        <v>1353.3393976395566</v>
      </c>
      <c r="T319">
        <f t="shared" si="968"/>
        <v>1.3533393976395567</v>
      </c>
    </row>
    <row r="320" spans="1:20" x14ac:dyDescent="0.25">
      <c r="A320" s="5">
        <v>44273</v>
      </c>
      <c r="B320">
        <v>20.9</v>
      </c>
      <c r="C320">
        <v>24.523</v>
      </c>
      <c r="D320">
        <v>20.524000000000001</v>
      </c>
      <c r="E320">
        <v>22.106000000000002</v>
      </c>
      <c r="F320">
        <v>7231433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-0.20880220055013693</v>
      </c>
      <c r="Q320">
        <f t="shared" si="965"/>
        <v>-1509939.1235308785</v>
      </c>
      <c r="R320">
        <f t="shared" si="966"/>
        <v>135999834.38959065</v>
      </c>
      <c r="S320">
        <f t="shared" si="967"/>
        <v>1359.9983438959066</v>
      </c>
      <c r="T320">
        <f t="shared" si="968"/>
        <v>1.3599983438959067</v>
      </c>
    </row>
    <row r="321" spans="1:20" x14ac:dyDescent="0.25">
      <c r="A321" s="5">
        <v>44272</v>
      </c>
      <c r="B321">
        <v>21.013999999999999</v>
      </c>
      <c r="C321">
        <v>21.673999999999999</v>
      </c>
      <c r="D321">
        <v>19.55</v>
      </c>
      <c r="E321">
        <v>20.896000000000001</v>
      </c>
      <c r="F321">
        <v>3501413.8569999998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0.26741996233521736</v>
      </c>
      <c r="Q321">
        <f t="shared" si="965"/>
        <v>936347.96175894816</v>
      </c>
      <c r="R321">
        <f t="shared" si="966"/>
        <v>137509773.51312152</v>
      </c>
      <c r="S321">
        <f t="shared" si="967"/>
        <v>1375.0977351312151</v>
      </c>
      <c r="T321">
        <f t="shared" si="968"/>
        <v>1.375097735131215</v>
      </c>
    </row>
    <row r="322" spans="1:20" x14ac:dyDescent="0.25">
      <c r="A322" s="5">
        <v>44271</v>
      </c>
      <c r="B322">
        <v>19.838999999999999</v>
      </c>
      <c r="C322">
        <v>22.102</v>
      </c>
      <c r="D322">
        <v>18.689</v>
      </c>
      <c r="E322">
        <v>21.007999999999999</v>
      </c>
      <c r="F322">
        <v>5013444.2390000001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0.35892176970407202</v>
      </c>
      <c r="Q322">
        <f t="shared" si="965"/>
        <v>1799434.2785745647</v>
      </c>
      <c r="R322">
        <f t="shared" si="966"/>
        <v>136573425.55136257</v>
      </c>
      <c r="S322">
        <f t="shared" si="967"/>
        <v>1365.7342555136258</v>
      </c>
      <c r="T322">
        <f t="shared" si="968"/>
        <v>1.3657342555136258</v>
      </c>
    </row>
    <row r="323" spans="1:20" x14ac:dyDescent="0.25">
      <c r="A323" s="5">
        <v>44270</v>
      </c>
      <c r="B323">
        <v>18.443000000000001</v>
      </c>
      <c r="C323">
        <v>21.1</v>
      </c>
      <c r="D323">
        <v>17.901</v>
      </c>
      <c r="E323">
        <v>19.838000000000001</v>
      </c>
      <c r="F323">
        <v>4941682.318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0.21100343857455467</v>
      </c>
      <c r="Q323">
        <f t="shared" si="965"/>
        <v>1042711.9614410759</v>
      </c>
      <c r="R323">
        <f t="shared" si="966"/>
        <v>134773991.27278802</v>
      </c>
      <c r="S323">
        <f t="shared" si="967"/>
        <v>1347.7399127278802</v>
      </c>
      <c r="T323">
        <f t="shared" si="968"/>
        <v>1.3477399127278802</v>
      </c>
    </row>
    <row r="324" spans="1:20" x14ac:dyDescent="0.25">
      <c r="A324" s="5">
        <v>44269</v>
      </c>
      <c r="B324">
        <v>19.367999999999999</v>
      </c>
      <c r="C324">
        <v>19.530999999999999</v>
      </c>
      <c r="D324">
        <v>18.417999999999999</v>
      </c>
      <c r="E324">
        <v>18.443999999999999</v>
      </c>
      <c r="F324">
        <v>1618064.777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-0.95327942497753848</v>
      </c>
      <c r="Q324">
        <f t="shared" si="965"/>
        <v>-1542467.860194969</v>
      </c>
      <c r="R324">
        <f t="shared" si="966"/>
        <v>133731279.31134693</v>
      </c>
      <c r="S324">
        <f t="shared" si="967"/>
        <v>1337.3127931134693</v>
      </c>
      <c r="T324">
        <f t="shared" si="968"/>
        <v>1.3373127931134694</v>
      </c>
    </row>
    <row r="325" spans="1:20" x14ac:dyDescent="0.25">
      <c r="A325" s="5">
        <v>44268</v>
      </c>
      <c r="B325">
        <v>18.548999999999999</v>
      </c>
      <c r="C325">
        <v>19.861000000000001</v>
      </c>
      <c r="D325">
        <v>17.827999999999999</v>
      </c>
      <c r="E325">
        <v>19.363</v>
      </c>
      <c r="F325">
        <v>2273913.361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0.51008362026561649</v>
      </c>
      <c r="Q325">
        <f t="shared" si="965"/>
        <v>1159885.9593492358</v>
      </c>
      <c r="R325">
        <f t="shared" si="966"/>
        <v>135273747.1715419</v>
      </c>
      <c r="S325">
        <f t="shared" si="967"/>
        <v>1352.7374717154189</v>
      </c>
      <c r="T325">
        <f t="shared" si="968"/>
        <v>1.3527374717154188</v>
      </c>
    </row>
    <row r="326" spans="1:20" x14ac:dyDescent="0.25">
      <c r="A326" s="5">
        <v>44267</v>
      </c>
      <c r="B326">
        <v>19.332999999999998</v>
      </c>
      <c r="C326">
        <v>19.495999999999999</v>
      </c>
      <c r="D326">
        <v>17.68</v>
      </c>
      <c r="E326">
        <v>18.552</v>
      </c>
      <c r="F326">
        <v>2278852.548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-3.9647577092510579E-2</v>
      </c>
      <c r="Q326">
        <f t="shared" ref="Q326:Q389" si="970">F326*P326</f>
        <v>-90350.982079294161</v>
      </c>
      <c r="R326">
        <f t="shared" ref="R326:R389" si="971">R327+Q326</f>
        <v>134113861.21219265</v>
      </c>
      <c r="S326">
        <f t="shared" ref="S326:S389" si="972">R326/100000</f>
        <v>1341.1386121219266</v>
      </c>
      <c r="T326">
        <f t="shared" ref="T326:T389" si="973">S326/1000</f>
        <v>1.3411386121219266</v>
      </c>
    </row>
    <row r="327" spans="1:20" x14ac:dyDescent="0.25">
      <c r="A327" s="5">
        <v>44266</v>
      </c>
      <c r="B327">
        <v>19.61</v>
      </c>
      <c r="C327">
        <v>19.747</v>
      </c>
      <c r="D327">
        <v>18.600000000000001</v>
      </c>
      <c r="E327">
        <v>19.332999999999998</v>
      </c>
      <c r="F327">
        <v>1886132.71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0.27811682650391972</v>
      </c>
      <c r="Q327">
        <f t="shared" si="970"/>
        <v>524565.24367043795</v>
      </c>
      <c r="R327">
        <f t="shared" si="971"/>
        <v>134204212.19427195</v>
      </c>
      <c r="S327">
        <f t="shared" si="972"/>
        <v>1342.0421219427196</v>
      </c>
      <c r="T327">
        <f t="shared" si="973"/>
        <v>1.3420421219427197</v>
      </c>
    </row>
    <row r="328" spans="1:20" x14ac:dyDescent="0.25">
      <c r="A328" s="5">
        <v>44265</v>
      </c>
      <c r="B328">
        <v>21.1</v>
      </c>
      <c r="C328">
        <v>21.378</v>
      </c>
      <c r="D328">
        <v>19.088000000000001</v>
      </c>
      <c r="E328">
        <v>19.61</v>
      </c>
      <c r="F328">
        <v>3124839.2549999999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-0.54410480349345092</v>
      </c>
      <c r="Q328">
        <f t="shared" si="970"/>
        <v>-1700240.0487903964</v>
      </c>
      <c r="R328">
        <f t="shared" si="971"/>
        <v>133679646.95060152</v>
      </c>
      <c r="S328">
        <f t="shared" si="972"/>
        <v>1336.7964695060152</v>
      </c>
      <c r="T328">
        <f t="shared" si="973"/>
        <v>1.3367964695060153</v>
      </c>
    </row>
    <row r="329" spans="1:20" x14ac:dyDescent="0.25">
      <c r="A329" s="5">
        <v>44264</v>
      </c>
      <c r="B329">
        <v>19.38</v>
      </c>
      <c r="C329">
        <v>21.2</v>
      </c>
      <c r="D329">
        <v>19.015999999999998</v>
      </c>
      <c r="E329">
        <v>21.106999999999999</v>
      </c>
      <c r="F329">
        <v>3501908.8870000001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0.91483516483516492</v>
      </c>
      <c r="Q329">
        <f t="shared" si="970"/>
        <v>3203669.3938763742</v>
      </c>
      <c r="R329">
        <f t="shared" si="971"/>
        <v>135379886.99939191</v>
      </c>
      <c r="S329">
        <f t="shared" si="972"/>
        <v>1353.7988699939192</v>
      </c>
      <c r="T329">
        <f t="shared" si="973"/>
        <v>1.3537988699939192</v>
      </c>
    </row>
    <row r="330" spans="1:20" x14ac:dyDescent="0.25">
      <c r="A330" s="5">
        <v>44263</v>
      </c>
      <c r="B330">
        <v>19.471</v>
      </c>
      <c r="C330">
        <v>19.853000000000002</v>
      </c>
      <c r="D330">
        <v>18.565000000000001</v>
      </c>
      <c r="E330">
        <v>19.391999999999999</v>
      </c>
      <c r="F330">
        <v>2126841.6630000002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0.28416149068322671</v>
      </c>
      <c r="Q330">
        <f t="shared" si="970"/>
        <v>604366.49740527291</v>
      </c>
      <c r="R330">
        <f t="shared" si="971"/>
        <v>132176217.60551552</v>
      </c>
      <c r="S330">
        <f t="shared" si="972"/>
        <v>1321.7621760551554</v>
      </c>
      <c r="T330">
        <f t="shared" si="973"/>
        <v>1.3217621760551554</v>
      </c>
    </row>
    <row r="331" spans="1:20" x14ac:dyDescent="0.25">
      <c r="A331" s="5">
        <v>44262</v>
      </c>
      <c r="B331">
        <v>18.91</v>
      </c>
      <c r="C331">
        <v>19.495000000000001</v>
      </c>
      <c r="D331">
        <v>18.579999999999998</v>
      </c>
      <c r="E331">
        <v>19.457999999999998</v>
      </c>
      <c r="F331">
        <v>1704303.2720000001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0.91912568306010389</v>
      </c>
      <c r="Q331">
        <f t="shared" si="970"/>
        <v>1566468.9090185701</v>
      </c>
      <c r="R331">
        <f t="shared" si="971"/>
        <v>131571851.10811025</v>
      </c>
      <c r="S331">
        <f t="shared" si="972"/>
        <v>1315.7185110811024</v>
      </c>
      <c r="T331">
        <f t="shared" si="973"/>
        <v>1.3157185110811025</v>
      </c>
    </row>
    <row r="332" spans="1:20" x14ac:dyDescent="0.25">
      <c r="A332" s="5">
        <v>44261</v>
      </c>
      <c r="B332">
        <v>18.664999999999999</v>
      </c>
      <c r="C332">
        <v>19.068999999999999</v>
      </c>
      <c r="D332">
        <v>18.210999999999999</v>
      </c>
      <c r="E332">
        <v>18.91</v>
      </c>
      <c r="F332">
        <v>1581719.9569999999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0.62937062937063215</v>
      </c>
      <c r="Q332">
        <f t="shared" si="970"/>
        <v>995488.08482517919</v>
      </c>
      <c r="R332">
        <f t="shared" si="971"/>
        <v>130005382.19909167</v>
      </c>
      <c r="S332">
        <f t="shared" si="972"/>
        <v>1300.0538219909167</v>
      </c>
      <c r="T332">
        <f t="shared" si="973"/>
        <v>1.3000538219909168</v>
      </c>
    </row>
    <row r="333" spans="1:20" x14ac:dyDescent="0.25">
      <c r="A333" s="5">
        <v>44260</v>
      </c>
      <c r="B333">
        <v>18.855</v>
      </c>
      <c r="C333">
        <v>19.5</v>
      </c>
      <c r="D333">
        <v>17.725000000000001</v>
      </c>
      <c r="E333">
        <v>18.670999999999999</v>
      </c>
      <c r="F333">
        <v>3100659.912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6.5915492957745028E-2</v>
      </c>
      <c r="Q333">
        <f t="shared" si="970"/>
        <v>204381.52659379831</v>
      </c>
      <c r="R333">
        <f t="shared" si="971"/>
        <v>129009894.1142665</v>
      </c>
      <c r="S333">
        <f t="shared" si="972"/>
        <v>1290.0989411426649</v>
      </c>
      <c r="T333">
        <f t="shared" si="973"/>
        <v>1.2900989411426649</v>
      </c>
    </row>
    <row r="334" spans="1:20" x14ac:dyDescent="0.25">
      <c r="A334" s="5">
        <v>44259</v>
      </c>
      <c r="B334">
        <v>21.431000000000001</v>
      </c>
      <c r="C334">
        <v>21.844999999999999</v>
      </c>
      <c r="D334">
        <v>18.135999999999999</v>
      </c>
      <c r="E334">
        <v>18.855</v>
      </c>
      <c r="F334">
        <v>5225998.3459999999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-0.61229441898085668</v>
      </c>
      <c r="Q334">
        <f t="shared" si="970"/>
        <v>-3199849.6208589878</v>
      </c>
      <c r="R334">
        <f t="shared" si="971"/>
        <v>128805512.5876727</v>
      </c>
      <c r="S334">
        <f t="shared" si="972"/>
        <v>1288.0551258767271</v>
      </c>
      <c r="T334">
        <f t="shared" si="973"/>
        <v>1.288055125876727</v>
      </c>
    </row>
    <row r="335" spans="1:20" x14ac:dyDescent="0.25">
      <c r="A335" s="5">
        <v>44258</v>
      </c>
      <c r="B335">
        <v>18.837</v>
      </c>
      <c r="C335">
        <v>22</v>
      </c>
      <c r="D335">
        <v>18.498999999999999</v>
      </c>
      <c r="E335">
        <v>21.431000000000001</v>
      </c>
      <c r="F335">
        <v>5083660.54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0.67495001428163448</v>
      </c>
      <c r="Q335">
        <f t="shared" si="970"/>
        <v>3431216.7540759817</v>
      </c>
      <c r="R335">
        <f t="shared" si="971"/>
        <v>132005362.20853168</v>
      </c>
      <c r="S335">
        <f t="shared" si="972"/>
        <v>1320.0536220853169</v>
      </c>
      <c r="T335">
        <f t="shared" si="973"/>
        <v>1.320053622085317</v>
      </c>
    </row>
    <row r="336" spans="1:20" x14ac:dyDescent="0.25">
      <c r="A336" s="5">
        <v>44257</v>
      </c>
      <c r="B336">
        <v>18.681999999999999</v>
      </c>
      <c r="C336">
        <v>20.515999999999998</v>
      </c>
      <c r="D336">
        <v>17.989000000000001</v>
      </c>
      <c r="E336">
        <v>18.850999999999999</v>
      </c>
      <c r="F336">
        <v>4702324.7709999997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-0.31776810447170623</v>
      </c>
      <c r="Q336">
        <f t="shared" si="970"/>
        <v>-1494248.8290910199</v>
      </c>
      <c r="R336">
        <f t="shared" si="971"/>
        <v>128574145.4544557</v>
      </c>
      <c r="S336">
        <f t="shared" si="972"/>
        <v>1285.741454544557</v>
      </c>
      <c r="T336">
        <f t="shared" si="973"/>
        <v>1.2857414545445569</v>
      </c>
    </row>
    <row r="337" spans="1:20" x14ac:dyDescent="0.25">
      <c r="A337" s="5">
        <v>44256</v>
      </c>
      <c r="B337">
        <v>17.632000000000001</v>
      </c>
      <c r="C337">
        <v>18.856000000000002</v>
      </c>
      <c r="D337">
        <v>17.497</v>
      </c>
      <c r="E337">
        <v>18.701000000000001</v>
      </c>
      <c r="F337">
        <v>2760782.8590000002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0.77189109639440623</v>
      </c>
      <c r="Q337">
        <f t="shared" si="970"/>
        <v>2131023.7079403936</v>
      </c>
      <c r="R337">
        <f t="shared" si="971"/>
        <v>130068394.28354673</v>
      </c>
      <c r="S337">
        <f t="shared" si="972"/>
        <v>1300.6839428354674</v>
      </c>
      <c r="T337">
        <f t="shared" si="973"/>
        <v>1.3006839428354675</v>
      </c>
    </row>
    <row r="338" spans="1:20" x14ac:dyDescent="0.25">
      <c r="A338" s="5">
        <v>44255</v>
      </c>
      <c r="B338">
        <v>19.140999999999998</v>
      </c>
      <c r="C338">
        <v>19.239999999999998</v>
      </c>
      <c r="D338">
        <v>16.448</v>
      </c>
      <c r="E338">
        <v>17.649000000000001</v>
      </c>
      <c r="F338">
        <v>3437709.6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-0.13968481375358069</v>
      </c>
      <c r="Q338">
        <f t="shared" si="970"/>
        <v>-480195.82521489641</v>
      </c>
      <c r="R338">
        <f t="shared" si="971"/>
        <v>127937370.57560633</v>
      </c>
      <c r="S338">
        <f t="shared" si="972"/>
        <v>1279.3737057560634</v>
      </c>
      <c r="T338">
        <f t="shared" si="973"/>
        <v>1.2793737057560635</v>
      </c>
    </row>
    <row r="339" spans="1:20" x14ac:dyDescent="0.25">
      <c r="A339" s="5">
        <v>44254</v>
      </c>
      <c r="B339">
        <v>18.852</v>
      </c>
      <c r="C339">
        <v>20.972999999999999</v>
      </c>
      <c r="D339">
        <v>18.616</v>
      </c>
      <c r="E339">
        <v>19.120999999999999</v>
      </c>
      <c r="F339">
        <v>4394853.3169999998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-0.57148918116249536</v>
      </c>
      <c r="Q339">
        <f t="shared" si="970"/>
        <v>-2511611.1234616064</v>
      </c>
      <c r="R339">
        <f t="shared" si="971"/>
        <v>128417566.40082122</v>
      </c>
      <c r="S339">
        <f t="shared" si="972"/>
        <v>1284.1756640082122</v>
      </c>
      <c r="T339">
        <f t="shared" si="973"/>
        <v>1.2841756640082123</v>
      </c>
    </row>
    <row r="340" spans="1:20" x14ac:dyDescent="0.25">
      <c r="A340" s="5">
        <v>44253</v>
      </c>
      <c r="B340">
        <v>17.774999999999999</v>
      </c>
      <c r="C340">
        <v>18.959</v>
      </c>
      <c r="D340">
        <v>16.050999999999998</v>
      </c>
      <c r="E340">
        <v>18.86</v>
      </c>
      <c r="F340">
        <v>5283512.5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0.93191196698762024</v>
      </c>
      <c r="Q340">
        <f t="shared" si="970"/>
        <v>4923768.5264786789</v>
      </c>
      <c r="R340">
        <f t="shared" si="971"/>
        <v>130929177.52428283</v>
      </c>
      <c r="S340">
        <f t="shared" si="972"/>
        <v>1309.2917752428282</v>
      </c>
      <c r="T340">
        <f t="shared" si="973"/>
        <v>1.3092917752428281</v>
      </c>
    </row>
    <row r="341" spans="1:20" x14ac:dyDescent="0.25">
      <c r="A341" s="5">
        <v>44252</v>
      </c>
      <c r="B341">
        <v>19.440999999999999</v>
      </c>
      <c r="C341">
        <v>20.667000000000002</v>
      </c>
      <c r="D341">
        <v>17.55</v>
      </c>
      <c r="E341">
        <v>17.686</v>
      </c>
      <c r="F341">
        <v>4192660.74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-0.91273660571061965</v>
      </c>
      <c r="Q341">
        <f t="shared" si="970"/>
        <v>-3826794.932723775</v>
      </c>
      <c r="R341">
        <f t="shared" si="971"/>
        <v>126005408.99780415</v>
      </c>
      <c r="S341">
        <f t="shared" si="972"/>
        <v>1260.0540899780415</v>
      </c>
      <c r="T341">
        <f t="shared" si="973"/>
        <v>1.2600540899780415</v>
      </c>
    </row>
    <row r="342" spans="1:20" x14ac:dyDescent="0.25">
      <c r="A342" s="5">
        <v>44251</v>
      </c>
      <c r="B342">
        <v>20.079999999999998</v>
      </c>
      <c r="C342">
        <v>21.39</v>
      </c>
      <c r="D342">
        <v>18.655000000000001</v>
      </c>
      <c r="E342">
        <v>19.420000000000002</v>
      </c>
      <c r="F342">
        <v>4706945.9019999998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-0.44058500914076731</v>
      </c>
      <c r="Q342">
        <f t="shared" si="970"/>
        <v>-2073809.8032577671</v>
      </c>
      <c r="R342">
        <f t="shared" si="971"/>
        <v>129832203.93052793</v>
      </c>
      <c r="S342">
        <f t="shared" si="972"/>
        <v>1298.3220393052793</v>
      </c>
      <c r="T342">
        <f t="shared" si="973"/>
        <v>1.2983220393052792</v>
      </c>
    </row>
    <row r="343" spans="1:20" x14ac:dyDescent="0.25">
      <c r="A343" s="5">
        <v>44250</v>
      </c>
      <c r="B343">
        <v>21.11</v>
      </c>
      <c r="C343">
        <v>23.4</v>
      </c>
      <c r="D343">
        <v>15.1</v>
      </c>
      <c r="E343">
        <v>20.079999999999998</v>
      </c>
      <c r="F343">
        <v>11510910.388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0.19999999999999982</v>
      </c>
      <c r="Q343">
        <f t="shared" si="970"/>
        <v>2302182.0775999981</v>
      </c>
      <c r="R343">
        <f t="shared" si="971"/>
        <v>131906013.73378569</v>
      </c>
      <c r="S343">
        <f t="shared" si="972"/>
        <v>1319.060137337857</v>
      </c>
      <c r="T343">
        <f t="shared" si="973"/>
        <v>1.319060137337857</v>
      </c>
    </row>
    <row r="344" spans="1:20" x14ac:dyDescent="0.25">
      <c r="A344" s="5">
        <v>44249</v>
      </c>
      <c r="B344">
        <v>21.573</v>
      </c>
      <c r="C344">
        <v>21.678000000000001</v>
      </c>
      <c r="D344">
        <v>16.623999999999999</v>
      </c>
      <c r="E344">
        <v>21.152000000000001</v>
      </c>
      <c r="F344">
        <v>6198930.0930000003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0.79184804115552054</v>
      </c>
      <c r="Q344">
        <f t="shared" si="970"/>
        <v>4908610.651402059</v>
      </c>
      <c r="R344">
        <f t="shared" si="971"/>
        <v>129603831.65618569</v>
      </c>
      <c r="S344">
        <f t="shared" si="972"/>
        <v>1296.0383165618568</v>
      </c>
      <c r="T344">
        <f t="shared" si="973"/>
        <v>1.2960383165618568</v>
      </c>
    </row>
    <row r="345" spans="1:20" x14ac:dyDescent="0.25">
      <c r="A345" s="5">
        <v>44248</v>
      </c>
      <c r="B345">
        <v>21.632000000000001</v>
      </c>
      <c r="C345">
        <v>22.655999999999999</v>
      </c>
      <c r="D345">
        <v>20.699000000000002</v>
      </c>
      <c r="E345">
        <v>21.568999999999999</v>
      </c>
      <c r="F345">
        <v>4717961.3839999996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-0.11088400613183577</v>
      </c>
      <c r="Q345">
        <f t="shared" si="970"/>
        <v>-523146.45903322037</v>
      </c>
      <c r="R345">
        <f t="shared" si="971"/>
        <v>124695221.00478363</v>
      </c>
      <c r="S345">
        <f t="shared" si="972"/>
        <v>1246.9522100478364</v>
      </c>
      <c r="T345">
        <f t="shared" si="973"/>
        <v>1.2469522100478363</v>
      </c>
    </row>
    <row r="346" spans="1:20" x14ac:dyDescent="0.25">
      <c r="A346" s="5">
        <v>44247</v>
      </c>
      <c r="B346">
        <v>22.898</v>
      </c>
      <c r="C346">
        <v>24.498000000000001</v>
      </c>
      <c r="D346">
        <v>20.439</v>
      </c>
      <c r="E346">
        <v>21.648</v>
      </c>
      <c r="F346">
        <v>4723070.2879999997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-0.40428677014042902</v>
      </c>
      <c r="Q346">
        <f t="shared" si="970"/>
        <v>-1909474.8318817457</v>
      </c>
      <c r="R346">
        <f t="shared" si="971"/>
        <v>125218367.46381685</v>
      </c>
      <c r="S346">
        <f t="shared" si="972"/>
        <v>1252.1836746381684</v>
      </c>
      <c r="T346">
        <f t="shared" si="973"/>
        <v>1.2521836746381685</v>
      </c>
    </row>
    <row r="347" spans="1:20" x14ac:dyDescent="0.25">
      <c r="A347" s="5">
        <v>44246</v>
      </c>
      <c r="B347">
        <v>23.087</v>
      </c>
      <c r="C347">
        <v>23.55</v>
      </c>
      <c r="D347">
        <v>21.501999999999999</v>
      </c>
      <c r="E347">
        <v>22.898</v>
      </c>
      <c r="F347">
        <v>3335648.1469999999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0.36328124999999956</v>
      </c>
      <c r="Q347">
        <f t="shared" si="970"/>
        <v>1211778.4284023421</v>
      </c>
      <c r="R347">
        <f t="shared" si="971"/>
        <v>127127842.2956986</v>
      </c>
      <c r="S347">
        <f t="shared" si="972"/>
        <v>1271.2784229569859</v>
      </c>
      <c r="T347">
        <f t="shared" si="973"/>
        <v>1.2712784229569858</v>
      </c>
    </row>
    <row r="348" spans="1:20" x14ac:dyDescent="0.25">
      <c r="A348" s="5">
        <v>44245</v>
      </c>
      <c r="B348">
        <v>23.83</v>
      </c>
      <c r="C348">
        <v>25.132999999999999</v>
      </c>
      <c r="D348">
        <v>22.785</v>
      </c>
      <c r="E348">
        <v>23.091999999999999</v>
      </c>
      <c r="F348">
        <v>4452399.8140000002</v>
      </c>
      <c r="G348">
        <v>0</v>
      </c>
      <c r="L348" t="s">
        <v>8</v>
      </c>
      <c r="M348" t="s">
        <v>7</v>
      </c>
      <c r="N348" t="s">
        <v>8</v>
      </c>
      <c r="P348">
        <f t="shared" si="969"/>
        <v>-0.73850085178875746</v>
      </c>
      <c r="Q348">
        <f t="shared" si="970"/>
        <v>-3288101.0551431053</v>
      </c>
      <c r="R348">
        <f t="shared" si="971"/>
        <v>125916063.86729625</v>
      </c>
      <c r="S348">
        <f t="shared" si="972"/>
        <v>1259.1606386729625</v>
      </c>
      <c r="T348">
        <f t="shared" si="973"/>
        <v>1.2591606386729626</v>
      </c>
    </row>
    <row r="349" spans="1:20" x14ac:dyDescent="0.25">
      <c r="A349" s="5">
        <v>44244</v>
      </c>
      <c r="B349">
        <v>25.096</v>
      </c>
      <c r="C349">
        <v>25.85</v>
      </c>
      <c r="D349">
        <v>22.478999999999999</v>
      </c>
      <c r="E349">
        <v>23.83</v>
      </c>
      <c r="F349">
        <v>7249730.2259999998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-0.19845743102936922</v>
      </c>
      <c r="Q349">
        <f t="shared" si="970"/>
        <v>-1438762.8363079282</v>
      </c>
      <c r="R349">
        <f t="shared" si="971"/>
        <v>129204164.92243935</v>
      </c>
      <c r="S349">
        <f t="shared" si="972"/>
        <v>1292.0416492243935</v>
      </c>
      <c r="T349">
        <f t="shared" si="973"/>
        <v>1.2920416492243936</v>
      </c>
    </row>
    <row r="350" spans="1:20" x14ac:dyDescent="0.25">
      <c r="A350" s="5">
        <v>44243</v>
      </c>
      <c r="B350">
        <v>22.510999999999999</v>
      </c>
      <c r="C350">
        <v>26.55</v>
      </c>
      <c r="D350">
        <v>22.2</v>
      </c>
      <c r="E350">
        <v>25.067</v>
      </c>
      <c r="F350">
        <v>11617759.868000001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0.31816091954022985</v>
      </c>
      <c r="Q350">
        <f t="shared" si="970"/>
        <v>3696317.1626004595</v>
      </c>
      <c r="R350">
        <f t="shared" si="971"/>
        <v>130642927.75874728</v>
      </c>
      <c r="S350">
        <f t="shared" si="972"/>
        <v>1306.4292775874728</v>
      </c>
      <c r="T350">
        <f t="shared" si="973"/>
        <v>1.3064292775874728</v>
      </c>
    </row>
    <row r="351" spans="1:20" x14ac:dyDescent="0.25">
      <c r="A351" s="5">
        <v>44242</v>
      </c>
      <c r="B351">
        <v>19.117000000000001</v>
      </c>
      <c r="C351">
        <v>24.978000000000002</v>
      </c>
      <c r="D351">
        <v>14.816000000000001</v>
      </c>
      <c r="E351">
        <v>22.489000000000001</v>
      </c>
      <c r="F351">
        <v>11993255.489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0.51013580003936221</v>
      </c>
      <c r="Q351">
        <f t="shared" si="970"/>
        <v>6118188.9839574872</v>
      </c>
      <c r="R351">
        <f t="shared" si="971"/>
        <v>126946610.59614682</v>
      </c>
      <c r="S351">
        <f t="shared" si="972"/>
        <v>1269.4661059614682</v>
      </c>
      <c r="T351">
        <f t="shared" si="973"/>
        <v>1.2694661059614682</v>
      </c>
    </row>
    <row r="352" spans="1:20" x14ac:dyDescent="0.25">
      <c r="A352" s="5">
        <v>44241</v>
      </c>
      <c r="B352">
        <v>20.244</v>
      </c>
      <c r="C352">
        <v>20.696999999999999</v>
      </c>
      <c r="D352">
        <v>18.466000000000001</v>
      </c>
      <c r="E352">
        <v>19.084</v>
      </c>
      <c r="F352">
        <v>3417639.7209999999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-0.44598834603316984</v>
      </c>
      <c r="Q352">
        <f t="shared" si="970"/>
        <v>-1524227.4865060539</v>
      </c>
      <c r="R352">
        <f t="shared" si="971"/>
        <v>120828421.61218934</v>
      </c>
      <c r="S352">
        <f t="shared" si="972"/>
        <v>1208.2842161218935</v>
      </c>
      <c r="T352">
        <f t="shared" si="973"/>
        <v>1.2082842161218934</v>
      </c>
    </row>
    <row r="353" spans="1:20" x14ac:dyDescent="0.25">
      <c r="A353" s="5">
        <v>44240</v>
      </c>
      <c r="B353">
        <v>21.071000000000002</v>
      </c>
      <c r="C353">
        <v>22.058</v>
      </c>
      <c r="D353">
        <v>19.100999999999999</v>
      </c>
      <c r="E353">
        <v>20.248000000000001</v>
      </c>
      <c r="F353">
        <v>5139992.0290000001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-0.22421373013188925</v>
      </c>
      <c r="Q353">
        <f t="shared" si="970"/>
        <v>-1152456.7856702679</v>
      </c>
      <c r="R353">
        <f t="shared" si="971"/>
        <v>122352649.0986954</v>
      </c>
      <c r="S353">
        <f t="shared" si="972"/>
        <v>1223.5264909869541</v>
      </c>
      <c r="T353">
        <f t="shared" si="973"/>
        <v>1.2235264909869541</v>
      </c>
    </row>
    <row r="354" spans="1:20" x14ac:dyDescent="0.25">
      <c r="A354" s="5">
        <v>44239</v>
      </c>
      <c r="B354">
        <v>17.63</v>
      </c>
      <c r="C354">
        <v>22.157</v>
      </c>
      <c r="D354">
        <v>17.27</v>
      </c>
      <c r="E354">
        <v>21.076000000000001</v>
      </c>
      <c r="F354">
        <v>10531076.955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0.55760180069572363</v>
      </c>
      <c r="Q354">
        <f t="shared" si="970"/>
        <v>5872147.473373238</v>
      </c>
      <c r="R354">
        <f t="shared" si="971"/>
        <v>123505105.88436566</v>
      </c>
      <c r="S354">
        <f t="shared" si="972"/>
        <v>1235.0510588436566</v>
      </c>
      <c r="T354">
        <f t="shared" si="973"/>
        <v>1.2350510588436565</v>
      </c>
    </row>
    <row r="355" spans="1:20" x14ac:dyDescent="0.25">
      <c r="A355" s="5">
        <v>44238</v>
      </c>
      <c r="B355">
        <v>14.97</v>
      </c>
      <c r="C355">
        <v>18.475999999999999</v>
      </c>
      <c r="D355">
        <v>14.775</v>
      </c>
      <c r="E355">
        <v>17.652000000000001</v>
      </c>
      <c r="F355">
        <v>7631682.568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0.55471494190759341</v>
      </c>
      <c r="Q355">
        <f t="shared" si="970"/>
        <v>4233408.3523653131</v>
      </c>
      <c r="R355">
        <f t="shared" si="971"/>
        <v>117632958.41099243</v>
      </c>
      <c r="S355">
        <f t="shared" si="972"/>
        <v>1176.3295841099243</v>
      </c>
      <c r="T355">
        <f t="shared" si="973"/>
        <v>1.1763295841099244</v>
      </c>
    </row>
    <row r="356" spans="1:20" x14ac:dyDescent="0.25">
      <c r="A356" s="5">
        <v>44237</v>
      </c>
      <c r="B356">
        <v>15.052</v>
      </c>
      <c r="C356">
        <v>15.58</v>
      </c>
      <c r="D356">
        <v>13.55</v>
      </c>
      <c r="E356">
        <v>14.965</v>
      </c>
      <c r="F356">
        <v>5850558.9850000003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0.39408866995073849</v>
      </c>
      <c r="Q356">
        <f t="shared" si="970"/>
        <v>2305639.0088669928</v>
      </c>
      <c r="R356">
        <f t="shared" si="971"/>
        <v>113399550.05862711</v>
      </c>
      <c r="S356">
        <f t="shared" si="972"/>
        <v>1133.9955005862712</v>
      </c>
      <c r="T356">
        <f t="shared" si="973"/>
        <v>1.1339955005862712</v>
      </c>
    </row>
    <row r="357" spans="1:20" x14ac:dyDescent="0.25">
      <c r="A357" s="5">
        <v>44236</v>
      </c>
      <c r="B357">
        <v>14.169</v>
      </c>
      <c r="C357">
        <v>15.483000000000001</v>
      </c>
      <c r="D357">
        <v>13.792</v>
      </c>
      <c r="E357">
        <v>15.057</v>
      </c>
      <c r="F357">
        <v>5191355.3080000002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0.49615612063867537</v>
      </c>
      <c r="Q357">
        <f t="shared" si="970"/>
        <v>2575722.710474276</v>
      </c>
      <c r="R357">
        <f t="shared" si="971"/>
        <v>111093911.04976012</v>
      </c>
      <c r="S357">
        <f t="shared" si="972"/>
        <v>1110.9391104976012</v>
      </c>
      <c r="T357">
        <f t="shared" si="973"/>
        <v>1.1109391104976012</v>
      </c>
    </row>
    <row r="358" spans="1:20" x14ac:dyDescent="0.25">
      <c r="A358" s="5">
        <v>44235</v>
      </c>
      <c r="B358">
        <v>13.821999999999999</v>
      </c>
      <c r="C358">
        <v>15.01</v>
      </c>
      <c r="D358">
        <v>13.233000000000001</v>
      </c>
      <c r="E358">
        <v>14.169</v>
      </c>
      <c r="F358">
        <v>8350155.3470000001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5.3460889138998692E-2</v>
      </c>
      <c r="Q358">
        <f t="shared" si="970"/>
        <v>446406.72929938417</v>
      </c>
      <c r="R358">
        <f t="shared" si="971"/>
        <v>108518188.33928584</v>
      </c>
      <c r="S358">
        <f t="shared" si="972"/>
        <v>1085.1818833928583</v>
      </c>
      <c r="T358">
        <f t="shared" si="973"/>
        <v>1.0851818833928581</v>
      </c>
    </row>
    <row r="359" spans="1:20" x14ac:dyDescent="0.25">
      <c r="A359" s="5">
        <v>44234</v>
      </c>
      <c r="B359">
        <v>12.087</v>
      </c>
      <c r="C359">
        <v>14.125999999999999</v>
      </c>
      <c r="D359">
        <v>11.394</v>
      </c>
      <c r="E359">
        <v>13.840999999999999</v>
      </c>
      <c r="F359">
        <v>10002469.742000001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0.79136163982430441</v>
      </c>
      <c r="Q359">
        <f t="shared" si="970"/>
        <v>7915570.8573221071</v>
      </c>
      <c r="R359">
        <f t="shared" si="971"/>
        <v>108071781.60998645</v>
      </c>
      <c r="S359">
        <f t="shared" si="972"/>
        <v>1080.7178160998646</v>
      </c>
      <c r="T359">
        <f t="shared" si="973"/>
        <v>1.0807178160998647</v>
      </c>
    </row>
    <row r="360" spans="1:20" x14ac:dyDescent="0.25">
      <c r="A360" s="5">
        <v>44233</v>
      </c>
      <c r="B360">
        <v>12.191000000000001</v>
      </c>
      <c r="C360">
        <v>13.7</v>
      </c>
      <c r="D360">
        <v>11.265000000000001</v>
      </c>
      <c r="E360">
        <v>12.087</v>
      </c>
      <c r="F360">
        <v>9331824.8479999993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-0.32484599589322416</v>
      </c>
      <c r="Q360">
        <f t="shared" si="970"/>
        <v>-3031405.9362496948</v>
      </c>
      <c r="R360">
        <f t="shared" si="971"/>
        <v>100156210.75266434</v>
      </c>
      <c r="S360">
        <f t="shared" si="972"/>
        <v>1001.5621075266434</v>
      </c>
      <c r="T360">
        <f t="shared" si="973"/>
        <v>1.0015621075266434</v>
      </c>
    </row>
    <row r="361" spans="1:20" x14ac:dyDescent="0.25">
      <c r="A361" s="5">
        <v>44232</v>
      </c>
      <c r="B361">
        <v>9.1579999999999995</v>
      </c>
      <c r="C361">
        <v>12.878</v>
      </c>
      <c r="D361">
        <v>9.01</v>
      </c>
      <c r="E361">
        <v>12.19</v>
      </c>
      <c r="F361">
        <v>11798935.869999999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0.64426059979317452</v>
      </c>
      <c r="Q361">
        <f t="shared" si="970"/>
        <v>7601589.5005274005</v>
      </c>
      <c r="R361">
        <f t="shared" si="971"/>
        <v>103187616.68891403</v>
      </c>
      <c r="S361">
        <f t="shared" si="972"/>
        <v>1031.8761668891402</v>
      </c>
      <c r="T361">
        <f t="shared" si="973"/>
        <v>1.0318761668891403</v>
      </c>
    </row>
    <row r="362" spans="1:20" x14ac:dyDescent="0.25">
      <c r="A362" s="5">
        <v>44231</v>
      </c>
      <c r="B362">
        <v>9.3030000000000008</v>
      </c>
      <c r="C362">
        <v>9.5</v>
      </c>
      <c r="D362">
        <v>8.6359999999999992</v>
      </c>
      <c r="E362">
        <v>9.1519999999999992</v>
      </c>
      <c r="F362">
        <v>3885308.1439999999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0.19444444444444342</v>
      </c>
      <c r="Q362">
        <f t="shared" si="970"/>
        <v>755476.5835555516</v>
      </c>
      <c r="R362">
        <f t="shared" si="971"/>
        <v>95586027.188386634</v>
      </c>
      <c r="S362">
        <f t="shared" si="972"/>
        <v>955.86027188386629</v>
      </c>
      <c r="T362">
        <f t="shared" si="973"/>
        <v>0.95586027188386624</v>
      </c>
    </row>
    <row r="363" spans="1:20" x14ac:dyDescent="0.25">
      <c r="A363" s="5">
        <v>44230</v>
      </c>
      <c r="B363">
        <v>8.8930000000000007</v>
      </c>
      <c r="C363">
        <v>9.4190000000000005</v>
      </c>
      <c r="D363">
        <v>8.75</v>
      </c>
      <c r="E363">
        <v>9.3030000000000008</v>
      </c>
      <c r="F363">
        <v>4436227.4859999996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0.65321375186846165</v>
      </c>
      <c r="Q363">
        <f t="shared" si="970"/>
        <v>2897804.8002720531</v>
      </c>
      <c r="R363">
        <f t="shared" si="971"/>
        <v>94830550.604831085</v>
      </c>
      <c r="S363">
        <f t="shared" si="972"/>
        <v>948.3055060483108</v>
      </c>
      <c r="T363">
        <f t="shared" si="973"/>
        <v>0.94830550604831076</v>
      </c>
    </row>
    <row r="364" spans="1:20" x14ac:dyDescent="0.25">
      <c r="A364" s="5">
        <v>44229</v>
      </c>
      <c r="B364">
        <v>9.2899999999999991</v>
      </c>
      <c r="C364">
        <v>9.34</v>
      </c>
      <c r="D364">
        <v>8.6999999999999993</v>
      </c>
      <c r="E364">
        <v>8.8930000000000007</v>
      </c>
      <c r="F364">
        <v>3897416.89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-0.3968749999999962</v>
      </c>
      <c r="Q364">
        <f t="shared" si="970"/>
        <v>-1546787.3282187353</v>
      </c>
      <c r="R364">
        <f t="shared" si="971"/>
        <v>91932745.804559037</v>
      </c>
      <c r="S364">
        <f t="shared" si="972"/>
        <v>919.32745804559033</v>
      </c>
      <c r="T364">
        <f t="shared" si="973"/>
        <v>0.91932745804559035</v>
      </c>
    </row>
    <row r="365" spans="1:20" x14ac:dyDescent="0.25">
      <c r="A365" s="5">
        <v>44228</v>
      </c>
      <c r="B365">
        <v>8.1449999999999996</v>
      </c>
      <c r="C365">
        <v>9.2959999999999994</v>
      </c>
      <c r="D365">
        <v>7.8280000000000003</v>
      </c>
      <c r="E365">
        <v>9.2899999999999991</v>
      </c>
      <c r="F365">
        <v>5908698.5990000004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0.99182561307901873</v>
      </c>
      <c r="Q365">
        <f t="shared" si="970"/>
        <v>5860398.6104523148</v>
      </c>
      <c r="R365">
        <f t="shared" si="971"/>
        <v>93479533.132777765</v>
      </c>
      <c r="S365">
        <f t="shared" si="972"/>
        <v>934.7953313277776</v>
      </c>
      <c r="T365">
        <f t="shared" si="973"/>
        <v>0.93479533132777759</v>
      </c>
    </row>
    <row r="366" spans="1:20" x14ac:dyDescent="0.25">
      <c r="A366" s="5">
        <v>44227</v>
      </c>
      <c r="B366">
        <v>8.0519999999999996</v>
      </c>
      <c r="C366">
        <v>8.9</v>
      </c>
      <c r="D366">
        <v>7.6909999999999998</v>
      </c>
      <c r="E366">
        <v>8.1449999999999996</v>
      </c>
      <c r="F366">
        <v>5688232.3949999996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-0.24896608767576586</v>
      </c>
      <c r="Q366">
        <f t="shared" si="970"/>
        <v>-1416176.9651737015</v>
      </c>
      <c r="R366">
        <f t="shared" si="971"/>
        <v>87619134.522325456</v>
      </c>
      <c r="S366">
        <f t="shared" si="972"/>
        <v>876.19134522325453</v>
      </c>
      <c r="T366">
        <f t="shared" si="973"/>
        <v>0.87619134522325448</v>
      </c>
    </row>
    <row r="367" spans="1:20" x14ac:dyDescent="0.25">
      <c r="A367" s="5">
        <v>44226</v>
      </c>
      <c r="B367">
        <v>7.9779999999999998</v>
      </c>
      <c r="C367">
        <v>8.3079999999999998</v>
      </c>
      <c r="D367">
        <v>7.7539999999999996</v>
      </c>
      <c r="E367">
        <v>8.048</v>
      </c>
      <c r="F367">
        <v>2714072.108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6.1371841155235883E-2</v>
      </c>
      <c r="Q367">
        <f t="shared" si="970"/>
        <v>166567.60229603222</v>
      </c>
      <c r="R367">
        <f t="shared" si="971"/>
        <v>89035311.487499163</v>
      </c>
      <c r="S367">
        <f t="shared" si="972"/>
        <v>890.35311487499166</v>
      </c>
      <c r="T367">
        <f t="shared" si="973"/>
        <v>0.89035311487499169</v>
      </c>
    </row>
    <row r="368" spans="1:20" x14ac:dyDescent="0.25">
      <c r="A368" s="5">
        <v>44225</v>
      </c>
      <c r="B368">
        <v>8.0440000000000005</v>
      </c>
      <c r="C368">
        <v>8.5419999999999998</v>
      </c>
      <c r="D368">
        <v>7.6779999999999999</v>
      </c>
      <c r="E368">
        <v>7.9749999999999996</v>
      </c>
      <c r="F368">
        <v>4995228.5449999999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-0.31250000000000056</v>
      </c>
      <c r="Q368">
        <f t="shared" si="970"/>
        <v>-1561008.9203125027</v>
      </c>
      <c r="R368">
        <f t="shared" si="971"/>
        <v>88868743.885203123</v>
      </c>
      <c r="S368">
        <f t="shared" si="972"/>
        <v>888.68743885203128</v>
      </c>
      <c r="T368">
        <f t="shared" si="973"/>
        <v>0.88868743885203128</v>
      </c>
    </row>
    <row r="369" spans="1:20" x14ac:dyDescent="0.25">
      <c r="A369" s="5">
        <v>44224</v>
      </c>
      <c r="B369">
        <v>6.96</v>
      </c>
      <c r="C369">
        <v>8.5500000000000007</v>
      </c>
      <c r="D369">
        <v>6.8040000000000003</v>
      </c>
      <c r="E369">
        <v>8.0410000000000004</v>
      </c>
      <c r="F369">
        <v>7824119.5820000004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0.41695303550973628</v>
      </c>
      <c r="Q369">
        <f t="shared" si="970"/>
        <v>3262290.4099060693</v>
      </c>
      <c r="R369">
        <f t="shared" si="971"/>
        <v>90429752.805515632</v>
      </c>
      <c r="S369">
        <f t="shared" si="972"/>
        <v>904.29752805515636</v>
      </c>
      <c r="T369">
        <f t="shared" si="973"/>
        <v>0.9042975280551564</v>
      </c>
    </row>
    <row r="370" spans="1:20" x14ac:dyDescent="0.25">
      <c r="A370" s="5">
        <v>44223</v>
      </c>
      <c r="B370">
        <v>7.726</v>
      </c>
      <c r="C370">
        <v>7.97</v>
      </c>
      <c r="D370">
        <v>6.7629999999999999</v>
      </c>
      <c r="E370">
        <v>6.9530000000000003</v>
      </c>
      <c r="F370">
        <v>5157639.1179999998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-0.68516984258492064</v>
      </c>
      <c r="Q370">
        <f t="shared" si="970"/>
        <v>-3533858.7825898887</v>
      </c>
      <c r="R370">
        <f t="shared" si="971"/>
        <v>87167462.395609558</v>
      </c>
      <c r="S370">
        <f t="shared" si="972"/>
        <v>871.67462395609562</v>
      </c>
      <c r="T370">
        <f t="shared" si="973"/>
        <v>0.87167462395609563</v>
      </c>
    </row>
    <row r="371" spans="1:20" x14ac:dyDescent="0.25">
      <c r="A371" s="5">
        <v>44222</v>
      </c>
      <c r="B371">
        <v>7.74</v>
      </c>
      <c r="C371">
        <v>7.96</v>
      </c>
      <c r="D371">
        <v>7.3659999999999997</v>
      </c>
      <c r="E371">
        <v>7.7320000000000002</v>
      </c>
      <c r="F371">
        <v>2865384.986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0.23232323232323354</v>
      </c>
      <c r="Q371">
        <f t="shared" si="970"/>
        <v>665695.50179798331</v>
      </c>
      <c r="R371">
        <f t="shared" si="971"/>
        <v>90701321.17819944</v>
      </c>
      <c r="S371">
        <f t="shared" si="972"/>
        <v>907.01321178199441</v>
      </c>
      <c r="T371">
        <f t="shared" si="973"/>
        <v>0.90701321178199446</v>
      </c>
    </row>
    <row r="372" spans="1:20" x14ac:dyDescent="0.25">
      <c r="A372" s="5">
        <v>44221</v>
      </c>
      <c r="B372">
        <v>8.2460000000000004</v>
      </c>
      <c r="C372">
        <v>8.5500000000000007</v>
      </c>
      <c r="D372">
        <v>7.6689999999999996</v>
      </c>
      <c r="E372">
        <v>7.7380000000000004</v>
      </c>
      <c r="F372">
        <v>3481469.67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-0.84335981838819352</v>
      </c>
      <c r="Q372">
        <f t="shared" si="970"/>
        <v>-2936131.6286152038</v>
      </c>
      <c r="R372">
        <f t="shared" si="971"/>
        <v>90035625.676401451</v>
      </c>
      <c r="S372">
        <f t="shared" si="972"/>
        <v>900.35625676401446</v>
      </c>
      <c r="T372">
        <f t="shared" si="973"/>
        <v>0.90035625676401443</v>
      </c>
    </row>
    <row r="373" spans="1:20" x14ac:dyDescent="0.25">
      <c r="A373" s="5">
        <v>44220</v>
      </c>
      <c r="B373">
        <v>8.3379999999999992</v>
      </c>
      <c r="C373">
        <v>8.7919999999999998</v>
      </c>
      <c r="D373">
        <v>7.7</v>
      </c>
      <c r="E373">
        <v>8.24</v>
      </c>
      <c r="F373">
        <v>4075946.9739999999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-1.0989010989010596E-2</v>
      </c>
      <c r="Q373">
        <f t="shared" si="970"/>
        <v>-44790.626087910488</v>
      </c>
      <c r="R373">
        <f t="shared" si="971"/>
        <v>92971757.305016652</v>
      </c>
      <c r="S373">
        <f t="shared" si="972"/>
        <v>929.71757305016649</v>
      </c>
      <c r="T373">
        <f t="shared" si="973"/>
        <v>0.92971757305016645</v>
      </c>
    </row>
    <row r="374" spans="1:20" x14ac:dyDescent="0.25">
      <c r="A374" s="5">
        <v>44219</v>
      </c>
      <c r="B374">
        <v>7.9829999999999997</v>
      </c>
      <c r="C374">
        <v>8.68</v>
      </c>
      <c r="D374">
        <v>7.8490000000000002</v>
      </c>
      <c r="E374">
        <v>8.3290000000000006</v>
      </c>
      <c r="F374">
        <v>4169853.0159999998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0.1552346570397129</v>
      </c>
      <c r="Q374">
        <f t="shared" si="970"/>
        <v>647305.70284477249</v>
      </c>
      <c r="R374">
        <f t="shared" si="971"/>
        <v>93016547.931104556</v>
      </c>
      <c r="S374">
        <f t="shared" si="972"/>
        <v>930.1654793110456</v>
      </c>
      <c r="T374">
        <f t="shared" si="973"/>
        <v>0.93016547931104565</v>
      </c>
    </row>
    <row r="375" spans="1:20" x14ac:dyDescent="0.25">
      <c r="A375" s="5">
        <v>44218</v>
      </c>
      <c r="B375">
        <v>7.1779999999999999</v>
      </c>
      <c r="C375">
        <v>8.4640000000000004</v>
      </c>
      <c r="D375">
        <v>6.6029999999999998</v>
      </c>
      <c r="E375">
        <v>7.9850000000000003</v>
      </c>
      <c r="F375">
        <v>5929008.6979999999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0.48522299838796357</v>
      </c>
      <c r="Q375">
        <f t="shared" si="970"/>
        <v>2876891.377911876</v>
      </c>
      <c r="R375">
        <f t="shared" si="971"/>
        <v>92369242.228259787</v>
      </c>
      <c r="S375">
        <f t="shared" si="972"/>
        <v>923.69242228259782</v>
      </c>
      <c r="T375">
        <f t="shared" si="973"/>
        <v>0.92369242228259785</v>
      </c>
    </row>
    <row r="376" spans="1:20" x14ac:dyDescent="0.25">
      <c r="A376" s="5">
        <v>44217</v>
      </c>
      <c r="B376">
        <v>8.9030000000000005</v>
      </c>
      <c r="C376">
        <v>8.9600000000000009</v>
      </c>
      <c r="D376">
        <v>7.0350000000000001</v>
      </c>
      <c r="E376">
        <v>7.1769999999999996</v>
      </c>
      <c r="F376">
        <v>5631612.6859999998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-0.85246753246753304</v>
      </c>
      <c r="Q376">
        <f t="shared" si="970"/>
        <v>-4800766.9702472761</v>
      </c>
      <c r="R376">
        <f t="shared" si="971"/>
        <v>89492350.850347906</v>
      </c>
      <c r="S376">
        <f t="shared" si="972"/>
        <v>894.92350850347907</v>
      </c>
      <c r="T376">
        <f t="shared" si="973"/>
        <v>0.89492350850347901</v>
      </c>
    </row>
    <row r="377" spans="1:20" x14ac:dyDescent="0.25">
      <c r="A377" s="5">
        <v>44216</v>
      </c>
      <c r="B377">
        <v>8.9</v>
      </c>
      <c r="C377">
        <v>9.4789999999999992</v>
      </c>
      <c r="D377">
        <v>7.95</v>
      </c>
      <c r="E377">
        <v>8.9090000000000007</v>
      </c>
      <c r="F377">
        <v>6129562.7539999997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0.25441465009810482</v>
      </c>
      <c r="Q377">
        <f t="shared" si="970"/>
        <v>1559450.5633132856</v>
      </c>
      <c r="R377">
        <f t="shared" si="971"/>
        <v>94293117.820595175</v>
      </c>
      <c r="S377">
        <f t="shared" si="972"/>
        <v>942.93117820595171</v>
      </c>
      <c r="T377">
        <f t="shared" si="973"/>
        <v>0.94293117820595174</v>
      </c>
    </row>
    <row r="378" spans="1:20" x14ac:dyDescent="0.25">
      <c r="A378" s="5">
        <v>44215</v>
      </c>
      <c r="B378">
        <v>9.5459999999999994</v>
      </c>
      <c r="C378">
        <v>10.199999999999999</v>
      </c>
      <c r="D378">
        <v>8.8260000000000005</v>
      </c>
      <c r="E378">
        <v>8.891</v>
      </c>
      <c r="F378">
        <v>5433238.1359999999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-0.90538573508005882</v>
      </c>
      <c r="Q378">
        <f t="shared" si="970"/>
        <v>-4919176.3036273681</v>
      </c>
      <c r="R378">
        <f t="shared" si="971"/>
        <v>92733667.257281885</v>
      </c>
      <c r="S378">
        <f t="shared" si="972"/>
        <v>927.33667257281888</v>
      </c>
      <c r="T378">
        <f t="shared" si="973"/>
        <v>0.92733667257281893</v>
      </c>
    </row>
    <row r="379" spans="1:20" x14ac:dyDescent="0.25">
      <c r="A379" s="5">
        <v>44214</v>
      </c>
      <c r="B379">
        <v>8.5449999999999999</v>
      </c>
      <c r="C379">
        <v>9.8659999999999997</v>
      </c>
      <c r="D379">
        <v>8.4870000000000001</v>
      </c>
      <c r="E379">
        <v>9.5389999999999997</v>
      </c>
      <c r="F379">
        <v>9182788.8460000008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0.52574329224075411</v>
      </c>
      <c r="Q379">
        <f t="shared" si="970"/>
        <v>4827789.6398477154</v>
      </c>
      <c r="R379">
        <f t="shared" si="971"/>
        <v>97652843.560909256</v>
      </c>
      <c r="S379">
        <f t="shared" si="972"/>
        <v>976.52843560909253</v>
      </c>
      <c r="T379">
        <f t="shared" si="973"/>
        <v>0.97652843560909253</v>
      </c>
    </row>
    <row r="380" spans="1:20" x14ac:dyDescent="0.25">
      <c r="A380" s="5">
        <v>44213</v>
      </c>
      <c r="B380">
        <v>9.032</v>
      </c>
      <c r="C380">
        <v>9.202</v>
      </c>
      <c r="D380">
        <v>8.0090000000000003</v>
      </c>
      <c r="E380">
        <v>8.5440000000000005</v>
      </c>
      <c r="F380">
        <v>7624184.5640000002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-0.1031014249790439</v>
      </c>
      <c r="Q380">
        <f t="shared" si="970"/>
        <v>-786064.2928516306</v>
      </c>
      <c r="R380">
        <f t="shared" si="971"/>
        <v>92825053.921061546</v>
      </c>
      <c r="S380">
        <f t="shared" si="972"/>
        <v>928.25053921061544</v>
      </c>
      <c r="T380">
        <f t="shared" si="973"/>
        <v>0.9282505392106154</v>
      </c>
    </row>
    <row r="381" spans="1:20" x14ac:dyDescent="0.25">
      <c r="A381" s="5">
        <v>44212</v>
      </c>
      <c r="B381">
        <v>7.8879999999999999</v>
      </c>
      <c r="C381">
        <v>9.6</v>
      </c>
      <c r="D381">
        <v>7.5369999999999999</v>
      </c>
      <c r="E381">
        <v>9.0299999999999994</v>
      </c>
      <c r="F381">
        <v>14794069.546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0.44740668928744509</v>
      </c>
      <c r="Q381">
        <f t="shared" si="970"/>
        <v>6618965.6766640758</v>
      </c>
      <c r="R381">
        <f t="shared" si="971"/>
        <v>93611118.213913172</v>
      </c>
      <c r="S381">
        <f t="shared" si="972"/>
        <v>936.11118213913176</v>
      </c>
      <c r="T381">
        <f t="shared" si="973"/>
        <v>0.9361111821391318</v>
      </c>
    </row>
    <row r="382" spans="1:20" x14ac:dyDescent="0.25">
      <c r="A382" s="5">
        <v>44211</v>
      </c>
      <c r="B382">
        <v>6.4820000000000002</v>
      </c>
      <c r="C382">
        <v>8.5</v>
      </c>
      <c r="D382">
        <v>6.4489999999999998</v>
      </c>
      <c r="E382">
        <v>7.8959999999999999</v>
      </c>
      <c r="F382">
        <v>21196989.982000001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0.41101901511457822</v>
      </c>
      <c r="Q382">
        <f t="shared" si="970"/>
        <v>8712365.9457952213</v>
      </c>
      <c r="R382">
        <f t="shared" si="971"/>
        <v>86992152.537249103</v>
      </c>
      <c r="S382">
        <f t="shared" si="972"/>
        <v>869.92152537249103</v>
      </c>
      <c r="T382">
        <f t="shared" si="973"/>
        <v>0.86992152537249101</v>
      </c>
    </row>
    <row r="383" spans="1:20" x14ac:dyDescent="0.25">
      <c r="A383" s="5">
        <v>44210</v>
      </c>
      <c r="B383">
        <v>6.2430000000000003</v>
      </c>
      <c r="C383">
        <v>6.59</v>
      </c>
      <c r="D383">
        <v>6.1369999999999996</v>
      </c>
      <c r="E383">
        <v>6.476</v>
      </c>
      <c r="F383">
        <v>5545983.0630000001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0.49668874172185518</v>
      </c>
      <c r="Q383">
        <f t="shared" si="970"/>
        <v>2754627.3491721903</v>
      </c>
      <c r="R383">
        <f t="shared" si="971"/>
        <v>78279786.59145388</v>
      </c>
      <c r="S383">
        <f t="shared" si="972"/>
        <v>782.79786591453876</v>
      </c>
      <c r="T383">
        <f t="shared" si="973"/>
        <v>0.78279786591453882</v>
      </c>
    </row>
    <row r="384" spans="1:20" x14ac:dyDescent="0.25">
      <c r="A384" s="5">
        <v>44209</v>
      </c>
      <c r="B384">
        <v>5.7110000000000003</v>
      </c>
      <c r="C384">
        <v>6.26</v>
      </c>
      <c r="D384">
        <v>5.5430000000000001</v>
      </c>
      <c r="E384">
        <v>6.242</v>
      </c>
      <c r="F384">
        <v>2968674.6889999998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0.94979079497908003</v>
      </c>
      <c r="Q384">
        <f t="shared" si="970"/>
        <v>2819619.8928995831</v>
      </c>
      <c r="R384">
        <f t="shared" si="971"/>
        <v>75525159.24228169</v>
      </c>
      <c r="S384">
        <f t="shared" si="972"/>
        <v>755.25159242281688</v>
      </c>
      <c r="T384">
        <f t="shared" si="973"/>
        <v>0.75525159242281692</v>
      </c>
    </row>
    <row r="385" spans="1:20" x14ac:dyDescent="0.25">
      <c r="A385" s="5">
        <v>44208</v>
      </c>
      <c r="B385">
        <v>5.7169999999999996</v>
      </c>
      <c r="C385">
        <v>6.15</v>
      </c>
      <c r="D385">
        <v>5.5</v>
      </c>
      <c r="E385">
        <v>5.7110000000000003</v>
      </c>
      <c r="F385">
        <v>4231481.074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-0.35076923076923022</v>
      </c>
      <c r="Q385">
        <f t="shared" si="970"/>
        <v>-1484273.361341536</v>
      </c>
      <c r="R385">
        <f t="shared" si="971"/>
        <v>72705539.349382102</v>
      </c>
      <c r="S385">
        <f t="shared" si="972"/>
        <v>727.05539349382104</v>
      </c>
      <c r="T385">
        <f t="shared" si="973"/>
        <v>0.72705539349382109</v>
      </c>
    </row>
    <row r="386" spans="1:20" x14ac:dyDescent="0.25">
      <c r="A386" s="5">
        <v>44207</v>
      </c>
      <c r="B386">
        <v>6.4109999999999996</v>
      </c>
      <c r="C386">
        <v>6.4530000000000003</v>
      </c>
      <c r="D386">
        <v>5</v>
      </c>
      <c r="E386">
        <v>5.726</v>
      </c>
      <c r="F386">
        <v>8414159.7960000001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-6.8823124569878443E-4</v>
      </c>
      <c r="Q386">
        <f t="shared" si="970"/>
        <v>-5790.88767790971</v>
      </c>
      <c r="R386">
        <f t="shared" si="971"/>
        <v>74189812.710723639</v>
      </c>
      <c r="S386">
        <f t="shared" si="972"/>
        <v>741.89812710723641</v>
      </c>
      <c r="T386">
        <f t="shared" si="973"/>
        <v>0.74189812710723646</v>
      </c>
    </row>
    <row r="387" spans="1:20" x14ac:dyDescent="0.25">
      <c r="A387" s="5">
        <v>44206</v>
      </c>
      <c r="B387">
        <v>6.5439999999999996</v>
      </c>
      <c r="C387">
        <v>7.1420000000000003</v>
      </c>
      <c r="D387">
        <v>5.9720000000000004</v>
      </c>
      <c r="E387">
        <v>6.4089999999999998</v>
      </c>
      <c r="F387">
        <v>7826922.1919999998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-0.25299145299145398</v>
      </c>
      <c r="Q387">
        <f t="shared" si="970"/>
        <v>-1980144.4178051359</v>
      </c>
      <c r="R387">
        <f t="shared" si="971"/>
        <v>74195603.598401546</v>
      </c>
      <c r="S387">
        <f t="shared" si="972"/>
        <v>741.95603598401544</v>
      </c>
      <c r="T387">
        <f t="shared" si="973"/>
        <v>0.74195603598401549</v>
      </c>
    </row>
    <row r="388" spans="1:20" x14ac:dyDescent="0.25">
      <c r="A388" s="5">
        <v>44205</v>
      </c>
      <c r="B388">
        <v>5.9290000000000003</v>
      </c>
      <c r="C388">
        <v>6.7480000000000002</v>
      </c>
      <c r="D388">
        <v>5.8109999999999999</v>
      </c>
      <c r="E388">
        <v>6.54</v>
      </c>
      <c r="F388">
        <v>5824097.9239999996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0.55602988260405528</v>
      </c>
      <c r="Q388">
        <f t="shared" si="970"/>
        <v>3238372.4849562417</v>
      </c>
      <c r="R388">
        <f t="shared" si="971"/>
        <v>76175748.016206682</v>
      </c>
      <c r="S388">
        <f t="shared" si="972"/>
        <v>761.75748016206683</v>
      </c>
      <c r="T388">
        <f t="shared" si="973"/>
        <v>0.76175748016206679</v>
      </c>
    </row>
    <row r="389" spans="1:20" x14ac:dyDescent="0.25">
      <c r="A389" s="5">
        <v>44204</v>
      </c>
      <c r="B389">
        <v>6.266</v>
      </c>
      <c r="C389">
        <v>6.343</v>
      </c>
      <c r="D389">
        <v>5.66</v>
      </c>
      <c r="E389">
        <v>5.931</v>
      </c>
      <c r="F389">
        <v>5120149.6909999996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-0.2064421669106882</v>
      </c>
      <c r="Q389">
        <f t="shared" si="970"/>
        <v>-1057014.7971171306</v>
      </c>
      <c r="R389">
        <f t="shared" si="971"/>
        <v>72937375.531250447</v>
      </c>
      <c r="S389">
        <f t="shared" si="972"/>
        <v>729.3737553125045</v>
      </c>
      <c r="T389">
        <f t="shared" si="973"/>
        <v>0.72937375531250448</v>
      </c>
    </row>
    <row r="390" spans="1:20" x14ac:dyDescent="0.25">
      <c r="A390" s="5">
        <v>44203</v>
      </c>
      <c r="B390">
        <v>6.6890000000000001</v>
      </c>
      <c r="C390">
        <v>6.843</v>
      </c>
      <c r="D390">
        <v>6</v>
      </c>
      <c r="E390">
        <v>6.2640000000000002</v>
      </c>
      <c r="F390">
        <v>5038404.6320000002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-0.37366548042704567</v>
      </c>
      <c r="Q390">
        <f t="shared" ref="Q390:Q453" si="975">F390*P390</f>
        <v>-1882677.8874021324</v>
      </c>
      <c r="R390">
        <f t="shared" ref="R390:R453" si="976">R391+Q390</f>
        <v>73994390.328367576</v>
      </c>
      <c r="S390">
        <f t="shared" ref="S390:S453" si="977">R390/100000</f>
        <v>739.94390328367581</v>
      </c>
      <c r="T390">
        <f t="shared" ref="T390:T453" si="978">S390/1000</f>
        <v>0.73994390328367576</v>
      </c>
    </row>
    <row r="391" spans="1:20" x14ac:dyDescent="0.25">
      <c r="A391" s="5">
        <v>44202</v>
      </c>
      <c r="B391">
        <v>6.2009999999999996</v>
      </c>
      <c r="C391">
        <v>6.9539999999999997</v>
      </c>
      <c r="D391">
        <v>5.86</v>
      </c>
      <c r="E391">
        <v>6.6820000000000004</v>
      </c>
      <c r="F391">
        <v>6774124.3310000002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0.50274223034735011</v>
      </c>
      <c r="Q391">
        <f t="shared" si="975"/>
        <v>3405638.3748171912</v>
      </c>
      <c r="R391">
        <f t="shared" si="976"/>
        <v>75877068.215769708</v>
      </c>
      <c r="S391">
        <f t="shared" si="977"/>
        <v>758.77068215769714</v>
      </c>
      <c r="T391">
        <f t="shared" si="978"/>
        <v>0.75877068215769716</v>
      </c>
    </row>
    <row r="392" spans="1:20" x14ac:dyDescent="0.25">
      <c r="A392" s="5">
        <v>44201</v>
      </c>
      <c r="B392">
        <v>6.0439999999999996</v>
      </c>
      <c r="C392">
        <v>6.383</v>
      </c>
      <c r="D392">
        <v>5.64</v>
      </c>
      <c r="E392">
        <v>6.1959999999999997</v>
      </c>
      <c r="F392">
        <v>5022610.9840000002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0.49663526244952844</v>
      </c>
      <c r="Q392">
        <f t="shared" si="975"/>
        <v>2494405.7242207243</v>
      </c>
      <c r="R392">
        <f t="shared" si="976"/>
        <v>72471429.840952516</v>
      </c>
      <c r="S392">
        <f t="shared" si="977"/>
        <v>724.7142984095251</v>
      </c>
      <c r="T392">
        <f t="shared" si="978"/>
        <v>0.72471429840952506</v>
      </c>
    </row>
    <row r="393" spans="1:20" x14ac:dyDescent="0.25">
      <c r="A393" s="5">
        <v>44200</v>
      </c>
      <c r="B393">
        <v>5.8310000000000004</v>
      </c>
      <c r="C393">
        <v>6.2690000000000001</v>
      </c>
      <c r="D393">
        <v>5.2590000000000003</v>
      </c>
      <c r="E393">
        <v>6.0439999999999996</v>
      </c>
      <c r="F393">
        <v>6927475.0779999997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0.55445544554455328</v>
      </c>
      <c r="Q393">
        <f t="shared" si="975"/>
        <v>3840976.2808712791</v>
      </c>
      <c r="R393">
        <f t="shared" si="976"/>
        <v>69977024.116731793</v>
      </c>
      <c r="S393">
        <f t="shared" si="977"/>
        <v>699.77024116731798</v>
      </c>
      <c r="T393">
        <f t="shared" si="978"/>
        <v>0.69977024116731801</v>
      </c>
    </row>
    <row r="394" spans="1:20" x14ac:dyDescent="0.25">
      <c r="A394" s="5">
        <v>44199</v>
      </c>
      <c r="B394">
        <v>5.4160000000000004</v>
      </c>
      <c r="C394">
        <v>5.9109999999999996</v>
      </c>
      <c r="D394">
        <v>5.2789999999999999</v>
      </c>
      <c r="E394">
        <v>5.8289999999999997</v>
      </c>
      <c r="F394">
        <v>4949867.1830000002</v>
      </c>
      <c r="G394">
        <v>0</v>
      </c>
      <c r="L394" t="s">
        <v>8</v>
      </c>
      <c r="M394" t="s">
        <v>7</v>
      </c>
      <c r="N394" t="s">
        <v>8</v>
      </c>
      <c r="P394">
        <f t="shared" si="974"/>
        <v>0.74050632911392444</v>
      </c>
      <c r="Q394">
        <f t="shared" si="975"/>
        <v>3665407.9772848124</v>
      </c>
      <c r="R394">
        <f t="shared" si="976"/>
        <v>66136047.835860521</v>
      </c>
      <c r="S394">
        <f t="shared" si="977"/>
        <v>661.36047835860518</v>
      </c>
      <c r="T394">
        <f t="shared" si="978"/>
        <v>0.66136047835860523</v>
      </c>
    </row>
    <row r="395" spans="1:20" x14ac:dyDescent="0.25">
      <c r="A395" s="5">
        <v>44198</v>
      </c>
      <c r="B395">
        <v>5.859</v>
      </c>
      <c r="C395">
        <v>5.8810000000000002</v>
      </c>
      <c r="D395">
        <v>5.18</v>
      </c>
      <c r="E395">
        <v>5.42</v>
      </c>
      <c r="F395">
        <v>8825384.818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-0.31526390870185439</v>
      </c>
      <c r="Q395">
        <f t="shared" si="975"/>
        <v>-2782325.3135206839</v>
      </c>
      <c r="R395">
        <f t="shared" si="976"/>
        <v>62470639.858575709</v>
      </c>
      <c r="S395">
        <f t="shared" si="977"/>
        <v>624.70639858575714</v>
      </c>
      <c r="T395">
        <f t="shared" si="978"/>
        <v>0.62470639858575716</v>
      </c>
    </row>
    <row r="396" spans="1:20" x14ac:dyDescent="0.25">
      <c r="A396" s="5">
        <v>44197</v>
      </c>
      <c r="B396">
        <v>6.468</v>
      </c>
      <c r="C396">
        <v>6.5</v>
      </c>
      <c r="D396">
        <v>5.5880000000000001</v>
      </c>
      <c r="E396">
        <v>5.8609999999999998</v>
      </c>
      <c r="F396">
        <v>6358513.6399999997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-0.40131578947368485</v>
      </c>
      <c r="Q396">
        <f t="shared" si="975"/>
        <v>-2551771.9213157934</v>
      </c>
      <c r="R396">
        <f t="shared" si="976"/>
        <v>65252965.172096394</v>
      </c>
      <c r="S396">
        <f t="shared" si="977"/>
        <v>652.5296517209639</v>
      </c>
      <c r="T396">
        <f t="shared" si="978"/>
        <v>0.65252965172096389</v>
      </c>
    </row>
    <row r="397" spans="1:20" x14ac:dyDescent="0.25">
      <c r="A397" s="5">
        <v>44196</v>
      </c>
      <c r="B397">
        <v>5.4240000000000004</v>
      </c>
      <c r="C397">
        <v>6.4950000000000001</v>
      </c>
      <c r="D397">
        <v>5.24</v>
      </c>
      <c r="E397">
        <v>6.4649999999999999</v>
      </c>
      <c r="F397">
        <v>5306477.4670000002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0.95219123505976055</v>
      </c>
      <c r="Q397">
        <f t="shared" si="975"/>
        <v>5052781.33311952</v>
      </c>
      <c r="R397">
        <f t="shared" si="976"/>
        <v>67804737.093412191</v>
      </c>
      <c r="S397">
        <f t="shared" si="977"/>
        <v>678.04737093412189</v>
      </c>
      <c r="T397">
        <f t="shared" si="978"/>
        <v>0.67804737093412193</v>
      </c>
    </row>
    <row r="398" spans="1:20" x14ac:dyDescent="0.25">
      <c r="A398" s="5">
        <v>44195</v>
      </c>
      <c r="B398">
        <v>5.6239999999999997</v>
      </c>
      <c r="C398">
        <v>5.84</v>
      </c>
      <c r="D398">
        <v>5.391</v>
      </c>
      <c r="E398">
        <v>5.4240000000000004</v>
      </c>
      <c r="F398">
        <v>3895574.75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-0.8530066815144749</v>
      </c>
      <c r="Q398">
        <f t="shared" si="975"/>
        <v>-3322951.2900890801</v>
      </c>
      <c r="R398">
        <f t="shared" si="976"/>
        <v>62751955.760292672</v>
      </c>
      <c r="S398">
        <f t="shared" si="977"/>
        <v>627.51955760292674</v>
      </c>
      <c r="T398">
        <f t="shared" si="978"/>
        <v>0.62751955760292677</v>
      </c>
    </row>
    <row r="399" spans="1:20" x14ac:dyDescent="0.25">
      <c r="A399" s="5">
        <v>44194</v>
      </c>
      <c r="B399">
        <v>5.3869999999999996</v>
      </c>
      <c r="C399">
        <v>5.69</v>
      </c>
      <c r="D399">
        <v>5.0339999999999998</v>
      </c>
      <c r="E399">
        <v>5.6219999999999999</v>
      </c>
      <c r="F399">
        <v>4829608.5039999997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0.79268292682926689</v>
      </c>
      <c r="Q399">
        <f t="shared" si="975"/>
        <v>3828348.2043902371</v>
      </c>
      <c r="R399">
        <f t="shared" si="976"/>
        <v>66074907.05038175</v>
      </c>
      <c r="S399">
        <f t="shared" si="977"/>
        <v>660.74907050381751</v>
      </c>
      <c r="T399">
        <f t="shared" si="978"/>
        <v>0.66074907050381748</v>
      </c>
    </row>
    <row r="400" spans="1:20" x14ac:dyDescent="0.25">
      <c r="A400" s="5">
        <v>44193</v>
      </c>
      <c r="B400">
        <v>4.843</v>
      </c>
      <c r="C400">
        <v>5.61</v>
      </c>
      <c r="D400">
        <v>4.7910000000000004</v>
      </c>
      <c r="E400">
        <v>5.391</v>
      </c>
      <c r="F400">
        <v>3967006.057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0.46520146520146444</v>
      </c>
      <c r="Q400">
        <f t="shared" si="975"/>
        <v>1845457.030179484</v>
      </c>
      <c r="R400">
        <f t="shared" si="976"/>
        <v>62246558.845991515</v>
      </c>
      <c r="S400">
        <f t="shared" si="977"/>
        <v>622.46558845991512</v>
      </c>
      <c r="T400">
        <f t="shared" si="978"/>
        <v>0.62246558845991518</v>
      </c>
    </row>
    <row r="401" spans="1:20" x14ac:dyDescent="0.25">
      <c r="A401" s="5">
        <v>44192</v>
      </c>
      <c r="B401">
        <v>4.8109999999999999</v>
      </c>
      <c r="C401">
        <v>5.024</v>
      </c>
      <c r="D401">
        <v>4.5709999999999997</v>
      </c>
      <c r="E401">
        <v>4.8419999999999996</v>
      </c>
      <c r="F401">
        <v>2404495.9070000001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0.19646799116997674</v>
      </c>
      <c r="Q401">
        <f t="shared" si="975"/>
        <v>472406.48062472121</v>
      </c>
      <c r="R401">
        <f t="shared" si="976"/>
        <v>60401101.815812029</v>
      </c>
      <c r="S401">
        <f t="shared" si="977"/>
        <v>604.01101815812024</v>
      </c>
      <c r="T401">
        <f t="shared" si="978"/>
        <v>0.60401101815812019</v>
      </c>
    </row>
    <row r="402" spans="1:20" x14ac:dyDescent="0.25">
      <c r="A402" s="5">
        <v>44191</v>
      </c>
      <c r="B402">
        <v>4.9080000000000004</v>
      </c>
      <c r="C402">
        <v>4.9669999999999996</v>
      </c>
      <c r="D402">
        <v>4.7309999999999999</v>
      </c>
      <c r="E402">
        <v>4.8099999999999996</v>
      </c>
      <c r="F402">
        <v>1262506.135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-0.33050847457627275</v>
      </c>
      <c r="Q402">
        <f t="shared" si="975"/>
        <v>-417268.97682203585</v>
      </c>
      <c r="R402">
        <f t="shared" si="976"/>
        <v>59928695.335187308</v>
      </c>
      <c r="S402">
        <f t="shared" si="977"/>
        <v>599.28695335187308</v>
      </c>
      <c r="T402">
        <f t="shared" si="978"/>
        <v>0.5992869533518731</v>
      </c>
    </row>
    <row r="403" spans="1:20" x14ac:dyDescent="0.25">
      <c r="A403" s="5">
        <v>44190</v>
      </c>
      <c r="B403">
        <v>4.9610000000000003</v>
      </c>
      <c r="C403">
        <v>5.0529999999999999</v>
      </c>
      <c r="D403">
        <v>4.7450000000000001</v>
      </c>
      <c r="E403">
        <v>4.9089999999999998</v>
      </c>
      <c r="F403">
        <v>1364368.6629999999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6.4935064935063583E-2</v>
      </c>
      <c r="Q403">
        <f t="shared" si="975"/>
        <v>88595.367727270874</v>
      </c>
      <c r="R403">
        <f t="shared" si="976"/>
        <v>60345964.312009342</v>
      </c>
      <c r="S403">
        <f t="shared" si="977"/>
        <v>603.45964312009346</v>
      </c>
      <c r="T403">
        <f t="shared" si="978"/>
        <v>0.60345964312009348</v>
      </c>
    </row>
    <row r="404" spans="1:20" x14ac:dyDescent="0.25">
      <c r="A404" s="5">
        <v>44189</v>
      </c>
      <c r="B404">
        <v>4.3949999999999996</v>
      </c>
      <c r="C404">
        <v>4.9989999999999997</v>
      </c>
      <c r="D404">
        <v>4.2240000000000002</v>
      </c>
      <c r="E404">
        <v>4.9589999999999996</v>
      </c>
      <c r="F404">
        <v>2068214.0060000001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0.89677419354838694</v>
      </c>
      <c r="Q404">
        <f t="shared" si="975"/>
        <v>1854720.9473161288</v>
      </c>
      <c r="R404">
        <f t="shared" si="976"/>
        <v>60257368.94428207</v>
      </c>
      <c r="S404">
        <f t="shared" si="977"/>
        <v>602.57368944282075</v>
      </c>
      <c r="T404">
        <f t="shared" si="978"/>
        <v>0.60257368944282075</v>
      </c>
    </row>
    <row r="405" spans="1:20" x14ac:dyDescent="0.25">
      <c r="A405" s="5">
        <v>44188</v>
      </c>
      <c r="B405">
        <v>4.944</v>
      </c>
      <c r="C405">
        <v>4.9969999999999999</v>
      </c>
      <c r="D405">
        <v>4.2</v>
      </c>
      <c r="E405">
        <v>4.3949999999999996</v>
      </c>
      <c r="F405">
        <v>2614969.2030000002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-0.51066499372647567</v>
      </c>
      <c r="Q405">
        <f t="shared" si="975"/>
        <v>-1335373.2316449222</v>
      </c>
      <c r="R405">
        <f t="shared" si="976"/>
        <v>58402647.996965937</v>
      </c>
      <c r="S405">
        <f t="shared" si="977"/>
        <v>584.02647996965936</v>
      </c>
      <c r="T405">
        <f t="shared" si="978"/>
        <v>0.5840264799696594</v>
      </c>
    </row>
    <row r="406" spans="1:20" x14ac:dyDescent="0.25">
      <c r="A406" s="5">
        <v>44187</v>
      </c>
      <c r="B406">
        <v>5.03</v>
      </c>
      <c r="C406">
        <v>5.1029999999999998</v>
      </c>
      <c r="D406">
        <v>4.7249999999999996</v>
      </c>
      <c r="E406">
        <v>4.9429999999999996</v>
      </c>
      <c r="F406">
        <v>1397845.8659999999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0.15343915343915293</v>
      </c>
      <c r="Q406">
        <f t="shared" si="975"/>
        <v>214484.2863174596</v>
      </c>
      <c r="R406">
        <f t="shared" si="976"/>
        <v>59738021.228610858</v>
      </c>
      <c r="S406">
        <f t="shared" si="977"/>
        <v>597.38021228610853</v>
      </c>
      <c r="T406">
        <f t="shared" si="978"/>
        <v>0.59738021228610849</v>
      </c>
    </row>
    <row r="407" spans="1:20" x14ac:dyDescent="0.25">
      <c r="A407" s="5">
        <v>44186</v>
      </c>
      <c r="B407">
        <v>5.0309999999999997</v>
      </c>
      <c r="C407">
        <v>5.157</v>
      </c>
      <c r="D407">
        <v>4.7930000000000001</v>
      </c>
      <c r="E407">
        <v>5.0309999999999997</v>
      </c>
      <c r="F407">
        <v>1325974.2690000001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0.3076923076923056</v>
      </c>
      <c r="Q407">
        <f t="shared" si="975"/>
        <v>407992.08276922803</v>
      </c>
      <c r="R407">
        <f t="shared" si="976"/>
        <v>59523536.942293398</v>
      </c>
      <c r="S407">
        <f t="shared" si="977"/>
        <v>595.23536942293401</v>
      </c>
      <c r="T407">
        <f t="shared" si="978"/>
        <v>0.59523536942293398</v>
      </c>
    </row>
    <row r="408" spans="1:20" x14ac:dyDescent="0.25">
      <c r="A408" s="5">
        <v>44185</v>
      </c>
      <c r="B408">
        <v>5.2859999999999996</v>
      </c>
      <c r="C408">
        <v>5.36</v>
      </c>
      <c r="D408">
        <v>4.9009999999999998</v>
      </c>
      <c r="E408">
        <v>5.0359999999999996</v>
      </c>
      <c r="F408">
        <v>2014721.926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-0.41176470588235453</v>
      </c>
      <c r="Q408">
        <f t="shared" si="975"/>
        <v>-829591.3812941208</v>
      </c>
      <c r="R408">
        <f t="shared" si="976"/>
        <v>59115544.859524168</v>
      </c>
      <c r="S408">
        <f t="shared" si="977"/>
        <v>591.15544859524164</v>
      </c>
      <c r="T408">
        <f t="shared" si="978"/>
        <v>0.59115544859524161</v>
      </c>
    </row>
    <row r="409" spans="1:20" x14ac:dyDescent="0.25">
      <c r="A409" s="5">
        <v>44184</v>
      </c>
      <c r="B409">
        <v>5.33</v>
      </c>
      <c r="C409">
        <v>5.4390000000000001</v>
      </c>
      <c r="D409">
        <v>5.25</v>
      </c>
      <c r="E409">
        <v>5.2889999999999997</v>
      </c>
      <c r="F409">
        <v>1617579.5989999999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-0.58730158730159054</v>
      </c>
      <c r="Q409">
        <f t="shared" si="975"/>
        <v>-950007.06607937033</v>
      </c>
      <c r="R409">
        <f t="shared" si="976"/>
        <v>59945136.240818292</v>
      </c>
      <c r="S409">
        <f t="shared" si="977"/>
        <v>599.45136240818294</v>
      </c>
      <c r="T409">
        <f t="shared" si="978"/>
        <v>0.59945136240818298</v>
      </c>
    </row>
    <row r="410" spans="1:20" x14ac:dyDescent="0.25">
      <c r="A410" s="5">
        <v>44183</v>
      </c>
      <c r="B410">
        <v>5.3540000000000001</v>
      </c>
      <c r="C410">
        <v>5.45</v>
      </c>
      <c r="D410">
        <v>5.1870000000000003</v>
      </c>
      <c r="E410">
        <v>5.3289999999999997</v>
      </c>
      <c r="F410">
        <v>1477854.8389999999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7.9847908745243446E-2</v>
      </c>
      <c r="Q410">
        <f t="shared" si="975"/>
        <v>118003.61832318844</v>
      </c>
      <c r="R410">
        <f t="shared" si="976"/>
        <v>60895143.306897663</v>
      </c>
      <c r="S410">
        <f t="shared" si="977"/>
        <v>608.9514330689766</v>
      </c>
      <c r="T410">
        <f t="shared" si="978"/>
        <v>0.60895143306897659</v>
      </c>
    </row>
    <row r="411" spans="1:20" x14ac:dyDescent="0.25">
      <c r="A411" s="5">
        <v>44182</v>
      </c>
      <c r="B411">
        <v>5.4870000000000001</v>
      </c>
      <c r="C411">
        <v>5.73</v>
      </c>
      <c r="D411">
        <v>5.2649999999999997</v>
      </c>
      <c r="E411">
        <v>5.3540000000000001</v>
      </c>
      <c r="F411">
        <v>2726673.9049999998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-0.61720430107526769</v>
      </c>
      <c r="Q411">
        <f t="shared" si="975"/>
        <v>-1682914.8617956957</v>
      </c>
      <c r="R411">
        <f t="shared" si="976"/>
        <v>60777139.688574471</v>
      </c>
      <c r="S411">
        <f t="shared" si="977"/>
        <v>607.77139688574471</v>
      </c>
      <c r="T411">
        <f t="shared" si="978"/>
        <v>0.60777139688574466</v>
      </c>
    </row>
    <row r="412" spans="1:20" x14ac:dyDescent="0.25">
      <c r="A412" s="5">
        <v>44181</v>
      </c>
      <c r="B412">
        <v>5.2910000000000004</v>
      </c>
      <c r="C412">
        <v>5.5049999999999999</v>
      </c>
      <c r="D412">
        <v>5.15</v>
      </c>
      <c r="E412">
        <v>5.4939999999999998</v>
      </c>
      <c r="F412">
        <v>3269784.0690000001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0.9380281690140837</v>
      </c>
      <c r="Q412">
        <f t="shared" si="975"/>
        <v>3067149.5633154903</v>
      </c>
      <c r="R412">
        <f t="shared" si="976"/>
        <v>62460054.550370164</v>
      </c>
      <c r="S412">
        <f t="shared" si="977"/>
        <v>624.6005455037016</v>
      </c>
      <c r="T412">
        <f t="shared" si="978"/>
        <v>0.62460054550370159</v>
      </c>
    </row>
    <row r="413" spans="1:20" x14ac:dyDescent="0.25">
      <c r="A413" s="5">
        <v>44180</v>
      </c>
      <c r="B413">
        <v>5.2290000000000001</v>
      </c>
      <c r="C413">
        <v>5.3609999999999998</v>
      </c>
      <c r="D413">
        <v>5.056</v>
      </c>
      <c r="E413">
        <v>5.2910000000000004</v>
      </c>
      <c r="F413">
        <v>1420975.426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0.54098360655738054</v>
      </c>
      <c r="Q413">
        <f t="shared" si="975"/>
        <v>768724.41078689019</v>
      </c>
      <c r="R413">
        <f t="shared" si="976"/>
        <v>59392904.987054676</v>
      </c>
      <c r="S413">
        <f t="shared" si="977"/>
        <v>593.92904987054681</v>
      </c>
      <c r="T413">
        <f t="shared" si="978"/>
        <v>0.59392904987054684</v>
      </c>
    </row>
    <row r="414" spans="1:20" x14ac:dyDescent="0.25">
      <c r="A414" s="5">
        <v>44179</v>
      </c>
      <c r="B414">
        <v>5.1980000000000004</v>
      </c>
      <c r="C414">
        <v>5.33</v>
      </c>
      <c r="D414">
        <v>5.032</v>
      </c>
      <c r="E414">
        <v>5.2270000000000003</v>
      </c>
      <c r="F414">
        <v>1607324.8940000001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0.30872483221476682</v>
      </c>
      <c r="Q414">
        <f t="shared" si="975"/>
        <v>496221.10821476788</v>
      </c>
      <c r="R414">
        <f t="shared" si="976"/>
        <v>58624180.576267786</v>
      </c>
      <c r="S414">
        <f t="shared" si="977"/>
        <v>586.24180576267781</v>
      </c>
      <c r="T414">
        <f t="shared" si="978"/>
        <v>0.58624180576267781</v>
      </c>
    </row>
    <row r="415" spans="1:20" x14ac:dyDescent="0.25">
      <c r="A415" s="5">
        <v>44178</v>
      </c>
      <c r="B415">
        <v>5.0599999999999996</v>
      </c>
      <c r="C415">
        <v>5.3689999999999998</v>
      </c>
      <c r="D415">
        <v>5.0510000000000002</v>
      </c>
      <c r="E415">
        <v>5.1950000000000003</v>
      </c>
      <c r="F415">
        <v>2200149.2420000001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-9.433962264150754E-2</v>
      </c>
      <c r="Q415">
        <f t="shared" si="975"/>
        <v>-207561.24924527886</v>
      </c>
      <c r="R415">
        <f t="shared" si="976"/>
        <v>58127959.468053021</v>
      </c>
      <c r="S415">
        <f t="shared" si="977"/>
        <v>581.27959468053018</v>
      </c>
      <c r="T415">
        <f t="shared" si="978"/>
        <v>0.58127959468053014</v>
      </c>
    </row>
    <row r="416" spans="1:20" x14ac:dyDescent="0.25">
      <c r="A416" s="5">
        <v>44177</v>
      </c>
      <c r="B416">
        <v>4.71</v>
      </c>
      <c r="C416">
        <v>5.1180000000000003</v>
      </c>
      <c r="D416">
        <v>4.6980000000000004</v>
      </c>
      <c r="E416">
        <v>5.0599999999999996</v>
      </c>
      <c r="F416">
        <v>1561574.827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0.72380952380952035</v>
      </c>
      <c r="Q416">
        <f t="shared" si="975"/>
        <v>1130282.7319238042</v>
      </c>
      <c r="R416">
        <f t="shared" si="976"/>
        <v>58335520.717298299</v>
      </c>
      <c r="S416">
        <f t="shared" si="977"/>
        <v>583.355207172983</v>
      </c>
      <c r="T416">
        <f t="shared" si="978"/>
        <v>0.58335520717298295</v>
      </c>
    </row>
    <row r="417" spans="1:20" x14ac:dyDescent="0.25">
      <c r="A417" s="5">
        <v>44176</v>
      </c>
      <c r="B417">
        <v>4.657</v>
      </c>
      <c r="C417">
        <v>4.8630000000000004</v>
      </c>
      <c r="D417">
        <v>4.4820000000000002</v>
      </c>
      <c r="E417">
        <v>4.7069999999999999</v>
      </c>
      <c r="F417">
        <v>1870924.2209999999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0.18110236220472184</v>
      </c>
      <c r="Q417">
        <f t="shared" si="975"/>
        <v>338828.79592912906</v>
      </c>
      <c r="R417">
        <f t="shared" si="976"/>
        <v>57205237.985374495</v>
      </c>
      <c r="S417">
        <f t="shared" si="977"/>
        <v>572.05237985374492</v>
      </c>
      <c r="T417">
        <f t="shared" si="978"/>
        <v>0.57205237985374491</v>
      </c>
    </row>
    <row r="418" spans="1:20" x14ac:dyDescent="0.25">
      <c r="A418" s="5">
        <v>44175</v>
      </c>
      <c r="B418">
        <v>4.8029999999999999</v>
      </c>
      <c r="C418">
        <v>4.8220000000000001</v>
      </c>
      <c r="D418">
        <v>4.6500000000000004</v>
      </c>
      <c r="E418">
        <v>4.6550000000000002</v>
      </c>
      <c r="F418">
        <v>969916.66399999999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-0.94186046511628019</v>
      </c>
      <c r="Q418">
        <f t="shared" si="975"/>
        <v>-913526.16027907084</v>
      </c>
      <c r="R418">
        <f t="shared" si="976"/>
        <v>56866409.189445369</v>
      </c>
      <c r="S418">
        <f t="shared" si="977"/>
        <v>568.66409189445369</v>
      </c>
      <c r="T418">
        <f t="shared" si="978"/>
        <v>0.56866409189445366</v>
      </c>
    </row>
    <row r="419" spans="1:20" x14ac:dyDescent="0.25">
      <c r="A419" s="5">
        <v>44174</v>
      </c>
      <c r="B419">
        <v>4.7350000000000003</v>
      </c>
      <c r="C419">
        <v>4.8789999999999996</v>
      </c>
      <c r="D419">
        <v>4.5620000000000003</v>
      </c>
      <c r="E419">
        <v>4.8040000000000003</v>
      </c>
      <c r="F419">
        <v>1601129.3319999999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0.52681388012618635</v>
      </c>
      <c r="Q419">
        <f t="shared" si="975"/>
        <v>843497.1559747688</v>
      </c>
      <c r="R419">
        <f t="shared" si="976"/>
        <v>57779935.349724442</v>
      </c>
      <c r="S419">
        <f t="shared" si="977"/>
        <v>577.7993534972444</v>
      </c>
      <c r="T419">
        <f t="shared" si="978"/>
        <v>0.57779935349724443</v>
      </c>
    </row>
    <row r="420" spans="1:20" x14ac:dyDescent="0.25">
      <c r="A420" s="5">
        <v>44173</v>
      </c>
      <c r="B420">
        <v>5.0999999999999996</v>
      </c>
      <c r="C420">
        <v>5.1369999999999996</v>
      </c>
      <c r="D420">
        <v>4.6360000000000001</v>
      </c>
      <c r="E420">
        <v>4.7380000000000004</v>
      </c>
      <c r="F420">
        <v>1249935.183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-0.59281437125748337</v>
      </c>
      <c r="Q420">
        <f t="shared" si="975"/>
        <v>-740979.53962275235</v>
      </c>
      <c r="R420">
        <f t="shared" si="976"/>
        <v>56936438.193749674</v>
      </c>
      <c r="S420">
        <f t="shared" si="977"/>
        <v>569.36438193749677</v>
      </c>
      <c r="T420">
        <f t="shared" si="978"/>
        <v>0.56936438193749672</v>
      </c>
    </row>
    <row r="421" spans="1:20" x14ac:dyDescent="0.25">
      <c r="A421" s="5">
        <v>44172</v>
      </c>
      <c r="B421">
        <v>5.2140000000000004</v>
      </c>
      <c r="C421">
        <v>5.2279999999999998</v>
      </c>
      <c r="D421">
        <v>5.0750000000000002</v>
      </c>
      <c r="E421">
        <v>5.0999999999999996</v>
      </c>
      <c r="F421">
        <v>539260.75699999998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-0.67320261437909101</v>
      </c>
      <c r="Q421">
        <f t="shared" si="975"/>
        <v>-363031.75144444767</v>
      </c>
      <c r="R421">
        <f t="shared" si="976"/>
        <v>57677417.733372428</v>
      </c>
      <c r="S421">
        <f t="shared" si="977"/>
        <v>576.77417733372431</v>
      </c>
      <c r="T421">
        <f t="shared" si="978"/>
        <v>0.57677417733372427</v>
      </c>
    </row>
    <row r="422" spans="1:20" x14ac:dyDescent="0.25">
      <c r="A422" s="5">
        <v>44171</v>
      </c>
      <c r="B422">
        <v>5.2619999999999996</v>
      </c>
      <c r="C422">
        <v>5.2869999999999999</v>
      </c>
      <c r="D422">
        <v>5.08</v>
      </c>
      <c r="E422">
        <v>5.2130000000000001</v>
      </c>
      <c r="F422">
        <v>765820.61300000001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0.28502415458937297</v>
      </c>
      <c r="Q422">
        <f t="shared" si="975"/>
        <v>218277.37278744037</v>
      </c>
      <c r="R422">
        <f t="shared" si="976"/>
        <v>58040449.484816872</v>
      </c>
      <c r="S422">
        <f t="shared" si="977"/>
        <v>580.40449484816872</v>
      </c>
      <c r="T422">
        <f t="shared" si="978"/>
        <v>0.58040449484816869</v>
      </c>
    </row>
    <row r="423" spans="1:20" x14ac:dyDescent="0.25">
      <c r="A423" s="5">
        <v>44170</v>
      </c>
      <c r="B423">
        <v>5.0460000000000003</v>
      </c>
      <c r="C423">
        <v>5.3</v>
      </c>
      <c r="D423">
        <v>4.9660000000000002</v>
      </c>
      <c r="E423">
        <v>5.2610000000000001</v>
      </c>
      <c r="F423">
        <v>1268760.5220000001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0.76646706586826496</v>
      </c>
      <c r="Q423">
        <f t="shared" si="975"/>
        <v>972463.15458682831</v>
      </c>
      <c r="R423">
        <f t="shared" si="976"/>
        <v>57822172.112029433</v>
      </c>
      <c r="S423">
        <f t="shared" si="977"/>
        <v>578.22172112029432</v>
      </c>
      <c r="T423">
        <f t="shared" si="978"/>
        <v>0.57822172112029435</v>
      </c>
    </row>
    <row r="424" spans="1:20" x14ac:dyDescent="0.25">
      <c r="A424" s="5">
        <v>44169</v>
      </c>
      <c r="B424">
        <v>5.5</v>
      </c>
      <c r="C424">
        <v>5.5359999999999996</v>
      </c>
      <c r="D424">
        <v>5</v>
      </c>
      <c r="E424">
        <v>5.0490000000000004</v>
      </c>
      <c r="F424">
        <v>1758854.1629999999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-0.81716417910447603</v>
      </c>
      <c r="Q424">
        <f t="shared" si="975"/>
        <v>-1437272.6182723853</v>
      </c>
      <c r="R424">
        <f t="shared" si="976"/>
        <v>56849708.957442604</v>
      </c>
      <c r="S424">
        <f t="shared" si="977"/>
        <v>568.49708957442601</v>
      </c>
      <c r="T424">
        <f t="shared" si="978"/>
        <v>0.56849708957442602</v>
      </c>
    </row>
    <row r="425" spans="1:20" x14ac:dyDescent="0.25">
      <c r="A425" s="5">
        <v>44168</v>
      </c>
      <c r="B425">
        <v>5.5049999999999999</v>
      </c>
      <c r="C425">
        <v>5.6449999999999996</v>
      </c>
      <c r="D425">
        <v>5.3650000000000002</v>
      </c>
      <c r="E425">
        <v>5.5</v>
      </c>
      <c r="F425">
        <v>1555469.0959999999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-3.5714285714285032E-2</v>
      </c>
      <c r="Q425">
        <f t="shared" si="975"/>
        <v>-55552.467714284649</v>
      </c>
      <c r="R425">
        <f t="shared" si="976"/>
        <v>58286981.57571499</v>
      </c>
      <c r="S425">
        <f t="shared" si="977"/>
        <v>582.86981575714992</v>
      </c>
      <c r="T425">
        <f t="shared" si="978"/>
        <v>0.58286981575714991</v>
      </c>
    </row>
    <row r="426" spans="1:20" x14ac:dyDescent="0.25">
      <c r="A426" s="5">
        <v>44167</v>
      </c>
      <c r="B426">
        <v>5.2560000000000002</v>
      </c>
      <c r="C426">
        <v>5.5469999999999997</v>
      </c>
      <c r="D426">
        <v>5.1980000000000004</v>
      </c>
      <c r="E426">
        <v>5.51</v>
      </c>
      <c r="F426">
        <v>1513509.199</v>
      </c>
      <c r="G426">
        <v>0</v>
      </c>
      <c r="L426" t="s">
        <v>8</v>
      </c>
      <c r="M426" t="s">
        <v>7</v>
      </c>
      <c r="N426" t="s">
        <v>8</v>
      </c>
      <c r="P426">
        <f t="shared" si="974"/>
        <v>0.78796561604584525</v>
      </c>
      <c r="Q426">
        <f t="shared" si="975"/>
        <v>1192593.2083810889</v>
      </c>
      <c r="R426">
        <f t="shared" si="976"/>
        <v>58342534.043429278</v>
      </c>
      <c r="S426">
        <f t="shared" si="977"/>
        <v>583.42534043429282</v>
      </c>
      <c r="T426">
        <f t="shared" si="978"/>
        <v>0.58342534043429284</v>
      </c>
    </row>
    <row r="427" spans="1:20" x14ac:dyDescent="0.25">
      <c r="A427" s="5">
        <v>44166</v>
      </c>
      <c r="B427">
        <v>5.5679999999999996</v>
      </c>
      <c r="C427">
        <v>5.71</v>
      </c>
      <c r="D427">
        <v>5.0999999999999996</v>
      </c>
      <c r="E427">
        <v>5.2560000000000002</v>
      </c>
      <c r="F427">
        <v>3229622.3670000001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-0.48852459016393279</v>
      </c>
      <c r="Q427">
        <f t="shared" si="975"/>
        <v>-1577749.9432229456</v>
      </c>
      <c r="R427">
        <f t="shared" si="976"/>
        <v>57149940.835048191</v>
      </c>
      <c r="S427">
        <f t="shared" si="977"/>
        <v>571.49940835048187</v>
      </c>
      <c r="T427">
        <f t="shared" si="978"/>
        <v>0.57149940835048185</v>
      </c>
    </row>
    <row r="428" spans="1:20" x14ac:dyDescent="0.25">
      <c r="A428" s="5">
        <v>44165</v>
      </c>
      <c r="B428">
        <v>5.431</v>
      </c>
      <c r="C428">
        <v>5.68</v>
      </c>
      <c r="D428">
        <v>5.34</v>
      </c>
      <c r="E428">
        <v>5.5709999999999997</v>
      </c>
      <c r="F428">
        <v>2441588.2209999999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0.35882352941176454</v>
      </c>
      <c r="Q428">
        <f t="shared" si="975"/>
        <v>876099.30282941135</v>
      </c>
      <c r="R428">
        <f t="shared" si="976"/>
        <v>58727690.778271139</v>
      </c>
      <c r="S428">
        <f t="shared" si="977"/>
        <v>587.27690778271142</v>
      </c>
      <c r="T428">
        <f t="shared" si="978"/>
        <v>0.58727690778271147</v>
      </c>
    </row>
    <row r="429" spans="1:20" x14ac:dyDescent="0.25">
      <c r="A429" s="5">
        <v>44164</v>
      </c>
      <c r="B429">
        <v>5.4379999999999997</v>
      </c>
      <c r="C429">
        <v>5.5439999999999996</v>
      </c>
      <c r="D429">
        <v>5.3120000000000003</v>
      </c>
      <c r="E429">
        <v>5.4290000000000003</v>
      </c>
      <c r="F429">
        <v>1366959.7409999999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8.6206896551753176E-3</v>
      </c>
      <c r="Q429">
        <f t="shared" si="975"/>
        <v>11784.135698279832</v>
      </c>
      <c r="R429">
        <f t="shared" si="976"/>
        <v>57851591.475441724</v>
      </c>
      <c r="S429">
        <f t="shared" si="977"/>
        <v>578.51591475441728</v>
      </c>
      <c r="T429">
        <f t="shared" si="978"/>
        <v>0.57851591475441733</v>
      </c>
    </row>
    <row r="430" spans="1:20" x14ac:dyDescent="0.25">
      <c r="A430" s="5">
        <v>44163</v>
      </c>
      <c r="B430">
        <v>5.3630000000000004</v>
      </c>
      <c r="C430">
        <v>5.5439999999999996</v>
      </c>
      <c r="D430">
        <v>5.226</v>
      </c>
      <c r="E430">
        <v>5.43</v>
      </c>
      <c r="F430">
        <v>1371677.4010000001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0.28301886792452818</v>
      </c>
      <c r="Q430">
        <f t="shared" si="975"/>
        <v>388210.58518867911</v>
      </c>
      <c r="R430">
        <f t="shared" si="976"/>
        <v>57839807.339743443</v>
      </c>
      <c r="S430">
        <f t="shared" si="977"/>
        <v>578.39807339743447</v>
      </c>
      <c r="T430">
        <f t="shared" si="978"/>
        <v>0.57839807339743443</v>
      </c>
    </row>
    <row r="431" spans="1:20" x14ac:dyDescent="0.25">
      <c r="A431" s="5">
        <v>44162</v>
      </c>
      <c r="B431">
        <v>5.33</v>
      </c>
      <c r="C431">
        <v>5.4459999999999997</v>
      </c>
      <c r="D431">
        <v>5.0830000000000002</v>
      </c>
      <c r="E431">
        <v>5.3680000000000003</v>
      </c>
      <c r="F431">
        <v>2185074.8730000001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0.57024793388430028</v>
      </c>
      <c r="Q431">
        <f t="shared" si="975"/>
        <v>1246034.4317107499</v>
      </c>
      <c r="R431">
        <f t="shared" si="976"/>
        <v>57451596.754554763</v>
      </c>
      <c r="S431">
        <f t="shared" si="977"/>
        <v>574.5159675455476</v>
      </c>
      <c r="T431">
        <f t="shared" si="978"/>
        <v>0.57451596754554757</v>
      </c>
    </row>
    <row r="432" spans="1:20" x14ac:dyDescent="0.25">
      <c r="A432" s="5">
        <v>44161</v>
      </c>
      <c r="B432">
        <v>5.9020000000000001</v>
      </c>
      <c r="C432">
        <v>6.3310000000000004</v>
      </c>
      <c r="D432">
        <v>5</v>
      </c>
      <c r="E432">
        <v>5.33</v>
      </c>
      <c r="F432">
        <v>9067599.8230000008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-0.50413223140495877</v>
      </c>
      <c r="Q432">
        <f t="shared" si="975"/>
        <v>-4571269.3322561998</v>
      </c>
      <c r="R432">
        <f t="shared" si="976"/>
        <v>56205562.322844014</v>
      </c>
      <c r="S432">
        <f t="shared" si="977"/>
        <v>562.05562322844014</v>
      </c>
      <c r="T432">
        <f t="shared" si="978"/>
        <v>0.56205562322844016</v>
      </c>
    </row>
    <row r="433" spans="1:20" x14ac:dyDescent="0.25">
      <c r="A433" s="5">
        <v>44160</v>
      </c>
      <c r="B433">
        <v>5.9660000000000002</v>
      </c>
      <c r="C433">
        <v>6.47</v>
      </c>
      <c r="D433">
        <v>5.68</v>
      </c>
      <c r="E433">
        <v>5.9039999999999999</v>
      </c>
      <c r="F433">
        <v>6640532.483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-0.43291139240506282</v>
      </c>
      <c r="Q433">
        <f t="shared" si="975"/>
        <v>-2874762.1635265793</v>
      </c>
      <c r="R433">
        <f t="shared" si="976"/>
        <v>60776831.655100212</v>
      </c>
      <c r="S433">
        <f t="shared" si="977"/>
        <v>607.76831655100216</v>
      </c>
      <c r="T433">
        <f t="shared" si="978"/>
        <v>0.60776831655100216</v>
      </c>
    </row>
    <row r="434" spans="1:20" x14ac:dyDescent="0.25">
      <c r="A434" s="5">
        <v>44159</v>
      </c>
      <c r="B434">
        <v>5.8120000000000003</v>
      </c>
      <c r="C434">
        <v>6.4050000000000002</v>
      </c>
      <c r="D434">
        <v>5.657</v>
      </c>
      <c r="E434">
        <v>5.9660000000000002</v>
      </c>
      <c r="F434">
        <v>6600917.0149999997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-0.17379679144385007</v>
      </c>
      <c r="Q434">
        <f t="shared" si="975"/>
        <v>-1147218.1977941163</v>
      </c>
      <c r="R434">
        <f t="shared" si="976"/>
        <v>63651593.818626791</v>
      </c>
      <c r="S434">
        <f t="shared" si="977"/>
        <v>636.51593818626793</v>
      </c>
      <c r="T434">
        <f t="shared" si="978"/>
        <v>0.63651593818626795</v>
      </c>
    </row>
    <row r="435" spans="1:20" x14ac:dyDescent="0.25">
      <c r="A435" s="5">
        <v>44158</v>
      </c>
      <c r="B435">
        <v>5.4859999999999998</v>
      </c>
      <c r="C435">
        <v>5.9169999999999998</v>
      </c>
      <c r="D435">
        <v>5.38</v>
      </c>
      <c r="E435">
        <v>5.8109999999999999</v>
      </c>
      <c r="F435">
        <v>3488084.8309999998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0.60521415270018664</v>
      </c>
      <c r="Q435">
        <f t="shared" si="975"/>
        <v>2111038.3055400387</v>
      </c>
      <c r="R435">
        <f t="shared" si="976"/>
        <v>64798812.016420908</v>
      </c>
      <c r="S435">
        <f t="shared" si="977"/>
        <v>647.98812016420914</v>
      </c>
      <c r="T435">
        <f t="shared" si="978"/>
        <v>0.64798812016420915</v>
      </c>
    </row>
    <row r="436" spans="1:20" x14ac:dyDescent="0.25">
      <c r="A436" s="5">
        <v>44157</v>
      </c>
      <c r="B436">
        <v>5.923</v>
      </c>
      <c r="C436">
        <v>5.9770000000000003</v>
      </c>
      <c r="D436">
        <v>5.24</v>
      </c>
      <c r="E436">
        <v>5.4809999999999999</v>
      </c>
      <c r="F436">
        <v>2994332.9190000002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-0.34599728629579479</v>
      </c>
      <c r="Q436">
        <f t="shared" si="975"/>
        <v>-1036031.064240166</v>
      </c>
      <c r="R436">
        <f t="shared" si="976"/>
        <v>62687773.710880868</v>
      </c>
      <c r="S436">
        <f t="shared" si="977"/>
        <v>626.87773710880867</v>
      </c>
      <c r="T436">
        <f t="shared" si="978"/>
        <v>0.62687773710880867</v>
      </c>
    </row>
    <row r="437" spans="1:20" x14ac:dyDescent="0.25">
      <c r="A437" s="5">
        <v>44156</v>
      </c>
      <c r="B437">
        <v>5.2690000000000001</v>
      </c>
      <c r="C437">
        <v>5.9480000000000004</v>
      </c>
      <c r="D437">
        <v>5.2619999999999996</v>
      </c>
      <c r="E437">
        <v>5.9219999999999997</v>
      </c>
      <c r="F437">
        <v>4453353.8789999997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0.92419825072886108</v>
      </c>
      <c r="Q437">
        <f t="shared" si="975"/>
        <v>4115781.8648483879</v>
      </c>
      <c r="R437">
        <f t="shared" si="976"/>
        <v>63723804.775121033</v>
      </c>
      <c r="S437">
        <f t="shared" si="977"/>
        <v>637.23804775121039</v>
      </c>
      <c r="T437">
        <f t="shared" si="978"/>
        <v>0.6372380477512104</v>
      </c>
    </row>
    <row r="438" spans="1:20" x14ac:dyDescent="0.25">
      <c r="A438" s="5">
        <v>44155</v>
      </c>
      <c r="B438">
        <v>5.0979999999999999</v>
      </c>
      <c r="C438">
        <v>5.4580000000000002</v>
      </c>
      <c r="D438">
        <v>5.0759999999999996</v>
      </c>
      <c r="E438">
        <v>5.2679999999999998</v>
      </c>
      <c r="F438">
        <v>3035769.71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5.2356020942402534E-3</v>
      </c>
      <c r="Q438">
        <f t="shared" si="975"/>
        <v>15894.082251307127</v>
      </c>
      <c r="R438">
        <f t="shared" si="976"/>
        <v>59608022.910272643</v>
      </c>
      <c r="S438">
        <f t="shared" si="977"/>
        <v>596.08022910272643</v>
      </c>
      <c r="T438">
        <f t="shared" si="978"/>
        <v>0.5960802291027264</v>
      </c>
    </row>
    <row r="439" spans="1:20" x14ac:dyDescent="0.25">
      <c r="A439" s="5">
        <v>44154</v>
      </c>
      <c r="B439">
        <v>5.1100000000000003</v>
      </c>
      <c r="C439">
        <v>5.2210000000000001</v>
      </c>
      <c r="D439">
        <v>4.9850000000000003</v>
      </c>
      <c r="E439">
        <v>5.0970000000000004</v>
      </c>
      <c r="F439">
        <v>1336015.8829999999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-5.0847457627116857E-2</v>
      </c>
      <c r="Q439">
        <f t="shared" si="975"/>
        <v>-67933.010999997612</v>
      </c>
      <c r="R439">
        <f t="shared" si="976"/>
        <v>59592128.828021333</v>
      </c>
      <c r="S439">
        <f t="shared" si="977"/>
        <v>595.92128828021328</v>
      </c>
      <c r="T439">
        <f t="shared" si="978"/>
        <v>0.59592128828021329</v>
      </c>
    </row>
    <row r="440" spans="1:20" x14ac:dyDescent="0.25">
      <c r="A440" s="5">
        <v>44153</v>
      </c>
      <c r="B440">
        <v>5.2839999999999998</v>
      </c>
      <c r="C440">
        <v>5.3220000000000001</v>
      </c>
      <c r="D440">
        <v>4.9089999999999998</v>
      </c>
      <c r="E440">
        <v>5.1050000000000004</v>
      </c>
      <c r="F440">
        <v>2543163.6439999999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-5.084745762711624E-2</v>
      </c>
      <c r="Q440">
        <f t="shared" si="975"/>
        <v>-129313.40562711252</v>
      </c>
      <c r="R440">
        <f t="shared" si="976"/>
        <v>59660061.839021333</v>
      </c>
      <c r="S440">
        <f t="shared" si="977"/>
        <v>596.6006183902133</v>
      </c>
      <c r="T440">
        <f t="shared" si="978"/>
        <v>0.59660061839021328</v>
      </c>
    </row>
    <row r="441" spans="1:20" x14ac:dyDescent="0.25">
      <c r="A441" s="5">
        <v>44152</v>
      </c>
      <c r="B441">
        <v>5.0789999999999997</v>
      </c>
      <c r="C441">
        <v>5.37</v>
      </c>
      <c r="D441">
        <v>5.0659999999999998</v>
      </c>
      <c r="E441">
        <v>5.2850000000000001</v>
      </c>
      <c r="F441">
        <v>2413275.5869999998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0.44078947368421123</v>
      </c>
      <c r="Q441">
        <f t="shared" si="975"/>
        <v>1063746.4758486857</v>
      </c>
      <c r="R441">
        <f t="shared" si="976"/>
        <v>59789375.244648442</v>
      </c>
      <c r="S441">
        <f t="shared" si="977"/>
        <v>597.89375244648443</v>
      </c>
      <c r="T441">
        <f t="shared" si="978"/>
        <v>0.59789375244648446</v>
      </c>
    </row>
    <row r="442" spans="1:20" x14ac:dyDescent="0.25">
      <c r="A442" s="5">
        <v>44151</v>
      </c>
      <c r="B442">
        <v>4.9710000000000001</v>
      </c>
      <c r="C442">
        <v>5.1820000000000004</v>
      </c>
      <c r="D442">
        <v>4.9269999999999996</v>
      </c>
      <c r="E442">
        <v>5.0839999999999996</v>
      </c>
      <c r="F442">
        <v>1579654.8130000001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0.2313725490196043</v>
      </c>
      <c r="Q442">
        <f t="shared" si="975"/>
        <v>365488.76065489638</v>
      </c>
      <c r="R442">
        <f t="shared" si="976"/>
        <v>58725628.768799759</v>
      </c>
      <c r="S442">
        <f t="shared" si="977"/>
        <v>587.25628768799754</v>
      </c>
      <c r="T442">
        <f t="shared" si="978"/>
        <v>0.58725628768799754</v>
      </c>
    </row>
    <row r="443" spans="1:20" x14ac:dyDescent="0.25">
      <c r="A443" s="5">
        <v>44150</v>
      </c>
      <c r="B443">
        <v>5.0439999999999996</v>
      </c>
      <c r="C443">
        <v>5.12</v>
      </c>
      <c r="D443">
        <v>4.8559999999999999</v>
      </c>
      <c r="E443">
        <v>4.9790000000000001</v>
      </c>
      <c r="F443">
        <v>1298343.1499999999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-6.8181818181817344E-2</v>
      </c>
      <c r="Q443">
        <f t="shared" si="975"/>
        <v>-88523.396590908</v>
      </c>
      <c r="R443">
        <f t="shared" si="976"/>
        <v>58360140.008144863</v>
      </c>
      <c r="S443">
        <f t="shared" si="977"/>
        <v>583.60140008144867</v>
      </c>
      <c r="T443">
        <f t="shared" si="978"/>
        <v>0.58360140008144867</v>
      </c>
    </row>
    <row r="444" spans="1:20" x14ac:dyDescent="0.25">
      <c r="A444" s="5">
        <v>44149</v>
      </c>
      <c r="B444">
        <v>5.2149999999999999</v>
      </c>
      <c r="C444">
        <v>5.2370000000000001</v>
      </c>
      <c r="D444">
        <v>4.9870000000000001</v>
      </c>
      <c r="E444">
        <v>5.0449999999999999</v>
      </c>
      <c r="F444">
        <v>1461553.5649999999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-0.53600000000000136</v>
      </c>
      <c r="Q444">
        <f t="shared" si="975"/>
        <v>-783392.71084000194</v>
      </c>
      <c r="R444">
        <f t="shared" si="976"/>
        <v>58448663.404735774</v>
      </c>
      <c r="S444">
        <f t="shared" si="977"/>
        <v>584.48663404735771</v>
      </c>
      <c r="T444">
        <f t="shared" si="978"/>
        <v>0.58448663404735768</v>
      </c>
    </row>
    <row r="445" spans="1:20" x14ac:dyDescent="0.25">
      <c r="A445" s="5">
        <v>44148</v>
      </c>
      <c r="B445">
        <v>5.0289999999999999</v>
      </c>
      <c r="C445">
        <v>5.26</v>
      </c>
      <c r="D445">
        <v>5.0149999999999997</v>
      </c>
      <c r="E445">
        <v>5.2130000000000001</v>
      </c>
      <c r="F445">
        <v>1359622.175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0.6163265306122474</v>
      </c>
      <c r="Q445">
        <f t="shared" si="975"/>
        <v>837971.21806122793</v>
      </c>
      <c r="R445">
        <f t="shared" si="976"/>
        <v>59232056.115575776</v>
      </c>
      <c r="S445">
        <f t="shared" si="977"/>
        <v>592.32056115575779</v>
      </c>
      <c r="T445">
        <f t="shared" si="978"/>
        <v>0.59232056115575782</v>
      </c>
    </row>
    <row r="446" spans="1:20" x14ac:dyDescent="0.25">
      <c r="A446" s="5">
        <v>44147</v>
      </c>
      <c r="B446">
        <v>5.03</v>
      </c>
      <c r="C446">
        <v>5.3029999999999999</v>
      </c>
      <c r="D446">
        <v>4.931</v>
      </c>
      <c r="E446">
        <v>5.03</v>
      </c>
      <c r="F446">
        <v>3097396.7579999999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-0.46774193548386972</v>
      </c>
      <c r="Q446">
        <f t="shared" si="975"/>
        <v>-1448782.3545483833</v>
      </c>
      <c r="R446">
        <f t="shared" si="976"/>
        <v>58394084.897514544</v>
      </c>
      <c r="S446">
        <f t="shared" si="977"/>
        <v>583.9408489751454</v>
      </c>
      <c r="T446">
        <f t="shared" si="978"/>
        <v>0.58394084897514542</v>
      </c>
    </row>
    <row r="447" spans="1:20" x14ac:dyDescent="0.25">
      <c r="A447" s="5">
        <v>44146</v>
      </c>
      <c r="B447">
        <v>5.0880000000000001</v>
      </c>
      <c r="C447">
        <v>5.2809999999999997</v>
      </c>
      <c r="D447">
        <v>5.01</v>
      </c>
      <c r="E447">
        <v>5.0330000000000004</v>
      </c>
      <c r="F447">
        <v>1838287.3089999999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-0.83025830258302158</v>
      </c>
      <c r="Q447">
        <f t="shared" si="975"/>
        <v>-1526253.3008302504</v>
      </c>
      <c r="R447">
        <f t="shared" si="976"/>
        <v>59842867.252062924</v>
      </c>
      <c r="S447">
        <f t="shared" si="977"/>
        <v>598.42867252062922</v>
      </c>
      <c r="T447">
        <f t="shared" si="978"/>
        <v>0.59842867252062926</v>
      </c>
    </row>
    <row r="448" spans="1:20" x14ac:dyDescent="0.25">
      <c r="A448" s="5">
        <v>44145</v>
      </c>
      <c r="B448">
        <v>5.1589999999999998</v>
      </c>
      <c r="C448">
        <v>5.2830000000000004</v>
      </c>
      <c r="D448">
        <v>4.8959999999999999</v>
      </c>
      <c r="E448">
        <v>5.0839999999999996</v>
      </c>
      <c r="F448">
        <v>2812970.608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-2.8423772609821697E-2</v>
      </c>
      <c r="Q448">
        <f t="shared" si="975"/>
        <v>-79955.23691990388</v>
      </c>
      <c r="R448">
        <f t="shared" si="976"/>
        <v>61369120.552893177</v>
      </c>
      <c r="S448">
        <f t="shared" si="977"/>
        <v>613.69120552893173</v>
      </c>
      <c r="T448">
        <f t="shared" si="978"/>
        <v>0.61369120552893175</v>
      </c>
    </row>
    <row r="449" spans="1:20" x14ac:dyDescent="0.25">
      <c r="A449" s="5">
        <v>44144</v>
      </c>
      <c r="B449">
        <v>4.8049999999999997</v>
      </c>
      <c r="C449">
        <v>5.2</v>
      </c>
      <c r="D449">
        <v>4.6619999999999999</v>
      </c>
      <c r="E449">
        <v>5.1550000000000002</v>
      </c>
      <c r="F449">
        <v>2965481.9350000001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0.8327137546468405</v>
      </c>
      <c r="Q449">
        <f t="shared" si="975"/>
        <v>2469397.5964312279</v>
      </c>
      <c r="R449">
        <f t="shared" si="976"/>
        <v>61449075.789813079</v>
      </c>
      <c r="S449">
        <f t="shared" si="977"/>
        <v>614.49075789813082</v>
      </c>
      <c r="T449">
        <f t="shared" si="978"/>
        <v>0.61449075789813079</v>
      </c>
    </row>
    <row r="450" spans="1:20" x14ac:dyDescent="0.25">
      <c r="A450" s="5">
        <v>44143</v>
      </c>
      <c r="B450">
        <v>4.62</v>
      </c>
      <c r="C450">
        <v>4.9080000000000004</v>
      </c>
      <c r="D450">
        <v>4.5570000000000004</v>
      </c>
      <c r="E450">
        <v>4.8090000000000002</v>
      </c>
      <c r="F450">
        <v>1450522.2379999999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0.43589743589743474</v>
      </c>
      <c r="Q450">
        <f t="shared" si="975"/>
        <v>632278.92425640847</v>
      </c>
      <c r="R450">
        <f t="shared" si="976"/>
        <v>58979678.193381853</v>
      </c>
      <c r="S450">
        <f t="shared" si="977"/>
        <v>589.79678193381858</v>
      </c>
      <c r="T450">
        <f t="shared" si="978"/>
        <v>0.58979678193381857</v>
      </c>
    </row>
    <row r="451" spans="1:20" x14ac:dyDescent="0.25">
      <c r="A451" s="5">
        <v>44142</v>
      </c>
      <c r="B451">
        <v>4.8789999999999996</v>
      </c>
      <c r="C451">
        <v>5.1619999999999999</v>
      </c>
      <c r="D451">
        <v>4.492</v>
      </c>
      <c r="E451">
        <v>4.6189999999999998</v>
      </c>
      <c r="F451">
        <v>4014575.5109999999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-0.62089552238806034</v>
      </c>
      <c r="Q451">
        <f t="shared" si="975"/>
        <v>-2492631.9590686592</v>
      </c>
      <c r="R451">
        <f t="shared" si="976"/>
        <v>58347399.269125447</v>
      </c>
      <c r="S451">
        <f t="shared" si="977"/>
        <v>583.47399269125447</v>
      </c>
      <c r="T451">
        <f t="shared" si="978"/>
        <v>0.58347399269125444</v>
      </c>
    </row>
    <row r="452" spans="1:20" x14ac:dyDescent="0.25">
      <c r="A452" s="5">
        <v>44141</v>
      </c>
      <c r="B452">
        <v>4.5030000000000001</v>
      </c>
      <c r="C452">
        <v>4.9560000000000004</v>
      </c>
      <c r="D452">
        <v>4.4690000000000003</v>
      </c>
      <c r="E452">
        <v>4.88</v>
      </c>
      <c r="F452">
        <v>3325831.6310000001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0.68788501026693838</v>
      </c>
      <c r="Q452">
        <f t="shared" si="975"/>
        <v>2287789.7256365432</v>
      </c>
      <c r="R452">
        <f t="shared" si="976"/>
        <v>60840031.228194103</v>
      </c>
      <c r="S452">
        <f t="shared" si="977"/>
        <v>608.40031228194107</v>
      </c>
      <c r="T452">
        <f t="shared" si="978"/>
        <v>0.60840031228194102</v>
      </c>
    </row>
    <row r="453" spans="1:20" x14ac:dyDescent="0.25">
      <c r="A453" s="5">
        <v>44140</v>
      </c>
      <c r="B453">
        <v>4.391</v>
      </c>
      <c r="C453">
        <v>4.5869999999999997</v>
      </c>
      <c r="D453">
        <v>4.2759999999999998</v>
      </c>
      <c r="E453">
        <v>4.5039999999999996</v>
      </c>
      <c r="F453">
        <v>2364763.3909999998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0.46623794212218522</v>
      </c>
      <c r="Q453">
        <f t="shared" si="975"/>
        <v>1102542.4170257205</v>
      </c>
      <c r="R453">
        <f t="shared" si="976"/>
        <v>58552241.502557561</v>
      </c>
      <c r="S453">
        <f t="shared" si="977"/>
        <v>585.52241502557558</v>
      </c>
      <c r="T453">
        <f t="shared" si="978"/>
        <v>0.58552241502557556</v>
      </c>
    </row>
    <row r="454" spans="1:20" x14ac:dyDescent="0.25">
      <c r="A454" s="5">
        <v>44139</v>
      </c>
      <c r="B454">
        <v>4.4790000000000001</v>
      </c>
      <c r="C454">
        <v>4.4809999999999999</v>
      </c>
      <c r="D454">
        <v>4.2060000000000004</v>
      </c>
      <c r="E454">
        <v>4.3869999999999996</v>
      </c>
      <c r="F454">
        <v>1314586.412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0.31636363636363279</v>
      </c>
      <c r="Q454">
        <f t="shared" ref="Q454:Q517" si="980">F454*P454</f>
        <v>415887.33761454077</v>
      </c>
      <c r="R454">
        <f t="shared" ref="R454:R517" si="981">R455+Q454</f>
        <v>57449699.085531838</v>
      </c>
      <c r="S454">
        <f t="shared" ref="S454:S517" si="982">R454/100000</f>
        <v>574.49699085531836</v>
      </c>
      <c r="T454">
        <f t="shared" ref="T454:T517" si="983">S454/1000</f>
        <v>0.57449699085531836</v>
      </c>
    </row>
    <row r="455" spans="1:20" x14ac:dyDescent="0.25">
      <c r="A455" s="5">
        <v>44138</v>
      </c>
      <c r="B455">
        <v>4.5990000000000002</v>
      </c>
      <c r="C455">
        <v>4.6070000000000002</v>
      </c>
      <c r="D455">
        <v>4.3010000000000002</v>
      </c>
      <c r="E455">
        <v>4.4800000000000004</v>
      </c>
      <c r="F455">
        <v>1642928.3489999999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0.16993464052287738</v>
      </c>
      <c r="Q455">
        <f t="shared" si="980"/>
        <v>279190.43839215941</v>
      </c>
      <c r="R455">
        <f t="shared" si="981"/>
        <v>57033811.747917295</v>
      </c>
      <c r="S455">
        <f t="shared" si="982"/>
        <v>570.33811747917298</v>
      </c>
      <c r="T455">
        <f t="shared" si="983"/>
        <v>0.57033811747917296</v>
      </c>
    </row>
    <row r="456" spans="1:20" x14ac:dyDescent="0.25">
      <c r="A456" s="5">
        <v>44137</v>
      </c>
      <c r="B456">
        <v>4.7409999999999997</v>
      </c>
      <c r="C456">
        <v>4.8730000000000002</v>
      </c>
      <c r="D456">
        <v>4.5510000000000002</v>
      </c>
      <c r="E456">
        <v>4.6029999999999998</v>
      </c>
      <c r="F456">
        <v>1652207.3670000001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-0.67701863354037517</v>
      </c>
      <c r="Q456">
        <f t="shared" si="980"/>
        <v>-1118575.1739316813</v>
      </c>
      <c r="R456">
        <f t="shared" si="981"/>
        <v>56754621.309525132</v>
      </c>
      <c r="S456">
        <f t="shared" si="982"/>
        <v>567.54621309525135</v>
      </c>
      <c r="T456">
        <f t="shared" si="983"/>
        <v>0.56754621309525133</v>
      </c>
    </row>
    <row r="457" spans="1:20" x14ac:dyDescent="0.25">
      <c r="A457" s="5">
        <v>44136</v>
      </c>
      <c r="B457">
        <v>4.6130000000000004</v>
      </c>
      <c r="C457">
        <v>4.8499999999999996</v>
      </c>
      <c r="D457">
        <v>4.5419999999999998</v>
      </c>
      <c r="E457">
        <v>4.7430000000000003</v>
      </c>
      <c r="F457">
        <v>1776045.2749999999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0.30519480519480924</v>
      </c>
      <c r="Q457">
        <f t="shared" si="980"/>
        <v>542039.79172078636</v>
      </c>
      <c r="R457">
        <f t="shared" si="981"/>
        <v>57873196.483456813</v>
      </c>
      <c r="S457">
        <f t="shared" si="982"/>
        <v>578.73196483456809</v>
      </c>
      <c r="T457">
        <f t="shared" si="983"/>
        <v>0.57873196483456812</v>
      </c>
    </row>
    <row r="458" spans="1:20" x14ac:dyDescent="0.25">
      <c r="A458" s="5">
        <v>44135</v>
      </c>
      <c r="B458">
        <v>4.6189999999999998</v>
      </c>
      <c r="C458">
        <v>4.8109999999999999</v>
      </c>
      <c r="D458">
        <v>4.5910000000000002</v>
      </c>
      <c r="E458">
        <v>4.6159999999999997</v>
      </c>
      <c r="F458">
        <v>1254670.2690000001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-0.77272727272727737</v>
      </c>
      <c r="Q458">
        <f t="shared" si="980"/>
        <v>-969517.93513636955</v>
      </c>
      <c r="R458">
        <f t="shared" si="981"/>
        <v>57331156.691736028</v>
      </c>
      <c r="S458">
        <f t="shared" si="982"/>
        <v>573.31156691736032</v>
      </c>
      <c r="T458">
        <f t="shared" si="983"/>
        <v>0.57331156691736029</v>
      </c>
    </row>
    <row r="459" spans="1:20" x14ac:dyDescent="0.25">
      <c r="A459" s="5">
        <v>44134</v>
      </c>
      <c r="B459">
        <v>4.6310000000000002</v>
      </c>
      <c r="C459">
        <v>4.71</v>
      </c>
      <c r="D459">
        <v>4.343</v>
      </c>
      <c r="E459">
        <v>4.62</v>
      </c>
      <c r="F459">
        <v>1837126.5390000001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0.50953678474114517</v>
      </c>
      <c r="Q459">
        <f t="shared" si="980"/>
        <v>936083.54984468804</v>
      </c>
      <c r="R459">
        <f t="shared" si="981"/>
        <v>58300674.626872398</v>
      </c>
      <c r="S459">
        <f t="shared" si="982"/>
        <v>583.00674626872399</v>
      </c>
      <c r="T459">
        <f t="shared" si="983"/>
        <v>0.58300674626872395</v>
      </c>
    </row>
    <row r="460" spans="1:20" x14ac:dyDescent="0.25">
      <c r="A460" s="5">
        <v>44133</v>
      </c>
      <c r="B460">
        <v>4.8010000000000002</v>
      </c>
      <c r="C460">
        <v>4.8630000000000004</v>
      </c>
      <c r="D460">
        <v>4.5209999999999999</v>
      </c>
      <c r="E460">
        <v>4.633</v>
      </c>
      <c r="F460">
        <v>1448427.3160000001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-0.3450292397660823</v>
      </c>
      <c r="Q460">
        <f t="shared" si="980"/>
        <v>-499749.77569590707</v>
      </c>
      <c r="R460">
        <f t="shared" si="981"/>
        <v>57364591.077027708</v>
      </c>
      <c r="S460">
        <f t="shared" si="982"/>
        <v>573.64591077027706</v>
      </c>
      <c r="T460">
        <f t="shared" si="983"/>
        <v>0.57364591077027705</v>
      </c>
    </row>
    <row r="461" spans="1:20" x14ac:dyDescent="0.25">
      <c r="A461" s="5">
        <v>44132</v>
      </c>
      <c r="B461">
        <v>5.1360000000000001</v>
      </c>
      <c r="C461">
        <v>5.1509999999999998</v>
      </c>
      <c r="D461">
        <v>4.72</v>
      </c>
      <c r="E461">
        <v>4.8029999999999999</v>
      </c>
      <c r="F461">
        <v>1803422.9739999999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-0.61484918793503396</v>
      </c>
      <c r="Q461">
        <f t="shared" si="980"/>
        <v>-1108833.1510672837</v>
      </c>
      <c r="R461">
        <f t="shared" si="981"/>
        <v>57864340.852723613</v>
      </c>
      <c r="S461">
        <f t="shared" si="982"/>
        <v>578.64340852723615</v>
      </c>
      <c r="T461">
        <f t="shared" si="983"/>
        <v>0.57864340852723617</v>
      </c>
    </row>
    <row r="462" spans="1:20" x14ac:dyDescent="0.25">
      <c r="A462" s="5">
        <v>44131</v>
      </c>
      <c r="B462">
        <v>5.14</v>
      </c>
      <c r="C462">
        <v>5.3239999999999998</v>
      </c>
      <c r="D462">
        <v>5.0659999999999998</v>
      </c>
      <c r="E462">
        <v>5.1379999999999999</v>
      </c>
      <c r="F462">
        <v>1624228.1629999999</v>
      </c>
      <c r="G462">
        <v>0</v>
      </c>
      <c r="L462" t="s">
        <v>8</v>
      </c>
      <c r="M462" t="s">
        <v>7</v>
      </c>
      <c r="N462" t="s">
        <v>8</v>
      </c>
      <c r="P462">
        <f t="shared" si="979"/>
        <v>-0.44186046511627858</v>
      </c>
      <c r="Q462">
        <f t="shared" si="980"/>
        <v>-717682.21155813872</v>
      </c>
      <c r="R462">
        <f t="shared" si="981"/>
        <v>58973174.0037909</v>
      </c>
      <c r="S462">
        <f t="shared" si="982"/>
        <v>589.73174003790905</v>
      </c>
      <c r="T462">
        <f t="shared" si="983"/>
        <v>0.58973174003790907</v>
      </c>
    </row>
    <row r="463" spans="1:20" x14ac:dyDescent="0.25">
      <c r="A463" s="5">
        <v>44130</v>
      </c>
      <c r="B463">
        <v>5.2889999999999997</v>
      </c>
      <c r="C463">
        <v>5.37</v>
      </c>
      <c r="D463">
        <v>4.9630000000000001</v>
      </c>
      <c r="E463">
        <v>5.1449999999999996</v>
      </c>
      <c r="F463">
        <v>1753121.4310000001</v>
      </c>
      <c r="G463">
        <v>0</v>
      </c>
      <c r="L463" t="s">
        <v>7</v>
      </c>
      <c r="M463" t="s">
        <v>7</v>
      </c>
      <c r="N463" t="s">
        <v>8</v>
      </c>
      <c r="P463">
        <f t="shared" si="979"/>
        <v>-0.10565110565110819</v>
      </c>
      <c r="Q463">
        <f t="shared" si="980"/>
        <v>-185219.21752580299</v>
      </c>
      <c r="R463">
        <f t="shared" si="981"/>
        <v>59690856.215349041</v>
      </c>
      <c r="S463">
        <f t="shared" si="982"/>
        <v>596.90856215349038</v>
      </c>
      <c r="T463">
        <f t="shared" si="983"/>
        <v>0.59690856215349042</v>
      </c>
    </row>
    <row r="464" spans="1:20" x14ac:dyDescent="0.25">
      <c r="A464" s="5">
        <v>44129</v>
      </c>
      <c r="B464">
        <v>5.5430000000000001</v>
      </c>
      <c r="C464">
        <v>5.65</v>
      </c>
      <c r="D464">
        <v>5.2380000000000004</v>
      </c>
      <c r="E464">
        <v>5.2919999999999998</v>
      </c>
      <c r="F464">
        <v>1635766.0819999999</v>
      </c>
      <c r="G464">
        <v>0</v>
      </c>
      <c r="L464" t="s">
        <v>8</v>
      </c>
      <c r="M464" t="s">
        <v>7</v>
      </c>
      <c r="N464" t="s">
        <v>8</v>
      </c>
      <c r="P464">
        <f t="shared" si="979"/>
        <v>-0.73786407766990592</v>
      </c>
      <c r="Q464">
        <f t="shared" si="980"/>
        <v>-1206973.0313786457</v>
      </c>
      <c r="R464">
        <f t="shared" si="981"/>
        <v>59876075.432874843</v>
      </c>
      <c r="S464">
        <f t="shared" si="982"/>
        <v>598.76075432874848</v>
      </c>
      <c r="T464">
        <f t="shared" si="983"/>
        <v>0.59876075432874842</v>
      </c>
    </row>
    <row r="465" spans="1:20" x14ac:dyDescent="0.25">
      <c r="A465" s="5">
        <v>44128</v>
      </c>
      <c r="B465">
        <v>5.3650000000000002</v>
      </c>
      <c r="C465">
        <v>5.593</v>
      </c>
      <c r="D465">
        <v>5.2530000000000001</v>
      </c>
      <c r="E465">
        <v>5.5430000000000001</v>
      </c>
      <c r="F465">
        <v>1498599.655</v>
      </c>
      <c r="G465">
        <v>0</v>
      </c>
      <c r="L465" t="s">
        <v>8</v>
      </c>
      <c r="M465" t="s">
        <v>7</v>
      </c>
      <c r="N465" t="s">
        <v>8</v>
      </c>
      <c r="P465">
        <f t="shared" si="979"/>
        <v>0.7058823529411774</v>
      </c>
      <c r="Q465">
        <f t="shared" si="980"/>
        <v>1057835.0505882367</v>
      </c>
      <c r="R465">
        <f t="shared" si="981"/>
        <v>61083048.464253493</v>
      </c>
      <c r="S465">
        <f t="shared" si="982"/>
        <v>610.83048464253488</v>
      </c>
      <c r="T465">
        <f t="shared" si="983"/>
        <v>0.61083048464253487</v>
      </c>
    </row>
    <row r="466" spans="1:20" x14ac:dyDescent="0.25">
      <c r="A466" s="5">
        <v>44127</v>
      </c>
      <c r="B466">
        <v>5.4489999999999998</v>
      </c>
      <c r="C466">
        <v>5.5</v>
      </c>
      <c r="D466">
        <v>5.16</v>
      </c>
      <c r="E466">
        <v>5.3639999999999999</v>
      </c>
      <c r="F466">
        <v>2142401.16</v>
      </c>
      <c r="G466">
        <v>0</v>
      </c>
      <c r="L466" t="s">
        <v>7</v>
      </c>
      <c r="M466" t="s">
        <v>7</v>
      </c>
      <c r="N466" t="s">
        <v>8</v>
      </c>
      <c r="P466">
        <f t="shared" si="979"/>
        <v>0.19999999999999896</v>
      </c>
      <c r="Q466">
        <f t="shared" si="980"/>
        <v>428480.23199999781</v>
      </c>
      <c r="R466">
        <f t="shared" si="981"/>
        <v>60025213.413665257</v>
      </c>
      <c r="S466">
        <f t="shared" si="982"/>
        <v>600.25213413665256</v>
      </c>
      <c r="T466">
        <f t="shared" si="983"/>
        <v>0.60025213413665257</v>
      </c>
    </row>
    <row r="467" spans="1:20" x14ac:dyDescent="0.25">
      <c r="A467" s="5">
        <v>44126</v>
      </c>
      <c r="B467">
        <v>5.2329999999999997</v>
      </c>
      <c r="C467">
        <v>5.5730000000000004</v>
      </c>
      <c r="D467">
        <v>5.2160000000000002</v>
      </c>
      <c r="E467">
        <v>5.444</v>
      </c>
      <c r="F467">
        <v>1866936.1259999999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0.2773109243697458</v>
      </c>
      <c r="Q467">
        <f t="shared" si="980"/>
        <v>517721.78284033219</v>
      </c>
      <c r="R467">
        <f t="shared" si="981"/>
        <v>59596733.181665257</v>
      </c>
      <c r="S467">
        <f t="shared" si="982"/>
        <v>595.96733181665252</v>
      </c>
      <c r="T467">
        <f t="shared" si="983"/>
        <v>0.59596733181665251</v>
      </c>
    </row>
    <row r="468" spans="1:20" x14ac:dyDescent="0.25">
      <c r="A468" s="5">
        <v>44125</v>
      </c>
      <c r="B468">
        <v>5.0270000000000001</v>
      </c>
      <c r="C468">
        <v>5.4939999999999998</v>
      </c>
      <c r="D468">
        <v>4.9880000000000004</v>
      </c>
      <c r="E468">
        <v>5.2409999999999997</v>
      </c>
      <c r="F468">
        <v>1830855.2609999999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-1.7552933195654672E-15</v>
      </c>
      <c r="Q468">
        <f t="shared" si="980"/>
        <v>-3.2136880087245896E-9</v>
      </c>
      <c r="R468">
        <f t="shared" si="981"/>
        <v>59079011.398824923</v>
      </c>
      <c r="S468">
        <f t="shared" si="982"/>
        <v>590.79011398824923</v>
      </c>
      <c r="T468">
        <f t="shared" si="983"/>
        <v>0.59079011398824921</v>
      </c>
    </row>
    <row r="469" spans="1:20" x14ac:dyDescent="0.25">
      <c r="A469" s="5">
        <v>44124</v>
      </c>
      <c r="B469">
        <v>5.5039999999999996</v>
      </c>
      <c r="C469">
        <v>5.508</v>
      </c>
      <c r="D469">
        <v>4.9889999999999999</v>
      </c>
      <c r="E469">
        <v>5.024</v>
      </c>
      <c r="F469">
        <v>2436688.7450000001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-0.86512524084778364</v>
      </c>
      <c r="Q469">
        <f t="shared" si="980"/>
        <v>-2108040.9373892089</v>
      </c>
      <c r="R469">
        <f t="shared" si="981"/>
        <v>59079011.398824923</v>
      </c>
      <c r="S469">
        <f t="shared" si="982"/>
        <v>590.79011398824923</v>
      </c>
      <c r="T469">
        <f t="shared" si="983"/>
        <v>0.59079011398824921</v>
      </c>
    </row>
    <row r="470" spans="1:20" x14ac:dyDescent="0.25">
      <c r="A470" s="5">
        <v>44123</v>
      </c>
      <c r="B470">
        <v>5.7629999999999999</v>
      </c>
      <c r="C470">
        <v>5.7779999999999996</v>
      </c>
      <c r="D470">
        <v>5.4530000000000003</v>
      </c>
      <c r="E470">
        <v>5.5019999999999998</v>
      </c>
      <c r="F470">
        <v>2068689.3740000001</v>
      </c>
      <c r="G470">
        <v>0</v>
      </c>
      <c r="L470" t="s">
        <v>8</v>
      </c>
      <c r="M470" t="s">
        <v>8</v>
      </c>
      <c r="N470" t="s">
        <v>8</v>
      </c>
      <c r="P470">
        <f t="shared" si="979"/>
        <v>-0.69846153846154091</v>
      </c>
      <c r="Q470">
        <f t="shared" si="980"/>
        <v>-1444899.962763082</v>
      </c>
      <c r="R470">
        <f t="shared" si="981"/>
        <v>61187052.336214133</v>
      </c>
      <c r="S470">
        <f t="shared" si="982"/>
        <v>611.87052336214128</v>
      </c>
      <c r="T470">
        <f t="shared" si="983"/>
        <v>0.61187052336214132</v>
      </c>
    </row>
    <row r="471" spans="1:20" x14ac:dyDescent="0.25">
      <c r="A471" s="5">
        <v>44122</v>
      </c>
      <c r="B471">
        <v>5.4619999999999997</v>
      </c>
      <c r="C471">
        <v>5.7839999999999998</v>
      </c>
      <c r="D471">
        <v>5.4139999999999997</v>
      </c>
      <c r="E471">
        <v>5.7619999999999996</v>
      </c>
      <c r="F471">
        <v>1224474.1470000001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0.88108108108107985</v>
      </c>
      <c r="Q471">
        <f t="shared" si="980"/>
        <v>1078861.0051945932</v>
      </c>
      <c r="R471">
        <f t="shared" si="981"/>
        <v>62631952.298977211</v>
      </c>
      <c r="S471">
        <f t="shared" si="982"/>
        <v>626.31952298977217</v>
      </c>
      <c r="T471">
        <f t="shared" si="983"/>
        <v>0.62631952298977212</v>
      </c>
    </row>
    <row r="472" spans="1:20" x14ac:dyDescent="0.25">
      <c r="A472" s="5">
        <v>44121</v>
      </c>
      <c r="B472">
        <v>5.4050000000000002</v>
      </c>
      <c r="C472">
        <v>5.5229999999999997</v>
      </c>
      <c r="D472">
        <v>5.2859999999999996</v>
      </c>
      <c r="E472">
        <v>5.4660000000000002</v>
      </c>
      <c r="F472">
        <v>1142381.365</v>
      </c>
      <c r="G472">
        <v>0</v>
      </c>
      <c r="L472" t="s">
        <v>7</v>
      </c>
      <c r="M472" t="s">
        <v>8</v>
      </c>
      <c r="N472" t="s">
        <v>8</v>
      </c>
      <c r="P472">
        <f t="shared" si="979"/>
        <v>0.51898734177215633</v>
      </c>
      <c r="Q472">
        <f t="shared" si="980"/>
        <v>592881.46791139746</v>
      </c>
      <c r="R472">
        <f t="shared" si="981"/>
        <v>61553091.293782614</v>
      </c>
      <c r="S472">
        <f t="shared" si="982"/>
        <v>615.53091293782609</v>
      </c>
      <c r="T472">
        <f t="shared" si="983"/>
        <v>0.61553091293782614</v>
      </c>
    </row>
    <row r="473" spans="1:20" x14ac:dyDescent="0.25">
      <c r="A473" s="5">
        <v>44120</v>
      </c>
      <c r="B473">
        <v>5.7679999999999998</v>
      </c>
      <c r="C473">
        <v>5.8410000000000002</v>
      </c>
      <c r="D473">
        <v>5.3109999999999999</v>
      </c>
      <c r="E473">
        <v>5.4029999999999996</v>
      </c>
      <c r="F473">
        <v>2617584.3489999999</v>
      </c>
      <c r="G473">
        <v>0</v>
      </c>
      <c r="L473" t="s">
        <v>7</v>
      </c>
      <c r="M473" t="s">
        <v>8</v>
      </c>
      <c r="N473" t="s">
        <v>8</v>
      </c>
      <c r="P473">
        <f t="shared" si="979"/>
        <v>-0.6528301886792468</v>
      </c>
      <c r="Q473">
        <f t="shared" si="980"/>
        <v>-1708838.0844415133</v>
      </c>
      <c r="R473">
        <f t="shared" si="981"/>
        <v>60960209.825871214</v>
      </c>
      <c r="S473">
        <f t="shared" si="982"/>
        <v>609.60209825871209</v>
      </c>
      <c r="T473">
        <f t="shared" si="983"/>
        <v>0.60960209825871214</v>
      </c>
    </row>
    <row r="474" spans="1:20" x14ac:dyDescent="0.25">
      <c r="A474" s="5">
        <v>44119</v>
      </c>
      <c r="B474">
        <v>5.7270000000000003</v>
      </c>
      <c r="C474">
        <v>5.9139999999999997</v>
      </c>
      <c r="D474">
        <v>5.5</v>
      </c>
      <c r="E474">
        <v>5.7690000000000001</v>
      </c>
      <c r="F474">
        <v>2649459.6159999999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0.29951690821256194</v>
      </c>
      <c r="Q474">
        <f t="shared" si="980"/>
        <v>793557.95261836157</v>
      </c>
      <c r="R474">
        <f t="shared" si="981"/>
        <v>62669047.910312727</v>
      </c>
      <c r="S474">
        <f t="shared" si="982"/>
        <v>626.69047910312725</v>
      </c>
      <c r="T474">
        <f t="shared" si="983"/>
        <v>0.62669047910312725</v>
      </c>
    </row>
    <row r="475" spans="1:20" x14ac:dyDescent="0.25">
      <c r="A475" s="5">
        <v>44118</v>
      </c>
      <c r="B475">
        <v>6.0119999999999996</v>
      </c>
      <c r="C475">
        <v>6.1360000000000001</v>
      </c>
      <c r="D475">
        <v>5.63</v>
      </c>
      <c r="E475">
        <v>5.7270000000000003</v>
      </c>
      <c r="F475">
        <v>3182235.4739999999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-0.61660079051383254</v>
      </c>
      <c r="Q475">
        <f t="shared" si="980"/>
        <v>-1962168.9088695606</v>
      </c>
      <c r="R475">
        <f t="shared" si="981"/>
        <v>61875489.957694367</v>
      </c>
      <c r="S475">
        <f t="shared" si="982"/>
        <v>618.75489957694367</v>
      </c>
      <c r="T475">
        <f t="shared" si="983"/>
        <v>0.61875489957694363</v>
      </c>
    </row>
    <row r="476" spans="1:20" x14ac:dyDescent="0.25">
      <c r="A476" s="5">
        <v>44117</v>
      </c>
      <c r="B476">
        <v>5.9710000000000001</v>
      </c>
      <c r="C476">
        <v>6.2</v>
      </c>
      <c r="D476">
        <v>5.8029999999999999</v>
      </c>
      <c r="E476">
        <v>6.0119999999999996</v>
      </c>
      <c r="F476">
        <v>3643479.6290000002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5.2896725440803545E-2</v>
      </c>
      <c r="Q476">
        <f t="shared" si="980"/>
        <v>192728.14158437378</v>
      </c>
      <c r="R476">
        <f t="shared" si="981"/>
        <v>63837658.866563924</v>
      </c>
      <c r="S476">
        <f t="shared" si="982"/>
        <v>638.37658866563925</v>
      </c>
      <c r="T476">
        <f t="shared" si="983"/>
        <v>0.63837658866563929</v>
      </c>
    </row>
    <row r="477" spans="1:20" x14ac:dyDescent="0.25">
      <c r="A477" s="5">
        <v>44116</v>
      </c>
      <c r="B477">
        <v>6.0789999999999997</v>
      </c>
      <c r="C477">
        <v>6.24</v>
      </c>
      <c r="D477">
        <v>5.7859999999999996</v>
      </c>
      <c r="E477">
        <v>5.97</v>
      </c>
      <c r="F477">
        <v>3877974.8319999999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-0.18942731277533079</v>
      </c>
      <c r="Q477">
        <f t="shared" si="980"/>
        <v>-734594.35143612488</v>
      </c>
      <c r="R477">
        <f t="shared" si="981"/>
        <v>63644930.72497955</v>
      </c>
      <c r="S477">
        <f t="shared" si="982"/>
        <v>636.44930724979554</v>
      </c>
      <c r="T477">
        <f t="shared" si="983"/>
        <v>0.63644930724979554</v>
      </c>
    </row>
    <row r="478" spans="1:20" x14ac:dyDescent="0.25">
      <c r="A478" s="5">
        <v>44115</v>
      </c>
      <c r="B478">
        <v>5.5410000000000004</v>
      </c>
      <c r="C478">
        <v>6.2690000000000001</v>
      </c>
      <c r="D478">
        <v>5.4189999999999996</v>
      </c>
      <c r="E478">
        <v>6.0720000000000001</v>
      </c>
      <c r="F478">
        <v>5269281.0209999997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0.53647058823529425</v>
      </c>
      <c r="Q478">
        <f t="shared" si="980"/>
        <v>2826814.2889129417</v>
      </c>
      <c r="R478">
        <f t="shared" si="981"/>
        <v>64379525.076415673</v>
      </c>
      <c r="S478">
        <f t="shared" si="982"/>
        <v>643.79525076415678</v>
      </c>
      <c r="T478">
        <f t="shared" si="983"/>
        <v>0.64379525076415678</v>
      </c>
    </row>
    <row r="479" spans="1:20" x14ac:dyDescent="0.25">
      <c r="A479" s="5">
        <v>44114</v>
      </c>
      <c r="B479">
        <v>5.1520000000000001</v>
      </c>
      <c r="C479">
        <v>5.7069999999999999</v>
      </c>
      <c r="D479">
        <v>5.1470000000000002</v>
      </c>
      <c r="E479">
        <v>5.5339999999999998</v>
      </c>
      <c r="F479">
        <v>2323359.5129999998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0.38214285714285656</v>
      </c>
      <c r="Q479">
        <f t="shared" si="980"/>
        <v>887855.24246785569</v>
      </c>
      <c r="R479">
        <f t="shared" si="981"/>
        <v>61552710.787502728</v>
      </c>
      <c r="S479">
        <f t="shared" si="982"/>
        <v>615.52710787502724</v>
      </c>
      <c r="T479">
        <f t="shared" si="983"/>
        <v>0.61552710787502729</v>
      </c>
    </row>
    <row r="480" spans="1:20" x14ac:dyDescent="0.25">
      <c r="A480" s="5">
        <v>44113</v>
      </c>
      <c r="B480">
        <v>5.0419999999999998</v>
      </c>
      <c r="C480">
        <v>5.3019999999999996</v>
      </c>
      <c r="D480">
        <v>4.9279999999999999</v>
      </c>
      <c r="E480">
        <v>5.1550000000000002</v>
      </c>
      <c r="F480">
        <v>1837045.608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0.21390374331551076</v>
      </c>
      <c r="Q480">
        <f t="shared" si="980"/>
        <v>392950.93219251843</v>
      </c>
      <c r="R480">
        <f t="shared" si="981"/>
        <v>60664855.545034871</v>
      </c>
      <c r="S480">
        <f t="shared" si="982"/>
        <v>606.64855545034868</v>
      </c>
      <c r="T480">
        <f t="shared" si="983"/>
        <v>0.60664855545034868</v>
      </c>
    </row>
    <row r="481" spans="1:20" x14ac:dyDescent="0.25">
      <c r="A481" s="5">
        <v>44112</v>
      </c>
      <c r="B481">
        <v>4.8739999999999997</v>
      </c>
      <c r="C481">
        <v>5.1260000000000003</v>
      </c>
      <c r="D481">
        <v>4.62</v>
      </c>
      <c r="E481">
        <v>5.0339999999999998</v>
      </c>
      <c r="F481">
        <v>1984684.0660000001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0.63636363636363447</v>
      </c>
      <c r="Q481">
        <f t="shared" si="980"/>
        <v>1262980.7692727235</v>
      </c>
      <c r="R481">
        <f t="shared" si="981"/>
        <v>60271904.612842351</v>
      </c>
      <c r="S481">
        <f t="shared" si="982"/>
        <v>602.71904612842354</v>
      </c>
      <c r="T481">
        <f t="shared" si="983"/>
        <v>0.60271904612842353</v>
      </c>
    </row>
    <row r="482" spans="1:20" x14ac:dyDescent="0.25">
      <c r="A482" s="5">
        <v>44111</v>
      </c>
      <c r="B482">
        <v>4.734</v>
      </c>
      <c r="C482">
        <v>4.9429999999999996</v>
      </c>
      <c r="D482">
        <v>4.5490000000000004</v>
      </c>
      <c r="E482">
        <v>4.8730000000000002</v>
      </c>
      <c r="F482">
        <v>1997788.544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0.6446700507614237</v>
      </c>
      <c r="Q482">
        <f t="shared" si="980"/>
        <v>1287914.4420710707</v>
      </c>
      <c r="R482">
        <f t="shared" si="981"/>
        <v>59008923.843569629</v>
      </c>
      <c r="S482">
        <f t="shared" si="982"/>
        <v>590.0892384356963</v>
      </c>
      <c r="T482">
        <f t="shared" si="983"/>
        <v>0.59008923843569627</v>
      </c>
    </row>
    <row r="483" spans="1:20" x14ac:dyDescent="0.25">
      <c r="A483" s="5">
        <v>44110</v>
      </c>
      <c r="B483">
        <v>5.3689999999999998</v>
      </c>
      <c r="C483">
        <v>5.4</v>
      </c>
      <c r="D483">
        <v>4.6790000000000003</v>
      </c>
      <c r="E483">
        <v>4.7359999999999998</v>
      </c>
      <c r="F483">
        <v>2397701.9929999998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-0.84188626907073649</v>
      </c>
      <c r="Q483">
        <f t="shared" si="980"/>
        <v>-2018592.385230239</v>
      </c>
      <c r="R483">
        <f t="shared" si="981"/>
        <v>57721009.401498556</v>
      </c>
      <c r="S483">
        <f t="shared" si="982"/>
        <v>577.21009401498554</v>
      </c>
      <c r="T483">
        <f t="shared" si="983"/>
        <v>0.57721009401498558</v>
      </c>
    </row>
    <row r="484" spans="1:20" x14ac:dyDescent="0.25">
      <c r="A484" s="5">
        <v>44109</v>
      </c>
      <c r="B484">
        <v>5.319</v>
      </c>
      <c r="C484">
        <v>5.4</v>
      </c>
      <c r="D484">
        <v>5.1719999999999997</v>
      </c>
      <c r="E484">
        <v>5.3659999999999997</v>
      </c>
      <c r="F484">
        <v>1476051.703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0.70175438596490702</v>
      </c>
      <c r="Q484">
        <f t="shared" si="980"/>
        <v>1035825.7564912203</v>
      </c>
      <c r="R484">
        <f t="shared" si="981"/>
        <v>59739601.786728792</v>
      </c>
      <c r="S484">
        <f t="shared" si="982"/>
        <v>597.39601786728792</v>
      </c>
      <c r="T484">
        <f t="shared" si="983"/>
        <v>0.59739601786728791</v>
      </c>
    </row>
    <row r="485" spans="1:20" x14ac:dyDescent="0.25">
      <c r="A485" s="5">
        <v>44108</v>
      </c>
      <c r="B485">
        <v>5.008</v>
      </c>
      <c r="C485">
        <v>5.38</v>
      </c>
      <c r="D485">
        <v>4.8460000000000001</v>
      </c>
      <c r="E485">
        <v>5.3140000000000001</v>
      </c>
      <c r="F485">
        <v>1819836.1410000001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0.75280898876404545</v>
      </c>
      <c r="Q485">
        <f t="shared" si="980"/>
        <v>1369989.0050224729</v>
      </c>
      <c r="R485">
        <f t="shared" si="981"/>
        <v>58703776.03023757</v>
      </c>
      <c r="S485">
        <f t="shared" si="982"/>
        <v>587.03776030237566</v>
      </c>
      <c r="T485">
        <f t="shared" si="983"/>
        <v>0.58703776030237564</v>
      </c>
    </row>
    <row r="486" spans="1:20" x14ac:dyDescent="0.25">
      <c r="A486" s="5">
        <v>44107</v>
      </c>
      <c r="B486">
        <v>4.907</v>
      </c>
      <c r="C486">
        <v>5.1349999999999998</v>
      </c>
      <c r="D486">
        <v>4.867</v>
      </c>
      <c r="E486">
        <v>5.01</v>
      </c>
      <c r="F486">
        <v>1136760.155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6.716417910447689E-2</v>
      </c>
      <c r="Q486">
        <f t="shared" si="980"/>
        <v>76349.562649252912</v>
      </c>
      <c r="R486">
        <f t="shared" si="981"/>
        <v>57333787.025215097</v>
      </c>
      <c r="S486">
        <f t="shared" si="982"/>
        <v>573.33787025215099</v>
      </c>
      <c r="T486">
        <f t="shared" si="983"/>
        <v>0.57333787025215099</v>
      </c>
    </row>
    <row r="487" spans="1:20" x14ac:dyDescent="0.25">
      <c r="A487" s="5">
        <v>44106</v>
      </c>
      <c r="B487">
        <v>5.1319999999999997</v>
      </c>
      <c r="C487">
        <v>5.2729999999999997</v>
      </c>
      <c r="D487">
        <v>4.6369999999999996</v>
      </c>
      <c r="E487">
        <v>4.9059999999999997</v>
      </c>
      <c r="F487">
        <v>2939264.1340000001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-0.15408805031446518</v>
      </c>
      <c r="Q487">
        <f t="shared" si="980"/>
        <v>-452905.47976729495</v>
      </c>
      <c r="R487">
        <f t="shared" si="981"/>
        <v>57257437.462565847</v>
      </c>
      <c r="S487">
        <f t="shared" si="982"/>
        <v>572.57437462565849</v>
      </c>
      <c r="T487">
        <f t="shared" si="983"/>
        <v>0.57257437462565852</v>
      </c>
    </row>
    <row r="488" spans="1:20" x14ac:dyDescent="0.25">
      <c r="A488" s="5">
        <v>44105</v>
      </c>
      <c r="B488">
        <v>5.3739999999999997</v>
      </c>
      <c r="C488">
        <v>5.5960000000000001</v>
      </c>
      <c r="D488">
        <v>4.9619999999999997</v>
      </c>
      <c r="E488">
        <v>5.1349999999999998</v>
      </c>
      <c r="F488">
        <v>2508968.591</v>
      </c>
      <c r="G488">
        <v>0</v>
      </c>
      <c r="L488" t="s">
        <v>7</v>
      </c>
      <c r="M488" t="s">
        <v>8</v>
      </c>
      <c r="N488" t="s">
        <v>8</v>
      </c>
      <c r="P488">
        <f t="shared" si="979"/>
        <v>-0.45425867507886453</v>
      </c>
      <c r="Q488">
        <f t="shared" si="980"/>
        <v>-1139720.7479621456</v>
      </c>
      <c r="R488">
        <f t="shared" si="981"/>
        <v>57710342.942333139</v>
      </c>
      <c r="S488">
        <f t="shared" si="982"/>
        <v>577.10342942333136</v>
      </c>
      <c r="T488">
        <f t="shared" si="983"/>
        <v>0.57710342942333137</v>
      </c>
    </row>
    <row r="489" spans="1:20" x14ac:dyDescent="0.25">
      <c r="A489" s="5">
        <v>44104</v>
      </c>
      <c r="B489">
        <v>5.3040000000000003</v>
      </c>
      <c r="C489">
        <v>5.57</v>
      </c>
      <c r="D489">
        <v>5.1920000000000002</v>
      </c>
      <c r="E489">
        <v>5.3719999999999999</v>
      </c>
      <c r="F489">
        <v>3374662.7140000002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-4.7619047619049407E-2</v>
      </c>
      <c r="Q489">
        <f t="shared" si="980"/>
        <v>-160698.22447619651</v>
      </c>
      <c r="R489">
        <f t="shared" si="981"/>
        <v>58850063.690295286</v>
      </c>
      <c r="S489">
        <f t="shared" si="982"/>
        <v>588.50063690295292</v>
      </c>
      <c r="T489">
        <f t="shared" si="983"/>
        <v>0.58850063690295296</v>
      </c>
    </row>
    <row r="490" spans="1:20" x14ac:dyDescent="0.25">
      <c r="A490" s="5">
        <v>44103</v>
      </c>
      <c r="B490">
        <v>4.8259999999999996</v>
      </c>
      <c r="C490">
        <v>5.3760000000000003</v>
      </c>
      <c r="D490">
        <v>4.8</v>
      </c>
      <c r="E490">
        <v>5.3090000000000002</v>
      </c>
      <c r="F490">
        <v>2797378.5180000002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0.76736111111111072</v>
      </c>
      <c r="Q490">
        <f t="shared" si="980"/>
        <v>2146599.4877708321</v>
      </c>
      <c r="R490">
        <f t="shared" si="981"/>
        <v>59010761.914771482</v>
      </c>
      <c r="S490">
        <f t="shared" si="982"/>
        <v>590.10761914771479</v>
      </c>
      <c r="T490">
        <f t="shared" si="983"/>
        <v>0.59010761914771481</v>
      </c>
    </row>
    <row r="491" spans="1:20" x14ac:dyDescent="0.25">
      <c r="A491" s="5">
        <v>44102</v>
      </c>
      <c r="B491">
        <v>4.7270000000000003</v>
      </c>
      <c r="C491">
        <v>5.2009999999999996</v>
      </c>
      <c r="D491">
        <v>4.72</v>
      </c>
      <c r="E491">
        <v>4.8259999999999996</v>
      </c>
      <c r="F491">
        <v>3934619.99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-0.55925155925155967</v>
      </c>
      <c r="Q491">
        <f t="shared" si="980"/>
        <v>-2200442.364469856</v>
      </c>
      <c r="R491">
        <f t="shared" si="981"/>
        <v>56864162.427000649</v>
      </c>
      <c r="S491">
        <f t="shared" si="982"/>
        <v>568.64162427000645</v>
      </c>
      <c r="T491">
        <f t="shared" si="983"/>
        <v>0.56864162427000642</v>
      </c>
    </row>
    <row r="492" spans="1:20" x14ac:dyDescent="0.25">
      <c r="A492" s="5">
        <v>44101</v>
      </c>
      <c r="B492">
        <v>4.6029999999999998</v>
      </c>
      <c r="C492">
        <v>4.8029999999999999</v>
      </c>
      <c r="D492">
        <v>4.5229999999999997</v>
      </c>
      <c r="E492">
        <v>4.7270000000000003</v>
      </c>
      <c r="F492">
        <v>1629074.9469999999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0.45714285714286029</v>
      </c>
      <c r="Q492">
        <f t="shared" si="980"/>
        <v>744719.97577143367</v>
      </c>
      <c r="R492">
        <f t="shared" si="981"/>
        <v>59064604.791470505</v>
      </c>
      <c r="S492">
        <f t="shared" si="982"/>
        <v>590.64604791470504</v>
      </c>
      <c r="T492">
        <f t="shared" si="983"/>
        <v>0.59064604791470499</v>
      </c>
    </row>
    <row r="493" spans="1:20" x14ac:dyDescent="0.25">
      <c r="A493" s="5">
        <v>44100</v>
      </c>
      <c r="B493">
        <v>4.7910000000000004</v>
      </c>
      <c r="C493">
        <v>4.819</v>
      </c>
      <c r="D493">
        <v>4.4660000000000002</v>
      </c>
      <c r="E493">
        <v>4.6070000000000002</v>
      </c>
      <c r="F493">
        <v>1273965.1340000001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-0.20113314447592004</v>
      </c>
      <c r="Q493">
        <f t="shared" si="980"/>
        <v>-256236.61335410684</v>
      </c>
      <c r="R493">
        <f t="shared" si="981"/>
        <v>58319884.815699071</v>
      </c>
      <c r="S493">
        <f t="shared" si="982"/>
        <v>583.19884815699072</v>
      </c>
      <c r="T493">
        <f t="shared" si="983"/>
        <v>0.58319884815699075</v>
      </c>
    </row>
    <row r="494" spans="1:20" x14ac:dyDescent="0.25">
      <c r="A494" s="5">
        <v>44099</v>
      </c>
      <c r="B494">
        <v>4.4829999999999997</v>
      </c>
      <c r="C494">
        <v>4.8019999999999996</v>
      </c>
      <c r="D494">
        <v>4.3529999999999998</v>
      </c>
      <c r="E494">
        <v>4.7910000000000004</v>
      </c>
      <c r="F494">
        <v>2384387.5040000002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0.95100222717149563</v>
      </c>
      <c r="Q494">
        <f t="shared" si="980"/>
        <v>2267557.8267438835</v>
      </c>
      <c r="R494">
        <f t="shared" si="981"/>
        <v>58576121.42905318</v>
      </c>
      <c r="S494">
        <f t="shared" si="982"/>
        <v>585.76121429053183</v>
      </c>
      <c r="T494">
        <f t="shared" si="983"/>
        <v>0.58576121429053185</v>
      </c>
    </row>
    <row r="495" spans="1:20" x14ac:dyDescent="0.25">
      <c r="A495" s="5">
        <v>44098</v>
      </c>
      <c r="B495">
        <v>3.8439999999999999</v>
      </c>
      <c r="C495">
        <v>4.55</v>
      </c>
      <c r="D495">
        <v>3.78</v>
      </c>
      <c r="E495">
        <v>4.4829999999999997</v>
      </c>
      <c r="F495">
        <v>2652985.9330000002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0.82597402597402558</v>
      </c>
      <c r="Q495">
        <f t="shared" si="980"/>
        <v>2191297.4719324666</v>
      </c>
      <c r="R495">
        <f t="shared" si="981"/>
        <v>56308563.602309294</v>
      </c>
      <c r="S495">
        <f t="shared" si="982"/>
        <v>563.08563602309289</v>
      </c>
      <c r="T495">
        <f t="shared" si="983"/>
        <v>0.56308563602309292</v>
      </c>
    </row>
    <row r="496" spans="1:20" x14ac:dyDescent="0.25">
      <c r="A496" s="5">
        <v>44097</v>
      </c>
      <c r="B496">
        <v>4.2050000000000001</v>
      </c>
      <c r="C496">
        <v>4.3040000000000003</v>
      </c>
      <c r="D496">
        <v>3.79</v>
      </c>
      <c r="E496">
        <v>3.839</v>
      </c>
      <c r="F496">
        <v>2035120.834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-0.80933852140077855</v>
      </c>
      <c r="Q496">
        <f t="shared" si="980"/>
        <v>-1647101.6866614793</v>
      </c>
      <c r="R496">
        <f t="shared" si="981"/>
        <v>54117266.130376831</v>
      </c>
      <c r="S496">
        <f t="shared" si="982"/>
        <v>541.17266130376834</v>
      </c>
      <c r="T496">
        <f t="shared" si="983"/>
        <v>0.54117266130376829</v>
      </c>
    </row>
    <row r="497" spans="1:20" x14ac:dyDescent="0.25">
      <c r="A497" s="5">
        <v>44096</v>
      </c>
      <c r="B497">
        <v>4.0839999999999996</v>
      </c>
      <c r="C497">
        <v>4.2750000000000004</v>
      </c>
      <c r="D497">
        <v>4.0220000000000002</v>
      </c>
      <c r="E497">
        <v>4.21</v>
      </c>
      <c r="F497">
        <v>1791101.0870000001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0.48616600790513548</v>
      </c>
      <c r="Q497">
        <f t="shared" si="980"/>
        <v>870772.46522133879</v>
      </c>
      <c r="R497">
        <f t="shared" si="981"/>
        <v>55764367.817038313</v>
      </c>
      <c r="S497">
        <f t="shared" si="982"/>
        <v>557.64367817038317</v>
      </c>
      <c r="T497">
        <f t="shared" si="983"/>
        <v>0.55764367817038318</v>
      </c>
    </row>
    <row r="498" spans="1:20" x14ac:dyDescent="0.25">
      <c r="A498" s="5">
        <v>44095</v>
      </c>
      <c r="B498">
        <v>4.6630000000000003</v>
      </c>
      <c r="C498">
        <v>4.734</v>
      </c>
      <c r="D498">
        <v>3.9510000000000001</v>
      </c>
      <c r="E498">
        <v>4.0810000000000004</v>
      </c>
      <c r="F498">
        <v>2886545.2310000001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-0.66794380587483948</v>
      </c>
      <c r="Q498">
        <f t="shared" si="980"/>
        <v>-1928050.0074240079</v>
      </c>
      <c r="R498">
        <f t="shared" si="981"/>
        <v>54893595.351816975</v>
      </c>
      <c r="S498">
        <f t="shared" si="982"/>
        <v>548.93595351816975</v>
      </c>
      <c r="T498">
        <f t="shared" si="983"/>
        <v>0.54893595351816971</v>
      </c>
    </row>
    <row r="499" spans="1:20" x14ac:dyDescent="0.25">
      <c r="A499" s="5">
        <v>44094</v>
      </c>
      <c r="B499">
        <v>4.9420000000000002</v>
      </c>
      <c r="C499">
        <v>5.0940000000000003</v>
      </c>
      <c r="D499">
        <v>4.5350000000000001</v>
      </c>
      <c r="E499">
        <v>4.6639999999999997</v>
      </c>
      <c r="F499">
        <v>1391035.3740000001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-0.53846153846154021</v>
      </c>
      <c r="Q499">
        <f t="shared" si="980"/>
        <v>-749019.04753846396</v>
      </c>
      <c r="R499">
        <f t="shared" si="981"/>
        <v>56821645.359240979</v>
      </c>
      <c r="S499">
        <f t="shared" si="982"/>
        <v>568.21645359240983</v>
      </c>
      <c r="T499">
        <f t="shared" si="983"/>
        <v>0.5682164535924098</v>
      </c>
    </row>
    <row r="500" spans="1:20" x14ac:dyDescent="0.25">
      <c r="A500" s="5">
        <v>44093</v>
      </c>
      <c r="B500">
        <v>4.9610000000000003</v>
      </c>
      <c r="C500">
        <v>5.04</v>
      </c>
      <c r="D500">
        <v>4.859</v>
      </c>
      <c r="E500">
        <v>4.9429999999999996</v>
      </c>
      <c r="F500">
        <v>1270243.548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-7.1823204419893844E-2</v>
      </c>
      <c r="Q500">
        <f t="shared" si="980"/>
        <v>-91232.962011055235</v>
      </c>
      <c r="R500">
        <f t="shared" si="981"/>
        <v>57570664.406779446</v>
      </c>
      <c r="S500">
        <f t="shared" si="982"/>
        <v>575.70664406779451</v>
      </c>
      <c r="T500">
        <f t="shared" si="983"/>
        <v>0.57570664406779448</v>
      </c>
    </row>
    <row r="501" spans="1:20" x14ac:dyDescent="0.25">
      <c r="A501" s="5">
        <v>44092</v>
      </c>
      <c r="B501">
        <v>5.0670000000000002</v>
      </c>
      <c r="C501">
        <v>5.2140000000000004</v>
      </c>
      <c r="D501">
        <v>4.7729999999999997</v>
      </c>
      <c r="E501">
        <v>4.9660000000000002</v>
      </c>
      <c r="F501">
        <v>1799590.91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-0.12471655328798101</v>
      </c>
      <c r="Q501">
        <f t="shared" si="980"/>
        <v>-224438.77562358123</v>
      </c>
      <c r="R501">
        <f t="shared" si="981"/>
        <v>57661897.3687905</v>
      </c>
      <c r="S501">
        <f t="shared" si="982"/>
        <v>576.61897368790505</v>
      </c>
      <c r="T501">
        <f t="shared" si="983"/>
        <v>0.57661897368790505</v>
      </c>
    </row>
    <row r="502" spans="1:20" x14ac:dyDescent="0.25">
      <c r="A502" s="5">
        <v>44091</v>
      </c>
      <c r="B502">
        <v>5.1189999999999998</v>
      </c>
      <c r="C502">
        <v>5.2240000000000002</v>
      </c>
      <c r="D502">
        <v>4.8680000000000003</v>
      </c>
      <c r="E502">
        <v>5.0620000000000003</v>
      </c>
      <c r="F502">
        <v>1733021.6850000001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8.9887640449438311E-2</v>
      </c>
      <c r="Q502">
        <f t="shared" si="980"/>
        <v>155777.23011235974</v>
      </c>
      <c r="R502">
        <f t="shared" si="981"/>
        <v>57886336.144414082</v>
      </c>
      <c r="S502">
        <f t="shared" si="982"/>
        <v>578.86336144414088</v>
      </c>
      <c r="T502">
        <f t="shared" si="983"/>
        <v>0.57886336144414086</v>
      </c>
    </row>
    <row r="503" spans="1:20" x14ac:dyDescent="0.25">
      <c r="A503" s="5">
        <v>44090</v>
      </c>
      <c r="B503">
        <v>4.8639999999999999</v>
      </c>
      <c r="C503">
        <v>5.1890000000000001</v>
      </c>
      <c r="D503">
        <v>4.6820000000000004</v>
      </c>
      <c r="E503">
        <v>5.1219999999999999</v>
      </c>
      <c r="F503">
        <v>1426210.041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0.73570019723865798</v>
      </c>
      <c r="Q503">
        <f t="shared" si="980"/>
        <v>1049263.0084674545</v>
      </c>
      <c r="R503">
        <f t="shared" si="981"/>
        <v>57730558.914301723</v>
      </c>
      <c r="S503">
        <f t="shared" si="982"/>
        <v>577.30558914301719</v>
      </c>
      <c r="T503">
        <f t="shared" si="983"/>
        <v>0.57730558914301722</v>
      </c>
    </row>
    <row r="504" spans="1:20" x14ac:dyDescent="0.25">
      <c r="A504" s="5">
        <v>44089</v>
      </c>
      <c r="B504">
        <v>5.3769999999999998</v>
      </c>
      <c r="C504">
        <v>5.4530000000000003</v>
      </c>
      <c r="D504">
        <v>4.7759999999999998</v>
      </c>
      <c r="E504">
        <v>4.8659999999999997</v>
      </c>
      <c r="F504">
        <v>3684936.4419999998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-0.73412112259970519</v>
      </c>
      <c r="Q504">
        <f t="shared" si="980"/>
        <v>-2705189.6775096031</v>
      </c>
      <c r="R504">
        <f t="shared" si="981"/>
        <v>56681295.905834265</v>
      </c>
      <c r="S504">
        <f t="shared" si="982"/>
        <v>566.8129590583427</v>
      </c>
      <c r="T504">
        <f t="shared" si="983"/>
        <v>0.56681295905834272</v>
      </c>
    </row>
    <row r="505" spans="1:20" x14ac:dyDescent="0.25">
      <c r="A505" s="5">
        <v>44088</v>
      </c>
      <c r="B505">
        <v>5.3170000000000002</v>
      </c>
      <c r="C505">
        <v>5.5389999999999997</v>
      </c>
      <c r="D505">
        <v>5.12</v>
      </c>
      <c r="E505">
        <v>5.3810000000000002</v>
      </c>
      <c r="F505">
        <v>1894291.2509999999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0.24582338902148149</v>
      </c>
      <c r="Q505">
        <f t="shared" si="980"/>
        <v>465661.09511456179</v>
      </c>
      <c r="R505">
        <f t="shared" si="981"/>
        <v>59386485.583343871</v>
      </c>
      <c r="S505">
        <f t="shared" si="982"/>
        <v>593.8648558334387</v>
      </c>
      <c r="T505">
        <f t="shared" si="983"/>
        <v>0.59386485583343873</v>
      </c>
    </row>
    <row r="506" spans="1:20" x14ac:dyDescent="0.25">
      <c r="A506" s="5">
        <v>44087</v>
      </c>
      <c r="B506">
        <v>5.6029999999999998</v>
      </c>
      <c r="C506">
        <v>5.8570000000000002</v>
      </c>
      <c r="D506">
        <v>5.1050000000000004</v>
      </c>
      <c r="E506">
        <v>5.32</v>
      </c>
      <c r="F506">
        <v>2992263.9109999998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-0.42819148936170232</v>
      </c>
      <c r="Q506">
        <f t="shared" si="980"/>
        <v>-1281261.9406143622</v>
      </c>
      <c r="R506">
        <f t="shared" si="981"/>
        <v>58920824.488229312</v>
      </c>
      <c r="S506">
        <f t="shared" si="982"/>
        <v>589.20824488229312</v>
      </c>
      <c r="T506">
        <f t="shared" si="983"/>
        <v>0.58920824488229306</v>
      </c>
    </row>
    <row r="507" spans="1:20" x14ac:dyDescent="0.25">
      <c r="A507" s="5">
        <v>44086</v>
      </c>
      <c r="B507">
        <v>5.3449999999999998</v>
      </c>
      <c r="C507">
        <v>5.7190000000000003</v>
      </c>
      <c r="D507">
        <v>5.18</v>
      </c>
      <c r="E507">
        <v>5.6029999999999998</v>
      </c>
      <c r="F507">
        <v>2630471.2170000002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0.56957328385899664</v>
      </c>
      <c r="Q507">
        <f t="shared" si="980"/>
        <v>1498246.1291632615</v>
      </c>
      <c r="R507">
        <f t="shared" si="981"/>
        <v>60202086.428843677</v>
      </c>
      <c r="S507">
        <f t="shared" si="982"/>
        <v>602.02086428843677</v>
      </c>
      <c r="T507">
        <f t="shared" si="983"/>
        <v>0.60202086428843682</v>
      </c>
    </row>
    <row r="508" spans="1:20" x14ac:dyDescent="0.25">
      <c r="A508" s="5">
        <v>44085</v>
      </c>
      <c r="B508">
        <v>5.3250000000000002</v>
      </c>
      <c r="C508">
        <v>5.5350000000000001</v>
      </c>
      <c r="D508">
        <v>5.048</v>
      </c>
      <c r="E508">
        <v>5.3419999999999996</v>
      </c>
      <c r="F508">
        <v>2585374.7540000002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0.20739219712525475</v>
      </c>
      <c r="Q508">
        <f t="shared" si="980"/>
        <v>536186.55062422506</v>
      </c>
      <c r="R508">
        <f t="shared" si="981"/>
        <v>58703840.299680412</v>
      </c>
      <c r="S508">
        <f t="shared" si="982"/>
        <v>587.03840299680417</v>
      </c>
      <c r="T508">
        <f t="shared" si="983"/>
        <v>0.58703840299680421</v>
      </c>
    </row>
    <row r="509" spans="1:20" x14ac:dyDescent="0.25">
      <c r="A509" s="5">
        <v>44084</v>
      </c>
      <c r="B509">
        <v>5.3170000000000002</v>
      </c>
      <c r="C509">
        <v>5.5640000000000001</v>
      </c>
      <c r="D509">
        <v>5.1719999999999997</v>
      </c>
      <c r="E509">
        <v>5.3239999999999998</v>
      </c>
      <c r="F509">
        <v>2294705.7119999998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-0.22448979591836735</v>
      </c>
      <c r="Q509">
        <f t="shared" si="980"/>
        <v>-515138.0169795918</v>
      </c>
      <c r="R509">
        <f t="shared" si="981"/>
        <v>58167653.74905619</v>
      </c>
      <c r="S509">
        <f t="shared" si="982"/>
        <v>581.67653749056194</v>
      </c>
      <c r="T509">
        <f t="shared" si="983"/>
        <v>0.58167653749056192</v>
      </c>
    </row>
    <row r="510" spans="1:20" x14ac:dyDescent="0.25">
      <c r="A510" s="5">
        <v>44083</v>
      </c>
      <c r="B510">
        <v>4.9539999999999997</v>
      </c>
      <c r="C510">
        <v>5.4930000000000003</v>
      </c>
      <c r="D510">
        <v>4.8879999999999999</v>
      </c>
      <c r="E510">
        <v>5.32</v>
      </c>
      <c r="F510">
        <v>2075425.3230000001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0.42809917355371929</v>
      </c>
      <c r="Q510">
        <f t="shared" si="980"/>
        <v>888487.86554876098</v>
      </c>
      <c r="R510">
        <f t="shared" si="981"/>
        <v>58682791.76603578</v>
      </c>
      <c r="S510">
        <f t="shared" si="982"/>
        <v>586.8279176603578</v>
      </c>
      <c r="T510">
        <f t="shared" si="983"/>
        <v>0.5868279176603578</v>
      </c>
    </row>
    <row r="511" spans="1:20" x14ac:dyDescent="0.25">
      <c r="A511" s="5">
        <v>44082</v>
      </c>
      <c r="B511">
        <v>5.0540000000000003</v>
      </c>
      <c r="C511">
        <v>5.1619999999999999</v>
      </c>
      <c r="D511">
        <v>4.7450000000000001</v>
      </c>
      <c r="E511">
        <v>4.952</v>
      </c>
      <c r="F511">
        <v>2731561.8130000001</v>
      </c>
      <c r="G511">
        <v>0</v>
      </c>
      <c r="L511" t="s">
        <v>7</v>
      </c>
      <c r="M511" t="s">
        <v>8</v>
      </c>
      <c r="N511" t="s">
        <v>7</v>
      </c>
      <c r="P511">
        <f t="shared" si="979"/>
        <v>-7.194244604316823E-3</v>
      </c>
      <c r="Q511">
        <f t="shared" si="980"/>
        <v>-19651.523834533131</v>
      </c>
      <c r="R511">
        <f t="shared" si="981"/>
        <v>57794303.900487021</v>
      </c>
      <c r="S511">
        <f t="shared" si="982"/>
        <v>577.94303900487023</v>
      </c>
      <c r="T511">
        <f t="shared" si="983"/>
        <v>0.57794303900487021</v>
      </c>
    </row>
    <row r="512" spans="1:20" x14ac:dyDescent="0.25">
      <c r="A512" s="5">
        <v>44081</v>
      </c>
      <c r="B512">
        <v>5.1769999999999996</v>
      </c>
      <c r="C512">
        <v>5.258</v>
      </c>
      <c r="D512">
        <v>4.5709999999999997</v>
      </c>
      <c r="E512">
        <v>5.0529999999999999</v>
      </c>
      <c r="F512">
        <v>3239401.4010000001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0.40320232896652114</v>
      </c>
      <c r="Q512">
        <f t="shared" si="980"/>
        <v>1306134.1893406115</v>
      </c>
      <c r="R512">
        <f t="shared" si="981"/>
        <v>57813955.424321555</v>
      </c>
      <c r="S512">
        <f t="shared" si="982"/>
        <v>578.13955424321557</v>
      </c>
      <c r="T512">
        <f t="shared" si="983"/>
        <v>0.57813955424321561</v>
      </c>
    </row>
    <row r="513" spans="1:20" x14ac:dyDescent="0.25">
      <c r="A513" s="5">
        <v>44080</v>
      </c>
      <c r="B513">
        <v>4.91</v>
      </c>
      <c r="C513">
        <v>5.35</v>
      </c>
      <c r="D513">
        <v>4.4550000000000001</v>
      </c>
      <c r="E513">
        <v>5.1779999999999999</v>
      </c>
      <c r="F513">
        <v>3823014.304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0.61564245810055918</v>
      </c>
      <c r="Q513">
        <f t="shared" si="980"/>
        <v>2353609.9234681586</v>
      </c>
      <c r="R513">
        <f t="shared" si="981"/>
        <v>56507821.234980941</v>
      </c>
      <c r="S513">
        <f t="shared" si="982"/>
        <v>565.07821234980941</v>
      </c>
      <c r="T513">
        <f t="shared" si="983"/>
        <v>0.56507821234980937</v>
      </c>
    </row>
    <row r="514" spans="1:20" x14ac:dyDescent="0.25">
      <c r="A514" s="5">
        <v>44079</v>
      </c>
      <c r="B514">
        <v>5.468</v>
      </c>
      <c r="C514">
        <v>5.6749999999999998</v>
      </c>
      <c r="D514">
        <v>4.5599999999999996</v>
      </c>
      <c r="E514">
        <v>4.9180000000000001</v>
      </c>
      <c r="F514">
        <v>5638140.8720000004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-0.35784753363228616</v>
      </c>
      <c r="Q514">
        <f t="shared" si="980"/>
        <v>-2017594.8053165874</v>
      </c>
      <c r="R514">
        <f t="shared" si="981"/>
        <v>54154211.311512783</v>
      </c>
      <c r="S514">
        <f t="shared" si="982"/>
        <v>541.54211311512779</v>
      </c>
      <c r="T514">
        <f t="shared" si="983"/>
        <v>0.54154211311512779</v>
      </c>
    </row>
    <row r="515" spans="1:20" x14ac:dyDescent="0.25">
      <c r="A515" s="5">
        <v>44078</v>
      </c>
      <c r="B515">
        <v>4.9009999999999998</v>
      </c>
      <c r="C515">
        <v>5.6559999999999997</v>
      </c>
      <c r="D515">
        <v>4.6950000000000003</v>
      </c>
      <c r="E515">
        <v>5.4630000000000001</v>
      </c>
      <c r="F515">
        <v>6457804.7989999996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0.5983350676378778</v>
      </c>
      <c r="Q515">
        <f t="shared" si="980"/>
        <v>3863931.0712018767</v>
      </c>
      <c r="R515">
        <f t="shared" si="981"/>
        <v>56171806.116829373</v>
      </c>
      <c r="S515">
        <f t="shared" si="982"/>
        <v>561.71806116829373</v>
      </c>
      <c r="T515">
        <f t="shared" si="983"/>
        <v>0.5617180611682937</v>
      </c>
    </row>
    <row r="516" spans="1:20" x14ac:dyDescent="0.25">
      <c r="A516" s="5">
        <v>44077</v>
      </c>
      <c r="B516">
        <v>6.6420000000000003</v>
      </c>
      <c r="C516">
        <v>6.74</v>
      </c>
      <c r="D516">
        <v>4.5</v>
      </c>
      <c r="E516">
        <v>4.899</v>
      </c>
      <c r="F516">
        <v>5449700.4359999998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-0.64375000000000004</v>
      </c>
      <c r="Q516">
        <f t="shared" si="980"/>
        <v>-3508244.655675</v>
      </c>
      <c r="R516">
        <f t="shared" si="981"/>
        <v>52307875.045627497</v>
      </c>
      <c r="S516">
        <f t="shared" si="982"/>
        <v>523.07875045627497</v>
      </c>
      <c r="T516">
        <f t="shared" si="983"/>
        <v>0.52307875045627494</v>
      </c>
    </row>
    <row r="517" spans="1:20" x14ac:dyDescent="0.25">
      <c r="A517" s="5">
        <v>44076</v>
      </c>
      <c r="B517">
        <v>7.2240000000000002</v>
      </c>
      <c r="C517">
        <v>7.31</v>
      </c>
      <c r="D517">
        <v>6.3680000000000003</v>
      </c>
      <c r="E517">
        <v>6.6429999999999998</v>
      </c>
      <c r="F517">
        <v>3068338.22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-0.41613588110403466</v>
      </c>
      <c r="Q517">
        <f t="shared" si="980"/>
        <v>-1276845.6287048855</v>
      </c>
      <c r="R517">
        <f t="shared" si="981"/>
        <v>55816119.701302499</v>
      </c>
      <c r="S517">
        <f t="shared" si="982"/>
        <v>558.161197013025</v>
      </c>
      <c r="T517">
        <f t="shared" si="983"/>
        <v>0.55816119701302502</v>
      </c>
    </row>
    <row r="518" spans="1:20" x14ac:dyDescent="0.25">
      <c r="A518" s="5">
        <v>44075</v>
      </c>
      <c r="B518">
        <v>7.2050000000000001</v>
      </c>
      <c r="C518">
        <v>7.6420000000000003</v>
      </c>
      <c r="D518">
        <v>6.9779999999999998</v>
      </c>
      <c r="E518">
        <v>7.218</v>
      </c>
      <c r="F518">
        <v>3142893.7480000001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-0.27710843373493976</v>
      </c>
      <c r="Q518">
        <f t="shared" ref="Q518:Q581" si="985">F518*P518</f>
        <v>-870922.36390361446</v>
      </c>
      <c r="R518">
        <f t="shared" ref="R518:R581" si="986">R519+Q518</f>
        <v>57092965.330007382</v>
      </c>
      <c r="S518">
        <f t="shared" ref="S518:S581" si="987">R518/100000</f>
        <v>570.92965330007382</v>
      </c>
      <c r="T518">
        <f t="shared" ref="T518:T581" si="988">S518/1000</f>
        <v>0.57092965330007384</v>
      </c>
    </row>
    <row r="519" spans="1:20" x14ac:dyDescent="0.25">
      <c r="A519" s="5">
        <v>44074</v>
      </c>
      <c r="B519">
        <v>7.6219999999999999</v>
      </c>
      <c r="C519">
        <v>7.819</v>
      </c>
      <c r="D519">
        <v>7.14</v>
      </c>
      <c r="E519">
        <v>7.2050000000000001</v>
      </c>
      <c r="F519">
        <v>2041474.4779999999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-0.808541973490426</v>
      </c>
      <c r="Q519">
        <f t="shared" si="985"/>
        <v>-1650617.8032724571</v>
      </c>
      <c r="R519">
        <f t="shared" si="986"/>
        <v>57963887.693910994</v>
      </c>
      <c r="S519">
        <f t="shared" si="987"/>
        <v>579.63887693910999</v>
      </c>
      <c r="T519">
        <f t="shared" si="988"/>
        <v>0.57963887693910998</v>
      </c>
    </row>
    <row r="520" spans="1:20" x14ac:dyDescent="0.25">
      <c r="A520" s="5">
        <v>44073</v>
      </c>
      <c r="B520">
        <v>7.27</v>
      </c>
      <c r="C520">
        <v>7.9249999999999998</v>
      </c>
      <c r="D520">
        <v>7.2309999999999999</v>
      </c>
      <c r="E520">
        <v>7.6210000000000004</v>
      </c>
      <c r="F520">
        <v>2993408.253</v>
      </c>
      <c r="G520">
        <v>0</v>
      </c>
      <c r="L520" t="s">
        <v>7</v>
      </c>
      <c r="M520" t="s">
        <v>7</v>
      </c>
      <c r="N520" t="s">
        <v>8</v>
      </c>
      <c r="P520">
        <f t="shared" si="984"/>
        <v>0.12391930835735042</v>
      </c>
      <c r="Q520">
        <f t="shared" si="985"/>
        <v>370941.0803429446</v>
      </c>
      <c r="R520">
        <f t="shared" si="986"/>
        <v>59614505.49718345</v>
      </c>
      <c r="S520">
        <f t="shared" si="987"/>
        <v>596.1450549718345</v>
      </c>
      <c r="T520">
        <f t="shared" si="988"/>
        <v>0.59614505497183445</v>
      </c>
    </row>
    <row r="521" spans="1:20" x14ac:dyDescent="0.25">
      <c r="A521" s="5">
        <v>44072</v>
      </c>
      <c r="B521">
        <v>7.5629999999999997</v>
      </c>
      <c r="C521">
        <v>7.6189999999999998</v>
      </c>
      <c r="D521">
        <v>7.2679999999999998</v>
      </c>
      <c r="E521">
        <v>7.27</v>
      </c>
      <c r="F521">
        <v>1977735.172</v>
      </c>
      <c r="G521">
        <v>0</v>
      </c>
      <c r="L521" t="s">
        <v>7</v>
      </c>
      <c r="M521" t="s">
        <v>7</v>
      </c>
      <c r="N521" t="s">
        <v>8</v>
      </c>
      <c r="P521">
        <f t="shared" si="984"/>
        <v>-0.9886039886039899</v>
      </c>
      <c r="Q521">
        <f t="shared" si="985"/>
        <v>-1955196.879441598</v>
      </c>
      <c r="R521">
        <f t="shared" si="986"/>
        <v>59243564.416840509</v>
      </c>
      <c r="S521">
        <f t="shared" si="987"/>
        <v>592.43564416840513</v>
      </c>
      <c r="T521">
        <f t="shared" si="988"/>
        <v>0.59243564416840511</v>
      </c>
    </row>
    <row r="522" spans="1:20" x14ac:dyDescent="0.25">
      <c r="A522" s="5">
        <v>44071</v>
      </c>
      <c r="B522">
        <v>7.2910000000000004</v>
      </c>
      <c r="C522">
        <v>7.8440000000000003</v>
      </c>
      <c r="D522">
        <v>7.1230000000000002</v>
      </c>
      <c r="E522">
        <v>7.5590000000000002</v>
      </c>
      <c r="F522">
        <v>3227902.2230000002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0.20943134535367516</v>
      </c>
      <c r="Q522">
        <f t="shared" si="985"/>
        <v>676023.90523300879</v>
      </c>
      <c r="R522">
        <f t="shared" si="986"/>
        <v>61198761.296282105</v>
      </c>
      <c r="S522">
        <f t="shared" si="987"/>
        <v>611.987612962821</v>
      </c>
      <c r="T522">
        <f t="shared" si="988"/>
        <v>0.611987612962821</v>
      </c>
    </row>
    <row r="523" spans="1:20" x14ac:dyDescent="0.25">
      <c r="A523" s="5">
        <v>44070</v>
      </c>
      <c r="B523">
        <v>7.7069999999999999</v>
      </c>
      <c r="C523">
        <v>7.923</v>
      </c>
      <c r="D523">
        <v>6.8940000000000001</v>
      </c>
      <c r="E523">
        <v>7.2910000000000004</v>
      </c>
      <c r="F523">
        <v>5919743.6150000002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-0.22837706511175845</v>
      </c>
      <c r="Q523">
        <f t="shared" si="985"/>
        <v>-1351933.6730077714</v>
      </c>
      <c r="R523">
        <f t="shared" si="986"/>
        <v>60522737.391049094</v>
      </c>
      <c r="S523">
        <f t="shared" si="987"/>
        <v>605.227373910491</v>
      </c>
      <c r="T523">
        <f t="shared" si="988"/>
        <v>0.60522737391049097</v>
      </c>
    </row>
    <row r="524" spans="1:20" x14ac:dyDescent="0.25">
      <c r="A524" s="5">
        <v>44069</v>
      </c>
      <c r="B524">
        <v>8.3770000000000007</v>
      </c>
      <c r="C524">
        <v>8.6530000000000005</v>
      </c>
      <c r="D524">
        <v>7.6420000000000003</v>
      </c>
      <c r="E524">
        <v>7.7080000000000002</v>
      </c>
      <c r="F524">
        <v>6473787.6890000002</v>
      </c>
      <c r="G524">
        <v>0</v>
      </c>
      <c r="L524" t="s">
        <v>7</v>
      </c>
      <c r="M524" t="s">
        <v>8</v>
      </c>
      <c r="N524" t="s">
        <v>8</v>
      </c>
      <c r="P524">
        <f t="shared" si="984"/>
        <v>-0.86943620178041581</v>
      </c>
      <c r="Q524">
        <f t="shared" si="985"/>
        <v>-5628545.3794569755</v>
      </c>
      <c r="R524">
        <f t="shared" si="986"/>
        <v>61874671.064056866</v>
      </c>
      <c r="S524">
        <f t="shared" si="987"/>
        <v>618.74671064056861</v>
      </c>
      <c r="T524">
        <f t="shared" si="988"/>
        <v>0.61874671064056863</v>
      </c>
    </row>
    <row r="525" spans="1:20" x14ac:dyDescent="0.25">
      <c r="A525" s="5">
        <v>44068</v>
      </c>
      <c r="B525">
        <v>8.2110000000000003</v>
      </c>
      <c r="C525">
        <v>8.8770000000000007</v>
      </c>
      <c r="D525">
        <v>7.7859999999999996</v>
      </c>
      <c r="E525">
        <v>8.3780000000000001</v>
      </c>
      <c r="F525">
        <v>10852903.901000001</v>
      </c>
      <c r="G525">
        <v>0</v>
      </c>
      <c r="L525" t="s">
        <v>8</v>
      </c>
      <c r="M525" t="s">
        <v>8</v>
      </c>
      <c r="N525" t="s">
        <v>8</v>
      </c>
      <c r="P525">
        <f t="shared" si="984"/>
        <v>8.5242896425297782E-2</v>
      </c>
      <c r="Q525">
        <f t="shared" si="985"/>
        <v>925132.96314665326</v>
      </c>
      <c r="R525">
        <f t="shared" si="986"/>
        <v>67503216.44351384</v>
      </c>
      <c r="S525">
        <f t="shared" si="987"/>
        <v>675.03216443513838</v>
      </c>
      <c r="T525">
        <f t="shared" si="988"/>
        <v>0.67503216443513836</v>
      </c>
    </row>
    <row r="526" spans="1:20" x14ac:dyDescent="0.25">
      <c r="A526" s="5">
        <v>44067</v>
      </c>
      <c r="B526">
        <v>8.5350000000000001</v>
      </c>
      <c r="C526">
        <v>8.56</v>
      </c>
      <c r="D526">
        <v>7.6680000000000001</v>
      </c>
      <c r="E526">
        <v>8.2110000000000003</v>
      </c>
      <c r="F526">
        <v>8474992.6549999993</v>
      </c>
      <c r="G526">
        <v>0</v>
      </c>
      <c r="L526" t="s">
        <v>7</v>
      </c>
      <c r="M526" t="s">
        <v>8</v>
      </c>
      <c r="N526" t="s">
        <v>8</v>
      </c>
      <c r="P526">
        <f t="shared" si="984"/>
        <v>0.21748878923766801</v>
      </c>
      <c r="Q526">
        <f t="shared" si="985"/>
        <v>1843215.8913340792</v>
      </c>
      <c r="R526">
        <f t="shared" si="986"/>
        <v>66578083.480367184</v>
      </c>
      <c r="S526">
        <f t="shared" si="987"/>
        <v>665.78083480367184</v>
      </c>
      <c r="T526">
        <f t="shared" si="988"/>
        <v>0.66578083480367178</v>
      </c>
    </row>
    <row r="527" spans="1:20" x14ac:dyDescent="0.25">
      <c r="A527" s="5">
        <v>44066</v>
      </c>
      <c r="B527">
        <v>6.4109999999999996</v>
      </c>
      <c r="C527">
        <v>8.6020000000000003</v>
      </c>
      <c r="D527">
        <v>6.34</v>
      </c>
      <c r="E527">
        <v>8.532</v>
      </c>
      <c r="F527">
        <v>15687286.543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0.93810786914235167</v>
      </c>
      <c r="Q527">
        <f t="shared" si="985"/>
        <v>14716366.951479217</v>
      </c>
      <c r="R527">
        <f t="shared" si="986"/>
        <v>64734867.589033104</v>
      </c>
      <c r="S527">
        <f t="shared" si="987"/>
        <v>647.34867589033104</v>
      </c>
      <c r="T527">
        <f t="shared" si="988"/>
        <v>0.64734867589033107</v>
      </c>
    </row>
    <row r="528" spans="1:20" x14ac:dyDescent="0.25">
      <c r="A528" s="5">
        <v>44065</v>
      </c>
      <c r="B528">
        <v>5.6109999999999998</v>
      </c>
      <c r="C528">
        <v>6.5</v>
      </c>
      <c r="D528">
        <v>5.3979999999999997</v>
      </c>
      <c r="E528">
        <v>6.4109999999999996</v>
      </c>
      <c r="F528">
        <v>4798512.5180000002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0.83847549909255825</v>
      </c>
      <c r="Q528">
        <f t="shared" si="985"/>
        <v>4023435.1784319384</v>
      </c>
      <c r="R528">
        <f t="shared" si="986"/>
        <v>50018500.637553886</v>
      </c>
      <c r="S528">
        <f t="shared" si="987"/>
        <v>500.18500637553888</v>
      </c>
      <c r="T528">
        <f t="shared" si="988"/>
        <v>0.50018500637553887</v>
      </c>
    </row>
    <row r="529" spans="1:20" x14ac:dyDescent="0.25">
      <c r="A529" s="5">
        <v>44064</v>
      </c>
      <c r="B529">
        <v>6.2990000000000004</v>
      </c>
      <c r="C529">
        <v>6.6</v>
      </c>
      <c r="D529">
        <v>5.5960000000000001</v>
      </c>
      <c r="E529">
        <v>5.6059999999999999</v>
      </c>
      <c r="F529">
        <v>4055827.983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-0.98007968127490086</v>
      </c>
      <c r="Q529">
        <f t="shared" si="985"/>
        <v>-3975034.5968844639</v>
      </c>
      <c r="R529">
        <f t="shared" si="986"/>
        <v>45995065.45912195</v>
      </c>
      <c r="S529">
        <f t="shared" si="987"/>
        <v>459.95065459121952</v>
      </c>
      <c r="T529">
        <f t="shared" si="988"/>
        <v>0.45995065459121953</v>
      </c>
    </row>
    <row r="530" spans="1:20" x14ac:dyDescent="0.25">
      <c r="A530" s="5">
        <v>44063</v>
      </c>
      <c r="B530">
        <v>5.649</v>
      </c>
      <c r="C530">
        <v>6.3730000000000002</v>
      </c>
      <c r="D530">
        <v>5.5389999999999997</v>
      </c>
      <c r="E530">
        <v>6.2969999999999997</v>
      </c>
      <c r="F530">
        <v>3608691.0589999999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0.81774580335731306</v>
      </c>
      <c r="Q530">
        <f t="shared" si="985"/>
        <v>2950991.9691103077</v>
      </c>
      <c r="R530">
        <f t="shared" si="986"/>
        <v>49970100.056006417</v>
      </c>
      <c r="S530">
        <f t="shared" si="987"/>
        <v>499.70100056006419</v>
      </c>
      <c r="T530">
        <f t="shared" si="988"/>
        <v>0.49970100056006417</v>
      </c>
    </row>
    <row r="531" spans="1:20" x14ac:dyDescent="0.25">
      <c r="A531" s="5">
        <v>44062</v>
      </c>
      <c r="B531">
        <v>5.8250000000000002</v>
      </c>
      <c r="C531">
        <v>5.9340000000000002</v>
      </c>
      <c r="D531">
        <v>5.3</v>
      </c>
      <c r="E531">
        <v>5.65</v>
      </c>
      <c r="F531">
        <v>2780331.3319999999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0.10410094637224084</v>
      </c>
      <c r="Q531">
        <f t="shared" si="985"/>
        <v>289435.12288959289</v>
      </c>
      <c r="R531">
        <f t="shared" si="986"/>
        <v>47019108.086896107</v>
      </c>
      <c r="S531">
        <f t="shared" si="987"/>
        <v>470.19108086896108</v>
      </c>
      <c r="T531">
        <f t="shared" si="988"/>
        <v>0.47019108086896105</v>
      </c>
    </row>
    <row r="532" spans="1:20" x14ac:dyDescent="0.25">
      <c r="A532" s="5">
        <v>44061</v>
      </c>
      <c r="B532">
        <v>5.9009999999999998</v>
      </c>
      <c r="C532">
        <v>6.16</v>
      </c>
      <c r="D532">
        <v>5.5149999999999997</v>
      </c>
      <c r="E532">
        <v>5.8259999999999996</v>
      </c>
      <c r="F532">
        <v>2805280.7310000001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-3.5658914728683037E-2</v>
      </c>
      <c r="Q532">
        <f t="shared" si="985"/>
        <v>-100033.26637674663</v>
      </c>
      <c r="R532">
        <f t="shared" si="986"/>
        <v>46729672.964006513</v>
      </c>
      <c r="S532">
        <f t="shared" si="987"/>
        <v>467.29672964006511</v>
      </c>
      <c r="T532">
        <f t="shared" si="988"/>
        <v>0.46729672964006513</v>
      </c>
    </row>
    <row r="533" spans="1:20" x14ac:dyDescent="0.25">
      <c r="A533" s="5">
        <v>44060</v>
      </c>
      <c r="B533">
        <v>6.2460000000000004</v>
      </c>
      <c r="C533">
        <v>6.3179999999999996</v>
      </c>
      <c r="D533">
        <v>5.86</v>
      </c>
      <c r="E533">
        <v>5.907</v>
      </c>
      <c r="F533">
        <v>2725418.9939999999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-0.79475982532751188</v>
      </c>
      <c r="Q533">
        <f t="shared" si="985"/>
        <v>-2166053.523615723</v>
      </c>
      <c r="R533">
        <f t="shared" si="986"/>
        <v>46829706.230383262</v>
      </c>
      <c r="S533">
        <f t="shared" si="987"/>
        <v>468.2970623038326</v>
      </c>
      <c r="T533">
        <f t="shared" si="988"/>
        <v>0.46829706230383261</v>
      </c>
    </row>
    <row r="534" spans="1:20" x14ac:dyDescent="0.25">
      <c r="A534" s="5">
        <v>44059</v>
      </c>
      <c r="B534">
        <v>6.077</v>
      </c>
      <c r="C534">
        <v>6.391</v>
      </c>
      <c r="D534">
        <v>5.7809999999999997</v>
      </c>
      <c r="E534">
        <v>6.2430000000000003</v>
      </c>
      <c r="F534">
        <v>3149876.4670000002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0.514754098360657</v>
      </c>
      <c r="Q534">
        <f t="shared" si="985"/>
        <v>1621411.8207180367</v>
      </c>
      <c r="R534">
        <f t="shared" si="986"/>
        <v>48995759.753998987</v>
      </c>
      <c r="S534">
        <f t="shared" si="987"/>
        <v>489.95759753998988</v>
      </c>
      <c r="T534">
        <f t="shared" si="988"/>
        <v>0.48995759753998985</v>
      </c>
    </row>
    <row r="535" spans="1:20" x14ac:dyDescent="0.25">
      <c r="A535" s="5">
        <v>44058</v>
      </c>
      <c r="B535">
        <v>6.101</v>
      </c>
      <c r="C535">
        <v>6.35</v>
      </c>
      <c r="D535">
        <v>5.8949999999999996</v>
      </c>
      <c r="E535">
        <v>6.077</v>
      </c>
      <c r="F535">
        <v>2639329.3879999998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-0.19999999999999843</v>
      </c>
      <c r="Q535">
        <f t="shared" si="985"/>
        <v>-527865.87759999582</v>
      </c>
      <c r="R535">
        <f t="shared" si="986"/>
        <v>47374347.933280952</v>
      </c>
      <c r="S535">
        <f t="shared" si="987"/>
        <v>473.7434793328095</v>
      </c>
      <c r="T535">
        <f t="shared" si="988"/>
        <v>0.47374347933280953</v>
      </c>
    </row>
    <row r="536" spans="1:20" x14ac:dyDescent="0.25">
      <c r="A536" s="5">
        <v>44057</v>
      </c>
      <c r="B536">
        <v>6.0830000000000002</v>
      </c>
      <c r="C536">
        <v>6.6040000000000001</v>
      </c>
      <c r="D536">
        <v>5.9160000000000004</v>
      </c>
      <c r="E536">
        <v>6.0960000000000001</v>
      </c>
      <c r="F536">
        <v>5881838.182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-0.47674418604651225</v>
      </c>
      <c r="Q536">
        <f t="shared" si="985"/>
        <v>-2804132.1565348874</v>
      </c>
      <c r="R536">
        <f t="shared" si="986"/>
        <v>47902213.810880952</v>
      </c>
      <c r="S536">
        <f t="shared" si="987"/>
        <v>479.02213810880954</v>
      </c>
      <c r="T536">
        <f t="shared" si="988"/>
        <v>0.47902213810880956</v>
      </c>
    </row>
    <row r="537" spans="1:20" x14ac:dyDescent="0.25">
      <c r="A537" s="5">
        <v>44056</v>
      </c>
      <c r="B537">
        <v>5.9050000000000002</v>
      </c>
      <c r="C537">
        <v>6.57</v>
      </c>
      <c r="D537">
        <v>5.4580000000000002</v>
      </c>
      <c r="E537">
        <v>6.085</v>
      </c>
      <c r="F537">
        <v>7731574.4809999997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0.12769784172661822</v>
      </c>
      <c r="Q537">
        <f t="shared" si="985"/>
        <v>987305.37437229836</v>
      </c>
      <c r="R537">
        <f t="shared" si="986"/>
        <v>50706345.967415839</v>
      </c>
      <c r="S537">
        <f t="shared" si="987"/>
        <v>507.06345967415837</v>
      </c>
      <c r="T537">
        <f t="shared" si="988"/>
        <v>0.50706345967415833</v>
      </c>
    </row>
    <row r="538" spans="1:20" x14ac:dyDescent="0.25">
      <c r="A538" s="5">
        <v>44055</v>
      </c>
      <c r="B538">
        <v>4.9160000000000004</v>
      </c>
      <c r="C538">
        <v>6.04</v>
      </c>
      <c r="D538">
        <v>4.8579999999999997</v>
      </c>
      <c r="E538">
        <v>5.9020000000000001</v>
      </c>
      <c r="F538">
        <v>6106299.1809999999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0.76649746192893431</v>
      </c>
      <c r="Q538">
        <f t="shared" si="985"/>
        <v>4680462.8240152299</v>
      </c>
      <c r="R538">
        <f t="shared" si="986"/>
        <v>49719040.593043543</v>
      </c>
      <c r="S538">
        <f t="shared" si="987"/>
        <v>497.19040593043542</v>
      </c>
      <c r="T538">
        <f t="shared" si="988"/>
        <v>0.4971904059304354</v>
      </c>
    </row>
    <row r="539" spans="1:20" x14ac:dyDescent="0.25">
      <c r="A539" s="5">
        <v>44054</v>
      </c>
      <c r="B539">
        <v>5.47</v>
      </c>
      <c r="C539">
        <v>5.5759999999999996</v>
      </c>
      <c r="D539">
        <v>4.6890000000000001</v>
      </c>
      <c r="E539">
        <v>4.9160000000000004</v>
      </c>
      <c r="F539">
        <v>4216164.858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-0.48816234498308814</v>
      </c>
      <c r="Q539">
        <f t="shared" si="985"/>
        <v>-2058172.9239165687</v>
      </c>
      <c r="R539">
        <f t="shared" si="986"/>
        <v>45038577.769028313</v>
      </c>
      <c r="S539">
        <f t="shared" si="987"/>
        <v>450.38577769028313</v>
      </c>
      <c r="T539">
        <f t="shared" si="988"/>
        <v>0.45038577769028315</v>
      </c>
    </row>
    <row r="540" spans="1:20" x14ac:dyDescent="0.25">
      <c r="A540" s="5">
        <v>44053</v>
      </c>
      <c r="B540">
        <v>5.2729999999999997</v>
      </c>
      <c r="C540">
        <v>5.8739999999999997</v>
      </c>
      <c r="D540">
        <v>5.0919999999999996</v>
      </c>
      <c r="E540">
        <v>5.4740000000000002</v>
      </c>
      <c r="F540">
        <v>7062869.3710000003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-2.3017902813297832E-2</v>
      </c>
      <c r="Q540">
        <f t="shared" si="985"/>
        <v>-162572.44076469599</v>
      </c>
      <c r="R540">
        <f t="shared" si="986"/>
        <v>47096750.692944884</v>
      </c>
      <c r="S540">
        <f t="shared" si="987"/>
        <v>470.96750692944886</v>
      </c>
      <c r="T540">
        <f t="shared" si="988"/>
        <v>0.47096750692944889</v>
      </c>
    </row>
    <row r="541" spans="1:20" x14ac:dyDescent="0.25">
      <c r="A541" s="5">
        <v>44052</v>
      </c>
      <c r="B541">
        <v>4.4320000000000004</v>
      </c>
      <c r="C541">
        <v>5.44</v>
      </c>
      <c r="D541">
        <v>4.3</v>
      </c>
      <c r="E541">
        <v>5.2729999999999997</v>
      </c>
      <c r="F541">
        <v>8204217.0199999996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0.70701754385964799</v>
      </c>
      <c r="Q541">
        <f t="shared" si="985"/>
        <v>5800525.3667719206</v>
      </c>
      <c r="R541">
        <f t="shared" si="986"/>
        <v>47259323.13370958</v>
      </c>
      <c r="S541">
        <f t="shared" si="987"/>
        <v>472.5932313370958</v>
      </c>
      <c r="T541">
        <f t="shared" si="988"/>
        <v>0.4725932313370958</v>
      </c>
    </row>
    <row r="542" spans="1:20" x14ac:dyDescent="0.25">
      <c r="A542" s="5">
        <v>44051</v>
      </c>
      <c r="B542">
        <v>4.0140000000000002</v>
      </c>
      <c r="C542">
        <v>4.4420000000000002</v>
      </c>
      <c r="D542">
        <v>3.9729999999999999</v>
      </c>
      <c r="E542">
        <v>4.4260000000000002</v>
      </c>
      <c r="F542">
        <v>2038615.6850000001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0.93176972281449888</v>
      </c>
      <c r="Q542">
        <f t="shared" si="985"/>
        <v>1899520.3717377398</v>
      </c>
      <c r="R542">
        <f t="shared" si="986"/>
        <v>41458797.766937658</v>
      </c>
      <c r="S542">
        <f t="shared" si="987"/>
        <v>414.58797766937658</v>
      </c>
      <c r="T542">
        <f t="shared" si="988"/>
        <v>0.41458797766937661</v>
      </c>
    </row>
    <row r="543" spans="1:20" x14ac:dyDescent="0.25">
      <c r="A543" s="5">
        <v>44050</v>
      </c>
      <c r="B543">
        <v>4.181</v>
      </c>
      <c r="C543">
        <v>4.2009999999999996</v>
      </c>
      <c r="D543">
        <v>3.8639999999999999</v>
      </c>
      <c r="E543">
        <v>4.0149999999999997</v>
      </c>
      <c r="F543">
        <v>2746768.3530000001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-0.10385756676557914</v>
      </c>
      <c r="Q543">
        <f t="shared" si="985"/>
        <v>-285272.67761127738</v>
      </c>
      <c r="R543">
        <f t="shared" si="986"/>
        <v>39559277.395199917</v>
      </c>
      <c r="S543">
        <f t="shared" si="987"/>
        <v>395.59277395199916</v>
      </c>
      <c r="T543">
        <f t="shared" si="988"/>
        <v>0.39559277395199915</v>
      </c>
    </row>
    <row r="544" spans="1:20" x14ac:dyDescent="0.25">
      <c r="A544" s="5">
        <v>44049</v>
      </c>
      <c r="B544">
        <v>4.1500000000000004</v>
      </c>
      <c r="C544">
        <v>4.2560000000000002</v>
      </c>
      <c r="D544">
        <v>4.1120000000000001</v>
      </c>
      <c r="E544">
        <v>4.1719999999999997</v>
      </c>
      <c r="F544">
        <v>2204768.8990000002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-0.16666666666667285</v>
      </c>
      <c r="Q544">
        <f t="shared" si="985"/>
        <v>-367461.48316668032</v>
      </c>
      <c r="R544">
        <f t="shared" si="986"/>
        <v>39844550.072811194</v>
      </c>
      <c r="S544">
        <f t="shared" si="987"/>
        <v>398.44550072811194</v>
      </c>
      <c r="T544">
        <f t="shared" si="988"/>
        <v>0.39844550072811191</v>
      </c>
    </row>
    <row r="545" spans="1:20" x14ac:dyDescent="0.25">
      <c r="A545" s="5">
        <v>44048</v>
      </c>
      <c r="B545">
        <v>4.0190000000000001</v>
      </c>
      <c r="C545">
        <v>4.2140000000000004</v>
      </c>
      <c r="D545">
        <v>3.9449999999999998</v>
      </c>
      <c r="E545">
        <v>4.1440000000000001</v>
      </c>
      <c r="F545">
        <v>2658420.926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0.4795539033457239</v>
      </c>
      <c r="Q545">
        <f t="shared" si="985"/>
        <v>1274856.1317992539</v>
      </c>
      <c r="R545">
        <f t="shared" si="986"/>
        <v>40212011.555977874</v>
      </c>
      <c r="S545">
        <f t="shared" si="987"/>
        <v>402.12011555977875</v>
      </c>
      <c r="T545">
        <f t="shared" si="988"/>
        <v>0.40212011555977878</v>
      </c>
    </row>
    <row r="546" spans="1:20" x14ac:dyDescent="0.25">
      <c r="A546" s="5">
        <v>44047</v>
      </c>
      <c r="B546">
        <v>3.82</v>
      </c>
      <c r="C546">
        <v>4.0549999999999997</v>
      </c>
      <c r="D546">
        <v>3.8170000000000002</v>
      </c>
      <c r="E546">
        <v>4.0209999999999999</v>
      </c>
      <c r="F546">
        <v>2285392.4909999999</v>
      </c>
      <c r="G546">
        <v>0</v>
      </c>
      <c r="L546" t="s">
        <v>7</v>
      </c>
      <c r="M546" t="s">
        <v>7</v>
      </c>
      <c r="N546" t="s">
        <v>8</v>
      </c>
      <c r="P546">
        <f t="shared" si="984"/>
        <v>0.7142857142857153</v>
      </c>
      <c r="Q546">
        <f t="shared" si="985"/>
        <v>1632423.2078571452</v>
      </c>
      <c r="R546">
        <f t="shared" si="986"/>
        <v>38937155.424178623</v>
      </c>
      <c r="S546">
        <f t="shared" si="987"/>
        <v>389.37155424178621</v>
      </c>
      <c r="T546">
        <f t="shared" si="988"/>
        <v>0.38937155424178621</v>
      </c>
    </row>
    <row r="547" spans="1:20" x14ac:dyDescent="0.25">
      <c r="A547" s="5">
        <v>44046</v>
      </c>
      <c r="B547">
        <v>3.9060000000000001</v>
      </c>
      <c r="C547">
        <v>4.0780000000000003</v>
      </c>
      <c r="D547">
        <v>3.7919999999999998</v>
      </c>
      <c r="E547">
        <v>3.82</v>
      </c>
      <c r="F547">
        <v>3620416.9109999998</v>
      </c>
      <c r="G547">
        <v>0</v>
      </c>
      <c r="L547" t="s">
        <v>7</v>
      </c>
      <c r="M547" t="s">
        <v>7</v>
      </c>
      <c r="N547" t="s">
        <v>8</v>
      </c>
      <c r="P547">
        <f t="shared" si="984"/>
        <v>-0.80419580419580439</v>
      </c>
      <c r="Q547">
        <f t="shared" si="985"/>
        <v>-2911524.0892657349</v>
      </c>
      <c r="R547">
        <f t="shared" si="986"/>
        <v>37304732.216321476</v>
      </c>
      <c r="S547">
        <f t="shared" si="987"/>
        <v>373.04732216321474</v>
      </c>
      <c r="T547">
        <f t="shared" si="988"/>
        <v>0.37304732216321473</v>
      </c>
    </row>
    <row r="548" spans="1:20" x14ac:dyDescent="0.25">
      <c r="A548" s="5">
        <v>44045</v>
      </c>
      <c r="B548">
        <v>4.0839999999999996</v>
      </c>
      <c r="C548">
        <v>4.2350000000000003</v>
      </c>
      <c r="D548">
        <v>3.4</v>
      </c>
      <c r="E548">
        <v>3.9119999999999999</v>
      </c>
      <c r="F548">
        <v>3191640.2340000002</v>
      </c>
      <c r="G548">
        <v>0</v>
      </c>
      <c r="L548" t="s">
        <v>8</v>
      </c>
      <c r="M548" t="s">
        <v>7</v>
      </c>
      <c r="N548" t="s">
        <v>8</v>
      </c>
      <c r="P548">
        <f t="shared" si="984"/>
        <v>0.22634730538922099</v>
      </c>
      <c r="Q548">
        <f t="shared" si="985"/>
        <v>722419.16673772282</v>
      </c>
      <c r="R548">
        <f t="shared" si="986"/>
        <v>40216256.30558721</v>
      </c>
      <c r="S548">
        <f t="shared" si="987"/>
        <v>402.16256305587211</v>
      </c>
      <c r="T548">
        <f t="shared" si="988"/>
        <v>0.40216256305587211</v>
      </c>
    </row>
    <row r="549" spans="1:20" x14ac:dyDescent="0.25">
      <c r="A549" s="5">
        <v>44044</v>
      </c>
      <c r="B549">
        <v>3.7949999999999999</v>
      </c>
      <c r="C549">
        <v>4.1369999999999996</v>
      </c>
      <c r="D549">
        <v>3.7909999999999999</v>
      </c>
      <c r="E549">
        <v>4.0839999999999996</v>
      </c>
      <c r="F549">
        <v>3787834.6630000002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0.69364161849710992</v>
      </c>
      <c r="Q549">
        <f t="shared" si="985"/>
        <v>2627399.7662427751</v>
      </c>
      <c r="R549">
        <f t="shared" si="986"/>
        <v>39493837.138849489</v>
      </c>
      <c r="S549">
        <f t="shared" si="987"/>
        <v>394.93837138849489</v>
      </c>
      <c r="T549">
        <f t="shared" si="988"/>
        <v>0.39493837138849491</v>
      </c>
    </row>
    <row r="550" spans="1:20" x14ac:dyDescent="0.25">
      <c r="A550" s="5">
        <v>44043</v>
      </c>
      <c r="B550">
        <v>3.7109999999999999</v>
      </c>
      <c r="C550">
        <v>3.84</v>
      </c>
      <c r="D550">
        <v>3.6960000000000002</v>
      </c>
      <c r="E550">
        <v>3.7930000000000001</v>
      </c>
      <c r="F550">
        <v>1286324.007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0.34722222222222482</v>
      </c>
      <c r="Q550">
        <f t="shared" si="985"/>
        <v>446640.28020833666</v>
      </c>
      <c r="R550">
        <f t="shared" si="986"/>
        <v>36866437.372606717</v>
      </c>
      <c r="S550">
        <f t="shared" si="987"/>
        <v>368.6643737260672</v>
      </c>
      <c r="T550">
        <f t="shared" si="988"/>
        <v>0.3686643737260672</v>
      </c>
    </row>
    <row r="551" spans="1:20" x14ac:dyDescent="0.25">
      <c r="A551" s="5">
        <v>44042</v>
      </c>
      <c r="B551">
        <v>3.6339999999999999</v>
      </c>
      <c r="C551">
        <v>3.7629999999999999</v>
      </c>
      <c r="D551">
        <v>3.58</v>
      </c>
      <c r="E551">
        <v>3.7029999999999998</v>
      </c>
      <c r="F551">
        <v>1385427.9450000001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0.34426229508196604</v>
      </c>
      <c r="Q551">
        <f t="shared" si="985"/>
        <v>476950.60401639185</v>
      </c>
      <c r="R551">
        <f t="shared" si="986"/>
        <v>36419797.092398383</v>
      </c>
      <c r="S551">
        <f t="shared" si="987"/>
        <v>364.1979709239838</v>
      </c>
      <c r="T551">
        <f t="shared" si="988"/>
        <v>0.36419797092398382</v>
      </c>
    </row>
    <row r="552" spans="1:20" x14ac:dyDescent="0.25">
      <c r="A552" s="5">
        <v>44041</v>
      </c>
      <c r="B552">
        <v>3.7480000000000002</v>
      </c>
      <c r="C552">
        <v>3.86</v>
      </c>
      <c r="D552">
        <v>3.609</v>
      </c>
      <c r="E552">
        <v>3.6339999999999999</v>
      </c>
      <c r="F552">
        <v>1882282.8929999999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-0.80079681274900461</v>
      </c>
      <c r="Q552">
        <f t="shared" si="985"/>
        <v>-1507326.1414063757</v>
      </c>
      <c r="R552">
        <f t="shared" si="986"/>
        <v>35942846.488381989</v>
      </c>
      <c r="S552">
        <f t="shared" si="987"/>
        <v>359.42846488381991</v>
      </c>
      <c r="T552">
        <f t="shared" si="988"/>
        <v>0.35942846488381991</v>
      </c>
    </row>
    <row r="553" spans="1:20" x14ac:dyDescent="0.25">
      <c r="A553" s="5">
        <v>44040</v>
      </c>
      <c r="B553">
        <v>3.593</v>
      </c>
      <c r="C553">
        <v>3.7919999999999998</v>
      </c>
      <c r="D553">
        <v>3.552</v>
      </c>
      <c r="E553">
        <v>3.7509999999999999</v>
      </c>
      <c r="F553">
        <v>2011812.4879999999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0.65833333333333366</v>
      </c>
      <c r="Q553">
        <f t="shared" si="985"/>
        <v>1324443.2212666674</v>
      </c>
      <c r="R553">
        <f t="shared" si="986"/>
        <v>37450172.629788361</v>
      </c>
      <c r="S553">
        <f t="shared" si="987"/>
        <v>374.50172629788364</v>
      </c>
      <c r="T553">
        <f t="shared" si="988"/>
        <v>0.37450172629788364</v>
      </c>
    </row>
    <row r="554" spans="1:20" x14ac:dyDescent="0.25">
      <c r="A554" s="5">
        <v>44039</v>
      </c>
      <c r="B554">
        <v>3.8109999999999999</v>
      </c>
      <c r="C554">
        <v>3.92</v>
      </c>
      <c r="D554">
        <v>3.2879999999999998</v>
      </c>
      <c r="E554">
        <v>3.593</v>
      </c>
      <c r="F554">
        <v>5436412.5959999999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-3.4810126582278153E-2</v>
      </c>
      <c r="Q554">
        <f t="shared" si="985"/>
        <v>-189242.21062025137</v>
      </c>
      <c r="R554">
        <f t="shared" si="986"/>
        <v>36125729.408521697</v>
      </c>
      <c r="S554">
        <f t="shared" si="987"/>
        <v>361.25729408521698</v>
      </c>
      <c r="T554">
        <f t="shared" si="988"/>
        <v>0.36125729408521701</v>
      </c>
    </row>
    <row r="555" spans="1:20" x14ac:dyDescent="0.25">
      <c r="A555" s="5">
        <v>44038</v>
      </c>
      <c r="B555">
        <v>3.92</v>
      </c>
      <c r="C555">
        <v>3.92</v>
      </c>
      <c r="D555">
        <v>3.6890000000000001</v>
      </c>
      <c r="E555">
        <v>3.81</v>
      </c>
      <c r="F555">
        <v>2002982.7390000001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4.7619047619048172E-2</v>
      </c>
      <c r="Q555">
        <f t="shared" si="985"/>
        <v>95380.130428572535</v>
      </c>
      <c r="R555">
        <f t="shared" si="986"/>
        <v>36314971.619141951</v>
      </c>
      <c r="S555">
        <f t="shared" si="987"/>
        <v>363.14971619141949</v>
      </c>
      <c r="T555">
        <f t="shared" si="988"/>
        <v>0.3631497161914195</v>
      </c>
    </row>
    <row r="556" spans="1:20" x14ac:dyDescent="0.25">
      <c r="A556" s="5">
        <v>44037</v>
      </c>
      <c r="B556">
        <v>3.8239999999999998</v>
      </c>
      <c r="C556">
        <v>3.96</v>
      </c>
      <c r="D556">
        <v>3.774</v>
      </c>
      <c r="E556">
        <v>3.9169999999999998</v>
      </c>
      <c r="F556">
        <v>2792026.1260000002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0.53763440860214884</v>
      </c>
      <c r="Q556">
        <f t="shared" si="985"/>
        <v>1501089.3150537587</v>
      </c>
      <c r="R556">
        <f t="shared" si="986"/>
        <v>36219591.488713376</v>
      </c>
      <c r="S556">
        <f t="shared" si="987"/>
        <v>362.19591488713377</v>
      </c>
      <c r="T556">
        <f t="shared" si="988"/>
        <v>0.36219591488713376</v>
      </c>
    </row>
    <row r="557" spans="1:20" x14ac:dyDescent="0.25">
      <c r="A557" s="5">
        <v>44036</v>
      </c>
      <c r="B557">
        <v>3.9670000000000001</v>
      </c>
      <c r="C557">
        <v>3.9689999999999999</v>
      </c>
      <c r="D557">
        <v>3.786</v>
      </c>
      <c r="E557">
        <v>3.8250000000000002</v>
      </c>
      <c r="F557">
        <v>1819680.81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-0.57377049180327666</v>
      </c>
      <c r="Q557">
        <f t="shared" si="985"/>
        <v>-1044079.1532786848</v>
      </c>
      <c r="R557">
        <f t="shared" si="986"/>
        <v>34718502.173659615</v>
      </c>
      <c r="S557">
        <f t="shared" si="987"/>
        <v>347.18502173659613</v>
      </c>
      <c r="T557">
        <f t="shared" si="988"/>
        <v>0.3471850217365961</v>
      </c>
    </row>
    <row r="558" spans="1:20" x14ac:dyDescent="0.25">
      <c r="A558" s="5">
        <v>44035</v>
      </c>
      <c r="B558">
        <v>4.008</v>
      </c>
      <c r="C558">
        <v>4.0999999999999996</v>
      </c>
      <c r="D558">
        <v>3.9180000000000001</v>
      </c>
      <c r="E558">
        <v>3.9630000000000001</v>
      </c>
      <c r="F558">
        <v>1500467.2790000001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-0.50549450549450492</v>
      </c>
      <c r="Q558">
        <f t="shared" si="985"/>
        <v>-758477.96520879038</v>
      </c>
      <c r="R558">
        <f t="shared" si="986"/>
        <v>35762581.326938301</v>
      </c>
      <c r="S558">
        <f t="shared" si="987"/>
        <v>357.625813269383</v>
      </c>
      <c r="T558">
        <f t="shared" si="988"/>
        <v>0.35762581326938297</v>
      </c>
    </row>
    <row r="559" spans="1:20" x14ac:dyDescent="0.25">
      <c r="A559" s="5">
        <v>44034</v>
      </c>
      <c r="B559">
        <v>4.0039999999999996</v>
      </c>
      <c r="C559">
        <v>4.0880000000000001</v>
      </c>
      <c r="D559">
        <v>3.8919999999999999</v>
      </c>
      <c r="E559">
        <v>4.0119999999999996</v>
      </c>
      <c r="F559">
        <v>1251377.7790000001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0.22448979591836282</v>
      </c>
      <c r="Q559">
        <f t="shared" si="985"/>
        <v>280921.54222448415</v>
      </c>
      <c r="R559">
        <f t="shared" si="986"/>
        <v>36521059.292147093</v>
      </c>
      <c r="S559">
        <f t="shared" si="987"/>
        <v>365.21059292147095</v>
      </c>
      <c r="T559">
        <f t="shared" si="988"/>
        <v>0.36521059292147096</v>
      </c>
    </row>
    <row r="560" spans="1:20" x14ac:dyDescent="0.25">
      <c r="A560" s="5">
        <v>44033</v>
      </c>
      <c r="B560">
        <v>3.8809999999999998</v>
      </c>
      <c r="C560">
        <v>4.0599999999999996</v>
      </c>
      <c r="D560">
        <v>3.774</v>
      </c>
      <c r="E560">
        <v>4.01</v>
      </c>
      <c r="F560">
        <v>3054468.196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0.65034965034965109</v>
      </c>
      <c r="Q560">
        <f t="shared" si="985"/>
        <v>1986472.3232727295</v>
      </c>
      <c r="R560">
        <f t="shared" si="986"/>
        <v>36240137.749922611</v>
      </c>
      <c r="S560">
        <f t="shared" si="987"/>
        <v>362.4013774992261</v>
      </c>
      <c r="T560">
        <f t="shared" si="988"/>
        <v>0.36240137749922607</v>
      </c>
    </row>
    <row r="561" spans="1:104" x14ac:dyDescent="0.25">
      <c r="A561" s="5">
        <v>44032</v>
      </c>
      <c r="B561">
        <v>4.202</v>
      </c>
      <c r="C561">
        <v>4.2590000000000003</v>
      </c>
      <c r="D561">
        <v>3.8610000000000002</v>
      </c>
      <c r="E561">
        <v>3.8809999999999998</v>
      </c>
      <c r="F561">
        <v>2348189.5219999999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-0.89949748743718816</v>
      </c>
      <c r="Q561">
        <f t="shared" si="985"/>
        <v>-2112190.5750653315</v>
      </c>
      <c r="R561">
        <f t="shared" si="986"/>
        <v>34253665.426649883</v>
      </c>
      <c r="S561">
        <f t="shared" si="987"/>
        <v>342.53665426649883</v>
      </c>
      <c r="T561">
        <f t="shared" si="988"/>
        <v>0.34253665426649882</v>
      </c>
      <c r="CZ561" t="s">
        <v>7</v>
      </c>
    </row>
    <row r="562" spans="1:104" x14ac:dyDescent="0.25">
      <c r="A562" s="5">
        <v>44031</v>
      </c>
      <c r="B562">
        <v>4.3620000000000001</v>
      </c>
      <c r="C562">
        <v>4.5199999999999996</v>
      </c>
      <c r="D562">
        <v>3.9710000000000001</v>
      </c>
      <c r="E562">
        <v>4.202</v>
      </c>
      <c r="F562">
        <v>5515699.074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-0.15846994535519093</v>
      </c>
      <c r="Q562">
        <f t="shared" si="985"/>
        <v>-874072.53085245728</v>
      </c>
      <c r="R562">
        <f t="shared" si="986"/>
        <v>36365856.001715213</v>
      </c>
      <c r="S562">
        <f t="shared" si="987"/>
        <v>363.65856001715213</v>
      </c>
      <c r="T562">
        <f t="shared" si="988"/>
        <v>0.36365856001715213</v>
      </c>
      <c r="CZ562" t="s">
        <v>7</v>
      </c>
    </row>
    <row r="563" spans="1:104" x14ac:dyDescent="0.25">
      <c r="A563" s="5">
        <v>44030</v>
      </c>
      <c r="B563">
        <v>4.1399999999999997</v>
      </c>
      <c r="C563">
        <v>4.516</v>
      </c>
      <c r="D563">
        <v>4.1079999999999997</v>
      </c>
      <c r="E563">
        <v>4.3600000000000003</v>
      </c>
      <c r="F563">
        <v>4297253.1610000003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0.23529411764706101</v>
      </c>
      <c r="Q563">
        <f t="shared" si="985"/>
        <v>1011118.3908235389</v>
      </c>
      <c r="R563">
        <f t="shared" si="986"/>
        <v>37239928.532567672</v>
      </c>
      <c r="S563">
        <f t="shared" si="987"/>
        <v>372.39928532567671</v>
      </c>
      <c r="T563">
        <f t="shared" si="988"/>
        <v>0.37239928532567673</v>
      </c>
      <c r="CZ563" t="s">
        <v>7</v>
      </c>
    </row>
    <row r="564" spans="1:104" x14ac:dyDescent="0.25">
      <c r="A564" s="5">
        <v>44029</v>
      </c>
      <c r="B564">
        <v>4.0810000000000004</v>
      </c>
      <c r="C564">
        <v>4.26</v>
      </c>
      <c r="D564">
        <v>3.9430000000000001</v>
      </c>
      <c r="E564">
        <v>4.1449999999999996</v>
      </c>
      <c r="F564">
        <v>3329642.5839999998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0.2744479495268119</v>
      </c>
      <c r="Q564">
        <f t="shared" si="985"/>
        <v>913813.57983595552</v>
      </c>
      <c r="R564">
        <f t="shared" si="986"/>
        <v>36228810.141744137</v>
      </c>
      <c r="S564">
        <f t="shared" si="987"/>
        <v>362.2881014174414</v>
      </c>
      <c r="T564">
        <f t="shared" si="988"/>
        <v>0.36228810141744139</v>
      </c>
    </row>
    <row r="565" spans="1:104" x14ac:dyDescent="0.25">
      <c r="A565" s="5">
        <v>44028</v>
      </c>
      <c r="B565">
        <v>4.0519999999999996</v>
      </c>
      <c r="C565">
        <v>4.3</v>
      </c>
      <c r="D565">
        <v>3.75</v>
      </c>
      <c r="E565">
        <v>4.077</v>
      </c>
      <c r="F565">
        <v>4802846.5180000002</v>
      </c>
      <c r="G565">
        <v>0</v>
      </c>
      <c r="L565" t="s">
        <v>8</v>
      </c>
      <c r="M565" t="s">
        <v>7</v>
      </c>
      <c r="N565" t="s">
        <v>8</v>
      </c>
      <c r="P565">
        <f t="shared" si="984"/>
        <v>0.18909090909090931</v>
      </c>
      <c r="Q565">
        <f t="shared" si="985"/>
        <v>908174.6143127284</v>
      </c>
      <c r="R565">
        <f t="shared" si="986"/>
        <v>35314996.561908178</v>
      </c>
      <c r="S565">
        <f t="shared" si="987"/>
        <v>353.1499656190818</v>
      </c>
      <c r="T565">
        <f t="shared" si="988"/>
        <v>0.3531499656190818</v>
      </c>
    </row>
    <row r="566" spans="1:104" x14ac:dyDescent="0.25">
      <c r="A566" s="5">
        <v>44027</v>
      </c>
      <c r="B566">
        <v>3.9540000000000002</v>
      </c>
      <c r="C566">
        <v>4.1479999999999997</v>
      </c>
      <c r="D566">
        <v>3.8620000000000001</v>
      </c>
      <c r="E566">
        <v>4.0469999999999997</v>
      </c>
      <c r="F566">
        <v>2564641.6439999999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0.29370629370629286</v>
      </c>
      <c r="Q566">
        <f t="shared" si="985"/>
        <v>753251.3919440537</v>
      </c>
      <c r="R566">
        <f t="shared" si="986"/>
        <v>34406821.947595447</v>
      </c>
      <c r="S566">
        <f t="shared" si="987"/>
        <v>344.06821947595449</v>
      </c>
      <c r="T566">
        <f t="shared" si="988"/>
        <v>0.34406821947595451</v>
      </c>
    </row>
    <row r="567" spans="1:104" x14ac:dyDescent="0.25">
      <c r="A567" s="5">
        <v>44026</v>
      </c>
      <c r="B567">
        <v>3.8730000000000002</v>
      </c>
      <c r="C567">
        <v>4.04</v>
      </c>
      <c r="D567">
        <v>3.8010000000000002</v>
      </c>
      <c r="E567">
        <v>3.9590000000000001</v>
      </c>
      <c r="F567">
        <v>3443607.8160000001</v>
      </c>
      <c r="G567">
        <v>0</v>
      </c>
      <c r="L567" t="s">
        <v>8</v>
      </c>
      <c r="M567" t="s">
        <v>7</v>
      </c>
      <c r="N567" t="s">
        <v>8</v>
      </c>
      <c r="P567">
        <f t="shared" si="984"/>
        <v>0.32217573221757323</v>
      </c>
      <c r="Q567">
        <f t="shared" si="985"/>
        <v>1109446.8695899581</v>
      </c>
      <c r="R567">
        <f t="shared" si="986"/>
        <v>33653570.555651397</v>
      </c>
      <c r="S567">
        <f t="shared" si="987"/>
        <v>336.53570555651396</v>
      </c>
      <c r="T567">
        <f t="shared" si="988"/>
        <v>0.33653570555651396</v>
      </c>
    </row>
    <row r="568" spans="1:104" x14ac:dyDescent="0.25">
      <c r="A568" s="5">
        <v>44025</v>
      </c>
      <c r="B568">
        <v>4.0279999999999996</v>
      </c>
      <c r="C568">
        <v>4.3390000000000004</v>
      </c>
      <c r="D568">
        <v>3.7149999999999999</v>
      </c>
      <c r="E568">
        <v>3.8719999999999999</v>
      </c>
      <c r="F568">
        <v>5164293.6279999996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-0.49679487179487214</v>
      </c>
      <c r="Q568">
        <f t="shared" si="985"/>
        <v>-2565594.5908333347</v>
      </c>
      <c r="R568">
        <f t="shared" si="986"/>
        <v>32544123.686061442</v>
      </c>
      <c r="S568">
        <f t="shared" si="987"/>
        <v>325.44123686061442</v>
      </c>
      <c r="T568">
        <f t="shared" si="988"/>
        <v>0.32544123686061444</v>
      </c>
    </row>
    <row r="569" spans="1:104" x14ac:dyDescent="0.25">
      <c r="A569" s="5">
        <v>44024</v>
      </c>
      <c r="B569">
        <v>3.9209999999999998</v>
      </c>
      <c r="C569">
        <v>4.1970000000000001</v>
      </c>
      <c r="D569">
        <v>3.9</v>
      </c>
      <c r="E569">
        <v>4.0229999999999997</v>
      </c>
      <c r="F569">
        <v>3059138.4709999999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-0.17171717171717366</v>
      </c>
      <c r="Q569">
        <f t="shared" si="985"/>
        <v>-525306.60613131907</v>
      </c>
      <c r="R569">
        <f t="shared" si="986"/>
        <v>35109718.276894778</v>
      </c>
      <c r="S569">
        <f t="shared" si="987"/>
        <v>351.09718276894779</v>
      </c>
      <c r="T569">
        <f t="shared" si="988"/>
        <v>0.3510971827689478</v>
      </c>
    </row>
    <row r="570" spans="1:104" x14ac:dyDescent="0.25">
      <c r="A570" s="5">
        <v>44023</v>
      </c>
      <c r="B570">
        <v>4.0529999999999999</v>
      </c>
      <c r="C570">
        <v>4.4660000000000002</v>
      </c>
      <c r="D570">
        <v>3.88</v>
      </c>
      <c r="E570">
        <v>3.9209999999999998</v>
      </c>
      <c r="F570">
        <v>6518320.6579999998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-0.86006825938566589</v>
      </c>
      <c r="Q570">
        <f t="shared" si="985"/>
        <v>-5606200.7024436882</v>
      </c>
      <c r="R570">
        <f t="shared" si="986"/>
        <v>35635024.883026101</v>
      </c>
      <c r="S570">
        <f t="shared" si="987"/>
        <v>356.35024883026102</v>
      </c>
      <c r="T570">
        <f t="shared" si="988"/>
        <v>0.35635024883026101</v>
      </c>
    </row>
    <row r="571" spans="1:104" x14ac:dyDescent="0.25">
      <c r="A571" s="5">
        <v>44022</v>
      </c>
      <c r="B571">
        <v>3.7919999999999998</v>
      </c>
      <c r="C571">
        <v>4.1820000000000004</v>
      </c>
      <c r="D571">
        <v>3.5550000000000002</v>
      </c>
      <c r="E571">
        <v>4.0529999999999999</v>
      </c>
      <c r="F571">
        <v>4544778.1169999996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0.58851674641148199</v>
      </c>
      <c r="Q571">
        <f t="shared" si="985"/>
        <v>2674678.0305789416</v>
      </c>
      <c r="R571">
        <f t="shared" si="986"/>
        <v>41241225.58546979</v>
      </c>
      <c r="S571">
        <f t="shared" si="987"/>
        <v>412.41225585469789</v>
      </c>
      <c r="T571">
        <f t="shared" si="988"/>
        <v>0.41241225585469787</v>
      </c>
    </row>
    <row r="572" spans="1:104" x14ac:dyDescent="0.25">
      <c r="A572" s="5">
        <v>44021</v>
      </c>
      <c r="B572">
        <v>3.5489999999999999</v>
      </c>
      <c r="C572">
        <v>3.8</v>
      </c>
      <c r="D572">
        <v>3.3759999999999999</v>
      </c>
      <c r="E572">
        <v>3.7879999999999998</v>
      </c>
      <c r="F572">
        <v>4083579.2230000002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0.94339622641509424</v>
      </c>
      <c r="Q572">
        <f t="shared" si="985"/>
        <v>3852433.2292452827</v>
      </c>
      <c r="R572">
        <f t="shared" si="986"/>
        <v>38566547.554890849</v>
      </c>
      <c r="S572">
        <f t="shared" si="987"/>
        <v>385.66547554890849</v>
      </c>
      <c r="T572">
        <f t="shared" si="988"/>
        <v>0.38566547554890851</v>
      </c>
    </row>
    <row r="573" spans="1:104" x14ac:dyDescent="0.25">
      <c r="A573" s="5">
        <v>44020</v>
      </c>
      <c r="B573">
        <v>3.2440000000000002</v>
      </c>
      <c r="C573">
        <v>3.5779999999999998</v>
      </c>
      <c r="D573">
        <v>3.157</v>
      </c>
      <c r="E573">
        <v>3.5539999999999998</v>
      </c>
      <c r="F573">
        <v>4704970.6189999999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0.88598574821852716</v>
      </c>
      <c r="Q573">
        <f t="shared" si="985"/>
        <v>4168536.9142209017</v>
      </c>
      <c r="R573">
        <f t="shared" si="986"/>
        <v>34714114.325645566</v>
      </c>
      <c r="S573">
        <f t="shared" si="987"/>
        <v>347.14114325645568</v>
      </c>
      <c r="T573">
        <f t="shared" si="988"/>
        <v>0.34714114325645568</v>
      </c>
    </row>
    <row r="574" spans="1:104" x14ac:dyDescent="0.25">
      <c r="A574" s="5">
        <v>44019</v>
      </c>
      <c r="B574">
        <v>3.0179999999999998</v>
      </c>
      <c r="C574">
        <v>3.28</v>
      </c>
      <c r="D574">
        <v>2.9630000000000001</v>
      </c>
      <c r="E574">
        <v>3.2490000000000001</v>
      </c>
      <c r="F574">
        <v>3309462.0070000002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0.80441640378549073</v>
      </c>
      <c r="Q574">
        <f t="shared" si="985"/>
        <v>2662185.5261356528</v>
      </c>
      <c r="R574">
        <f t="shared" si="986"/>
        <v>30545577.411424663</v>
      </c>
      <c r="S574">
        <f t="shared" si="987"/>
        <v>305.45577411424665</v>
      </c>
      <c r="T574">
        <f t="shared" si="988"/>
        <v>0.30545577411424663</v>
      </c>
    </row>
    <row r="575" spans="1:104" x14ac:dyDescent="0.25">
      <c r="A575" s="5">
        <v>44018</v>
      </c>
      <c r="B575">
        <v>2.9329999999999998</v>
      </c>
      <c r="C575">
        <v>3.13</v>
      </c>
      <c r="D575">
        <v>2.9209999999999998</v>
      </c>
      <c r="E575">
        <v>3.0209999999999999</v>
      </c>
      <c r="F575">
        <v>2923038.0989999999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-4.3062200956937288E-2</v>
      </c>
      <c r="Q575">
        <f t="shared" si="985"/>
        <v>-125872.45402392195</v>
      </c>
      <c r="R575">
        <f t="shared" si="986"/>
        <v>27883391.88528901</v>
      </c>
      <c r="S575">
        <f t="shared" si="987"/>
        <v>278.83391885289012</v>
      </c>
      <c r="T575">
        <f t="shared" si="988"/>
        <v>0.27883391885289011</v>
      </c>
    </row>
    <row r="576" spans="1:104" x14ac:dyDescent="0.25">
      <c r="A576" s="5">
        <v>44017</v>
      </c>
      <c r="B576">
        <v>2.7810000000000001</v>
      </c>
      <c r="C576">
        <v>2.988</v>
      </c>
      <c r="D576">
        <v>2.746</v>
      </c>
      <c r="E576">
        <v>2.93</v>
      </c>
      <c r="F576">
        <v>3219511.2710000002</v>
      </c>
      <c r="G576">
        <v>0</v>
      </c>
      <c r="L576" t="s">
        <v>8</v>
      </c>
      <c r="M576" t="s">
        <v>8</v>
      </c>
      <c r="N576" t="s">
        <v>7</v>
      </c>
      <c r="P576">
        <f t="shared" si="984"/>
        <v>0.52066115702479476</v>
      </c>
      <c r="Q576">
        <f t="shared" si="985"/>
        <v>1676274.4634132276</v>
      </c>
      <c r="R576">
        <f t="shared" si="986"/>
        <v>28009264.339312933</v>
      </c>
      <c r="S576">
        <f t="shared" si="987"/>
        <v>280.09264339312932</v>
      </c>
      <c r="T576">
        <f t="shared" si="988"/>
        <v>0.28009264339312934</v>
      </c>
    </row>
    <row r="577" spans="1:20" x14ac:dyDescent="0.25">
      <c r="A577" s="5">
        <v>44016</v>
      </c>
      <c r="B577">
        <v>2.6880000000000002</v>
      </c>
      <c r="C577">
        <v>2.7890000000000001</v>
      </c>
      <c r="D577">
        <v>2.68</v>
      </c>
      <c r="E577">
        <v>2.7789999999999999</v>
      </c>
      <c r="F577">
        <v>1307381.1950000001</v>
      </c>
      <c r="G577">
        <v>0</v>
      </c>
      <c r="L577" t="s">
        <v>8</v>
      </c>
      <c r="M577" t="s">
        <v>8</v>
      </c>
      <c r="N577" t="s">
        <v>7</v>
      </c>
      <c r="P577">
        <f t="shared" si="984"/>
        <v>0.81651376146788568</v>
      </c>
      <c r="Q577">
        <f t="shared" si="985"/>
        <v>1067494.7372018294</v>
      </c>
      <c r="R577">
        <f t="shared" si="986"/>
        <v>26332989.875899706</v>
      </c>
      <c r="S577">
        <f t="shared" si="987"/>
        <v>263.32989875899705</v>
      </c>
      <c r="T577">
        <f t="shared" si="988"/>
        <v>0.26332989875899704</v>
      </c>
    </row>
    <row r="578" spans="1:20" x14ac:dyDescent="0.25">
      <c r="A578" s="5">
        <v>44015</v>
      </c>
      <c r="B578">
        <v>2.661</v>
      </c>
      <c r="C578">
        <v>2.8090000000000002</v>
      </c>
      <c r="D578">
        <v>2.6419999999999999</v>
      </c>
      <c r="E578">
        <v>2.69</v>
      </c>
      <c r="F578">
        <v>2003578.0449999999</v>
      </c>
      <c r="G578">
        <v>0</v>
      </c>
      <c r="L578" t="s">
        <v>8</v>
      </c>
      <c r="M578" t="s">
        <v>8</v>
      </c>
      <c r="N578" t="s">
        <v>7</v>
      </c>
      <c r="P578">
        <f t="shared" si="984"/>
        <v>-0.4251497005988028</v>
      </c>
      <c r="Q578">
        <f t="shared" si="985"/>
        <v>-851820.60595808458</v>
      </c>
      <c r="R578">
        <f t="shared" si="986"/>
        <v>25265495.138697878</v>
      </c>
      <c r="S578">
        <f t="shared" si="987"/>
        <v>252.65495138697878</v>
      </c>
      <c r="T578">
        <f t="shared" si="988"/>
        <v>0.2526549513869788</v>
      </c>
    </row>
    <row r="579" spans="1:20" x14ac:dyDescent="0.25">
      <c r="A579" s="5">
        <v>44014</v>
      </c>
      <c r="B579">
        <v>2.6589999999999998</v>
      </c>
      <c r="C579">
        <v>2.79</v>
      </c>
      <c r="D579">
        <v>2.6</v>
      </c>
      <c r="E579">
        <v>2.6589999999999998</v>
      </c>
      <c r="F579">
        <v>1831861.1329999999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-0.37894736842105542</v>
      </c>
      <c r="Q579">
        <f t="shared" si="985"/>
        <v>-694178.95566316298</v>
      </c>
      <c r="R579">
        <f t="shared" si="986"/>
        <v>26117315.744655963</v>
      </c>
      <c r="S579">
        <f t="shared" si="987"/>
        <v>261.17315744655963</v>
      </c>
      <c r="T579">
        <f t="shared" si="988"/>
        <v>0.26117315744655961</v>
      </c>
    </row>
    <row r="580" spans="1:20" x14ac:dyDescent="0.25">
      <c r="A580" s="5">
        <v>44013</v>
      </c>
      <c r="B580">
        <v>2.5920000000000001</v>
      </c>
      <c r="C580">
        <v>2.68</v>
      </c>
      <c r="D580">
        <v>2.573</v>
      </c>
      <c r="E580">
        <v>2.6589999999999998</v>
      </c>
      <c r="F580">
        <v>869063.74199999997</v>
      </c>
      <c r="G580">
        <v>0</v>
      </c>
      <c r="L580" t="s">
        <v>8</v>
      </c>
      <c r="M580" t="s">
        <v>8</v>
      </c>
      <c r="N580" t="s">
        <v>7</v>
      </c>
      <c r="P580">
        <f t="shared" si="984"/>
        <v>0.60747663551401287</v>
      </c>
      <c r="Q580">
        <f t="shared" si="985"/>
        <v>527935.91803737811</v>
      </c>
      <c r="R580">
        <f t="shared" si="986"/>
        <v>26811494.700319126</v>
      </c>
      <c r="S580">
        <f t="shared" si="987"/>
        <v>268.11494700319128</v>
      </c>
      <c r="T580">
        <f t="shared" si="988"/>
        <v>0.26811494700319127</v>
      </c>
    </row>
    <row r="581" spans="1:20" x14ac:dyDescent="0.25">
      <c r="A581" s="5">
        <v>44012</v>
      </c>
      <c r="B581">
        <v>2.6440000000000001</v>
      </c>
      <c r="C581">
        <v>2.6749999999999998</v>
      </c>
      <c r="D581">
        <v>2.573</v>
      </c>
      <c r="E581">
        <v>2.5950000000000002</v>
      </c>
      <c r="F581">
        <v>791009.63300000003</v>
      </c>
      <c r="G581">
        <v>0</v>
      </c>
      <c r="L581" t="s">
        <v>8</v>
      </c>
      <c r="M581" t="s">
        <v>8</v>
      </c>
      <c r="N581" t="s">
        <v>7</v>
      </c>
      <c r="P581">
        <f t="shared" si="984"/>
        <v>-0.56862745098038692</v>
      </c>
      <c r="Q581">
        <f t="shared" si="985"/>
        <v>-449789.79131372139</v>
      </c>
      <c r="R581">
        <f t="shared" si="986"/>
        <v>26283558.782281749</v>
      </c>
      <c r="S581">
        <f t="shared" si="987"/>
        <v>262.8355878228175</v>
      </c>
      <c r="T581">
        <f t="shared" si="988"/>
        <v>0.26283558782281752</v>
      </c>
    </row>
    <row r="582" spans="1:20" x14ac:dyDescent="0.25">
      <c r="A582" s="5">
        <v>44011</v>
      </c>
      <c r="B582">
        <v>2.5070000000000001</v>
      </c>
      <c r="C582">
        <v>2.681</v>
      </c>
      <c r="D582">
        <v>2.472</v>
      </c>
      <c r="E582">
        <v>2.6459999999999999</v>
      </c>
      <c r="F582">
        <v>2523948.5499999998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89">IF(C582=D582,0,((E582-D582)-(C582-E582))/(C582-D582))</f>
        <v>0.66507177033492704</v>
      </c>
      <c r="Q582">
        <f t="shared" ref="Q582:Q645" si="990">F582*P582</f>
        <v>1678606.9303827719</v>
      </c>
      <c r="R582">
        <f t="shared" ref="R582:R645" si="991">R583+Q582</f>
        <v>26733348.573595472</v>
      </c>
      <c r="S582">
        <f t="shared" ref="S582:S645" si="992">R582/100000</f>
        <v>267.3334857359547</v>
      </c>
      <c r="T582">
        <f t="shared" ref="T582:T645" si="993">S582/1000</f>
        <v>0.26733348573595472</v>
      </c>
    </row>
    <row r="583" spans="1:20" x14ac:dyDescent="0.25">
      <c r="A583" s="5">
        <v>44010</v>
      </c>
      <c r="B583">
        <v>2.4289999999999998</v>
      </c>
      <c r="C583">
        <v>2.5569999999999999</v>
      </c>
      <c r="D583">
        <v>2.391</v>
      </c>
      <c r="E583">
        <v>2.504</v>
      </c>
      <c r="F583">
        <v>966662.61600000004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0.36144578313253062</v>
      </c>
      <c r="Q583">
        <f t="shared" si="990"/>
        <v>349396.12626506074</v>
      </c>
      <c r="R583">
        <f t="shared" si="991"/>
        <v>25054741.643212698</v>
      </c>
      <c r="S583">
        <f t="shared" si="992"/>
        <v>250.54741643212699</v>
      </c>
      <c r="T583">
        <f t="shared" si="993"/>
        <v>0.25054741643212697</v>
      </c>
    </row>
    <row r="584" spans="1:20" x14ac:dyDescent="0.25">
      <c r="A584" s="5">
        <v>44009</v>
      </c>
      <c r="B584">
        <v>2.6230000000000002</v>
      </c>
      <c r="C584">
        <v>2.718</v>
      </c>
      <c r="D584">
        <v>2.2879999999999998</v>
      </c>
      <c r="E584">
        <v>2.4289999999999998</v>
      </c>
      <c r="F584">
        <v>3296009.93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-0.3441860465116281</v>
      </c>
      <c r="Q584">
        <f t="shared" si="990"/>
        <v>-1134440.627069768</v>
      </c>
      <c r="R584">
        <f t="shared" si="991"/>
        <v>24705345.516947638</v>
      </c>
      <c r="S584">
        <f t="shared" si="992"/>
        <v>247.05345516947639</v>
      </c>
      <c r="T584">
        <f t="shared" si="993"/>
        <v>0.24705345516947638</v>
      </c>
    </row>
    <row r="585" spans="1:20" x14ac:dyDescent="0.25">
      <c r="A585" s="5">
        <v>44008</v>
      </c>
      <c r="B585">
        <v>2.6240000000000001</v>
      </c>
      <c r="C585">
        <v>2.6549999999999998</v>
      </c>
      <c r="D585">
        <v>2.5150000000000001</v>
      </c>
      <c r="E585">
        <v>2.6219999999999999</v>
      </c>
      <c r="F585">
        <v>1446848.9280000001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0.52857142857142869</v>
      </c>
      <c r="Q585">
        <f t="shared" si="990"/>
        <v>764763.00480000023</v>
      </c>
      <c r="R585">
        <f t="shared" si="991"/>
        <v>25839786.144017406</v>
      </c>
      <c r="S585">
        <f t="shared" si="992"/>
        <v>258.39786144017404</v>
      </c>
      <c r="T585">
        <f t="shared" si="993"/>
        <v>0.25839786144017401</v>
      </c>
    </row>
    <row r="586" spans="1:20" x14ac:dyDescent="0.25">
      <c r="A586" s="5">
        <v>44007</v>
      </c>
      <c r="B586">
        <v>2.6840000000000002</v>
      </c>
      <c r="C586">
        <v>2.694</v>
      </c>
      <c r="D586">
        <v>2.5499999999999998</v>
      </c>
      <c r="E586">
        <v>2.6240000000000001</v>
      </c>
      <c r="F586">
        <v>1034585.142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2.7777777777780861E-2</v>
      </c>
      <c r="Q586">
        <f t="shared" si="990"/>
        <v>28738.476166669854</v>
      </c>
      <c r="R586">
        <f t="shared" si="991"/>
        <v>25075023.139217407</v>
      </c>
      <c r="S586">
        <f t="shared" si="992"/>
        <v>250.75023139217407</v>
      </c>
      <c r="T586">
        <f t="shared" si="993"/>
        <v>0.25075023139217406</v>
      </c>
    </row>
    <row r="587" spans="1:20" x14ac:dyDescent="0.25">
      <c r="A587" s="5">
        <v>44006</v>
      </c>
      <c r="B587">
        <v>2.7759999999999998</v>
      </c>
      <c r="C587">
        <v>2.8809999999999998</v>
      </c>
      <c r="D587">
        <v>2.64</v>
      </c>
      <c r="E587">
        <v>2.6850000000000001</v>
      </c>
      <c r="F587">
        <v>2540884.3119999999</v>
      </c>
      <c r="G587">
        <v>0</v>
      </c>
      <c r="L587" t="s">
        <v>8</v>
      </c>
      <c r="M587" t="s">
        <v>7</v>
      </c>
      <c r="N587" t="s">
        <v>8</v>
      </c>
      <c r="P587">
        <f t="shared" si="989"/>
        <v>-0.62655601659751048</v>
      </c>
      <c r="Q587">
        <f t="shared" si="990"/>
        <v>-1592006.353161826</v>
      </c>
      <c r="R587">
        <f t="shared" si="991"/>
        <v>25046284.663050737</v>
      </c>
      <c r="S587">
        <f t="shared" si="992"/>
        <v>250.46284663050739</v>
      </c>
      <c r="T587">
        <f t="shared" si="993"/>
        <v>0.25046284663050739</v>
      </c>
    </row>
    <row r="588" spans="1:20" x14ac:dyDescent="0.25">
      <c r="A588" s="5">
        <v>44005</v>
      </c>
      <c r="B588">
        <v>2.6880000000000002</v>
      </c>
      <c r="C588">
        <v>2.843</v>
      </c>
      <c r="D588">
        <v>2.6560000000000001</v>
      </c>
      <c r="E588">
        <v>2.774</v>
      </c>
      <c r="F588">
        <v>2033665.0560000001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0.26203208556149721</v>
      </c>
      <c r="Q588">
        <f t="shared" si="990"/>
        <v>532885.49595721904</v>
      </c>
      <c r="R588">
        <f t="shared" si="991"/>
        <v>26638291.016212564</v>
      </c>
      <c r="S588">
        <f t="shared" si="992"/>
        <v>266.38291016212565</v>
      </c>
      <c r="T588">
        <f t="shared" si="993"/>
        <v>0.26638291016212567</v>
      </c>
    </row>
    <row r="589" spans="1:20" x14ac:dyDescent="0.25">
      <c r="A589" s="5">
        <v>44004</v>
      </c>
      <c r="B589">
        <v>2.5990000000000002</v>
      </c>
      <c r="C589">
        <v>2.72</v>
      </c>
      <c r="D589">
        <v>2.5990000000000002</v>
      </c>
      <c r="E589">
        <v>2.6880000000000002</v>
      </c>
      <c r="F589">
        <v>1008443.2169999999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0.4710743801652888</v>
      </c>
      <c r="Q589">
        <f t="shared" si="990"/>
        <v>475051.7633801648</v>
      </c>
      <c r="R589">
        <f t="shared" si="991"/>
        <v>26105405.520255346</v>
      </c>
      <c r="S589">
        <f t="shared" si="992"/>
        <v>261.05405520255346</v>
      </c>
      <c r="T589">
        <f t="shared" si="993"/>
        <v>0.26105405520255348</v>
      </c>
    </row>
    <row r="590" spans="1:20" x14ac:dyDescent="0.25">
      <c r="A590" s="5">
        <v>44003</v>
      </c>
      <c r="B590">
        <v>2.6230000000000002</v>
      </c>
      <c r="C590">
        <v>2.6360000000000001</v>
      </c>
      <c r="D590">
        <v>2.5779999999999998</v>
      </c>
      <c r="E590">
        <v>2.5990000000000002</v>
      </c>
      <c r="F590">
        <v>657318.51500000001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-0.27586206896550852</v>
      </c>
      <c r="Q590">
        <f t="shared" si="990"/>
        <v>-181329.24551723566</v>
      </c>
      <c r="R590">
        <f t="shared" si="991"/>
        <v>25630353.75687518</v>
      </c>
      <c r="S590">
        <f t="shared" si="992"/>
        <v>256.30353756875178</v>
      </c>
      <c r="T590">
        <f t="shared" si="993"/>
        <v>0.25630353756875179</v>
      </c>
    </row>
    <row r="591" spans="1:20" x14ac:dyDescent="0.25">
      <c r="A591" s="5">
        <v>44002</v>
      </c>
      <c r="B591">
        <v>2.6</v>
      </c>
      <c r="C591">
        <v>2.6259999999999999</v>
      </c>
      <c r="D591">
        <v>2.5419999999999998</v>
      </c>
      <c r="E591">
        <v>2.62</v>
      </c>
      <c r="F591">
        <v>610034.68599999999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0.85714285714286242</v>
      </c>
      <c r="Q591">
        <f t="shared" si="990"/>
        <v>522886.87371428893</v>
      </c>
      <c r="R591">
        <f t="shared" si="991"/>
        <v>25811683.002392415</v>
      </c>
      <c r="S591">
        <f t="shared" si="992"/>
        <v>258.11683002392414</v>
      </c>
      <c r="T591">
        <f t="shared" si="993"/>
        <v>0.25811683002392416</v>
      </c>
    </row>
    <row r="592" spans="1:20" x14ac:dyDescent="0.25">
      <c r="A592" s="5">
        <v>44001</v>
      </c>
      <c r="B592">
        <v>2.6419999999999999</v>
      </c>
      <c r="C592">
        <v>2.653</v>
      </c>
      <c r="D592">
        <v>2.5739999999999998</v>
      </c>
      <c r="E592">
        <v>2.597</v>
      </c>
      <c r="F592">
        <v>633416.80700000003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-0.41772151898733978</v>
      </c>
      <c r="Q592">
        <f t="shared" si="990"/>
        <v>-264591.83077215066</v>
      </c>
      <c r="R592">
        <f t="shared" si="991"/>
        <v>25288796.128678124</v>
      </c>
      <c r="S592">
        <f t="shared" si="992"/>
        <v>252.88796128678123</v>
      </c>
      <c r="T592">
        <f t="shared" si="993"/>
        <v>0.25288796128678126</v>
      </c>
    </row>
    <row r="593" spans="1:20" x14ac:dyDescent="0.25">
      <c r="A593" s="5">
        <v>44000</v>
      </c>
      <c r="B593">
        <v>2.7029999999999998</v>
      </c>
      <c r="C593">
        <v>2.7029999999999998</v>
      </c>
      <c r="D593">
        <v>2.6110000000000002</v>
      </c>
      <c r="E593">
        <v>2.6429999999999998</v>
      </c>
      <c r="F593">
        <v>660869.12199999997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-0.30434782608696281</v>
      </c>
      <c r="Q593">
        <f t="shared" si="990"/>
        <v>-201134.08060869979</v>
      </c>
      <c r="R593">
        <f t="shared" si="991"/>
        <v>25553387.959450275</v>
      </c>
      <c r="S593">
        <f t="shared" si="992"/>
        <v>255.53387959450274</v>
      </c>
      <c r="T593">
        <f t="shared" si="993"/>
        <v>0.25553387959450274</v>
      </c>
    </row>
    <row r="594" spans="1:20" x14ac:dyDescent="0.25">
      <c r="A594" s="5">
        <v>43999</v>
      </c>
      <c r="B594">
        <v>2.7290000000000001</v>
      </c>
      <c r="C594">
        <v>2.7429999999999999</v>
      </c>
      <c r="D594">
        <v>2.6480000000000001</v>
      </c>
      <c r="E594">
        <v>2.7029999999999998</v>
      </c>
      <c r="F594">
        <v>730865.88399999996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0.15789473684210231</v>
      </c>
      <c r="Q594">
        <f t="shared" si="990"/>
        <v>115399.87642105047</v>
      </c>
      <c r="R594">
        <f t="shared" si="991"/>
        <v>25754522.040058974</v>
      </c>
      <c r="S594">
        <f t="shared" si="992"/>
        <v>257.54522040058976</v>
      </c>
      <c r="T594">
        <f t="shared" si="993"/>
        <v>0.25754522040058975</v>
      </c>
    </row>
    <row r="595" spans="1:20" x14ac:dyDescent="0.25">
      <c r="A595" s="5">
        <v>43998</v>
      </c>
      <c r="B595">
        <v>2.7050000000000001</v>
      </c>
      <c r="C595">
        <v>2.7650000000000001</v>
      </c>
      <c r="D595">
        <v>2.6739999999999999</v>
      </c>
      <c r="E595">
        <v>2.7290000000000001</v>
      </c>
      <c r="F595">
        <v>731936.875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0.20879120879120977</v>
      </c>
      <c r="Q595">
        <f t="shared" si="990"/>
        <v>152821.98489011062</v>
      </c>
      <c r="R595">
        <f t="shared" si="991"/>
        <v>25639122.163637925</v>
      </c>
      <c r="S595">
        <f t="shared" si="992"/>
        <v>256.39122163637927</v>
      </c>
      <c r="T595">
        <f t="shared" si="993"/>
        <v>0.25639122163637929</v>
      </c>
    </row>
    <row r="596" spans="1:20" x14ac:dyDescent="0.25">
      <c r="A596" s="5">
        <v>43997</v>
      </c>
      <c r="B596">
        <v>2.7559999999999998</v>
      </c>
      <c r="C596">
        <v>2.7810000000000001</v>
      </c>
      <c r="D596">
        <v>2.54</v>
      </c>
      <c r="E596">
        <v>2.7050000000000001</v>
      </c>
      <c r="F596">
        <v>1211364.9979999999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0.36929460580912832</v>
      </c>
      <c r="Q596">
        <f t="shared" si="990"/>
        <v>447350.55942738545</v>
      </c>
      <c r="R596">
        <f t="shared" si="991"/>
        <v>25486300.178747814</v>
      </c>
      <c r="S596">
        <f t="shared" si="992"/>
        <v>254.86300178747814</v>
      </c>
      <c r="T596">
        <f t="shared" si="993"/>
        <v>0.25486300178747812</v>
      </c>
    </row>
    <row r="597" spans="1:20" x14ac:dyDescent="0.25">
      <c r="A597" s="5">
        <v>43996</v>
      </c>
      <c r="B597">
        <v>2.8740000000000001</v>
      </c>
      <c r="C597">
        <v>2.8780000000000001</v>
      </c>
      <c r="D597">
        <v>2.718</v>
      </c>
      <c r="E597">
        <v>2.7559999999999998</v>
      </c>
      <c r="F597">
        <v>694350.26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-0.5250000000000028</v>
      </c>
      <c r="Q597">
        <f t="shared" si="990"/>
        <v>-364533.88650000194</v>
      </c>
      <c r="R597">
        <f t="shared" si="991"/>
        <v>25038949.61932043</v>
      </c>
      <c r="S597">
        <f t="shared" si="992"/>
        <v>250.38949619320431</v>
      </c>
      <c r="T597">
        <f t="shared" si="993"/>
        <v>0.25038949619320433</v>
      </c>
    </row>
    <row r="598" spans="1:20" x14ac:dyDescent="0.25">
      <c r="A598" s="5">
        <v>43995</v>
      </c>
      <c r="B598">
        <v>2.8620000000000001</v>
      </c>
      <c r="C598">
        <v>2.9009999999999998</v>
      </c>
      <c r="D598">
        <v>2.8159999999999998</v>
      </c>
      <c r="E598">
        <v>2.8730000000000002</v>
      </c>
      <c r="F598">
        <v>656336.14199999999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0.34117647058824491</v>
      </c>
      <c r="Q598">
        <f t="shared" si="990"/>
        <v>223926.44844706514</v>
      </c>
      <c r="R598">
        <f t="shared" si="991"/>
        <v>25403483.505820431</v>
      </c>
      <c r="S598">
        <f t="shared" si="992"/>
        <v>254.03483505820429</v>
      </c>
      <c r="T598">
        <f t="shared" si="993"/>
        <v>0.25403483505820429</v>
      </c>
    </row>
    <row r="599" spans="1:20" x14ac:dyDescent="0.25">
      <c r="A599" s="5">
        <v>43994</v>
      </c>
      <c r="B599">
        <v>2.7650000000000001</v>
      </c>
      <c r="C599">
        <v>2.9249999999999998</v>
      </c>
      <c r="D599">
        <v>2.7349999999999999</v>
      </c>
      <c r="E599">
        <v>2.8620000000000001</v>
      </c>
      <c r="F599">
        <v>746692.22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0.33684210526316061</v>
      </c>
      <c r="Q599">
        <f t="shared" si="990"/>
        <v>251517.37936842308</v>
      </c>
      <c r="R599">
        <f t="shared" si="991"/>
        <v>25179557.057373367</v>
      </c>
      <c r="S599">
        <f t="shared" si="992"/>
        <v>251.79557057373367</v>
      </c>
      <c r="T599">
        <f t="shared" si="993"/>
        <v>0.2517955705737337</v>
      </c>
    </row>
    <row r="600" spans="1:20" x14ac:dyDescent="0.25">
      <c r="A600" s="5">
        <v>43993</v>
      </c>
      <c r="B600">
        <v>3.117</v>
      </c>
      <c r="C600">
        <v>3.1379999999999999</v>
      </c>
      <c r="D600">
        <v>2.72</v>
      </c>
      <c r="E600">
        <v>2.7629999999999999</v>
      </c>
      <c r="F600">
        <v>1755330.371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-0.79425837320574288</v>
      </c>
      <c r="Q600">
        <f t="shared" si="990"/>
        <v>-1394185.8449090931</v>
      </c>
      <c r="R600">
        <f t="shared" si="991"/>
        <v>24928039.678004943</v>
      </c>
      <c r="S600">
        <f t="shared" si="992"/>
        <v>249.28039678004941</v>
      </c>
      <c r="T600">
        <f t="shared" si="993"/>
        <v>0.2492803967800494</v>
      </c>
    </row>
    <row r="601" spans="1:20" x14ac:dyDescent="0.25">
      <c r="A601" s="5">
        <v>43992</v>
      </c>
      <c r="B601">
        <v>3.117</v>
      </c>
      <c r="C601">
        <v>3.13</v>
      </c>
      <c r="D601">
        <v>2.9550000000000001</v>
      </c>
      <c r="E601">
        <v>3.1139999999999999</v>
      </c>
      <c r="F601">
        <v>1154464.7490000001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0.81714285714285684</v>
      </c>
      <c r="Q601">
        <f t="shared" si="990"/>
        <v>943362.62346857111</v>
      </c>
      <c r="R601">
        <f t="shared" si="991"/>
        <v>26322225.522914037</v>
      </c>
      <c r="S601">
        <f t="shared" si="992"/>
        <v>263.22225522914039</v>
      </c>
      <c r="T601">
        <f t="shared" si="993"/>
        <v>0.26322225522914039</v>
      </c>
    </row>
    <row r="602" spans="1:20" x14ac:dyDescent="0.25">
      <c r="A602" s="5">
        <v>43991</v>
      </c>
      <c r="B602">
        <v>3.157</v>
      </c>
      <c r="C602">
        <v>3.1859999999999999</v>
      </c>
      <c r="D602">
        <v>3.0739999999999998</v>
      </c>
      <c r="E602">
        <v>3.117</v>
      </c>
      <c r="F602">
        <v>973545.69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-0.23214285714285515</v>
      </c>
      <c r="Q602">
        <f t="shared" si="990"/>
        <v>-226001.67803571234</v>
      </c>
      <c r="R602">
        <f t="shared" si="991"/>
        <v>25378862.899445467</v>
      </c>
      <c r="S602">
        <f t="shared" si="992"/>
        <v>253.78862899445465</v>
      </c>
      <c r="T602">
        <f t="shared" si="993"/>
        <v>0.25378862899445465</v>
      </c>
    </row>
    <row r="603" spans="1:20" x14ac:dyDescent="0.25">
      <c r="A603" s="5">
        <v>43990</v>
      </c>
      <c r="B603">
        <v>3.0219999999999998</v>
      </c>
      <c r="C603">
        <v>3.1629999999999998</v>
      </c>
      <c r="D603">
        <v>2.9940000000000002</v>
      </c>
      <c r="E603">
        <v>3.1549999999999998</v>
      </c>
      <c r="F603">
        <v>890067.44400000002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0.90532544378698199</v>
      </c>
      <c r="Q603">
        <f t="shared" si="990"/>
        <v>805800.70373964473</v>
      </c>
      <c r="R603">
        <f t="shared" si="991"/>
        <v>25604864.57748118</v>
      </c>
      <c r="S603">
        <f t="shared" si="992"/>
        <v>256.0486457748118</v>
      </c>
      <c r="T603">
        <f t="shared" si="993"/>
        <v>0.25604864577481179</v>
      </c>
    </row>
    <row r="604" spans="1:20" x14ac:dyDescent="0.25">
      <c r="A604" s="5">
        <v>43989</v>
      </c>
      <c r="B604">
        <v>3.056</v>
      </c>
      <c r="C604">
        <v>3.1110000000000002</v>
      </c>
      <c r="D604">
        <v>2.8650000000000002</v>
      </c>
      <c r="E604">
        <v>3.02</v>
      </c>
      <c r="F604">
        <v>1278663.145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0.26016260162601468</v>
      </c>
      <c r="Q604">
        <f t="shared" si="990"/>
        <v>332660.33040650206</v>
      </c>
      <c r="R604">
        <f t="shared" si="991"/>
        <v>24799063.873741537</v>
      </c>
      <c r="S604">
        <f t="shared" si="992"/>
        <v>247.99063873741537</v>
      </c>
      <c r="T604">
        <f t="shared" si="993"/>
        <v>0.24799063873741536</v>
      </c>
    </row>
    <row r="605" spans="1:20" x14ac:dyDescent="0.25">
      <c r="A605" s="5">
        <v>43988</v>
      </c>
      <c r="B605">
        <v>3.0920000000000001</v>
      </c>
      <c r="C605">
        <v>3.1549999999999998</v>
      </c>
      <c r="D605">
        <v>3.0390000000000001</v>
      </c>
      <c r="E605">
        <v>3.056</v>
      </c>
      <c r="F605">
        <v>923471.78599999996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-0.70689655172413868</v>
      </c>
      <c r="Q605">
        <f t="shared" si="990"/>
        <v>-652799.02113793173</v>
      </c>
      <c r="R605">
        <f t="shared" si="991"/>
        <v>24466403.543335035</v>
      </c>
      <c r="S605">
        <f t="shared" si="992"/>
        <v>244.66403543335036</v>
      </c>
      <c r="T605">
        <f t="shared" si="993"/>
        <v>0.24466403543335036</v>
      </c>
    </row>
    <row r="606" spans="1:20" x14ac:dyDescent="0.25">
      <c r="A606" s="5">
        <v>43987</v>
      </c>
      <c r="B606">
        <v>3.109</v>
      </c>
      <c r="C606">
        <v>3.2</v>
      </c>
      <c r="D606">
        <v>3.0369999999999999</v>
      </c>
      <c r="E606">
        <v>3.093</v>
      </c>
      <c r="F606">
        <v>2036787.03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-0.31288343558282256</v>
      </c>
      <c r="Q606">
        <f t="shared" si="990"/>
        <v>-637276.92349693354</v>
      </c>
      <c r="R606">
        <f t="shared" si="991"/>
        <v>25119202.564472966</v>
      </c>
      <c r="S606">
        <f t="shared" si="992"/>
        <v>251.19202564472965</v>
      </c>
      <c r="T606">
        <f t="shared" si="993"/>
        <v>0.25119202564472964</v>
      </c>
    </row>
    <row r="607" spans="1:20" x14ac:dyDescent="0.25">
      <c r="A607" s="5">
        <v>43986</v>
      </c>
      <c r="B607">
        <v>2.9079999999999999</v>
      </c>
      <c r="C607">
        <v>3.1589999999999998</v>
      </c>
      <c r="D607">
        <v>2.8919999999999999</v>
      </c>
      <c r="E607">
        <v>3.11</v>
      </c>
      <c r="F607">
        <v>2661551.4130000002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0.63295880149812767</v>
      </c>
      <c r="Q607">
        <f t="shared" si="990"/>
        <v>1684652.3924981283</v>
      </c>
      <c r="R607">
        <f t="shared" si="991"/>
        <v>25756479.487969898</v>
      </c>
      <c r="S607">
        <f t="shared" si="992"/>
        <v>257.56479487969898</v>
      </c>
      <c r="T607">
        <f t="shared" si="993"/>
        <v>0.25756479487969897</v>
      </c>
    </row>
    <row r="608" spans="1:20" x14ac:dyDescent="0.25">
      <c r="A608" s="5">
        <v>43985</v>
      </c>
      <c r="B608">
        <v>2.758</v>
      </c>
      <c r="C608">
        <v>2.9169999999999998</v>
      </c>
      <c r="D608">
        <v>2.7330000000000001</v>
      </c>
      <c r="E608">
        <v>2.9060000000000001</v>
      </c>
      <c r="F608">
        <v>1149177.327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0.88043478260869901</v>
      </c>
      <c r="Q608">
        <f t="shared" si="990"/>
        <v>1011775.6900760909</v>
      </c>
      <c r="R608">
        <f t="shared" si="991"/>
        <v>24071827.09547177</v>
      </c>
      <c r="S608">
        <f t="shared" si="992"/>
        <v>240.7182709547177</v>
      </c>
      <c r="T608">
        <f t="shared" si="993"/>
        <v>0.24071827095471771</v>
      </c>
    </row>
    <row r="609" spans="1:20" x14ac:dyDescent="0.25">
      <c r="A609" s="5">
        <v>43984</v>
      </c>
      <c r="B609">
        <v>2.8620000000000001</v>
      </c>
      <c r="C609">
        <v>2.9630000000000001</v>
      </c>
      <c r="D609">
        <v>2.64</v>
      </c>
      <c r="E609">
        <v>2.7610000000000001</v>
      </c>
      <c r="F609">
        <v>2015909.0660000001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-0.25077399380804943</v>
      </c>
      <c r="Q609">
        <f t="shared" si="990"/>
        <v>-505537.56763467472</v>
      </c>
      <c r="R609">
        <f t="shared" si="991"/>
        <v>23060051.405395679</v>
      </c>
      <c r="S609">
        <f t="shared" si="992"/>
        <v>230.6005140539568</v>
      </c>
      <c r="T609">
        <f t="shared" si="993"/>
        <v>0.23060051405395679</v>
      </c>
    </row>
    <row r="610" spans="1:20" x14ac:dyDescent="0.25">
      <c r="A610" s="5">
        <v>43983</v>
      </c>
      <c r="B610">
        <v>2.7280000000000002</v>
      </c>
      <c r="C610">
        <v>2.8650000000000002</v>
      </c>
      <c r="D610">
        <v>2.7120000000000002</v>
      </c>
      <c r="E610">
        <v>2.8620000000000001</v>
      </c>
      <c r="F610">
        <v>1159916.32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0.96078431372548867</v>
      </c>
      <c r="Q610">
        <f t="shared" si="990"/>
        <v>1114429.4054901944</v>
      </c>
      <c r="R610">
        <f t="shared" si="991"/>
        <v>23565588.973030355</v>
      </c>
      <c r="S610">
        <f t="shared" si="992"/>
        <v>235.65588973030356</v>
      </c>
      <c r="T610">
        <f t="shared" si="993"/>
        <v>0.23565588973030355</v>
      </c>
    </row>
    <row r="611" spans="1:20" x14ac:dyDescent="0.25">
      <c r="A611" s="5">
        <v>43982</v>
      </c>
      <c r="B611">
        <v>2.8170000000000002</v>
      </c>
      <c r="C611">
        <v>2.8879999999999999</v>
      </c>
      <c r="D611">
        <v>2.7</v>
      </c>
      <c r="E611">
        <v>2.7280000000000002</v>
      </c>
      <c r="F611">
        <v>1482193.0360000001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-0.70212765957446743</v>
      </c>
      <c r="Q611">
        <f t="shared" si="990"/>
        <v>-1040688.7274042544</v>
      </c>
      <c r="R611">
        <f t="shared" si="991"/>
        <v>22451159.567540161</v>
      </c>
      <c r="S611">
        <f t="shared" si="992"/>
        <v>224.51159567540162</v>
      </c>
      <c r="T611">
        <f t="shared" si="993"/>
        <v>0.22451159567540163</v>
      </c>
    </row>
    <row r="612" spans="1:20" x14ac:dyDescent="0.25">
      <c r="A612" s="5">
        <v>43981</v>
      </c>
      <c r="B612">
        <v>2.6779999999999999</v>
      </c>
      <c r="C612">
        <v>2.8340000000000001</v>
      </c>
      <c r="D612">
        <v>2.6429999999999998</v>
      </c>
      <c r="E612">
        <v>2.8170000000000002</v>
      </c>
      <c r="F612">
        <v>1221691.3640000001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0.82198952879581277</v>
      </c>
      <c r="Q612">
        <f t="shared" si="990"/>
        <v>1004217.5086282738</v>
      </c>
      <c r="R612">
        <f t="shared" si="991"/>
        <v>23491848.294944417</v>
      </c>
      <c r="S612">
        <f t="shared" si="992"/>
        <v>234.91848294944415</v>
      </c>
      <c r="T612">
        <f t="shared" si="993"/>
        <v>0.23491848294944415</v>
      </c>
    </row>
    <row r="613" spans="1:20" x14ac:dyDescent="0.25">
      <c r="A613" s="5">
        <v>43980</v>
      </c>
      <c r="B613">
        <v>2.6709999999999998</v>
      </c>
      <c r="C613">
        <v>2.7</v>
      </c>
      <c r="D613">
        <v>2.6240000000000001</v>
      </c>
      <c r="E613">
        <v>2.677</v>
      </c>
      <c r="F613">
        <v>880704.85699999996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0.39473684210526022</v>
      </c>
      <c r="Q613">
        <f t="shared" si="990"/>
        <v>347646.65407894476</v>
      </c>
      <c r="R613">
        <f t="shared" si="991"/>
        <v>22487630.786316141</v>
      </c>
      <c r="S613">
        <f t="shared" si="992"/>
        <v>224.8763078631614</v>
      </c>
      <c r="T613">
        <f t="shared" si="993"/>
        <v>0.2248763078631614</v>
      </c>
    </row>
    <row r="614" spans="1:20" x14ac:dyDescent="0.25">
      <c r="A614" s="5">
        <v>43979</v>
      </c>
      <c r="B614">
        <v>2.6059999999999999</v>
      </c>
      <c r="C614">
        <v>2.6779999999999999</v>
      </c>
      <c r="D614">
        <v>2.5680000000000001</v>
      </c>
      <c r="E614">
        <v>2.6709999999999998</v>
      </c>
      <c r="F614">
        <v>907546.42099999997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0.87272727272727046</v>
      </c>
      <c r="Q614">
        <f t="shared" si="990"/>
        <v>792040.51287272514</v>
      </c>
      <c r="R614">
        <f t="shared" si="991"/>
        <v>22139984.132237196</v>
      </c>
      <c r="S614">
        <f t="shared" si="992"/>
        <v>221.39984132237197</v>
      </c>
      <c r="T614">
        <f t="shared" si="993"/>
        <v>0.22139984132237198</v>
      </c>
    </row>
    <row r="615" spans="1:20" x14ac:dyDescent="0.25">
      <c r="A615" s="5">
        <v>43978</v>
      </c>
      <c r="B615">
        <v>2.5830000000000002</v>
      </c>
      <c r="C615">
        <v>2.7050000000000001</v>
      </c>
      <c r="D615">
        <v>2.573</v>
      </c>
      <c r="E615">
        <v>2.601</v>
      </c>
      <c r="F615">
        <v>1236695.088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-0.5757575757575758</v>
      </c>
      <c r="Q615">
        <f t="shared" si="990"/>
        <v>-712036.56581818184</v>
      </c>
      <c r="R615">
        <f t="shared" si="991"/>
        <v>21347943.61936447</v>
      </c>
      <c r="S615">
        <f t="shared" si="992"/>
        <v>213.47943619364472</v>
      </c>
      <c r="T615">
        <f t="shared" si="993"/>
        <v>0.21347943619364471</v>
      </c>
    </row>
    <row r="616" spans="1:20" x14ac:dyDescent="0.25">
      <c r="A616" s="5">
        <v>43977</v>
      </c>
      <c r="B616">
        <v>2.6120000000000001</v>
      </c>
      <c r="C616">
        <v>2.629</v>
      </c>
      <c r="D616">
        <v>2.5369999999999999</v>
      </c>
      <c r="E616">
        <v>2.5830000000000002</v>
      </c>
      <c r="F616">
        <v>1084247.5759999999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4.8270566288050238E-15</v>
      </c>
      <c r="Q616">
        <f t="shared" si="990"/>
        <v>5.2337244489965784E-9</v>
      </c>
      <c r="R616">
        <f t="shared" si="991"/>
        <v>22059980.185182653</v>
      </c>
      <c r="S616">
        <f t="shared" si="992"/>
        <v>220.59980185182653</v>
      </c>
      <c r="T616">
        <f t="shared" si="993"/>
        <v>0.22059980185182654</v>
      </c>
    </row>
    <row r="617" spans="1:20" x14ac:dyDescent="0.25">
      <c r="A617" s="5">
        <v>43976</v>
      </c>
      <c r="B617">
        <v>2.492</v>
      </c>
      <c r="C617">
        <v>2.64</v>
      </c>
      <c r="D617">
        <v>2.4580000000000002</v>
      </c>
      <c r="E617">
        <v>2.6120000000000001</v>
      </c>
      <c r="F617">
        <v>989497.24300000002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0.69230769230769196</v>
      </c>
      <c r="Q617">
        <f t="shared" si="990"/>
        <v>685036.5528461535</v>
      </c>
      <c r="R617">
        <f t="shared" si="991"/>
        <v>22059980.18518265</v>
      </c>
      <c r="S617">
        <f t="shared" si="992"/>
        <v>220.5998018518265</v>
      </c>
      <c r="T617">
        <f t="shared" si="993"/>
        <v>0.22059980185182651</v>
      </c>
    </row>
    <row r="618" spans="1:20" x14ac:dyDescent="0.25">
      <c r="A618" s="5">
        <v>43975</v>
      </c>
      <c r="B618">
        <v>2.5920000000000001</v>
      </c>
      <c r="C618">
        <v>2.6509999999999998</v>
      </c>
      <c r="D618">
        <v>2.4900000000000002</v>
      </c>
      <c r="E618">
        <v>2.4950000000000001</v>
      </c>
      <c r="F618">
        <v>627848.61100000003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-0.93788819875776519</v>
      </c>
      <c r="Q618">
        <f t="shared" si="990"/>
        <v>-588851.80286335479</v>
      </c>
      <c r="R618">
        <f t="shared" si="991"/>
        <v>21374943.632336497</v>
      </c>
      <c r="S618">
        <f t="shared" si="992"/>
        <v>213.74943632336496</v>
      </c>
      <c r="T618">
        <f t="shared" si="993"/>
        <v>0.21374943632336496</v>
      </c>
    </row>
    <row r="619" spans="1:20" x14ac:dyDescent="0.25">
      <c r="A619" s="5">
        <v>43974</v>
      </c>
      <c r="B619">
        <v>2.65</v>
      </c>
      <c r="C619">
        <v>2.673</v>
      </c>
      <c r="D619">
        <v>2.573</v>
      </c>
      <c r="E619">
        <v>2.5920000000000001</v>
      </c>
      <c r="F619">
        <v>692468.15700000001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-0.61999999999999778</v>
      </c>
      <c r="Q619">
        <f t="shared" si="990"/>
        <v>-429330.25733999844</v>
      </c>
      <c r="R619">
        <f t="shared" si="991"/>
        <v>21963795.435199853</v>
      </c>
      <c r="S619">
        <f t="shared" si="992"/>
        <v>219.63795435199853</v>
      </c>
      <c r="T619">
        <f t="shared" si="993"/>
        <v>0.21963795435199854</v>
      </c>
    </row>
    <row r="620" spans="1:20" x14ac:dyDescent="0.25">
      <c r="A620" s="5">
        <v>43973</v>
      </c>
      <c r="B620">
        <v>2.5129999999999999</v>
      </c>
      <c r="C620">
        <v>2.6840000000000002</v>
      </c>
      <c r="D620">
        <v>2.4870000000000001</v>
      </c>
      <c r="E620">
        <v>2.65</v>
      </c>
      <c r="F620">
        <v>951768.61600000004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0.65482233502537823</v>
      </c>
      <c r="Q620">
        <f t="shared" si="990"/>
        <v>623239.3475329926</v>
      </c>
      <c r="R620">
        <f t="shared" si="991"/>
        <v>22393125.692539852</v>
      </c>
      <c r="S620">
        <f t="shared" si="992"/>
        <v>223.93125692539851</v>
      </c>
      <c r="T620">
        <f t="shared" si="993"/>
        <v>0.2239312569253985</v>
      </c>
    </row>
    <row r="621" spans="1:20" x14ac:dyDescent="0.25">
      <c r="A621" s="5">
        <v>43972</v>
      </c>
      <c r="B621">
        <v>2.7050000000000001</v>
      </c>
      <c r="C621">
        <v>2.734</v>
      </c>
      <c r="D621">
        <v>2.4460000000000002</v>
      </c>
      <c r="E621">
        <v>2.5129999999999999</v>
      </c>
      <c r="F621">
        <v>1984287.406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-0.53472222222222376</v>
      </c>
      <c r="Q621">
        <f t="shared" si="990"/>
        <v>-1061042.5712638919</v>
      </c>
      <c r="R621">
        <f t="shared" si="991"/>
        <v>21769886.345006861</v>
      </c>
      <c r="S621">
        <f t="shared" si="992"/>
        <v>217.69886345006861</v>
      </c>
      <c r="T621">
        <f t="shared" si="993"/>
        <v>0.21769886345006861</v>
      </c>
    </row>
    <row r="622" spans="1:20" x14ac:dyDescent="0.25">
      <c r="A622" s="5">
        <v>43971</v>
      </c>
      <c r="B622">
        <v>2.617</v>
      </c>
      <c r="C622">
        <v>2.71</v>
      </c>
      <c r="D622">
        <v>2.52</v>
      </c>
      <c r="E622">
        <v>2.7050000000000001</v>
      </c>
      <c r="F622">
        <v>2142782.554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0.94736842105263264</v>
      </c>
      <c r="Q622">
        <f t="shared" si="990"/>
        <v>2030004.5248421074</v>
      </c>
      <c r="R622">
        <f t="shared" si="991"/>
        <v>22830928.916270752</v>
      </c>
      <c r="S622">
        <f t="shared" si="992"/>
        <v>228.30928916270753</v>
      </c>
      <c r="T622">
        <f t="shared" si="993"/>
        <v>0.22830928916270754</v>
      </c>
    </row>
    <row r="623" spans="1:20" x14ac:dyDescent="0.25">
      <c r="A623" s="5">
        <v>43970</v>
      </c>
      <c r="B623">
        <v>2.6</v>
      </c>
      <c r="C623">
        <v>2.625</v>
      </c>
      <c r="D623">
        <v>2.5230000000000001</v>
      </c>
      <c r="E623">
        <v>2.617</v>
      </c>
      <c r="F623">
        <v>1100180.1629999999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0.84313725490196045</v>
      </c>
      <c r="Q623">
        <f t="shared" si="990"/>
        <v>927602.88252941135</v>
      </c>
      <c r="R623">
        <f t="shared" si="991"/>
        <v>20800924.391428646</v>
      </c>
      <c r="S623">
        <f t="shared" si="992"/>
        <v>208.00924391428646</v>
      </c>
      <c r="T623">
        <f t="shared" si="993"/>
        <v>0.20800924391428646</v>
      </c>
    </row>
    <row r="624" spans="1:20" x14ac:dyDescent="0.25">
      <c r="A624" s="5">
        <v>43969</v>
      </c>
      <c r="B624">
        <v>2.544</v>
      </c>
      <c r="C624">
        <v>2.6619999999999999</v>
      </c>
      <c r="D624">
        <v>2.54</v>
      </c>
      <c r="E624">
        <v>2.6</v>
      </c>
      <c r="F624">
        <v>805416.45799999998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-1.639344262294903E-2</v>
      </c>
      <c r="Q624">
        <f t="shared" si="990"/>
        <v>-13203.548491801837</v>
      </c>
      <c r="R624">
        <f t="shared" si="991"/>
        <v>19873321.508899234</v>
      </c>
      <c r="S624">
        <f t="shared" si="992"/>
        <v>198.73321508899235</v>
      </c>
      <c r="T624">
        <f t="shared" si="993"/>
        <v>0.19873321508899236</v>
      </c>
    </row>
    <row r="625" spans="1:20" x14ac:dyDescent="0.25">
      <c r="A625" s="5">
        <v>43968</v>
      </c>
      <c r="B625">
        <v>2.5550000000000002</v>
      </c>
      <c r="C625">
        <v>2.64</v>
      </c>
      <c r="D625">
        <v>2.532</v>
      </c>
      <c r="E625">
        <v>2.544</v>
      </c>
      <c r="F625">
        <v>650551.64500000002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-0.77777777777777779</v>
      </c>
      <c r="Q625">
        <f t="shared" si="990"/>
        <v>-505984.61277777777</v>
      </c>
      <c r="R625">
        <f t="shared" si="991"/>
        <v>19886525.057391036</v>
      </c>
      <c r="S625">
        <f t="shared" si="992"/>
        <v>198.86525057391037</v>
      </c>
      <c r="T625">
        <f t="shared" si="993"/>
        <v>0.19886525057391038</v>
      </c>
    </row>
    <row r="626" spans="1:20" x14ac:dyDescent="0.25">
      <c r="A626" s="5">
        <v>43967</v>
      </c>
      <c r="B626">
        <v>2.4729999999999999</v>
      </c>
      <c r="C626">
        <v>2.573</v>
      </c>
      <c r="D626">
        <v>2.4470000000000001</v>
      </c>
      <c r="E626">
        <v>2.5550000000000002</v>
      </c>
      <c r="F626">
        <v>622360.81999999995</v>
      </c>
      <c r="G626">
        <v>0</v>
      </c>
      <c r="L626" t="s">
        <v>8</v>
      </c>
      <c r="M626" t="s">
        <v>7</v>
      </c>
      <c r="N626" t="s">
        <v>8</v>
      </c>
      <c r="P626">
        <f t="shared" si="989"/>
        <v>0.7142857142857173</v>
      </c>
      <c r="Q626">
        <f t="shared" si="990"/>
        <v>444543.44285714469</v>
      </c>
      <c r="R626">
        <f t="shared" si="991"/>
        <v>20392509.670168813</v>
      </c>
      <c r="S626">
        <f t="shared" si="992"/>
        <v>203.92509670168812</v>
      </c>
      <c r="T626">
        <f t="shared" si="993"/>
        <v>0.20392509670168812</v>
      </c>
    </row>
    <row r="627" spans="1:20" x14ac:dyDescent="0.25">
      <c r="A627" s="5">
        <v>43966</v>
      </c>
      <c r="B627">
        <v>2.5310000000000001</v>
      </c>
      <c r="C627">
        <v>2.5779999999999998</v>
      </c>
      <c r="D627">
        <v>2.4209999999999998</v>
      </c>
      <c r="E627">
        <v>2.4729999999999999</v>
      </c>
      <c r="F627">
        <v>941081.97699999996</v>
      </c>
      <c r="G627">
        <v>0</v>
      </c>
      <c r="L627" t="s">
        <v>8</v>
      </c>
      <c r="M627" t="s">
        <v>7</v>
      </c>
      <c r="N627" t="s">
        <v>8</v>
      </c>
      <c r="P627">
        <f t="shared" si="989"/>
        <v>-0.33757961783439444</v>
      </c>
      <c r="Q627">
        <f t="shared" si="990"/>
        <v>-317690.09414649638</v>
      </c>
      <c r="R627">
        <f t="shared" si="991"/>
        <v>19947966.227311667</v>
      </c>
      <c r="S627">
        <f t="shared" si="992"/>
        <v>199.47966227311667</v>
      </c>
      <c r="T627">
        <f t="shared" si="993"/>
        <v>0.19947966227311667</v>
      </c>
    </row>
    <row r="628" spans="1:20" x14ac:dyDescent="0.25">
      <c r="A628" s="5">
        <v>43965</v>
      </c>
      <c r="B628">
        <v>2.54</v>
      </c>
      <c r="C628">
        <v>2.569</v>
      </c>
      <c r="D628">
        <v>2.4569999999999999</v>
      </c>
      <c r="E628">
        <v>2.528</v>
      </c>
      <c r="F628">
        <v>1600397.861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0.26785714285714485</v>
      </c>
      <c r="Q628">
        <f t="shared" si="990"/>
        <v>428677.99848214607</v>
      </c>
      <c r="R628">
        <f t="shared" si="991"/>
        <v>20265656.321458165</v>
      </c>
      <c r="S628">
        <f t="shared" si="992"/>
        <v>202.65656321458164</v>
      </c>
      <c r="T628">
        <f t="shared" si="993"/>
        <v>0.20265656321458164</v>
      </c>
    </row>
    <row r="629" spans="1:20" x14ac:dyDescent="0.25">
      <c r="A629" s="5">
        <v>43964</v>
      </c>
      <c r="B629">
        <v>2.4849999999999999</v>
      </c>
      <c r="C629">
        <v>2.5870000000000002</v>
      </c>
      <c r="D629">
        <v>2.4369999999999998</v>
      </c>
      <c r="E629">
        <v>2.54</v>
      </c>
      <c r="F629">
        <v>784589.71900000004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0.3733333333333328</v>
      </c>
      <c r="Q629">
        <f t="shared" si="990"/>
        <v>292913.49509333295</v>
      </c>
      <c r="R629">
        <f t="shared" si="991"/>
        <v>19836978.322976019</v>
      </c>
      <c r="S629">
        <f t="shared" si="992"/>
        <v>198.3697832297602</v>
      </c>
      <c r="T629">
        <f t="shared" si="993"/>
        <v>0.1983697832297602</v>
      </c>
    </row>
    <row r="630" spans="1:20" x14ac:dyDescent="0.25">
      <c r="A630" s="5">
        <v>43963</v>
      </c>
      <c r="B630">
        <v>2.3929999999999998</v>
      </c>
      <c r="C630">
        <v>2.5289999999999999</v>
      </c>
      <c r="D630">
        <v>2.3809999999999998</v>
      </c>
      <c r="E630">
        <v>2.4860000000000002</v>
      </c>
      <c r="F630">
        <v>991948.00399999996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0.41891891891892341</v>
      </c>
      <c r="Q630">
        <f t="shared" si="990"/>
        <v>415545.78545946389</v>
      </c>
      <c r="R630">
        <f t="shared" si="991"/>
        <v>19544064.827882685</v>
      </c>
      <c r="S630">
        <f t="shared" si="992"/>
        <v>195.44064827882684</v>
      </c>
      <c r="T630">
        <f t="shared" si="993"/>
        <v>0.19544064827882685</v>
      </c>
    </row>
    <row r="631" spans="1:20" x14ac:dyDescent="0.25">
      <c r="A631" s="5">
        <v>43962</v>
      </c>
      <c r="B631">
        <v>2.508</v>
      </c>
      <c r="C631">
        <v>2.5579999999999998</v>
      </c>
      <c r="D631">
        <v>2.2669999999999999</v>
      </c>
      <c r="E631">
        <v>2.3940000000000001</v>
      </c>
      <c r="F631">
        <v>1617563.41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-0.1271477663230223</v>
      </c>
      <c r="Q631">
        <f t="shared" si="990"/>
        <v>-205669.57446735111</v>
      </c>
      <c r="R631">
        <f t="shared" si="991"/>
        <v>19128519.042423222</v>
      </c>
      <c r="S631">
        <f t="shared" si="992"/>
        <v>191.28519042423221</v>
      </c>
      <c r="T631">
        <f t="shared" si="993"/>
        <v>0.1912851904242322</v>
      </c>
    </row>
    <row r="632" spans="1:20" x14ac:dyDescent="0.25">
      <c r="A632" s="5">
        <v>43961</v>
      </c>
      <c r="B632">
        <v>2.75</v>
      </c>
      <c r="C632">
        <v>2.75</v>
      </c>
      <c r="D632">
        <v>2.3239999999999998</v>
      </c>
      <c r="E632">
        <v>2.5139999999999998</v>
      </c>
      <c r="F632">
        <v>1734408.862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-0.10798122065727757</v>
      </c>
      <c r="Q632">
        <f t="shared" si="990"/>
        <v>-187283.58603755967</v>
      </c>
      <c r="R632">
        <f t="shared" si="991"/>
        <v>19334188.616890572</v>
      </c>
      <c r="S632">
        <f t="shared" si="992"/>
        <v>193.34188616890572</v>
      </c>
      <c r="T632">
        <f t="shared" si="993"/>
        <v>0.19334188616890571</v>
      </c>
    </row>
    <row r="633" spans="1:20" x14ac:dyDescent="0.25">
      <c r="A633" s="5">
        <v>43960</v>
      </c>
      <c r="B633">
        <v>2.8050000000000002</v>
      </c>
      <c r="C633">
        <v>2.855</v>
      </c>
      <c r="D633">
        <v>2.7149999999999999</v>
      </c>
      <c r="E633">
        <v>2.75</v>
      </c>
      <c r="F633">
        <v>1435602.6669999999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-0.49999999999999839</v>
      </c>
      <c r="Q633">
        <f t="shared" si="990"/>
        <v>-717801.33349999762</v>
      </c>
      <c r="R633">
        <f t="shared" si="991"/>
        <v>19521472.202928133</v>
      </c>
      <c r="S633">
        <f t="shared" si="992"/>
        <v>195.21472202928135</v>
      </c>
      <c r="T633">
        <f t="shared" si="993"/>
        <v>0.19521472202928133</v>
      </c>
    </row>
    <row r="634" spans="1:20" x14ac:dyDescent="0.25">
      <c r="A634" s="5">
        <v>43959</v>
      </c>
      <c r="B634">
        <v>2.7280000000000002</v>
      </c>
      <c r="C634">
        <v>2.855</v>
      </c>
      <c r="D634">
        <v>2.6749999999999998</v>
      </c>
      <c r="E634">
        <v>2.806</v>
      </c>
      <c r="F634">
        <v>1439678.0660000001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0.45555555555555677</v>
      </c>
      <c r="Q634">
        <f t="shared" si="990"/>
        <v>655853.3411777796</v>
      </c>
      <c r="R634">
        <f t="shared" si="991"/>
        <v>20239273.536428131</v>
      </c>
      <c r="S634">
        <f t="shared" si="992"/>
        <v>202.39273536428132</v>
      </c>
      <c r="T634">
        <f t="shared" si="993"/>
        <v>0.20239273536428132</v>
      </c>
    </row>
    <row r="635" spans="1:20" x14ac:dyDescent="0.25">
      <c r="A635" s="5">
        <v>43958</v>
      </c>
      <c r="B635">
        <v>2.6269999999999998</v>
      </c>
      <c r="C635">
        <v>2.8</v>
      </c>
      <c r="D635">
        <v>2.6</v>
      </c>
      <c r="E635">
        <v>2.7250000000000001</v>
      </c>
      <c r="F635">
        <v>1564125.166</v>
      </c>
      <c r="G635">
        <v>0</v>
      </c>
      <c r="L635" t="s">
        <v>8</v>
      </c>
      <c r="M635" t="s">
        <v>7</v>
      </c>
      <c r="N635" t="s">
        <v>8</v>
      </c>
      <c r="P635">
        <f t="shared" si="989"/>
        <v>0.25000000000000167</v>
      </c>
      <c r="Q635">
        <f t="shared" si="990"/>
        <v>391031.29150000261</v>
      </c>
      <c r="R635">
        <f t="shared" si="991"/>
        <v>19583420.195250351</v>
      </c>
      <c r="S635">
        <f t="shared" si="992"/>
        <v>195.83420195250352</v>
      </c>
      <c r="T635">
        <f t="shared" si="993"/>
        <v>0.19583420195250351</v>
      </c>
    </row>
    <row r="636" spans="1:20" x14ac:dyDescent="0.25">
      <c r="A636" s="5">
        <v>43957</v>
      </c>
      <c r="B636">
        <v>2.7080000000000002</v>
      </c>
      <c r="C636">
        <v>2.7639999999999998</v>
      </c>
      <c r="D636">
        <v>2.6139999999999999</v>
      </c>
      <c r="E636">
        <v>2.6190000000000002</v>
      </c>
      <c r="F636">
        <v>1136978.7350000001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-0.9333333333333288</v>
      </c>
      <c r="Q636">
        <f t="shared" si="990"/>
        <v>-1061180.1526666617</v>
      </c>
      <c r="R636">
        <f t="shared" si="991"/>
        <v>19192388.903750349</v>
      </c>
      <c r="S636">
        <f t="shared" si="992"/>
        <v>191.9238890375035</v>
      </c>
      <c r="T636">
        <f t="shared" si="993"/>
        <v>0.19192388903750349</v>
      </c>
    </row>
    <row r="637" spans="1:20" x14ac:dyDescent="0.25">
      <c r="A637" s="5">
        <v>43956</v>
      </c>
      <c r="B637">
        <v>2.7610000000000001</v>
      </c>
      <c r="C637">
        <v>2.7869999999999999</v>
      </c>
      <c r="D637">
        <v>2.6549999999999998</v>
      </c>
      <c r="E637">
        <v>2.7069999999999999</v>
      </c>
      <c r="F637">
        <v>1111698.388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-0.21212121212121213</v>
      </c>
      <c r="Q637">
        <f t="shared" si="990"/>
        <v>-235814.80957575759</v>
      </c>
      <c r="R637">
        <f t="shared" si="991"/>
        <v>20253569.056417011</v>
      </c>
      <c r="S637">
        <f t="shared" si="992"/>
        <v>202.5356905641701</v>
      </c>
      <c r="T637">
        <f t="shared" si="993"/>
        <v>0.20253569056417009</v>
      </c>
    </row>
    <row r="638" spans="1:20" x14ac:dyDescent="0.25">
      <c r="A638" s="5">
        <v>43955</v>
      </c>
      <c r="B638">
        <v>2.7770000000000001</v>
      </c>
      <c r="C638">
        <v>2.8029999999999999</v>
      </c>
      <c r="D638">
        <v>2.57</v>
      </c>
      <c r="E638">
        <v>2.7610000000000001</v>
      </c>
      <c r="F638">
        <v>1413991.7849999999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0.63948497854077424</v>
      </c>
      <c r="Q638">
        <f t="shared" si="990"/>
        <v>904226.50628755603</v>
      </c>
      <c r="R638">
        <f t="shared" si="991"/>
        <v>20489383.86599277</v>
      </c>
      <c r="S638">
        <f t="shared" si="992"/>
        <v>204.8938386599277</v>
      </c>
      <c r="T638">
        <f t="shared" si="993"/>
        <v>0.20489383865992769</v>
      </c>
    </row>
    <row r="639" spans="1:20" x14ac:dyDescent="0.25">
      <c r="A639" s="5">
        <v>43954</v>
      </c>
      <c r="B639">
        <v>2.8730000000000002</v>
      </c>
      <c r="C639">
        <v>2.9089999999999998</v>
      </c>
      <c r="D639">
        <v>2.73</v>
      </c>
      <c r="E639">
        <v>2.774</v>
      </c>
      <c r="F639">
        <v>849094.58700000006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-0.5083798882681555</v>
      </c>
      <c r="Q639">
        <f t="shared" si="990"/>
        <v>-431662.61126815568</v>
      </c>
      <c r="R639">
        <f t="shared" si="991"/>
        <v>19585157.359705213</v>
      </c>
      <c r="S639">
        <f t="shared" si="992"/>
        <v>195.85157359705212</v>
      </c>
      <c r="T639">
        <f t="shared" si="993"/>
        <v>0.19585157359705213</v>
      </c>
    </row>
    <row r="640" spans="1:20" x14ac:dyDescent="0.25">
      <c r="A640" s="5">
        <v>43953</v>
      </c>
      <c r="B640">
        <v>2.8279999999999998</v>
      </c>
      <c r="C640">
        <v>2.8969999999999998</v>
      </c>
      <c r="D640">
        <v>2.7970000000000002</v>
      </c>
      <c r="E640">
        <v>2.8730000000000002</v>
      </c>
      <c r="F640">
        <v>612877.75100000005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0.52000000000000679</v>
      </c>
      <c r="Q640">
        <f t="shared" si="990"/>
        <v>318696.43052000419</v>
      </c>
      <c r="R640">
        <f t="shared" si="991"/>
        <v>20016819.970973369</v>
      </c>
      <c r="S640">
        <f t="shared" si="992"/>
        <v>200.1681997097337</v>
      </c>
      <c r="T640">
        <f t="shared" si="993"/>
        <v>0.20016819970973371</v>
      </c>
    </row>
    <row r="641" spans="1:20" x14ac:dyDescent="0.25">
      <c r="A641" s="5">
        <v>43952</v>
      </c>
      <c r="B641">
        <v>2.7330000000000001</v>
      </c>
      <c r="C641">
        <v>2.9329999999999998</v>
      </c>
      <c r="D641">
        <v>2.7320000000000002</v>
      </c>
      <c r="E641">
        <v>2.8279999999999998</v>
      </c>
      <c r="F641">
        <v>1182842.253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-4.4776119402986855E-2</v>
      </c>
      <c r="Q641">
        <f t="shared" si="990"/>
        <v>-52963.085955225986</v>
      </c>
      <c r="R641">
        <f t="shared" si="991"/>
        <v>19698123.540453363</v>
      </c>
      <c r="S641">
        <f t="shared" si="992"/>
        <v>196.98123540453363</v>
      </c>
      <c r="T641">
        <f t="shared" si="993"/>
        <v>0.19698123540453363</v>
      </c>
    </row>
    <row r="642" spans="1:20" x14ac:dyDescent="0.25">
      <c r="A642" s="5">
        <v>43951</v>
      </c>
      <c r="B642">
        <v>2.93</v>
      </c>
      <c r="C642">
        <v>3.077</v>
      </c>
      <c r="D642">
        <v>2.6949999999999998</v>
      </c>
      <c r="E642">
        <v>2.734</v>
      </c>
      <c r="F642">
        <v>2694763.7069999999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-0.79581151832460661</v>
      </c>
      <c r="Q642">
        <f t="shared" si="990"/>
        <v>-2144523.9971937151</v>
      </c>
      <c r="R642">
        <f t="shared" si="991"/>
        <v>19751086.626408588</v>
      </c>
      <c r="S642">
        <f t="shared" si="992"/>
        <v>197.51086626408588</v>
      </c>
      <c r="T642">
        <f t="shared" si="993"/>
        <v>0.19751086626408587</v>
      </c>
    </row>
    <row r="643" spans="1:20" x14ac:dyDescent="0.25">
      <c r="A643" s="5">
        <v>43950</v>
      </c>
      <c r="B643">
        <v>2.7949999999999999</v>
      </c>
      <c r="C643">
        <v>2.9860000000000002</v>
      </c>
      <c r="D643">
        <v>2.7829999999999999</v>
      </c>
      <c r="E643">
        <v>2.9289999999999998</v>
      </c>
      <c r="F643">
        <v>1832404.1839999999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0.43842364532019407</v>
      </c>
      <c r="Q643">
        <f t="shared" si="990"/>
        <v>803369.3220492556</v>
      </c>
      <c r="R643">
        <f t="shared" si="991"/>
        <v>21895610.623602305</v>
      </c>
      <c r="S643">
        <f t="shared" si="992"/>
        <v>218.95610623602303</v>
      </c>
      <c r="T643">
        <f t="shared" si="993"/>
        <v>0.21895610623602305</v>
      </c>
    </row>
    <row r="644" spans="1:20" x14ac:dyDescent="0.25">
      <c r="A644" s="5">
        <v>43949</v>
      </c>
      <c r="B644">
        <v>2.7669999999999999</v>
      </c>
      <c r="C644">
        <v>2.85</v>
      </c>
      <c r="D644">
        <v>2.706</v>
      </c>
      <c r="E644">
        <v>2.7930000000000001</v>
      </c>
      <c r="F644">
        <v>1155468.96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0.20833333333333487</v>
      </c>
      <c r="Q644">
        <f t="shared" si="990"/>
        <v>240722.70000000176</v>
      </c>
      <c r="R644">
        <f t="shared" si="991"/>
        <v>21092241.301553048</v>
      </c>
      <c r="S644">
        <f t="shared" si="992"/>
        <v>210.92241301553048</v>
      </c>
      <c r="T644">
        <f t="shared" si="993"/>
        <v>0.21092241301553047</v>
      </c>
    </row>
    <row r="645" spans="1:20" x14ac:dyDescent="0.25">
      <c r="A645" s="5">
        <v>43948</v>
      </c>
      <c r="B645">
        <v>2.8079999999999998</v>
      </c>
      <c r="C645">
        <v>2.8340000000000001</v>
      </c>
      <c r="D645">
        <v>2.6509999999999998</v>
      </c>
      <c r="E645">
        <v>2.7669999999999999</v>
      </c>
      <c r="F645">
        <v>962849.63100000005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0.2677595628415293</v>
      </c>
      <c r="Q645">
        <f t="shared" si="990"/>
        <v>257812.1962786878</v>
      </c>
      <c r="R645">
        <f t="shared" si="991"/>
        <v>20851518.601553045</v>
      </c>
      <c r="S645">
        <f t="shared" si="992"/>
        <v>208.51518601553045</v>
      </c>
      <c r="T645">
        <f t="shared" si="993"/>
        <v>0.20851518601553046</v>
      </c>
    </row>
    <row r="646" spans="1:20" x14ac:dyDescent="0.25">
      <c r="A646" s="5">
        <v>43947</v>
      </c>
      <c r="B646">
        <v>2.8690000000000002</v>
      </c>
      <c r="C646">
        <v>2.9020000000000001</v>
      </c>
      <c r="D646">
        <v>2.7570000000000001</v>
      </c>
      <c r="E646">
        <v>2.8079999999999998</v>
      </c>
      <c r="F646">
        <v>1513843.9480000001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-0.29655172413793507</v>
      </c>
      <c r="Q646">
        <f t="shared" ref="Q646:Q709" si="995">F646*P646</f>
        <v>-448933.03285517852</v>
      </c>
      <c r="R646">
        <f t="shared" ref="R646:R709" si="996">R647+Q646</f>
        <v>20593706.405274358</v>
      </c>
      <c r="S646">
        <f t="shared" ref="S646:S709" si="997">R646/100000</f>
        <v>205.93706405274358</v>
      </c>
      <c r="T646">
        <f t="shared" ref="T646:T709" si="998">S646/1000</f>
        <v>0.20593706405274359</v>
      </c>
    </row>
    <row r="647" spans="1:20" x14ac:dyDescent="0.25">
      <c r="A647" s="5">
        <v>43946</v>
      </c>
      <c r="B647">
        <v>2.7480000000000002</v>
      </c>
      <c r="C647">
        <v>2.9620000000000002</v>
      </c>
      <c r="D647">
        <v>2.6680000000000001</v>
      </c>
      <c r="E647">
        <v>2.871</v>
      </c>
      <c r="F647">
        <v>3190424.0649999999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0.38095238095237971</v>
      </c>
      <c r="Q647">
        <f t="shared" si="995"/>
        <v>1215399.6438095197</v>
      </c>
      <c r="R647">
        <f t="shared" si="996"/>
        <v>21042639.438129537</v>
      </c>
      <c r="S647">
        <f t="shared" si="997"/>
        <v>210.42639438129538</v>
      </c>
      <c r="T647">
        <f t="shared" si="998"/>
        <v>0.21042639438129537</v>
      </c>
    </row>
    <row r="648" spans="1:20" x14ac:dyDescent="0.25">
      <c r="A648" s="5">
        <v>43945</v>
      </c>
      <c r="B648">
        <v>2.4239999999999999</v>
      </c>
      <c r="C648">
        <v>2.8050000000000002</v>
      </c>
      <c r="D648">
        <v>2.42</v>
      </c>
      <c r="E648">
        <v>2.7480000000000002</v>
      </c>
      <c r="F648">
        <v>3714015.1669999999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0.70389610389610435</v>
      </c>
      <c r="Q648">
        <f t="shared" si="995"/>
        <v>2614280.8058623392</v>
      </c>
      <c r="R648">
        <f t="shared" si="996"/>
        <v>19827239.794320017</v>
      </c>
      <c r="S648">
        <f t="shared" si="997"/>
        <v>198.27239794320016</v>
      </c>
      <c r="T648">
        <f t="shared" si="998"/>
        <v>0.19827239794320017</v>
      </c>
    </row>
    <row r="649" spans="1:20" x14ac:dyDescent="0.25">
      <c r="A649" s="5">
        <v>43944</v>
      </c>
      <c r="B649">
        <v>2.39</v>
      </c>
      <c r="C649">
        <v>2.4980000000000002</v>
      </c>
      <c r="D649">
        <v>2.33</v>
      </c>
      <c r="E649">
        <v>2.427</v>
      </c>
      <c r="F649">
        <v>1216592.335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0.15476190476190343</v>
      </c>
      <c r="Q649">
        <f t="shared" si="995"/>
        <v>188282.14708333171</v>
      </c>
      <c r="R649">
        <f t="shared" si="996"/>
        <v>17212958.988457676</v>
      </c>
      <c r="S649">
        <f t="shared" si="997"/>
        <v>172.12958988457677</v>
      </c>
      <c r="T649">
        <f t="shared" si="998"/>
        <v>0.17212958988457677</v>
      </c>
    </row>
    <row r="650" spans="1:20" x14ac:dyDescent="0.25">
      <c r="A650" s="5">
        <v>43943</v>
      </c>
      <c r="B650">
        <v>2.27</v>
      </c>
      <c r="C650">
        <v>2.4129999999999998</v>
      </c>
      <c r="D650">
        <v>2.2599999999999998</v>
      </c>
      <c r="E650">
        <v>2.3879999999999999</v>
      </c>
      <c r="F650">
        <v>628679.01899999997</v>
      </c>
      <c r="G650">
        <v>0</v>
      </c>
      <c r="L650" t="s">
        <v>7</v>
      </c>
      <c r="M650" t="s">
        <v>8</v>
      </c>
      <c r="N650" t="s">
        <v>8</v>
      </c>
      <c r="P650">
        <f t="shared" si="994"/>
        <v>0.67320261437908613</v>
      </c>
      <c r="Q650">
        <f t="shared" si="995"/>
        <v>423228.35919607914</v>
      </c>
      <c r="R650">
        <f t="shared" si="996"/>
        <v>17024676.841374345</v>
      </c>
      <c r="S650">
        <f t="shared" si="997"/>
        <v>170.24676841374344</v>
      </c>
      <c r="T650">
        <f t="shared" si="998"/>
        <v>0.17024676841374345</v>
      </c>
    </row>
    <row r="651" spans="1:20" x14ac:dyDescent="0.25">
      <c r="A651" s="5">
        <v>43942</v>
      </c>
      <c r="B651">
        <v>2.2709999999999999</v>
      </c>
      <c r="C651">
        <v>2.3250000000000002</v>
      </c>
      <c r="D651">
        <v>2.254</v>
      </c>
      <c r="E651">
        <v>2.2709999999999999</v>
      </c>
      <c r="F651">
        <v>867054.99699999997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-0.52112676056338414</v>
      </c>
      <c r="Q651">
        <f t="shared" si="995"/>
        <v>-451845.56181690475</v>
      </c>
      <c r="R651">
        <f t="shared" si="996"/>
        <v>16601448.482178267</v>
      </c>
      <c r="S651">
        <f t="shared" si="997"/>
        <v>166.01448482178267</v>
      </c>
      <c r="T651">
        <f t="shared" si="998"/>
        <v>0.16601448482178266</v>
      </c>
    </row>
    <row r="652" spans="1:20" x14ac:dyDescent="0.25">
      <c r="A652" s="5">
        <v>43941</v>
      </c>
      <c r="B652">
        <v>2.3809999999999998</v>
      </c>
      <c r="C652">
        <v>2.4430000000000001</v>
      </c>
      <c r="D652">
        <v>2.2589999999999999</v>
      </c>
      <c r="E652">
        <v>2.2709999999999999</v>
      </c>
      <c r="F652">
        <v>1743734.575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-0.86956521739130432</v>
      </c>
      <c r="Q652">
        <f t="shared" si="995"/>
        <v>-1516290.9347826086</v>
      </c>
      <c r="R652">
        <f t="shared" si="996"/>
        <v>17053294.043995172</v>
      </c>
      <c r="S652">
        <f t="shared" si="997"/>
        <v>170.53294043995172</v>
      </c>
      <c r="T652">
        <f t="shared" si="998"/>
        <v>0.17053294043995171</v>
      </c>
    </row>
    <row r="653" spans="1:20" x14ac:dyDescent="0.25">
      <c r="A653" s="5">
        <v>43940</v>
      </c>
      <c r="B653">
        <v>2.5099999999999998</v>
      </c>
      <c r="C653">
        <v>2.5430000000000001</v>
      </c>
      <c r="D653">
        <v>2.3730000000000002</v>
      </c>
      <c r="E653">
        <v>2.3820000000000001</v>
      </c>
      <c r="F653">
        <v>1245748.8359999999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-0.89411764705882468</v>
      </c>
      <c r="Q653">
        <f t="shared" si="995"/>
        <v>-1113846.0180705895</v>
      </c>
      <c r="R653">
        <f t="shared" si="996"/>
        <v>18569584.978777781</v>
      </c>
      <c r="S653">
        <f t="shared" si="997"/>
        <v>185.6958497877778</v>
      </c>
      <c r="T653">
        <f t="shared" si="998"/>
        <v>0.18569584978777781</v>
      </c>
    </row>
    <row r="654" spans="1:20" x14ac:dyDescent="0.25">
      <c r="A654" s="5">
        <v>43939</v>
      </c>
      <c r="B654">
        <v>2.3690000000000002</v>
      </c>
      <c r="C654">
        <v>2.5230000000000001</v>
      </c>
      <c r="D654">
        <v>2.367</v>
      </c>
      <c r="E654">
        <v>2.5089999999999999</v>
      </c>
      <c r="F654">
        <v>979325.05099999998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0.82051282051281771</v>
      </c>
      <c r="Q654">
        <f t="shared" si="995"/>
        <v>803548.75979486899</v>
      </c>
      <c r="R654">
        <f t="shared" si="996"/>
        <v>19683430.996848371</v>
      </c>
      <c r="S654">
        <f t="shared" si="997"/>
        <v>196.83430996848372</v>
      </c>
      <c r="T654">
        <f t="shared" si="998"/>
        <v>0.19683430996848372</v>
      </c>
    </row>
    <row r="655" spans="1:20" x14ac:dyDescent="0.25">
      <c r="A655" s="5">
        <v>43938</v>
      </c>
      <c r="B655">
        <v>2.419</v>
      </c>
      <c r="C655">
        <v>2.431</v>
      </c>
      <c r="D655">
        <v>2.351</v>
      </c>
      <c r="E655">
        <v>2.367</v>
      </c>
      <c r="F655">
        <v>699747.21900000004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-0.6</v>
      </c>
      <c r="Q655">
        <f t="shared" si="995"/>
        <v>-419848.33140000002</v>
      </c>
      <c r="R655">
        <f t="shared" si="996"/>
        <v>18879882.237053502</v>
      </c>
      <c r="S655">
        <f t="shared" si="997"/>
        <v>188.79882237053502</v>
      </c>
      <c r="T655">
        <f t="shared" si="998"/>
        <v>0.18879882237053502</v>
      </c>
    </row>
    <row r="656" spans="1:20" x14ac:dyDescent="0.25">
      <c r="A656" s="5">
        <v>43937</v>
      </c>
      <c r="B656">
        <v>2.27</v>
      </c>
      <c r="C656">
        <v>2.4500000000000002</v>
      </c>
      <c r="D656">
        <v>2.19</v>
      </c>
      <c r="E656">
        <v>2.4220000000000002</v>
      </c>
      <c r="F656">
        <v>1364579.868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0.7846153846153846</v>
      </c>
      <c r="Q656">
        <f t="shared" si="995"/>
        <v>1070670.3579692307</v>
      </c>
      <c r="R656">
        <f t="shared" si="996"/>
        <v>19299730.568453502</v>
      </c>
      <c r="S656">
        <f t="shared" si="997"/>
        <v>192.99730568453501</v>
      </c>
      <c r="T656">
        <f t="shared" si="998"/>
        <v>0.19299730568453502</v>
      </c>
    </row>
    <row r="657" spans="1:20" x14ac:dyDescent="0.25">
      <c r="A657" s="5">
        <v>43936</v>
      </c>
      <c r="B657">
        <v>2.3580000000000001</v>
      </c>
      <c r="C657">
        <v>2.4350000000000001</v>
      </c>
      <c r="D657">
        <v>2.2650000000000001</v>
      </c>
      <c r="E657">
        <v>2.27</v>
      </c>
      <c r="F657">
        <v>1237217.2620000001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-0.9411764705882365</v>
      </c>
      <c r="Q657">
        <f t="shared" si="995"/>
        <v>-1164439.7760000017</v>
      </c>
      <c r="R657">
        <f t="shared" si="996"/>
        <v>18229060.21048427</v>
      </c>
      <c r="S657">
        <f t="shared" si="997"/>
        <v>182.29060210484269</v>
      </c>
      <c r="T657">
        <f t="shared" si="998"/>
        <v>0.18229060210484269</v>
      </c>
    </row>
    <row r="658" spans="1:20" x14ac:dyDescent="0.25">
      <c r="A658" s="5">
        <v>43935</v>
      </c>
      <c r="B658">
        <v>2.2599999999999998</v>
      </c>
      <c r="C658">
        <v>2.4460000000000002</v>
      </c>
      <c r="D658">
        <v>2.2200000000000002</v>
      </c>
      <c r="E658">
        <v>2.3610000000000002</v>
      </c>
      <c r="F658">
        <v>2021415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0.24778761061946927</v>
      </c>
      <c r="Q658">
        <f t="shared" si="995"/>
        <v>500881.59292035451</v>
      </c>
      <c r="R658">
        <f t="shared" si="996"/>
        <v>19393499.986484271</v>
      </c>
      <c r="S658">
        <f t="shared" si="997"/>
        <v>193.93499986484269</v>
      </c>
      <c r="T658">
        <f t="shared" si="998"/>
        <v>0.19393499986484269</v>
      </c>
    </row>
    <row r="659" spans="1:20" x14ac:dyDescent="0.25">
      <c r="A659" s="5">
        <v>43934</v>
      </c>
      <c r="B659">
        <v>2.2959999999999998</v>
      </c>
      <c r="C659">
        <v>2.2959999999999998</v>
      </c>
      <c r="D659">
        <v>2.1709999999999998</v>
      </c>
      <c r="E659">
        <v>2.2589999999999999</v>
      </c>
      <c r="F659">
        <v>1120169.3089999999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0.40800000000000125</v>
      </c>
      <c r="Q659">
        <f t="shared" si="995"/>
        <v>457029.07807200134</v>
      </c>
      <c r="R659">
        <f t="shared" si="996"/>
        <v>18892618.393563915</v>
      </c>
      <c r="S659">
        <f t="shared" si="997"/>
        <v>188.92618393563916</v>
      </c>
      <c r="T659">
        <f t="shared" si="998"/>
        <v>0.18892618393563915</v>
      </c>
    </row>
    <row r="660" spans="1:20" x14ac:dyDescent="0.25">
      <c r="A660" s="5">
        <v>43933</v>
      </c>
      <c r="B660">
        <v>2.3029999999999999</v>
      </c>
      <c r="C660">
        <v>2.4009999999999998</v>
      </c>
      <c r="D660">
        <v>2.2469999999999999</v>
      </c>
      <c r="E660">
        <v>2.2989999999999999</v>
      </c>
      <c r="F660">
        <v>969889.46200000006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-0.32467532467532373</v>
      </c>
      <c r="Q660">
        <f t="shared" si="995"/>
        <v>-314899.1759740251</v>
      </c>
      <c r="R660">
        <f t="shared" si="996"/>
        <v>18435589.315491915</v>
      </c>
      <c r="S660">
        <f t="shared" si="997"/>
        <v>184.35589315491916</v>
      </c>
      <c r="T660">
        <f t="shared" si="998"/>
        <v>0.18435589315491915</v>
      </c>
    </row>
    <row r="661" spans="1:20" x14ac:dyDescent="0.25">
      <c r="A661" s="5">
        <v>43932</v>
      </c>
      <c r="B661">
        <v>2.3079999999999998</v>
      </c>
      <c r="C661">
        <v>2.383</v>
      </c>
      <c r="D661">
        <v>2.2309999999999999</v>
      </c>
      <c r="E661">
        <v>2.306</v>
      </c>
      <c r="F661">
        <v>1237900.99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-1.3157894736840644E-2</v>
      </c>
      <c r="Q661">
        <f t="shared" si="995"/>
        <v>-16288.170921050822</v>
      </c>
      <c r="R661">
        <f t="shared" si="996"/>
        <v>18750488.491465941</v>
      </c>
      <c r="S661">
        <f t="shared" si="997"/>
        <v>187.50488491465941</v>
      </c>
      <c r="T661">
        <f t="shared" si="998"/>
        <v>0.18750488491465941</v>
      </c>
    </row>
    <row r="662" spans="1:20" x14ac:dyDescent="0.25">
      <c r="A662" s="5">
        <v>43931</v>
      </c>
      <c r="B662">
        <v>2.5710000000000002</v>
      </c>
      <c r="C662">
        <v>2.5920000000000001</v>
      </c>
      <c r="D662">
        <v>2.194</v>
      </c>
      <c r="E662">
        <v>2.3069999999999999</v>
      </c>
      <c r="F662">
        <v>2614113.1869999999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-0.43216080402010076</v>
      </c>
      <c r="Q662">
        <f t="shared" si="995"/>
        <v>-1129717.256693468</v>
      </c>
      <c r="R662">
        <f t="shared" si="996"/>
        <v>18766776.662386991</v>
      </c>
      <c r="S662">
        <f t="shared" si="997"/>
        <v>187.66776662386991</v>
      </c>
      <c r="T662">
        <f t="shared" si="998"/>
        <v>0.18766776662386991</v>
      </c>
    </row>
    <row r="663" spans="1:20" x14ac:dyDescent="0.25">
      <c r="A663" s="5">
        <v>43930</v>
      </c>
      <c r="B663">
        <v>2.4929999999999999</v>
      </c>
      <c r="C663">
        <v>2.6259999999999999</v>
      </c>
      <c r="D663">
        <v>2.3730000000000002</v>
      </c>
      <c r="E663">
        <v>2.573</v>
      </c>
      <c r="F663">
        <v>2599056.253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0.5810276679841897</v>
      </c>
      <c r="Q663">
        <f t="shared" si="995"/>
        <v>1510123.593640316</v>
      </c>
      <c r="R663">
        <f t="shared" si="996"/>
        <v>19896493.919080459</v>
      </c>
      <c r="S663">
        <f t="shared" si="997"/>
        <v>198.96493919080459</v>
      </c>
      <c r="T663">
        <f t="shared" si="998"/>
        <v>0.19896493919080457</v>
      </c>
    </row>
    <row r="664" spans="1:20" x14ac:dyDescent="0.25">
      <c r="A664" s="5">
        <v>43929</v>
      </c>
      <c r="B664">
        <v>2.3450000000000002</v>
      </c>
      <c r="C664">
        <v>2.5</v>
      </c>
      <c r="D664">
        <v>2.2989999999999999</v>
      </c>
      <c r="E664">
        <v>2.4929999999999999</v>
      </c>
      <c r="F664">
        <v>2403680.0720000002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0.93034825870646654</v>
      </c>
      <c r="Q664">
        <f t="shared" si="995"/>
        <v>2236259.5694726342</v>
      </c>
      <c r="R664">
        <f t="shared" si="996"/>
        <v>18386370.325440142</v>
      </c>
      <c r="S664">
        <f t="shared" si="997"/>
        <v>183.86370325440143</v>
      </c>
      <c r="T664">
        <f t="shared" si="998"/>
        <v>0.18386370325440143</v>
      </c>
    </row>
    <row r="665" spans="1:20" x14ac:dyDescent="0.25">
      <c r="A665" s="5">
        <v>43928</v>
      </c>
      <c r="B665">
        <v>2.4060000000000001</v>
      </c>
      <c r="C665">
        <v>2.496</v>
      </c>
      <c r="D665">
        <v>2.3039999999999998</v>
      </c>
      <c r="E665">
        <v>2.3460000000000001</v>
      </c>
      <c r="F665">
        <v>2656699.4670000002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-0.56249999999999767</v>
      </c>
      <c r="Q665">
        <f t="shared" si="995"/>
        <v>-1494393.4501874938</v>
      </c>
      <c r="R665">
        <f t="shared" si="996"/>
        <v>16150110.755967509</v>
      </c>
      <c r="S665">
        <f t="shared" si="997"/>
        <v>161.50110755967509</v>
      </c>
      <c r="T665">
        <f t="shared" si="998"/>
        <v>0.16150110755967509</v>
      </c>
    </row>
    <row r="666" spans="1:20" x14ac:dyDescent="0.25">
      <c r="A666" s="5">
        <v>43927</v>
      </c>
      <c r="B666">
        <v>2.0649999999999999</v>
      </c>
      <c r="C666">
        <v>2.4180000000000001</v>
      </c>
      <c r="D666">
        <v>2.0640000000000001</v>
      </c>
      <c r="E666">
        <v>2.407</v>
      </c>
      <c r="F666">
        <v>2667448.0929999999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0.93785310734463212</v>
      </c>
      <c r="Q666">
        <f t="shared" si="995"/>
        <v>2501674.482700563</v>
      </c>
      <c r="R666">
        <f t="shared" si="996"/>
        <v>17644504.206155002</v>
      </c>
      <c r="S666">
        <f t="shared" si="997"/>
        <v>176.44504206155003</v>
      </c>
      <c r="T666">
        <f t="shared" si="998"/>
        <v>0.17644504206155004</v>
      </c>
    </row>
    <row r="667" spans="1:20" x14ac:dyDescent="0.25">
      <c r="A667" s="5">
        <v>43926</v>
      </c>
      <c r="B667">
        <v>2.0230000000000001</v>
      </c>
      <c r="C667">
        <v>2.097</v>
      </c>
      <c r="D667">
        <v>2.012</v>
      </c>
      <c r="E667">
        <v>2.0640000000000001</v>
      </c>
      <c r="F667">
        <v>712201.674</v>
      </c>
      <c r="G667">
        <v>0</v>
      </c>
      <c r="L667" t="s">
        <v>8</v>
      </c>
      <c r="M667" t="s">
        <v>7</v>
      </c>
      <c r="N667" t="s">
        <v>8</v>
      </c>
      <c r="P667">
        <f t="shared" si="994"/>
        <v>0.22352941176470748</v>
      </c>
      <c r="Q667">
        <f t="shared" si="995"/>
        <v>159198.02124705995</v>
      </c>
      <c r="R667">
        <f t="shared" si="996"/>
        <v>15142829.72345444</v>
      </c>
      <c r="S667">
        <f t="shared" si="997"/>
        <v>151.4282972345444</v>
      </c>
      <c r="T667">
        <f t="shared" si="998"/>
        <v>0.1514282972345444</v>
      </c>
    </row>
    <row r="668" spans="1:20" x14ac:dyDescent="0.25">
      <c r="A668" s="5">
        <v>43925</v>
      </c>
      <c r="B668">
        <v>1.978</v>
      </c>
      <c r="C668">
        <v>2.0550000000000002</v>
      </c>
      <c r="D668">
        <v>1.964</v>
      </c>
      <c r="E668">
        <v>2.0219999999999998</v>
      </c>
      <c r="F668">
        <v>590549.82700000005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0.27472527472526831</v>
      </c>
      <c r="Q668">
        <f t="shared" si="995"/>
        <v>162238.96346153467</v>
      </c>
      <c r="R668">
        <f t="shared" si="996"/>
        <v>14983631.702207381</v>
      </c>
      <c r="S668">
        <f t="shared" si="997"/>
        <v>149.83631702207381</v>
      </c>
      <c r="T668">
        <f t="shared" si="998"/>
        <v>0.14983631702207381</v>
      </c>
    </row>
    <row r="669" spans="1:20" x14ac:dyDescent="0.25">
      <c r="A669" s="5">
        <v>43924</v>
      </c>
      <c r="B669">
        <v>1.98</v>
      </c>
      <c r="C669">
        <v>2.0609999999999999</v>
      </c>
      <c r="D669">
        <v>1.9530000000000001</v>
      </c>
      <c r="E669">
        <v>1.978</v>
      </c>
      <c r="F669">
        <v>872477.73800000001</v>
      </c>
      <c r="G669">
        <v>0</v>
      </c>
      <c r="L669" t="s">
        <v>7</v>
      </c>
      <c r="M669" t="s">
        <v>7</v>
      </c>
      <c r="N669" t="s">
        <v>8</v>
      </c>
      <c r="P669">
        <f t="shared" si="994"/>
        <v>-0.53703703703703809</v>
      </c>
      <c r="Q669">
        <f t="shared" si="995"/>
        <v>-468552.85929629725</v>
      </c>
      <c r="R669">
        <f t="shared" si="996"/>
        <v>14821392.738745846</v>
      </c>
      <c r="S669">
        <f t="shared" si="997"/>
        <v>148.21392738745845</v>
      </c>
      <c r="T669">
        <f t="shared" si="998"/>
        <v>0.14821392738745845</v>
      </c>
    </row>
    <row r="670" spans="1:20" x14ac:dyDescent="0.25">
      <c r="A670" s="5">
        <v>43923</v>
      </c>
      <c r="B670">
        <v>1.9710000000000001</v>
      </c>
      <c r="C670">
        <v>2.11</v>
      </c>
      <c r="D670">
        <v>1.95</v>
      </c>
      <c r="E670">
        <v>1.982</v>
      </c>
      <c r="F670">
        <v>1227460.0530000001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-0.59999999999999942</v>
      </c>
      <c r="Q670">
        <f t="shared" si="995"/>
        <v>-736476.0317999993</v>
      </c>
      <c r="R670">
        <f t="shared" si="996"/>
        <v>15289945.598042144</v>
      </c>
      <c r="S670">
        <f t="shared" si="997"/>
        <v>152.89945598042144</v>
      </c>
      <c r="T670">
        <f t="shared" si="998"/>
        <v>0.15289945598042143</v>
      </c>
    </row>
    <row r="671" spans="1:20" x14ac:dyDescent="0.25">
      <c r="A671" s="5">
        <v>43922</v>
      </c>
      <c r="B671">
        <v>1.95</v>
      </c>
      <c r="C671">
        <v>1.9850000000000001</v>
      </c>
      <c r="D671">
        <v>1.8839999999999999</v>
      </c>
      <c r="E671">
        <v>1.9690000000000001</v>
      </c>
      <c r="F671">
        <v>686188.83299999998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0.68316831683168355</v>
      </c>
      <c r="Q671">
        <f t="shared" si="995"/>
        <v>468782.47006930719</v>
      </c>
      <c r="R671">
        <f t="shared" si="996"/>
        <v>16026421.629842144</v>
      </c>
      <c r="S671">
        <f t="shared" si="997"/>
        <v>160.26421629842145</v>
      </c>
      <c r="T671">
        <f t="shared" si="998"/>
        <v>0.16026421629842144</v>
      </c>
    </row>
    <row r="672" spans="1:20" x14ac:dyDescent="0.25">
      <c r="A672" s="5">
        <v>43921</v>
      </c>
      <c r="B672">
        <v>1.9550000000000001</v>
      </c>
      <c r="C672">
        <v>1.992</v>
      </c>
      <c r="D672">
        <v>1.9330000000000001</v>
      </c>
      <c r="E672">
        <v>1.95</v>
      </c>
      <c r="F672">
        <v>684896.598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-0.42372881355932474</v>
      </c>
      <c r="Q672">
        <f t="shared" si="995"/>
        <v>-290210.42288135778</v>
      </c>
      <c r="R672">
        <f t="shared" si="996"/>
        <v>15557639.159772836</v>
      </c>
      <c r="S672">
        <f t="shared" si="997"/>
        <v>155.57639159772836</v>
      </c>
      <c r="T672">
        <f t="shared" si="998"/>
        <v>0.15557639159772835</v>
      </c>
    </row>
    <row r="673" spans="1:20" x14ac:dyDescent="0.25">
      <c r="A673" s="5">
        <v>43920</v>
      </c>
      <c r="B673">
        <v>1.8520000000000001</v>
      </c>
      <c r="C673">
        <v>2.036</v>
      </c>
      <c r="D673">
        <v>1.845</v>
      </c>
      <c r="E673">
        <v>1.9570000000000001</v>
      </c>
      <c r="F673">
        <v>957777.223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0.17277486910994833</v>
      </c>
      <c r="Q673">
        <f t="shared" si="995"/>
        <v>165479.83434031479</v>
      </c>
      <c r="R673">
        <f t="shared" si="996"/>
        <v>15847849.582654193</v>
      </c>
      <c r="S673">
        <f t="shared" si="997"/>
        <v>158.47849582654192</v>
      </c>
      <c r="T673">
        <f t="shared" si="998"/>
        <v>0.15847849582654192</v>
      </c>
    </row>
    <row r="674" spans="1:20" x14ac:dyDescent="0.25">
      <c r="A674" s="5">
        <v>43919</v>
      </c>
      <c r="B674">
        <v>1.9730000000000001</v>
      </c>
      <c r="C674">
        <v>1.9830000000000001</v>
      </c>
      <c r="D674">
        <v>1.8440000000000001</v>
      </c>
      <c r="E674">
        <v>1.85</v>
      </c>
      <c r="F674">
        <v>834784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-0.91366906474820142</v>
      </c>
      <c r="Q674">
        <f t="shared" si="995"/>
        <v>-762716.31654676259</v>
      </c>
      <c r="R674">
        <f t="shared" si="996"/>
        <v>15682369.748313878</v>
      </c>
      <c r="S674">
        <f t="shared" si="997"/>
        <v>156.82369748313877</v>
      </c>
      <c r="T674">
        <f t="shared" si="998"/>
        <v>0.15682369748313876</v>
      </c>
    </row>
    <row r="675" spans="1:20" x14ac:dyDescent="0.25">
      <c r="A675" s="5">
        <v>43918</v>
      </c>
      <c r="B675">
        <v>1.9890000000000001</v>
      </c>
      <c r="C675">
        <v>1.9910000000000001</v>
      </c>
      <c r="D675">
        <v>1.869</v>
      </c>
      <c r="E675">
        <v>1.9710000000000001</v>
      </c>
      <c r="F675">
        <v>1401296.585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0.67213114754098358</v>
      </c>
      <c r="Q675">
        <f t="shared" si="995"/>
        <v>941855.08172131144</v>
      </c>
      <c r="R675">
        <f t="shared" si="996"/>
        <v>16445086.06486064</v>
      </c>
      <c r="S675">
        <f t="shared" si="997"/>
        <v>164.45086064860641</v>
      </c>
      <c r="T675">
        <f t="shared" si="998"/>
        <v>0.1644508606486064</v>
      </c>
    </row>
    <row r="676" spans="1:20" x14ac:dyDescent="0.25">
      <c r="A676" s="5">
        <v>43917</v>
      </c>
      <c r="B676">
        <v>2.173</v>
      </c>
      <c r="C676">
        <v>2.2090000000000001</v>
      </c>
      <c r="D676">
        <v>1.946</v>
      </c>
      <c r="E676">
        <v>1.992</v>
      </c>
      <c r="F676">
        <v>796205.08299999998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-0.65019011406844096</v>
      </c>
      <c r="Q676">
        <f t="shared" si="995"/>
        <v>-517684.67373764247</v>
      </c>
      <c r="R676">
        <f t="shared" si="996"/>
        <v>15503230.983139329</v>
      </c>
      <c r="S676">
        <f t="shared" si="997"/>
        <v>155.03230983139329</v>
      </c>
      <c r="T676">
        <f t="shared" si="998"/>
        <v>0.15503230983139329</v>
      </c>
    </row>
    <row r="677" spans="1:20" x14ac:dyDescent="0.25">
      <c r="A677" s="5">
        <v>43916</v>
      </c>
      <c r="B677">
        <v>2.0819999999999999</v>
      </c>
      <c r="C677">
        <v>2.1789999999999998</v>
      </c>
      <c r="D677">
        <v>2.0569999999999999</v>
      </c>
      <c r="E677">
        <v>2.173</v>
      </c>
      <c r="F677">
        <v>729890.49699999997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0.90163934426229853</v>
      </c>
      <c r="Q677">
        <f t="shared" si="995"/>
        <v>658097.98909836309</v>
      </c>
      <c r="R677">
        <f t="shared" si="996"/>
        <v>16020915.656876972</v>
      </c>
      <c r="S677">
        <f t="shared" si="997"/>
        <v>160.20915656876971</v>
      </c>
      <c r="T677">
        <f t="shared" si="998"/>
        <v>0.16020915656876972</v>
      </c>
    </row>
    <row r="678" spans="1:20" x14ac:dyDescent="0.25">
      <c r="A678" s="5">
        <v>43915</v>
      </c>
      <c r="B678">
        <v>2.1440000000000001</v>
      </c>
      <c r="C678">
        <v>2.1880000000000002</v>
      </c>
      <c r="D678">
        <v>2.04</v>
      </c>
      <c r="E678">
        <v>2.0790000000000002</v>
      </c>
      <c r="F678">
        <v>1086513.7439999999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-0.47297297297297147</v>
      </c>
      <c r="Q678">
        <f t="shared" si="995"/>
        <v>-513891.63567567401</v>
      </c>
      <c r="R678">
        <f t="shared" si="996"/>
        <v>15362817.667778609</v>
      </c>
      <c r="S678">
        <f t="shared" si="997"/>
        <v>153.62817667778609</v>
      </c>
      <c r="T678">
        <f t="shared" si="998"/>
        <v>0.15362817667778608</v>
      </c>
    </row>
    <row r="679" spans="1:20" x14ac:dyDescent="0.25">
      <c r="A679" s="5">
        <v>43914</v>
      </c>
      <c r="B679">
        <v>2.1080000000000001</v>
      </c>
      <c r="C679">
        <v>2.2330000000000001</v>
      </c>
      <c r="D679">
        <v>2.0750000000000002</v>
      </c>
      <c r="E679">
        <v>2.1429999999999998</v>
      </c>
      <c r="F679">
        <v>1509990.004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-0.13924050632911833</v>
      </c>
      <c r="Q679">
        <f t="shared" si="995"/>
        <v>-210251.77270886741</v>
      </c>
      <c r="R679">
        <f t="shared" si="996"/>
        <v>15876709.303454284</v>
      </c>
      <c r="S679">
        <f t="shared" si="997"/>
        <v>158.76709303454282</v>
      </c>
      <c r="T679">
        <f t="shared" si="998"/>
        <v>0.15876709303454281</v>
      </c>
    </row>
    <row r="680" spans="1:20" x14ac:dyDescent="0.25">
      <c r="A680" s="5">
        <v>43913</v>
      </c>
      <c r="B680">
        <v>1.9159999999999999</v>
      </c>
      <c r="C680">
        <v>2.15</v>
      </c>
      <c r="D680">
        <v>1.8859999999999999</v>
      </c>
      <c r="E680">
        <v>2.1110000000000002</v>
      </c>
      <c r="F680">
        <v>1423716.943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0.70454545454545681</v>
      </c>
      <c r="Q680">
        <f t="shared" si="995"/>
        <v>1003073.3007500032</v>
      </c>
      <c r="R680">
        <f t="shared" si="996"/>
        <v>16086961.07616315</v>
      </c>
      <c r="S680">
        <f t="shared" si="997"/>
        <v>160.86961076163149</v>
      </c>
      <c r="T680">
        <f t="shared" si="998"/>
        <v>0.1608696107616315</v>
      </c>
    </row>
    <row r="681" spans="1:20" x14ac:dyDescent="0.25">
      <c r="A681" s="5">
        <v>43912</v>
      </c>
      <c r="B681">
        <v>2.169</v>
      </c>
      <c r="C681">
        <v>2.234</v>
      </c>
      <c r="D681">
        <v>1.91</v>
      </c>
      <c r="E681">
        <v>1.917</v>
      </c>
      <c r="F681">
        <v>1021028.042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-0.95679012345678938</v>
      </c>
      <c r="Q681">
        <f t="shared" si="995"/>
        <v>-976909.54635802389</v>
      </c>
      <c r="R681">
        <f t="shared" si="996"/>
        <v>15083887.775413148</v>
      </c>
      <c r="S681">
        <f t="shared" si="997"/>
        <v>150.83887775413149</v>
      </c>
      <c r="T681">
        <f t="shared" si="998"/>
        <v>0.15083887775413149</v>
      </c>
    </row>
    <row r="682" spans="1:20" x14ac:dyDescent="0.25">
      <c r="A682" s="5">
        <v>43911</v>
      </c>
      <c r="B682">
        <v>2.17</v>
      </c>
      <c r="C682">
        <v>2.2469999999999999</v>
      </c>
      <c r="D682">
        <v>1.994</v>
      </c>
      <c r="E682">
        <v>2.1680000000000001</v>
      </c>
      <c r="F682">
        <v>1695858.7649999999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0.37549407114624689</v>
      </c>
      <c r="Q682">
        <f t="shared" si="995"/>
        <v>636784.91175889631</v>
      </c>
      <c r="R682">
        <f t="shared" si="996"/>
        <v>16060797.321771173</v>
      </c>
      <c r="S682">
        <f t="shared" si="997"/>
        <v>160.60797321771173</v>
      </c>
      <c r="T682">
        <f t="shared" si="998"/>
        <v>0.16060797321771172</v>
      </c>
    </row>
    <row r="683" spans="1:20" x14ac:dyDescent="0.25">
      <c r="A683" s="5">
        <v>43910</v>
      </c>
      <c r="B683">
        <v>2.0680000000000001</v>
      </c>
      <c r="C683">
        <v>2.4849999999999999</v>
      </c>
      <c r="D683">
        <v>1.8009999999999999</v>
      </c>
      <c r="E683">
        <v>2.165</v>
      </c>
      <c r="F683">
        <v>3840381.912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6.4327485380117344E-2</v>
      </c>
      <c r="Q683">
        <f t="shared" si="995"/>
        <v>247042.11129824709</v>
      </c>
      <c r="R683">
        <f t="shared" si="996"/>
        <v>15424012.410012277</v>
      </c>
      <c r="S683">
        <f t="shared" si="997"/>
        <v>154.24012410012276</v>
      </c>
      <c r="T683">
        <f t="shared" si="998"/>
        <v>0.15424012410012275</v>
      </c>
    </row>
    <row r="684" spans="1:20" x14ac:dyDescent="0.25">
      <c r="A684" s="5">
        <v>43909</v>
      </c>
      <c r="B684">
        <v>1.8140000000000001</v>
      </c>
      <c r="C684">
        <v>2.149</v>
      </c>
      <c r="D684">
        <v>1.768</v>
      </c>
      <c r="E684">
        <v>2.0670000000000002</v>
      </c>
      <c r="F684">
        <v>2154372.0690000001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0.56955380577427905</v>
      </c>
      <c r="Q684">
        <f t="shared" si="995"/>
        <v>1227030.8109527577</v>
      </c>
      <c r="R684">
        <f t="shared" si="996"/>
        <v>15176970.298714031</v>
      </c>
      <c r="S684">
        <f t="shared" si="997"/>
        <v>151.76970298714031</v>
      </c>
      <c r="T684">
        <f t="shared" si="998"/>
        <v>0.15176970298714029</v>
      </c>
    </row>
    <row r="685" spans="1:20" x14ac:dyDescent="0.25">
      <c r="A685" s="5">
        <v>43908</v>
      </c>
      <c r="B685">
        <v>1.7629999999999999</v>
      </c>
      <c r="C685">
        <v>1.843</v>
      </c>
      <c r="D685">
        <v>1.65</v>
      </c>
      <c r="E685">
        <v>1.8109999999999999</v>
      </c>
      <c r="F685">
        <v>1605197.959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0.66839378238341951</v>
      </c>
      <c r="Q685">
        <f t="shared" si="995"/>
        <v>1072904.3352901551</v>
      </c>
      <c r="R685">
        <f t="shared" si="996"/>
        <v>13949939.487761272</v>
      </c>
      <c r="S685">
        <f t="shared" si="997"/>
        <v>139.49939487761273</v>
      </c>
      <c r="T685">
        <f t="shared" si="998"/>
        <v>0.13949939487761273</v>
      </c>
    </row>
    <row r="686" spans="1:20" x14ac:dyDescent="0.25">
      <c r="A686" s="5">
        <v>43907</v>
      </c>
      <c r="B686">
        <v>1.6719999999999999</v>
      </c>
      <c r="C686">
        <v>1.88</v>
      </c>
      <c r="D686">
        <v>1.6339999999999999</v>
      </c>
      <c r="E686">
        <v>1.7629999999999999</v>
      </c>
      <c r="F686">
        <v>1488467.013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4.8780487804878092E-2</v>
      </c>
      <c r="Q686">
        <f t="shared" si="995"/>
        <v>72608.146975609823</v>
      </c>
      <c r="R686">
        <f t="shared" si="996"/>
        <v>12877035.152471118</v>
      </c>
      <c r="S686">
        <f t="shared" si="997"/>
        <v>128.77035152471117</v>
      </c>
      <c r="T686">
        <f t="shared" si="998"/>
        <v>0.12877035152471117</v>
      </c>
    </row>
    <row r="687" spans="1:20" x14ac:dyDescent="0.25">
      <c r="A687" s="5">
        <v>43906</v>
      </c>
      <c r="B687">
        <v>1.9239999999999999</v>
      </c>
      <c r="C687">
        <v>1.9239999999999999</v>
      </c>
      <c r="D687">
        <v>1.5</v>
      </c>
      <c r="E687">
        <v>1.671</v>
      </c>
      <c r="F687">
        <v>2595020.0449999999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-0.19339622641509402</v>
      </c>
      <c r="Q687">
        <f t="shared" si="995"/>
        <v>-501867.08417452744</v>
      </c>
      <c r="R687">
        <f t="shared" si="996"/>
        <v>12804427.005495507</v>
      </c>
      <c r="S687">
        <f t="shared" si="997"/>
        <v>128.04427005495506</v>
      </c>
      <c r="T687">
        <f t="shared" si="998"/>
        <v>0.12804427005495506</v>
      </c>
    </row>
    <row r="688" spans="1:20" x14ac:dyDescent="0.25">
      <c r="A688" s="5">
        <v>43905</v>
      </c>
      <c r="B688">
        <v>1.837</v>
      </c>
      <c r="C688">
        <v>2.089</v>
      </c>
      <c r="D688">
        <v>1.8160000000000001</v>
      </c>
      <c r="E688">
        <v>1.921</v>
      </c>
      <c r="F688">
        <v>2652197.56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-0.23076923076923064</v>
      </c>
      <c r="Q688">
        <f t="shared" si="995"/>
        <v>-612045.5907692305</v>
      </c>
      <c r="R688">
        <f t="shared" si="996"/>
        <v>13306294.089670034</v>
      </c>
      <c r="S688">
        <f t="shared" si="997"/>
        <v>133.06294089670035</v>
      </c>
      <c r="T688">
        <f t="shared" si="998"/>
        <v>0.13306294089670034</v>
      </c>
    </row>
    <row r="689" spans="1:20" x14ac:dyDescent="0.25">
      <c r="A689" s="5">
        <v>43904</v>
      </c>
      <c r="B689">
        <v>1.804</v>
      </c>
      <c r="C689">
        <v>1.992</v>
      </c>
      <c r="D689">
        <v>1.6839999999999999</v>
      </c>
      <c r="E689">
        <v>1.837</v>
      </c>
      <c r="F689">
        <v>3075153.8280000002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-6.4935064935064983E-3</v>
      </c>
      <c r="Q689">
        <f t="shared" si="995"/>
        <v>-19968.531350649366</v>
      </c>
      <c r="R689">
        <f t="shared" si="996"/>
        <v>13918339.680439265</v>
      </c>
      <c r="S689">
        <f t="shared" si="997"/>
        <v>139.18339680439266</v>
      </c>
      <c r="T689">
        <f t="shared" si="998"/>
        <v>0.13918339680439265</v>
      </c>
    </row>
    <row r="690" spans="1:20" x14ac:dyDescent="0.25">
      <c r="A690" s="5">
        <v>43903</v>
      </c>
      <c r="B690">
        <v>1.6160000000000001</v>
      </c>
      <c r="C690">
        <v>1.9510000000000001</v>
      </c>
      <c r="D690">
        <v>1.0609999999999999</v>
      </c>
      <c r="E690">
        <v>1.804</v>
      </c>
      <c r="F690">
        <v>4843944.693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0.66966292134831462</v>
      </c>
      <c r="Q690">
        <f t="shared" si="995"/>
        <v>3243810.153964045</v>
      </c>
      <c r="R690">
        <f t="shared" si="996"/>
        <v>13938308.211789915</v>
      </c>
      <c r="S690">
        <f t="shared" si="997"/>
        <v>139.38308211789916</v>
      </c>
      <c r="T690">
        <f t="shared" si="998"/>
        <v>0.13938308211789915</v>
      </c>
    </row>
    <row r="691" spans="1:20" x14ac:dyDescent="0.25">
      <c r="A691" s="5">
        <v>43902</v>
      </c>
      <c r="B691">
        <v>2.996</v>
      </c>
      <c r="C691">
        <v>3.0259999999999998</v>
      </c>
      <c r="D691">
        <v>1.464</v>
      </c>
      <c r="E691">
        <v>1.615</v>
      </c>
      <c r="F691">
        <v>6447358.2989999996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-0.80665813060179248</v>
      </c>
      <c r="Q691">
        <f t="shared" si="995"/>
        <v>-5200813.9927912923</v>
      </c>
      <c r="R691">
        <f t="shared" si="996"/>
        <v>10694498.057825871</v>
      </c>
      <c r="S691">
        <f t="shared" si="997"/>
        <v>106.94498057825871</v>
      </c>
      <c r="T691">
        <f t="shared" si="998"/>
        <v>0.10694498057825871</v>
      </c>
    </row>
    <row r="692" spans="1:20" x14ac:dyDescent="0.25">
      <c r="A692" s="5">
        <v>43901</v>
      </c>
      <c r="B692">
        <v>3.0649999999999999</v>
      </c>
      <c r="C692">
        <v>3.1059999999999999</v>
      </c>
      <c r="D692">
        <v>2.69</v>
      </c>
      <c r="E692">
        <v>2.9940000000000002</v>
      </c>
      <c r="F692">
        <v>2172632.3029999998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0.46153846153846312</v>
      </c>
      <c r="Q692">
        <f t="shared" si="995"/>
        <v>1002753.3706153879</v>
      </c>
      <c r="R692">
        <f t="shared" si="996"/>
        <v>15895312.050617164</v>
      </c>
      <c r="S692">
        <f t="shared" si="997"/>
        <v>158.95312050617164</v>
      </c>
      <c r="T692">
        <f t="shared" si="998"/>
        <v>0.15895312050617164</v>
      </c>
    </row>
    <row r="693" spans="1:20" x14ac:dyDescent="0.25">
      <c r="A693" s="5">
        <v>43900</v>
      </c>
      <c r="B693">
        <v>3.0259999999999998</v>
      </c>
      <c r="C693">
        <v>3.2</v>
      </c>
      <c r="D693">
        <v>2.88</v>
      </c>
      <c r="E693">
        <v>3.0619999999999998</v>
      </c>
      <c r="F693">
        <v>2662690.2039999999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0.13749999999999862</v>
      </c>
      <c r="Q693">
        <f t="shared" si="995"/>
        <v>366119.9030499963</v>
      </c>
      <c r="R693">
        <f t="shared" si="996"/>
        <v>14892558.680001777</v>
      </c>
      <c r="S693">
        <f t="shared" si="997"/>
        <v>148.92558680001775</v>
      </c>
      <c r="T693">
        <f t="shared" si="998"/>
        <v>0.14892558680001775</v>
      </c>
    </row>
    <row r="694" spans="1:20" x14ac:dyDescent="0.25">
      <c r="A694" s="5">
        <v>43899</v>
      </c>
      <c r="B694">
        <v>3.0830000000000002</v>
      </c>
      <c r="C694">
        <v>3.1659999999999999</v>
      </c>
      <c r="D694">
        <v>2.8250000000000002</v>
      </c>
      <c r="E694">
        <v>3.0259999999999998</v>
      </c>
      <c r="F694">
        <v>2893167.3489999999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0.1788856304985324</v>
      </c>
      <c r="Q694">
        <f t="shared" si="995"/>
        <v>517546.06536363252</v>
      </c>
      <c r="R694">
        <f t="shared" si="996"/>
        <v>14526438.776951781</v>
      </c>
      <c r="S694">
        <f t="shared" si="997"/>
        <v>145.26438776951781</v>
      </c>
      <c r="T694">
        <f t="shared" si="998"/>
        <v>0.14526438776951781</v>
      </c>
    </row>
    <row r="695" spans="1:20" x14ac:dyDescent="0.25">
      <c r="A695" s="5">
        <v>43898</v>
      </c>
      <c r="B695">
        <v>3.6179999999999999</v>
      </c>
      <c r="C695">
        <v>3.6179999999999999</v>
      </c>
      <c r="D695">
        <v>3.044</v>
      </c>
      <c r="E695">
        <v>3.081</v>
      </c>
      <c r="F695">
        <v>2461550.3960000002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-0.87108013937282258</v>
      </c>
      <c r="Q695">
        <f t="shared" si="995"/>
        <v>-2144207.6620209068</v>
      </c>
      <c r="R695">
        <f t="shared" si="996"/>
        <v>14008892.711588148</v>
      </c>
      <c r="S695">
        <f t="shared" si="997"/>
        <v>140.08892711588149</v>
      </c>
      <c r="T695">
        <f t="shared" si="998"/>
        <v>0.1400889271158815</v>
      </c>
    </row>
    <row r="696" spans="1:20" x14ac:dyDescent="0.25">
      <c r="A696" s="5">
        <v>43897</v>
      </c>
      <c r="B696">
        <v>3.859</v>
      </c>
      <c r="C696">
        <v>3.8690000000000002</v>
      </c>
      <c r="D696">
        <v>3.5670000000000002</v>
      </c>
      <c r="E696">
        <v>3.6179999999999999</v>
      </c>
      <c r="F696">
        <v>966077.64500000002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-0.66225165562914101</v>
      </c>
      <c r="Q696">
        <f t="shared" si="995"/>
        <v>-639786.51986755151</v>
      </c>
      <c r="R696">
        <f t="shared" si="996"/>
        <v>16153100.373609055</v>
      </c>
      <c r="S696">
        <f t="shared" si="997"/>
        <v>161.53100373609055</v>
      </c>
      <c r="T696">
        <f t="shared" si="998"/>
        <v>0.16153100373609056</v>
      </c>
    </row>
    <row r="697" spans="1:20" x14ac:dyDescent="0.25">
      <c r="A697" s="5">
        <v>43896</v>
      </c>
      <c r="B697">
        <v>3.7589999999999999</v>
      </c>
      <c r="C697">
        <v>3.8820000000000001</v>
      </c>
      <c r="D697">
        <v>3.698</v>
      </c>
      <c r="E697">
        <v>3.8540000000000001</v>
      </c>
      <c r="F697">
        <v>1271218.1529999999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0.69565217391304346</v>
      </c>
      <c r="Q697">
        <f t="shared" si="995"/>
        <v>884325.67165217386</v>
      </c>
      <c r="R697">
        <f t="shared" si="996"/>
        <v>16792886.893476605</v>
      </c>
      <c r="S697">
        <f t="shared" si="997"/>
        <v>167.92886893476606</v>
      </c>
      <c r="T697">
        <f t="shared" si="998"/>
        <v>0.16792886893476605</v>
      </c>
    </row>
    <row r="698" spans="1:20" x14ac:dyDescent="0.25">
      <c r="A698" s="5">
        <v>43895</v>
      </c>
      <c r="B698">
        <v>3.7469999999999999</v>
      </c>
      <c r="C698">
        <v>3.9359999999999999</v>
      </c>
      <c r="D698">
        <v>3.7349999999999999</v>
      </c>
      <c r="E698">
        <v>3.7559999999999998</v>
      </c>
      <c r="F698">
        <v>1550365.385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-0.79104477611940394</v>
      </c>
      <c r="Q698">
        <f t="shared" si="995"/>
        <v>-1226408.4388805984</v>
      </c>
      <c r="R698">
        <f t="shared" si="996"/>
        <v>15908561.221824432</v>
      </c>
      <c r="S698">
        <f t="shared" si="997"/>
        <v>159.08561221824431</v>
      </c>
      <c r="T698">
        <f t="shared" si="998"/>
        <v>0.1590856122182443</v>
      </c>
    </row>
    <row r="699" spans="1:20" x14ac:dyDescent="0.25">
      <c r="A699" s="5">
        <v>43894</v>
      </c>
      <c r="B699">
        <v>3.6230000000000002</v>
      </c>
      <c r="C699">
        <v>3.8940000000000001</v>
      </c>
      <c r="D699">
        <v>3.621</v>
      </c>
      <c r="E699">
        <v>3.7429999999999999</v>
      </c>
      <c r="F699">
        <v>2018098.554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-0.10622710622710749</v>
      </c>
      <c r="Q699">
        <f t="shared" si="995"/>
        <v>-214376.76947253002</v>
      </c>
      <c r="R699">
        <f t="shared" si="996"/>
        <v>17134969.66070503</v>
      </c>
      <c r="S699">
        <f t="shared" si="997"/>
        <v>171.3496966070503</v>
      </c>
      <c r="T699">
        <f t="shared" si="998"/>
        <v>0.17134969660705029</v>
      </c>
    </row>
    <row r="700" spans="1:20" x14ac:dyDescent="0.25">
      <c r="A700" s="5">
        <v>43893</v>
      </c>
      <c r="B700">
        <v>3.7090000000000001</v>
      </c>
      <c r="C700">
        <v>3.71</v>
      </c>
      <c r="D700">
        <v>3.4889999999999999</v>
      </c>
      <c r="E700">
        <v>3.6230000000000002</v>
      </c>
      <c r="F700">
        <v>1587477.4280000001</v>
      </c>
      <c r="G700">
        <v>0</v>
      </c>
      <c r="L700" t="s">
        <v>7</v>
      </c>
      <c r="M700" t="s">
        <v>7</v>
      </c>
      <c r="N700" t="s">
        <v>7</v>
      </c>
      <c r="P700">
        <f t="shared" si="994"/>
        <v>0.21266968325792118</v>
      </c>
      <c r="Q700">
        <f t="shared" si="995"/>
        <v>337608.3217918594</v>
      </c>
      <c r="R700">
        <f t="shared" si="996"/>
        <v>17349346.430177558</v>
      </c>
      <c r="S700">
        <f t="shared" si="997"/>
        <v>173.49346430177559</v>
      </c>
      <c r="T700">
        <f t="shared" si="998"/>
        <v>0.17349346430177559</v>
      </c>
    </row>
    <row r="701" spans="1:20" x14ac:dyDescent="0.25">
      <c r="A701" s="5">
        <v>43892</v>
      </c>
      <c r="B701">
        <v>3.343</v>
      </c>
      <c r="C701">
        <v>3.806</v>
      </c>
      <c r="D701">
        <v>3.3319999999999999</v>
      </c>
      <c r="E701">
        <v>3.7090000000000001</v>
      </c>
      <c r="F701">
        <v>1965621.1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0.5907172995780593</v>
      </c>
      <c r="Q701">
        <f t="shared" si="995"/>
        <v>1161126.3881856545</v>
      </c>
      <c r="R701">
        <f t="shared" si="996"/>
        <v>17011738.108385697</v>
      </c>
      <c r="S701">
        <f t="shared" si="997"/>
        <v>170.11738108385697</v>
      </c>
      <c r="T701">
        <f t="shared" si="998"/>
        <v>0.17011738108385696</v>
      </c>
    </row>
    <row r="702" spans="1:20" x14ac:dyDescent="0.25">
      <c r="A702" s="5">
        <v>43891</v>
      </c>
      <c r="B702">
        <v>3.4430000000000001</v>
      </c>
      <c r="C702">
        <v>3.552</v>
      </c>
      <c r="D702">
        <v>3.2509999999999999</v>
      </c>
      <c r="E702">
        <v>3.347</v>
      </c>
      <c r="F702">
        <v>1577659.0549999999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-0.36212624584717584</v>
      </c>
      <c r="Q702">
        <f t="shared" si="995"/>
        <v>-571311.75081395311</v>
      </c>
      <c r="R702">
        <f t="shared" si="996"/>
        <v>15850611.720200041</v>
      </c>
      <c r="S702">
        <f t="shared" si="997"/>
        <v>158.50611720200041</v>
      </c>
      <c r="T702">
        <f t="shared" si="998"/>
        <v>0.15850611720200042</v>
      </c>
    </row>
    <row r="703" spans="1:20" x14ac:dyDescent="0.25">
      <c r="A703" s="5">
        <v>43890</v>
      </c>
      <c r="B703">
        <v>3.5489999999999999</v>
      </c>
      <c r="C703">
        <v>3.6850000000000001</v>
      </c>
      <c r="D703">
        <v>3.4319999999999999</v>
      </c>
      <c r="E703">
        <v>3.4430000000000001</v>
      </c>
      <c r="F703">
        <v>1052886.2779999999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-0.91304347826086862</v>
      </c>
      <c r="Q703">
        <f t="shared" si="995"/>
        <v>-961330.94947825978</v>
      </c>
      <c r="R703">
        <f t="shared" si="996"/>
        <v>16421923.471013995</v>
      </c>
      <c r="S703">
        <f t="shared" si="997"/>
        <v>164.21923471013994</v>
      </c>
      <c r="T703">
        <f t="shared" si="998"/>
        <v>0.16421923471013994</v>
      </c>
    </row>
    <row r="704" spans="1:20" x14ac:dyDescent="0.25">
      <c r="A704" s="5">
        <v>43889</v>
      </c>
      <c r="B704">
        <v>3.6960000000000002</v>
      </c>
      <c r="C704">
        <v>3.7589999999999999</v>
      </c>
      <c r="D704">
        <v>3.4209999999999998</v>
      </c>
      <c r="E704">
        <v>3.548</v>
      </c>
      <c r="F704">
        <v>2596805.2429999998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-0.24852071005917045</v>
      </c>
      <c r="Q704">
        <f t="shared" si="995"/>
        <v>-645359.88287573657</v>
      </c>
      <c r="R704">
        <f t="shared" si="996"/>
        <v>17383254.420492254</v>
      </c>
      <c r="S704">
        <f t="shared" si="997"/>
        <v>173.83254420492256</v>
      </c>
      <c r="T704">
        <f t="shared" si="998"/>
        <v>0.17383254420492256</v>
      </c>
    </row>
    <row r="705" spans="1:20" x14ac:dyDescent="0.25">
      <c r="A705" s="5">
        <v>43888</v>
      </c>
      <c r="B705">
        <v>3.641</v>
      </c>
      <c r="C705">
        <v>3.8620000000000001</v>
      </c>
      <c r="D705">
        <v>3.3460000000000001</v>
      </c>
      <c r="E705">
        <v>3.6920000000000002</v>
      </c>
      <c r="F705">
        <v>2570082.5819999999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0.34108527131782973</v>
      </c>
      <c r="Q705">
        <f t="shared" si="995"/>
        <v>876617.31479069835</v>
      </c>
      <c r="R705">
        <f t="shared" si="996"/>
        <v>18028614.303367991</v>
      </c>
      <c r="S705">
        <f t="shared" si="997"/>
        <v>180.28614303367991</v>
      </c>
      <c r="T705">
        <f t="shared" si="998"/>
        <v>0.1802861430336799</v>
      </c>
    </row>
    <row r="706" spans="1:20" x14ac:dyDescent="0.25">
      <c r="A706" s="5">
        <v>43887</v>
      </c>
      <c r="B706">
        <v>4.0510000000000002</v>
      </c>
      <c r="C706">
        <v>4.0789999999999997</v>
      </c>
      <c r="D706">
        <v>3.4350000000000001</v>
      </c>
      <c r="E706">
        <v>3.641</v>
      </c>
      <c r="F706">
        <v>2695245.0780000002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-0.36024844720496874</v>
      </c>
      <c r="Q706">
        <f t="shared" si="995"/>
        <v>-970957.85418633488</v>
      </c>
      <c r="R706">
        <f t="shared" si="996"/>
        <v>17151996.988577291</v>
      </c>
      <c r="S706">
        <f t="shared" si="997"/>
        <v>171.51996988577292</v>
      </c>
      <c r="T706">
        <f t="shared" si="998"/>
        <v>0.17151996988577292</v>
      </c>
    </row>
    <row r="707" spans="1:20" x14ac:dyDescent="0.25">
      <c r="A707" s="5">
        <v>43886</v>
      </c>
      <c r="B707">
        <v>4.3869999999999996</v>
      </c>
      <c r="C707">
        <v>4.4130000000000003</v>
      </c>
      <c r="D707">
        <v>3.988</v>
      </c>
      <c r="E707">
        <v>4.0510000000000002</v>
      </c>
      <c r="F707">
        <v>2120377.122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-0.70352941176470529</v>
      </c>
      <c r="Q707">
        <f t="shared" si="995"/>
        <v>-1491747.6693599988</v>
      </c>
      <c r="R707">
        <f t="shared" si="996"/>
        <v>18122954.842763625</v>
      </c>
      <c r="S707">
        <f t="shared" si="997"/>
        <v>181.22954842763625</v>
      </c>
      <c r="T707">
        <f t="shared" si="998"/>
        <v>0.18122954842763625</v>
      </c>
    </row>
    <row r="708" spans="1:20" x14ac:dyDescent="0.25">
      <c r="A708" s="5">
        <v>43885</v>
      </c>
      <c r="B708">
        <v>4.8019999999999996</v>
      </c>
      <c r="C708">
        <v>4.9379999999999997</v>
      </c>
      <c r="D708">
        <v>4.1900000000000004</v>
      </c>
      <c r="E708">
        <v>4.3929999999999998</v>
      </c>
      <c r="F708">
        <v>2902837.3909999998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-0.4572192513368995</v>
      </c>
      <c r="Q708">
        <f t="shared" si="995"/>
        <v>-1327233.1386657786</v>
      </c>
      <c r="R708">
        <f t="shared" si="996"/>
        <v>19614702.512123622</v>
      </c>
      <c r="S708">
        <f t="shared" si="997"/>
        <v>196.14702512123623</v>
      </c>
      <c r="T708">
        <f t="shared" si="998"/>
        <v>0.19614702512123622</v>
      </c>
    </row>
    <row r="709" spans="1:20" x14ac:dyDescent="0.25">
      <c r="A709" s="5">
        <v>43884</v>
      </c>
      <c r="B709">
        <v>5.0170000000000003</v>
      </c>
      <c r="C709">
        <v>5.0919999999999996</v>
      </c>
      <c r="D709">
        <v>4.7279999999999998</v>
      </c>
      <c r="E709">
        <v>4.7939999999999996</v>
      </c>
      <c r="F709">
        <v>1817769.169</v>
      </c>
      <c r="G709">
        <v>0</v>
      </c>
      <c r="L709" t="s">
        <v>7</v>
      </c>
      <c r="M709" t="s">
        <v>8</v>
      </c>
      <c r="N709" t="s">
        <v>8</v>
      </c>
      <c r="P709">
        <f t="shared" si="994"/>
        <v>-0.6373626373626381</v>
      </c>
      <c r="Q709">
        <f t="shared" si="995"/>
        <v>-1158578.1516703309</v>
      </c>
      <c r="R709">
        <f t="shared" si="996"/>
        <v>20941935.650789402</v>
      </c>
      <c r="S709">
        <f t="shared" si="997"/>
        <v>209.41935650789404</v>
      </c>
      <c r="T709">
        <f t="shared" si="998"/>
        <v>0.20941935650789403</v>
      </c>
    </row>
    <row r="710" spans="1:20" x14ac:dyDescent="0.25">
      <c r="A710" s="5">
        <v>43883</v>
      </c>
      <c r="B710">
        <v>4.9530000000000003</v>
      </c>
      <c r="C710">
        <v>5.1050000000000004</v>
      </c>
      <c r="D710">
        <v>4.6529999999999996</v>
      </c>
      <c r="E710">
        <v>5.0110000000000001</v>
      </c>
      <c r="F710">
        <v>3102087.409</v>
      </c>
      <c r="G710">
        <v>0</v>
      </c>
      <c r="L710" t="s">
        <v>8</v>
      </c>
      <c r="M710" t="s">
        <v>8</v>
      </c>
      <c r="N710" t="s">
        <v>8</v>
      </c>
      <c r="P710">
        <f t="shared" ref="P710:P766" si="999">IF(C710=D710,0,((E710-D710)-(C710-E710))/(C710-D710))</f>
        <v>0.58407079646017646</v>
      </c>
      <c r="Q710">
        <f t="shared" ref="Q710:Q766" si="1000">F710*P710</f>
        <v>1811838.6636637151</v>
      </c>
      <c r="R710">
        <f t="shared" ref="R710:R766" si="1001">R711+Q710</f>
        <v>22100513.802459732</v>
      </c>
      <c r="S710">
        <f t="shared" ref="S710:S766" si="1002">R710/100000</f>
        <v>221.00513802459733</v>
      </c>
      <c r="T710">
        <f t="shared" ref="T710:T766" si="1003">S710/1000</f>
        <v>0.22100513802459734</v>
      </c>
    </row>
    <row r="711" spans="1:20" x14ac:dyDescent="0.25">
      <c r="A711" s="5">
        <v>43882</v>
      </c>
      <c r="B711">
        <v>4.4610000000000003</v>
      </c>
      <c r="C711">
        <v>4.99</v>
      </c>
      <c r="D711">
        <v>4.41</v>
      </c>
      <c r="E711">
        <v>4.9530000000000003</v>
      </c>
      <c r="F711">
        <v>3601454.5989999999</v>
      </c>
      <c r="G711">
        <v>0</v>
      </c>
      <c r="L711" t="s">
        <v>8</v>
      </c>
      <c r="M711" t="s">
        <v>8</v>
      </c>
      <c r="N711" t="s">
        <v>8</v>
      </c>
      <c r="P711">
        <f t="shared" si="999"/>
        <v>0.87241379310344858</v>
      </c>
      <c r="Q711">
        <f t="shared" si="1000"/>
        <v>3141958.6674034493</v>
      </c>
      <c r="R711">
        <f t="shared" si="1001"/>
        <v>20288675.138796017</v>
      </c>
      <c r="S711">
        <f t="shared" si="1002"/>
        <v>202.88675138796017</v>
      </c>
      <c r="T711">
        <f t="shared" si="1003"/>
        <v>0.20288675138796017</v>
      </c>
    </row>
    <row r="712" spans="1:20" x14ac:dyDescent="0.25">
      <c r="A712" s="5">
        <v>43881</v>
      </c>
      <c r="B712">
        <v>4.1459999999999999</v>
      </c>
      <c r="C712">
        <v>4.5529999999999999</v>
      </c>
      <c r="D712">
        <v>4.1109999999999998</v>
      </c>
      <c r="E712">
        <v>4.4610000000000003</v>
      </c>
      <c r="F712">
        <v>2188510.7149999999</v>
      </c>
      <c r="G712">
        <v>0</v>
      </c>
      <c r="L712" t="s">
        <v>7</v>
      </c>
      <c r="M712" t="s">
        <v>8</v>
      </c>
      <c r="N712" t="s">
        <v>8</v>
      </c>
      <c r="P712">
        <f t="shared" si="999"/>
        <v>0.58371040723982082</v>
      </c>
      <c r="Q712">
        <f t="shared" si="1000"/>
        <v>1277456.4807013613</v>
      </c>
      <c r="R712">
        <f t="shared" si="1001"/>
        <v>17146716.471392568</v>
      </c>
      <c r="S712">
        <f t="shared" si="1002"/>
        <v>171.46716471392568</v>
      </c>
      <c r="T712">
        <f t="shared" si="1003"/>
        <v>0.17146716471392567</v>
      </c>
    </row>
    <row r="713" spans="1:20" x14ac:dyDescent="0.25">
      <c r="A713" s="5">
        <v>43880</v>
      </c>
      <c r="B713">
        <v>4.4409999999999998</v>
      </c>
      <c r="C713">
        <v>4.6950000000000003</v>
      </c>
      <c r="D713">
        <v>4.0999999999999996</v>
      </c>
      <c r="E713">
        <v>4.1459999999999999</v>
      </c>
      <c r="F713">
        <v>1485928.7290000001</v>
      </c>
      <c r="G713">
        <v>0</v>
      </c>
      <c r="L713" t="s">
        <v>8</v>
      </c>
      <c r="M713" t="s">
        <v>8</v>
      </c>
      <c r="N713" t="s">
        <v>8</v>
      </c>
      <c r="P713">
        <f t="shared" si="999"/>
        <v>-0.84537815126050353</v>
      </c>
      <c r="Q713">
        <f t="shared" si="1000"/>
        <v>-1256171.6818268897</v>
      </c>
      <c r="R713">
        <f t="shared" si="1001"/>
        <v>15869259.990691207</v>
      </c>
      <c r="S713">
        <f t="shared" si="1002"/>
        <v>158.69259990691208</v>
      </c>
      <c r="T713">
        <f t="shared" si="1003"/>
        <v>0.15869259990691209</v>
      </c>
    </row>
    <row r="714" spans="1:20" x14ac:dyDescent="0.25">
      <c r="A714" s="5">
        <v>43879</v>
      </c>
      <c r="B714">
        <v>4.28</v>
      </c>
      <c r="C714">
        <v>4.5039999999999996</v>
      </c>
      <c r="D714">
        <v>3.9630000000000001</v>
      </c>
      <c r="E714">
        <v>4.4409999999999998</v>
      </c>
      <c r="F714">
        <v>2051909.7720000001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0.76709796672828179</v>
      </c>
      <c r="Q714">
        <f t="shared" si="1000"/>
        <v>1574015.8140110923</v>
      </c>
      <c r="R714">
        <f t="shared" si="1001"/>
        <v>17125431.672518097</v>
      </c>
      <c r="S714">
        <f t="shared" si="1002"/>
        <v>171.25431672518096</v>
      </c>
      <c r="T714">
        <f t="shared" si="1003"/>
        <v>0.17125431672518096</v>
      </c>
    </row>
    <row r="715" spans="1:20" x14ac:dyDescent="0.25">
      <c r="A715" s="5">
        <v>43878</v>
      </c>
      <c r="B715">
        <v>4.3819999999999997</v>
      </c>
      <c r="C715">
        <v>4.4260000000000002</v>
      </c>
      <c r="D715">
        <v>3.89</v>
      </c>
      <c r="E715">
        <v>4.2699999999999996</v>
      </c>
      <c r="F715">
        <v>2273235.5750000002</v>
      </c>
      <c r="G715">
        <v>0</v>
      </c>
      <c r="L715" t="s">
        <v>7</v>
      </c>
      <c r="M715" t="s">
        <v>7</v>
      </c>
      <c r="N715" t="s">
        <v>8</v>
      </c>
      <c r="P715">
        <f t="shared" si="999"/>
        <v>0.41791044776119191</v>
      </c>
      <c r="Q715">
        <f t="shared" si="1000"/>
        <v>950008.8970149206</v>
      </c>
      <c r="R715">
        <f t="shared" si="1001"/>
        <v>15551415.858507004</v>
      </c>
      <c r="S715">
        <f t="shared" si="1002"/>
        <v>155.51415858507005</v>
      </c>
      <c r="T715">
        <f t="shared" si="1003"/>
        <v>0.15551415858507006</v>
      </c>
    </row>
    <row r="716" spans="1:20" x14ac:dyDescent="0.25">
      <c r="A716" s="5">
        <v>43877</v>
      </c>
      <c r="B716">
        <v>4.6079999999999997</v>
      </c>
      <c r="C716">
        <v>4.758</v>
      </c>
      <c r="D716">
        <v>3.9550000000000001</v>
      </c>
      <c r="E716">
        <v>4.3819999999999997</v>
      </c>
      <c r="F716">
        <v>1491309.0859999999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6.3511830635117394E-2</v>
      </c>
      <c r="Q716">
        <f t="shared" si="1000"/>
        <v>94715.770094643711</v>
      </c>
      <c r="R716">
        <f t="shared" si="1001"/>
        <v>14601406.961492082</v>
      </c>
      <c r="S716">
        <f t="shared" si="1002"/>
        <v>146.01406961492083</v>
      </c>
      <c r="T716">
        <f t="shared" si="1003"/>
        <v>0.14601406961492083</v>
      </c>
    </row>
    <row r="717" spans="1:20" x14ac:dyDescent="0.25">
      <c r="A717" s="5">
        <v>43876</v>
      </c>
      <c r="B717">
        <v>5.1189999999999998</v>
      </c>
      <c r="C717">
        <v>5.1360000000000001</v>
      </c>
      <c r="D717">
        <v>4.4000000000000004</v>
      </c>
      <c r="E717">
        <v>4.6079999999999997</v>
      </c>
      <c r="F717">
        <v>1444434.84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-0.43478260869565388</v>
      </c>
      <c r="Q717">
        <f t="shared" si="1000"/>
        <v>-628015.14782608941</v>
      </c>
      <c r="R717">
        <f t="shared" si="1001"/>
        <v>14506691.191397438</v>
      </c>
      <c r="S717">
        <f t="shared" si="1002"/>
        <v>145.06691191397437</v>
      </c>
      <c r="T717">
        <f t="shared" si="1003"/>
        <v>0.14506691191397436</v>
      </c>
    </row>
    <row r="718" spans="1:20" x14ac:dyDescent="0.25">
      <c r="A718" s="5">
        <v>43875</v>
      </c>
      <c r="B718">
        <v>4.9119999999999999</v>
      </c>
      <c r="C718">
        <v>5.141</v>
      </c>
      <c r="D718">
        <v>4.8559999999999999</v>
      </c>
      <c r="E718">
        <v>5.1109999999999998</v>
      </c>
      <c r="F718">
        <v>834755.36600000004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0.78947368421052466</v>
      </c>
      <c r="Q718">
        <f t="shared" si="1000"/>
        <v>659017.39421052497</v>
      </c>
      <c r="R718">
        <f t="shared" si="1001"/>
        <v>15134706.339223526</v>
      </c>
      <c r="S718">
        <f t="shared" si="1002"/>
        <v>151.34706339223527</v>
      </c>
      <c r="T718">
        <f t="shared" si="1003"/>
        <v>0.15134706339223528</v>
      </c>
    </row>
    <row r="719" spans="1:20" x14ac:dyDescent="0.25">
      <c r="A719" s="5">
        <v>43874</v>
      </c>
      <c r="B719">
        <v>5.0999999999999996</v>
      </c>
      <c r="C719">
        <v>5.2439999999999998</v>
      </c>
      <c r="D719">
        <v>4.8280000000000003</v>
      </c>
      <c r="E719">
        <v>4.9059999999999997</v>
      </c>
      <c r="F719">
        <v>1966479.6580000001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-0.62500000000000244</v>
      </c>
      <c r="Q719">
        <f t="shared" si="1000"/>
        <v>-1229049.7862500048</v>
      </c>
      <c r="R719">
        <f t="shared" si="1001"/>
        <v>14475688.945013002</v>
      </c>
      <c r="S719">
        <f t="shared" si="1002"/>
        <v>144.75688945013002</v>
      </c>
      <c r="T719">
        <f t="shared" si="1003"/>
        <v>0.14475688945013002</v>
      </c>
    </row>
    <row r="720" spans="1:20" x14ac:dyDescent="0.25">
      <c r="A720" s="5">
        <v>43873</v>
      </c>
      <c r="B720">
        <v>5.1079999999999997</v>
      </c>
      <c r="C720">
        <v>5.327</v>
      </c>
      <c r="D720">
        <v>5.0220000000000002</v>
      </c>
      <c r="E720">
        <v>5.109</v>
      </c>
      <c r="F720">
        <v>2136199.2969999998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-0.42950819672131263</v>
      </c>
      <c r="Q720">
        <f t="shared" si="1000"/>
        <v>-917515.1078918057</v>
      </c>
      <c r="R720">
        <f t="shared" si="1001"/>
        <v>15704738.731263006</v>
      </c>
      <c r="S720">
        <f t="shared" si="1002"/>
        <v>157.04738731263006</v>
      </c>
      <c r="T720">
        <f t="shared" si="1003"/>
        <v>0.15704738731263007</v>
      </c>
    </row>
    <row r="721" spans="1:20" x14ac:dyDescent="0.25">
      <c r="A721" s="5">
        <v>43872</v>
      </c>
      <c r="B721">
        <v>4.7729999999999997</v>
      </c>
      <c r="C721">
        <v>5.2160000000000002</v>
      </c>
      <c r="D721">
        <v>4.6929999999999996</v>
      </c>
      <c r="E721">
        <v>5.1050000000000004</v>
      </c>
      <c r="F721">
        <v>2090562.9709999999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0.5755258126195042</v>
      </c>
      <c r="Q721">
        <f t="shared" si="1000"/>
        <v>1203172.9527170199</v>
      </c>
      <c r="R721">
        <f t="shared" si="1001"/>
        <v>16622253.839154812</v>
      </c>
      <c r="S721">
        <f t="shared" si="1002"/>
        <v>166.22253839154811</v>
      </c>
      <c r="T721">
        <f t="shared" si="1003"/>
        <v>0.1662225383915481</v>
      </c>
    </row>
    <row r="722" spans="1:20" x14ac:dyDescent="0.25">
      <c r="A722" s="5">
        <v>43871</v>
      </c>
      <c r="B722">
        <v>4.7569999999999997</v>
      </c>
      <c r="C722">
        <v>4.8099999999999996</v>
      </c>
      <c r="D722">
        <v>4.4329999999999998</v>
      </c>
      <c r="E722">
        <v>4.7729999999999997</v>
      </c>
      <c r="F722">
        <v>1401458.987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0.80371352785145922</v>
      </c>
      <c r="Q722">
        <f t="shared" si="1000"/>
        <v>1126371.5465809023</v>
      </c>
      <c r="R722">
        <f t="shared" si="1001"/>
        <v>15419080.886437792</v>
      </c>
      <c r="S722">
        <f t="shared" si="1002"/>
        <v>154.19080886437791</v>
      </c>
      <c r="T722">
        <f t="shared" si="1003"/>
        <v>0.15419080886437792</v>
      </c>
    </row>
    <row r="723" spans="1:20" x14ac:dyDescent="0.25">
      <c r="A723" s="5">
        <v>43870</v>
      </c>
      <c r="B723">
        <v>4.6289999999999996</v>
      </c>
      <c r="C723">
        <v>4.7880000000000003</v>
      </c>
      <c r="D723">
        <v>4.6040000000000001</v>
      </c>
      <c r="E723">
        <v>4.7569999999999997</v>
      </c>
      <c r="F723">
        <v>921880.65500000003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0.66304347826086352</v>
      </c>
      <c r="Q723">
        <f t="shared" si="1000"/>
        <v>611246.95603260316</v>
      </c>
      <c r="R723">
        <f t="shared" si="1001"/>
        <v>14292709.339856889</v>
      </c>
      <c r="S723">
        <f t="shared" si="1002"/>
        <v>142.9270933985689</v>
      </c>
      <c r="T723">
        <f t="shared" si="1003"/>
        <v>0.14292709339856891</v>
      </c>
    </row>
    <row r="724" spans="1:20" x14ac:dyDescent="0.25">
      <c r="A724" s="5">
        <v>43869</v>
      </c>
      <c r="B724">
        <v>4.8120000000000003</v>
      </c>
      <c r="C724">
        <v>4.8339999999999996</v>
      </c>
      <c r="D724">
        <v>4.5</v>
      </c>
      <c r="E724">
        <v>4.6289999999999996</v>
      </c>
      <c r="F724">
        <v>1484562.6040000001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-0.22754491017964251</v>
      </c>
      <c r="Q724">
        <f t="shared" si="1000"/>
        <v>-337804.6643832362</v>
      </c>
      <c r="R724">
        <f t="shared" si="1001"/>
        <v>13681462.383824285</v>
      </c>
      <c r="S724">
        <f t="shared" si="1002"/>
        <v>136.81462383824285</v>
      </c>
      <c r="T724">
        <f t="shared" si="1003"/>
        <v>0.13681462383824286</v>
      </c>
    </row>
    <row r="725" spans="1:20" x14ac:dyDescent="0.25">
      <c r="A725" s="5">
        <v>43868</v>
      </c>
      <c r="B725">
        <v>4.5860000000000003</v>
      </c>
      <c r="C725">
        <v>4.9379999999999997</v>
      </c>
      <c r="D725">
        <v>4.5190000000000001</v>
      </c>
      <c r="E725">
        <v>4.8250000000000002</v>
      </c>
      <c r="F725">
        <v>2317793.9920000001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0.4606205250596675</v>
      </c>
      <c r="Q725">
        <f t="shared" si="1000"/>
        <v>1067623.4855751828</v>
      </c>
      <c r="R725">
        <f t="shared" si="1001"/>
        <v>14019267.048207521</v>
      </c>
      <c r="S725">
        <f t="shared" si="1002"/>
        <v>140.19267048207521</v>
      </c>
      <c r="T725">
        <f t="shared" si="1003"/>
        <v>0.1401926704820752</v>
      </c>
    </row>
    <row r="726" spans="1:20" x14ac:dyDescent="0.25">
      <c r="A726" s="5">
        <v>43867</v>
      </c>
      <c r="B726">
        <v>4.33</v>
      </c>
      <c r="C726">
        <v>4.6020000000000003</v>
      </c>
      <c r="D726">
        <v>4.2519999999999998</v>
      </c>
      <c r="E726">
        <v>4.5890000000000004</v>
      </c>
      <c r="F726">
        <v>2127883.2039999999</v>
      </c>
      <c r="G726">
        <v>0</v>
      </c>
      <c r="L726" t="s">
        <v>8</v>
      </c>
      <c r="M726" t="s">
        <v>7</v>
      </c>
      <c r="N726" t="s">
        <v>8</v>
      </c>
      <c r="P726">
        <f t="shared" si="999"/>
        <v>0.92571428571428638</v>
      </c>
      <c r="Q726">
        <f t="shared" si="1000"/>
        <v>1969811.880274287</v>
      </c>
      <c r="R726">
        <f t="shared" si="1001"/>
        <v>12951643.562632339</v>
      </c>
      <c r="S726">
        <f t="shared" si="1002"/>
        <v>129.51643562632339</v>
      </c>
      <c r="T726">
        <f t="shared" si="1003"/>
        <v>0.1295164356263234</v>
      </c>
    </row>
    <row r="727" spans="1:20" x14ac:dyDescent="0.25">
      <c r="A727" s="5">
        <v>43866</v>
      </c>
      <c r="B727">
        <v>4.22</v>
      </c>
      <c r="C727">
        <v>4.3499999999999996</v>
      </c>
      <c r="D727">
        <v>4.1390000000000002</v>
      </c>
      <c r="E727">
        <v>4.33</v>
      </c>
      <c r="F727">
        <v>1654584.902</v>
      </c>
      <c r="G727">
        <v>0</v>
      </c>
      <c r="L727" t="s">
        <v>8</v>
      </c>
      <c r="M727" t="s">
        <v>7</v>
      </c>
      <c r="N727" t="s">
        <v>8</v>
      </c>
      <c r="P727">
        <f t="shared" si="999"/>
        <v>0.81042654028436367</v>
      </c>
      <c r="Q727">
        <f t="shared" si="1000"/>
        <v>1340919.517734603</v>
      </c>
      <c r="R727">
        <f t="shared" si="1001"/>
        <v>10981831.682358053</v>
      </c>
      <c r="S727">
        <f t="shared" si="1002"/>
        <v>109.81831682358053</v>
      </c>
      <c r="T727">
        <f t="shared" si="1003"/>
        <v>0.10981831682358054</v>
      </c>
    </row>
    <row r="728" spans="1:20" x14ac:dyDescent="0.25">
      <c r="A728" s="5">
        <v>43865</v>
      </c>
      <c r="B728">
        <v>4.2640000000000002</v>
      </c>
      <c r="C728">
        <v>4.2750000000000004</v>
      </c>
      <c r="D728">
        <v>4</v>
      </c>
      <c r="E728">
        <v>4.22</v>
      </c>
      <c r="F728">
        <v>2260117.3909999998</v>
      </c>
      <c r="G728">
        <v>0</v>
      </c>
      <c r="L728" t="s">
        <v>7</v>
      </c>
      <c r="M728" t="s">
        <v>7</v>
      </c>
      <c r="N728" t="s">
        <v>8</v>
      </c>
      <c r="P728">
        <f t="shared" si="999"/>
        <v>0.59999999999999609</v>
      </c>
      <c r="Q728">
        <f t="shared" si="1000"/>
        <v>1356070.434599991</v>
      </c>
      <c r="R728">
        <f t="shared" si="1001"/>
        <v>9640912.1646234505</v>
      </c>
      <c r="S728">
        <f t="shared" si="1002"/>
        <v>96.40912164623451</v>
      </c>
      <c r="T728">
        <f t="shared" si="1003"/>
        <v>9.6409121646234511E-2</v>
      </c>
    </row>
    <row r="729" spans="1:20" x14ac:dyDescent="0.25">
      <c r="A729" s="5">
        <v>43864</v>
      </c>
      <c r="B729">
        <v>4.4029999999999996</v>
      </c>
      <c r="C729">
        <v>4.5</v>
      </c>
      <c r="D729">
        <v>4.24</v>
      </c>
      <c r="E729">
        <v>4.2629999999999999</v>
      </c>
      <c r="F729">
        <v>674636.36499999999</v>
      </c>
      <c r="G729">
        <v>0</v>
      </c>
      <c r="L729" t="s">
        <v>7</v>
      </c>
      <c r="M729" t="s">
        <v>7</v>
      </c>
      <c r="N729" t="s">
        <v>8</v>
      </c>
      <c r="P729">
        <f t="shared" si="999"/>
        <v>-0.82307692307692537</v>
      </c>
      <c r="Q729">
        <f t="shared" si="1000"/>
        <v>-555277.6235000015</v>
      </c>
      <c r="R729">
        <f t="shared" si="1001"/>
        <v>8284841.7300234595</v>
      </c>
      <c r="S729">
        <f t="shared" si="1002"/>
        <v>82.848417300234601</v>
      </c>
      <c r="T729">
        <f t="shared" si="1003"/>
        <v>8.2848417300234595E-2</v>
      </c>
    </row>
    <row r="730" spans="1:20" x14ac:dyDescent="0.25">
      <c r="A730" s="5">
        <v>43863</v>
      </c>
      <c r="B730">
        <v>4.3789999999999996</v>
      </c>
      <c r="C730">
        <v>4.4809999999999999</v>
      </c>
      <c r="D730">
        <v>4.2350000000000003</v>
      </c>
      <c r="E730">
        <v>4.4029999999999996</v>
      </c>
      <c r="F730">
        <v>698546.728</v>
      </c>
      <c r="G730">
        <v>0</v>
      </c>
      <c r="L730" t="s">
        <v>7</v>
      </c>
      <c r="M730" t="s">
        <v>7</v>
      </c>
      <c r="N730" t="s">
        <v>8</v>
      </c>
      <c r="P730">
        <f t="shared" si="999"/>
        <v>0.36585365853658186</v>
      </c>
      <c r="Q730">
        <f t="shared" si="1000"/>
        <v>255565.87609755853</v>
      </c>
      <c r="R730">
        <f t="shared" si="1001"/>
        <v>8840119.3535234611</v>
      </c>
      <c r="S730">
        <f t="shared" si="1002"/>
        <v>88.401193535234611</v>
      </c>
      <c r="T730">
        <f t="shared" si="1003"/>
        <v>8.840119353523461E-2</v>
      </c>
    </row>
    <row r="731" spans="1:20" x14ac:dyDescent="0.25">
      <c r="A731" s="5">
        <v>43862</v>
      </c>
      <c r="B731">
        <v>4.3979999999999997</v>
      </c>
      <c r="C731">
        <v>4.4509999999999996</v>
      </c>
      <c r="D731">
        <v>4.2709999999999999</v>
      </c>
      <c r="E731">
        <v>4.3879999999999999</v>
      </c>
      <c r="F731">
        <v>618078.76500000001</v>
      </c>
      <c r="G731">
        <v>0</v>
      </c>
      <c r="L731" t="s">
        <v>7</v>
      </c>
      <c r="M731" t="s">
        <v>7</v>
      </c>
      <c r="N731" t="s">
        <v>8</v>
      </c>
      <c r="P731">
        <f t="shared" si="999"/>
        <v>0.30000000000000199</v>
      </c>
      <c r="Q731">
        <f t="shared" si="1000"/>
        <v>185423.62950000123</v>
      </c>
      <c r="R731">
        <f t="shared" si="1001"/>
        <v>8584553.4774259031</v>
      </c>
      <c r="S731">
        <f t="shared" si="1002"/>
        <v>85.845534774259036</v>
      </c>
      <c r="T731">
        <f t="shared" si="1003"/>
        <v>8.5845534774259033E-2</v>
      </c>
    </row>
    <row r="732" spans="1:20" x14ac:dyDescent="0.25">
      <c r="A732" s="5">
        <v>43861</v>
      </c>
      <c r="B732">
        <v>4.415</v>
      </c>
      <c r="C732">
        <v>4.6150000000000002</v>
      </c>
      <c r="D732">
        <v>4.3</v>
      </c>
      <c r="E732">
        <v>4.3970000000000002</v>
      </c>
      <c r="F732">
        <v>972975.22600000002</v>
      </c>
      <c r="G732">
        <v>0</v>
      </c>
      <c r="L732" t="s">
        <v>8</v>
      </c>
      <c r="M732" t="s">
        <v>7</v>
      </c>
      <c r="N732" t="s">
        <v>8</v>
      </c>
      <c r="P732">
        <f t="shared" si="999"/>
        <v>-0.38412698412698221</v>
      </c>
      <c r="Q732">
        <f t="shared" si="1000"/>
        <v>-373746.03919364896</v>
      </c>
      <c r="R732">
        <f t="shared" si="1001"/>
        <v>8399129.8479259014</v>
      </c>
      <c r="S732">
        <f t="shared" si="1002"/>
        <v>83.991298479259015</v>
      </c>
      <c r="T732">
        <f t="shared" si="1003"/>
        <v>8.3991298479259013E-2</v>
      </c>
    </row>
    <row r="733" spans="1:20" x14ac:dyDescent="0.25">
      <c r="A733" s="5">
        <v>43860</v>
      </c>
      <c r="B733">
        <v>4.4009999999999998</v>
      </c>
      <c r="C733">
        <v>4.4800000000000004</v>
      </c>
      <c r="D733">
        <v>4.3040000000000003</v>
      </c>
      <c r="E733">
        <v>4.41</v>
      </c>
      <c r="F733">
        <v>903258.84199999995</v>
      </c>
      <c r="G733">
        <v>0</v>
      </c>
      <c r="L733" t="s">
        <v>7</v>
      </c>
      <c r="M733" t="s">
        <v>7</v>
      </c>
      <c r="N733" t="s">
        <v>8</v>
      </c>
      <c r="P733">
        <f t="shared" si="999"/>
        <v>0.20454545454545203</v>
      </c>
      <c r="Q733">
        <f t="shared" si="1000"/>
        <v>184757.49040908864</v>
      </c>
      <c r="R733">
        <f t="shared" si="1001"/>
        <v>8772875.8871195503</v>
      </c>
      <c r="S733">
        <f t="shared" si="1002"/>
        <v>87.72875887119551</v>
      </c>
      <c r="T733">
        <f t="shared" si="1003"/>
        <v>8.7728758871195509E-2</v>
      </c>
    </row>
    <row r="734" spans="1:20" x14ac:dyDescent="0.25">
      <c r="A734" s="5">
        <v>43859</v>
      </c>
      <c r="B734">
        <v>4.5960000000000001</v>
      </c>
      <c r="C734">
        <v>4.5970000000000004</v>
      </c>
      <c r="D734">
        <v>4.3499999999999996</v>
      </c>
      <c r="E734">
        <v>4.4009999999999998</v>
      </c>
      <c r="F734">
        <v>1070511.027</v>
      </c>
      <c r="G734">
        <v>0</v>
      </c>
      <c r="L734" t="s">
        <v>7</v>
      </c>
      <c r="M734" t="s">
        <v>7</v>
      </c>
      <c r="N734" t="s">
        <v>8</v>
      </c>
      <c r="P734">
        <f t="shared" si="999"/>
        <v>-0.58704453441295545</v>
      </c>
      <c r="Q734">
        <f t="shared" si="1000"/>
        <v>-628437.64742914983</v>
      </c>
      <c r="R734">
        <f t="shared" si="1001"/>
        <v>8588118.396710461</v>
      </c>
      <c r="S734">
        <f t="shared" si="1002"/>
        <v>85.881183967104604</v>
      </c>
      <c r="T734">
        <f t="shared" si="1003"/>
        <v>8.5881183967104605E-2</v>
      </c>
    </row>
    <row r="735" spans="1:20" x14ac:dyDescent="0.25">
      <c r="A735" s="5">
        <v>43858</v>
      </c>
      <c r="B735">
        <v>4.5149999999999997</v>
      </c>
      <c r="C735">
        <v>4.6109999999999998</v>
      </c>
      <c r="D735">
        <v>4.4690000000000003</v>
      </c>
      <c r="E735">
        <v>4.577</v>
      </c>
      <c r="F735">
        <v>576281.41700000002</v>
      </c>
      <c r="G735">
        <v>0</v>
      </c>
      <c r="L735" t="s">
        <v>7</v>
      </c>
      <c r="M735" t="s">
        <v>7</v>
      </c>
      <c r="N735" t="s">
        <v>8</v>
      </c>
      <c r="P735">
        <f t="shared" si="999"/>
        <v>0.52112676056338114</v>
      </c>
      <c r="Q735">
        <f t="shared" si="1000"/>
        <v>300315.66801408504</v>
      </c>
      <c r="R735">
        <f t="shared" si="1001"/>
        <v>9216556.0441396106</v>
      </c>
      <c r="S735">
        <f t="shared" si="1002"/>
        <v>92.16556044139611</v>
      </c>
      <c r="T735">
        <f t="shared" si="1003"/>
        <v>9.2165560441396108E-2</v>
      </c>
    </row>
    <row r="736" spans="1:20" x14ac:dyDescent="0.25">
      <c r="A736" s="5">
        <v>43857</v>
      </c>
      <c r="B736">
        <v>4.4800000000000004</v>
      </c>
      <c r="C736">
        <v>4.6719999999999997</v>
      </c>
      <c r="D736">
        <v>4.4000000000000004</v>
      </c>
      <c r="E736">
        <v>4.5149999999999997</v>
      </c>
      <c r="F736">
        <v>1081736.085</v>
      </c>
      <c r="G736">
        <v>0</v>
      </c>
      <c r="L736" t="s">
        <v>7</v>
      </c>
      <c r="M736" t="s">
        <v>7</v>
      </c>
      <c r="N736" t="s">
        <v>8</v>
      </c>
      <c r="P736">
        <f t="shared" si="999"/>
        <v>-0.1544117647058853</v>
      </c>
      <c r="Q736">
        <f t="shared" si="1000"/>
        <v>-167032.77783088555</v>
      </c>
      <c r="R736">
        <f t="shared" si="1001"/>
        <v>8916240.3761255257</v>
      </c>
      <c r="S736">
        <f t="shared" si="1002"/>
        <v>89.162403761255263</v>
      </c>
      <c r="T736">
        <f t="shared" si="1003"/>
        <v>8.9162403761255268E-2</v>
      </c>
    </row>
    <row r="737" spans="1:20" x14ac:dyDescent="0.25">
      <c r="A737" s="5">
        <v>43856</v>
      </c>
      <c r="B737">
        <v>4.38</v>
      </c>
      <c r="C737">
        <v>4.5049999999999999</v>
      </c>
      <c r="D737">
        <v>4.3579999999999997</v>
      </c>
      <c r="E737">
        <v>4.4779999999999998</v>
      </c>
      <c r="F737">
        <v>355851.88199999998</v>
      </c>
      <c r="G737">
        <v>0</v>
      </c>
      <c r="L737" t="s">
        <v>7</v>
      </c>
      <c r="M737" t="s">
        <v>7</v>
      </c>
      <c r="N737" t="s">
        <v>8</v>
      </c>
      <c r="P737">
        <f t="shared" si="999"/>
        <v>0.63265306122448861</v>
      </c>
      <c r="Q737">
        <f t="shared" si="1000"/>
        <v>225130.7824897955</v>
      </c>
      <c r="R737">
        <f t="shared" si="1001"/>
        <v>9083273.1539564114</v>
      </c>
      <c r="S737">
        <f t="shared" si="1002"/>
        <v>90.832731539564108</v>
      </c>
      <c r="T737">
        <f t="shared" si="1003"/>
        <v>9.0832731539564102E-2</v>
      </c>
    </row>
    <row r="738" spans="1:20" x14ac:dyDescent="0.25">
      <c r="A738" s="5">
        <v>43855</v>
      </c>
      <c r="B738">
        <v>4.4850000000000003</v>
      </c>
      <c r="C738">
        <v>4.492</v>
      </c>
      <c r="D738">
        <v>4.3520000000000003</v>
      </c>
      <c r="E738">
        <v>4.3899999999999997</v>
      </c>
      <c r="F738">
        <v>324254.07400000002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-0.45714285714286496</v>
      </c>
      <c r="Q738">
        <f t="shared" si="1000"/>
        <v>-148230.43382857397</v>
      </c>
      <c r="R738">
        <f t="shared" si="1001"/>
        <v>8858142.3714666162</v>
      </c>
      <c r="S738">
        <f t="shared" si="1002"/>
        <v>88.581423714666158</v>
      </c>
      <c r="T738">
        <f t="shared" si="1003"/>
        <v>8.8581423714666152E-2</v>
      </c>
    </row>
    <row r="739" spans="1:20" x14ac:dyDescent="0.25">
      <c r="A739" s="5">
        <v>43854</v>
      </c>
      <c r="B739">
        <v>4.4640000000000004</v>
      </c>
      <c r="C739">
        <v>4.53</v>
      </c>
      <c r="D739">
        <v>4.3440000000000003</v>
      </c>
      <c r="E739">
        <v>4.4880000000000004</v>
      </c>
      <c r="F739">
        <v>419911.86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0.54838709677419539</v>
      </c>
      <c r="Q739">
        <f t="shared" si="1000"/>
        <v>230274.24580645238</v>
      </c>
      <c r="R739">
        <f t="shared" si="1001"/>
        <v>9006372.8052951898</v>
      </c>
      <c r="S739">
        <f t="shared" si="1002"/>
        <v>90.063728052951902</v>
      </c>
      <c r="T739">
        <f t="shared" si="1003"/>
        <v>9.0063728052951902E-2</v>
      </c>
    </row>
    <row r="740" spans="1:20" x14ac:dyDescent="0.25">
      <c r="A740" s="5">
        <v>43853</v>
      </c>
      <c r="B740">
        <v>4.6619999999999999</v>
      </c>
      <c r="C740">
        <v>4.6900000000000004</v>
      </c>
      <c r="D740">
        <v>4.3639999999999999</v>
      </c>
      <c r="E740">
        <v>4.4630000000000001</v>
      </c>
      <c r="F740">
        <v>757090.74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-0.39263803680981568</v>
      </c>
      <c r="Q740">
        <f t="shared" si="1000"/>
        <v>-297262.62184049061</v>
      </c>
      <c r="R740">
        <f t="shared" si="1001"/>
        <v>8776098.559488738</v>
      </c>
      <c r="S740">
        <f t="shared" si="1002"/>
        <v>87.760985594887373</v>
      </c>
      <c r="T740">
        <f t="shared" si="1003"/>
        <v>8.7760985594887375E-2</v>
      </c>
    </row>
    <row r="741" spans="1:20" x14ac:dyDescent="0.25">
      <c r="A741" s="5">
        <v>43852</v>
      </c>
      <c r="B741">
        <v>4.6399999999999997</v>
      </c>
      <c r="C741">
        <v>4.702</v>
      </c>
      <c r="D741">
        <v>4.5510000000000002</v>
      </c>
      <c r="E741">
        <v>4.657</v>
      </c>
      <c r="F741">
        <v>414095.576</v>
      </c>
      <c r="G741">
        <v>0</v>
      </c>
      <c r="L741" t="s">
        <v>8</v>
      </c>
      <c r="M741" t="s">
        <v>7</v>
      </c>
      <c r="N741" t="s">
        <v>8</v>
      </c>
      <c r="P741">
        <f t="shared" si="999"/>
        <v>0.40397350993377501</v>
      </c>
      <c r="Q741">
        <f t="shared" si="1000"/>
        <v>167283.64328476827</v>
      </c>
      <c r="R741">
        <f t="shared" si="1001"/>
        <v>9073361.181329228</v>
      </c>
      <c r="S741">
        <f t="shared" si="1002"/>
        <v>90.733611813292285</v>
      </c>
      <c r="T741">
        <f t="shared" si="1003"/>
        <v>9.0733611813292286E-2</v>
      </c>
    </row>
    <row r="742" spans="1:20" x14ac:dyDescent="0.25">
      <c r="A742" s="5">
        <v>43851</v>
      </c>
      <c r="B742">
        <v>4.5019999999999998</v>
      </c>
      <c r="C742">
        <v>4.7489999999999997</v>
      </c>
      <c r="D742">
        <v>4.452</v>
      </c>
      <c r="E742">
        <v>4.6399999999999997</v>
      </c>
      <c r="F742">
        <v>682574.99300000002</v>
      </c>
      <c r="G742">
        <v>0</v>
      </c>
      <c r="L742" t="s">
        <v>8</v>
      </c>
      <c r="M742" t="s">
        <v>7</v>
      </c>
      <c r="N742" t="s">
        <v>8</v>
      </c>
      <c r="P742">
        <f t="shared" si="999"/>
        <v>0.26599326599326539</v>
      </c>
      <c r="Q742">
        <f t="shared" si="1000"/>
        <v>181560.35167340026</v>
      </c>
      <c r="R742">
        <f t="shared" si="1001"/>
        <v>8906077.5380444601</v>
      </c>
      <c r="S742">
        <f t="shared" si="1002"/>
        <v>89.060775380444596</v>
      </c>
      <c r="T742">
        <f t="shared" si="1003"/>
        <v>8.9060775380444601E-2</v>
      </c>
    </row>
    <row r="743" spans="1:20" x14ac:dyDescent="0.25">
      <c r="A743" s="5">
        <v>43850</v>
      </c>
      <c r="B743">
        <v>4.516</v>
      </c>
      <c r="C743">
        <v>4.67</v>
      </c>
      <c r="D743">
        <v>4.4039999999999999</v>
      </c>
      <c r="E743">
        <v>4.5049999999999999</v>
      </c>
      <c r="F743">
        <v>557480.15700000001</v>
      </c>
      <c r="G743">
        <v>0</v>
      </c>
      <c r="L743" t="s">
        <v>7</v>
      </c>
      <c r="M743" t="s">
        <v>7</v>
      </c>
      <c r="N743" t="s">
        <v>8</v>
      </c>
      <c r="P743">
        <f t="shared" si="999"/>
        <v>-0.2406015037593987</v>
      </c>
      <c r="Q743">
        <f t="shared" si="1000"/>
        <v>-134130.56409022567</v>
      </c>
      <c r="R743">
        <f t="shared" si="1001"/>
        <v>8724517.1863710601</v>
      </c>
      <c r="S743">
        <f t="shared" si="1002"/>
        <v>87.245171863710596</v>
      </c>
      <c r="T743">
        <f t="shared" si="1003"/>
        <v>8.7245171863710599E-2</v>
      </c>
    </row>
    <row r="744" spans="1:20" x14ac:dyDescent="0.25">
      <c r="A744" s="5">
        <v>43849</v>
      </c>
      <c r="B744">
        <v>4.625</v>
      </c>
      <c r="C744">
        <v>4.774</v>
      </c>
      <c r="D744">
        <v>4.3600000000000003</v>
      </c>
      <c r="E744">
        <v>4.516</v>
      </c>
      <c r="F744">
        <v>781280.07400000002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-0.24637681159420383</v>
      </c>
      <c r="Q744">
        <f t="shared" si="1000"/>
        <v>-192489.29359420363</v>
      </c>
      <c r="R744">
        <f t="shared" si="1001"/>
        <v>8858647.7504612859</v>
      </c>
      <c r="S744">
        <f t="shared" si="1002"/>
        <v>88.586477504612859</v>
      </c>
      <c r="T744">
        <f t="shared" si="1003"/>
        <v>8.8586477504612862E-2</v>
      </c>
    </row>
    <row r="745" spans="1:20" x14ac:dyDescent="0.25">
      <c r="A745" s="5">
        <v>43848</v>
      </c>
      <c r="B745">
        <v>5</v>
      </c>
      <c r="C745">
        <v>5.0330000000000004</v>
      </c>
      <c r="D745">
        <v>4.5999999999999996</v>
      </c>
      <c r="E745">
        <v>4.625</v>
      </c>
      <c r="F745">
        <v>925077.23899999994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-0.88452655889145348</v>
      </c>
      <c r="Q745">
        <f t="shared" si="1000"/>
        <v>-818255.38692147669</v>
      </c>
      <c r="R745">
        <f t="shared" si="1001"/>
        <v>9051137.0440554898</v>
      </c>
      <c r="S745">
        <f t="shared" si="1002"/>
        <v>90.511370440554899</v>
      </c>
      <c r="T745">
        <f t="shared" si="1003"/>
        <v>9.0511370440554892E-2</v>
      </c>
    </row>
    <row r="746" spans="1:20" x14ac:dyDescent="0.25">
      <c r="A746" s="5">
        <v>43847</v>
      </c>
      <c r="B746">
        <v>5.0979999999999999</v>
      </c>
      <c r="C746">
        <v>5.32</v>
      </c>
      <c r="D746">
        <v>4.68</v>
      </c>
      <c r="E746">
        <v>5.0149999999999997</v>
      </c>
      <c r="F746">
        <v>2280631.716</v>
      </c>
      <c r="G746">
        <v>0</v>
      </c>
      <c r="L746" t="s">
        <v>7</v>
      </c>
      <c r="M746" t="s">
        <v>8</v>
      </c>
      <c r="N746" t="s">
        <v>8</v>
      </c>
      <c r="P746">
        <f t="shared" si="999"/>
        <v>4.6874999999998959E-2</v>
      </c>
      <c r="Q746">
        <f t="shared" si="1000"/>
        <v>106904.61168749763</v>
      </c>
      <c r="R746">
        <f t="shared" si="1001"/>
        <v>9869392.4309769664</v>
      </c>
      <c r="S746">
        <f t="shared" si="1002"/>
        <v>98.69392430976967</v>
      </c>
      <c r="T746">
        <f t="shared" si="1003"/>
        <v>9.8693924309769671E-2</v>
      </c>
    </row>
    <row r="747" spans="1:20" x14ac:dyDescent="0.25">
      <c r="A747" s="5">
        <v>43846</v>
      </c>
      <c r="B747">
        <v>4.5679999999999996</v>
      </c>
      <c r="C747">
        <v>5.423</v>
      </c>
      <c r="D747">
        <v>4.1520000000000001</v>
      </c>
      <c r="E747">
        <v>5.0970000000000004</v>
      </c>
      <c r="F747">
        <v>3358644.3969999999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0.48701809598741203</v>
      </c>
      <c r="Q747">
        <f t="shared" si="1000"/>
        <v>1635720.5993257295</v>
      </c>
      <c r="R747">
        <f t="shared" si="1001"/>
        <v>9762487.8192894682</v>
      </c>
      <c r="S747">
        <f t="shared" si="1002"/>
        <v>97.624878192894684</v>
      </c>
      <c r="T747">
        <f t="shared" si="1003"/>
        <v>9.7624878192894685E-2</v>
      </c>
    </row>
    <row r="748" spans="1:20" x14ac:dyDescent="0.25">
      <c r="A748" s="5">
        <v>43845</v>
      </c>
      <c r="B748">
        <v>4.5259999999999998</v>
      </c>
      <c r="C748">
        <v>4.9690000000000003</v>
      </c>
      <c r="D748">
        <v>4.4029999999999996</v>
      </c>
      <c r="E748">
        <v>4.5730000000000004</v>
      </c>
      <c r="F748">
        <v>1843134.2749999999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-0.39929328621907917</v>
      </c>
      <c r="Q748">
        <f t="shared" si="1000"/>
        <v>-735951.14160776988</v>
      </c>
      <c r="R748">
        <f t="shared" si="1001"/>
        <v>8126767.2199637396</v>
      </c>
      <c r="S748">
        <f t="shared" si="1002"/>
        <v>81.267672199637403</v>
      </c>
      <c r="T748">
        <f t="shared" si="1003"/>
        <v>8.1267672199637403E-2</v>
      </c>
    </row>
    <row r="749" spans="1:20" x14ac:dyDescent="0.25">
      <c r="A749" s="5">
        <v>43844</v>
      </c>
      <c r="B749">
        <v>4.2480000000000002</v>
      </c>
      <c r="C749">
        <v>4.665</v>
      </c>
      <c r="D749">
        <v>4.2050000000000001</v>
      </c>
      <c r="E749">
        <v>4.53</v>
      </c>
      <c r="F749">
        <v>1581389.963</v>
      </c>
      <c r="G749">
        <v>0</v>
      </c>
      <c r="L749" t="s">
        <v>8</v>
      </c>
      <c r="M749" t="s">
        <v>7</v>
      </c>
      <c r="N749" t="s">
        <v>8</v>
      </c>
      <c r="P749">
        <f t="shared" si="999"/>
        <v>0.41304347826087046</v>
      </c>
      <c r="Q749">
        <f t="shared" si="1000"/>
        <v>653182.81080434925</v>
      </c>
      <c r="R749">
        <f t="shared" si="1001"/>
        <v>8862718.3615715094</v>
      </c>
      <c r="S749">
        <f t="shared" si="1002"/>
        <v>88.627183615715097</v>
      </c>
      <c r="T749">
        <f t="shared" si="1003"/>
        <v>8.8627183615715102E-2</v>
      </c>
    </row>
    <row r="750" spans="1:20" x14ac:dyDescent="0.25">
      <c r="A750" s="5">
        <v>43843</v>
      </c>
      <c r="B750">
        <v>4.2549999999999999</v>
      </c>
      <c r="C750">
        <v>4.3220000000000001</v>
      </c>
      <c r="D750">
        <v>4.1020000000000003</v>
      </c>
      <c r="E750">
        <v>4.2450000000000001</v>
      </c>
      <c r="F750">
        <v>605591.48499999999</v>
      </c>
      <c r="G750">
        <v>0</v>
      </c>
      <c r="L750" t="s">
        <v>7</v>
      </c>
      <c r="M750" t="s">
        <v>7</v>
      </c>
      <c r="N750" t="s">
        <v>8</v>
      </c>
      <c r="P750">
        <f t="shared" si="999"/>
        <v>0.2999999999999996</v>
      </c>
      <c r="Q750">
        <f t="shared" si="1000"/>
        <v>181677.44549999974</v>
      </c>
      <c r="R750">
        <f t="shared" si="1001"/>
        <v>8209535.550767161</v>
      </c>
      <c r="S750">
        <f t="shared" si="1002"/>
        <v>82.095355507671613</v>
      </c>
      <c r="T750">
        <f t="shared" si="1003"/>
        <v>8.2095355507671608E-2</v>
      </c>
    </row>
    <row r="751" spans="1:20" x14ac:dyDescent="0.25">
      <c r="A751" s="5">
        <v>43842</v>
      </c>
      <c r="B751">
        <v>4.2640000000000002</v>
      </c>
      <c r="C751">
        <v>4.34</v>
      </c>
      <c r="D751">
        <v>4.2149999999999999</v>
      </c>
      <c r="E751">
        <v>4.2530000000000001</v>
      </c>
      <c r="F751">
        <v>521825.23300000001</v>
      </c>
      <c r="G751">
        <v>0</v>
      </c>
      <c r="L751" t="s">
        <v>8</v>
      </c>
      <c r="M751" t="s">
        <v>7</v>
      </c>
      <c r="N751" t="s">
        <v>8</v>
      </c>
      <c r="P751">
        <f t="shared" si="999"/>
        <v>-0.39199999999999591</v>
      </c>
      <c r="Q751">
        <f t="shared" si="1000"/>
        <v>-204555.49133599785</v>
      </c>
      <c r="R751">
        <f t="shared" si="1001"/>
        <v>8027858.1052671615</v>
      </c>
      <c r="S751">
        <f t="shared" si="1002"/>
        <v>80.278581052671612</v>
      </c>
      <c r="T751">
        <f t="shared" si="1003"/>
        <v>8.0278581052671619E-2</v>
      </c>
    </row>
    <row r="752" spans="1:20" x14ac:dyDescent="0.25">
      <c r="A752" s="5">
        <v>43841</v>
      </c>
      <c r="B752">
        <v>4.2729999999999997</v>
      </c>
      <c r="C752">
        <v>4.4320000000000004</v>
      </c>
      <c r="D752">
        <v>4.26</v>
      </c>
      <c r="E752">
        <v>4.2640000000000002</v>
      </c>
      <c r="F752">
        <v>839017.103</v>
      </c>
      <c r="G752">
        <v>0</v>
      </c>
      <c r="L752" t="s">
        <v>8</v>
      </c>
      <c r="M752" t="s">
        <v>7</v>
      </c>
      <c r="N752" t="s">
        <v>8</v>
      </c>
      <c r="P752">
        <f t="shared" si="999"/>
        <v>-0.95348837209301818</v>
      </c>
      <c r="Q752">
        <f t="shared" si="1000"/>
        <v>-799993.05169767013</v>
      </c>
      <c r="R752">
        <f t="shared" si="1001"/>
        <v>8232413.5966031598</v>
      </c>
      <c r="S752">
        <f t="shared" si="1002"/>
        <v>82.324135966031605</v>
      </c>
      <c r="T752">
        <f t="shared" si="1003"/>
        <v>8.2324135966031609E-2</v>
      </c>
    </row>
    <row r="753" spans="1:20" x14ac:dyDescent="0.25">
      <c r="A753" s="5">
        <v>43840</v>
      </c>
      <c r="B753">
        <v>4.2439999999999998</v>
      </c>
      <c r="C753">
        <v>4.4349999999999996</v>
      </c>
      <c r="D753">
        <v>4.18</v>
      </c>
      <c r="E753">
        <v>4.2699999999999996</v>
      </c>
      <c r="F753">
        <v>1806180.48</v>
      </c>
      <c r="G753">
        <v>0</v>
      </c>
      <c r="L753" t="s">
        <v>8</v>
      </c>
      <c r="M753" t="s">
        <v>7</v>
      </c>
      <c r="N753" t="s">
        <v>8</v>
      </c>
      <c r="P753">
        <f t="shared" si="999"/>
        <v>-0.29411764705882437</v>
      </c>
      <c r="Q753">
        <f t="shared" si="1000"/>
        <v>-531229.55294117797</v>
      </c>
      <c r="R753">
        <f t="shared" si="1001"/>
        <v>9032406.6483008303</v>
      </c>
      <c r="S753">
        <f t="shared" si="1002"/>
        <v>90.324066483008309</v>
      </c>
      <c r="T753">
        <f t="shared" si="1003"/>
        <v>9.0324066483008308E-2</v>
      </c>
    </row>
    <row r="754" spans="1:20" x14ac:dyDescent="0.25">
      <c r="A754" s="5">
        <v>43839</v>
      </c>
      <c r="B754">
        <v>3.9950000000000001</v>
      </c>
      <c r="C754">
        <v>4.2569999999999997</v>
      </c>
      <c r="D754">
        <v>3.95</v>
      </c>
      <c r="E754">
        <v>4.2450000000000001</v>
      </c>
      <c r="F754">
        <v>1177416.1159999999</v>
      </c>
      <c r="G754">
        <v>0</v>
      </c>
      <c r="L754" t="s">
        <v>8</v>
      </c>
      <c r="M754" t="s">
        <v>7</v>
      </c>
      <c r="N754" t="s">
        <v>8</v>
      </c>
      <c r="P754">
        <f t="shared" si="999"/>
        <v>0.92182410423453043</v>
      </c>
      <c r="Q754">
        <f t="shared" si="1000"/>
        <v>1085370.556443</v>
      </c>
      <c r="R754">
        <f t="shared" si="1001"/>
        <v>9563636.2012420092</v>
      </c>
      <c r="S754">
        <f t="shared" si="1002"/>
        <v>95.636362012420093</v>
      </c>
      <c r="T754">
        <f t="shared" si="1003"/>
        <v>9.5636362012420095E-2</v>
      </c>
    </row>
    <row r="755" spans="1:20" x14ac:dyDescent="0.25">
      <c r="A755" s="5">
        <v>43838</v>
      </c>
      <c r="B755">
        <v>4.0869999999999997</v>
      </c>
      <c r="C755">
        <v>4.1760000000000002</v>
      </c>
      <c r="D755">
        <v>3.9460000000000002</v>
      </c>
      <c r="E755">
        <v>3.9950000000000001</v>
      </c>
      <c r="F755">
        <v>752638.15700000001</v>
      </c>
      <c r="G755">
        <v>0</v>
      </c>
      <c r="L755" t="s">
        <v>7</v>
      </c>
      <c r="M755" t="s">
        <v>7</v>
      </c>
      <c r="N755" t="s">
        <v>8</v>
      </c>
      <c r="P755">
        <f t="shared" si="999"/>
        <v>-0.57391304347826144</v>
      </c>
      <c r="Q755">
        <f t="shared" si="1000"/>
        <v>-431948.85532173957</v>
      </c>
      <c r="R755">
        <f t="shared" si="1001"/>
        <v>8478265.644799009</v>
      </c>
      <c r="S755">
        <f t="shared" si="1002"/>
        <v>84.782656447990092</v>
      </c>
      <c r="T755">
        <f t="shared" si="1003"/>
        <v>8.4782656447990087E-2</v>
      </c>
    </row>
    <row r="756" spans="1:20" x14ac:dyDescent="0.25">
      <c r="A756" s="5">
        <v>43837</v>
      </c>
      <c r="B756">
        <v>4.1109999999999998</v>
      </c>
      <c r="C756">
        <v>4.2430000000000003</v>
      </c>
      <c r="D756">
        <v>4.0540000000000003</v>
      </c>
      <c r="E756">
        <v>4.0750000000000002</v>
      </c>
      <c r="F756">
        <v>875085.46900000004</v>
      </c>
      <c r="G756">
        <v>0</v>
      </c>
      <c r="L756" t="s">
        <v>7</v>
      </c>
      <c r="M756" t="s">
        <v>7</v>
      </c>
      <c r="N756" t="s">
        <v>8</v>
      </c>
      <c r="P756">
        <f t="shared" si="999"/>
        <v>-0.77777777777777879</v>
      </c>
      <c r="Q756">
        <f t="shared" si="1000"/>
        <v>-680622.03144444537</v>
      </c>
      <c r="R756">
        <f t="shared" si="1001"/>
        <v>8910214.5001207478</v>
      </c>
      <c r="S756">
        <f t="shared" si="1002"/>
        <v>89.102145001207475</v>
      </c>
      <c r="T756">
        <f t="shared" si="1003"/>
        <v>8.9102145001207472E-2</v>
      </c>
    </row>
    <row r="757" spans="1:20" x14ac:dyDescent="0.25">
      <c r="A757" s="5">
        <v>43836</v>
      </c>
      <c r="B757">
        <v>4.2069999999999999</v>
      </c>
      <c r="C757">
        <v>4.2469999999999999</v>
      </c>
      <c r="D757">
        <v>4.0069999999999997</v>
      </c>
      <c r="E757">
        <v>4.1109999999999998</v>
      </c>
      <c r="F757">
        <v>1218709.6569999999</v>
      </c>
      <c r="G757">
        <v>0</v>
      </c>
      <c r="L757" t="s">
        <v>7</v>
      </c>
      <c r="M757" t="s">
        <v>7</v>
      </c>
      <c r="N757" t="s">
        <v>8</v>
      </c>
      <c r="P757">
        <f t="shared" si="999"/>
        <v>-0.13333333333333333</v>
      </c>
      <c r="Q757">
        <f t="shared" si="1000"/>
        <v>-162494.62093333332</v>
      </c>
      <c r="R757">
        <f t="shared" si="1001"/>
        <v>9590836.5315651931</v>
      </c>
      <c r="S757">
        <f t="shared" si="1002"/>
        <v>95.908365315651935</v>
      </c>
      <c r="T757">
        <f t="shared" si="1003"/>
        <v>9.5908365315651931E-2</v>
      </c>
    </row>
    <row r="758" spans="1:20" x14ac:dyDescent="0.25">
      <c r="A758" s="5">
        <v>43835</v>
      </c>
      <c r="B758">
        <v>4.2480000000000002</v>
      </c>
      <c r="C758">
        <v>4.3650000000000002</v>
      </c>
      <c r="D758">
        <v>4.1619999999999999</v>
      </c>
      <c r="E758">
        <v>4.2</v>
      </c>
      <c r="F758">
        <v>794842.35499999998</v>
      </c>
      <c r="G758">
        <v>0</v>
      </c>
      <c r="L758" t="s">
        <v>8</v>
      </c>
      <c r="M758" t="s">
        <v>7</v>
      </c>
      <c r="N758" t="s">
        <v>8</v>
      </c>
      <c r="P758">
        <f t="shared" si="999"/>
        <v>-0.62561576354679604</v>
      </c>
      <c r="Q758">
        <f t="shared" si="1000"/>
        <v>-497265.90682265849</v>
      </c>
      <c r="R758">
        <f t="shared" si="1001"/>
        <v>9753331.1524985265</v>
      </c>
      <c r="S758">
        <f t="shared" si="1002"/>
        <v>97.533311524985265</v>
      </c>
      <c r="T758">
        <f t="shared" si="1003"/>
        <v>9.7533311524985261E-2</v>
      </c>
    </row>
    <row r="759" spans="1:20" x14ac:dyDescent="0.25">
      <c r="A759" s="5">
        <v>43834</v>
      </c>
      <c r="B759">
        <v>4.2380000000000004</v>
      </c>
      <c r="C759">
        <v>4.38</v>
      </c>
      <c r="D759">
        <v>4.2210000000000001</v>
      </c>
      <c r="E759">
        <v>4.25</v>
      </c>
      <c r="F759">
        <v>394394.64799999999</v>
      </c>
      <c r="G759">
        <v>0</v>
      </c>
      <c r="L759" t="s">
        <v>8</v>
      </c>
      <c r="M759" t="s">
        <v>7</v>
      </c>
      <c r="N759" t="s">
        <v>8</v>
      </c>
      <c r="P759">
        <f t="shared" si="999"/>
        <v>-0.63522012578616416</v>
      </c>
      <c r="Q759">
        <f t="shared" si="1000"/>
        <v>-250527.41791194992</v>
      </c>
      <c r="R759">
        <f t="shared" si="1001"/>
        <v>10250597.059321186</v>
      </c>
      <c r="S759">
        <f t="shared" si="1002"/>
        <v>102.50597059321186</v>
      </c>
      <c r="T759">
        <f t="shared" si="1003"/>
        <v>0.10250597059321186</v>
      </c>
    </row>
    <row r="760" spans="1:20" x14ac:dyDescent="0.25">
      <c r="A760" s="5">
        <v>43833</v>
      </c>
      <c r="B760">
        <v>4.0910000000000002</v>
      </c>
      <c r="C760">
        <v>4.38</v>
      </c>
      <c r="D760">
        <v>3.99</v>
      </c>
      <c r="E760">
        <v>4.2370000000000001</v>
      </c>
      <c r="F760">
        <v>1190980.3910000001</v>
      </c>
      <c r="G760">
        <v>0</v>
      </c>
      <c r="L760" t="s">
        <v>7</v>
      </c>
      <c r="M760" t="s">
        <v>7</v>
      </c>
      <c r="N760" t="s">
        <v>8</v>
      </c>
      <c r="P760">
        <f t="shared" si="999"/>
        <v>0.26666666666666711</v>
      </c>
      <c r="Q760">
        <f t="shared" si="1000"/>
        <v>317594.7709333339</v>
      </c>
      <c r="R760">
        <f t="shared" si="1001"/>
        <v>10501124.477233136</v>
      </c>
      <c r="S760">
        <f t="shared" si="1002"/>
        <v>105.01124477233137</v>
      </c>
      <c r="T760">
        <f t="shared" si="1003"/>
        <v>0.10501124477233137</v>
      </c>
    </row>
    <row r="761" spans="1:20" x14ac:dyDescent="0.25">
      <c r="A761" s="5">
        <v>43832</v>
      </c>
      <c r="B761">
        <v>4.3819999999999997</v>
      </c>
      <c r="C761">
        <v>4.3970000000000002</v>
      </c>
      <c r="D761">
        <v>4.0730000000000004</v>
      </c>
      <c r="E761">
        <v>4.0960000000000001</v>
      </c>
      <c r="F761">
        <v>763249.83799999999</v>
      </c>
      <c r="G761">
        <v>0</v>
      </c>
      <c r="L761" t="s">
        <v>7</v>
      </c>
      <c r="M761" t="s">
        <v>7</v>
      </c>
      <c r="N761" t="s">
        <v>8</v>
      </c>
      <c r="P761">
        <f t="shared" si="999"/>
        <v>-0.8580246913580265</v>
      </c>
      <c r="Q761">
        <f t="shared" si="1000"/>
        <v>-654887.20667901367</v>
      </c>
      <c r="R761">
        <f t="shared" si="1001"/>
        <v>10183529.706299802</v>
      </c>
      <c r="S761">
        <f t="shared" si="1002"/>
        <v>101.83529706299802</v>
      </c>
      <c r="T761">
        <f t="shared" si="1003"/>
        <v>0.10183529706299803</v>
      </c>
    </row>
    <row r="762" spans="1:20" x14ac:dyDescent="0.25">
      <c r="A762" s="5">
        <v>43831</v>
      </c>
      <c r="B762">
        <v>4.2169999999999996</v>
      </c>
      <c r="C762">
        <v>4.49</v>
      </c>
      <c r="D762">
        <v>4.2080000000000002</v>
      </c>
      <c r="E762">
        <v>4.38</v>
      </c>
      <c r="F762">
        <v>501427.61599999998</v>
      </c>
      <c r="G762">
        <v>0</v>
      </c>
      <c r="L762" t="s">
        <v>8</v>
      </c>
      <c r="M762" t="s">
        <v>7</v>
      </c>
      <c r="N762" t="s">
        <v>8</v>
      </c>
      <c r="P762">
        <f t="shared" si="999"/>
        <v>0.21985815602836661</v>
      </c>
      <c r="Q762">
        <f t="shared" si="1000"/>
        <v>110242.95103545989</v>
      </c>
      <c r="R762">
        <f t="shared" si="1001"/>
        <v>10838416.912978817</v>
      </c>
      <c r="S762">
        <f t="shared" si="1002"/>
        <v>108.38416912978816</v>
      </c>
      <c r="T762">
        <f t="shared" si="1003"/>
        <v>0.10838416912978817</v>
      </c>
    </row>
    <row r="763" spans="1:20" x14ac:dyDescent="0.25">
      <c r="A763" s="5">
        <v>43830</v>
      </c>
      <c r="B763">
        <v>4.16</v>
      </c>
      <c r="C763">
        <v>4.3109999999999999</v>
      </c>
      <c r="D763">
        <v>4.1020000000000003</v>
      </c>
      <c r="E763">
        <v>4.2270000000000003</v>
      </c>
      <c r="F763">
        <v>588807.07299999997</v>
      </c>
      <c r="G763">
        <v>0</v>
      </c>
      <c r="L763" t="s">
        <v>7</v>
      </c>
      <c r="M763" t="s">
        <v>7</v>
      </c>
      <c r="N763" t="s">
        <v>8</v>
      </c>
      <c r="P763">
        <f t="shared" si="999"/>
        <v>0.19617224880382986</v>
      </c>
      <c r="Q763">
        <f t="shared" si="1000"/>
        <v>115507.60762201081</v>
      </c>
      <c r="R763">
        <f t="shared" si="1001"/>
        <v>10728173.961943356</v>
      </c>
      <c r="S763">
        <f t="shared" si="1002"/>
        <v>107.28173961943357</v>
      </c>
      <c r="T763">
        <f t="shared" si="1003"/>
        <v>0.10728173961943356</v>
      </c>
    </row>
    <row r="764" spans="1:20" x14ac:dyDescent="0.25">
      <c r="A764" s="5">
        <v>43829</v>
      </c>
      <c r="B764">
        <v>4.2530000000000001</v>
      </c>
      <c r="C764">
        <v>4.4029999999999996</v>
      </c>
      <c r="D764">
        <v>4.1150000000000002</v>
      </c>
      <c r="E764">
        <v>4.1660000000000004</v>
      </c>
      <c r="F764">
        <v>893064.01</v>
      </c>
      <c r="G764">
        <v>0</v>
      </c>
      <c r="L764" t="s">
        <v>7</v>
      </c>
      <c r="M764" t="s">
        <v>7</v>
      </c>
      <c r="N764" t="s">
        <v>8</v>
      </c>
      <c r="P764">
        <f t="shared" si="999"/>
        <v>-0.64583333333333148</v>
      </c>
      <c r="Q764">
        <f t="shared" si="1000"/>
        <v>-576770.50645833171</v>
      </c>
      <c r="R764">
        <f t="shared" si="1001"/>
        <v>10612666.354321346</v>
      </c>
      <c r="S764">
        <f t="shared" si="1002"/>
        <v>106.12666354321345</v>
      </c>
      <c r="T764">
        <f t="shared" si="1003"/>
        <v>0.10612666354321346</v>
      </c>
    </row>
    <row r="765" spans="1:20" x14ac:dyDescent="0.25">
      <c r="A765" s="5">
        <v>43828</v>
      </c>
      <c r="B765">
        <v>4.3929999999999998</v>
      </c>
      <c r="C765">
        <v>4.4589999999999996</v>
      </c>
      <c r="D765">
        <v>4.2149999999999999</v>
      </c>
      <c r="E765">
        <v>4.2530000000000001</v>
      </c>
      <c r="F765">
        <v>1161832.385</v>
      </c>
      <c r="G765">
        <v>0</v>
      </c>
      <c r="L765" t="s">
        <v>7</v>
      </c>
      <c r="M765" t="s">
        <v>8</v>
      </c>
      <c r="N765" t="s">
        <v>8</v>
      </c>
      <c r="P765">
        <f t="shared" si="999"/>
        <v>-0.68852459016393208</v>
      </c>
      <c r="Q765">
        <f t="shared" si="1000"/>
        <v>-799950.16672130872</v>
      </c>
      <c r="R765">
        <f t="shared" si="1001"/>
        <v>11189436.860779677</v>
      </c>
      <c r="S765">
        <f t="shared" si="1002"/>
        <v>111.89436860779676</v>
      </c>
      <c r="T765">
        <f t="shared" si="1003"/>
        <v>0.11189436860779677</v>
      </c>
    </row>
    <row r="766" spans="1:20" x14ac:dyDescent="0.25">
      <c r="A766" s="5">
        <v>43827</v>
      </c>
      <c r="B766">
        <v>4.5069999999999997</v>
      </c>
      <c r="C766">
        <v>4.7130000000000001</v>
      </c>
      <c r="D766">
        <v>4.3890000000000002</v>
      </c>
      <c r="E766">
        <v>4.3979999999999997</v>
      </c>
      <c r="F766">
        <v>918395.56499999994</v>
      </c>
      <c r="G766">
        <v>0</v>
      </c>
      <c r="L766" t="s">
        <v>7</v>
      </c>
      <c r="M766" t="s">
        <v>8</v>
      </c>
      <c r="N766" t="s">
        <v>8</v>
      </c>
      <c r="P766">
        <f t="shared" si="999"/>
        <v>-0.94444444444444775</v>
      </c>
      <c r="Q766">
        <f t="shared" si="1000"/>
        <v>-867373.58916666964</v>
      </c>
      <c r="R766">
        <f t="shared" si="1001"/>
        <v>11989387.027500985</v>
      </c>
      <c r="S766">
        <f t="shared" si="1002"/>
        <v>119.89387027500985</v>
      </c>
      <c r="T766">
        <f t="shared" si="1003"/>
        <v>0.11989387027500985</v>
      </c>
    </row>
    <row r="767" spans="1:20" x14ac:dyDescent="0.25">
      <c r="A767" s="5">
        <v>43826</v>
      </c>
      <c r="B767">
        <v>4.5629999999999997</v>
      </c>
      <c r="C767">
        <v>4.79</v>
      </c>
      <c r="D767">
        <v>4.4459999999999997</v>
      </c>
      <c r="E767">
        <v>4.5060000000000002</v>
      </c>
      <c r="F767">
        <v>1370201.1580000001</v>
      </c>
      <c r="G767">
        <v>0</v>
      </c>
      <c r="L767" t="s">
        <v>8</v>
      </c>
      <c r="M767" t="s">
        <v>8</v>
      </c>
      <c r="N767" t="s">
        <v>8</v>
      </c>
      <c r="P767">
        <f t="shared" ref="P767:P830" si="1004">IF(C767=D767,0,((E767-D767)-(C767-E767))/(C767-D767))</f>
        <v>-0.6511627906976718</v>
      </c>
      <c r="Q767">
        <f t="shared" ref="Q767:Q830" si="1005">F767*P767</f>
        <v>-892224.00986046158</v>
      </c>
      <c r="R767">
        <f t="shared" ref="R767:R830" si="1006">R768+Q767</f>
        <v>12856760.616667654</v>
      </c>
      <c r="S767">
        <f t="shared" ref="S767:S830" si="1007">R767/100000</f>
        <v>128.56760616667654</v>
      </c>
      <c r="T767">
        <f t="shared" ref="T767:T830" si="1008">S767/1000</f>
        <v>0.12856760616667653</v>
      </c>
    </row>
    <row r="768" spans="1:20" x14ac:dyDescent="0.25">
      <c r="A768" s="5">
        <v>43825</v>
      </c>
      <c r="B768">
        <v>4.2649999999999997</v>
      </c>
      <c r="C768">
        <v>4.6340000000000003</v>
      </c>
      <c r="D768">
        <v>4.258</v>
      </c>
      <c r="E768">
        <v>4.5640000000000001</v>
      </c>
      <c r="F768">
        <v>1393754.3940000001</v>
      </c>
      <c r="G768">
        <v>0</v>
      </c>
      <c r="L768" t="s">
        <v>8</v>
      </c>
      <c r="M768" t="s">
        <v>8</v>
      </c>
      <c r="N768" t="s">
        <v>8</v>
      </c>
      <c r="P768">
        <f t="shared" si="1004"/>
        <v>0.62765957446808396</v>
      </c>
      <c r="Q768">
        <f t="shared" si="1005"/>
        <v>874803.28985106223</v>
      </c>
      <c r="R768">
        <f t="shared" si="1006"/>
        <v>13748984.626528116</v>
      </c>
      <c r="S768">
        <f t="shared" si="1007"/>
        <v>137.48984626528116</v>
      </c>
      <c r="T768">
        <f t="shared" si="1008"/>
        <v>0.13748984626528116</v>
      </c>
    </row>
    <row r="769" spans="1:20" x14ac:dyDescent="0.25">
      <c r="A769" s="5">
        <v>43824</v>
      </c>
      <c r="B769">
        <v>4.3869999999999996</v>
      </c>
      <c r="C769">
        <v>4.3949999999999996</v>
      </c>
      <c r="D769">
        <v>4.1609999999999996</v>
      </c>
      <c r="E769">
        <v>4.2549999999999999</v>
      </c>
      <c r="F769">
        <v>840723.152</v>
      </c>
      <c r="G769">
        <v>0</v>
      </c>
      <c r="L769" t="s">
        <v>7</v>
      </c>
      <c r="M769" t="s">
        <v>8</v>
      </c>
      <c r="N769" t="s">
        <v>8</v>
      </c>
      <c r="P769">
        <f t="shared" si="1004"/>
        <v>-0.19658119658119391</v>
      </c>
      <c r="Q769">
        <f t="shared" si="1005"/>
        <v>-165270.36321367297</v>
      </c>
      <c r="R769">
        <f t="shared" si="1006"/>
        <v>12874181.336677054</v>
      </c>
      <c r="S769">
        <f t="shared" si="1007"/>
        <v>128.74181336677054</v>
      </c>
      <c r="T769">
        <f t="shared" si="1008"/>
        <v>0.12874181336677054</v>
      </c>
    </row>
    <row r="770" spans="1:20" x14ac:dyDescent="0.25">
      <c r="A770" s="5">
        <v>43823</v>
      </c>
      <c r="B770">
        <v>4.306</v>
      </c>
      <c r="C770">
        <v>4.4189999999999996</v>
      </c>
      <c r="D770">
        <v>4.25</v>
      </c>
      <c r="E770">
        <v>4.3890000000000002</v>
      </c>
      <c r="F770">
        <v>1055552.625</v>
      </c>
      <c r="G770">
        <v>0</v>
      </c>
      <c r="L770" t="s">
        <v>8</v>
      </c>
      <c r="M770" t="s">
        <v>8</v>
      </c>
      <c r="N770" t="s">
        <v>8</v>
      </c>
      <c r="P770">
        <f t="shared" si="1004"/>
        <v>0.64497041420119017</v>
      </c>
      <c r="Q770">
        <f t="shared" si="1005"/>
        <v>680800.21375740354</v>
      </c>
      <c r="R770">
        <f t="shared" si="1006"/>
        <v>13039451.699890727</v>
      </c>
      <c r="S770">
        <f t="shared" si="1007"/>
        <v>130.39451699890728</v>
      </c>
      <c r="T770">
        <f t="shared" si="1008"/>
        <v>0.13039451699890728</v>
      </c>
    </row>
    <row r="771" spans="1:20" x14ac:dyDescent="0.25">
      <c r="A771" s="5">
        <v>43822</v>
      </c>
      <c r="B771">
        <v>4.258</v>
      </c>
      <c r="C771">
        <v>4.3689999999999998</v>
      </c>
      <c r="D771">
        <v>4.141</v>
      </c>
      <c r="E771">
        <v>4.298</v>
      </c>
      <c r="F771">
        <v>941262.84600000002</v>
      </c>
      <c r="G771">
        <v>0</v>
      </c>
      <c r="L771" t="s">
        <v>8</v>
      </c>
      <c r="M771" t="s">
        <v>8</v>
      </c>
      <c r="N771" t="s">
        <v>8</v>
      </c>
      <c r="P771">
        <f t="shared" si="1004"/>
        <v>0.37719298245614208</v>
      </c>
      <c r="Q771">
        <f t="shared" si="1005"/>
        <v>355037.74015789636</v>
      </c>
      <c r="R771">
        <f t="shared" si="1006"/>
        <v>12358651.486133324</v>
      </c>
      <c r="S771">
        <f t="shared" si="1007"/>
        <v>123.58651486133324</v>
      </c>
      <c r="T771">
        <f t="shared" si="1008"/>
        <v>0.12358651486133324</v>
      </c>
    </row>
    <row r="772" spans="1:20" x14ac:dyDescent="0.25">
      <c r="A772" s="5">
        <v>43821</v>
      </c>
      <c r="B772">
        <v>4.0579999999999998</v>
      </c>
      <c r="C772">
        <v>4.2789999999999999</v>
      </c>
      <c r="D772">
        <v>4.0430000000000001</v>
      </c>
      <c r="E772">
        <v>4.2569999999999997</v>
      </c>
      <c r="F772">
        <v>760476.39300000004</v>
      </c>
      <c r="G772">
        <v>0</v>
      </c>
      <c r="L772" t="s">
        <v>7</v>
      </c>
      <c r="M772" t="s">
        <v>8</v>
      </c>
      <c r="N772" t="s">
        <v>8</v>
      </c>
      <c r="P772">
        <f t="shared" si="1004"/>
        <v>0.81355932203389603</v>
      </c>
      <c r="Q772">
        <f t="shared" si="1005"/>
        <v>618692.65871186275</v>
      </c>
      <c r="R772">
        <f t="shared" si="1006"/>
        <v>12003613.745975427</v>
      </c>
      <c r="S772">
        <f t="shared" si="1007"/>
        <v>120.03613745975427</v>
      </c>
      <c r="T772">
        <f t="shared" si="1008"/>
        <v>0.12003613745975428</v>
      </c>
    </row>
    <row r="773" spans="1:20" x14ac:dyDescent="0.25">
      <c r="A773" s="5">
        <v>43820</v>
      </c>
      <c r="B773">
        <v>4.3049999999999997</v>
      </c>
      <c r="C773">
        <v>4.343</v>
      </c>
      <c r="D773">
        <v>4.0190000000000001</v>
      </c>
      <c r="E773">
        <v>4.0570000000000004</v>
      </c>
      <c r="F773">
        <v>773211.63800000004</v>
      </c>
      <c r="G773">
        <v>0</v>
      </c>
      <c r="L773" t="s">
        <v>7</v>
      </c>
      <c r="M773" t="s">
        <v>8</v>
      </c>
      <c r="N773" t="s">
        <v>8</v>
      </c>
      <c r="P773">
        <f t="shared" si="1004"/>
        <v>-0.76543209876543039</v>
      </c>
      <c r="Q773">
        <f t="shared" si="1005"/>
        <v>-591841.00686419627</v>
      </c>
      <c r="R773">
        <f t="shared" si="1006"/>
        <v>11384921.087263566</v>
      </c>
      <c r="S773">
        <f t="shared" si="1007"/>
        <v>113.84921087263565</v>
      </c>
      <c r="T773">
        <f t="shared" si="1008"/>
        <v>0.11384921087263565</v>
      </c>
    </row>
    <row r="774" spans="1:20" x14ac:dyDescent="0.25">
      <c r="A774" s="5">
        <v>43819</v>
      </c>
      <c r="B774">
        <v>4.266</v>
      </c>
      <c r="C774">
        <v>4.3949999999999996</v>
      </c>
      <c r="D774">
        <v>4.1269999999999998</v>
      </c>
      <c r="E774">
        <v>4.3099999999999996</v>
      </c>
      <c r="F774">
        <v>950137.46200000006</v>
      </c>
      <c r="G774">
        <v>0</v>
      </c>
      <c r="L774" t="s">
        <v>8</v>
      </c>
      <c r="M774" t="s">
        <v>8</v>
      </c>
      <c r="N774" t="s">
        <v>8</v>
      </c>
      <c r="P774">
        <f t="shared" si="1004"/>
        <v>0.36567164179104455</v>
      </c>
      <c r="Q774">
        <f t="shared" si="1005"/>
        <v>347438.32565671625</v>
      </c>
      <c r="R774">
        <f t="shared" si="1006"/>
        <v>11976762.094127761</v>
      </c>
      <c r="S774">
        <f t="shared" si="1007"/>
        <v>119.76762094127761</v>
      </c>
      <c r="T774">
        <f t="shared" si="1008"/>
        <v>0.11976762094127762</v>
      </c>
    </row>
    <row r="775" spans="1:20" x14ac:dyDescent="0.25">
      <c r="A775" s="5">
        <v>43818</v>
      </c>
      <c r="B775">
        <v>4.266</v>
      </c>
      <c r="C775">
        <v>4.37</v>
      </c>
      <c r="D775">
        <v>4.0739999999999998</v>
      </c>
      <c r="E775">
        <v>4.266</v>
      </c>
      <c r="F775">
        <v>1787189.4809999999</v>
      </c>
      <c r="G775">
        <v>0</v>
      </c>
      <c r="L775" t="s">
        <v>7</v>
      </c>
      <c r="M775" t="s">
        <v>8</v>
      </c>
      <c r="N775" t="s">
        <v>8</v>
      </c>
      <c r="P775">
        <f t="shared" si="1004"/>
        <v>0.29729729729729731</v>
      </c>
      <c r="Q775">
        <f t="shared" si="1005"/>
        <v>531326.60245945945</v>
      </c>
      <c r="R775">
        <f t="shared" si="1006"/>
        <v>11629323.768471045</v>
      </c>
      <c r="S775">
        <f t="shared" si="1007"/>
        <v>116.29323768471045</v>
      </c>
      <c r="T775">
        <f t="shared" si="1008"/>
        <v>0.11629323768471045</v>
      </c>
    </row>
    <row r="776" spans="1:20" x14ac:dyDescent="0.25">
      <c r="A776" s="5">
        <v>43817</v>
      </c>
      <c r="B776">
        <v>3.641</v>
      </c>
      <c r="C776">
        <v>4.5549999999999997</v>
      </c>
      <c r="D776">
        <v>3.5910000000000002</v>
      </c>
      <c r="E776">
        <v>4.2649999999999997</v>
      </c>
      <c r="F776">
        <v>3701581.4780000001</v>
      </c>
      <c r="G776">
        <v>0</v>
      </c>
      <c r="L776" t="s">
        <v>8</v>
      </c>
      <c r="M776" t="s">
        <v>8</v>
      </c>
      <c r="N776" t="s">
        <v>8</v>
      </c>
      <c r="P776">
        <f t="shared" si="1004"/>
        <v>0.39834024896265524</v>
      </c>
      <c r="Q776">
        <f t="shared" si="1005"/>
        <v>1474488.8875020733</v>
      </c>
      <c r="R776">
        <f t="shared" si="1006"/>
        <v>11097997.166011587</v>
      </c>
      <c r="S776">
        <f t="shared" si="1007"/>
        <v>110.97997166011587</v>
      </c>
      <c r="T776">
        <f t="shared" si="1008"/>
        <v>0.11097997166011586</v>
      </c>
    </row>
    <row r="777" spans="1:20" x14ac:dyDescent="0.25">
      <c r="A777" s="5">
        <v>43816</v>
      </c>
      <c r="B777">
        <v>4.0570000000000004</v>
      </c>
      <c r="C777">
        <v>4.1429999999999998</v>
      </c>
      <c r="D777">
        <v>3.536</v>
      </c>
      <c r="E777">
        <v>3.64</v>
      </c>
      <c r="F777">
        <v>2458454.0580000002</v>
      </c>
      <c r="G777">
        <v>0</v>
      </c>
      <c r="L777" t="s">
        <v>7</v>
      </c>
      <c r="M777" t="s">
        <v>7</v>
      </c>
      <c r="N777" t="s">
        <v>8</v>
      </c>
      <c r="P777">
        <f t="shared" si="1004"/>
        <v>-0.65733113673805554</v>
      </c>
      <c r="Q777">
        <f t="shared" si="1005"/>
        <v>-1616018.4005634256</v>
      </c>
      <c r="R777">
        <f t="shared" si="1006"/>
        <v>9623508.2785095125</v>
      </c>
      <c r="S777">
        <f t="shared" si="1007"/>
        <v>96.23508278509513</v>
      </c>
      <c r="T777">
        <f t="shared" si="1008"/>
        <v>9.6235082785095127E-2</v>
      </c>
    </row>
    <row r="778" spans="1:20" x14ac:dyDescent="0.25">
      <c r="A778" s="5">
        <v>43815</v>
      </c>
      <c r="B778">
        <v>4.4950000000000001</v>
      </c>
      <c r="C778">
        <v>4.5</v>
      </c>
      <c r="D778">
        <v>4.008</v>
      </c>
      <c r="E778">
        <v>4.0529999999999999</v>
      </c>
      <c r="F778">
        <v>2568146.7820000001</v>
      </c>
      <c r="G778">
        <v>0</v>
      </c>
      <c r="L778" t="s">
        <v>7</v>
      </c>
      <c r="M778" t="s">
        <v>8</v>
      </c>
      <c r="N778" t="s">
        <v>8</v>
      </c>
      <c r="P778">
        <f t="shared" si="1004"/>
        <v>-0.8170731707317076</v>
      </c>
      <c r="Q778">
        <f t="shared" si="1005"/>
        <v>-2098363.8340731715</v>
      </c>
      <c r="R778">
        <f t="shared" si="1006"/>
        <v>11239526.679072939</v>
      </c>
      <c r="S778">
        <f t="shared" si="1007"/>
        <v>112.39526679072939</v>
      </c>
      <c r="T778">
        <f t="shared" si="1008"/>
        <v>0.11239526679072939</v>
      </c>
    </row>
    <row r="779" spans="1:20" x14ac:dyDescent="0.25">
      <c r="A779" s="5">
        <v>43814</v>
      </c>
      <c r="B779">
        <v>4.2510000000000003</v>
      </c>
      <c r="C779">
        <v>4.6680000000000001</v>
      </c>
      <c r="D779">
        <v>4.1559999999999997</v>
      </c>
      <c r="E779">
        <v>4.4939999999999998</v>
      </c>
      <c r="F779">
        <v>2399198.2400000002</v>
      </c>
      <c r="G779">
        <v>0</v>
      </c>
      <c r="L779" t="s">
        <v>8</v>
      </c>
      <c r="M779" t="s">
        <v>8</v>
      </c>
      <c r="N779" t="s">
        <v>8</v>
      </c>
      <c r="P779">
        <f t="shared" si="1004"/>
        <v>0.32031249999999911</v>
      </c>
      <c r="Q779">
        <f t="shared" si="1005"/>
        <v>768493.18624999793</v>
      </c>
      <c r="R779">
        <f t="shared" si="1006"/>
        <v>13337890.51314611</v>
      </c>
      <c r="S779">
        <f t="shared" si="1007"/>
        <v>133.3789051314611</v>
      </c>
      <c r="T779">
        <f t="shared" si="1008"/>
        <v>0.13337890513146108</v>
      </c>
    </row>
    <row r="780" spans="1:20" x14ac:dyDescent="0.25">
      <c r="A780" s="5">
        <v>43813</v>
      </c>
      <c r="B780">
        <v>3.9670000000000001</v>
      </c>
      <c r="C780">
        <v>4.3230000000000004</v>
      </c>
      <c r="D780">
        <v>3.9569999999999999</v>
      </c>
      <c r="E780">
        <v>4.2590000000000003</v>
      </c>
      <c r="F780">
        <v>1418807.4720000001</v>
      </c>
      <c r="G780">
        <v>0</v>
      </c>
      <c r="L780" t="s">
        <v>7</v>
      </c>
      <c r="M780" t="s">
        <v>8</v>
      </c>
      <c r="N780" t="s">
        <v>8</v>
      </c>
      <c r="P780">
        <f t="shared" si="1004"/>
        <v>0.65027322404371601</v>
      </c>
      <c r="Q780">
        <f t="shared" si="1005"/>
        <v>922612.50911475439</v>
      </c>
      <c r="R780">
        <f t="shared" si="1006"/>
        <v>12569397.326896112</v>
      </c>
      <c r="S780">
        <f t="shared" si="1007"/>
        <v>125.69397326896113</v>
      </c>
      <c r="T780">
        <f t="shared" si="1008"/>
        <v>0.12569397326896112</v>
      </c>
    </row>
    <row r="781" spans="1:20" x14ac:dyDescent="0.25">
      <c r="A781" s="5">
        <v>43812</v>
      </c>
      <c r="B781">
        <v>4.109</v>
      </c>
      <c r="C781">
        <v>4.282</v>
      </c>
      <c r="D781">
        <v>3.95</v>
      </c>
      <c r="E781">
        <v>3.9670000000000001</v>
      </c>
      <c r="F781">
        <v>1448165.638</v>
      </c>
      <c r="G781">
        <v>0</v>
      </c>
      <c r="L781" t="s">
        <v>8</v>
      </c>
      <c r="M781" t="s">
        <v>8</v>
      </c>
      <c r="N781" t="s">
        <v>8</v>
      </c>
      <c r="P781">
        <f t="shared" si="1004"/>
        <v>-0.89759036144578364</v>
      </c>
      <c r="Q781">
        <f t="shared" si="1005"/>
        <v>-1299859.518445784</v>
      </c>
      <c r="R781">
        <f t="shared" si="1006"/>
        <v>11646784.817781359</v>
      </c>
      <c r="S781">
        <f t="shared" si="1007"/>
        <v>116.46784817781359</v>
      </c>
      <c r="T781">
        <f t="shared" si="1008"/>
        <v>0.1164678481778136</v>
      </c>
    </row>
    <row r="782" spans="1:20" x14ac:dyDescent="0.25">
      <c r="A782" s="5">
        <v>43811</v>
      </c>
      <c r="B782">
        <v>3.8370000000000002</v>
      </c>
      <c r="C782">
        <v>4.1989999999999998</v>
      </c>
      <c r="D782">
        <v>3.7549999999999999</v>
      </c>
      <c r="E782">
        <v>4.1020000000000003</v>
      </c>
      <c r="F782">
        <v>2381634.716</v>
      </c>
      <c r="G782">
        <v>0</v>
      </c>
      <c r="L782" t="s">
        <v>8</v>
      </c>
      <c r="M782" t="s">
        <v>8</v>
      </c>
      <c r="N782" t="s">
        <v>8</v>
      </c>
      <c r="P782">
        <f t="shared" si="1004"/>
        <v>0.56306306306306508</v>
      </c>
      <c r="Q782">
        <f t="shared" si="1005"/>
        <v>1341010.5382882932</v>
      </c>
      <c r="R782">
        <f t="shared" si="1006"/>
        <v>12946644.336227143</v>
      </c>
      <c r="S782">
        <f t="shared" si="1007"/>
        <v>129.46644336227143</v>
      </c>
      <c r="T782">
        <f t="shared" si="1008"/>
        <v>0.12946644336227142</v>
      </c>
    </row>
    <row r="783" spans="1:20" x14ac:dyDescent="0.25">
      <c r="A783" s="5">
        <v>43810</v>
      </c>
      <c r="B783">
        <v>3.5870000000000002</v>
      </c>
      <c r="C783">
        <v>3.88</v>
      </c>
      <c r="D783">
        <v>3.5670000000000002</v>
      </c>
      <c r="E783">
        <v>3.823</v>
      </c>
      <c r="F783">
        <v>836801.00800000003</v>
      </c>
      <c r="G783">
        <v>0</v>
      </c>
      <c r="L783" t="s">
        <v>8</v>
      </c>
      <c r="M783" t="s">
        <v>8</v>
      </c>
      <c r="N783" t="s">
        <v>8</v>
      </c>
      <c r="P783">
        <f t="shared" si="1004"/>
        <v>0.63578274760383391</v>
      </c>
      <c r="Q783">
        <f t="shared" si="1005"/>
        <v>532023.64406389778</v>
      </c>
      <c r="R783">
        <f t="shared" si="1006"/>
        <v>11605633.79793885</v>
      </c>
      <c r="S783">
        <f t="shared" si="1007"/>
        <v>116.0563379793885</v>
      </c>
      <c r="T783">
        <f t="shared" si="1008"/>
        <v>0.1160563379793885</v>
      </c>
    </row>
    <row r="784" spans="1:20" x14ac:dyDescent="0.25">
      <c r="A784" s="5">
        <v>43809</v>
      </c>
      <c r="B784">
        <v>3.6720000000000002</v>
      </c>
      <c r="C784">
        <v>3.7549999999999999</v>
      </c>
      <c r="D784">
        <v>3.5059999999999998</v>
      </c>
      <c r="E784">
        <v>3.58</v>
      </c>
      <c r="F784">
        <v>1216499.43</v>
      </c>
      <c r="G784">
        <v>0</v>
      </c>
      <c r="L784" t="s">
        <v>7</v>
      </c>
      <c r="M784" t="s">
        <v>8</v>
      </c>
      <c r="N784" t="s">
        <v>8</v>
      </c>
      <c r="P784">
        <f t="shared" si="1004"/>
        <v>-0.4056224899598373</v>
      </c>
      <c r="Q784">
        <f t="shared" si="1005"/>
        <v>-493439.52783132275</v>
      </c>
      <c r="R784">
        <f t="shared" si="1006"/>
        <v>11073610.153874952</v>
      </c>
      <c r="S784">
        <f t="shared" si="1007"/>
        <v>110.73610153874952</v>
      </c>
      <c r="T784">
        <f t="shared" si="1008"/>
        <v>0.11073610153874952</v>
      </c>
    </row>
    <row r="785" spans="1:20" x14ac:dyDescent="0.25">
      <c r="A785" s="5">
        <v>43808</v>
      </c>
      <c r="B785">
        <v>3.9209999999999998</v>
      </c>
      <c r="C785">
        <v>3.9460000000000002</v>
      </c>
      <c r="D785">
        <v>3.6360000000000001</v>
      </c>
      <c r="E785">
        <v>3.6659999999999999</v>
      </c>
      <c r="F785">
        <v>1071098.9950000001</v>
      </c>
      <c r="G785">
        <v>0</v>
      </c>
      <c r="L785" t="s">
        <v>7</v>
      </c>
      <c r="M785" t="s">
        <v>8</v>
      </c>
      <c r="N785" t="s">
        <v>8</v>
      </c>
      <c r="P785">
        <f t="shared" si="1004"/>
        <v>-0.80645161290322709</v>
      </c>
      <c r="Q785">
        <f t="shared" si="1005"/>
        <v>-863789.5120967757</v>
      </c>
      <c r="R785">
        <f t="shared" si="1006"/>
        <v>11567049.681706276</v>
      </c>
      <c r="S785">
        <f t="shared" si="1007"/>
        <v>115.67049681706276</v>
      </c>
      <c r="T785">
        <f t="shared" si="1008"/>
        <v>0.11567049681706275</v>
      </c>
    </row>
    <row r="786" spans="1:20" x14ac:dyDescent="0.25">
      <c r="A786" s="5">
        <v>43807</v>
      </c>
      <c r="B786">
        <v>3.754</v>
      </c>
      <c r="C786">
        <v>3.9969999999999999</v>
      </c>
      <c r="D786">
        <v>3.6840000000000002</v>
      </c>
      <c r="E786">
        <v>3.9209999999999998</v>
      </c>
      <c r="F786">
        <v>969936.39199999999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0.51437699680511095</v>
      </c>
      <c r="Q786">
        <f t="shared" si="1005"/>
        <v>498912.96840894484</v>
      </c>
      <c r="R786">
        <f t="shared" si="1006"/>
        <v>12430839.193803051</v>
      </c>
      <c r="S786">
        <f t="shared" si="1007"/>
        <v>124.30839193803051</v>
      </c>
      <c r="T786">
        <f t="shared" si="1008"/>
        <v>0.1243083919380305</v>
      </c>
    </row>
    <row r="787" spans="1:20" x14ac:dyDescent="0.25">
      <c r="A787" s="5">
        <v>43806</v>
      </c>
      <c r="B787">
        <v>3.66</v>
      </c>
      <c r="C787">
        <v>3.8690000000000002</v>
      </c>
      <c r="D787">
        <v>3.6379999999999999</v>
      </c>
      <c r="E787">
        <v>3.7639999999999998</v>
      </c>
      <c r="F787">
        <v>809222.64899999998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9.0909090909088469E-2</v>
      </c>
      <c r="Q787">
        <f t="shared" si="1005"/>
        <v>73565.695363634382</v>
      </c>
      <c r="R787">
        <f t="shared" si="1006"/>
        <v>11931926.225394107</v>
      </c>
      <c r="S787">
        <f t="shared" si="1007"/>
        <v>119.31926225394108</v>
      </c>
      <c r="T787">
        <f t="shared" si="1008"/>
        <v>0.11931926225394107</v>
      </c>
    </row>
    <row r="788" spans="1:20" x14ac:dyDescent="0.25">
      <c r="A788" s="5">
        <v>43805</v>
      </c>
      <c r="B788">
        <v>3.4889999999999999</v>
      </c>
      <c r="C788">
        <v>3.7</v>
      </c>
      <c r="D788">
        <v>3.452</v>
      </c>
      <c r="E788">
        <v>3.6520000000000001</v>
      </c>
      <c r="F788">
        <v>677154.35600000003</v>
      </c>
      <c r="G788">
        <v>0</v>
      </c>
      <c r="L788" t="s">
        <v>8</v>
      </c>
      <c r="M788" t="s">
        <v>8</v>
      </c>
      <c r="N788" t="s">
        <v>8</v>
      </c>
      <c r="P788">
        <f t="shared" si="1004"/>
        <v>0.61290322580645162</v>
      </c>
      <c r="Q788">
        <f t="shared" si="1005"/>
        <v>415030.08916129032</v>
      </c>
      <c r="R788">
        <f t="shared" si="1006"/>
        <v>11858360.530030472</v>
      </c>
      <c r="S788">
        <f t="shared" si="1007"/>
        <v>118.58360530030473</v>
      </c>
      <c r="T788">
        <f t="shared" si="1008"/>
        <v>0.11858360530030472</v>
      </c>
    </row>
    <row r="789" spans="1:20" x14ac:dyDescent="0.25">
      <c r="A789" s="5">
        <v>43804</v>
      </c>
      <c r="B789">
        <v>3.5550000000000002</v>
      </c>
      <c r="C789">
        <v>3.6240000000000001</v>
      </c>
      <c r="D789">
        <v>3.4449999999999998</v>
      </c>
      <c r="E789">
        <v>3.49</v>
      </c>
      <c r="F789">
        <v>841916.31299999997</v>
      </c>
      <c r="G789">
        <v>0</v>
      </c>
      <c r="L789" t="s">
        <v>7</v>
      </c>
      <c r="M789" t="s">
        <v>8</v>
      </c>
      <c r="N789" t="s">
        <v>8</v>
      </c>
      <c r="P789">
        <f t="shared" si="1004"/>
        <v>-0.49720670391061111</v>
      </c>
      <c r="Q789">
        <f t="shared" si="1005"/>
        <v>-418606.43495530437</v>
      </c>
      <c r="R789">
        <f t="shared" si="1006"/>
        <v>11443330.440869182</v>
      </c>
      <c r="S789">
        <f t="shared" si="1007"/>
        <v>114.43330440869182</v>
      </c>
      <c r="T789">
        <f t="shared" si="1008"/>
        <v>0.11443330440869183</v>
      </c>
    </row>
    <row r="790" spans="1:20" x14ac:dyDescent="0.25">
      <c r="A790" s="5">
        <v>43803</v>
      </c>
      <c r="B790">
        <v>3.6360000000000001</v>
      </c>
      <c r="C790">
        <v>3.7879999999999998</v>
      </c>
      <c r="D790">
        <v>3.4140000000000001</v>
      </c>
      <c r="E790">
        <v>3.5550000000000002</v>
      </c>
      <c r="F790">
        <v>1423739.36</v>
      </c>
      <c r="G790">
        <v>0</v>
      </c>
      <c r="L790" t="s">
        <v>7</v>
      </c>
      <c r="M790" t="s">
        <v>8</v>
      </c>
      <c r="N790" t="s">
        <v>8</v>
      </c>
      <c r="P790">
        <f t="shared" si="1004"/>
        <v>-0.24598930481283349</v>
      </c>
      <c r="Q790">
        <f t="shared" si="1005"/>
        <v>-350224.65540106851</v>
      </c>
      <c r="R790">
        <f t="shared" si="1006"/>
        <v>11861936.875824487</v>
      </c>
      <c r="S790">
        <f t="shared" si="1007"/>
        <v>118.61936875824487</v>
      </c>
      <c r="T790">
        <f t="shared" si="1008"/>
        <v>0.11861936875824487</v>
      </c>
    </row>
    <row r="791" spans="1:20" x14ac:dyDescent="0.25">
      <c r="A791" s="5">
        <v>43802</v>
      </c>
      <c r="B791">
        <v>3.6640000000000001</v>
      </c>
      <c r="C791">
        <v>3.8210000000000002</v>
      </c>
      <c r="D791">
        <v>3.6150000000000002</v>
      </c>
      <c r="E791">
        <v>3.6360000000000001</v>
      </c>
      <c r="F791">
        <v>809492.424</v>
      </c>
      <c r="G791">
        <v>0</v>
      </c>
      <c r="L791" t="s">
        <v>7</v>
      </c>
      <c r="M791" t="s">
        <v>8</v>
      </c>
      <c r="N791" t="s">
        <v>8</v>
      </c>
      <c r="P791">
        <f t="shared" si="1004"/>
        <v>-0.7961165048543698</v>
      </c>
      <c r="Q791">
        <f t="shared" si="1005"/>
        <v>-644450.27930097154</v>
      </c>
      <c r="R791">
        <f t="shared" si="1006"/>
        <v>12212161.531225555</v>
      </c>
      <c r="S791">
        <f t="shared" si="1007"/>
        <v>122.12161531225554</v>
      </c>
      <c r="T791">
        <f t="shared" si="1008"/>
        <v>0.12212161531225554</v>
      </c>
    </row>
    <row r="792" spans="1:20" x14ac:dyDescent="0.25">
      <c r="A792" s="5">
        <v>43801</v>
      </c>
      <c r="B792">
        <v>3.8239999999999998</v>
      </c>
      <c r="C792">
        <v>3.9039999999999999</v>
      </c>
      <c r="D792">
        <v>3.59</v>
      </c>
      <c r="E792">
        <v>3.665</v>
      </c>
      <c r="F792">
        <v>861710.40300000005</v>
      </c>
      <c r="G792">
        <v>0</v>
      </c>
      <c r="L792" t="s">
        <v>8</v>
      </c>
      <c r="M792" t="s">
        <v>8</v>
      </c>
      <c r="N792" t="s">
        <v>8</v>
      </c>
      <c r="P792">
        <f t="shared" si="1004"/>
        <v>-0.52229299363057224</v>
      </c>
      <c r="Q792">
        <f t="shared" si="1005"/>
        <v>-450065.30602547689</v>
      </c>
      <c r="R792">
        <f t="shared" si="1006"/>
        <v>12856611.810526526</v>
      </c>
      <c r="S792">
        <f t="shared" si="1007"/>
        <v>128.56611810526525</v>
      </c>
      <c r="T792">
        <f t="shared" si="1008"/>
        <v>0.12856611810526525</v>
      </c>
    </row>
    <row r="793" spans="1:20" x14ac:dyDescent="0.25">
      <c r="A793" s="5">
        <v>43800</v>
      </c>
      <c r="B793">
        <v>3.9249999999999998</v>
      </c>
      <c r="C793">
        <v>3.9319999999999999</v>
      </c>
      <c r="D793">
        <v>3.57</v>
      </c>
      <c r="E793">
        <v>3.8130000000000002</v>
      </c>
      <c r="F793">
        <v>1096360.0859999999</v>
      </c>
      <c r="G793">
        <v>0</v>
      </c>
      <c r="L793" t="s">
        <v>7</v>
      </c>
      <c r="M793" t="s">
        <v>8</v>
      </c>
      <c r="N793" t="s">
        <v>8</v>
      </c>
      <c r="P793">
        <f t="shared" si="1004"/>
        <v>0.34254143646408985</v>
      </c>
      <c r="Q793">
        <f t="shared" si="1005"/>
        <v>375548.75874033303</v>
      </c>
      <c r="R793">
        <f t="shared" si="1006"/>
        <v>13306677.116552003</v>
      </c>
      <c r="S793">
        <f t="shared" si="1007"/>
        <v>133.06677116552004</v>
      </c>
      <c r="T793">
        <f t="shared" si="1008"/>
        <v>0.13306677116552004</v>
      </c>
    </row>
    <row r="794" spans="1:20" x14ac:dyDescent="0.25">
      <c r="A794" s="5">
        <v>43799</v>
      </c>
      <c r="B794">
        <v>4.0069999999999997</v>
      </c>
      <c r="C794">
        <v>4.0940000000000003</v>
      </c>
      <c r="D794">
        <v>3.81</v>
      </c>
      <c r="E794">
        <v>3.9209999999999998</v>
      </c>
      <c r="F794">
        <v>1054703.824</v>
      </c>
      <c r="G794">
        <v>0</v>
      </c>
      <c r="L794" t="s">
        <v>7</v>
      </c>
      <c r="M794" t="s">
        <v>8</v>
      </c>
      <c r="N794" t="s">
        <v>8</v>
      </c>
      <c r="P794">
        <f t="shared" si="1004"/>
        <v>-0.21830985915493192</v>
      </c>
      <c r="Q794">
        <f t="shared" si="1005"/>
        <v>-230252.24326760811</v>
      </c>
      <c r="R794">
        <f t="shared" si="1006"/>
        <v>12931128.357811669</v>
      </c>
      <c r="S794">
        <f t="shared" si="1007"/>
        <v>129.3112835781167</v>
      </c>
      <c r="T794">
        <f t="shared" si="1008"/>
        <v>0.12931128357811669</v>
      </c>
    </row>
    <row r="795" spans="1:20" x14ac:dyDescent="0.25">
      <c r="A795" s="5">
        <v>43798</v>
      </c>
      <c r="B795">
        <v>3.68</v>
      </c>
      <c r="C795">
        <v>4.1100000000000003</v>
      </c>
      <c r="D795">
        <v>3.6669999999999998</v>
      </c>
      <c r="E795">
        <v>4.0119999999999996</v>
      </c>
      <c r="F795">
        <v>1424071.4080000001</v>
      </c>
      <c r="G795">
        <v>0</v>
      </c>
      <c r="L795" t="s">
        <v>8</v>
      </c>
      <c r="M795" t="s">
        <v>8</v>
      </c>
      <c r="N795" t="s">
        <v>8</v>
      </c>
      <c r="P795">
        <f t="shared" si="1004"/>
        <v>0.55756207674943281</v>
      </c>
      <c r="Q795">
        <f t="shared" si="1005"/>
        <v>794008.2116839689</v>
      </c>
      <c r="R795">
        <f t="shared" si="1006"/>
        <v>13161380.601079278</v>
      </c>
      <c r="S795">
        <f t="shared" si="1007"/>
        <v>131.61380601079279</v>
      </c>
      <c r="T795">
        <f t="shared" si="1008"/>
        <v>0.13161380601079278</v>
      </c>
    </row>
    <row r="796" spans="1:20" x14ac:dyDescent="0.25">
      <c r="A796" s="5">
        <v>43797</v>
      </c>
      <c r="B796">
        <v>3.573</v>
      </c>
      <c r="C796">
        <v>3.7589999999999999</v>
      </c>
      <c r="D796">
        <v>3.48</v>
      </c>
      <c r="E796">
        <v>3.68</v>
      </c>
      <c r="F796">
        <v>796521.06700000004</v>
      </c>
      <c r="G796">
        <v>0</v>
      </c>
      <c r="L796" t="s">
        <v>7</v>
      </c>
      <c r="M796" t="s">
        <v>8</v>
      </c>
      <c r="N796" t="s">
        <v>7</v>
      </c>
      <c r="P796">
        <f t="shared" si="1004"/>
        <v>0.43369175627240314</v>
      </c>
      <c r="Q796">
        <f t="shared" si="1005"/>
        <v>345444.62045519851</v>
      </c>
      <c r="R796">
        <f t="shared" si="1006"/>
        <v>12367372.38939531</v>
      </c>
      <c r="S796">
        <f t="shared" si="1007"/>
        <v>123.6737238939531</v>
      </c>
      <c r="T796">
        <f t="shared" si="1008"/>
        <v>0.12367372389395309</v>
      </c>
    </row>
    <row r="797" spans="1:20" x14ac:dyDescent="0.25">
      <c r="A797" s="5">
        <v>43796</v>
      </c>
      <c r="B797">
        <v>3.4710000000000001</v>
      </c>
      <c r="C797">
        <v>3.778</v>
      </c>
      <c r="D797">
        <v>3.2469999999999999</v>
      </c>
      <c r="E797">
        <v>3.5670000000000002</v>
      </c>
      <c r="F797">
        <v>1980542.912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0.2052730696798501</v>
      </c>
      <c r="Q797">
        <f t="shared" si="1005"/>
        <v>406552.12317890924</v>
      </c>
      <c r="R797">
        <f t="shared" si="1006"/>
        <v>12021927.768940112</v>
      </c>
      <c r="S797">
        <f t="shared" si="1007"/>
        <v>120.21927768940111</v>
      </c>
      <c r="T797">
        <f t="shared" si="1008"/>
        <v>0.12021927768940111</v>
      </c>
    </row>
    <row r="798" spans="1:20" x14ac:dyDescent="0.25">
      <c r="A798" s="5">
        <v>43795</v>
      </c>
      <c r="B798">
        <v>3.39</v>
      </c>
      <c r="C798">
        <v>3.669</v>
      </c>
      <c r="D798">
        <v>3.37</v>
      </c>
      <c r="E798">
        <v>3.4729999999999999</v>
      </c>
      <c r="F798">
        <v>1430494.233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-0.31103678929766032</v>
      </c>
      <c r="Q798">
        <f t="shared" si="1005"/>
        <v>-444936.33334113919</v>
      </c>
      <c r="R798">
        <f t="shared" si="1006"/>
        <v>11615375.645761203</v>
      </c>
      <c r="S798">
        <f t="shared" si="1007"/>
        <v>116.15375645761203</v>
      </c>
      <c r="T798">
        <f t="shared" si="1008"/>
        <v>0.11615375645761203</v>
      </c>
    </row>
    <row r="799" spans="1:20" x14ac:dyDescent="0.25">
      <c r="A799" s="5">
        <v>43794</v>
      </c>
      <c r="B799">
        <v>3.0939999999999999</v>
      </c>
      <c r="C799">
        <v>3.5369999999999999</v>
      </c>
      <c r="D799">
        <v>2.9830000000000001</v>
      </c>
      <c r="E799">
        <v>3.39</v>
      </c>
      <c r="F799">
        <v>2205486.6349999998</v>
      </c>
      <c r="G799">
        <v>0</v>
      </c>
      <c r="L799" t="s">
        <v>8</v>
      </c>
      <c r="M799" t="s">
        <v>8</v>
      </c>
      <c r="N799" t="s">
        <v>7</v>
      </c>
      <c r="P799">
        <f t="shared" si="1004"/>
        <v>0.46931407942238323</v>
      </c>
      <c r="Q799">
        <f t="shared" si="1005"/>
        <v>1035065.9297833947</v>
      </c>
      <c r="R799">
        <f t="shared" si="1006"/>
        <v>12060311.979102341</v>
      </c>
      <c r="S799">
        <f t="shared" si="1007"/>
        <v>120.60311979102342</v>
      </c>
      <c r="T799">
        <f t="shared" si="1008"/>
        <v>0.12060311979102342</v>
      </c>
    </row>
    <row r="800" spans="1:20" x14ac:dyDescent="0.25">
      <c r="A800" s="5">
        <v>43793</v>
      </c>
      <c r="B800">
        <v>3.2189999999999999</v>
      </c>
      <c r="C800">
        <v>3.2770000000000001</v>
      </c>
      <c r="D800">
        <v>2.98</v>
      </c>
      <c r="E800">
        <v>3.0830000000000002</v>
      </c>
      <c r="F800">
        <v>1605636.6070000001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-0.30639730639730539</v>
      </c>
      <c r="Q800">
        <f t="shared" si="1005"/>
        <v>-491962.73143770883</v>
      </c>
      <c r="R800">
        <f t="shared" si="1006"/>
        <v>11025246.049318947</v>
      </c>
      <c r="S800">
        <f t="shared" si="1007"/>
        <v>110.25246049318947</v>
      </c>
      <c r="T800">
        <f t="shared" si="1008"/>
        <v>0.11025246049318947</v>
      </c>
    </row>
    <row r="801" spans="1:20" x14ac:dyDescent="0.25">
      <c r="A801" s="5">
        <v>43792</v>
      </c>
      <c r="B801">
        <v>2.94</v>
      </c>
      <c r="C801">
        <v>3.238</v>
      </c>
      <c r="D801">
        <v>2.855</v>
      </c>
      <c r="E801">
        <v>3.2189999999999999</v>
      </c>
      <c r="F801">
        <v>983732.75100000005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0.90078328981723166</v>
      </c>
      <c r="Q801">
        <f t="shared" si="1005"/>
        <v>886130.02374673565</v>
      </c>
      <c r="R801">
        <f t="shared" si="1006"/>
        <v>11517208.780756656</v>
      </c>
      <c r="S801">
        <f t="shared" si="1007"/>
        <v>115.17208780756656</v>
      </c>
      <c r="T801">
        <f t="shared" si="1008"/>
        <v>0.11517208780756656</v>
      </c>
    </row>
    <row r="802" spans="1:20" x14ac:dyDescent="0.25">
      <c r="A802" s="5">
        <v>43791</v>
      </c>
      <c r="B802">
        <v>3.1960000000000002</v>
      </c>
      <c r="C802">
        <v>3.3</v>
      </c>
      <c r="D802">
        <v>2.6080000000000001</v>
      </c>
      <c r="E802">
        <v>2.9409999999999998</v>
      </c>
      <c r="F802">
        <v>1729042.037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-3.7572254335260485E-2</v>
      </c>
      <c r="Q802">
        <f t="shared" si="1005"/>
        <v>-64964.007170520868</v>
      </c>
      <c r="R802">
        <f t="shared" si="1006"/>
        <v>10631078.75700992</v>
      </c>
      <c r="S802">
        <f t="shared" si="1007"/>
        <v>106.31078757009919</v>
      </c>
      <c r="T802">
        <f t="shared" si="1008"/>
        <v>0.10631078757009919</v>
      </c>
    </row>
    <row r="803" spans="1:20" x14ac:dyDescent="0.25">
      <c r="A803" s="5">
        <v>43790</v>
      </c>
      <c r="B803">
        <v>3.3340000000000001</v>
      </c>
      <c r="C803">
        <v>3.4319999999999999</v>
      </c>
      <c r="D803">
        <v>3.1</v>
      </c>
      <c r="E803">
        <v>3.1890000000000001</v>
      </c>
      <c r="F803">
        <v>882746.14599999995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-0.46385542168674693</v>
      </c>
      <c r="Q803">
        <f t="shared" si="1005"/>
        <v>-409466.58579518064</v>
      </c>
      <c r="R803">
        <f t="shared" si="1006"/>
        <v>10696042.76418044</v>
      </c>
      <c r="S803">
        <f t="shared" si="1007"/>
        <v>106.9604276418044</v>
      </c>
      <c r="T803">
        <f t="shared" si="1008"/>
        <v>0.1069604276418044</v>
      </c>
    </row>
    <row r="804" spans="1:20" x14ac:dyDescent="0.25">
      <c r="A804" s="5">
        <v>43789</v>
      </c>
      <c r="B804">
        <v>3.5190000000000001</v>
      </c>
      <c r="C804">
        <v>3.59</v>
      </c>
      <c r="D804">
        <v>3.286</v>
      </c>
      <c r="E804">
        <v>3.3340000000000001</v>
      </c>
      <c r="F804">
        <v>1108533.78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-0.68421052631578905</v>
      </c>
      <c r="Q804">
        <f t="shared" si="1005"/>
        <v>-758470.48105263116</v>
      </c>
      <c r="R804">
        <f t="shared" si="1006"/>
        <v>11105509.349975621</v>
      </c>
      <c r="S804">
        <f t="shared" si="1007"/>
        <v>111.05509349975621</v>
      </c>
      <c r="T804">
        <f t="shared" si="1008"/>
        <v>0.11105509349975622</v>
      </c>
    </row>
    <row r="805" spans="1:20" x14ac:dyDescent="0.25">
      <c r="A805" s="5">
        <v>43788</v>
      </c>
      <c r="B805">
        <v>3.6059999999999999</v>
      </c>
      <c r="C805">
        <v>3.6160000000000001</v>
      </c>
      <c r="D805">
        <v>3.335</v>
      </c>
      <c r="E805">
        <v>3.5190000000000001</v>
      </c>
      <c r="F805">
        <v>1012009.085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0.30960854092526741</v>
      </c>
      <c r="Q805">
        <f t="shared" si="1005"/>
        <v>313326.65620996489</v>
      </c>
      <c r="R805">
        <f t="shared" si="1006"/>
        <v>11863979.831028253</v>
      </c>
      <c r="S805">
        <f t="shared" si="1007"/>
        <v>118.63979831028253</v>
      </c>
      <c r="T805">
        <f t="shared" si="1008"/>
        <v>0.11863979831028253</v>
      </c>
    </row>
    <row r="806" spans="1:20" x14ac:dyDescent="0.25">
      <c r="A806" s="5">
        <v>43787</v>
      </c>
      <c r="B806">
        <v>3.8879999999999999</v>
      </c>
      <c r="C806">
        <v>3.8959999999999999</v>
      </c>
      <c r="D806">
        <v>3.5110000000000001</v>
      </c>
      <c r="E806">
        <v>3.6059999999999999</v>
      </c>
      <c r="F806">
        <v>1019141.4080000001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-0.50649350649350755</v>
      </c>
      <c r="Q806">
        <f t="shared" si="1005"/>
        <v>-516188.50535065046</v>
      </c>
      <c r="R806">
        <f t="shared" si="1006"/>
        <v>11550653.174818289</v>
      </c>
      <c r="S806">
        <f t="shared" si="1007"/>
        <v>115.50653174818288</v>
      </c>
      <c r="T806">
        <f t="shared" si="1008"/>
        <v>0.11550653174818289</v>
      </c>
    </row>
    <row r="807" spans="1:20" x14ac:dyDescent="0.25">
      <c r="A807" s="5">
        <v>43786</v>
      </c>
      <c r="B807">
        <v>3.9670000000000001</v>
      </c>
      <c r="C807">
        <v>3.9769999999999999</v>
      </c>
      <c r="D807">
        <v>3.8</v>
      </c>
      <c r="E807">
        <v>3.895</v>
      </c>
      <c r="F807">
        <v>367735.32199999999</v>
      </c>
      <c r="G807">
        <v>0</v>
      </c>
      <c r="L807" t="s">
        <v>7</v>
      </c>
      <c r="M807" t="s">
        <v>8</v>
      </c>
      <c r="N807" t="s">
        <v>8</v>
      </c>
      <c r="P807">
        <f t="shared" si="1004"/>
        <v>7.3446327683617751E-2</v>
      </c>
      <c r="Q807">
        <f t="shared" si="1005"/>
        <v>27008.808960452687</v>
      </c>
      <c r="R807">
        <f t="shared" si="1006"/>
        <v>12066841.68016894</v>
      </c>
      <c r="S807">
        <f t="shared" si="1007"/>
        <v>120.6684168016894</v>
      </c>
      <c r="T807">
        <f t="shared" si="1008"/>
        <v>0.12066841680168941</v>
      </c>
    </row>
    <row r="808" spans="1:20" x14ac:dyDescent="0.25">
      <c r="A808" s="5">
        <v>43785</v>
      </c>
      <c r="B808">
        <v>3.9260000000000002</v>
      </c>
      <c r="C808">
        <v>3.9750000000000001</v>
      </c>
      <c r="D808">
        <v>3.8250000000000002</v>
      </c>
      <c r="E808">
        <v>3.964</v>
      </c>
      <c r="F808">
        <v>381499.30699999997</v>
      </c>
      <c r="G808">
        <v>0</v>
      </c>
      <c r="L808" t="s">
        <v>7</v>
      </c>
      <c r="M808" t="s">
        <v>8</v>
      </c>
      <c r="N808" t="s">
        <v>8</v>
      </c>
      <c r="P808">
        <f t="shared" si="1004"/>
        <v>0.85333333333333161</v>
      </c>
      <c r="Q808">
        <f t="shared" si="1005"/>
        <v>325546.07530666597</v>
      </c>
      <c r="R808">
        <f t="shared" si="1006"/>
        <v>12039832.871208487</v>
      </c>
      <c r="S808">
        <f t="shared" si="1007"/>
        <v>120.39832871208488</v>
      </c>
      <c r="T808">
        <f t="shared" si="1008"/>
        <v>0.12039832871208488</v>
      </c>
    </row>
    <row r="809" spans="1:20" x14ac:dyDescent="0.25">
      <c r="A809" s="5">
        <v>43784</v>
      </c>
      <c r="B809">
        <v>4.0060000000000002</v>
      </c>
      <c r="C809">
        <v>4.1399999999999997</v>
      </c>
      <c r="D809">
        <v>3.8</v>
      </c>
      <c r="E809">
        <v>3.9260000000000002</v>
      </c>
      <c r="F809">
        <v>953092.83799999999</v>
      </c>
      <c r="G809">
        <v>0</v>
      </c>
      <c r="L809" t="s">
        <v>8</v>
      </c>
      <c r="M809" t="s">
        <v>8</v>
      </c>
      <c r="N809" t="s">
        <v>8</v>
      </c>
      <c r="P809">
        <f t="shared" si="1004"/>
        <v>-0.25882352941176245</v>
      </c>
      <c r="Q809">
        <f t="shared" si="1005"/>
        <v>-246682.85218823314</v>
      </c>
      <c r="R809">
        <f t="shared" si="1006"/>
        <v>11714286.795901822</v>
      </c>
      <c r="S809">
        <f t="shared" si="1007"/>
        <v>117.14286795901822</v>
      </c>
      <c r="T809">
        <f t="shared" si="1008"/>
        <v>0.11714286795901822</v>
      </c>
    </row>
    <row r="810" spans="1:20" x14ac:dyDescent="0.25">
      <c r="A810" s="5">
        <v>43783</v>
      </c>
      <c r="B810">
        <v>3.9769999999999999</v>
      </c>
      <c r="C810">
        <v>4.0069999999999997</v>
      </c>
      <c r="D810">
        <v>3.7770000000000001</v>
      </c>
      <c r="E810">
        <v>4.0060000000000002</v>
      </c>
      <c r="F810">
        <v>1050997.1440000001</v>
      </c>
      <c r="G810">
        <v>0</v>
      </c>
      <c r="L810" t="s">
        <v>7</v>
      </c>
      <c r="M810" t="s">
        <v>8</v>
      </c>
      <c r="N810" t="s">
        <v>8</v>
      </c>
      <c r="P810">
        <f t="shared" si="1004"/>
        <v>0.99130434782609178</v>
      </c>
      <c r="Q810">
        <f t="shared" si="1005"/>
        <v>1041858.0384000052</v>
      </c>
      <c r="R810">
        <f t="shared" si="1006"/>
        <v>11960969.648090055</v>
      </c>
      <c r="S810">
        <f t="shared" si="1007"/>
        <v>119.60969648090055</v>
      </c>
      <c r="T810">
        <f t="shared" si="1008"/>
        <v>0.11960969648090056</v>
      </c>
    </row>
    <row r="811" spans="1:20" x14ac:dyDescent="0.25">
      <c r="A811" s="5">
        <v>43782</v>
      </c>
      <c r="B811">
        <v>4.2300000000000004</v>
      </c>
      <c r="C811">
        <v>4.24</v>
      </c>
      <c r="D811">
        <v>3.94</v>
      </c>
      <c r="E811">
        <v>3.9860000000000002</v>
      </c>
      <c r="F811">
        <v>845228.01899999997</v>
      </c>
      <c r="G811">
        <v>0</v>
      </c>
      <c r="L811" t="s">
        <v>7</v>
      </c>
      <c r="M811" t="s">
        <v>8</v>
      </c>
      <c r="N811" t="s">
        <v>8</v>
      </c>
      <c r="P811">
        <f t="shared" si="1004"/>
        <v>-0.6933333333333318</v>
      </c>
      <c r="Q811">
        <f t="shared" si="1005"/>
        <v>-586024.75983999867</v>
      </c>
      <c r="R811">
        <f t="shared" si="1006"/>
        <v>10919111.60969005</v>
      </c>
      <c r="S811">
        <f t="shared" si="1007"/>
        <v>109.1911160969005</v>
      </c>
      <c r="T811">
        <f t="shared" si="1008"/>
        <v>0.10919111609690051</v>
      </c>
    </row>
    <row r="812" spans="1:20" x14ac:dyDescent="0.25">
      <c r="A812" s="5">
        <v>43781</v>
      </c>
      <c r="B812">
        <v>4.3540000000000001</v>
      </c>
      <c r="C812">
        <v>4.3540000000000001</v>
      </c>
      <c r="D812">
        <v>4.0110000000000001</v>
      </c>
      <c r="E812">
        <v>4.2279999999999998</v>
      </c>
      <c r="F812">
        <v>1438063.209</v>
      </c>
      <c r="G812">
        <v>0</v>
      </c>
      <c r="L812" t="s">
        <v>7</v>
      </c>
      <c r="M812" t="s">
        <v>8</v>
      </c>
      <c r="N812" t="s">
        <v>8</v>
      </c>
      <c r="P812">
        <f t="shared" si="1004"/>
        <v>0.26530612244897761</v>
      </c>
      <c r="Q812">
        <f t="shared" si="1005"/>
        <v>381526.97381632368</v>
      </c>
      <c r="R812">
        <f t="shared" si="1006"/>
        <v>11505136.369530048</v>
      </c>
      <c r="S812">
        <f t="shared" si="1007"/>
        <v>115.05136369530048</v>
      </c>
      <c r="T812">
        <f t="shared" si="1008"/>
        <v>0.11505136369530047</v>
      </c>
    </row>
    <row r="813" spans="1:20" x14ac:dyDescent="0.25">
      <c r="A813" s="5">
        <v>43780</v>
      </c>
      <c r="B813">
        <v>4.1890000000000001</v>
      </c>
      <c r="C813">
        <v>4.3810000000000002</v>
      </c>
      <c r="D813">
        <v>4.05</v>
      </c>
      <c r="E813">
        <v>4.3529999999999998</v>
      </c>
      <c r="F813">
        <v>1535812.8670000001</v>
      </c>
      <c r="G813">
        <v>0</v>
      </c>
      <c r="L813" t="s">
        <v>8</v>
      </c>
      <c r="M813" t="s">
        <v>8</v>
      </c>
      <c r="N813" t="s">
        <v>8</v>
      </c>
      <c r="P813">
        <f t="shared" si="1004"/>
        <v>0.83081570996978593</v>
      </c>
      <c r="Q813">
        <f t="shared" si="1005"/>
        <v>1275977.4574773374</v>
      </c>
      <c r="R813">
        <f t="shared" si="1006"/>
        <v>11123609.395713724</v>
      </c>
      <c r="S813">
        <f t="shared" si="1007"/>
        <v>111.23609395713724</v>
      </c>
      <c r="T813">
        <f t="shared" si="1008"/>
        <v>0.11123609395713724</v>
      </c>
    </row>
    <row r="814" spans="1:20" x14ac:dyDescent="0.25">
      <c r="A814" s="5">
        <v>43779</v>
      </c>
      <c r="B814">
        <v>3.9590000000000001</v>
      </c>
      <c r="C814">
        <v>4.2789999999999999</v>
      </c>
      <c r="D814">
        <v>3.883</v>
      </c>
      <c r="E814">
        <v>4.1920000000000002</v>
      </c>
      <c r="F814">
        <v>1302961.6740000001</v>
      </c>
      <c r="G814">
        <v>0</v>
      </c>
      <c r="L814" t="s">
        <v>8</v>
      </c>
      <c r="M814" t="s">
        <v>8</v>
      </c>
      <c r="N814" t="s">
        <v>8</v>
      </c>
      <c r="P814">
        <f t="shared" si="1004"/>
        <v>0.56060606060606177</v>
      </c>
      <c r="Q814">
        <f t="shared" si="1005"/>
        <v>730448.21118181979</v>
      </c>
      <c r="R814">
        <f t="shared" si="1006"/>
        <v>9847631.9382363874</v>
      </c>
      <c r="S814">
        <f t="shared" si="1007"/>
        <v>98.476319382363869</v>
      </c>
      <c r="T814">
        <f t="shared" si="1008"/>
        <v>9.8476319382363869E-2</v>
      </c>
    </row>
    <row r="815" spans="1:20" x14ac:dyDescent="0.25">
      <c r="A815" s="5">
        <v>43778</v>
      </c>
      <c r="B815">
        <v>3.81</v>
      </c>
      <c r="C815">
        <v>3.9809999999999999</v>
      </c>
      <c r="D815">
        <v>3.7930000000000001</v>
      </c>
      <c r="E815">
        <v>3.9649999999999999</v>
      </c>
      <c r="F815">
        <v>787846.71299999999</v>
      </c>
      <c r="G815">
        <v>0</v>
      </c>
      <c r="L815" t="s">
        <v>8</v>
      </c>
      <c r="M815" t="s">
        <v>8</v>
      </c>
      <c r="N815" t="s">
        <v>8</v>
      </c>
      <c r="P815">
        <f t="shared" si="1004"/>
        <v>0.82978723404255283</v>
      </c>
      <c r="Q815">
        <f t="shared" si="1005"/>
        <v>653745.14482978696</v>
      </c>
      <c r="R815">
        <f t="shared" si="1006"/>
        <v>9117183.727054568</v>
      </c>
      <c r="S815">
        <f t="shared" si="1007"/>
        <v>91.17183727054568</v>
      </c>
      <c r="T815">
        <f t="shared" si="1008"/>
        <v>9.1171837270545675E-2</v>
      </c>
    </row>
    <row r="816" spans="1:20" x14ac:dyDescent="0.25">
      <c r="A816" s="5">
        <v>43777</v>
      </c>
      <c r="B816">
        <v>3.8769999999999998</v>
      </c>
      <c r="C816">
        <v>4.0549999999999997</v>
      </c>
      <c r="D816">
        <v>3.65</v>
      </c>
      <c r="E816">
        <v>3.806</v>
      </c>
      <c r="F816">
        <v>1432501.4990000001</v>
      </c>
      <c r="G816">
        <v>0</v>
      </c>
      <c r="L816" t="s">
        <v>8</v>
      </c>
      <c r="M816" t="s">
        <v>8</v>
      </c>
      <c r="N816" t="s">
        <v>8</v>
      </c>
      <c r="P816">
        <f t="shared" si="1004"/>
        <v>-0.22962962962962857</v>
      </c>
      <c r="Q816">
        <f t="shared" si="1005"/>
        <v>-328944.78865925776</v>
      </c>
      <c r="R816">
        <f t="shared" si="1006"/>
        <v>8463438.5822247807</v>
      </c>
      <c r="S816">
        <f t="shared" si="1007"/>
        <v>84.634385822247808</v>
      </c>
      <c r="T816">
        <f t="shared" si="1008"/>
        <v>8.4634385822247804E-2</v>
      </c>
    </row>
    <row r="817" spans="1:20" x14ac:dyDescent="0.25">
      <c r="A817" s="5">
        <v>43776</v>
      </c>
      <c r="B817">
        <v>3.8359999999999999</v>
      </c>
      <c r="C817">
        <v>3.887</v>
      </c>
      <c r="D817">
        <v>3.6389999999999998</v>
      </c>
      <c r="E817">
        <v>3.88</v>
      </c>
      <c r="F817">
        <v>845413.04500000004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0.94354838709677324</v>
      </c>
      <c r="Q817">
        <f t="shared" si="1005"/>
        <v>797688.11504032183</v>
      </c>
      <c r="R817">
        <f t="shared" si="1006"/>
        <v>8792383.3708840385</v>
      </c>
      <c r="S817">
        <f t="shared" si="1007"/>
        <v>87.923833708840391</v>
      </c>
      <c r="T817">
        <f t="shared" si="1008"/>
        <v>8.7923833708840396E-2</v>
      </c>
    </row>
    <row r="818" spans="1:20" x14ac:dyDescent="0.25">
      <c r="A818" s="5">
        <v>43775</v>
      </c>
      <c r="B818">
        <v>3.7570000000000001</v>
      </c>
      <c r="C818">
        <v>3.8940000000000001</v>
      </c>
      <c r="D818">
        <v>3.7</v>
      </c>
      <c r="E818">
        <v>3.835</v>
      </c>
      <c r="F818">
        <v>867448.18299999996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0.39175257731958579</v>
      </c>
      <c r="Q818">
        <f t="shared" si="1005"/>
        <v>339825.06138144172</v>
      </c>
      <c r="R818">
        <f t="shared" si="1006"/>
        <v>7994695.2558437176</v>
      </c>
      <c r="S818">
        <f t="shared" si="1007"/>
        <v>79.946952558437175</v>
      </c>
      <c r="T818">
        <f t="shared" si="1008"/>
        <v>7.9946952558437173E-2</v>
      </c>
    </row>
    <row r="819" spans="1:20" x14ac:dyDescent="0.25">
      <c r="A819" s="5">
        <v>43774</v>
      </c>
      <c r="B819">
        <v>3.6139999999999999</v>
      </c>
      <c r="C819">
        <v>3.8239999999999998</v>
      </c>
      <c r="D819">
        <v>3.4990000000000001</v>
      </c>
      <c r="E819">
        <v>3.7559999999999998</v>
      </c>
      <c r="F819">
        <v>1488590.1910000001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0.58153846153846078</v>
      </c>
      <c r="Q819">
        <f t="shared" si="1005"/>
        <v>865672.44953538361</v>
      </c>
      <c r="R819">
        <f t="shared" si="1006"/>
        <v>7654870.1944622761</v>
      </c>
      <c r="S819">
        <f t="shared" si="1007"/>
        <v>76.548701944622763</v>
      </c>
      <c r="T819">
        <f t="shared" si="1008"/>
        <v>7.6548701944622766E-2</v>
      </c>
    </row>
    <row r="820" spans="1:20" x14ac:dyDescent="0.25">
      <c r="A820" s="5">
        <v>43773</v>
      </c>
      <c r="B820">
        <v>3.3780000000000001</v>
      </c>
      <c r="C820">
        <v>3.65</v>
      </c>
      <c r="D820">
        <v>3.3279999999999998</v>
      </c>
      <c r="E820">
        <v>3.613</v>
      </c>
      <c r="F820">
        <v>981888.32200000004</v>
      </c>
      <c r="G820">
        <v>0</v>
      </c>
      <c r="L820" t="s">
        <v>8</v>
      </c>
      <c r="M820" t="s">
        <v>8</v>
      </c>
      <c r="N820" t="s">
        <v>8</v>
      </c>
      <c r="P820">
        <f t="shared" si="1004"/>
        <v>0.77018633540372727</v>
      </c>
      <c r="Q820">
        <f t="shared" si="1005"/>
        <v>756236.96849689505</v>
      </c>
      <c r="R820">
        <f t="shared" si="1006"/>
        <v>6789197.7449268922</v>
      </c>
      <c r="S820">
        <f t="shared" si="1007"/>
        <v>67.891977449268921</v>
      </c>
      <c r="T820">
        <f t="shared" si="1008"/>
        <v>6.789197744926892E-2</v>
      </c>
    </row>
    <row r="821" spans="1:20" x14ac:dyDescent="0.25">
      <c r="A821" s="5">
        <v>43772</v>
      </c>
      <c r="B821">
        <v>3.419</v>
      </c>
      <c r="C821">
        <v>3.4449999999999998</v>
      </c>
      <c r="D821">
        <v>3.2850000000000001</v>
      </c>
      <c r="E821">
        <v>3.383</v>
      </c>
      <c r="F821">
        <v>497974.61200000002</v>
      </c>
      <c r="G821">
        <v>0</v>
      </c>
      <c r="L821" t="s">
        <v>8</v>
      </c>
      <c r="M821" t="s">
        <v>8</v>
      </c>
      <c r="N821" t="s">
        <v>8</v>
      </c>
      <c r="P821">
        <f t="shared" si="1004"/>
        <v>0.22500000000000062</v>
      </c>
      <c r="Q821">
        <f t="shared" si="1005"/>
        <v>112044.28770000031</v>
      </c>
      <c r="R821">
        <f t="shared" si="1006"/>
        <v>6032960.7764299968</v>
      </c>
      <c r="S821">
        <f t="shared" si="1007"/>
        <v>60.329607764299965</v>
      </c>
      <c r="T821">
        <f t="shared" si="1008"/>
        <v>6.0329607764299964E-2</v>
      </c>
    </row>
    <row r="822" spans="1:20" x14ac:dyDescent="0.25">
      <c r="A822" s="5">
        <v>43771</v>
      </c>
      <c r="B822">
        <v>3.2639999999999998</v>
      </c>
      <c r="C822">
        <v>3.4620000000000002</v>
      </c>
      <c r="D822">
        <v>3.2429999999999999</v>
      </c>
      <c r="E822">
        <v>3.419</v>
      </c>
      <c r="F822">
        <v>478995.027</v>
      </c>
      <c r="G822">
        <v>0</v>
      </c>
      <c r="L822" t="s">
        <v>8</v>
      </c>
      <c r="M822" t="s">
        <v>8</v>
      </c>
      <c r="N822" t="s">
        <v>8</v>
      </c>
      <c r="P822">
        <f t="shared" si="1004"/>
        <v>0.60730593607305849</v>
      </c>
      <c r="Q822">
        <f t="shared" si="1005"/>
        <v>290896.52324657491</v>
      </c>
      <c r="R822">
        <f t="shared" si="1006"/>
        <v>5920916.4887299966</v>
      </c>
      <c r="S822">
        <f t="shared" si="1007"/>
        <v>59.209164887299963</v>
      </c>
      <c r="T822">
        <f t="shared" si="1008"/>
        <v>5.9209164887299964E-2</v>
      </c>
    </row>
    <row r="823" spans="1:20" x14ac:dyDescent="0.25">
      <c r="A823" s="5">
        <v>43770</v>
      </c>
      <c r="B823">
        <v>3.2629999999999999</v>
      </c>
      <c r="C823">
        <v>3.2949999999999999</v>
      </c>
      <c r="D823">
        <v>3.165</v>
      </c>
      <c r="E823">
        <v>3.2570000000000001</v>
      </c>
      <c r="F823">
        <v>488312.92700000003</v>
      </c>
      <c r="G823">
        <v>0</v>
      </c>
      <c r="L823" t="s">
        <v>8</v>
      </c>
      <c r="M823" t="s">
        <v>8</v>
      </c>
      <c r="N823" t="s">
        <v>8</v>
      </c>
      <c r="P823">
        <f t="shared" si="1004"/>
        <v>0.41538461538461779</v>
      </c>
      <c r="Q823">
        <f t="shared" si="1005"/>
        <v>202837.67736923197</v>
      </c>
      <c r="R823">
        <f t="shared" si="1006"/>
        <v>5630019.9654834215</v>
      </c>
      <c r="S823">
        <f t="shared" si="1007"/>
        <v>56.300199654834216</v>
      </c>
      <c r="T823">
        <f t="shared" si="1008"/>
        <v>5.6300199654834217E-2</v>
      </c>
    </row>
    <row r="824" spans="1:20" x14ac:dyDescent="0.25">
      <c r="A824" s="5">
        <v>43769</v>
      </c>
      <c r="B824">
        <v>3.016</v>
      </c>
      <c r="C824">
        <v>3.32</v>
      </c>
      <c r="D824">
        <v>3.008</v>
      </c>
      <c r="E824">
        <v>3.2629999999999999</v>
      </c>
      <c r="F824">
        <v>777162.90099999995</v>
      </c>
      <c r="G824">
        <v>0</v>
      </c>
      <c r="L824" t="s">
        <v>8</v>
      </c>
      <c r="M824" t="s">
        <v>8</v>
      </c>
      <c r="N824" t="s">
        <v>8</v>
      </c>
      <c r="P824">
        <f t="shared" si="1004"/>
        <v>0.6346153846153848</v>
      </c>
      <c r="Q824">
        <f t="shared" si="1005"/>
        <v>493199.53332692321</v>
      </c>
      <c r="R824">
        <f t="shared" si="1006"/>
        <v>5427182.2881141892</v>
      </c>
      <c r="S824">
        <f t="shared" si="1007"/>
        <v>54.271822881141894</v>
      </c>
      <c r="T824">
        <f t="shared" si="1008"/>
        <v>5.4271822881141893E-2</v>
      </c>
    </row>
    <row r="825" spans="1:20" x14ac:dyDescent="0.25">
      <c r="A825" s="5">
        <v>43768</v>
      </c>
      <c r="B825">
        <v>3.149</v>
      </c>
      <c r="C825">
        <v>3.2</v>
      </c>
      <c r="D825">
        <v>2.95</v>
      </c>
      <c r="E825">
        <v>3.016</v>
      </c>
      <c r="F825">
        <v>482189.17099999997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-0.47200000000000131</v>
      </c>
      <c r="Q825">
        <f t="shared" si="1005"/>
        <v>-227593.28871200062</v>
      </c>
      <c r="R825">
        <f t="shared" si="1006"/>
        <v>4933982.7547872663</v>
      </c>
      <c r="S825">
        <f t="shared" si="1007"/>
        <v>49.339827547872666</v>
      </c>
      <c r="T825">
        <f t="shared" si="1008"/>
        <v>4.9339827547872667E-2</v>
      </c>
    </row>
    <row r="826" spans="1:20" x14ac:dyDescent="0.25">
      <c r="A826" s="5">
        <v>43767</v>
      </c>
      <c r="B826">
        <v>3.1110000000000002</v>
      </c>
      <c r="C826">
        <v>3.1970000000000001</v>
      </c>
      <c r="D826">
        <v>3.05</v>
      </c>
      <c r="E826">
        <v>3.1509999999999998</v>
      </c>
      <c r="F826">
        <v>527571.57400000002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0.37414965986394305</v>
      </c>
      <c r="Q826">
        <f t="shared" si="1005"/>
        <v>197390.72496598508</v>
      </c>
      <c r="R826">
        <f t="shared" si="1006"/>
        <v>5161576.0434992667</v>
      </c>
      <c r="S826">
        <f t="shared" si="1007"/>
        <v>51.615760434992666</v>
      </c>
      <c r="T826">
        <f t="shared" si="1008"/>
        <v>5.1615760434992664E-2</v>
      </c>
    </row>
    <row r="827" spans="1:20" x14ac:dyDescent="0.25">
      <c r="A827" s="5">
        <v>43766</v>
      </c>
      <c r="B827">
        <v>3.1960000000000002</v>
      </c>
      <c r="C827">
        <v>3.3370000000000002</v>
      </c>
      <c r="D827">
        <v>3.0670000000000002</v>
      </c>
      <c r="E827">
        <v>3.1</v>
      </c>
      <c r="F827">
        <v>955153.78700000001</v>
      </c>
      <c r="G827">
        <v>0</v>
      </c>
      <c r="L827" t="s">
        <v>7</v>
      </c>
      <c r="M827" t="s">
        <v>8</v>
      </c>
      <c r="N827" t="s">
        <v>8</v>
      </c>
      <c r="P827">
        <f t="shared" si="1004"/>
        <v>-0.7555555555555562</v>
      </c>
      <c r="Q827">
        <f t="shared" si="1005"/>
        <v>-721671.75017777842</v>
      </c>
      <c r="R827">
        <f t="shared" si="1006"/>
        <v>4964185.3185332818</v>
      </c>
      <c r="S827">
        <f t="shared" si="1007"/>
        <v>49.64185318533282</v>
      </c>
      <c r="T827">
        <f t="shared" si="1008"/>
        <v>4.9641853185332818E-2</v>
      </c>
    </row>
    <row r="828" spans="1:20" x14ac:dyDescent="0.25">
      <c r="A828" s="5">
        <v>43765</v>
      </c>
      <c r="B828">
        <v>3.0880000000000001</v>
      </c>
      <c r="C828">
        <v>3.3</v>
      </c>
      <c r="D828">
        <v>2.96</v>
      </c>
      <c r="E828">
        <v>3.1960000000000002</v>
      </c>
      <c r="F828">
        <v>974339.12399999995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0.3882352941176489</v>
      </c>
      <c r="Q828">
        <f t="shared" si="1005"/>
        <v>378272.83637647238</v>
      </c>
      <c r="R828">
        <f t="shared" si="1006"/>
        <v>5685857.0687110601</v>
      </c>
      <c r="S828">
        <f t="shared" si="1007"/>
        <v>56.8585706871106</v>
      </c>
      <c r="T828">
        <f t="shared" si="1008"/>
        <v>5.6858570687110602E-2</v>
      </c>
    </row>
    <row r="829" spans="1:20" x14ac:dyDescent="0.25">
      <c r="A829" s="5">
        <v>43764</v>
      </c>
      <c r="B829">
        <v>3.0449999999999999</v>
      </c>
      <c r="C829">
        <v>3.2639999999999998</v>
      </c>
      <c r="D829">
        <v>2.9790000000000001</v>
      </c>
      <c r="E829">
        <v>3.0779999999999998</v>
      </c>
      <c r="F829">
        <v>1146126.818</v>
      </c>
      <c r="G829">
        <v>0</v>
      </c>
      <c r="L829" t="s">
        <v>8</v>
      </c>
      <c r="M829" t="s">
        <v>8</v>
      </c>
      <c r="N829" t="s">
        <v>8</v>
      </c>
      <c r="P829">
        <f t="shared" si="1004"/>
        <v>-0.30526315789473785</v>
      </c>
      <c r="Q829">
        <f t="shared" si="1005"/>
        <v>-349870.29181052744</v>
      </c>
      <c r="R829">
        <f t="shared" si="1006"/>
        <v>5307584.2323345877</v>
      </c>
      <c r="S829">
        <f t="shared" si="1007"/>
        <v>53.075842323345874</v>
      </c>
      <c r="T829">
        <f t="shared" si="1008"/>
        <v>5.3075842323345876E-2</v>
      </c>
    </row>
    <row r="830" spans="1:20" x14ac:dyDescent="0.25">
      <c r="A830" s="5">
        <v>43763</v>
      </c>
      <c r="B830">
        <v>2.819</v>
      </c>
      <c r="C830">
        <v>3.1269999999999998</v>
      </c>
      <c r="D830">
        <v>2.7650000000000001</v>
      </c>
      <c r="E830">
        <v>3.048</v>
      </c>
      <c r="F830">
        <v>987880.84199999995</v>
      </c>
      <c r="G830">
        <v>0</v>
      </c>
      <c r="L830" t="s">
        <v>8</v>
      </c>
      <c r="M830" t="s">
        <v>8</v>
      </c>
      <c r="N830" t="s">
        <v>8</v>
      </c>
      <c r="P830">
        <f t="shared" si="1004"/>
        <v>0.56353591160221095</v>
      </c>
      <c r="Q830">
        <f t="shared" si="1005"/>
        <v>556706.33085082972</v>
      </c>
      <c r="R830">
        <f t="shared" si="1006"/>
        <v>5657454.5241451152</v>
      </c>
      <c r="S830">
        <f t="shared" si="1007"/>
        <v>56.574545241451155</v>
      </c>
      <c r="T830">
        <f t="shared" si="1008"/>
        <v>5.6574545241451155E-2</v>
      </c>
    </row>
    <row r="831" spans="1:20" x14ac:dyDescent="0.25">
      <c r="A831" s="5">
        <v>43762</v>
      </c>
      <c r="B831">
        <v>2.6819999999999999</v>
      </c>
      <c r="C831">
        <v>2.9849999999999999</v>
      </c>
      <c r="D831">
        <v>2.625</v>
      </c>
      <c r="E831">
        <v>2.8180000000000001</v>
      </c>
      <c r="F831">
        <v>384218.92</v>
      </c>
      <c r="G831">
        <v>0</v>
      </c>
      <c r="L831" t="s">
        <v>8</v>
      </c>
      <c r="M831" t="s">
        <v>7</v>
      </c>
      <c r="N831" t="s">
        <v>8</v>
      </c>
      <c r="P831">
        <f t="shared" ref="P831:P894" si="1009">IF(C831=D831,0,((E831-D831)-(C831-E831))/(C831-D831))</f>
        <v>7.2222222222222923E-2</v>
      </c>
      <c r="Q831">
        <f t="shared" ref="Q831:Q894" si="1010">F831*P831</f>
        <v>27749.14422222249</v>
      </c>
      <c r="R831">
        <f t="shared" ref="R831:R894" si="1011">R832+Q831</f>
        <v>5100748.1932942858</v>
      </c>
      <c r="S831">
        <f t="shared" ref="S831:S894" si="1012">R831/100000</f>
        <v>51.007481932942859</v>
      </c>
      <c r="T831">
        <f t="shared" ref="T831:T894" si="1013">S831/1000</f>
        <v>5.1007481932942862E-2</v>
      </c>
    </row>
    <row r="832" spans="1:20" x14ac:dyDescent="0.25">
      <c r="A832" s="5">
        <v>43761</v>
      </c>
      <c r="B832">
        <v>2.867</v>
      </c>
      <c r="C832">
        <v>2.895</v>
      </c>
      <c r="D832">
        <v>2.5470000000000002</v>
      </c>
      <c r="E832">
        <v>2.69</v>
      </c>
      <c r="F832">
        <v>821387.27599999995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-0.17816091954023075</v>
      </c>
      <c r="Q832">
        <f t="shared" si="1010"/>
        <v>-146339.1123908053</v>
      </c>
      <c r="R832">
        <f t="shared" si="1011"/>
        <v>5072999.0490720635</v>
      </c>
      <c r="S832">
        <f t="shared" si="1012"/>
        <v>50.729990490720638</v>
      </c>
      <c r="T832">
        <f t="shared" si="1013"/>
        <v>5.072999049072064E-2</v>
      </c>
    </row>
    <row r="833" spans="1:20" x14ac:dyDescent="0.25">
      <c r="A833" s="5">
        <v>43760</v>
      </c>
      <c r="B833">
        <v>2.9740000000000002</v>
      </c>
      <c r="C833">
        <v>3.0139999999999998</v>
      </c>
      <c r="D833">
        <v>2.8450000000000002</v>
      </c>
      <c r="E833">
        <v>2.8639999999999999</v>
      </c>
      <c r="F833">
        <v>429439.08</v>
      </c>
      <c r="G833">
        <v>0</v>
      </c>
      <c r="L833" t="s">
        <v>8</v>
      </c>
      <c r="M833" t="s">
        <v>8</v>
      </c>
      <c r="N833" t="s">
        <v>8</v>
      </c>
      <c r="P833">
        <f t="shared" si="1009"/>
        <v>-0.77514792899408602</v>
      </c>
      <c r="Q833">
        <f t="shared" si="1010"/>
        <v>-332878.81349112565</v>
      </c>
      <c r="R833">
        <f t="shared" si="1011"/>
        <v>5219338.1614628686</v>
      </c>
      <c r="S833">
        <f t="shared" si="1012"/>
        <v>52.193381614628684</v>
      </c>
      <c r="T833">
        <f t="shared" si="1013"/>
        <v>5.2193381614628685E-2</v>
      </c>
    </row>
    <row r="834" spans="1:20" x14ac:dyDescent="0.25">
      <c r="A834" s="5">
        <v>43759</v>
      </c>
      <c r="B834">
        <v>2.9020000000000001</v>
      </c>
      <c r="C834">
        <v>3.0070000000000001</v>
      </c>
      <c r="D834">
        <v>2.831</v>
      </c>
      <c r="E834">
        <v>2.98</v>
      </c>
      <c r="F834">
        <v>596424.53799999994</v>
      </c>
      <c r="G834">
        <v>0</v>
      </c>
      <c r="L834" t="s">
        <v>8</v>
      </c>
      <c r="M834" t="s">
        <v>8</v>
      </c>
      <c r="N834" t="s">
        <v>8</v>
      </c>
      <c r="P834">
        <f t="shared" si="1009"/>
        <v>0.6931818181818169</v>
      </c>
      <c r="Q834">
        <f t="shared" si="1010"/>
        <v>413430.64565909008</v>
      </c>
      <c r="R834">
        <f t="shared" si="1011"/>
        <v>5552216.9749539942</v>
      </c>
      <c r="S834">
        <f t="shared" si="1012"/>
        <v>55.522169749539941</v>
      </c>
      <c r="T834">
        <f t="shared" si="1013"/>
        <v>5.552216974953994E-2</v>
      </c>
    </row>
    <row r="835" spans="1:20" x14ac:dyDescent="0.25">
      <c r="A835" s="5">
        <v>43758</v>
      </c>
      <c r="B835">
        <v>2.7450000000000001</v>
      </c>
      <c r="C835">
        <v>2.9319999999999999</v>
      </c>
      <c r="D835">
        <v>2.681</v>
      </c>
      <c r="E835">
        <v>2.9020000000000001</v>
      </c>
      <c r="F835">
        <v>387670.06599999999</v>
      </c>
      <c r="G835">
        <v>0</v>
      </c>
      <c r="L835" t="s">
        <v>8</v>
      </c>
      <c r="M835" t="s">
        <v>8</v>
      </c>
      <c r="N835" t="s">
        <v>8</v>
      </c>
      <c r="P835">
        <f t="shared" si="1009"/>
        <v>0.76095617529880621</v>
      </c>
      <c r="Q835">
        <f t="shared" si="1010"/>
        <v>294999.93070119579</v>
      </c>
      <c r="R835">
        <f t="shared" si="1011"/>
        <v>5138786.3292949041</v>
      </c>
      <c r="S835">
        <f t="shared" si="1012"/>
        <v>51.387863292949042</v>
      </c>
      <c r="T835">
        <f t="shared" si="1013"/>
        <v>5.1387863292949039E-2</v>
      </c>
    </row>
    <row r="836" spans="1:20" x14ac:dyDescent="0.25">
      <c r="A836" s="5">
        <v>43757</v>
      </c>
      <c r="B836">
        <v>2.7480000000000002</v>
      </c>
      <c r="C836">
        <v>2.7989999999999999</v>
      </c>
      <c r="D836">
        <v>2.6920000000000002</v>
      </c>
      <c r="E836">
        <v>2.7349999999999999</v>
      </c>
      <c r="F836">
        <v>313879.00099999999</v>
      </c>
      <c r="G836">
        <v>0</v>
      </c>
      <c r="L836" t="s">
        <v>7</v>
      </c>
      <c r="M836" t="s">
        <v>8</v>
      </c>
      <c r="N836" t="s">
        <v>8</v>
      </c>
      <c r="P836">
        <f t="shared" si="1009"/>
        <v>-0.19626168224299437</v>
      </c>
      <c r="Q836">
        <f t="shared" si="1010"/>
        <v>-61602.420757010506</v>
      </c>
      <c r="R836">
        <f t="shared" si="1011"/>
        <v>4843786.3985937079</v>
      </c>
      <c r="S836">
        <f t="shared" si="1012"/>
        <v>48.437863985937078</v>
      </c>
      <c r="T836">
        <f t="shared" si="1013"/>
        <v>4.843786398593708E-2</v>
      </c>
    </row>
    <row r="837" spans="1:20" x14ac:dyDescent="0.25">
      <c r="A837" s="5">
        <v>43756</v>
      </c>
      <c r="B837">
        <v>2.9169999999999998</v>
      </c>
      <c r="C837">
        <v>2.9260000000000002</v>
      </c>
      <c r="D837">
        <v>2.6850000000000001</v>
      </c>
      <c r="E837">
        <v>2.7469999999999999</v>
      </c>
      <c r="F837">
        <v>460287.473</v>
      </c>
      <c r="G837">
        <v>0</v>
      </c>
      <c r="L837" t="s">
        <v>7</v>
      </c>
      <c r="M837" t="s">
        <v>8</v>
      </c>
      <c r="N837" t="s">
        <v>8</v>
      </c>
      <c r="P837">
        <f t="shared" si="1009"/>
        <v>-0.48547717842323812</v>
      </c>
      <c r="Q837">
        <f t="shared" si="1010"/>
        <v>-223459.0636556024</v>
      </c>
      <c r="R837">
        <f t="shared" si="1011"/>
        <v>4905388.8193507185</v>
      </c>
      <c r="S837">
        <f t="shared" si="1012"/>
        <v>49.053888193507184</v>
      </c>
      <c r="T837">
        <f t="shared" si="1013"/>
        <v>4.9053888193507186E-2</v>
      </c>
    </row>
    <row r="838" spans="1:20" x14ac:dyDescent="0.25">
      <c r="A838" s="5">
        <v>43755</v>
      </c>
      <c r="B838">
        <v>2.831</v>
      </c>
      <c r="C838">
        <v>2.948</v>
      </c>
      <c r="D838">
        <v>2.738</v>
      </c>
      <c r="E838">
        <v>2.907</v>
      </c>
      <c r="F838">
        <v>461193.01299999998</v>
      </c>
      <c r="G838">
        <v>0</v>
      </c>
      <c r="L838" t="s">
        <v>8</v>
      </c>
      <c r="M838" t="s">
        <v>8</v>
      </c>
      <c r="N838" t="s">
        <v>8</v>
      </c>
      <c r="P838">
        <f t="shared" si="1009"/>
        <v>0.60952380952381013</v>
      </c>
      <c r="Q838">
        <f t="shared" si="1010"/>
        <v>281108.1222095241</v>
      </c>
      <c r="R838">
        <f t="shared" si="1011"/>
        <v>5128847.8830063213</v>
      </c>
      <c r="S838">
        <f t="shared" si="1012"/>
        <v>51.288478830063212</v>
      </c>
      <c r="T838">
        <f t="shared" si="1013"/>
        <v>5.1288478830063211E-2</v>
      </c>
    </row>
    <row r="839" spans="1:20" x14ac:dyDescent="0.25">
      <c r="A839" s="5">
        <v>43754</v>
      </c>
      <c r="B839">
        <v>2.9279999999999999</v>
      </c>
      <c r="C839">
        <v>2.9510000000000001</v>
      </c>
      <c r="D839">
        <v>2.6779999999999999</v>
      </c>
      <c r="E839">
        <v>2.8420000000000001</v>
      </c>
      <c r="F839">
        <v>805083.51300000004</v>
      </c>
      <c r="G839">
        <v>0</v>
      </c>
      <c r="L839" t="s">
        <v>7</v>
      </c>
      <c r="M839" t="s">
        <v>8</v>
      </c>
      <c r="N839" t="s">
        <v>8</v>
      </c>
      <c r="P839">
        <f t="shared" si="1009"/>
        <v>0.20146520146520194</v>
      </c>
      <c r="Q839">
        <f t="shared" si="1010"/>
        <v>162196.31214285753</v>
      </c>
      <c r="R839">
        <f t="shared" si="1011"/>
        <v>4847739.7607967975</v>
      </c>
      <c r="S839">
        <f t="shared" si="1012"/>
        <v>48.477397607967973</v>
      </c>
      <c r="T839">
        <f t="shared" si="1013"/>
        <v>4.8477397607967973E-2</v>
      </c>
    </row>
    <row r="840" spans="1:20" x14ac:dyDescent="0.25">
      <c r="A840" s="5">
        <v>43753</v>
      </c>
      <c r="B840">
        <v>3.0859999999999999</v>
      </c>
      <c r="C840">
        <v>3.1589999999999998</v>
      </c>
      <c r="D840">
        <v>2.887</v>
      </c>
      <c r="E840">
        <v>2.9380000000000002</v>
      </c>
      <c r="F840">
        <v>809743.38600000006</v>
      </c>
      <c r="G840">
        <v>0</v>
      </c>
      <c r="L840" t="s">
        <v>8</v>
      </c>
      <c r="M840" t="s">
        <v>8</v>
      </c>
      <c r="N840" t="s">
        <v>8</v>
      </c>
      <c r="P840">
        <f t="shared" si="1009"/>
        <v>-0.62499999999999856</v>
      </c>
      <c r="Q840">
        <f t="shared" si="1010"/>
        <v>-506089.61624999886</v>
      </c>
      <c r="R840">
        <f t="shared" si="1011"/>
        <v>4685543.4486539401</v>
      </c>
      <c r="S840">
        <f t="shared" si="1012"/>
        <v>46.855434486539401</v>
      </c>
      <c r="T840">
        <f t="shared" si="1013"/>
        <v>4.68554344865394E-2</v>
      </c>
    </row>
    <row r="841" spans="1:20" x14ac:dyDescent="0.25">
      <c r="A841" s="5">
        <v>43752</v>
      </c>
      <c r="B841">
        <v>2.87</v>
      </c>
      <c r="C841">
        <v>3.121</v>
      </c>
      <c r="D841">
        <v>2.867</v>
      </c>
      <c r="E841">
        <v>3.0910000000000002</v>
      </c>
      <c r="F841">
        <v>991827.88100000005</v>
      </c>
      <c r="G841">
        <v>0</v>
      </c>
      <c r="L841" t="s">
        <v>8</v>
      </c>
      <c r="M841" t="s">
        <v>8</v>
      </c>
      <c r="N841" t="s">
        <v>8</v>
      </c>
      <c r="P841">
        <f t="shared" si="1009"/>
        <v>0.76377952755905665</v>
      </c>
      <c r="Q841">
        <f t="shared" si="1010"/>
        <v>757537.83037008031</v>
      </c>
      <c r="R841">
        <f t="shared" si="1011"/>
        <v>5191633.0649039391</v>
      </c>
      <c r="S841">
        <f t="shared" si="1012"/>
        <v>51.916330649039388</v>
      </c>
      <c r="T841">
        <f t="shared" si="1013"/>
        <v>5.1916330649039388E-2</v>
      </c>
    </row>
    <row r="842" spans="1:20" x14ac:dyDescent="0.25">
      <c r="A842" s="5">
        <v>43751</v>
      </c>
      <c r="B842">
        <v>2.8220000000000001</v>
      </c>
      <c r="C842">
        <v>2.9140000000000001</v>
      </c>
      <c r="D842">
        <v>2.7839999999999998</v>
      </c>
      <c r="E842">
        <v>2.8650000000000002</v>
      </c>
      <c r="F842">
        <v>742017.93400000001</v>
      </c>
      <c r="G842">
        <v>0</v>
      </c>
      <c r="L842" t="s">
        <v>8</v>
      </c>
      <c r="M842" t="s">
        <v>8</v>
      </c>
      <c r="N842" t="s">
        <v>8</v>
      </c>
      <c r="P842">
        <f t="shared" si="1009"/>
        <v>0.24615384615384914</v>
      </c>
      <c r="Q842">
        <f t="shared" si="1010"/>
        <v>182650.56836923299</v>
      </c>
      <c r="R842">
        <f t="shared" si="1011"/>
        <v>4434095.2345338585</v>
      </c>
      <c r="S842">
        <f t="shared" si="1012"/>
        <v>44.340952345338586</v>
      </c>
      <c r="T842">
        <f t="shared" si="1013"/>
        <v>4.4340952345338587E-2</v>
      </c>
    </row>
    <row r="843" spans="1:20" x14ac:dyDescent="0.25">
      <c r="A843" s="5">
        <v>43750</v>
      </c>
      <c r="B843">
        <v>2.8149999999999999</v>
      </c>
      <c r="C843">
        <v>2.859</v>
      </c>
      <c r="D843">
        <v>2.7629999999999999</v>
      </c>
      <c r="E843">
        <v>2.8220000000000001</v>
      </c>
      <c r="F843">
        <v>306994.64799999999</v>
      </c>
      <c r="G843">
        <v>0</v>
      </c>
      <c r="L843" t="s">
        <v>8</v>
      </c>
      <c r="M843" t="s">
        <v>8</v>
      </c>
      <c r="N843" t="s">
        <v>8</v>
      </c>
      <c r="P843">
        <f t="shared" si="1009"/>
        <v>0.22916666666666899</v>
      </c>
      <c r="Q843">
        <f t="shared" si="1010"/>
        <v>70352.94016666738</v>
      </c>
      <c r="R843">
        <f t="shared" si="1011"/>
        <v>4251444.6661646254</v>
      </c>
      <c r="S843">
        <f t="shared" si="1012"/>
        <v>42.514446661646254</v>
      </c>
      <c r="T843">
        <f t="shared" si="1013"/>
        <v>4.2514446661646256E-2</v>
      </c>
    </row>
    <row r="844" spans="1:20" x14ac:dyDescent="0.25">
      <c r="A844" s="5">
        <v>43749</v>
      </c>
      <c r="B844">
        <v>2.891</v>
      </c>
      <c r="C844">
        <v>2.923</v>
      </c>
      <c r="D844">
        <v>2.72</v>
      </c>
      <c r="E844">
        <v>2.8090000000000002</v>
      </c>
      <c r="F844">
        <v>649326.37899999996</v>
      </c>
      <c r="G844">
        <v>0</v>
      </c>
      <c r="L844" t="s">
        <v>8</v>
      </c>
      <c r="M844" t="s">
        <v>8</v>
      </c>
      <c r="N844" t="s">
        <v>8</v>
      </c>
      <c r="P844">
        <f t="shared" si="1009"/>
        <v>-0.12315270935960557</v>
      </c>
      <c r="Q844">
        <f t="shared" si="1010"/>
        <v>-79966.302832512083</v>
      </c>
      <c r="R844">
        <f t="shared" si="1011"/>
        <v>4181091.7259979583</v>
      </c>
      <c r="S844">
        <f t="shared" si="1012"/>
        <v>41.810917259979583</v>
      </c>
      <c r="T844">
        <f t="shared" si="1013"/>
        <v>4.1810917259979583E-2</v>
      </c>
    </row>
    <row r="845" spans="1:20" x14ac:dyDescent="0.25">
      <c r="A845" s="5">
        <v>43748</v>
      </c>
      <c r="B845">
        <v>2.9020000000000001</v>
      </c>
      <c r="C845">
        <v>3</v>
      </c>
      <c r="D845">
        <v>2.6819999999999999</v>
      </c>
      <c r="E845">
        <v>2.8889999999999998</v>
      </c>
      <c r="F845">
        <v>1323762.321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0.30188679245282901</v>
      </c>
      <c r="Q845">
        <f t="shared" si="1010"/>
        <v>399626.36105660221</v>
      </c>
      <c r="R845">
        <f t="shared" si="1011"/>
        <v>4261058.0288304705</v>
      </c>
      <c r="S845">
        <f t="shared" si="1012"/>
        <v>42.610580288304703</v>
      </c>
      <c r="T845">
        <f t="shared" si="1013"/>
        <v>4.2610580288304702E-2</v>
      </c>
    </row>
    <row r="846" spans="1:20" x14ac:dyDescent="0.25">
      <c r="A846" s="5">
        <v>43747</v>
      </c>
      <c r="B846">
        <v>2.8889999999999998</v>
      </c>
      <c r="C846">
        <v>3.0139999999999998</v>
      </c>
      <c r="D846">
        <v>2.8119999999999998</v>
      </c>
      <c r="E846">
        <v>2.903</v>
      </c>
      <c r="F846">
        <v>1435567.0209999999</v>
      </c>
      <c r="G846">
        <v>0</v>
      </c>
      <c r="L846" t="s">
        <v>7</v>
      </c>
      <c r="M846" t="s">
        <v>8</v>
      </c>
      <c r="N846" t="s">
        <v>8</v>
      </c>
      <c r="P846">
        <f t="shared" si="1009"/>
        <v>-9.9009900990096919E-2</v>
      </c>
      <c r="Q846">
        <f t="shared" si="1010"/>
        <v>-142135.34861385837</v>
      </c>
      <c r="R846">
        <f t="shared" si="1011"/>
        <v>3861431.6677738684</v>
      </c>
      <c r="S846">
        <f t="shared" si="1012"/>
        <v>38.614316677738685</v>
      </c>
      <c r="T846">
        <f t="shared" si="1013"/>
        <v>3.8614316677738687E-2</v>
      </c>
    </row>
    <row r="847" spans="1:20" x14ac:dyDescent="0.25">
      <c r="A847" s="5">
        <v>43746</v>
      </c>
      <c r="B847">
        <v>2.8940000000000001</v>
      </c>
      <c r="C847">
        <v>3.0710000000000002</v>
      </c>
      <c r="D847">
        <v>2.81</v>
      </c>
      <c r="E847">
        <v>2.8919999999999999</v>
      </c>
      <c r="F847">
        <v>1976678.56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-0.37164750957854548</v>
      </c>
      <c r="Q847">
        <f t="shared" si="1010"/>
        <v>-734627.66406130546</v>
      </c>
      <c r="R847">
        <f t="shared" si="1011"/>
        <v>4003567.0163877266</v>
      </c>
      <c r="S847">
        <f t="shared" si="1012"/>
        <v>40.035670163877263</v>
      </c>
      <c r="T847">
        <f t="shared" si="1013"/>
        <v>4.0035670163877261E-2</v>
      </c>
    </row>
    <row r="848" spans="1:20" x14ac:dyDescent="0.25">
      <c r="A848" s="5">
        <v>43745</v>
      </c>
      <c r="B848">
        <v>2.6360000000000001</v>
      </c>
      <c r="C848">
        <v>2.9550000000000001</v>
      </c>
      <c r="D848">
        <v>2.5329999999999999</v>
      </c>
      <c r="E848">
        <v>2.891</v>
      </c>
      <c r="F848">
        <v>1433831.4069999999</v>
      </c>
      <c r="G848">
        <v>0</v>
      </c>
      <c r="L848" t="s">
        <v>7</v>
      </c>
      <c r="M848" t="s">
        <v>8</v>
      </c>
      <c r="N848" t="s">
        <v>8</v>
      </c>
      <c r="P848">
        <f t="shared" si="1009"/>
        <v>0.69668246445497617</v>
      </c>
      <c r="Q848">
        <f t="shared" si="1010"/>
        <v>998925.19824170589</v>
      </c>
      <c r="R848">
        <f t="shared" si="1011"/>
        <v>4738194.6804490322</v>
      </c>
      <c r="S848">
        <f t="shared" si="1012"/>
        <v>47.381946804490319</v>
      </c>
      <c r="T848">
        <f t="shared" si="1013"/>
        <v>4.7381946804490316E-2</v>
      </c>
    </row>
    <row r="849" spans="1:20" x14ac:dyDescent="0.25">
      <c r="A849" s="5">
        <v>43744</v>
      </c>
      <c r="B849">
        <v>2.7709999999999999</v>
      </c>
      <c r="C849">
        <v>2.7890000000000001</v>
      </c>
      <c r="D849">
        <v>2.5680000000000001</v>
      </c>
      <c r="E849">
        <v>2.6419999999999999</v>
      </c>
      <c r="F849">
        <v>970444.43</v>
      </c>
      <c r="G849">
        <v>0</v>
      </c>
      <c r="L849" t="s">
        <v>7</v>
      </c>
      <c r="M849" t="s">
        <v>8</v>
      </c>
      <c r="N849" t="s">
        <v>8</v>
      </c>
      <c r="P849">
        <f t="shared" si="1009"/>
        <v>-0.33031674208144962</v>
      </c>
      <c r="Q849">
        <f t="shared" si="1010"/>
        <v>-320554.04248868942</v>
      </c>
      <c r="R849">
        <f t="shared" si="1011"/>
        <v>3739269.4822073262</v>
      </c>
      <c r="S849">
        <f t="shared" si="1012"/>
        <v>37.39269482207326</v>
      </c>
      <c r="T849">
        <f t="shared" si="1013"/>
        <v>3.7392694822073261E-2</v>
      </c>
    </row>
    <row r="850" spans="1:20" x14ac:dyDescent="0.25">
      <c r="A850" s="5">
        <v>43743</v>
      </c>
      <c r="B850">
        <v>2.5649999999999999</v>
      </c>
      <c r="C850">
        <v>2.81</v>
      </c>
      <c r="D850">
        <v>2.5390000000000001</v>
      </c>
      <c r="E850">
        <v>2.7669999999999999</v>
      </c>
      <c r="F850">
        <v>942610.37399999995</v>
      </c>
      <c r="G850">
        <v>0</v>
      </c>
      <c r="L850" t="s">
        <v>8</v>
      </c>
      <c r="M850" t="s">
        <v>8</v>
      </c>
      <c r="N850" t="s">
        <v>8</v>
      </c>
      <c r="P850">
        <f t="shared" si="1009"/>
        <v>0.68265682656826443</v>
      </c>
      <c r="Q850">
        <f t="shared" si="1010"/>
        <v>643479.40660516487</v>
      </c>
      <c r="R850">
        <f t="shared" si="1011"/>
        <v>4059823.5246960158</v>
      </c>
      <c r="S850">
        <f t="shared" si="1012"/>
        <v>40.598235246960158</v>
      </c>
      <c r="T850">
        <f t="shared" si="1013"/>
        <v>4.0598235246960157E-2</v>
      </c>
    </row>
    <row r="851" spans="1:20" x14ac:dyDescent="0.25">
      <c r="A851" s="5">
        <v>43742</v>
      </c>
      <c r="B851">
        <v>2.5830000000000002</v>
      </c>
      <c r="C851">
        <v>2.6160000000000001</v>
      </c>
      <c r="D851">
        <v>2.452</v>
      </c>
      <c r="E851">
        <v>2.5680000000000001</v>
      </c>
      <c r="F851">
        <v>470515.47899999999</v>
      </c>
      <c r="G851">
        <v>0</v>
      </c>
      <c r="L851" t="s">
        <v>7</v>
      </c>
      <c r="M851" t="s">
        <v>8</v>
      </c>
      <c r="N851" t="s">
        <v>8</v>
      </c>
      <c r="P851">
        <f t="shared" si="1009"/>
        <v>0.41463414634146339</v>
      </c>
      <c r="Q851">
        <f t="shared" si="1010"/>
        <v>195091.78397560975</v>
      </c>
      <c r="R851">
        <f t="shared" si="1011"/>
        <v>3416344.1180908508</v>
      </c>
      <c r="S851">
        <f t="shared" si="1012"/>
        <v>34.163441180908507</v>
      </c>
      <c r="T851">
        <f t="shared" si="1013"/>
        <v>3.4163441180908506E-2</v>
      </c>
    </row>
    <row r="852" spans="1:20" x14ac:dyDescent="0.25">
      <c r="A852" s="5">
        <v>43741</v>
      </c>
      <c r="B852">
        <v>2.6040000000000001</v>
      </c>
      <c r="C852">
        <v>2.6749999999999998</v>
      </c>
      <c r="D852">
        <v>2.4830000000000001</v>
      </c>
      <c r="E852">
        <v>2.585</v>
      </c>
      <c r="F852">
        <v>693800.24199999997</v>
      </c>
      <c r="G852">
        <v>0</v>
      </c>
      <c r="L852" t="s">
        <v>8</v>
      </c>
      <c r="M852" t="s">
        <v>8</v>
      </c>
      <c r="N852" t="s">
        <v>8</v>
      </c>
      <c r="P852">
        <f t="shared" si="1009"/>
        <v>6.2500000000000139E-2</v>
      </c>
      <c r="Q852">
        <f t="shared" si="1010"/>
        <v>43362.515125000093</v>
      </c>
      <c r="R852">
        <f t="shared" si="1011"/>
        <v>3221252.3341152412</v>
      </c>
      <c r="S852">
        <f t="shared" si="1012"/>
        <v>32.212523341152412</v>
      </c>
      <c r="T852">
        <f t="shared" si="1013"/>
        <v>3.2212523341152412E-2</v>
      </c>
    </row>
    <row r="853" spans="1:20" x14ac:dyDescent="0.25">
      <c r="A853" s="5">
        <v>43740</v>
      </c>
      <c r="B853">
        <v>2.5329999999999999</v>
      </c>
      <c r="C853">
        <v>2.633</v>
      </c>
      <c r="D853">
        <v>2.4119999999999999</v>
      </c>
      <c r="E853">
        <v>2.601</v>
      </c>
      <c r="F853">
        <v>647874.85600000003</v>
      </c>
      <c r="G853">
        <v>0</v>
      </c>
      <c r="L853" t="s">
        <v>7</v>
      </c>
      <c r="M853" t="s">
        <v>8</v>
      </c>
      <c r="N853" t="s">
        <v>8</v>
      </c>
      <c r="P853">
        <f t="shared" si="1009"/>
        <v>0.71040723981900433</v>
      </c>
      <c r="Q853">
        <f t="shared" si="1010"/>
        <v>460254.98819909489</v>
      </c>
      <c r="R853">
        <f t="shared" si="1011"/>
        <v>3177889.8189902413</v>
      </c>
      <c r="S853">
        <f t="shared" si="1012"/>
        <v>31.778898189902414</v>
      </c>
      <c r="T853">
        <f t="shared" si="1013"/>
        <v>3.1778898189902413E-2</v>
      </c>
    </row>
    <row r="854" spans="1:20" x14ac:dyDescent="0.25">
      <c r="A854" s="5">
        <v>43739</v>
      </c>
      <c r="B854">
        <v>2.653</v>
      </c>
      <c r="C854">
        <v>2.661</v>
      </c>
      <c r="D854">
        <v>2.48</v>
      </c>
      <c r="E854">
        <v>2.5329999999999999</v>
      </c>
      <c r="F854">
        <v>878221.32499999995</v>
      </c>
      <c r="G854">
        <v>0</v>
      </c>
      <c r="L854" t="s">
        <v>7</v>
      </c>
      <c r="M854" t="s">
        <v>8</v>
      </c>
      <c r="N854" t="s">
        <v>8</v>
      </c>
      <c r="P854">
        <f t="shared" si="1009"/>
        <v>-0.41436464088397879</v>
      </c>
      <c r="Q854">
        <f t="shared" si="1010"/>
        <v>-363903.86395027698</v>
      </c>
      <c r="R854">
        <f t="shared" si="1011"/>
        <v>2717634.8307911465</v>
      </c>
      <c r="S854">
        <f t="shared" si="1012"/>
        <v>27.176348307911464</v>
      </c>
      <c r="T854">
        <f t="shared" si="1013"/>
        <v>2.7176348307911463E-2</v>
      </c>
    </row>
    <row r="855" spans="1:20" x14ac:dyDescent="0.25">
      <c r="A855" s="5">
        <v>43738</v>
      </c>
      <c r="B855">
        <v>2.1949999999999998</v>
      </c>
      <c r="C855">
        <v>2.6760000000000002</v>
      </c>
      <c r="D855">
        <v>2.1640000000000001</v>
      </c>
      <c r="E855">
        <v>2.653</v>
      </c>
      <c r="F855">
        <v>1365373.8870000001</v>
      </c>
      <c r="G855">
        <v>0</v>
      </c>
      <c r="L855" t="s">
        <v>8</v>
      </c>
      <c r="M855" t="s">
        <v>8</v>
      </c>
      <c r="N855" t="s">
        <v>8</v>
      </c>
      <c r="P855">
        <f t="shared" si="1009"/>
        <v>0.91015624999999944</v>
      </c>
      <c r="Q855">
        <f t="shared" si="1010"/>
        <v>1242703.5768398431</v>
      </c>
      <c r="R855">
        <f t="shared" si="1011"/>
        <v>3081538.6947414237</v>
      </c>
      <c r="S855">
        <f t="shared" si="1012"/>
        <v>30.815386947414236</v>
      </c>
      <c r="T855">
        <f t="shared" si="1013"/>
        <v>3.0815386947414238E-2</v>
      </c>
    </row>
    <row r="856" spans="1:20" x14ac:dyDescent="0.25">
      <c r="A856" s="5">
        <v>43737</v>
      </c>
      <c r="B856">
        <v>2.2730000000000001</v>
      </c>
      <c r="C856">
        <v>2.286</v>
      </c>
      <c r="D856">
        <v>2.0870000000000002</v>
      </c>
      <c r="E856">
        <v>2.1949999999999998</v>
      </c>
      <c r="F856">
        <v>391191.20600000001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8.5427135678389318E-2</v>
      </c>
      <c r="Q856">
        <f t="shared" si="1010"/>
        <v>33418.344231154748</v>
      </c>
      <c r="R856">
        <f t="shared" si="1011"/>
        <v>1838835.1179015806</v>
      </c>
      <c r="S856">
        <f t="shared" si="1012"/>
        <v>18.388351179015807</v>
      </c>
      <c r="T856">
        <f t="shared" si="1013"/>
        <v>1.8388351179015806E-2</v>
      </c>
    </row>
    <row r="857" spans="1:20" x14ac:dyDescent="0.25">
      <c r="A857" s="5">
        <v>43736</v>
      </c>
      <c r="B857">
        <v>2.2810000000000001</v>
      </c>
      <c r="C857">
        <v>2.3029999999999999</v>
      </c>
      <c r="D857">
        <v>2.1720000000000002</v>
      </c>
      <c r="E857">
        <v>2.2709999999999999</v>
      </c>
      <c r="F857">
        <v>435654.65899999999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0.51145038167938806</v>
      </c>
      <c r="Q857">
        <f t="shared" si="1010"/>
        <v>222815.74162595364</v>
      </c>
      <c r="R857">
        <f t="shared" si="1011"/>
        <v>1805416.7736704259</v>
      </c>
      <c r="S857">
        <f t="shared" si="1012"/>
        <v>18.054167736704258</v>
      </c>
      <c r="T857">
        <f t="shared" si="1013"/>
        <v>1.805416773670426E-2</v>
      </c>
    </row>
    <row r="858" spans="1:20" x14ac:dyDescent="0.25">
      <c r="A858" s="5">
        <v>43735</v>
      </c>
      <c r="B858">
        <v>2.214</v>
      </c>
      <c r="C858">
        <v>2.294</v>
      </c>
      <c r="D858">
        <v>2.1419999999999999</v>
      </c>
      <c r="E858">
        <v>2.2759999999999998</v>
      </c>
      <c r="F858">
        <v>508818.09899999999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0.76315789473683915</v>
      </c>
      <c r="Q858">
        <f t="shared" si="1010"/>
        <v>388308.54923684057</v>
      </c>
      <c r="R858">
        <f t="shared" si="1011"/>
        <v>1582601.0320444722</v>
      </c>
      <c r="S858">
        <f t="shared" si="1012"/>
        <v>15.826010320444722</v>
      </c>
      <c r="T858">
        <f t="shared" si="1013"/>
        <v>1.5826010320444721E-2</v>
      </c>
    </row>
    <row r="859" spans="1:20" x14ac:dyDescent="0.25">
      <c r="A859" s="5">
        <v>43734</v>
      </c>
      <c r="B859">
        <v>2.282</v>
      </c>
      <c r="C859">
        <v>2.3479999999999999</v>
      </c>
      <c r="D859">
        <v>2.0459999999999998</v>
      </c>
      <c r="E859">
        <v>2.214</v>
      </c>
      <c r="F859">
        <v>1004503.504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0.11258278145695447</v>
      </c>
      <c r="Q859">
        <f t="shared" si="1010"/>
        <v>113089.79846357698</v>
      </c>
      <c r="R859">
        <f t="shared" si="1011"/>
        <v>1194292.4828076316</v>
      </c>
      <c r="S859">
        <f t="shared" si="1012"/>
        <v>11.942924828076317</v>
      </c>
      <c r="T859">
        <f t="shared" si="1013"/>
        <v>1.1942924828076316E-2</v>
      </c>
    </row>
    <row r="860" spans="1:20" x14ac:dyDescent="0.25">
      <c r="A860" s="5">
        <v>43733</v>
      </c>
      <c r="B860">
        <v>2.2149999999999999</v>
      </c>
      <c r="C860">
        <v>2.4220000000000002</v>
      </c>
      <c r="D860">
        <v>2.1219999999999999</v>
      </c>
      <c r="E860">
        <v>2.2810000000000001</v>
      </c>
      <c r="F860">
        <v>1182299.4040000001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6.000000000000074E-2</v>
      </c>
      <c r="Q860">
        <f t="shared" si="1010"/>
        <v>70937.964240000874</v>
      </c>
      <c r="R860">
        <f t="shared" si="1011"/>
        <v>1081202.6843440547</v>
      </c>
      <c r="S860">
        <f t="shared" si="1012"/>
        <v>10.812026843440547</v>
      </c>
      <c r="T860">
        <f t="shared" si="1013"/>
        <v>1.0812026843440547E-2</v>
      </c>
    </row>
    <row r="861" spans="1:20" x14ac:dyDescent="0.25">
      <c r="A861" s="5">
        <v>43732</v>
      </c>
      <c r="B861">
        <v>2.5649999999999999</v>
      </c>
      <c r="C861">
        <v>2.6640000000000001</v>
      </c>
      <c r="D861">
        <v>1.93</v>
      </c>
      <c r="E861">
        <v>2.2200000000000002</v>
      </c>
      <c r="F861">
        <v>1427400.112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-0.20980926430517663</v>
      </c>
      <c r="Q861">
        <f t="shared" si="1010"/>
        <v>-299481.76736784674</v>
      </c>
      <c r="R861">
        <f t="shared" si="1011"/>
        <v>1010264.7201040538</v>
      </c>
      <c r="S861">
        <f t="shared" si="1012"/>
        <v>10.102647201040538</v>
      </c>
      <c r="T861">
        <f t="shared" si="1013"/>
        <v>1.0102647201040538E-2</v>
      </c>
    </row>
    <row r="862" spans="1:20" x14ac:dyDescent="0.25">
      <c r="A862" s="5">
        <v>43731</v>
      </c>
      <c r="B862">
        <v>2.9009999999999998</v>
      </c>
      <c r="C862">
        <v>2.91</v>
      </c>
      <c r="D862">
        <v>2.5649999999999999</v>
      </c>
      <c r="E862">
        <v>2.5649999999999999</v>
      </c>
      <c r="F862">
        <v>734629.07700000005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-1</v>
      </c>
      <c r="Q862">
        <f t="shared" si="1010"/>
        <v>-734629.07700000005</v>
      </c>
      <c r="R862">
        <f t="shared" si="1011"/>
        <v>1309746.4874719006</v>
      </c>
      <c r="S862">
        <f t="shared" si="1012"/>
        <v>13.097464874719007</v>
      </c>
      <c r="T862">
        <f t="shared" si="1013"/>
        <v>1.3097464874719007E-2</v>
      </c>
    </row>
    <row r="863" spans="1:20" x14ac:dyDescent="0.25">
      <c r="A863" s="5">
        <v>43730</v>
      </c>
      <c r="B863">
        <v>3.0710000000000002</v>
      </c>
      <c r="C863">
        <v>3.0720000000000001</v>
      </c>
      <c r="D863">
        <v>2.75</v>
      </c>
      <c r="E863">
        <v>2.911</v>
      </c>
      <c r="F863">
        <v>992622.27399999998</v>
      </c>
      <c r="G863">
        <v>0</v>
      </c>
      <c r="L863" t="s">
        <v>7</v>
      </c>
      <c r="M863" t="s">
        <v>7</v>
      </c>
      <c r="N863" t="s">
        <v>8</v>
      </c>
      <c r="P863">
        <f t="shared" si="1009"/>
        <v>0</v>
      </c>
      <c r="Q863">
        <f t="shared" si="1010"/>
        <v>0</v>
      </c>
      <c r="R863">
        <f t="shared" si="1011"/>
        <v>2044375.5644719007</v>
      </c>
      <c r="S863">
        <f t="shared" si="1012"/>
        <v>20.443755644719008</v>
      </c>
      <c r="T863">
        <f t="shared" si="1013"/>
        <v>2.0443755644719008E-2</v>
      </c>
    </row>
    <row r="864" spans="1:20" x14ac:dyDescent="0.25">
      <c r="A864" s="5">
        <v>43729</v>
      </c>
      <c r="B864">
        <v>3.19</v>
      </c>
      <c r="C864">
        <v>3.294</v>
      </c>
      <c r="D864">
        <v>3.0150000000000001</v>
      </c>
      <c r="E864">
        <v>3.0649999999999999</v>
      </c>
      <c r="F864">
        <v>545915.59400000004</v>
      </c>
      <c r="G864">
        <v>0</v>
      </c>
      <c r="L864" t="s">
        <v>8</v>
      </c>
      <c r="M864" t="s">
        <v>7</v>
      </c>
      <c r="N864" t="s">
        <v>8</v>
      </c>
      <c r="P864">
        <f t="shared" si="1009"/>
        <v>-0.64157706093190081</v>
      </c>
      <c r="Q864">
        <f t="shared" si="1010"/>
        <v>-350246.92231541284</v>
      </c>
      <c r="R864">
        <f t="shared" si="1011"/>
        <v>2044375.5644719007</v>
      </c>
      <c r="S864">
        <f t="shared" si="1012"/>
        <v>20.443755644719008</v>
      </c>
      <c r="T864">
        <f t="shared" si="1013"/>
        <v>2.0443755644719008E-2</v>
      </c>
    </row>
    <row r="865" spans="1:20" x14ac:dyDescent="0.25">
      <c r="A865" s="5">
        <v>43728</v>
      </c>
      <c r="B865">
        <v>3.1280000000000001</v>
      </c>
      <c r="C865">
        <v>3.254</v>
      </c>
      <c r="D865">
        <v>3.048</v>
      </c>
      <c r="E865">
        <v>3.1909999999999998</v>
      </c>
      <c r="F865">
        <v>568572.73899999994</v>
      </c>
      <c r="G865">
        <v>0</v>
      </c>
      <c r="L865" t="s">
        <v>8</v>
      </c>
      <c r="M865" t="s">
        <v>7</v>
      </c>
      <c r="N865" t="s">
        <v>8</v>
      </c>
      <c r="P865">
        <f t="shared" si="1009"/>
        <v>0.38834951456310507</v>
      </c>
      <c r="Q865">
        <f t="shared" si="1010"/>
        <v>220804.94718446501</v>
      </c>
      <c r="R865">
        <f t="shared" si="1011"/>
        <v>2394622.4867873136</v>
      </c>
      <c r="S865">
        <f t="shared" si="1012"/>
        <v>23.946224867873134</v>
      </c>
      <c r="T865">
        <f t="shared" si="1013"/>
        <v>2.3946224867873133E-2</v>
      </c>
    </row>
    <row r="866" spans="1:20" x14ac:dyDescent="0.25">
      <c r="A866" s="5">
        <v>43727</v>
      </c>
      <c r="B866">
        <v>3.2890000000000001</v>
      </c>
      <c r="C866">
        <v>3.2909999999999999</v>
      </c>
      <c r="D866">
        <v>2.9169999999999998</v>
      </c>
      <c r="E866">
        <v>3.1280000000000001</v>
      </c>
      <c r="F866">
        <v>1165356.189</v>
      </c>
      <c r="G866">
        <v>0</v>
      </c>
      <c r="L866" t="s">
        <v>7</v>
      </c>
      <c r="M866" t="s">
        <v>7</v>
      </c>
      <c r="N866" t="s">
        <v>8</v>
      </c>
      <c r="P866">
        <f t="shared" si="1009"/>
        <v>0.12834224598930608</v>
      </c>
      <c r="Q866">
        <f t="shared" si="1010"/>
        <v>149564.43067379826</v>
      </c>
      <c r="R866">
        <f t="shared" si="1011"/>
        <v>2173817.5396028487</v>
      </c>
      <c r="S866">
        <f t="shared" si="1012"/>
        <v>21.738175396028488</v>
      </c>
      <c r="T866">
        <f t="shared" si="1013"/>
        <v>2.173817539602849E-2</v>
      </c>
    </row>
    <row r="867" spans="1:20" x14ac:dyDescent="0.25">
      <c r="A867" s="5">
        <v>43726</v>
      </c>
      <c r="B867">
        <v>3.2879999999999998</v>
      </c>
      <c r="C867">
        <v>3.4</v>
      </c>
      <c r="D867">
        <v>3.2330000000000001</v>
      </c>
      <c r="E867">
        <v>3.2890000000000001</v>
      </c>
      <c r="F867">
        <v>710355.46299999999</v>
      </c>
      <c r="G867">
        <v>0</v>
      </c>
      <c r="L867" t="s">
        <v>8</v>
      </c>
      <c r="M867" t="s">
        <v>8</v>
      </c>
      <c r="N867" t="s">
        <v>8</v>
      </c>
      <c r="P867">
        <f t="shared" si="1009"/>
        <v>-0.32934131736526812</v>
      </c>
      <c r="Q867">
        <f t="shared" si="1010"/>
        <v>-233949.40398203497</v>
      </c>
      <c r="R867">
        <f t="shared" si="1011"/>
        <v>2024253.1089290506</v>
      </c>
      <c r="S867">
        <f t="shared" si="1012"/>
        <v>20.242531089290505</v>
      </c>
      <c r="T867">
        <f t="shared" si="1013"/>
        <v>2.0242531089290507E-2</v>
      </c>
    </row>
    <row r="868" spans="1:20" x14ac:dyDescent="0.25">
      <c r="A868" s="5">
        <v>43725</v>
      </c>
      <c r="B868">
        <v>3.3290000000000002</v>
      </c>
      <c r="C868">
        <v>3.45</v>
      </c>
      <c r="D868">
        <v>3.1880000000000002</v>
      </c>
      <c r="E868">
        <v>3.29</v>
      </c>
      <c r="F868">
        <v>1000708.836</v>
      </c>
      <c r="G868">
        <v>0</v>
      </c>
      <c r="L868" t="s">
        <v>8</v>
      </c>
      <c r="M868" t="s">
        <v>8</v>
      </c>
      <c r="N868" t="s">
        <v>8</v>
      </c>
      <c r="P868">
        <f t="shared" si="1009"/>
        <v>-0.22137404580152775</v>
      </c>
      <c r="Q868">
        <f t="shared" si="1010"/>
        <v>-221530.96369465752</v>
      </c>
      <c r="R868">
        <f t="shared" si="1011"/>
        <v>2258202.5129110855</v>
      </c>
      <c r="S868">
        <f t="shared" si="1012"/>
        <v>22.582025129110853</v>
      </c>
      <c r="T868">
        <f t="shared" si="1013"/>
        <v>2.2582025129110853E-2</v>
      </c>
    </row>
    <row r="869" spans="1:20" x14ac:dyDescent="0.25">
      <c r="A869" s="5">
        <v>43724</v>
      </c>
      <c r="B869">
        <v>3.43</v>
      </c>
      <c r="C869">
        <v>3.5640000000000001</v>
      </c>
      <c r="D869">
        <v>3.1469999999999998</v>
      </c>
      <c r="E869">
        <v>3.3290000000000002</v>
      </c>
      <c r="F869">
        <v>1479502.044</v>
      </c>
      <c r="G869">
        <v>0</v>
      </c>
      <c r="L869" t="s">
        <v>7</v>
      </c>
      <c r="M869" t="s">
        <v>8</v>
      </c>
      <c r="N869" t="s">
        <v>8</v>
      </c>
      <c r="P869">
        <f t="shared" si="1009"/>
        <v>-0.12709832134292437</v>
      </c>
      <c r="Q869">
        <f t="shared" si="1010"/>
        <v>-188042.22621582542</v>
      </c>
      <c r="R869">
        <f t="shared" si="1011"/>
        <v>2479733.4766057432</v>
      </c>
      <c r="S869">
        <f t="shared" si="1012"/>
        <v>24.797334766057432</v>
      </c>
      <c r="T869">
        <f t="shared" si="1013"/>
        <v>2.4797334766057434E-2</v>
      </c>
    </row>
    <row r="870" spans="1:20" x14ac:dyDescent="0.25">
      <c r="A870" s="5">
        <v>43723</v>
      </c>
      <c r="B870">
        <v>3.1030000000000002</v>
      </c>
      <c r="C870">
        <v>3.5649999999999999</v>
      </c>
      <c r="D870">
        <v>3.0960000000000001</v>
      </c>
      <c r="E870">
        <v>3.4329999999999998</v>
      </c>
      <c r="F870">
        <v>1237806.449</v>
      </c>
      <c r="G870">
        <v>0</v>
      </c>
      <c r="L870" t="s">
        <v>8</v>
      </c>
      <c r="M870" t="s">
        <v>8</v>
      </c>
      <c r="N870" t="s">
        <v>8</v>
      </c>
      <c r="P870">
        <f t="shared" si="1009"/>
        <v>0.43710021321961556</v>
      </c>
      <c r="Q870">
        <f t="shared" si="1010"/>
        <v>541045.46278251521</v>
      </c>
      <c r="R870">
        <f t="shared" si="1011"/>
        <v>2667775.7028215686</v>
      </c>
      <c r="S870">
        <f t="shared" si="1012"/>
        <v>26.677757028215687</v>
      </c>
      <c r="T870">
        <f t="shared" si="1013"/>
        <v>2.6677757028215687E-2</v>
      </c>
    </row>
    <row r="871" spans="1:20" x14ac:dyDescent="0.25">
      <c r="A871" s="5">
        <v>43722</v>
      </c>
      <c r="B871">
        <v>3.1709999999999998</v>
      </c>
      <c r="C871">
        <v>3.24</v>
      </c>
      <c r="D871">
        <v>2.9790000000000001</v>
      </c>
      <c r="E871">
        <v>3.1030000000000002</v>
      </c>
      <c r="F871">
        <v>877189.78</v>
      </c>
      <c r="G871">
        <v>0</v>
      </c>
      <c r="L871" t="s">
        <v>7</v>
      </c>
      <c r="M871" t="s">
        <v>8</v>
      </c>
      <c r="N871" t="s">
        <v>8</v>
      </c>
      <c r="P871">
        <f t="shared" si="1009"/>
        <v>-4.9808429118773541E-2</v>
      </c>
      <c r="Q871">
        <f t="shared" si="1010"/>
        <v>-43691.444980842556</v>
      </c>
      <c r="R871">
        <f t="shared" si="1011"/>
        <v>2126730.2400390534</v>
      </c>
      <c r="S871">
        <f t="shared" si="1012"/>
        <v>21.267302400390534</v>
      </c>
      <c r="T871">
        <f t="shared" si="1013"/>
        <v>2.1267302400390535E-2</v>
      </c>
    </row>
    <row r="872" spans="1:20" x14ac:dyDescent="0.25">
      <c r="A872" s="5">
        <v>43721</v>
      </c>
      <c r="B872">
        <v>3.0779999999999998</v>
      </c>
      <c r="C872">
        <v>3.3010000000000002</v>
      </c>
      <c r="D872">
        <v>2.9849999999999999</v>
      </c>
      <c r="E872">
        <v>3.1709999999999998</v>
      </c>
      <c r="F872">
        <v>1757007.8470000001</v>
      </c>
      <c r="G872">
        <v>0</v>
      </c>
      <c r="L872" t="s">
        <v>8</v>
      </c>
      <c r="M872" t="s">
        <v>8</v>
      </c>
      <c r="N872" t="s">
        <v>8</v>
      </c>
      <c r="P872">
        <f t="shared" si="1009"/>
        <v>0.17721518987341631</v>
      </c>
      <c r="Q872">
        <f t="shared" si="1010"/>
        <v>311368.47921518743</v>
      </c>
      <c r="R872">
        <f t="shared" si="1011"/>
        <v>2170421.6850198959</v>
      </c>
      <c r="S872">
        <f t="shared" si="1012"/>
        <v>21.704216850198961</v>
      </c>
      <c r="T872">
        <f t="shared" si="1013"/>
        <v>2.1704216850198962E-2</v>
      </c>
    </row>
    <row r="873" spans="1:20" x14ac:dyDescent="0.25">
      <c r="A873" s="5">
        <v>43720</v>
      </c>
      <c r="B873">
        <v>2.5750000000000002</v>
      </c>
      <c r="C873">
        <v>3.2090000000000001</v>
      </c>
      <c r="D873">
        <v>2.4980000000000002</v>
      </c>
      <c r="E873">
        <v>3.069</v>
      </c>
      <c r="F873">
        <v>2170480.7039999999</v>
      </c>
      <c r="G873">
        <v>0</v>
      </c>
      <c r="L873" t="s">
        <v>8</v>
      </c>
      <c r="M873" t="s">
        <v>8</v>
      </c>
      <c r="N873" t="s">
        <v>8</v>
      </c>
      <c r="P873">
        <f t="shared" si="1009"/>
        <v>0.60618846694796014</v>
      </c>
      <c r="Q873">
        <f t="shared" si="1010"/>
        <v>1315720.3704978891</v>
      </c>
      <c r="R873">
        <f t="shared" si="1011"/>
        <v>1859053.2058047084</v>
      </c>
      <c r="S873">
        <f t="shared" si="1012"/>
        <v>18.590532058047085</v>
      </c>
      <c r="T873">
        <f t="shared" si="1013"/>
        <v>1.8590532058047084E-2</v>
      </c>
    </row>
    <row r="874" spans="1:20" x14ac:dyDescent="0.25">
      <c r="A874" s="5">
        <v>43719</v>
      </c>
      <c r="B874">
        <v>2.581</v>
      </c>
      <c r="C874">
        <v>2.7080000000000002</v>
      </c>
      <c r="D874">
        <v>2.3959999999999999</v>
      </c>
      <c r="E874">
        <v>2.5649999999999999</v>
      </c>
      <c r="F874">
        <v>778901.53399999999</v>
      </c>
      <c r="G874">
        <v>0</v>
      </c>
      <c r="L874" t="s">
        <v>7</v>
      </c>
      <c r="M874" t="s">
        <v>7</v>
      </c>
      <c r="N874" t="s">
        <v>8</v>
      </c>
      <c r="P874">
        <f t="shared" si="1009"/>
        <v>8.3333333333332621E-2</v>
      </c>
      <c r="Q874">
        <f t="shared" si="1010"/>
        <v>64908.461166666108</v>
      </c>
      <c r="R874">
        <f t="shared" si="1011"/>
        <v>543332.83530681941</v>
      </c>
      <c r="S874">
        <f t="shared" si="1012"/>
        <v>5.4333283530681937</v>
      </c>
      <c r="T874">
        <f t="shared" si="1013"/>
        <v>5.4333283530681939E-3</v>
      </c>
    </row>
    <row r="875" spans="1:20" x14ac:dyDescent="0.25">
      <c r="A875" s="5">
        <v>43718</v>
      </c>
      <c r="B875">
        <v>2.7349999999999999</v>
      </c>
      <c r="C875">
        <v>2.95</v>
      </c>
      <c r="D875">
        <v>2.4969999999999999</v>
      </c>
      <c r="E875">
        <v>2.5840000000000001</v>
      </c>
      <c r="F875">
        <v>1160254.3659999999</v>
      </c>
      <c r="G875">
        <v>0</v>
      </c>
      <c r="L875" t="s">
        <v>8</v>
      </c>
      <c r="M875" t="s">
        <v>8</v>
      </c>
      <c r="N875" t="s">
        <v>8</v>
      </c>
      <c r="P875">
        <f t="shared" si="1009"/>
        <v>-0.61589403973509871</v>
      </c>
      <c r="Q875">
        <f t="shared" si="1010"/>
        <v>-714593.74859602575</v>
      </c>
      <c r="R875">
        <f t="shared" si="1011"/>
        <v>478424.37414015329</v>
      </c>
      <c r="S875">
        <f t="shared" si="1012"/>
        <v>4.7842437414015331</v>
      </c>
      <c r="T875">
        <f t="shared" si="1013"/>
        <v>4.7842437414015327E-3</v>
      </c>
    </row>
    <row r="876" spans="1:20" x14ac:dyDescent="0.25">
      <c r="A876" s="5">
        <v>43717</v>
      </c>
      <c r="B876">
        <v>2.722</v>
      </c>
      <c r="C876">
        <v>2.96</v>
      </c>
      <c r="D876">
        <v>2.4289999999999998</v>
      </c>
      <c r="E876">
        <v>2.7360000000000002</v>
      </c>
      <c r="F876">
        <v>2142025.0959999999</v>
      </c>
      <c r="G876">
        <v>0</v>
      </c>
      <c r="L876" t="s">
        <v>7</v>
      </c>
      <c r="M876" t="s">
        <v>7</v>
      </c>
      <c r="N876" t="s">
        <v>8</v>
      </c>
      <c r="P876">
        <f t="shared" si="1009"/>
        <v>0.15630885122410659</v>
      </c>
      <c r="Q876">
        <f t="shared" si="1010"/>
        <v>334817.48204896663</v>
      </c>
      <c r="R876">
        <f t="shared" si="1011"/>
        <v>1193018.122736179</v>
      </c>
      <c r="S876">
        <f t="shared" si="1012"/>
        <v>11.930181227361791</v>
      </c>
      <c r="T876">
        <f t="shared" si="1013"/>
        <v>1.1930181227361791E-2</v>
      </c>
    </row>
    <row r="877" spans="1:20" x14ac:dyDescent="0.25">
      <c r="A877" s="5">
        <v>43716</v>
      </c>
      <c r="B877">
        <v>2.1619999999999999</v>
      </c>
      <c r="C877">
        <v>2.9430000000000001</v>
      </c>
      <c r="D877">
        <v>2.1520000000000001</v>
      </c>
      <c r="E877">
        <v>2.7269999999999999</v>
      </c>
      <c r="F877">
        <v>1666774.301</v>
      </c>
      <c r="G877">
        <v>0</v>
      </c>
      <c r="L877" t="s">
        <v>8</v>
      </c>
      <c r="M877" t="s">
        <v>8</v>
      </c>
      <c r="N877" t="s">
        <v>8</v>
      </c>
      <c r="P877">
        <f t="shared" si="1009"/>
        <v>0.45385587863463916</v>
      </c>
      <c r="Q877">
        <f t="shared" si="1010"/>
        <v>756475.31486599147</v>
      </c>
      <c r="R877">
        <f t="shared" si="1011"/>
        <v>858200.64068721246</v>
      </c>
      <c r="S877">
        <f t="shared" si="1012"/>
        <v>8.5820064068721251</v>
      </c>
      <c r="T877">
        <f t="shared" si="1013"/>
        <v>8.5820064068721259E-3</v>
      </c>
    </row>
    <row r="878" spans="1:20" x14ac:dyDescent="0.25">
      <c r="A878" s="5">
        <v>43715</v>
      </c>
      <c r="B878">
        <v>2.032</v>
      </c>
      <c r="C878">
        <v>2.2839999999999998</v>
      </c>
      <c r="D878">
        <v>2.0270000000000001</v>
      </c>
      <c r="E878">
        <v>2.16</v>
      </c>
      <c r="F878">
        <v>817654.424</v>
      </c>
      <c r="G878">
        <v>0</v>
      </c>
      <c r="L878" t="s">
        <v>8</v>
      </c>
      <c r="M878" t="s">
        <v>8</v>
      </c>
      <c r="N878" t="s">
        <v>7</v>
      </c>
      <c r="P878">
        <f t="shared" si="1009"/>
        <v>3.5019455252919662E-2</v>
      </c>
      <c r="Q878">
        <f t="shared" si="1010"/>
        <v>28633.8125136198</v>
      </c>
      <c r="R878">
        <f t="shared" si="1011"/>
        <v>101725.32582122096</v>
      </c>
      <c r="S878">
        <f t="shared" si="1012"/>
        <v>1.0172532582122096</v>
      </c>
      <c r="T878">
        <f t="shared" si="1013"/>
        <v>1.0172532582122095E-3</v>
      </c>
    </row>
    <row r="879" spans="1:20" x14ac:dyDescent="0.25">
      <c r="A879" s="5">
        <v>43714</v>
      </c>
      <c r="B879">
        <v>1.944</v>
      </c>
      <c r="C879">
        <v>2.2490000000000001</v>
      </c>
      <c r="D879">
        <v>1.944</v>
      </c>
      <c r="E879">
        <v>2.0350000000000001</v>
      </c>
      <c r="F879">
        <v>951631.26399999997</v>
      </c>
      <c r="G879">
        <v>0</v>
      </c>
      <c r="L879" t="s">
        <v>8</v>
      </c>
      <c r="M879" t="s">
        <v>8</v>
      </c>
      <c r="N879" t="s">
        <v>7</v>
      </c>
      <c r="P879">
        <f t="shared" si="1009"/>
        <v>-0.4032786885245892</v>
      </c>
      <c r="Q879">
        <f t="shared" si="1010"/>
        <v>-383772.6081049171</v>
      </c>
      <c r="R879">
        <f t="shared" si="1011"/>
        <v>73091.513307601155</v>
      </c>
      <c r="S879">
        <f t="shared" si="1012"/>
        <v>0.73091513307601153</v>
      </c>
      <c r="T879">
        <f t="shared" si="1013"/>
        <v>7.3091513307601153E-4</v>
      </c>
    </row>
    <row r="880" spans="1:20" x14ac:dyDescent="0.25">
      <c r="A880" s="5">
        <v>43713</v>
      </c>
      <c r="B880">
        <v>2.0409999999999999</v>
      </c>
      <c r="C880">
        <v>2.0409999999999999</v>
      </c>
      <c r="D880">
        <v>1.83</v>
      </c>
      <c r="E880">
        <v>1.944</v>
      </c>
      <c r="F880">
        <v>669121.41500000004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8.0568720379146516E-2</v>
      </c>
      <c r="Q880">
        <f t="shared" si="1010"/>
        <v>53910.256184833859</v>
      </c>
      <c r="R880">
        <f t="shared" si="1011"/>
        <v>456864.12141251826</v>
      </c>
      <c r="S880">
        <f t="shared" si="1012"/>
        <v>4.5686412141251829</v>
      </c>
      <c r="T880">
        <f t="shared" si="1013"/>
        <v>4.5686412141251829E-3</v>
      </c>
    </row>
    <row r="881" spans="1:20" x14ac:dyDescent="0.25">
      <c r="A881" s="5">
        <v>43712</v>
      </c>
      <c r="B881">
        <v>2.149</v>
      </c>
      <c r="C881">
        <v>2.149</v>
      </c>
      <c r="D881">
        <v>2.0049999999999999</v>
      </c>
      <c r="E881">
        <v>2.0369999999999999</v>
      </c>
      <c r="F881">
        <v>322310.47600000002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-0.55555555555555558</v>
      </c>
      <c r="Q881">
        <f t="shared" si="1010"/>
        <v>-179061.37555555557</v>
      </c>
      <c r="R881">
        <f t="shared" si="1011"/>
        <v>402953.86522768438</v>
      </c>
      <c r="S881">
        <f t="shared" si="1012"/>
        <v>4.0295386522768437</v>
      </c>
      <c r="T881">
        <f t="shared" si="1013"/>
        <v>4.0295386522768437E-3</v>
      </c>
    </row>
    <row r="882" spans="1:20" x14ac:dyDescent="0.25">
      <c r="A882" s="5">
        <v>43711</v>
      </c>
      <c r="B882">
        <v>2.1219999999999999</v>
      </c>
      <c r="C882">
        <v>2.222</v>
      </c>
      <c r="D882">
        <v>2.12</v>
      </c>
      <c r="E882">
        <v>2.1560000000000001</v>
      </c>
      <c r="F882">
        <v>321033.16399999999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-0.29411764705882198</v>
      </c>
      <c r="Q882">
        <f t="shared" si="1010"/>
        <v>-94421.51882352891</v>
      </c>
      <c r="R882">
        <f t="shared" si="1011"/>
        <v>582015.24078323995</v>
      </c>
      <c r="S882">
        <f t="shared" si="1012"/>
        <v>5.8201524078323992</v>
      </c>
      <c r="T882">
        <f t="shared" si="1013"/>
        <v>5.8201524078323992E-3</v>
      </c>
    </row>
    <row r="883" spans="1:20" x14ac:dyDescent="0.25">
      <c r="A883" s="5">
        <v>43710</v>
      </c>
      <c r="B883">
        <v>2.1230000000000002</v>
      </c>
      <c r="C883">
        <v>2.1739999999999999</v>
      </c>
      <c r="D883">
        <v>2.06</v>
      </c>
      <c r="E883">
        <v>2.1219999999999999</v>
      </c>
      <c r="F883">
        <v>420123.79399999999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8.7719298245612254E-2</v>
      </c>
      <c r="Q883">
        <f t="shared" si="1010"/>
        <v>36852.964385964166</v>
      </c>
      <c r="R883">
        <f t="shared" si="1011"/>
        <v>676436.75960676884</v>
      </c>
      <c r="S883">
        <f t="shared" si="1012"/>
        <v>6.7643675960676886</v>
      </c>
      <c r="T883">
        <f t="shared" si="1013"/>
        <v>6.7643675960676886E-3</v>
      </c>
    </row>
    <row r="884" spans="1:20" x14ac:dyDescent="0.25">
      <c r="A884" s="5">
        <v>43709</v>
      </c>
      <c r="B884">
        <v>2.0179999999999998</v>
      </c>
      <c r="C884">
        <v>2.2389999999999999</v>
      </c>
      <c r="D884">
        <v>2.0019999999999998</v>
      </c>
      <c r="E884">
        <v>2.129</v>
      </c>
      <c r="F884">
        <v>600314.67500000005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7.1729957805908615E-2</v>
      </c>
      <c r="Q884">
        <f t="shared" si="1010"/>
        <v>43060.546308017743</v>
      </c>
      <c r="R884">
        <f t="shared" si="1011"/>
        <v>639583.79522080463</v>
      </c>
      <c r="S884">
        <f t="shared" si="1012"/>
        <v>6.395837952208046</v>
      </c>
      <c r="T884">
        <f t="shared" si="1013"/>
        <v>6.3958379522080456E-3</v>
      </c>
    </row>
    <row r="885" spans="1:20" x14ac:dyDescent="0.25">
      <c r="A885" s="5">
        <v>43708</v>
      </c>
      <c r="B885">
        <v>2.1520000000000001</v>
      </c>
      <c r="C885">
        <v>2.161</v>
      </c>
      <c r="D885">
        <v>1.978</v>
      </c>
      <c r="E885">
        <v>2.0169999999999999</v>
      </c>
      <c r="F885">
        <v>705224.73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-0.57377049180327966</v>
      </c>
      <c r="Q885">
        <f t="shared" si="1010"/>
        <v>-404637.14016393508</v>
      </c>
      <c r="R885">
        <f t="shared" si="1011"/>
        <v>596523.24891278683</v>
      </c>
      <c r="S885">
        <f t="shared" si="1012"/>
        <v>5.9652324891278683</v>
      </c>
      <c r="T885">
        <f t="shared" si="1013"/>
        <v>5.9652324891278684E-3</v>
      </c>
    </row>
    <row r="886" spans="1:20" x14ac:dyDescent="0.25">
      <c r="A886" s="5">
        <v>43707</v>
      </c>
      <c r="B886">
        <v>2.16</v>
      </c>
      <c r="C886">
        <v>2.23</v>
      </c>
      <c r="D886">
        <v>2.0859999999999999</v>
      </c>
      <c r="E886">
        <v>2.153</v>
      </c>
      <c r="F886">
        <v>324275.44300000003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-6.9444444444442907E-2</v>
      </c>
      <c r="Q886">
        <f t="shared" si="1010"/>
        <v>-22519.127986110616</v>
      </c>
      <c r="R886">
        <f t="shared" si="1011"/>
        <v>1001160.389076722</v>
      </c>
      <c r="S886">
        <f t="shared" si="1012"/>
        <v>10.011603890767219</v>
      </c>
      <c r="T886">
        <f t="shared" si="1013"/>
        <v>1.001160389076722E-2</v>
      </c>
    </row>
    <row r="887" spans="1:20" x14ac:dyDescent="0.25">
      <c r="A887" s="5">
        <v>43706</v>
      </c>
      <c r="B887">
        <v>2.3260000000000001</v>
      </c>
      <c r="C887">
        <v>2.3330000000000002</v>
      </c>
      <c r="D887">
        <v>2.137</v>
      </c>
      <c r="E887">
        <v>2.161</v>
      </c>
      <c r="F887">
        <v>613059.03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-0.75510204081632648</v>
      </c>
      <c r="Q887">
        <f t="shared" si="1010"/>
        <v>-462922.12469387753</v>
      </c>
      <c r="R887">
        <f t="shared" si="1011"/>
        <v>1023679.5170628326</v>
      </c>
      <c r="S887">
        <f t="shared" si="1012"/>
        <v>10.236795170628326</v>
      </c>
      <c r="T887">
        <f t="shared" si="1013"/>
        <v>1.0236795170628326E-2</v>
      </c>
    </row>
    <row r="888" spans="1:20" x14ac:dyDescent="0.25">
      <c r="A888" s="5">
        <v>43705</v>
      </c>
      <c r="B888">
        <v>2.5680000000000001</v>
      </c>
      <c r="C888">
        <v>2.617</v>
      </c>
      <c r="D888">
        <v>2.3130000000000002</v>
      </c>
      <c r="E888">
        <v>2.3220000000000001</v>
      </c>
      <c r="F888">
        <v>632663.23199999996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-0.94078947368421117</v>
      </c>
      <c r="Q888">
        <f t="shared" si="1010"/>
        <v>-595202.90905263193</v>
      </c>
      <c r="R888">
        <f t="shared" si="1011"/>
        <v>1486601.6417567101</v>
      </c>
      <c r="S888">
        <f t="shared" si="1012"/>
        <v>14.866016417567101</v>
      </c>
      <c r="T888">
        <f t="shared" si="1013"/>
        <v>1.4866016417567102E-2</v>
      </c>
    </row>
    <row r="889" spans="1:20" x14ac:dyDescent="0.25">
      <c r="A889" s="5">
        <v>43704</v>
      </c>
      <c r="B889">
        <v>2.6219999999999999</v>
      </c>
      <c r="C889">
        <v>2.6419999999999999</v>
      </c>
      <c r="D889">
        <v>2.5</v>
      </c>
      <c r="E889">
        <v>2.5670000000000002</v>
      </c>
      <c r="F889">
        <v>201099.81299999999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-5.6338028169011047E-2</v>
      </c>
      <c r="Q889">
        <f t="shared" si="1010"/>
        <v>-11329.566929576853</v>
      </c>
      <c r="R889">
        <f t="shared" si="1011"/>
        <v>2081804.5508093419</v>
      </c>
      <c r="S889">
        <f t="shared" si="1012"/>
        <v>20.818045508093419</v>
      </c>
      <c r="T889">
        <f t="shared" si="1013"/>
        <v>2.0818045508093418E-2</v>
      </c>
    </row>
    <row r="890" spans="1:20" x14ac:dyDescent="0.25">
      <c r="A890" s="5">
        <v>43703</v>
      </c>
      <c r="B890">
        <v>2.62</v>
      </c>
      <c r="C890">
        <v>2.7010000000000001</v>
      </c>
      <c r="D890">
        <v>2.5859999999999999</v>
      </c>
      <c r="E890">
        <v>2.6160000000000001</v>
      </c>
      <c r="F890">
        <v>158808.88200000001</v>
      </c>
      <c r="G890">
        <v>0</v>
      </c>
      <c r="L890" t="s">
        <v>7</v>
      </c>
      <c r="M890" t="s">
        <v>7</v>
      </c>
      <c r="N890" t="s">
        <v>7</v>
      </c>
      <c r="P890">
        <f t="shared" si="1009"/>
        <v>-0.47826086956521402</v>
      </c>
      <c r="Q890">
        <f t="shared" si="1010"/>
        <v>-75952.073999999469</v>
      </c>
      <c r="R890">
        <f t="shared" si="1011"/>
        <v>2093134.1177389189</v>
      </c>
      <c r="S890">
        <f t="shared" si="1012"/>
        <v>20.931341177389189</v>
      </c>
      <c r="T890">
        <f t="shared" si="1013"/>
        <v>2.0931341177389189E-2</v>
      </c>
    </row>
    <row r="891" spans="1:20" x14ac:dyDescent="0.25">
      <c r="A891" s="5">
        <v>43702</v>
      </c>
      <c r="B891">
        <v>2.694</v>
      </c>
      <c r="C891">
        <v>2.738</v>
      </c>
      <c r="D891">
        <v>2.609</v>
      </c>
      <c r="E891">
        <v>2.617</v>
      </c>
      <c r="F891">
        <v>205841.68900000001</v>
      </c>
      <c r="G891">
        <v>0</v>
      </c>
      <c r="L891" t="s">
        <v>8</v>
      </c>
      <c r="M891" t="s">
        <v>7</v>
      </c>
      <c r="N891" t="s">
        <v>7</v>
      </c>
      <c r="P891">
        <f t="shared" si="1009"/>
        <v>-0.87596899224806191</v>
      </c>
      <c r="Q891">
        <f t="shared" si="1010"/>
        <v>-180310.93687596897</v>
      </c>
      <c r="R891">
        <f t="shared" si="1011"/>
        <v>2169086.1917389184</v>
      </c>
      <c r="S891">
        <f t="shared" si="1012"/>
        <v>21.690861917389185</v>
      </c>
      <c r="T891">
        <f t="shared" si="1013"/>
        <v>2.1690861917389184E-2</v>
      </c>
    </row>
    <row r="892" spans="1:20" x14ac:dyDescent="0.25">
      <c r="A892" s="5">
        <v>43701</v>
      </c>
      <c r="B892">
        <v>2.7109999999999999</v>
      </c>
      <c r="C892">
        <v>2.726</v>
      </c>
      <c r="D892">
        <v>2.601</v>
      </c>
      <c r="E892">
        <v>2.694</v>
      </c>
      <c r="F892">
        <v>219303.997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0.48799999999999955</v>
      </c>
      <c r="Q892">
        <f t="shared" si="1010"/>
        <v>107020.3505359999</v>
      </c>
      <c r="R892">
        <f t="shared" si="1011"/>
        <v>2349397.1286148876</v>
      </c>
      <c r="S892">
        <f t="shared" si="1012"/>
        <v>23.493971286148877</v>
      </c>
      <c r="T892">
        <f t="shared" si="1013"/>
        <v>2.3493971286148878E-2</v>
      </c>
    </row>
    <row r="893" spans="1:20" x14ac:dyDescent="0.25">
      <c r="A893" s="5">
        <v>43700</v>
      </c>
      <c r="B893">
        <v>2.7120000000000002</v>
      </c>
      <c r="C893">
        <v>2.77</v>
      </c>
      <c r="D893">
        <v>2.6480000000000001</v>
      </c>
      <c r="E893">
        <v>2.7149999999999999</v>
      </c>
      <c r="F893">
        <v>284884.54200000002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9.8360655737701461E-2</v>
      </c>
      <c r="Q893">
        <f t="shared" si="1010"/>
        <v>28021.430360654755</v>
      </c>
      <c r="R893">
        <f t="shared" si="1011"/>
        <v>2242376.7780788876</v>
      </c>
      <c r="S893">
        <f t="shared" si="1012"/>
        <v>22.423767780788875</v>
      </c>
      <c r="T893">
        <f t="shared" si="1013"/>
        <v>2.2423767780788875E-2</v>
      </c>
    </row>
    <row r="894" spans="1:20" x14ac:dyDescent="0.25">
      <c r="A894" s="5">
        <v>43699</v>
      </c>
      <c r="B894">
        <v>2.6720000000000002</v>
      </c>
      <c r="C894">
        <v>2.7469999999999999</v>
      </c>
      <c r="D894">
        <v>2.569</v>
      </c>
      <c r="E894">
        <v>2.7149999999999999</v>
      </c>
      <c r="F894">
        <v>262016.372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0.64044943820224676</v>
      </c>
      <c r="Q894">
        <f t="shared" si="1010"/>
        <v>167808.23824719089</v>
      </c>
      <c r="R894">
        <f t="shared" si="1011"/>
        <v>2214355.3477182328</v>
      </c>
      <c r="S894">
        <f t="shared" si="1012"/>
        <v>22.143553477182326</v>
      </c>
      <c r="T894">
        <f t="shared" si="1013"/>
        <v>2.2143553477182325E-2</v>
      </c>
    </row>
    <row r="895" spans="1:20" x14ac:dyDescent="0.25">
      <c r="A895" s="5">
        <v>43698</v>
      </c>
      <c r="B895">
        <v>2.8759999999999999</v>
      </c>
      <c r="C895">
        <v>2.8759999999999999</v>
      </c>
      <c r="D895">
        <v>2.5870000000000002</v>
      </c>
      <c r="E895">
        <v>2.6669999999999998</v>
      </c>
      <c r="F895">
        <v>258212.622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-0.44636678200692242</v>
      </c>
      <c r="Q895">
        <f t="shared" ref="Q895:Q958" si="1015">F895*P895</f>
        <v>-115257.53715570987</v>
      </c>
      <c r="R895">
        <f t="shared" ref="R895:R958" si="1016">R896+Q895</f>
        <v>2046547.1094710419</v>
      </c>
      <c r="S895">
        <f t="shared" ref="S895:S958" si="1017">R895/100000</f>
        <v>20.46547109471042</v>
      </c>
      <c r="T895">
        <f t="shared" ref="T895:T958" si="1018">S895/1000</f>
        <v>2.0465471094710419E-2</v>
      </c>
    </row>
    <row r="896" spans="1:20" x14ac:dyDescent="0.25">
      <c r="A896" s="5">
        <v>43697</v>
      </c>
      <c r="B896">
        <v>2.891</v>
      </c>
      <c r="C896">
        <v>2.9249999999999998</v>
      </c>
      <c r="D896">
        <v>2.7530000000000001</v>
      </c>
      <c r="E896">
        <v>2.8660000000000001</v>
      </c>
      <c r="F896">
        <v>252452.79</v>
      </c>
      <c r="G896">
        <v>0</v>
      </c>
      <c r="L896" t="s">
        <v>7</v>
      </c>
      <c r="M896" t="s">
        <v>7</v>
      </c>
      <c r="N896" t="s">
        <v>7</v>
      </c>
      <c r="P896">
        <f t="shared" si="1014"/>
        <v>0.31395348837209514</v>
      </c>
      <c r="Q896">
        <f t="shared" si="1015"/>
        <v>79258.434069767973</v>
      </c>
      <c r="R896">
        <f t="shared" si="1016"/>
        <v>2161804.6466267519</v>
      </c>
      <c r="S896">
        <f t="shared" si="1017"/>
        <v>21.618046466267518</v>
      </c>
      <c r="T896">
        <f t="shared" si="1018"/>
        <v>2.161804646626752E-2</v>
      </c>
    </row>
    <row r="897" spans="1:20" x14ac:dyDescent="0.25">
      <c r="A897" s="5">
        <v>43696</v>
      </c>
      <c r="B897">
        <v>2.972</v>
      </c>
      <c r="C897">
        <v>2.972</v>
      </c>
      <c r="D897">
        <v>2.7519999999999998</v>
      </c>
      <c r="E897">
        <v>2.8919999999999999</v>
      </c>
      <c r="F897">
        <v>653174.41299999994</v>
      </c>
      <c r="G897">
        <v>0</v>
      </c>
      <c r="L897" t="s">
        <v>7</v>
      </c>
      <c r="M897" t="s">
        <v>7</v>
      </c>
      <c r="N897" t="s">
        <v>7</v>
      </c>
      <c r="P897">
        <f t="shared" si="1014"/>
        <v>0.27272727272727271</v>
      </c>
      <c r="Q897">
        <f t="shared" si="1015"/>
        <v>178138.47627272725</v>
      </c>
      <c r="R897">
        <f t="shared" si="1016"/>
        <v>2082546.2125569838</v>
      </c>
      <c r="S897">
        <f t="shared" si="1017"/>
        <v>20.825462125569839</v>
      </c>
      <c r="T897">
        <f t="shared" si="1018"/>
        <v>2.0825462125569839E-2</v>
      </c>
    </row>
    <row r="898" spans="1:20" x14ac:dyDescent="0.25">
      <c r="A898" s="5">
        <v>43695</v>
      </c>
      <c r="B898">
        <v>2.91</v>
      </c>
      <c r="C898">
        <v>2.984</v>
      </c>
      <c r="D898">
        <v>2.8620000000000001</v>
      </c>
      <c r="E898">
        <v>2.9710000000000001</v>
      </c>
      <c r="F898">
        <v>159039.40599999999</v>
      </c>
      <c r="G898">
        <v>0</v>
      </c>
      <c r="L898" t="s">
        <v>7</v>
      </c>
      <c r="M898" t="s">
        <v>7</v>
      </c>
      <c r="N898" t="s">
        <v>7</v>
      </c>
      <c r="P898">
        <f t="shared" si="1014"/>
        <v>0.78688524590164077</v>
      </c>
      <c r="Q898">
        <f t="shared" si="1015"/>
        <v>125145.76209836088</v>
      </c>
      <c r="R898">
        <f t="shared" si="1016"/>
        <v>1904407.7362842564</v>
      </c>
      <c r="S898">
        <f t="shared" si="1017"/>
        <v>19.044077362842565</v>
      </c>
      <c r="T898">
        <f t="shared" si="1018"/>
        <v>1.9044077362842565E-2</v>
      </c>
    </row>
    <row r="899" spans="1:20" x14ac:dyDescent="0.25">
      <c r="A899" s="5">
        <v>43694</v>
      </c>
      <c r="B899">
        <v>2.89</v>
      </c>
      <c r="C899">
        <v>2.91</v>
      </c>
      <c r="D899">
        <v>2.8279999999999998</v>
      </c>
      <c r="E899">
        <v>2.91</v>
      </c>
      <c r="F899">
        <v>161440.15700000001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1</v>
      </c>
      <c r="Q899">
        <f t="shared" si="1015"/>
        <v>161440.15700000001</v>
      </c>
      <c r="R899">
        <f t="shared" si="1016"/>
        <v>1779261.9741858956</v>
      </c>
      <c r="S899">
        <f t="shared" si="1017"/>
        <v>17.792619741858957</v>
      </c>
      <c r="T899">
        <f t="shared" si="1018"/>
        <v>1.7792619741858955E-2</v>
      </c>
    </row>
    <row r="900" spans="1:20" x14ac:dyDescent="0.25">
      <c r="A900" s="5">
        <v>43693</v>
      </c>
      <c r="B900">
        <v>2.895</v>
      </c>
      <c r="C900">
        <v>3.024</v>
      </c>
      <c r="D900">
        <v>2.8079999999999998</v>
      </c>
      <c r="E900">
        <v>2.8820000000000001</v>
      </c>
      <c r="F900">
        <v>478707.44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-0.31481481481481277</v>
      </c>
      <c r="Q900">
        <f t="shared" si="1015"/>
        <v>-150704.19407407311</v>
      </c>
      <c r="R900">
        <f t="shared" si="1016"/>
        <v>1617821.8171858955</v>
      </c>
      <c r="S900">
        <f t="shared" si="1017"/>
        <v>16.178218171858955</v>
      </c>
      <c r="T900">
        <f t="shared" si="1018"/>
        <v>1.6178218171858955E-2</v>
      </c>
    </row>
    <row r="901" spans="1:20" x14ac:dyDescent="0.25">
      <c r="A901" s="5">
        <v>43692</v>
      </c>
      <c r="B901">
        <v>2.8650000000000002</v>
      </c>
      <c r="C901">
        <v>3</v>
      </c>
      <c r="D901">
        <v>2.8039999999999998</v>
      </c>
      <c r="E901">
        <v>2.8980000000000001</v>
      </c>
      <c r="F901">
        <v>348738.29800000001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-4.081632653060998E-2</v>
      </c>
      <c r="Q901">
        <f t="shared" si="1015"/>
        <v>-14234.21624489717</v>
      </c>
      <c r="R901">
        <f t="shared" si="1016"/>
        <v>1768526.0112599686</v>
      </c>
      <c r="S901">
        <f t="shared" si="1017"/>
        <v>17.685260112599686</v>
      </c>
      <c r="T901">
        <f t="shared" si="1018"/>
        <v>1.7685260112599684E-2</v>
      </c>
    </row>
    <row r="902" spans="1:20" x14ac:dyDescent="0.25">
      <c r="A902" s="5">
        <v>43691</v>
      </c>
      <c r="B902">
        <v>3.2530000000000001</v>
      </c>
      <c r="C902">
        <v>3.2970000000000002</v>
      </c>
      <c r="D902">
        <v>2.8479999999999999</v>
      </c>
      <c r="E902">
        <v>2.8610000000000002</v>
      </c>
      <c r="F902">
        <v>460308.58799999999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-0.94209354120267108</v>
      </c>
      <c r="Q902">
        <f t="shared" si="1015"/>
        <v>-433653.74771492131</v>
      </c>
      <c r="R902">
        <f t="shared" si="1016"/>
        <v>1782760.2275048657</v>
      </c>
      <c r="S902">
        <f t="shared" si="1017"/>
        <v>17.827602275048658</v>
      </c>
      <c r="T902">
        <f t="shared" si="1018"/>
        <v>1.7827602275048659E-2</v>
      </c>
    </row>
    <row r="903" spans="1:20" x14ac:dyDescent="0.25">
      <c r="A903" s="5">
        <v>43690</v>
      </c>
      <c r="B903">
        <v>3.3410000000000002</v>
      </c>
      <c r="C903">
        <v>3.3490000000000002</v>
      </c>
      <c r="D903">
        <v>3.149</v>
      </c>
      <c r="E903">
        <v>3.258</v>
      </c>
      <c r="F903">
        <v>327533.114</v>
      </c>
      <c r="G903">
        <v>0</v>
      </c>
      <c r="L903" t="s">
        <v>7</v>
      </c>
      <c r="M903" t="s">
        <v>8</v>
      </c>
      <c r="N903" t="s">
        <v>7</v>
      </c>
      <c r="P903">
        <f t="shared" si="1014"/>
        <v>8.9999999999998886E-2</v>
      </c>
      <c r="Q903">
        <f t="shared" si="1015"/>
        <v>29477.980259999636</v>
      </c>
      <c r="R903">
        <f t="shared" si="1016"/>
        <v>2216413.9752197871</v>
      </c>
      <c r="S903">
        <f t="shared" si="1017"/>
        <v>22.164139752197872</v>
      </c>
      <c r="T903">
        <f t="shared" si="1018"/>
        <v>2.2164139752197873E-2</v>
      </c>
    </row>
    <row r="904" spans="1:20" x14ac:dyDescent="0.25">
      <c r="A904" s="5">
        <v>43689</v>
      </c>
      <c r="B904">
        <v>3.5539999999999998</v>
      </c>
      <c r="C904">
        <v>3.6560000000000001</v>
      </c>
      <c r="D904">
        <v>3.331</v>
      </c>
      <c r="E904">
        <v>3.3410000000000002</v>
      </c>
      <c r="F904">
        <v>521422.495</v>
      </c>
      <c r="G904">
        <v>0</v>
      </c>
      <c r="L904" t="s">
        <v>8</v>
      </c>
      <c r="M904" t="s">
        <v>8</v>
      </c>
      <c r="N904" t="s">
        <v>7</v>
      </c>
      <c r="P904">
        <f t="shared" si="1014"/>
        <v>-0.93846153846153713</v>
      </c>
      <c r="Q904">
        <f t="shared" si="1015"/>
        <v>-489334.95684615313</v>
      </c>
      <c r="R904">
        <f t="shared" si="1016"/>
        <v>2186935.9949597875</v>
      </c>
      <c r="S904">
        <f t="shared" si="1017"/>
        <v>21.869359949597875</v>
      </c>
      <c r="T904">
        <f t="shared" si="1018"/>
        <v>2.1869359949597874E-2</v>
      </c>
    </row>
    <row r="905" spans="1:20" x14ac:dyDescent="0.25">
      <c r="A905" s="5">
        <v>43688</v>
      </c>
      <c r="B905">
        <v>3.343</v>
      </c>
      <c r="C905">
        <v>3.552</v>
      </c>
      <c r="D905">
        <v>3.2709999999999999</v>
      </c>
      <c r="E905">
        <v>3.552</v>
      </c>
      <c r="F905">
        <v>350929.74099999998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1</v>
      </c>
      <c r="Q905">
        <f t="shared" si="1015"/>
        <v>350929.74099999998</v>
      </c>
      <c r="R905">
        <f t="shared" si="1016"/>
        <v>2676270.9518059404</v>
      </c>
      <c r="S905">
        <f t="shared" si="1017"/>
        <v>26.762709518059403</v>
      </c>
      <c r="T905">
        <f t="shared" si="1018"/>
        <v>2.6762709518059404E-2</v>
      </c>
    </row>
    <row r="906" spans="1:20" x14ac:dyDescent="0.25">
      <c r="A906" s="5">
        <v>43687</v>
      </c>
      <c r="B906">
        <v>3.1469999999999998</v>
      </c>
      <c r="C906">
        <v>3.3820000000000001</v>
      </c>
      <c r="D906">
        <v>3.1429999999999998</v>
      </c>
      <c r="E906">
        <v>3.3490000000000002</v>
      </c>
      <c r="F906">
        <v>407703.277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0.72384937238493829</v>
      </c>
      <c r="Q906">
        <f t="shared" si="1015"/>
        <v>295115.76117573265</v>
      </c>
      <c r="R906">
        <f t="shared" si="1016"/>
        <v>2325341.2108059404</v>
      </c>
      <c r="S906">
        <f t="shared" si="1017"/>
        <v>23.253412108059404</v>
      </c>
      <c r="T906">
        <f t="shared" si="1018"/>
        <v>2.3253412108059403E-2</v>
      </c>
    </row>
    <row r="907" spans="1:20" x14ac:dyDescent="0.25">
      <c r="A907" s="5">
        <v>43686</v>
      </c>
      <c r="B907">
        <v>3.27</v>
      </c>
      <c r="C907">
        <v>3.3210000000000002</v>
      </c>
      <c r="D907">
        <v>3.0760000000000001</v>
      </c>
      <c r="E907">
        <v>3.1459999999999999</v>
      </c>
      <c r="F907">
        <v>370056.73499999999</v>
      </c>
      <c r="G907">
        <v>0</v>
      </c>
      <c r="L907" t="s">
        <v>8</v>
      </c>
      <c r="M907" t="s">
        <v>7</v>
      </c>
      <c r="N907" t="s">
        <v>7</v>
      </c>
      <c r="P907">
        <f t="shared" si="1014"/>
        <v>-0.4285714285714301</v>
      </c>
      <c r="Q907">
        <f t="shared" si="1015"/>
        <v>-158595.74357142914</v>
      </c>
      <c r="R907">
        <f t="shared" si="1016"/>
        <v>2030225.4496302078</v>
      </c>
      <c r="S907">
        <f t="shared" si="1017"/>
        <v>20.30225449630208</v>
      </c>
      <c r="T907">
        <f t="shared" si="1018"/>
        <v>2.0302254496302082E-2</v>
      </c>
    </row>
    <row r="908" spans="1:20" x14ac:dyDescent="0.25">
      <c r="A908" s="5">
        <v>43685</v>
      </c>
      <c r="B908">
        <v>3.4940000000000002</v>
      </c>
      <c r="C908">
        <v>3.5059999999999998</v>
      </c>
      <c r="D908">
        <v>2.9889999999999999</v>
      </c>
      <c r="E908">
        <v>3.2709999999999999</v>
      </c>
      <c r="F908">
        <v>863957.16099999996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9.0909090909091217E-2</v>
      </c>
      <c r="Q908">
        <f t="shared" si="1015"/>
        <v>78541.560090909348</v>
      </c>
      <c r="R908">
        <f t="shared" si="1016"/>
        <v>2188821.1932016369</v>
      </c>
      <c r="S908">
        <f t="shared" si="1017"/>
        <v>21.888211932016368</v>
      </c>
      <c r="T908">
        <f t="shared" si="1018"/>
        <v>2.1888211932016368E-2</v>
      </c>
    </row>
    <row r="909" spans="1:20" x14ac:dyDescent="0.25">
      <c r="A909" s="5">
        <v>43684</v>
      </c>
      <c r="B909">
        <v>3.5720000000000001</v>
      </c>
      <c r="C909">
        <v>3.6880000000000002</v>
      </c>
      <c r="D909">
        <v>3.468</v>
      </c>
      <c r="E909">
        <v>3.4980000000000002</v>
      </c>
      <c r="F909">
        <v>489769.64899999998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-0.72727272727272529</v>
      </c>
      <c r="Q909">
        <f t="shared" si="1015"/>
        <v>-356196.10836363537</v>
      </c>
      <c r="R909">
        <f t="shared" si="1016"/>
        <v>2110279.6331107276</v>
      </c>
      <c r="S909">
        <f t="shared" si="1017"/>
        <v>21.102796331107278</v>
      </c>
      <c r="T909">
        <f t="shared" si="1018"/>
        <v>2.1102796331107277E-2</v>
      </c>
    </row>
    <row r="910" spans="1:20" x14ac:dyDescent="0.25">
      <c r="A910" s="5">
        <v>43683</v>
      </c>
      <c r="B910">
        <v>3.7730000000000001</v>
      </c>
      <c r="C910">
        <v>3.7829999999999999</v>
      </c>
      <c r="D910">
        <v>3.5179999999999998</v>
      </c>
      <c r="E910">
        <v>3.57</v>
      </c>
      <c r="F910">
        <v>364451.05200000003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-0.60754716981132062</v>
      </c>
      <c r="Q910">
        <f t="shared" si="1015"/>
        <v>-221421.20517735847</v>
      </c>
      <c r="R910">
        <f t="shared" si="1016"/>
        <v>2466475.741474363</v>
      </c>
      <c r="S910">
        <f t="shared" si="1017"/>
        <v>24.664757414743629</v>
      </c>
      <c r="T910">
        <f t="shared" si="1018"/>
        <v>2.4664757414743631E-2</v>
      </c>
    </row>
    <row r="911" spans="1:20" x14ac:dyDescent="0.25">
      <c r="A911" s="5">
        <v>43682</v>
      </c>
      <c r="B911">
        <v>3.5920000000000001</v>
      </c>
      <c r="C911">
        <v>3.8679999999999999</v>
      </c>
      <c r="D911">
        <v>3.5920000000000001</v>
      </c>
      <c r="E911">
        <v>3.7669999999999999</v>
      </c>
      <c r="F911">
        <v>358957.19099999999</v>
      </c>
      <c r="G911">
        <v>0</v>
      </c>
      <c r="L911" t="s">
        <v>8</v>
      </c>
      <c r="M911" t="s">
        <v>7</v>
      </c>
      <c r="N911" t="s">
        <v>7</v>
      </c>
      <c r="P911">
        <f t="shared" si="1014"/>
        <v>0.26811594202898514</v>
      </c>
      <c r="Q911">
        <f t="shared" si="1015"/>
        <v>96242.145413043341</v>
      </c>
      <c r="R911">
        <f t="shared" si="1016"/>
        <v>2687896.9466517214</v>
      </c>
      <c r="S911">
        <f t="shared" si="1017"/>
        <v>26.878969466517212</v>
      </c>
      <c r="T911">
        <f t="shared" si="1018"/>
        <v>2.6878969466517213E-2</v>
      </c>
    </row>
    <row r="912" spans="1:20" x14ac:dyDescent="0.25">
      <c r="A912" s="5">
        <v>43681</v>
      </c>
      <c r="B912">
        <v>3.6930000000000001</v>
      </c>
      <c r="C912">
        <v>3.7629999999999999</v>
      </c>
      <c r="D912">
        <v>3.5779999999999998</v>
      </c>
      <c r="E912">
        <v>3.5920000000000001</v>
      </c>
      <c r="F912">
        <v>182618.372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-0.8486486486486462</v>
      </c>
      <c r="Q912">
        <f t="shared" si="1015"/>
        <v>-154978.83461621578</v>
      </c>
      <c r="R912">
        <f t="shared" si="1016"/>
        <v>2591654.8012386779</v>
      </c>
      <c r="S912">
        <f t="shared" si="1017"/>
        <v>25.91654801238678</v>
      </c>
      <c r="T912">
        <f t="shared" si="1018"/>
        <v>2.591654801238678E-2</v>
      </c>
    </row>
    <row r="913" spans="1:20" x14ac:dyDescent="0.25">
      <c r="A913" s="5">
        <v>43680</v>
      </c>
      <c r="B913">
        <v>3.6520000000000001</v>
      </c>
      <c r="C913">
        <v>3.766</v>
      </c>
      <c r="D913">
        <v>3.6230000000000002</v>
      </c>
      <c r="E913">
        <v>3.69</v>
      </c>
      <c r="F913">
        <v>202962.516</v>
      </c>
      <c r="G913">
        <v>0</v>
      </c>
      <c r="L913" t="s">
        <v>8</v>
      </c>
      <c r="M913" t="s">
        <v>7</v>
      </c>
      <c r="N913" t="s">
        <v>7</v>
      </c>
      <c r="P913">
        <f t="shared" si="1014"/>
        <v>-6.2937062937065413E-2</v>
      </c>
      <c r="Q913">
        <f t="shared" si="1015"/>
        <v>-12773.864643357147</v>
      </c>
      <c r="R913">
        <f t="shared" si="1016"/>
        <v>2746633.6358548938</v>
      </c>
      <c r="S913">
        <f t="shared" si="1017"/>
        <v>27.46633635854894</v>
      </c>
      <c r="T913">
        <f t="shared" si="1018"/>
        <v>2.7466336358548941E-2</v>
      </c>
    </row>
    <row r="914" spans="1:20" x14ac:dyDescent="0.25">
      <c r="A914" s="5">
        <v>43679</v>
      </c>
      <c r="B914">
        <v>3.5350000000000001</v>
      </c>
      <c r="C914">
        <v>3.9089999999999998</v>
      </c>
      <c r="D914">
        <v>3.5009999999999999</v>
      </c>
      <c r="E914">
        <v>3.6469999999999998</v>
      </c>
      <c r="F914">
        <v>727368.522</v>
      </c>
      <c r="G914">
        <v>0</v>
      </c>
      <c r="L914" t="s">
        <v>8</v>
      </c>
      <c r="M914" t="s">
        <v>7</v>
      </c>
      <c r="N914" t="s">
        <v>7</v>
      </c>
      <c r="P914">
        <f t="shared" si="1014"/>
        <v>-0.2843137254901964</v>
      </c>
      <c r="Q914">
        <f t="shared" si="1015"/>
        <v>-206800.85429411789</v>
      </c>
      <c r="R914">
        <f t="shared" si="1016"/>
        <v>2759407.5004982511</v>
      </c>
      <c r="S914">
        <f t="shared" si="1017"/>
        <v>27.594075004982511</v>
      </c>
      <c r="T914">
        <f t="shared" si="1018"/>
        <v>2.759407500498251E-2</v>
      </c>
    </row>
    <row r="915" spans="1:20" x14ac:dyDescent="0.25">
      <c r="A915" s="5">
        <v>43678</v>
      </c>
      <c r="B915">
        <v>3.649</v>
      </c>
      <c r="C915">
        <v>3.661</v>
      </c>
      <c r="D915">
        <v>3.4239999999999999</v>
      </c>
      <c r="E915">
        <v>3.5379999999999998</v>
      </c>
      <c r="F915">
        <v>292155.24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-3.7974683544305221E-2</v>
      </c>
      <c r="Q915">
        <f t="shared" si="1015"/>
        <v>-11094.502784810542</v>
      </c>
      <c r="R915">
        <f t="shared" si="1016"/>
        <v>2966208.3547923691</v>
      </c>
      <c r="S915">
        <f t="shared" si="1017"/>
        <v>29.66208354792369</v>
      </c>
      <c r="T915">
        <f t="shared" si="1018"/>
        <v>2.9662083547923688E-2</v>
      </c>
    </row>
    <row r="916" spans="1:20" x14ac:dyDescent="0.25">
      <c r="A916" s="5">
        <v>43677</v>
      </c>
      <c r="B916">
        <v>3.59</v>
      </c>
      <c r="C916">
        <v>3.7480000000000002</v>
      </c>
      <c r="D916">
        <v>3.58</v>
      </c>
      <c r="E916">
        <v>3.649</v>
      </c>
      <c r="F916">
        <v>197309.666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-0.17857142857142988</v>
      </c>
      <c r="Q916">
        <f t="shared" si="1015"/>
        <v>-35233.868928571683</v>
      </c>
      <c r="R916">
        <f t="shared" si="1016"/>
        <v>2977302.8575771796</v>
      </c>
      <c r="S916">
        <f t="shared" si="1017"/>
        <v>29.773028575771797</v>
      </c>
      <c r="T916">
        <f t="shared" si="1018"/>
        <v>2.9773028575771795E-2</v>
      </c>
    </row>
    <row r="917" spans="1:20" x14ac:dyDescent="0.25">
      <c r="A917" s="5">
        <v>43676</v>
      </c>
      <c r="B917">
        <v>3.5939999999999999</v>
      </c>
      <c r="C917">
        <v>3.6579999999999999</v>
      </c>
      <c r="D917">
        <v>3.5</v>
      </c>
      <c r="E917">
        <v>3.5939999999999999</v>
      </c>
      <c r="F917">
        <v>177254.41800000001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0.18987341772151786</v>
      </c>
      <c r="Q917">
        <f t="shared" si="1015"/>
        <v>33655.902151898539</v>
      </c>
      <c r="R917">
        <f t="shared" si="1016"/>
        <v>3012536.7265057513</v>
      </c>
      <c r="S917">
        <f t="shared" si="1017"/>
        <v>30.125367265057513</v>
      </c>
      <c r="T917">
        <f t="shared" si="1018"/>
        <v>3.0125367265057514E-2</v>
      </c>
    </row>
    <row r="918" spans="1:20" x14ac:dyDescent="0.25">
      <c r="A918" s="5">
        <v>43675</v>
      </c>
      <c r="B918">
        <v>3.613</v>
      </c>
      <c r="C918">
        <v>3.69</v>
      </c>
      <c r="D918">
        <v>3.5289999999999999</v>
      </c>
      <c r="E918">
        <v>3.593</v>
      </c>
      <c r="F918">
        <v>158741.46599999999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-0.20496894409937833</v>
      </c>
      <c r="Q918">
        <f t="shared" si="1015"/>
        <v>-32537.070670807363</v>
      </c>
      <c r="R918">
        <f t="shared" si="1016"/>
        <v>2978880.8243538528</v>
      </c>
      <c r="S918">
        <f t="shared" si="1017"/>
        <v>29.788808243538529</v>
      </c>
      <c r="T918">
        <f t="shared" si="1018"/>
        <v>2.978880824353853E-2</v>
      </c>
    </row>
    <row r="919" spans="1:20" x14ac:dyDescent="0.25">
      <c r="A919" s="5">
        <v>43674</v>
      </c>
      <c r="B919">
        <v>3.6139999999999999</v>
      </c>
      <c r="C919">
        <v>3.673</v>
      </c>
      <c r="D919">
        <v>3.4889999999999999</v>
      </c>
      <c r="E919">
        <v>3.6120000000000001</v>
      </c>
      <c r="F919">
        <v>189150.48499999999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0.33695652173913165</v>
      </c>
      <c r="Q919">
        <f t="shared" si="1015"/>
        <v>63735.489510869789</v>
      </c>
      <c r="R919">
        <f t="shared" si="1016"/>
        <v>3011417.89502466</v>
      </c>
      <c r="S919">
        <f t="shared" si="1017"/>
        <v>30.1141789502466</v>
      </c>
      <c r="T919">
        <f t="shared" si="1018"/>
        <v>3.0114178950246602E-2</v>
      </c>
    </row>
    <row r="920" spans="1:20" x14ac:dyDescent="0.25">
      <c r="A920" s="5">
        <v>43673</v>
      </c>
      <c r="B920">
        <v>3.8879999999999999</v>
      </c>
      <c r="C920">
        <v>3.9990000000000001</v>
      </c>
      <c r="D920">
        <v>3.55</v>
      </c>
      <c r="E920">
        <v>3.617</v>
      </c>
      <c r="F920">
        <v>441935.70699999999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-0.70155902004454285</v>
      </c>
      <c r="Q920">
        <f t="shared" si="1015"/>
        <v>-310043.98152561224</v>
      </c>
      <c r="R920">
        <f t="shared" si="1016"/>
        <v>2947682.4055137904</v>
      </c>
      <c r="S920">
        <f t="shared" si="1017"/>
        <v>29.476824055137904</v>
      </c>
      <c r="T920">
        <f t="shared" si="1018"/>
        <v>2.9476824055137903E-2</v>
      </c>
    </row>
    <row r="921" spans="1:20" x14ac:dyDescent="0.25">
      <c r="A921" s="5">
        <v>43672</v>
      </c>
      <c r="B921">
        <v>3.79</v>
      </c>
      <c r="C921">
        <v>3.9169999999999998</v>
      </c>
      <c r="D921">
        <v>3.7</v>
      </c>
      <c r="E921">
        <v>3.8879999999999999</v>
      </c>
      <c r="F921">
        <v>180883.53599999999</v>
      </c>
      <c r="G921">
        <v>0</v>
      </c>
      <c r="L921" t="s">
        <v>7</v>
      </c>
      <c r="M921" t="s">
        <v>7</v>
      </c>
      <c r="N921" t="s">
        <v>7</v>
      </c>
      <c r="P921">
        <f t="shared" si="1014"/>
        <v>0.73271889400921697</v>
      </c>
      <c r="Q921">
        <f t="shared" si="1015"/>
        <v>132536.78444239637</v>
      </c>
      <c r="R921">
        <f t="shared" si="1016"/>
        <v>3257726.3870394025</v>
      </c>
      <c r="S921">
        <f t="shared" si="1017"/>
        <v>32.577263870394027</v>
      </c>
      <c r="T921">
        <f t="shared" si="1018"/>
        <v>3.257726387039403E-2</v>
      </c>
    </row>
    <row r="922" spans="1:20" x14ac:dyDescent="0.25">
      <c r="A922" s="5">
        <v>43671</v>
      </c>
      <c r="B922">
        <v>3.8919999999999999</v>
      </c>
      <c r="C922">
        <v>4.0339999999999998</v>
      </c>
      <c r="D922">
        <v>3.7810000000000001</v>
      </c>
      <c r="E922">
        <v>3.7890000000000001</v>
      </c>
      <c r="F922">
        <v>199824.25899999999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-0.93675889328063222</v>
      </c>
      <c r="Q922">
        <f t="shared" si="1015"/>
        <v>-187187.15171146241</v>
      </c>
      <c r="R922">
        <f t="shared" si="1016"/>
        <v>3125189.6025970061</v>
      </c>
      <c r="S922">
        <f t="shared" si="1017"/>
        <v>31.251896025970062</v>
      </c>
      <c r="T922">
        <f t="shared" si="1018"/>
        <v>3.1251896025970061E-2</v>
      </c>
    </row>
    <row r="923" spans="1:20" x14ac:dyDescent="0.25">
      <c r="A923" s="5">
        <v>43670</v>
      </c>
      <c r="B923">
        <v>3.7109999999999999</v>
      </c>
      <c r="C923">
        <v>4.077</v>
      </c>
      <c r="D923">
        <v>3.6160000000000001</v>
      </c>
      <c r="E923">
        <v>3.8919999999999999</v>
      </c>
      <c r="F923">
        <v>259367.68700000001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0.19739696312364377</v>
      </c>
      <c r="Q923">
        <f t="shared" si="1015"/>
        <v>51198.393746203779</v>
      </c>
      <c r="R923">
        <f t="shared" si="1016"/>
        <v>3312376.7543084687</v>
      </c>
      <c r="S923">
        <f t="shared" si="1017"/>
        <v>33.123767543084689</v>
      </c>
      <c r="T923">
        <f t="shared" si="1018"/>
        <v>3.3123767543084687E-2</v>
      </c>
    </row>
    <row r="924" spans="1:20" x14ac:dyDescent="0.25">
      <c r="A924" s="5">
        <v>43669</v>
      </c>
      <c r="B924">
        <v>3.984</v>
      </c>
      <c r="C924">
        <v>3.9860000000000002</v>
      </c>
      <c r="D924">
        <v>3.6840000000000002</v>
      </c>
      <c r="E924">
        <v>3.7189999999999999</v>
      </c>
      <c r="F924">
        <v>292876.63500000001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-0.76821192052980336</v>
      </c>
      <c r="Q924">
        <f t="shared" si="1015"/>
        <v>-224991.32225165624</v>
      </c>
      <c r="R924">
        <f t="shared" si="1016"/>
        <v>3261178.3605622649</v>
      </c>
      <c r="S924">
        <f t="shared" si="1017"/>
        <v>32.611783605622648</v>
      </c>
      <c r="T924">
        <f t="shared" si="1018"/>
        <v>3.2611783605622648E-2</v>
      </c>
    </row>
    <row r="925" spans="1:20" x14ac:dyDescent="0.25">
      <c r="A925" s="5">
        <v>43668</v>
      </c>
      <c r="B925">
        <v>4.22</v>
      </c>
      <c r="C925">
        <v>4.3449999999999998</v>
      </c>
      <c r="D925">
        <v>3.8860000000000001</v>
      </c>
      <c r="E925">
        <v>3.9910000000000001</v>
      </c>
      <c r="F925">
        <v>336360.88500000001</v>
      </c>
      <c r="G925">
        <v>0</v>
      </c>
      <c r="L925" t="s">
        <v>8</v>
      </c>
      <c r="M925" t="s">
        <v>8</v>
      </c>
      <c r="N925" t="s">
        <v>7</v>
      </c>
      <c r="P925">
        <f t="shared" si="1014"/>
        <v>-0.54248366013071869</v>
      </c>
      <c r="Q925">
        <f t="shared" si="1015"/>
        <v>-182470.28401960776</v>
      </c>
      <c r="R925">
        <f t="shared" si="1016"/>
        <v>3486169.682813921</v>
      </c>
      <c r="S925">
        <f t="shared" si="1017"/>
        <v>34.861696828139209</v>
      </c>
      <c r="T925">
        <f t="shared" si="1018"/>
        <v>3.4861696828139208E-2</v>
      </c>
    </row>
    <row r="926" spans="1:20" x14ac:dyDescent="0.25">
      <c r="A926" s="5">
        <v>43667</v>
      </c>
      <c r="B926">
        <v>4.0439999999999996</v>
      </c>
      <c r="C926">
        <v>4.3150000000000004</v>
      </c>
      <c r="D926">
        <v>3.9820000000000002</v>
      </c>
      <c r="E926">
        <v>4.218</v>
      </c>
      <c r="F926">
        <v>332643.24099999998</v>
      </c>
      <c r="G926">
        <v>0</v>
      </c>
      <c r="L926" t="s">
        <v>8</v>
      </c>
      <c r="M926" t="s">
        <v>8</v>
      </c>
      <c r="N926" t="s">
        <v>7</v>
      </c>
      <c r="P926">
        <f t="shared" si="1014"/>
        <v>0.41741741741741523</v>
      </c>
      <c r="Q926">
        <f t="shared" si="1015"/>
        <v>138851.08257957886</v>
      </c>
      <c r="R926">
        <f t="shared" si="1016"/>
        <v>3668639.9668335286</v>
      </c>
      <c r="S926">
        <f t="shared" si="1017"/>
        <v>36.686399668335284</v>
      </c>
      <c r="T926">
        <f t="shared" si="1018"/>
        <v>3.6686399668335284E-2</v>
      </c>
    </row>
    <row r="927" spans="1:20" x14ac:dyDescent="0.25">
      <c r="A927" s="5">
        <v>43666</v>
      </c>
      <c r="B927">
        <v>3.9380000000000002</v>
      </c>
      <c r="C927">
        <v>4.18</v>
      </c>
      <c r="D927">
        <v>3.9129999999999998</v>
      </c>
      <c r="E927">
        <v>4.0439999999999996</v>
      </c>
      <c r="F927">
        <v>386501.83399999997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-1.8726591760300896E-2</v>
      </c>
      <c r="Q927">
        <f t="shared" si="1015"/>
        <v>-7237.8620599255846</v>
      </c>
      <c r="R927">
        <f t="shared" si="1016"/>
        <v>3529788.8842539499</v>
      </c>
      <c r="S927">
        <f t="shared" si="1017"/>
        <v>35.2978888425395</v>
      </c>
      <c r="T927">
        <f t="shared" si="1018"/>
        <v>3.5297888842539503E-2</v>
      </c>
    </row>
    <row r="928" spans="1:20" x14ac:dyDescent="0.25">
      <c r="A928" s="5">
        <v>43665</v>
      </c>
      <c r="B928">
        <v>4.0780000000000003</v>
      </c>
      <c r="C928">
        <v>4.1580000000000004</v>
      </c>
      <c r="D928">
        <v>3.7970000000000002</v>
      </c>
      <c r="E928">
        <v>3.9279999999999999</v>
      </c>
      <c r="F928">
        <v>238222.77499999999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-0.274238227146816</v>
      </c>
      <c r="Q928">
        <f t="shared" si="1015"/>
        <v>-65329.791481994842</v>
      </c>
      <c r="R928">
        <f t="shared" si="1016"/>
        <v>3537026.7463138755</v>
      </c>
      <c r="S928">
        <f t="shared" si="1017"/>
        <v>35.370267463138752</v>
      </c>
      <c r="T928">
        <f t="shared" si="1018"/>
        <v>3.5370267463138753E-2</v>
      </c>
    </row>
    <row r="929" spans="1:20" x14ac:dyDescent="0.25">
      <c r="A929" s="5">
        <v>43664</v>
      </c>
      <c r="B929">
        <v>3.8239999999999998</v>
      </c>
      <c r="C929">
        <v>4.18</v>
      </c>
      <c r="D929">
        <v>3.6749999999999998</v>
      </c>
      <c r="E929">
        <v>4.085</v>
      </c>
      <c r="F929">
        <v>512421.571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0.62376237623762465</v>
      </c>
      <c r="Q929">
        <f t="shared" si="1015"/>
        <v>319629.29676237667</v>
      </c>
      <c r="R929">
        <f t="shared" si="1016"/>
        <v>3602356.5377958706</v>
      </c>
      <c r="S929">
        <f t="shared" si="1017"/>
        <v>36.023565377958704</v>
      </c>
      <c r="T929">
        <f t="shared" si="1018"/>
        <v>3.6023565377958706E-2</v>
      </c>
    </row>
    <row r="930" spans="1:20" x14ac:dyDescent="0.25">
      <c r="A930" s="5">
        <v>43663</v>
      </c>
      <c r="B930">
        <v>3.6539999999999999</v>
      </c>
      <c r="C930">
        <v>4.0369999999999999</v>
      </c>
      <c r="D930">
        <v>3.556</v>
      </c>
      <c r="E930">
        <v>3.8250000000000002</v>
      </c>
      <c r="F930">
        <v>595132.38199999998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0.11850311850311933</v>
      </c>
      <c r="Q930">
        <f t="shared" si="1015"/>
        <v>70525.043189189673</v>
      </c>
      <c r="R930">
        <f t="shared" si="1016"/>
        <v>3282727.241033494</v>
      </c>
      <c r="S930">
        <f t="shared" si="1017"/>
        <v>32.827272410334942</v>
      </c>
      <c r="T930">
        <f t="shared" si="1018"/>
        <v>3.2827272410334944E-2</v>
      </c>
    </row>
    <row r="931" spans="1:20" x14ac:dyDescent="0.25">
      <c r="A931" s="5">
        <v>43662</v>
      </c>
      <c r="B931">
        <v>4.1310000000000002</v>
      </c>
      <c r="C931">
        <v>4.2549999999999999</v>
      </c>
      <c r="D931">
        <v>3.4750000000000001</v>
      </c>
      <c r="E931">
        <v>3.649</v>
      </c>
      <c r="F931">
        <v>827553.46200000006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-0.55384615384615388</v>
      </c>
      <c r="Q931">
        <f t="shared" si="1015"/>
        <v>-458337.30203076929</v>
      </c>
      <c r="R931">
        <f t="shared" si="1016"/>
        <v>3212202.1978443041</v>
      </c>
      <c r="S931">
        <f t="shared" si="1017"/>
        <v>32.122021978443044</v>
      </c>
      <c r="T931">
        <f t="shared" si="1018"/>
        <v>3.2122021978443042E-2</v>
      </c>
    </row>
    <row r="932" spans="1:20" x14ac:dyDescent="0.25">
      <c r="A932" s="5">
        <v>43661</v>
      </c>
      <c r="B932">
        <v>3.82</v>
      </c>
      <c r="C932">
        <v>4.4710000000000001</v>
      </c>
      <c r="D932">
        <v>3.5609999999999999</v>
      </c>
      <c r="E932">
        <v>4.1319999999999997</v>
      </c>
      <c r="F932">
        <v>819923.27800000005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0.25494505494505415</v>
      </c>
      <c r="Q932">
        <f t="shared" si="1015"/>
        <v>209035.38516043892</v>
      </c>
      <c r="R932">
        <f t="shared" si="1016"/>
        <v>3670539.4998750733</v>
      </c>
      <c r="S932">
        <f t="shared" si="1017"/>
        <v>36.705394998750734</v>
      </c>
      <c r="T932">
        <f t="shared" si="1018"/>
        <v>3.6705394998750737E-2</v>
      </c>
    </row>
    <row r="933" spans="1:20" x14ac:dyDescent="0.25">
      <c r="A933" s="5">
        <v>43660</v>
      </c>
      <c r="B933">
        <v>4.2709999999999999</v>
      </c>
      <c r="C933">
        <v>4.2809999999999997</v>
      </c>
      <c r="D933">
        <v>3.8</v>
      </c>
      <c r="E933">
        <v>3.8050000000000002</v>
      </c>
      <c r="F933">
        <v>310744.04599999997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-0.97920997920997777</v>
      </c>
      <c r="Q933">
        <f t="shared" si="1015"/>
        <v>-304283.67082328437</v>
      </c>
      <c r="R933">
        <f t="shared" si="1016"/>
        <v>3461504.1147146346</v>
      </c>
      <c r="S933">
        <f t="shared" si="1017"/>
        <v>34.615041147146343</v>
      </c>
      <c r="T933">
        <f t="shared" si="1018"/>
        <v>3.4615041147146343E-2</v>
      </c>
    </row>
    <row r="934" spans="1:20" x14ac:dyDescent="0.25">
      <c r="A934" s="5">
        <v>43659</v>
      </c>
      <c r="B934">
        <v>4.5270000000000001</v>
      </c>
      <c r="C934">
        <v>4.5339999999999998</v>
      </c>
      <c r="D934">
        <v>4.125</v>
      </c>
      <c r="E934">
        <v>4.2679999999999998</v>
      </c>
      <c r="F934">
        <v>267827.62699999998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-0.300733496332519</v>
      </c>
      <c r="Q934">
        <f t="shared" si="1015"/>
        <v>-80544.738682151758</v>
      </c>
      <c r="R934">
        <f t="shared" si="1016"/>
        <v>3765787.785537919</v>
      </c>
      <c r="S934">
        <f t="shared" si="1017"/>
        <v>37.657877855379191</v>
      </c>
      <c r="T934">
        <f t="shared" si="1018"/>
        <v>3.765787785537919E-2</v>
      </c>
    </row>
    <row r="935" spans="1:20" x14ac:dyDescent="0.25">
      <c r="A935" s="5">
        <v>43658</v>
      </c>
      <c r="B935">
        <v>4.3490000000000002</v>
      </c>
      <c r="C935">
        <v>4.6070000000000002</v>
      </c>
      <c r="D935">
        <v>4.2640000000000002</v>
      </c>
      <c r="E935">
        <v>4.5259999999999998</v>
      </c>
      <c r="F935">
        <v>446742.701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0.52769679300291306</v>
      </c>
      <c r="Q935">
        <f t="shared" si="1015"/>
        <v>235744.69061515928</v>
      </c>
      <c r="R935">
        <f t="shared" si="1016"/>
        <v>3846332.5242200708</v>
      </c>
      <c r="S935">
        <f t="shared" si="1017"/>
        <v>38.46332524220071</v>
      </c>
      <c r="T935">
        <f t="shared" si="1018"/>
        <v>3.846332524220071E-2</v>
      </c>
    </row>
    <row r="936" spans="1:20" x14ac:dyDescent="0.25">
      <c r="A936" s="5">
        <v>43657</v>
      </c>
      <c r="B936">
        <v>4.4800000000000004</v>
      </c>
      <c r="C936">
        <v>4.6520000000000001</v>
      </c>
      <c r="D936">
        <v>4.0529999999999999</v>
      </c>
      <c r="E936">
        <v>4.3540000000000001</v>
      </c>
      <c r="F936">
        <v>537174.61199999996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5.0083472454092032E-3</v>
      </c>
      <c r="Q936">
        <f t="shared" si="1015"/>
        <v>2690.3569883139571</v>
      </c>
      <c r="R936">
        <f t="shared" si="1016"/>
        <v>3610587.8336049113</v>
      </c>
      <c r="S936">
        <f t="shared" si="1017"/>
        <v>36.105878336049116</v>
      </c>
      <c r="T936">
        <f t="shared" si="1018"/>
        <v>3.6105878336049113E-2</v>
      </c>
    </row>
    <row r="937" spans="1:20" x14ac:dyDescent="0.25">
      <c r="A937" s="5">
        <v>43656</v>
      </c>
      <c r="B937">
        <v>4.984</v>
      </c>
      <c r="C937">
        <v>4.9850000000000003</v>
      </c>
      <c r="D937">
        <v>4.1749999999999998</v>
      </c>
      <c r="E937">
        <v>4.4829999999999997</v>
      </c>
      <c r="F937">
        <v>1167219.7290000001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-0.23950617283950706</v>
      </c>
      <c r="Q937">
        <f t="shared" si="1015"/>
        <v>-279556.33015555661</v>
      </c>
      <c r="R937">
        <f t="shared" si="1016"/>
        <v>3607897.4766165973</v>
      </c>
      <c r="S937">
        <f t="shared" si="1017"/>
        <v>36.07897476616597</v>
      </c>
      <c r="T937">
        <f t="shared" si="1018"/>
        <v>3.6078974766165971E-2</v>
      </c>
    </row>
    <row r="938" spans="1:20" x14ac:dyDescent="0.25">
      <c r="A938" s="5">
        <v>43655</v>
      </c>
      <c r="B938">
        <v>5.1849999999999996</v>
      </c>
      <c r="C938">
        <v>5.1959999999999997</v>
      </c>
      <c r="D938">
        <v>4.87</v>
      </c>
      <c r="E938">
        <v>4.984</v>
      </c>
      <c r="F938">
        <v>437356.723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-0.30061349693251527</v>
      </c>
      <c r="Q938">
        <f t="shared" si="1015"/>
        <v>-131475.33390797544</v>
      </c>
      <c r="R938">
        <f t="shared" si="1016"/>
        <v>3887453.8067721538</v>
      </c>
      <c r="S938">
        <f t="shared" si="1017"/>
        <v>38.874538067721538</v>
      </c>
      <c r="T938">
        <f t="shared" si="1018"/>
        <v>3.8874538067721537E-2</v>
      </c>
    </row>
    <row r="939" spans="1:20" x14ac:dyDescent="0.25">
      <c r="A939" s="5">
        <v>43654</v>
      </c>
      <c r="B939">
        <v>5.399</v>
      </c>
      <c r="C939">
        <v>5.4349999999999996</v>
      </c>
      <c r="D939">
        <v>5.0999999999999996</v>
      </c>
      <c r="E939">
        <v>5.1749999999999998</v>
      </c>
      <c r="F939">
        <v>271671.93900000001</v>
      </c>
      <c r="G939">
        <v>0</v>
      </c>
      <c r="L939" t="s">
        <v>7</v>
      </c>
      <c r="M939" t="s">
        <v>7</v>
      </c>
      <c r="N939" t="s">
        <v>8</v>
      </c>
      <c r="P939">
        <f t="shared" si="1014"/>
        <v>-0.55223880597014818</v>
      </c>
      <c r="Q939">
        <f t="shared" si="1015"/>
        <v>-150027.78720895495</v>
      </c>
      <c r="R939">
        <f t="shared" si="1016"/>
        <v>4018929.1406801292</v>
      </c>
      <c r="S939">
        <f t="shared" si="1017"/>
        <v>40.189291406801289</v>
      </c>
      <c r="T939">
        <f t="shared" si="1018"/>
        <v>4.0189291406801289E-2</v>
      </c>
    </row>
    <row r="940" spans="1:20" x14ac:dyDescent="0.25">
      <c r="A940" s="5">
        <v>43653</v>
      </c>
      <c r="B940">
        <v>5.2990000000000004</v>
      </c>
      <c r="C940">
        <v>5.4130000000000003</v>
      </c>
      <c r="D940">
        <v>5.2</v>
      </c>
      <c r="E940">
        <v>5.3979999999999997</v>
      </c>
      <c r="F940">
        <v>149143.97500000001</v>
      </c>
      <c r="G940">
        <v>0</v>
      </c>
      <c r="L940" t="s">
        <v>7</v>
      </c>
      <c r="M940" t="s">
        <v>7</v>
      </c>
      <c r="N940" t="s">
        <v>8</v>
      </c>
      <c r="P940">
        <f t="shared" si="1014"/>
        <v>0.85915492957745954</v>
      </c>
      <c r="Q940">
        <f t="shared" si="1015"/>
        <v>128137.78133802739</v>
      </c>
      <c r="R940">
        <f t="shared" si="1016"/>
        <v>4168956.927889084</v>
      </c>
      <c r="S940">
        <f t="shared" si="1017"/>
        <v>41.689569278890836</v>
      </c>
      <c r="T940">
        <f t="shared" si="1018"/>
        <v>4.1689569278890837E-2</v>
      </c>
    </row>
    <row r="941" spans="1:20" x14ac:dyDescent="0.25">
      <c r="A941" s="5">
        <v>43652</v>
      </c>
      <c r="B941">
        <v>5.3680000000000003</v>
      </c>
      <c r="C941">
        <v>5.49</v>
      </c>
      <c r="D941">
        <v>5.2350000000000003</v>
      </c>
      <c r="E941">
        <v>5.2880000000000003</v>
      </c>
      <c r="F941">
        <v>152778.18900000001</v>
      </c>
      <c r="G941">
        <v>0</v>
      </c>
      <c r="L941" t="s">
        <v>7</v>
      </c>
      <c r="M941" t="s">
        <v>7</v>
      </c>
      <c r="N941" t="s">
        <v>8</v>
      </c>
      <c r="P941">
        <f t="shared" si="1014"/>
        <v>-0.58431372549019645</v>
      </c>
      <c r="Q941">
        <f t="shared" si="1015"/>
        <v>-89270.39278823536</v>
      </c>
      <c r="R941">
        <f t="shared" si="1016"/>
        <v>4040819.1465510568</v>
      </c>
      <c r="S941">
        <f t="shared" si="1017"/>
        <v>40.408191465510569</v>
      </c>
      <c r="T941">
        <f t="shared" si="1018"/>
        <v>4.0408191465510571E-2</v>
      </c>
    </row>
    <row r="942" spans="1:20" x14ac:dyDescent="0.25">
      <c r="A942" s="5">
        <v>43651</v>
      </c>
      <c r="B942">
        <v>5.4779999999999998</v>
      </c>
      <c r="C942">
        <v>5.5010000000000003</v>
      </c>
      <c r="D942">
        <v>5.33</v>
      </c>
      <c r="E942">
        <v>5.3529999999999998</v>
      </c>
      <c r="F942">
        <v>184141.25899999999</v>
      </c>
      <c r="G942">
        <v>0</v>
      </c>
      <c r="L942" t="s">
        <v>7</v>
      </c>
      <c r="M942" t="s">
        <v>7</v>
      </c>
      <c r="N942" t="s">
        <v>8</v>
      </c>
      <c r="P942">
        <f t="shared" si="1014"/>
        <v>-0.73099415204678775</v>
      </c>
      <c r="Q942">
        <f t="shared" si="1015"/>
        <v>-134606.18347953292</v>
      </c>
      <c r="R942">
        <f t="shared" si="1016"/>
        <v>4130089.5393392923</v>
      </c>
      <c r="S942">
        <f t="shared" si="1017"/>
        <v>41.300895393392921</v>
      </c>
      <c r="T942">
        <f t="shared" si="1018"/>
        <v>4.130089539339292E-2</v>
      </c>
    </row>
    <row r="943" spans="1:20" x14ac:dyDescent="0.25">
      <c r="A943" s="5">
        <v>43650</v>
      </c>
      <c r="B943">
        <v>5.5839999999999996</v>
      </c>
      <c r="C943">
        <v>5.766</v>
      </c>
      <c r="D943">
        <v>5.4649999999999999</v>
      </c>
      <c r="E943">
        <v>5.4779999999999998</v>
      </c>
      <c r="F943">
        <v>334401.17800000001</v>
      </c>
      <c r="G943">
        <v>0</v>
      </c>
      <c r="L943" t="s">
        <v>8</v>
      </c>
      <c r="M943" t="s">
        <v>7</v>
      </c>
      <c r="N943" t="s">
        <v>8</v>
      </c>
      <c r="P943">
        <f t="shared" si="1014"/>
        <v>-0.91362126245847242</v>
      </c>
      <c r="Q943">
        <f t="shared" si="1015"/>
        <v>-305516.02641196037</v>
      </c>
      <c r="R943">
        <f t="shared" si="1016"/>
        <v>4264695.7228188254</v>
      </c>
      <c r="S943">
        <f t="shared" si="1017"/>
        <v>42.646957228188256</v>
      </c>
      <c r="T943">
        <f t="shared" si="1018"/>
        <v>4.2646957228188259E-2</v>
      </c>
    </row>
    <row r="944" spans="1:20" x14ac:dyDescent="0.25">
      <c r="A944" s="5">
        <v>43649</v>
      </c>
      <c r="B944">
        <v>5.3410000000000002</v>
      </c>
      <c r="C944">
        <v>5.62</v>
      </c>
      <c r="D944">
        <v>5.2880000000000003</v>
      </c>
      <c r="E944">
        <v>5.5739999999999998</v>
      </c>
      <c r="F944">
        <v>366656.84</v>
      </c>
      <c r="G944">
        <v>0</v>
      </c>
      <c r="L944" t="s">
        <v>8</v>
      </c>
      <c r="M944" t="s">
        <v>7</v>
      </c>
      <c r="N944" t="s">
        <v>8</v>
      </c>
      <c r="P944">
        <f t="shared" si="1014"/>
        <v>0.72289156626505857</v>
      </c>
      <c r="Q944">
        <f t="shared" si="1015"/>
        <v>265053.137349397</v>
      </c>
      <c r="R944">
        <f t="shared" si="1016"/>
        <v>4570211.7492307862</v>
      </c>
      <c r="S944">
        <f t="shared" si="1017"/>
        <v>45.702117492307863</v>
      </c>
      <c r="T944">
        <f t="shared" si="1018"/>
        <v>4.5702117492307862E-2</v>
      </c>
    </row>
    <row r="945" spans="1:20" x14ac:dyDescent="0.25">
      <c r="A945" s="5">
        <v>43648</v>
      </c>
      <c r="B945">
        <v>5.4930000000000003</v>
      </c>
      <c r="C945">
        <v>5.6660000000000004</v>
      </c>
      <c r="D945">
        <v>5.1230000000000002</v>
      </c>
      <c r="E945">
        <v>5.3369999999999997</v>
      </c>
      <c r="F945">
        <v>486100.50699999998</v>
      </c>
      <c r="G945">
        <v>0</v>
      </c>
      <c r="L945" t="s">
        <v>8</v>
      </c>
      <c r="M945" t="s">
        <v>7</v>
      </c>
      <c r="N945" t="s">
        <v>8</v>
      </c>
      <c r="P945">
        <f t="shared" si="1014"/>
        <v>-0.21178637200736844</v>
      </c>
      <c r="Q945">
        <f t="shared" si="1015"/>
        <v>-102949.46280847241</v>
      </c>
      <c r="R945">
        <f t="shared" si="1016"/>
        <v>4305158.6118813893</v>
      </c>
      <c r="S945">
        <f t="shared" si="1017"/>
        <v>43.051586118813894</v>
      </c>
      <c r="T945">
        <f t="shared" si="1018"/>
        <v>4.3051586118813892E-2</v>
      </c>
    </row>
    <row r="946" spans="1:20" x14ac:dyDescent="0.25">
      <c r="A946" s="5">
        <v>43647</v>
      </c>
      <c r="B946">
        <v>5.4429999999999996</v>
      </c>
      <c r="C946">
        <v>5.72</v>
      </c>
      <c r="D946">
        <v>5.1429999999999998</v>
      </c>
      <c r="E946">
        <v>5.4749999999999996</v>
      </c>
      <c r="F946">
        <v>524258.53600000002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0.15077989601386438</v>
      </c>
      <c r="Q946">
        <f t="shared" si="1015"/>
        <v>79047.647542460778</v>
      </c>
      <c r="R946">
        <f t="shared" si="1016"/>
        <v>4408108.0746898614</v>
      </c>
      <c r="S946">
        <f t="shared" si="1017"/>
        <v>44.081080746898614</v>
      </c>
      <c r="T946">
        <f t="shared" si="1018"/>
        <v>4.4081080746898614E-2</v>
      </c>
    </row>
    <row r="947" spans="1:20" x14ac:dyDescent="0.25">
      <c r="A947" s="5">
        <v>43646</v>
      </c>
      <c r="B947">
        <v>6.0469999999999997</v>
      </c>
      <c r="C947">
        <v>6.117</v>
      </c>
      <c r="D947">
        <v>5.3949999999999996</v>
      </c>
      <c r="E947">
        <v>5.4429999999999996</v>
      </c>
      <c r="F947">
        <v>626818.11899999995</v>
      </c>
      <c r="G947">
        <v>0</v>
      </c>
      <c r="L947" t="s">
        <v>7</v>
      </c>
      <c r="M947" t="s">
        <v>7</v>
      </c>
      <c r="N947" t="s">
        <v>8</v>
      </c>
      <c r="P947">
        <f t="shared" si="1014"/>
        <v>-0.86703601108033235</v>
      </c>
      <c r="Q947">
        <f t="shared" si="1015"/>
        <v>-543473.88157063699</v>
      </c>
      <c r="R947">
        <f t="shared" si="1016"/>
        <v>4329060.4271474006</v>
      </c>
      <c r="S947">
        <f t="shared" si="1017"/>
        <v>43.290604271474002</v>
      </c>
      <c r="T947">
        <f t="shared" si="1018"/>
        <v>4.3290604271473999E-2</v>
      </c>
    </row>
    <row r="948" spans="1:20" x14ac:dyDescent="0.25">
      <c r="A948" s="5">
        <v>43645</v>
      </c>
      <c r="B948">
        <v>5.9279999999999999</v>
      </c>
      <c r="C948">
        <v>6.1980000000000004</v>
      </c>
      <c r="D948">
        <v>5.6260000000000003</v>
      </c>
      <c r="E948">
        <v>6.0579999999999998</v>
      </c>
      <c r="F948">
        <v>425212.71299999999</v>
      </c>
      <c r="G948">
        <v>0</v>
      </c>
      <c r="L948" t="s">
        <v>8</v>
      </c>
      <c r="M948" t="s">
        <v>7</v>
      </c>
      <c r="N948" t="s">
        <v>8</v>
      </c>
      <c r="P948">
        <f t="shared" si="1014"/>
        <v>0.51048951048950852</v>
      </c>
      <c r="Q948">
        <f t="shared" si="1015"/>
        <v>217066.62971328586</v>
      </c>
      <c r="R948">
        <f t="shared" si="1016"/>
        <v>4872534.3087180378</v>
      </c>
      <c r="S948">
        <f t="shared" si="1017"/>
        <v>48.725343087180377</v>
      </c>
      <c r="T948">
        <f t="shared" si="1018"/>
        <v>4.8725343087180378E-2</v>
      </c>
    </row>
    <row r="949" spans="1:20" x14ac:dyDescent="0.25">
      <c r="A949" s="5">
        <v>43644</v>
      </c>
      <c r="B949">
        <v>5.5519999999999996</v>
      </c>
      <c r="C949">
        <v>5.97</v>
      </c>
      <c r="D949">
        <v>5.4640000000000004</v>
      </c>
      <c r="E949">
        <v>5.9279999999999999</v>
      </c>
      <c r="F949">
        <v>350835.39299999998</v>
      </c>
      <c r="G949">
        <v>0</v>
      </c>
      <c r="L949" t="s">
        <v>8</v>
      </c>
      <c r="M949" t="s">
        <v>7</v>
      </c>
      <c r="N949" t="s">
        <v>8</v>
      </c>
      <c r="P949">
        <f t="shared" si="1014"/>
        <v>0.83399209486166059</v>
      </c>
      <c r="Q949">
        <f t="shared" si="1015"/>
        <v>292593.94435968396</v>
      </c>
      <c r="R949">
        <f t="shared" si="1016"/>
        <v>4655467.6790047521</v>
      </c>
      <c r="S949">
        <f t="shared" si="1017"/>
        <v>46.554676790047523</v>
      </c>
      <c r="T949">
        <f t="shared" si="1018"/>
        <v>4.6554676790047524E-2</v>
      </c>
    </row>
    <row r="950" spans="1:20" x14ac:dyDescent="0.25">
      <c r="A950" s="5">
        <v>43643</v>
      </c>
      <c r="B950">
        <v>6.35</v>
      </c>
      <c r="C950">
        <v>6.4160000000000004</v>
      </c>
      <c r="D950">
        <v>5.36</v>
      </c>
      <c r="E950">
        <v>5.5579999999999998</v>
      </c>
      <c r="F950">
        <v>1043714.4840000001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-0.625000000000001</v>
      </c>
      <c r="Q950">
        <f t="shared" si="1015"/>
        <v>-652321.55250000104</v>
      </c>
      <c r="R950">
        <f t="shared" si="1016"/>
        <v>4362873.7346450677</v>
      </c>
      <c r="S950">
        <f t="shared" si="1017"/>
        <v>43.628737346450677</v>
      </c>
      <c r="T950">
        <f t="shared" si="1018"/>
        <v>4.3628737346450674E-2</v>
      </c>
    </row>
    <row r="951" spans="1:20" x14ac:dyDescent="0.25">
      <c r="A951" s="5">
        <v>43642</v>
      </c>
      <c r="B951">
        <v>6.5789999999999997</v>
      </c>
      <c r="C951">
        <v>6.8490000000000002</v>
      </c>
      <c r="D951">
        <v>6.1509999999999998</v>
      </c>
      <c r="E951">
        <v>6.35</v>
      </c>
      <c r="F951">
        <v>740796.31499999994</v>
      </c>
      <c r="G951">
        <v>0</v>
      </c>
      <c r="L951" t="s">
        <v>7</v>
      </c>
      <c r="M951" t="s">
        <v>8</v>
      </c>
      <c r="N951" t="s">
        <v>8</v>
      </c>
      <c r="P951">
        <f t="shared" si="1014"/>
        <v>-0.42979942693409817</v>
      </c>
      <c r="Q951">
        <f t="shared" si="1015"/>
        <v>-318393.83166189166</v>
      </c>
      <c r="R951">
        <f t="shared" si="1016"/>
        <v>5015195.2871450689</v>
      </c>
      <c r="S951">
        <f t="shared" si="1017"/>
        <v>50.151952871450689</v>
      </c>
      <c r="T951">
        <f t="shared" si="1018"/>
        <v>5.0151952871450689E-2</v>
      </c>
    </row>
    <row r="952" spans="1:20" x14ac:dyDescent="0.25">
      <c r="A952" s="5">
        <v>43641</v>
      </c>
      <c r="B952">
        <v>6.6749999999999998</v>
      </c>
      <c r="C952">
        <v>6.7469999999999999</v>
      </c>
      <c r="D952">
        <v>6.4740000000000002</v>
      </c>
      <c r="E952">
        <v>6.5810000000000004</v>
      </c>
      <c r="F952">
        <v>467755.35100000002</v>
      </c>
      <c r="G952">
        <v>0</v>
      </c>
      <c r="L952" t="s">
        <v>7</v>
      </c>
      <c r="M952" t="s">
        <v>8</v>
      </c>
      <c r="N952" t="s">
        <v>8</v>
      </c>
      <c r="P952">
        <f t="shared" si="1014"/>
        <v>-0.21611721611721371</v>
      </c>
      <c r="Q952">
        <f t="shared" si="1015"/>
        <v>-101089.98428205017</v>
      </c>
      <c r="R952">
        <f t="shared" si="1016"/>
        <v>5333589.118806961</v>
      </c>
      <c r="S952">
        <f t="shared" si="1017"/>
        <v>53.33589118806961</v>
      </c>
      <c r="T952">
        <f t="shared" si="1018"/>
        <v>5.3335891188069612E-2</v>
      </c>
    </row>
    <row r="953" spans="1:20" x14ac:dyDescent="0.25">
      <c r="A953" s="5">
        <v>43640</v>
      </c>
      <c r="B953">
        <v>6.83</v>
      </c>
      <c r="C953">
        <v>6.8460000000000001</v>
      </c>
      <c r="D953">
        <v>6.5419999999999998</v>
      </c>
      <c r="E953">
        <v>6.665</v>
      </c>
      <c r="F953">
        <v>385615.304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-0.19078947368420979</v>
      </c>
      <c r="Q953">
        <f t="shared" si="1015"/>
        <v>-73571.340894736553</v>
      </c>
      <c r="R953">
        <f t="shared" si="1016"/>
        <v>5434679.1030890113</v>
      </c>
      <c r="S953">
        <f t="shared" si="1017"/>
        <v>54.34679103089011</v>
      </c>
      <c r="T953">
        <f t="shared" si="1018"/>
        <v>5.4346791030890108E-2</v>
      </c>
    </row>
    <row r="954" spans="1:20" x14ac:dyDescent="0.25">
      <c r="A954" s="5">
        <v>43639</v>
      </c>
      <c r="B954">
        <v>6.7640000000000002</v>
      </c>
      <c r="C954">
        <v>7.1929999999999996</v>
      </c>
      <c r="D954">
        <v>6.7160000000000002</v>
      </c>
      <c r="E954">
        <v>6.8380000000000001</v>
      </c>
      <c r="F954">
        <v>639871.82999999996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-0.4884696016771487</v>
      </c>
      <c r="Q954">
        <f t="shared" si="1015"/>
        <v>-312557.9379245282</v>
      </c>
      <c r="R954">
        <f t="shared" si="1016"/>
        <v>5508250.4439837476</v>
      </c>
      <c r="S954">
        <f t="shared" si="1017"/>
        <v>55.082504439837479</v>
      </c>
      <c r="T954">
        <f t="shared" si="1018"/>
        <v>5.5082504439837476E-2</v>
      </c>
    </row>
    <row r="955" spans="1:20" x14ac:dyDescent="0.25">
      <c r="A955" s="5">
        <v>43638</v>
      </c>
      <c r="B955">
        <v>6.5129999999999999</v>
      </c>
      <c r="C955">
        <v>6.9139999999999997</v>
      </c>
      <c r="D955">
        <v>6.4139999999999997</v>
      </c>
      <c r="E955">
        <v>6.758</v>
      </c>
      <c r="F955">
        <v>666888.522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0.37600000000000122</v>
      </c>
      <c r="Q955">
        <f t="shared" si="1015"/>
        <v>250750.08427200082</v>
      </c>
      <c r="R955">
        <f t="shared" si="1016"/>
        <v>5820808.3819082761</v>
      </c>
      <c r="S955">
        <f t="shared" si="1017"/>
        <v>58.208083819082759</v>
      </c>
      <c r="T955">
        <f t="shared" si="1018"/>
        <v>5.8208083819082761E-2</v>
      </c>
    </row>
    <row r="956" spans="1:20" x14ac:dyDescent="0.25">
      <c r="A956" s="5">
        <v>43637</v>
      </c>
      <c r="B956">
        <v>6.476</v>
      </c>
      <c r="C956">
        <v>6.5890000000000004</v>
      </c>
      <c r="D956">
        <v>6.3339999999999996</v>
      </c>
      <c r="E956">
        <v>6.5229999999999997</v>
      </c>
      <c r="F956">
        <v>380848.04</v>
      </c>
      <c r="G956">
        <v>0</v>
      </c>
      <c r="L956" t="s">
        <v>7</v>
      </c>
      <c r="M956" t="s">
        <v>8</v>
      </c>
      <c r="N956" t="s">
        <v>8</v>
      </c>
      <c r="P956">
        <f t="shared" si="1014"/>
        <v>0.48235294117646649</v>
      </c>
      <c r="Q956">
        <f t="shared" si="1015"/>
        <v>183703.17223529256</v>
      </c>
      <c r="R956">
        <f t="shared" si="1016"/>
        <v>5570058.2976362752</v>
      </c>
      <c r="S956">
        <f t="shared" si="1017"/>
        <v>55.700582976362753</v>
      </c>
      <c r="T956">
        <f t="shared" si="1018"/>
        <v>5.5700582976362753E-2</v>
      </c>
    </row>
    <row r="957" spans="1:20" x14ac:dyDescent="0.25">
      <c r="A957" s="5">
        <v>43636</v>
      </c>
      <c r="B957">
        <v>6.6210000000000004</v>
      </c>
      <c r="C957">
        <v>6.6369999999999996</v>
      </c>
      <c r="D957">
        <v>6.2850000000000001</v>
      </c>
      <c r="E957">
        <v>6.4779999999999998</v>
      </c>
      <c r="F957">
        <v>406246.33399999997</v>
      </c>
      <c r="G957">
        <v>0</v>
      </c>
      <c r="L957" t="s">
        <v>7</v>
      </c>
      <c r="M957" t="s">
        <v>8</v>
      </c>
      <c r="N957" t="s">
        <v>8</v>
      </c>
      <c r="P957">
        <f t="shared" si="1014"/>
        <v>9.65909090909087E-2</v>
      </c>
      <c r="Q957">
        <f t="shared" si="1015"/>
        <v>39239.702715908927</v>
      </c>
      <c r="R957">
        <f t="shared" si="1016"/>
        <v>5386355.1254009828</v>
      </c>
      <c r="S957">
        <f t="shared" si="1017"/>
        <v>53.863551254009828</v>
      </c>
      <c r="T957">
        <f t="shared" si="1018"/>
        <v>5.386355125400983E-2</v>
      </c>
    </row>
    <row r="958" spans="1:20" x14ac:dyDescent="0.25">
      <c r="A958" s="5">
        <v>43635</v>
      </c>
      <c r="B958">
        <v>6.5860000000000003</v>
      </c>
      <c r="C958">
        <v>6.8490000000000002</v>
      </c>
      <c r="D958">
        <v>6.55</v>
      </c>
      <c r="E958">
        <v>6.6280000000000001</v>
      </c>
      <c r="F958">
        <v>388212.326</v>
      </c>
      <c r="G958">
        <v>0</v>
      </c>
      <c r="L958" t="s">
        <v>7</v>
      </c>
      <c r="M958" t="s">
        <v>8</v>
      </c>
      <c r="N958" t="s">
        <v>8</v>
      </c>
      <c r="P958">
        <f t="shared" si="1014"/>
        <v>-0.47826086956521607</v>
      </c>
      <c r="Q958">
        <f t="shared" si="1015"/>
        <v>-185666.76460869514</v>
      </c>
      <c r="R958">
        <f t="shared" si="1016"/>
        <v>5347115.4226850737</v>
      </c>
      <c r="S958">
        <f t="shared" si="1017"/>
        <v>53.471154226850736</v>
      </c>
      <c r="T958">
        <f t="shared" si="1018"/>
        <v>5.3471154226850733E-2</v>
      </c>
    </row>
    <row r="959" spans="1:20" x14ac:dyDescent="0.25">
      <c r="A959" s="5">
        <v>43634</v>
      </c>
      <c r="B959">
        <v>7.0110000000000001</v>
      </c>
      <c r="C959">
        <v>7.04</v>
      </c>
      <c r="D959">
        <v>6.47</v>
      </c>
      <c r="E959">
        <v>6.5709999999999997</v>
      </c>
      <c r="F959">
        <v>509203.32</v>
      </c>
      <c r="G959">
        <v>0</v>
      </c>
      <c r="L959" t="s">
        <v>7</v>
      </c>
      <c r="M959" t="s">
        <v>8</v>
      </c>
      <c r="N959" t="s">
        <v>8</v>
      </c>
      <c r="P959">
        <f t="shared" ref="P959:P1009" si="1019">IF(C959=D959,0,((E959-D959)-(C959-E959))/(C959-D959))</f>
        <v>-0.64561403508771953</v>
      </c>
      <c r="Q959">
        <f t="shared" ref="Q959:Q1009" si="1020">F959*P959</f>
        <v>-328748.81010526326</v>
      </c>
      <c r="R959">
        <f t="shared" ref="R959:R1009" si="1021">R960+Q959</f>
        <v>5532782.1872937689</v>
      </c>
      <c r="S959">
        <f t="shared" ref="S959:S1009" si="1022">R959/100000</f>
        <v>55.32782187293769</v>
      </c>
      <c r="T959">
        <f t="shared" ref="T959:T1009" si="1023">S959/1000</f>
        <v>5.5327821872937694E-2</v>
      </c>
    </row>
    <row r="960" spans="1:20" x14ac:dyDescent="0.25">
      <c r="A960" s="5">
        <v>43633</v>
      </c>
      <c r="B960">
        <v>6.6890000000000001</v>
      </c>
      <c r="C960">
        <v>7.1</v>
      </c>
      <c r="D960">
        <v>6.4539999999999997</v>
      </c>
      <c r="E960">
        <v>7.0090000000000003</v>
      </c>
      <c r="F960">
        <v>945538.15099999995</v>
      </c>
      <c r="G960">
        <v>0</v>
      </c>
      <c r="L960" t="s">
        <v>8</v>
      </c>
      <c r="M960" t="s">
        <v>8</v>
      </c>
      <c r="N960" t="s">
        <v>8</v>
      </c>
      <c r="P960">
        <f t="shared" si="1019"/>
        <v>0.71826625386997112</v>
      </c>
      <c r="Q960">
        <f t="shared" si="1020"/>
        <v>679148.14560990909</v>
      </c>
      <c r="R960">
        <f t="shared" si="1021"/>
        <v>5861530.9973990321</v>
      </c>
      <c r="S960">
        <f t="shared" si="1022"/>
        <v>58.615309973990321</v>
      </c>
      <c r="T960">
        <f t="shared" si="1023"/>
        <v>5.8615309973990323E-2</v>
      </c>
    </row>
    <row r="961" spans="1:20" x14ac:dyDescent="0.25">
      <c r="A961" s="5">
        <v>43632</v>
      </c>
      <c r="B961">
        <v>6.1639999999999997</v>
      </c>
      <c r="C961">
        <v>6.7370000000000001</v>
      </c>
      <c r="D961">
        <v>6.1180000000000003</v>
      </c>
      <c r="E961">
        <v>6.6920000000000002</v>
      </c>
      <c r="F961">
        <v>609802.27399999998</v>
      </c>
      <c r="G961">
        <v>0</v>
      </c>
      <c r="L961" t="s">
        <v>8</v>
      </c>
      <c r="M961" t="s">
        <v>8</v>
      </c>
      <c r="N961" t="s">
        <v>8</v>
      </c>
      <c r="P961">
        <f t="shared" si="1019"/>
        <v>0.85460420032310191</v>
      </c>
      <c r="Q961">
        <f t="shared" si="1020"/>
        <v>521139.58472697908</v>
      </c>
      <c r="R961">
        <f t="shared" si="1021"/>
        <v>5182382.8517891234</v>
      </c>
      <c r="S961">
        <f t="shared" si="1022"/>
        <v>51.823828517891236</v>
      </c>
      <c r="T961">
        <f t="shared" si="1023"/>
        <v>5.1823828517891239E-2</v>
      </c>
    </row>
    <row r="962" spans="1:20" x14ac:dyDescent="0.25">
      <c r="A962" s="5">
        <v>43631</v>
      </c>
      <c r="B962">
        <v>6.2240000000000002</v>
      </c>
      <c r="C962">
        <v>6.2649999999999997</v>
      </c>
      <c r="D962">
        <v>6.1020000000000003</v>
      </c>
      <c r="E962">
        <v>6.1669999999999998</v>
      </c>
      <c r="F962">
        <v>373041.20899999997</v>
      </c>
      <c r="G962">
        <v>0</v>
      </c>
      <c r="L962" t="s">
        <v>7</v>
      </c>
      <c r="M962" t="s">
        <v>7</v>
      </c>
      <c r="N962" t="s">
        <v>8</v>
      </c>
      <c r="P962">
        <f t="shared" si="1019"/>
        <v>-0.20245398773006437</v>
      </c>
      <c r="Q962">
        <f t="shared" si="1020"/>
        <v>-75523.680349694376</v>
      </c>
      <c r="R962">
        <f t="shared" si="1021"/>
        <v>4661243.2670621444</v>
      </c>
      <c r="S962">
        <f t="shared" si="1022"/>
        <v>46.612432670621445</v>
      </c>
      <c r="T962">
        <f t="shared" si="1023"/>
        <v>4.6612432670621443E-2</v>
      </c>
    </row>
    <row r="963" spans="1:20" x14ac:dyDescent="0.25">
      <c r="A963" s="5">
        <v>43630</v>
      </c>
      <c r="B963">
        <v>6.2640000000000002</v>
      </c>
      <c r="C963">
        <v>6.2809999999999997</v>
      </c>
      <c r="D963">
        <v>5.8739999999999997</v>
      </c>
      <c r="E963">
        <v>6.2220000000000004</v>
      </c>
      <c r="F963">
        <v>586553.43700000003</v>
      </c>
      <c r="G963">
        <v>0</v>
      </c>
      <c r="L963" t="s">
        <v>7</v>
      </c>
      <c r="M963" t="s">
        <v>7</v>
      </c>
      <c r="N963" t="s">
        <v>8</v>
      </c>
      <c r="P963">
        <f t="shared" si="1019"/>
        <v>0.71007371007371367</v>
      </c>
      <c r="Q963">
        <f t="shared" si="1020"/>
        <v>416496.17516707833</v>
      </c>
      <c r="R963">
        <f t="shared" si="1021"/>
        <v>4736766.9474118389</v>
      </c>
      <c r="S963">
        <f t="shared" si="1022"/>
        <v>47.367669474118387</v>
      </c>
      <c r="T963">
        <f t="shared" si="1023"/>
        <v>4.7367669474118385E-2</v>
      </c>
    </row>
    <row r="964" spans="1:20" x14ac:dyDescent="0.25">
      <c r="A964" s="5">
        <v>43629</v>
      </c>
      <c r="B964">
        <v>6.125</v>
      </c>
      <c r="C964">
        <v>6.5060000000000002</v>
      </c>
      <c r="D964">
        <v>6.0229999999999997</v>
      </c>
      <c r="E964">
        <v>6.266</v>
      </c>
      <c r="F964">
        <v>785068.49800000002</v>
      </c>
      <c r="G964">
        <v>0</v>
      </c>
      <c r="L964" t="s">
        <v>8</v>
      </c>
      <c r="M964" t="s">
        <v>7</v>
      </c>
      <c r="N964" t="s">
        <v>8</v>
      </c>
      <c r="P964">
        <f t="shared" si="1019"/>
        <v>6.211180124223831E-3</v>
      </c>
      <c r="Q964">
        <f t="shared" si="1020"/>
        <v>4876.2018509318568</v>
      </c>
      <c r="R964">
        <f t="shared" si="1021"/>
        <v>4320270.7722447608</v>
      </c>
      <c r="S964">
        <f t="shared" si="1022"/>
        <v>43.202707722447606</v>
      </c>
      <c r="T964">
        <f t="shared" si="1023"/>
        <v>4.3202707722447609E-2</v>
      </c>
    </row>
    <row r="965" spans="1:20" x14ac:dyDescent="0.25">
      <c r="A965" s="5">
        <v>43628</v>
      </c>
      <c r="B965">
        <v>5.9489999999999998</v>
      </c>
      <c r="C965">
        <v>6.2640000000000002</v>
      </c>
      <c r="D965">
        <v>5.8520000000000003</v>
      </c>
      <c r="E965">
        <v>6.1239999999999997</v>
      </c>
      <c r="F965">
        <v>801399.89800000004</v>
      </c>
      <c r="G965">
        <v>0</v>
      </c>
      <c r="L965" t="s">
        <v>8</v>
      </c>
      <c r="M965" t="s">
        <v>7</v>
      </c>
      <c r="N965" t="s">
        <v>8</v>
      </c>
      <c r="P965">
        <f t="shared" si="1019"/>
        <v>0.32038834951456024</v>
      </c>
      <c r="Q965">
        <f t="shared" si="1020"/>
        <v>256759.19062135695</v>
      </c>
      <c r="R965">
        <f t="shared" si="1021"/>
        <v>4315394.5703938287</v>
      </c>
      <c r="S965">
        <f t="shared" si="1022"/>
        <v>43.153945703938284</v>
      </c>
      <c r="T965">
        <f t="shared" si="1023"/>
        <v>4.3153945703938282E-2</v>
      </c>
    </row>
    <row r="966" spans="1:20" x14ac:dyDescent="0.25">
      <c r="A966" s="5">
        <v>43627</v>
      </c>
      <c r="B966">
        <v>6.0759999999999996</v>
      </c>
      <c r="C966">
        <v>6.1760000000000002</v>
      </c>
      <c r="D966">
        <v>5.7530000000000001</v>
      </c>
      <c r="E966">
        <v>5.9429999999999996</v>
      </c>
      <c r="F966">
        <v>561299.08700000006</v>
      </c>
      <c r="G966">
        <v>0</v>
      </c>
      <c r="L966" t="s">
        <v>8</v>
      </c>
      <c r="M966" t="s">
        <v>7</v>
      </c>
      <c r="N966" t="s">
        <v>8</v>
      </c>
      <c r="P966">
        <f t="shared" si="1019"/>
        <v>-0.10165484633569984</v>
      </c>
      <c r="Q966">
        <f t="shared" si="1020"/>
        <v>-57058.772437353618</v>
      </c>
      <c r="R966">
        <f t="shared" si="1021"/>
        <v>4058635.3797724713</v>
      </c>
      <c r="S966">
        <f t="shared" si="1022"/>
        <v>40.586353797724712</v>
      </c>
      <c r="T966">
        <f t="shared" si="1023"/>
        <v>4.0586353797724711E-2</v>
      </c>
    </row>
    <row r="967" spans="1:20" x14ac:dyDescent="0.25">
      <c r="A967" s="5">
        <v>43626</v>
      </c>
      <c r="B967">
        <v>5.8250000000000002</v>
      </c>
      <c r="C967">
        <v>6.0880000000000001</v>
      </c>
      <c r="D967">
        <v>5.7329999999999997</v>
      </c>
      <c r="E967">
        <v>6.0810000000000004</v>
      </c>
      <c r="F967">
        <v>831823.18200000003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0.96056338028169208</v>
      </c>
      <c r="Q967">
        <f t="shared" si="1020"/>
        <v>799018.88749859319</v>
      </c>
      <c r="R967">
        <f t="shared" si="1021"/>
        <v>4115694.1522098249</v>
      </c>
      <c r="S967">
        <f t="shared" si="1022"/>
        <v>41.156941522098251</v>
      </c>
      <c r="T967">
        <f t="shared" si="1023"/>
        <v>4.1156941522098249E-2</v>
      </c>
    </row>
    <row r="968" spans="1:20" x14ac:dyDescent="0.25">
      <c r="A968" s="5">
        <v>43625</v>
      </c>
      <c r="B968">
        <v>6.0970000000000004</v>
      </c>
      <c r="C968">
        <v>6.1849999999999996</v>
      </c>
      <c r="D968">
        <v>5.7</v>
      </c>
      <c r="E968">
        <v>5.8259999999999996</v>
      </c>
      <c r="F968">
        <v>649287.69700000004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-0.4804123711340223</v>
      </c>
      <c r="Q968">
        <f t="shared" si="1020"/>
        <v>-311925.84206391865</v>
      </c>
      <c r="R968">
        <f t="shared" si="1021"/>
        <v>3316675.2647112315</v>
      </c>
      <c r="S968">
        <f t="shared" si="1022"/>
        <v>33.166752647112311</v>
      </c>
      <c r="T968">
        <f t="shared" si="1023"/>
        <v>3.3166752647112309E-2</v>
      </c>
    </row>
    <row r="969" spans="1:20" x14ac:dyDescent="0.25">
      <c r="A969" s="5">
        <v>43624</v>
      </c>
      <c r="B969">
        <v>6.2789999999999999</v>
      </c>
      <c r="C969">
        <v>6.3159999999999998</v>
      </c>
      <c r="D969">
        <v>5.9379999999999997</v>
      </c>
      <c r="E969">
        <v>6.0960000000000001</v>
      </c>
      <c r="F969">
        <v>731554.53500000003</v>
      </c>
      <c r="G969">
        <v>0</v>
      </c>
      <c r="L969" t="s">
        <v>7</v>
      </c>
      <c r="M969" t="s">
        <v>7</v>
      </c>
      <c r="N969" t="s">
        <v>8</v>
      </c>
      <c r="P969">
        <f t="shared" si="1019"/>
        <v>-0.16402116402116235</v>
      </c>
      <c r="Q969">
        <f t="shared" si="1020"/>
        <v>-119990.42637566016</v>
      </c>
      <c r="R969">
        <f t="shared" si="1021"/>
        <v>3628601.1067751502</v>
      </c>
      <c r="S969">
        <f t="shared" si="1022"/>
        <v>36.286011067751502</v>
      </c>
      <c r="T969">
        <f t="shared" si="1023"/>
        <v>3.6286011067751506E-2</v>
      </c>
    </row>
    <row r="970" spans="1:20" x14ac:dyDescent="0.25">
      <c r="A970" s="5">
        <v>43623</v>
      </c>
      <c r="B970">
        <v>5.9950000000000001</v>
      </c>
      <c r="C970">
        <v>6.5759999999999996</v>
      </c>
      <c r="D970">
        <v>5.8769999999999998</v>
      </c>
      <c r="E970">
        <v>6.2789999999999999</v>
      </c>
      <c r="F970">
        <v>1848141.2760000001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0.15021459227467876</v>
      </c>
      <c r="Q970">
        <f t="shared" si="1020"/>
        <v>277617.78824034455</v>
      </c>
      <c r="R970">
        <f t="shared" si="1021"/>
        <v>3748591.5331508103</v>
      </c>
      <c r="S970">
        <f t="shared" si="1022"/>
        <v>37.485915331508103</v>
      </c>
      <c r="T970">
        <f t="shared" si="1023"/>
        <v>3.74859153315081E-2</v>
      </c>
    </row>
    <row r="971" spans="1:20" x14ac:dyDescent="0.25">
      <c r="A971" s="5">
        <v>43622</v>
      </c>
      <c r="B971">
        <v>6.141</v>
      </c>
      <c r="C971">
        <v>6.1470000000000002</v>
      </c>
      <c r="D971">
        <v>5.6210000000000004</v>
      </c>
      <c r="E971">
        <v>5.9870000000000001</v>
      </c>
      <c r="F971">
        <v>1767183.8319999999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0.3916349809885924</v>
      </c>
      <c r="Q971">
        <f t="shared" si="1020"/>
        <v>692091.00644866785</v>
      </c>
      <c r="R971">
        <f t="shared" si="1021"/>
        <v>3470973.7449104656</v>
      </c>
      <c r="S971">
        <f t="shared" si="1022"/>
        <v>34.709737449104658</v>
      </c>
      <c r="T971">
        <f t="shared" si="1023"/>
        <v>3.4709737449104661E-2</v>
      </c>
    </row>
    <row r="972" spans="1:20" x14ac:dyDescent="0.25">
      <c r="A972" s="5">
        <v>43621</v>
      </c>
      <c r="B972">
        <v>5.931</v>
      </c>
      <c r="C972">
        <v>6.28</v>
      </c>
      <c r="D972">
        <v>5.62</v>
      </c>
      <c r="E972">
        <v>6.14</v>
      </c>
      <c r="F972">
        <v>2180411.4670000002</v>
      </c>
      <c r="G972">
        <v>0</v>
      </c>
      <c r="L972" t="s">
        <v>7</v>
      </c>
      <c r="M972" t="s">
        <v>7</v>
      </c>
      <c r="N972" t="s">
        <v>8</v>
      </c>
      <c r="P972">
        <f t="shared" si="1019"/>
        <v>0.57575757575757414</v>
      </c>
      <c r="Q972">
        <f t="shared" si="1020"/>
        <v>1255388.4203939359</v>
      </c>
      <c r="R972">
        <f t="shared" si="1021"/>
        <v>2778882.7384617976</v>
      </c>
      <c r="S972">
        <f t="shared" si="1022"/>
        <v>27.788827384617974</v>
      </c>
      <c r="T972">
        <f t="shared" si="1023"/>
        <v>2.7788827384617975E-2</v>
      </c>
    </row>
    <row r="973" spans="1:20" x14ac:dyDescent="0.25">
      <c r="A973" s="5">
        <v>43620</v>
      </c>
      <c r="B973">
        <v>6.5060000000000002</v>
      </c>
      <c r="C973">
        <v>6.85</v>
      </c>
      <c r="D973">
        <v>5.7439999999999998</v>
      </c>
      <c r="E973">
        <v>5.93</v>
      </c>
      <c r="F973">
        <v>3360461.824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-0.6636528028933093</v>
      </c>
      <c r="Q973">
        <f t="shared" si="1020"/>
        <v>-2230179.9085135628</v>
      </c>
      <c r="R973">
        <f t="shared" si="1021"/>
        <v>1523494.3180678617</v>
      </c>
      <c r="S973">
        <f t="shared" si="1022"/>
        <v>15.234943180678616</v>
      </c>
      <c r="T973">
        <f t="shared" si="1023"/>
        <v>1.5234943180678617E-2</v>
      </c>
    </row>
    <row r="974" spans="1:20" x14ac:dyDescent="0.25">
      <c r="A974" s="5">
        <v>43619</v>
      </c>
      <c r="B974">
        <v>6.3929999999999998</v>
      </c>
      <c r="C974">
        <v>7.2489999999999997</v>
      </c>
      <c r="D974">
        <v>5.9749999999999996</v>
      </c>
      <c r="E974">
        <v>6.5060000000000002</v>
      </c>
      <c r="F974">
        <v>4684919.3310000002</v>
      </c>
      <c r="G974">
        <v>0</v>
      </c>
      <c r="L974" t="s">
        <v>8</v>
      </c>
      <c r="M974" t="s">
        <v>8</v>
      </c>
      <c r="N974" t="s">
        <v>8</v>
      </c>
      <c r="P974">
        <f t="shared" si="1019"/>
        <v>-0.16640502354787978</v>
      </c>
      <c r="Q974">
        <f t="shared" si="1020"/>
        <v>-779594.1115949722</v>
      </c>
      <c r="R974">
        <f t="shared" si="1021"/>
        <v>3753674.2265814245</v>
      </c>
      <c r="S974">
        <f t="shared" si="1022"/>
        <v>37.536742265814247</v>
      </c>
      <c r="T974">
        <f t="shared" si="1023"/>
        <v>3.753674226581425E-2</v>
      </c>
    </row>
    <row r="975" spans="1:20" x14ac:dyDescent="0.25">
      <c r="A975" s="5">
        <v>43618</v>
      </c>
      <c r="B975">
        <v>5.7729999999999997</v>
      </c>
      <c r="C975">
        <v>6.42</v>
      </c>
      <c r="D975">
        <v>5.5720000000000001</v>
      </c>
      <c r="E975">
        <v>6.3879999999999999</v>
      </c>
      <c r="F975">
        <v>1467150.2290000001</v>
      </c>
      <c r="G975">
        <v>0</v>
      </c>
      <c r="L975" t="s">
        <v>7</v>
      </c>
      <c r="M975" t="s">
        <v>8</v>
      </c>
      <c r="N975" t="s">
        <v>8</v>
      </c>
      <c r="P975">
        <f t="shared" si="1019"/>
        <v>0.92452830188679236</v>
      </c>
      <c r="Q975">
        <f t="shared" si="1020"/>
        <v>1356421.9098301886</v>
      </c>
      <c r="R975">
        <f t="shared" si="1021"/>
        <v>4533268.3381763967</v>
      </c>
      <c r="S975">
        <f t="shared" si="1022"/>
        <v>45.332683381763964</v>
      </c>
      <c r="T975">
        <f t="shared" si="1023"/>
        <v>4.5332683381763966E-2</v>
      </c>
    </row>
    <row r="976" spans="1:20" x14ac:dyDescent="0.25">
      <c r="A976" s="5">
        <v>43617</v>
      </c>
      <c r="B976">
        <v>5.782</v>
      </c>
      <c r="C976">
        <v>6.3250000000000002</v>
      </c>
      <c r="D976">
        <v>5.6</v>
      </c>
      <c r="E976">
        <v>5.7709999999999999</v>
      </c>
      <c r="F976">
        <v>2589194.8360000001</v>
      </c>
      <c r="G976">
        <v>0</v>
      </c>
      <c r="L976" t="s">
        <v>8</v>
      </c>
      <c r="M976" t="s">
        <v>8</v>
      </c>
      <c r="N976" t="s">
        <v>8</v>
      </c>
      <c r="P976">
        <f t="shared" si="1019"/>
        <v>-0.52827586206896515</v>
      </c>
      <c r="Q976">
        <f t="shared" si="1020"/>
        <v>-1367809.1340524128</v>
      </c>
      <c r="R976">
        <f t="shared" si="1021"/>
        <v>3176846.4283462083</v>
      </c>
      <c r="S976">
        <f t="shared" si="1022"/>
        <v>31.768464283462084</v>
      </c>
      <c r="T976">
        <f t="shared" si="1023"/>
        <v>3.1768464283462083E-2</v>
      </c>
    </row>
    <row r="977" spans="1:20" x14ac:dyDescent="0.25">
      <c r="A977" s="5">
        <v>43616</v>
      </c>
      <c r="B977">
        <v>5.9279999999999999</v>
      </c>
      <c r="C977">
        <v>5.93</v>
      </c>
      <c r="D977">
        <v>5.2110000000000003</v>
      </c>
      <c r="E977">
        <v>5.782</v>
      </c>
      <c r="F977">
        <v>3477721.8659999999</v>
      </c>
      <c r="G977">
        <v>0</v>
      </c>
      <c r="L977" t="s">
        <v>7</v>
      </c>
      <c r="M977" t="s">
        <v>7</v>
      </c>
      <c r="N977" t="s">
        <v>8</v>
      </c>
      <c r="P977">
        <f t="shared" si="1019"/>
        <v>0.58831710709318552</v>
      </c>
      <c r="Q977">
        <f t="shared" si="1020"/>
        <v>2046003.2674798348</v>
      </c>
      <c r="R977">
        <f t="shared" si="1021"/>
        <v>4544655.5623986209</v>
      </c>
      <c r="S977">
        <f t="shared" si="1022"/>
        <v>45.446555623986207</v>
      </c>
      <c r="T977">
        <f t="shared" si="1023"/>
        <v>4.544655562398621E-2</v>
      </c>
    </row>
    <row r="978" spans="1:20" x14ac:dyDescent="0.25">
      <c r="A978" s="5">
        <v>43615</v>
      </c>
      <c r="B978">
        <v>4.6820000000000004</v>
      </c>
      <c r="C978">
        <v>6.6029999999999998</v>
      </c>
      <c r="D978">
        <v>4.6680000000000001</v>
      </c>
      <c r="E978">
        <v>5.9260000000000002</v>
      </c>
      <c r="F978">
        <v>5953590.2929999996</v>
      </c>
      <c r="G978">
        <v>0</v>
      </c>
      <c r="L978" t="s">
        <v>8</v>
      </c>
      <c r="M978" t="s">
        <v>8</v>
      </c>
      <c r="N978" t="s">
        <v>8</v>
      </c>
      <c r="P978">
        <f t="shared" si="1019"/>
        <v>0.30025839793281683</v>
      </c>
      <c r="Q978">
        <f t="shared" si="1020"/>
        <v>1787615.4833245494</v>
      </c>
      <c r="R978">
        <f t="shared" si="1021"/>
        <v>2498652.2949187863</v>
      </c>
      <c r="S978">
        <f t="shared" si="1022"/>
        <v>24.986522949187862</v>
      </c>
      <c r="T978">
        <f t="shared" si="1023"/>
        <v>2.4986522949187861E-2</v>
      </c>
    </row>
    <row r="979" spans="1:20" x14ac:dyDescent="0.25">
      <c r="A979" s="5">
        <v>43614</v>
      </c>
      <c r="B979">
        <v>4.7939999999999996</v>
      </c>
      <c r="C979">
        <v>4.8730000000000002</v>
      </c>
      <c r="D979">
        <v>4.5</v>
      </c>
      <c r="E979">
        <v>4.6959999999999997</v>
      </c>
      <c r="F979">
        <v>598479.755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5.0938337801606511E-2</v>
      </c>
      <c r="Q979">
        <f t="shared" si="1020"/>
        <v>30485.563927612704</v>
      </c>
      <c r="R979">
        <f t="shared" si="1021"/>
        <v>711036.81159423687</v>
      </c>
      <c r="S979">
        <f t="shared" si="1022"/>
        <v>7.1103681159423688</v>
      </c>
      <c r="T979">
        <f t="shared" si="1023"/>
        <v>7.1103681159423691E-3</v>
      </c>
    </row>
    <row r="980" spans="1:20" x14ac:dyDescent="0.25">
      <c r="A980" s="5">
        <v>43613</v>
      </c>
      <c r="B980">
        <v>4.665</v>
      </c>
      <c r="C980">
        <v>4.8630000000000004</v>
      </c>
      <c r="D980">
        <v>4.4740000000000002</v>
      </c>
      <c r="E980">
        <v>4.7779999999999996</v>
      </c>
      <c r="F980">
        <v>650998.4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0.56298200514138408</v>
      </c>
      <c r="Q980">
        <f t="shared" si="1020"/>
        <v>366500.38457583281</v>
      </c>
      <c r="R980">
        <f t="shared" si="1021"/>
        <v>680551.24766662414</v>
      </c>
      <c r="S980">
        <f t="shared" si="1022"/>
        <v>6.8055124766662418</v>
      </c>
      <c r="T980">
        <f t="shared" si="1023"/>
        <v>6.8055124766662417E-3</v>
      </c>
    </row>
    <row r="981" spans="1:20" x14ac:dyDescent="0.25">
      <c r="A981" s="5">
        <v>43612</v>
      </c>
      <c r="B981">
        <v>4.4779999999999998</v>
      </c>
      <c r="C981">
        <v>4.6989999999999998</v>
      </c>
      <c r="D981">
        <v>4.47</v>
      </c>
      <c r="E981">
        <v>4.6550000000000002</v>
      </c>
      <c r="F981">
        <v>660167.30099999998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0.6157205240174709</v>
      </c>
      <c r="Q981">
        <f t="shared" si="1020"/>
        <v>406478.55651091941</v>
      </c>
      <c r="R981">
        <f t="shared" si="1021"/>
        <v>314050.86309079133</v>
      </c>
      <c r="S981">
        <f t="shared" si="1022"/>
        <v>3.1405086309079131</v>
      </c>
      <c r="T981">
        <f t="shared" si="1023"/>
        <v>3.1405086309079129E-3</v>
      </c>
    </row>
    <row r="982" spans="1:20" x14ac:dyDescent="0.25">
      <c r="A982" s="5">
        <v>43611</v>
      </c>
      <c r="B982">
        <v>4.3849999999999998</v>
      </c>
      <c r="C982">
        <v>4.5430000000000001</v>
      </c>
      <c r="D982">
        <v>4.2380000000000004</v>
      </c>
      <c r="E982">
        <v>4.4809999999999999</v>
      </c>
      <c r="F982">
        <v>549918.06099999999</v>
      </c>
      <c r="G982">
        <v>0</v>
      </c>
      <c r="L982" t="s">
        <v>7</v>
      </c>
      <c r="M982" t="s">
        <v>8</v>
      </c>
      <c r="N982" t="s">
        <v>8</v>
      </c>
      <c r="P982">
        <f t="shared" si="1019"/>
        <v>0.59344262295081751</v>
      </c>
      <c r="Q982">
        <f t="shared" si="1020"/>
        <v>326344.81652786763</v>
      </c>
      <c r="R982">
        <f t="shared" si="1021"/>
        <v>-92427.693420128082</v>
      </c>
      <c r="S982">
        <f t="shared" si="1022"/>
        <v>-0.92427693420128076</v>
      </c>
      <c r="T982">
        <f t="shared" si="1023"/>
        <v>-9.2427693420128081E-4</v>
      </c>
    </row>
    <row r="983" spans="1:20" x14ac:dyDescent="0.25">
      <c r="A983" s="5">
        <v>43610</v>
      </c>
      <c r="B983">
        <v>4.4470000000000001</v>
      </c>
      <c r="C983">
        <v>4.5999999999999996</v>
      </c>
      <c r="D983">
        <v>4.2869999999999999</v>
      </c>
      <c r="E983">
        <v>4.3849999999999998</v>
      </c>
      <c r="F983">
        <v>606239.44299999997</v>
      </c>
      <c r="G983">
        <v>0</v>
      </c>
      <c r="L983" t="s">
        <v>7</v>
      </c>
      <c r="M983" t="s">
        <v>8</v>
      </c>
      <c r="N983" t="s">
        <v>8</v>
      </c>
      <c r="P983">
        <f t="shared" si="1019"/>
        <v>-0.37380191693290765</v>
      </c>
      <c r="Q983">
        <f t="shared" si="1020"/>
        <v>-226613.46591373818</v>
      </c>
      <c r="R983">
        <f t="shared" si="1021"/>
        <v>-418772.50994799571</v>
      </c>
      <c r="S983">
        <f t="shared" si="1022"/>
        <v>-4.1877250994799571</v>
      </c>
      <c r="T983">
        <f t="shared" si="1023"/>
        <v>-4.187725099479957E-3</v>
      </c>
    </row>
    <row r="984" spans="1:20" x14ac:dyDescent="0.25">
      <c r="A984" s="5">
        <v>43609</v>
      </c>
      <c r="B984">
        <v>4.335</v>
      </c>
      <c r="C984">
        <v>4.7699999999999996</v>
      </c>
      <c r="D984">
        <v>4.258</v>
      </c>
      <c r="E984">
        <v>4.4539999999999997</v>
      </c>
      <c r="F984">
        <v>2054989.8829999999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-0.23437500000000042</v>
      </c>
      <c r="Q984">
        <f t="shared" si="1020"/>
        <v>-481638.25382812583</v>
      </c>
      <c r="R984">
        <f t="shared" si="1021"/>
        <v>-192159.04403425753</v>
      </c>
      <c r="S984">
        <f t="shared" si="1022"/>
        <v>-1.9215904403425752</v>
      </c>
      <c r="T984">
        <f t="shared" si="1023"/>
        <v>-1.9215904403425753E-3</v>
      </c>
    </row>
    <row r="985" spans="1:20" x14ac:dyDescent="0.25">
      <c r="A985" s="5">
        <v>43608</v>
      </c>
      <c r="B985">
        <v>4.3090000000000002</v>
      </c>
      <c r="C985">
        <v>4.3630000000000004</v>
      </c>
      <c r="D985">
        <v>4.1150000000000002</v>
      </c>
      <c r="E985">
        <v>4.3369999999999997</v>
      </c>
      <c r="F985">
        <v>976154.05099999998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0.79032258064515593</v>
      </c>
      <c r="Q985">
        <f t="shared" si="1020"/>
        <v>771476.5886935431</v>
      </c>
      <c r="R985">
        <f t="shared" si="1021"/>
        <v>289479.2097938683</v>
      </c>
      <c r="S985">
        <f t="shared" si="1022"/>
        <v>2.8947920979386832</v>
      </c>
      <c r="T985">
        <f t="shared" si="1023"/>
        <v>2.8947920979386834E-3</v>
      </c>
    </row>
    <row r="986" spans="1:20" x14ac:dyDescent="0.25">
      <c r="A986" s="5">
        <v>43607</v>
      </c>
      <c r="B986">
        <v>4.74</v>
      </c>
      <c r="C986">
        <v>4.8209999999999997</v>
      </c>
      <c r="D986">
        <v>4.3</v>
      </c>
      <c r="E986">
        <v>4.306</v>
      </c>
      <c r="F986">
        <v>997542.19099999999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-0.97696737044145787</v>
      </c>
      <c r="Q986">
        <f t="shared" si="1020"/>
        <v>-974566.17124568054</v>
      </c>
      <c r="R986">
        <f t="shared" si="1021"/>
        <v>-481997.3788996748</v>
      </c>
      <c r="S986">
        <f t="shared" si="1022"/>
        <v>-4.819973788996748</v>
      </c>
      <c r="T986">
        <f t="shared" si="1023"/>
        <v>-4.8199737889967481E-3</v>
      </c>
    </row>
    <row r="987" spans="1:20" x14ac:dyDescent="0.25">
      <c r="A987" s="5">
        <v>43606</v>
      </c>
      <c r="B987">
        <v>4.6680000000000001</v>
      </c>
      <c r="C987">
        <v>4.8639999999999999</v>
      </c>
      <c r="D987">
        <v>4.4800000000000004</v>
      </c>
      <c r="E987">
        <v>4.7430000000000003</v>
      </c>
      <c r="F987">
        <v>1172703.7039999999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0.36979166666666807</v>
      </c>
      <c r="Q987">
        <f t="shared" si="1020"/>
        <v>433656.05720833497</v>
      </c>
      <c r="R987">
        <f t="shared" si="1021"/>
        <v>492568.79234600574</v>
      </c>
      <c r="S987">
        <f t="shared" si="1022"/>
        <v>4.9256879234600577</v>
      </c>
      <c r="T987">
        <f t="shared" si="1023"/>
        <v>4.9256879234600573E-3</v>
      </c>
    </row>
    <row r="988" spans="1:20" x14ac:dyDescent="0.25">
      <c r="A988" s="5">
        <v>43605</v>
      </c>
      <c r="B988">
        <v>4.8520000000000003</v>
      </c>
      <c r="C988">
        <v>4.8630000000000004</v>
      </c>
      <c r="D988">
        <v>4.4320000000000004</v>
      </c>
      <c r="E988">
        <v>4.673</v>
      </c>
      <c r="F988">
        <v>1532786.2860000001</v>
      </c>
      <c r="G988">
        <v>0</v>
      </c>
      <c r="L988" t="s">
        <v>7</v>
      </c>
      <c r="M988" t="s">
        <v>8</v>
      </c>
      <c r="N988" t="s">
        <v>8</v>
      </c>
      <c r="P988">
        <f t="shared" si="1019"/>
        <v>0.11832946635730687</v>
      </c>
      <c r="Q988">
        <f t="shared" si="1020"/>
        <v>181373.78326217836</v>
      </c>
      <c r="R988">
        <f t="shared" si="1021"/>
        <v>58912.735137670767</v>
      </c>
      <c r="S988">
        <f t="shared" si="1022"/>
        <v>0.58912735137670769</v>
      </c>
      <c r="T988">
        <f t="shared" si="1023"/>
        <v>5.8912735137670773E-4</v>
      </c>
    </row>
    <row r="989" spans="1:20" x14ac:dyDescent="0.25">
      <c r="A989" s="5">
        <v>43604</v>
      </c>
      <c r="B989">
        <v>4.6840000000000002</v>
      </c>
      <c r="C989">
        <v>5.1710000000000003</v>
      </c>
      <c r="D989">
        <v>4.6360000000000001</v>
      </c>
      <c r="E989">
        <v>4.8520000000000003</v>
      </c>
      <c r="F989">
        <v>1758978.665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-0.19252336448598081</v>
      </c>
      <c r="Q989">
        <f t="shared" si="1020"/>
        <v>-338644.49064485898</v>
      </c>
      <c r="R989">
        <f t="shared" si="1021"/>
        <v>-122461.04812450759</v>
      </c>
      <c r="S989">
        <f t="shared" si="1022"/>
        <v>-1.224610481245076</v>
      </c>
      <c r="T989">
        <f t="shared" si="1023"/>
        <v>-1.224610481245076E-3</v>
      </c>
    </row>
    <row r="990" spans="1:20" x14ac:dyDescent="0.25">
      <c r="A990" s="5">
        <v>43603</v>
      </c>
      <c r="B990">
        <v>4.4130000000000003</v>
      </c>
      <c r="C990">
        <v>5</v>
      </c>
      <c r="D990">
        <v>4.33</v>
      </c>
      <c r="E990">
        <v>4.6840000000000002</v>
      </c>
      <c r="F990">
        <v>1869590.9990000001</v>
      </c>
      <c r="G990">
        <v>0</v>
      </c>
      <c r="L990" t="s">
        <v>8</v>
      </c>
      <c r="M990" t="s">
        <v>8</v>
      </c>
      <c r="N990" t="s">
        <v>8</v>
      </c>
      <c r="P990">
        <f t="shared" si="1019"/>
        <v>5.6716417910448146E-2</v>
      </c>
      <c r="Q990">
        <f t="shared" si="1020"/>
        <v>106036.50442089625</v>
      </c>
      <c r="R990">
        <f t="shared" si="1021"/>
        <v>216183.44252035138</v>
      </c>
      <c r="S990">
        <f t="shared" si="1022"/>
        <v>2.161834425203514</v>
      </c>
      <c r="T990">
        <f t="shared" si="1023"/>
        <v>2.161834425203514E-3</v>
      </c>
    </row>
    <row r="991" spans="1:20" x14ac:dyDescent="0.25">
      <c r="A991" s="5">
        <v>43602</v>
      </c>
      <c r="B991">
        <v>4.2679999999999998</v>
      </c>
      <c r="C991">
        <v>4.7919999999999998</v>
      </c>
      <c r="D991">
        <v>3.95</v>
      </c>
      <c r="E991">
        <v>4.4130000000000003</v>
      </c>
      <c r="F991">
        <v>2800485.7850000001</v>
      </c>
      <c r="G991">
        <v>0</v>
      </c>
      <c r="L991" t="s">
        <v>7</v>
      </c>
      <c r="M991" t="s">
        <v>8</v>
      </c>
      <c r="N991" t="s">
        <v>8</v>
      </c>
      <c r="P991">
        <f t="shared" si="1019"/>
        <v>9.9762470308789264E-2</v>
      </c>
      <c r="Q991">
        <f t="shared" si="1020"/>
        <v>279383.37997624889</v>
      </c>
      <c r="R991">
        <f t="shared" si="1021"/>
        <v>110146.93809945515</v>
      </c>
      <c r="S991">
        <f t="shared" si="1022"/>
        <v>1.1014693809945515</v>
      </c>
      <c r="T991">
        <f t="shared" si="1023"/>
        <v>1.1014693809945515E-3</v>
      </c>
    </row>
    <row r="992" spans="1:20" x14ac:dyDescent="0.25">
      <c r="A992" s="5">
        <v>43601</v>
      </c>
      <c r="B992">
        <v>4.5460000000000003</v>
      </c>
      <c r="C992">
        <v>4.78</v>
      </c>
      <c r="D992">
        <v>4</v>
      </c>
      <c r="E992">
        <v>4.2779999999999996</v>
      </c>
      <c r="F992">
        <v>1678626.34</v>
      </c>
      <c r="G992">
        <v>0</v>
      </c>
      <c r="L992" t="s">
        <v>7</v>
      </c>
      <c r="M992" t="s">
        <v>7</v>
      </c>
      <c r="N992" t="s">
        <v>8</v>
      </c>
      <c r="P992">
        <f t="shared" si="1019"/>
        <v>-0.28717948717948849</v>
      </c>
      <c r="Q992">
        <f t="shared" si="1020"/>
        <v>-482067.05148718168</v>
      </c>
      <c r="R992">
        <f t="shared" si="1021"/>
        <v>-169236.44187679375</v>
      </c>
      <c r="S992">
        <f t="shared" si="1022"/>
        <v>-1.6923644187679374</v>
      </c>
      <c r="T992">
        <f t="shared" si="1023"/>
        <v>-1.6923644187679374E-3</v>
      </c>
    </row>
    <row r="993" spans="1:20" x14ac:dyDescent="0.25">
      <c r="A993" s="5">
        <v>43600</v>
      </c>
      <c r="B993">
        <v>4</v>
      </c>
      <c r="C993">
        <v>4.8</v>
      </c>
      <c r="D993">
        <v>3.9860000000000002</v>
      </c>
      <c r="E993">
        <v>4.5469999999999997</v>
      </c>
      <c r="F993">
        <v>1592045.388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0.37837837837837779</v>
      </c>
      <c r="Q993">
        <f t="shared" si="1020"/>
        <v>602395.55221621529</v>
      </c>
      <c r="R993">
        <f t="shared" si="1021"/>
        <v>312830.60961038794</v>
      </c>
      <c r="S993">
        <f t="shared" si="1022"/>
        <v>3.1283060961038793</v>
      </c>
      <c r="T993">
        <f t="shared" si="1023"/>
        <v>3.1283060961038792E-3</v>
      </c>
    </row>
    <row r="994" spans="1:20" x14ac:dyDescent="0.25">
      <c r="A994" s="5">
        <v>43599</v>
      </c>
      <c r="B994">
        <v>3.8969999999999998</v>
      </c>
      <c r="C994">
        <v>4.0869999999999997</v>
      </c>
      <c r="D994">
        <v>3.7789999999999999</v>
      </c>
      <c r="E994">
        <v>4</v>
      </c>
      <c r="F994">
        <v>1214232.757</v>
      </c>
      <c r="G994">
        <v>0</v>
      </c>
      <c r="L994" t="s">
        <v>7</v>
      </c>
      <c r="M994" t="s">
        <v>8</v>
      </c>
      <c r="N994" t="s">
        <v>7</v>
      </c>
      <c r="P994">
        <f t="shared" si="1019"/>
        <v>0.43506493506493643</v>
      </c>
      <c r="Q994">
        <f t="shared" si="1020"/>
        <v>528270.0955779237</v>
      </c>
      <c r="R994">
        <f t="shared" si="1021"/>
        <v>-289564.94260582735</v>
      </c>
      <c r="S994">
        <f t="shared" si="1022"/>
        <v>-2.8956494260582737</v>
      </c>
      <c r="T994">
        <f t="shared" si="1023"/>
        <v>-2.8956494260582739E-3</v>
      </c>
    </row>
    <row r="995" spans="1:20" x14ac:dyDescent="0.25">
      <c r="A995" s="5">
        <v>43598</v>
      </c>
      <c r="B995">
        <v>3.75</v>
      </c>
      <c r="C995">
        <v>4.173</v>
      </c>
      <c r="D995">
        <v>3.734</v>
      </c>
      <c r="E995">
        <v>3.8969999999999998</v>
      </c>
      <c r="F995">
        <v>1023379.117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-0.25740318906606019</v>
      </c>
      <c r="Q995">
        <f t="shared" si="1020"/>
        <v>-263421.04833940871</v>
      </c>
      <c r="R995">
        <f t="shared" si="1021"/>
        <v>-817835.03818375105</v>
      </c>
      <c r="S995">
        <f t="shared" si="1022"/>
        <v>-8.178350381837511</v>
      </c>
      <c r="T995">
        <f t="shared" si="1023"/>
        <v>-8.1783503818375104E-3</v>
      </c>
    </row>
    <row r="996" spans="1:20" x14ac:dyDescent="0.25">
      <c r="A996" s="5">
        <v>43597</v>
      </c>
      <c r="B996">
        <v>3.9039999999999999</v>
      </c>
      <c r="C996">
        <v>4.04</v>
      </c>
      <c r="D996">
        <v>3.6040000000000001</v>
      </c>
      <c r="E996">
        <v>3.75</v>
      </c>
      <c r="F996">
        <v>828353.86300000001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-0.33027522935779852</v>
      </c>
      <c r="Q996">
        <f t="shared" si="1020"/>
        <v>-273584.76209174341</v>
      </c>
      <c r="R996">
        <f t="shared" si="1021"/>
        <v>-554413.98984434234</v>
      </c>
      <c r="S996">
        <f t="shared" si="1022"/>
        <v>-5.5441398984434231</v>
      </c>
      <c r="T996">
        <f t="shared" si="1023"/>
        <v>-5.544139898443423E-3</v>
      </c>
    </row>
    <row r="997" spans="1:20" x14ac:dyDescent="0.25">
      <c r="A997" s="5">
        <v>43596</v>
      </c>
      <c r="B997">
        <v>3.8039999999999998</v>
      </c>
      <c r="C997">
        <v>4.1749999999999998</v>
      </c>
      <c r="D997">
        <v>3.7</v>
      </c>
      <c r="E997">
        <v>3.9020000000000001</v>
      </c>
      <c r="F997">
        <v>1421951.65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-0.14947368421052587</v>
      </c>
      <c r="Q997">
        <f t="shared" si="1020"/>
        <v>-212544.3518947362</v>
      </c>
      <c r="R997">
        <f t="shared" si="1021"/>
        <v>-280829.22775259893</v>
      </c>
      <c r="S997">
        <f t="shared" si="1022"/>
        <v>-2.8082922775259895</v>
      </c>
      <c r="T997">
        <f t="shared" si="1023"/>
        <v>-2.8082922775259896E-3</v>
      </c>
    </row>
    <row r="998" spans="1:20" x14ac:dyDescent="0.25">
      <c r="A998" s="5">
        <v>43595</v>
      </c>
      <c r="B998">
        <v>3.8839999999999999</v>
      </c>
      <c r="C998">
        <v>4.1139999999999999</v>
      </c>
      <c r="D998">
        <v>3.6110000000000002</v>
      </c>
      <c r="E998">
        <v>3.7970000000000002</v>
      </c>
      <c r="F998">
        <v>1403065.5560000001</v>
      </c>
      <c r="G998">
        <v>0</v>
      </c>
      <c r="L998" t="s">
        <v>8</v>
      </c>
      <c r="M998" t="s">
        <v>7</v>
      </c>
      <c r="N998" t="s">
        <v>7</v>
      </c>
      <c r="P998">
        <f t="shared" si="1019"/>
        <v>-0.26043737574552656</v>
      </c>
      <c r="Q998">
        <f t="shared" si="1020"/>
        <v>-365410.71140357817</v>
      </c>
      <c r="R998">
        <f t="shared" si="1021"/>
        <v>-68284.87585786276</v>
      </c>
      <c r="S998">
        <f t="shared" si="1022"/>
        <v>-0.68284875857862759</v>
      </c>
      <c r="T998">
        <f t="shared" si="1023"/>
        <v>-6.8284875857862754E-4</v>
      </c>
    </row>
    <row r="999" spans="1:20" x14ac:dyDescent="0.25">
      <c r="A999" s="5">
        <v>43594</v>
      </c>
      <c r="B999">
        <v>4.3419999999999996</v>
      </c>
      <c r="C999">
        <v>4.4909999999999997</v>
      </c>
      <c r="D999">
        <v>3.415</v>
      </c>
      <c r="E999">
        <v>3.88</v>
      </c>
      <c r="F999">
        <v>1848165.513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-0.1356877323420074</v>
      </c>
      <c r="Q999">
        <f t="shared" si="1020"/>
        <v>-250773.38745167281</v>
      </c>
      <c r="R999">
        <f t="shared" si="1021"/>
        <v>297125.83554571541</v>
      </c>
      <c r="S999">
        <f t="shared" si="1022"/>
        <v>2.9712583554571541</v>
      </c>
      <c r="T999">
        <f t="shared" si="1023"/>
        <v>2.9712583554571542E-3</v>
      </c>
    </row>
    <row r="1000" spans="1:20" x14ac:dyDescent="0.25">
      <c r="A1000" s="5">
        <v>43593</v>
      </c>
      <c r="B1000">
        <v>4.601</v>
      </c>
      <c r="C1000">
        <v>4.6349999999999998</v>
      </c>
      <c r="D1000">
        <v>4.242</v>
      </c>
      <c r="E1000">
        <v>4.3129999999999997</v>
      </c>
      <c r="F1000">
        <v>1025911.947</v>
      </c>
      <c r="G1000">
        <v>0</v>
      </c>
      <c r="L1000" t="s">
        <v>7</v>
      </c>
      <c r="M1000" t="s">
        <v>7</v>
      </c>
      <c r="N1000" t="s">
        <v>8</v>
      </c>
      <c r="P1000">
        <f t="shared" si="1019"/>
        <v>-0.63867684478371622</v>
      </c>
      <c r="Q1000">
        <f t="shared" si="1020"/>
        <v>-655226.20533587912</v>
      </c>
      <c r="R1000">
        <f t="shared" si="1021"/>
        <v>547899.22299738822</v>
      </c>
      <c r="S1000">
        <f t="shared" si="1022"/>
        <v>5.4789922299738825</v>
      </c>
      <c r="T1000">
        <f t="shared" si="1023"/>
        <v>5.4789922299738822E-3</v>
      </c>
    </row>
    <row r="1001" spans="1:20" x14ac:dyDescent="0.25">
      <c r="A1001" s="5">
        <v>43592</v>
      </c>
      <c r="B1001">
        <v>4.7629999999999999</v>
      </c>
      <c r="C1001">
        <v>5.0709999999999997</v>
      </c>
      <c r="D1001">
        <v>4.59</v>
      </c>
      <c r="E1001">
        <v>4.5960000000000001</v>
      </c>
      <c r="F1001">
        <v>1104548.01</v>
      </c>
      <c r="G1001">
        <v>0</v>
      </c>
      <c r="L1001" t="s">
        <v>8</v>
      </c>
      <c r="M1001" t="s">
        <v>7</v>
      </c>
      <c r="N1001" t="s">
        <v>8</v>
      </c>
      <c r="P1001">
        <f t="shared" si="1019"/>
        <v>-0.97505197505197405</v>
      </c>
      <c r="Q1001">
        <f t="shared" si="1020"/>
        <v>-1076991.7186902275</v>
      </c>
      <c r="R1001">
        <f t="shared" si="1021"/>
        <v>1203125.4283332673</v>
      </c>
      <c r="S1001">
        <f t="shared" si="1022"/>
        <v>12.031254283332673</v>
      </c>
      <c r="T1001">
        <f t="shared" si="1023"/>
        <v>1.2031254283332673E-2</v>
      </c>
    </row>
    <row r="1002" spans="1:20" x14ac:dyDescent="0.25">
      <c r="A1002" s="5">
        <v>43591</v>
      </c>
      <c r="B1002">
        <v>4.8380000000000001</v>
      </c>
      <c r="C1002">
        <v>4.9400000000000004</v>
      </c>
      <c r="D1002">
        <v>4.5019999999999998</v>
      </c>
      <c r="E1002">
        <v>4.7629999999999999</v>
      </c>
      <c r="F1002">
        <v>1395933.412</v>
      </c>
      <c r="G1002">
        <v>0</v>
      </c>
      <c r="L1002" t="s">
        <v>7</v>
      </c>
      <c r="M1002" t="s">
        <v>7</v>
      </c>
      <c r="N1002" t="s">
        <v>8</v>
      </c>
      <c r="P1002">
        <f t="shared" si="1019"/>
        <v>0.1917808219178071</v>
      </c>
      <c r="Q1002">
        <f t="shared" si="1020"/>
        <v>267713.25709588884</v>
      </c>
      <c r="R1002">
        <f t="shared" si="1021"/>
        <v>2280117.1470234948</v>
      </c>
      <c r="S1002">
        <f t="shared" si="1022"/>
        <v>22.801171470234948</v>
      </c>
      <c r="T1002">
        <f t="shared" si="1023"/>
        <v>2.2801171470234947E-2</v>
      </c>
    </row>
    <row r="1003" spans="1:20" x14ac:dyDescent="0.25">
      <c r="A1003" s="5">
        <v>43590</v>
      </c>
      <c r="B1003">
        <v>5.2380000000000004</v>
      </c>
      <c r="C1003">
        <v>5.2380000000000004</v>
      </c>
      <c r="D1003">
        <v>4.774</v>
      </c>
      <c r="E1003">
        <v>4.8369999999999997</v>
      </c>
      <c r="F1003">
        <v>1544214.9739999999</v>
      </c>
      <c r="G1003">
        <v>0</v>
      </c>
      <c r="L1003" t="s">
        <v>7</v>
      </c>
      <c r="M1003" t="s">
        <v>8</v>
      </c>
      <c r="N1003" t="s">
        <v>8</v>
      </c>
      <c r="P1003">
        <f t="shared" si="1019"/>
        <v>-0.72844827586207039</v>
      </c>
      <c r="Q1003">
        <f t="shared" si="1020"/>
        <v>-1124880.7353706919</v>
      </c>
      <c r="R1003">
        <f t="shared" si="1021"/>
        <v>2012403.8899276061</v>
      </c>
      <c r="S1003">
        <f t="shared" si="1022"/>
        <v>20.124038899276062</v>
      </c>
      <c r="T1003">
        <f t="shared" si="1023"/>
        <v>2.0124038899276064E-2</v>
      </c>
    </row>
    <row r="1004" spans="1:20" x14ac:dyDescent="0.25">
      <c r="A1004" s="5">
        <v>43589</v>
      </c>
      <c r="B1004">
        <v>5.3410000000000002</v>
      </c>
      <c r="C1004">
        <v>5.66</v>
      </c>
      <c r="D1004">
        <v>4.7060000000000004</v>
      </c>
      <c r="E1004">
        <v>5.2430000000000003</v>
      </c>
      <c r="F1004">
        <v>3500511.2510000002</v>
      </c>
      <c r="G1004">
        <v>0</v>
      </c>
      <c r="L1004" t="s">
        <v>8</v>
      </c>
      <c r="M1004" t="s">
        <v>8</v>
      </c>
      <c r="N1004" t="s">
        <v>8</v>
      </c>
      <c r="P1004">
        <f t="shared" si="1019"/>
        <v>0.12578616352201272</v>
      </c>
      <c r="Q1004">
        <f t="shared" si="1020"/>
        <v>440315.88062893134</v>
      </c>
      <c r="R1004">
        <f t="shared" si="1021"/>
        <v>3137284.625298298</v>
      </c>
      <c r="S1004">
        <f t="shared" si="1022"/>
        <v>31.372846252982981</v>
      </c>
      <c r="T1004">
        <f t="shared" si="1023"/>
        <v>3.1372846252982985E-2</v>
      </c>
    </row>
    <row r="1005" spans="1:20" x14ac:dyDescent="0.25">
      <c r="A1005" s="5">
        <v>43588</v>
      </c>
      <c r="B1005">
        <v>4.6079999999999997</v>
      </c>
      <c r="C1005">
        <v>5.38</v>
      </c>
      <c r="D1005">
        <v>4.55</v>
      </c>
      <c r="E1005">
        <v>5.3330000000000002</v>
      </c>
      <c r="F1005">
        <v>2774683.236</v>
      </c>
      <c r="G1005">
        <v>0</v>
      </c>
      <c r="L1005" t="s">
        <v>8</v>
      </c>
      <c r="M1005" t="s">
        <v>8</v>
      </c>
      <c r="N1005" t="s">
        <v>8</v>
      </c>
      <c r="P1005">
        <f t="shared" si="1019"/>
        <v>0.88674698795180795</v>
      </c>
      <c r="Q1005">
        <f t="shared" si="1020"/>
        <v>2460442.0020433757</v>
      </c>
      <c r="R1005">
        <f t="shared" si="1021"/>
        <v>2696968.7446693666</v>
      </c>
      <c r="S1005">
        <f t="shared" si="1022"/>
        <v>26.969687446693666</v>
      </c>
      <c r="T1005">
        <f t="shared" si="1023"/>
        <v>2.6969687446693667E-2</v>
      </c>
    </row>
    <row r="1006" spans="1:20" x14ac:dyDescent="0.25">
      <c r="A1006" s="5">
        <v>43587</v>
      </c>
      <c r="B1006">
        <v>4.391</v>
      </c>
      <c r="C1006">
        <v>4.6609999999999996</v>
      </c>
      <c r="D1006">
        <v>4.1740000000000004</v>
      </c>
      <c r="E1006">
        <v>4.6100000000000003</v>
      </c>
      <c r="F1006">
        <v>1133146.0330000001</v>
      </c>
      <c r="G1006">
        <v>0</v>
      </c>
      <c r="L1006" t="s">
        <v>7</v>
      </c>
      <c r="M1006" t="s">
        <v>8</v>
      </c>
      <c r="N1006" t="s">
        <v>8</v>
      </c>
      <c r="P1006">
        <f t="shared" si="1019"/>
        <v>0.79055441478439692</v>
      </c>
      <c r="Q1006">
        <f t="shared" si="1020"/>
        <v>895813.59898357594</v>
      </c>
      <c r="R1006">
        <f t="shared" si="1021"/>
        <v>236526.74262599077</v>
      </c>
      <c r="S1006">
        <f t="shared" si="1022"/>
        <v>2.3652674262599076</v>
      </c>
      <c r="T1006">
        <f t="shared" si="1023"/>
        <v>2.3652674262599075E-3</v>
      </c>
    </row>
    <row r="1007" spans="1:20" x14ac:dyDescent="0.25">
      <c r="A1007" s="5">
        <v>43586</v>
      </c>
      <c r="B1007">
        <v>3.9129999999999998</v>
      </c>
      <c r="C1007">
        <v>4.6500000000000004</v>
      </c>
      <c r="D1007">
        <v>3.8759999999999999</v>
      </c>
      <c r="E1007">
        <v>4.3920000000000003</v>
      </c>
      <c r="F1007">
        <v>1702261.3149999999</v>
      </c>
      <c r="G1007">
        <v>0</v>
      </c>
      <c r="L1007" t="s">
        <v>8</v>
      </c>
      <c r="M1007" t="s">
        <v>8</v>
      </c>
      <c r="N1007" t="s">
        <v>8</v>
      </c>
      <c r="P1007">
        <f t="shared" si="1019"/>
        <v>0.3333333333333337</v>
      </c>
      <c r="Q1007">
        <f t="shared" si="1020"/>
        <v>567420.43833333394</v>
      </c>
      <c r="R1007">
        <f t="shared" si="1021"/>
        <v>-659286.85635758517</v>
      </c>
      <c r="S1007">
        <f t="shared" si="1022"/>
        <v>-6.5928685635758519</v>
      </c>
      <c r="T1007">
        <f t="shared" si="1023"/>
        <v>-6.5928685635758518E-3</v>
      </c>
    </row>
    <row r="1008" spans="1:20" x14ac:dyDescent="0.25">
      <c r="A1008" s="5">
        <v>43585</v>
      </c>
      <c r="B1008">
        <v>3.7770000000000001</v>
      </c>
      <c r="C1008">
        <v>4.0750000000000002</v>
      </c>
      <c r="D1008">
        <v>3.75</v>
      </c>
      <c r="E1008">
        <v>3.9169999999999998</v>
      </c>
      <c r="F1008">
        <v>638430.33900000004</v>
      </c>
      <c r="G1008">
        <v>0</v>
      </c>
      <c r="L1008" t="s">
        <v>8</v>
      </c>
      <c r="M1008" t="s">
        <v>8</v>
      </c>
      <c r="N1008" t="s">
        <v>8</v>
      </c>
      <c r="P1008">
        <f t="shared" si="1019"/>
        <v>2.7692307692305993E-2</v>
      </c>
      <c r="Q1008">
        <f t="shared" si="1020"/>
        <v>17679.609387691224</v>
      </c>
      <c r="R1008">
        <f t="shared" si="1021"/>
        <v>-1226707.2946909191</v>
      </c>
      <c r="S1008">
        <f t="shared" si="1022"/>
        <v>-12.267072946909192</v>
      </c>
      <c r="T1008">
        <f t="shared" si="1023"/>
        <v>-1.2267072946909192E-2</v>
      </c>
    </row>
    <row r="1009" spans="1:20" x14ac:dyDescent="0.25">
      <c r="A1009" s="5">
        <v>43584</v>
      </c>
      <c r="B1009">
        <v>4.7549999999999999</v>
      </c>
      <c r="C1009">
        <v>4.7549999999999999</v>
      </c>
      <c r="D1009">
        <v>3.661</v>
      </c>
      <c r="E1009">
        <v>3.7770000000000001</v>
      </c>
      <c r="F1009">
        <v>1579303.101</v>
      </c>
      <c r="G1009">
        <v>0</v>
      </c>
      <c r="P1009">
        <f t="shared" si="1019"/>
        <v>-0.78793418647166336</v>
      </c>
      <c r="Q1009">
        <f t="shared" si="1020"/>
        <v>-1244386.9040786102</v>
      </c>
      <c r="R1009">
        <f t="shared" si="1021"/>
        <v>-1244386.9040786102</v>
      </c>
      <c r="S1009">
        <f t="shared" si="1022"/>
        <v>-12.443869040786103</v>
      </c>
      <c r="T1009">
        <f t="shared" si="1023"/>
        <v>-1.2443869040786103E-2</v>
      </c>
    </row>
    <row r="1010" spans="1:20" x14ac:dyDescent="0.25">
      <c r="A1010" s="5"/>
      <c r="C1010"/>
      <c r="D1010"/>
    </row>
    <row r="1011" spans="1:20" x14ac:dyDescent="0.25">
      <c r="A1011" s="5"/>
      <c r="C1011"/>
      <c r="D1011"/>
    </row>
    <row r="1012" spans="1:20" x14ac:dyDescent="0.25">
      <c r="A1012" s="5"/>
      <c r="C1012"/>
      <c r="D1012"/>
    </row>
    <row r="1013" spans="1:20" x14ac:dyDescent="0.25">
      <c r="A1013" s="5"/>
      <c r="C1013"/>
      <c r="D1013"/>
    </row>
    <row r="1014" spans="1:20" x14ac:dyDescent="0.25">
      <c r="A1014" s="5"/>
      <c r="C1014"/>
      <c r="D1014"/>
    </row>
    <row r="1015" spans="1:20" x14ac:dyDescent="0.25">
      <c r="A1015" s="5"/>
      <c r="C1015"/>
      <c r="D1015"/>
    </row>
    <row r="1016" spans="1:20" x14ac:dyDescent="0.25">
      <c r="A1016" s="5"/>
      <c r="C1016"/>
      <c r="D1016"/>
    </row>
    <row r="1017" spans="1:20" x14ac:dyDescent="0.25">
      <c r="A1017" s="5"/>
      <c r="C1017"/>
      <c r="D1017"/>
    </row>
    <row r="1018" spans="1:20" x14ac:dyDescent="0.25">
      <c r="A1018" s="5"/>
      <c r="C1018"/>
      <c r="D1018"/>
    </row>
    <row r="1019" spans="1:20" x14ac:dyDescent="0.25">
      <c r="A1019" s="5"/>
      <c r="C1019"/>
      <c r="D1019"/>
    </row>
    <row r="1020" spans="1:20" x14ac:dyDescent="0.25">
      <c r="A1020" s="5"/>
      <c r="C1020"/>
      <c r="D1020"/>
    </row>
    <row r="1021" spans="1:20" x14ac:dyDescent="0.25">
      <c r="A1021" s="5"/>
      <c r="C1021"/>
      <c r="D1021"/>
    </row>
    <row r="1022" spans="1:20" x14ac:dyDescent="0.25">
      <c r="A1022" s="5"/>
      <c r="C1022"/>
      <c r="D1022"/>
    </row>
    <row r="1023" spans="1:20" x14ac:dyDescent="0.25">
      <c r="A1023" s="5"/>
      <c r="C1023"/>
      <c r="D1023"/>
    </row>
    <row r="1024" spans="1:20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RJ413" sqref="RJ41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$A$412</v>
      </c>
      <c r="D111" s="1" t="str">
        <f>ADDRESS(C121-1,D121,1,1)</f>
        <v>$RJ$412</v>
      </c>
      <c r="E111"/>
    </row>
    <row r="112" spans="1:5" x14ac:dyDescent="0.25">
      <c r="A112" s="7">
        <v>12164.144957890772</v>
      </c>
      <c r="C112" s="1" t="str">
        <f>ADDRESS(C121,1,1,1)</f>
        <v>$A$413</v>
      </c>
      <c r="D112" s="1" t="str">
        <f>ADDRESS(C121,D121-1,1,1)</f>
        <v>$RI$413</v>
      </c>
      <c r="E112"/>
    </row>
    <row r="113" spans="1:5" x14ac:dyDescent="0.25">
      <c r="A113" s="7">
        <v>11925.63231165762</v>
      </c>
      <c r="C113" s="1" t="str">
        <f>ADDRESS(C121+1,1,1,1)</f>
        <v>$A$414</v>
      </c>
      <c r="D113" s="1" t="str">
        <f>ADDRESS(C121-1,D121+1,1,1)</f>
        <v>$RK$412</v>
      </c>
    </row>
    <row r="114" spans="1:5" x14ac:dyDescent="0.25">
      <c r="A114" s="7">
        <v>11691.796383978059</v>
      </c>
      <c r="C114" s="1" t="str">
        <f>ADDRESS(C121,D121,1,1)</f>
        <v>$RJ$413</v>
      </c>
      <c r="D114" s="1" t="str">
        <f>ADDRESS(C121+1,D121+1,1,1)</f>
        <v>$RK$414</v>
      </c>
    </row>
    <row r="115" spans="1:5" x14ac:dyDescent="0.25">
      <c r="A115" s="7">
        <v>11462.545474488292</v>
      </c>
      <c r="C115" s="1" t="str">
        <f>ADDRESS(C121+1,D121,1,1)</f>
        <v>$RJ$414</v>
      </c>
    </row>
    <row r="116" spans="1:5" x14ac:dyDescent="0.25">
      <c r="A116" s="7">
        <v>11237.789680870874</v>
      </c>
      <c r="C116" s="1">
        <f>C117-1</f>
        <v>412</v>
      </c>
    </row>
    <row r="117" spans="1:5" x14ac:dyDescent="0.25">
      <c r="A117" s="7">
        <v>11017.440863598895</v>
      </c>
      <c r="C117" s="1">
        <f>C121</f>
        <v>413</v>
      </c>
      <c r="D117" s="1">
        <f>D121</f>
        <v>478</v>
      </c>
    </row>
    <row r="118" spans="1:5" x14ac:dyDescent="0.25">
      <c r="A118" s="7">
        <v>10801.412611371465</v>
      </c>
      <c r="C118" s="1">
        <f>C117+1</f>
        <v>414</v>
      </c>
      <c r="D118" s="1">
        <f>D117+1</f>
        <v>479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413</v>
      </c>
      <c r="D121" s="19">
        <v>478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R413</v>
      </c>
      <c r="D123" s="1" t="str">
        <f>"C"&amp;D121</f>
        <v>C478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31.363887440031117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476" x14ac:dyDescent="0.25">
      <c r="A385" s="7">
        <v>54.605287232808607</v>
      </c>
      <c r="B385"/>
      <c r="C385"/>
      <c r="D385"/>
      <c r="E385"/>
    </row>
    <row r="386" spans="1:476" x14ac:dyDescent="0.25">
      <c r="A386" s="7">
        <v>53.534595326282947</v>
      </c>
      <c r="B386"/>
      <c r="C386"/>
      <c r="D386"/>
      <c r="E386"/>
    </row>
    <row r="387" spans="1:476" x14ac:dyDescent="0.25">
      <c r="A387" s="7">
        <v>52.484897378708773</v>
      </c>
      <c r="B387"/>
      <c r="C387"/>
      <c r="D387"/>
      <c r="E387"/>
    </row>
    <row r="388" spans="1:476" x14ac:dyDescent="0.25">
      <c r="A388" s="7">
        <v>51.455781743832127</v>
      </c>
      <c r="B388"/>
      <c r="C388"/>
      <c r="D388"/>
      <c r="E388"/>
    </row>
    <row r="389" spans="1:476" x14ac:dyDescent="0.25">
      <c r="A389" s="7">
        <v>50.446844846894244</v>
      </c>
      <c r="B389"/>
      <c r="C389"/>
      <c r="D389"/>
      <c r="E389"/>
    </row>
    <row r="390" spans="1:476" x14ac:dyDescent="0.25">
      <c r="A390" s="7">
        <v>49.457691026366902</v>
      </c>
      <c r="B390"/>
      <c r="C390"/>
      <c r="D390"/>
      <c r="E390"/>
    </row>
    <row r="391" spans="1:476" x14ac:dyDescent="0.25">
      <c r="A391" s="7">
        <v>48.487932378791079</v>
      </c>
      <c r="B391"/>
      <c r="C391"/>
      <c r="D391"/>
      <c r="E391"/>
    </row>
    <row r="392" spans="1:476" x14ac:dyDescent="0.25">
      <c r="A392" s="7">
        <v>47.537188606657921</v>
      </c>
      <c r="B392"/>
      <c r="C392"/>
      <c r="D392"/>
      <c r="E392"/>
    </row>
    <row r="393" spans="1:476" x14ac:dyDescent="0.25">
      <c r="A393" s="7">
        <v>46.605086869272469</v>
      </c>
      <c r="B393"/>
      <c r="C393"/>
      <c r="D393"/>
      <c r="E393"/>
    </row>
    <row r="394" spans="1:476" x14ac:dyDescent="0.25">
      <c r="A394" s="7">
        <v>45.691261636541633</v>
      </c>
      <c r="B394"/>
      <c r="C394"/>
      <c r="D394"/>
      <c r="E394"/>
    </row>
    <row r="395" spans="1:476" x14ac:dyDescent="0.25">
      <c r="A395" s="7">
        <v>44.795354545629053</v>
      </c>
      <c r="B395"/>
      <c r="C395"/>
      <c r="D395"/>
      <c r="E395"/>
      <c r="OQ395" s="27" t="s">
        <v>8</v>
      </c>
    </row>
    <row r="396" spans="1:476" x14ac:dyDescent="0.25">
      <c r="A396" s="7">
        <v>43.917014260420636</v>
      </c>
      <c r="B396"/>
      <c r="C396"/>
      <c r="D396"/>
      <c r="E396"/>
      <c r="OQ396" s="27" t="s">
        <v>8</v>
      </c>
      <c r="OR396" s="27" t="s">
        <v>7</v>
      </c>
      <c r="OS396" s="27" t="s">
        <v>8</v>
      </c>
      <c r="QW396" s="27" t="s">
        <v>8</v>
      </c>
      <c r="QY396" s="27" t="s">
        <v>8</v>
      </c>
      <c r="RE396" s="27" t="s">
        <v>8</v>
      </c>
    </row>
    <row r="397" spans="1:476" x14ac:dyDescent="0.25">
      <c r="A397" s="7">
        <v>43.055896333745721</v>
      </c>
      <c r="B397"/>
      <c r="C397"/>
      <c r="D397"/>
      <c r="E397"/>
      <c r="OQ397" s="27" t="s">
        <v>8</v>
      </c>
      <c r="OR397" s="27" t="s">
        <v>7</v>
      </c>
      <c r="OS397" s="27" t="s">
        <v>8</v>
      </c>
      <c r="OT397" s="27" t="s">
        <v>7</v>
      </c>
      <c r="PI397" s="27" t="s">
        <v>8</v>
      </c>
      <c r="QW397" s="27" t="s">
        <v>8</v>
      </c>
      <c r="QX397" s="27" t="s">
        <v>7</v>
      </c>
      <c r="QY397" s="27" t="s">
        <v>8</v>
      </c>
      <c r="QZ397" s="27" t="s">
        <v>7</v>
      </c>
      <c r="RE397" s="27" t="s">
        <v>8</v>
      </c>
      <c r="RF397" s="27" t="s">
        <v>7</v>
      </c>
    </row>
    <row r="398" spans="1:476" x14ac:dyDescent="0.25">
      <c r="A398" s="7">
        <v>42.211663072299729</v>
      </c>
      <c r="B398"/>
      <c r="C398"/>
      <c r="D398"/>
      <c r="E398"/>
      <c r="OQ398" s="27" t="s">
        <v>8</v>
      </c>
      <c r="OR398" s="27" t="s">
        <v>7</v>
      </c>
      <c r="OS398" s="27" t="s">
        <v>8</v>
      </c>
      <c r="OT398" s="27" t="s">
        <v>7</v>
      </c>
      <c r="PI398" s="27" t="s">
        <v>8</v>
      </c>
      <c r="PJ398" s="27" t="s">
        <v>7</v>
      </c>
      <c r="QW398" s="27" t="s">
        <v>8</v>
      </c>
      <c r="QX398" s="27" t="s">
        <v>7</v>
      </c>
      <c r="QY398" s="27" t="s">
        <v>8</v>
      </c>
      <c r="QZ398" s="27" t="s">
        <v>7</v>
      </c>
      <c r="RC398" s="27" t="s">
        <v>8</v>
      </c>
      <c r="RE398" s="27" t="s">
        <v>8</v>
      </c>
      <c r="RF398" s="27" t="s">
        <v>7</v>
      </c>
    </row>
    <row r="399" spans="1:476" x14ac:dyDescent="0.25">
      <c r="A399" s="7">
        <v>41.383983404215421</v>
      </c>
      <c r="B399"/>
      <c r="C399"/>
      <c r="D399"/>
      <c r="E399"/>
      <c r="OQ399" s="27" t="s">
        <v>8</v>
      </c>
      <c r="OR399" s="27" t="s">
        <v>7</v>
      </c>
      <c r="OS399" s="27" t="s">
        <v>8</v>
      </c>
      <c r="OT399" s="27" t="s">
        <v>7</v>
      </c>
      <c r="OW399" s="27" t="s">
        <v>8</v>
      </c>
      <c r="PI399" s="27" t="s">
        <v>8</v>
      </c>
      <c r="PJ399" s="27" t="s">
        <v>7</v>
      </c>
      <c r="QW399" s="27" t="s">
        <v>8</v>
      </c>
      <c r="QX399" s="27" t="s">
        <v>7</v>
      </c>
      <c r="QY399" s="27" t="s">
        <v>8</v>
      </c>
      <c r="QZ399" s="27" t="s">
        <v>7</v>
      </c>
      <c r="RC399" s="27" t="s">
        <v>8</v>
      </c>
      <c r="RD399" s="27" t="s">
        <v>7</v>
      </c>
      <c r="RE399" s="27" t="s">
        <v>8</v>
      </c>
      <c r="RF399" s="27" t="s">
        <v>7</v>
      </c>
      <c r="RG399" s="27" t="s">
        <v>8</v>
      </c>
    </row>
    <row r="400" spans="1:476" x14ac:dyDescent="0.25">
      <c r="A400" s="7">
        <v>40.572532749230803</v>
      </c>
      <c r="B400"/>
      <c r="C400"/>
      <c r="D400"/>
      <c r="E400"/>
      <c r="OQ400" s="27" t="s">
        <v>8</v>
      </c>
      <c r="OR400" s="27" t="s">
        <v>7</v>
      </c>
      <c r="OS400" s="27" t="s">
        <v>8</v>
      </c>
      <c r="OT400" s="27" t="s">
        <v>7</v>
      </c>
      <c r="OU400" s="27" t="s">
        <v>8</v>
      </c>
      <c r="OW400" s="27" t="s">
        <v>8</v>
      </c>
      <c r="OX400" s="27" t="s">
        <v>7</v>
      </c>
      <c r="PI400" s="27" t="s">
        <v>8</v>
      </c>
      <c r="PJ400" s="27" t="s">
        <v>7</v>
      </c>
      <c r="PK400" s="27" t="s">
        <v>8</v>
      </c>
      <c r="QW400" s="27" t="s">
        <v>8</v>
      </c>
      <c r="QX400" s="27" t="s">
        <v>7</v>
      </c>
      <c r="QY400" s="27" t="s">
        <v>8</v>
      </c>
      <c r="QZ400" s="27" t="s">
        <v>7</v>
      </c>
      <c r="RC400" s="27" t="s">
        <v>8</v>
      </c>
      <c r="RD400" s="27" t="s">
        <v>7</v>
      </c>
      <c r="RE400" s="27" t="s">
        <v>8</v>
      </c>
      <c r="RF400" s="27" t="s">
        <v>7</v>
      </c>
      <c r="RG400" s="27" t="s">
        <v>8</v>
      </c>
      <c r="RH400" s="27" t="s">
        <v>7</v>
      </c>
    </row>
    <row r="401" spans="1:478" x14ac:dyDescent="0.25">
      <c r="A401" s="7">
        <v>39.776992891402749</v>
      </c>
      <c r="B401"/>
      <c r="C401"/>
      <c r="D401"/>
      <c r="E401"/>
      <c r="OQ401" s="27" t="s">
        <v>8</v>
      </c>
      <c r="OR401" s="27" t="s">
        <v>7</v>
      </c>
      <c r="OS401" s="27" t="s">
        <v>8</v>
      </c>
      <c r="OT401" s="27" t="s">
        <v>7</v>
      </c>
      <c r="OU401" s="27" t="s">
        <v>8</v>
      </c>
      <c r="OV401" s="27" t="s">
        <v>7</v>
      </c>
      <c r="OW401" s="27" t="s">
        <v>8</v>
      </c>
      <c r="OX401" s="27" t="s">
        <v>7</v>
      </c>
      <c r="PI401" s="27" t="s">
        <v>8</v>
      </c>
      <c r="PJ401" s="27" t="s">
        <v>7</v>
      </c>
      <c r="PK401" s="27" t="s">
        <v>8</v>
      </c>
      <c r="PL401" s="27" t="s">
        <v>7</v>
      </c>
      <c r="QW401" s="27" t="s">
        <v>8</v>
      </c>
      <c r="QX401" s="27" t="s">
        <v>7</v>
      </c>
      <c r="QY401" s="27" t="s">
        <v>8</v>
      </c>
      <c r="QZ401" s="27" t="s">
        <v>7</v>
      </c>
      <c r="RC401" s="27" t="s">
        <v>8</v>
      </c>
      <c r="RD401" s="27" t="s">
        <v>7</v>
      </c>
      <c r="RE401" s="27" t="s">
        <v>8</v>
      </c>
      <c r="RF401" s="27" t="s">
        <v>7</v>
      </c>
      <c r="RG401" s="27" t="s">
        <v>8</v>
      </c>
      <c r="RH401" s="27" t="s">
        <v>7</v>
      </c>
    </row>
    <row r="402" spans="1:478" x14ac:dyDescent="0.25">
      <c r="A402" s="7">
        <v>38.997051854316418</v>
      </c>
      <c r="B402"/>
      <c r="C402"/>
      <c r="D402"/>
      <c r="E402"/>
      <c r="OQ402" s="27" t="s">
        <v>8</v>
      </c>
      <c r="OR402" s="27" t="s">
        <v>7</v>
      </c>
      <c r="OS402" s="27" t="s">
        <v>8</v>
      </c>
      <c r="OT402" s="27" t="s">
        <v>7</v>
      </c>
      <c r="OU402" s="27" t="s">
        <v>8</v>
      </c>
      <c r="OV402" s="27" t="s">
        <v>7</v>
      </c>
      <c r="OW402" s="27" t="s">
        <v>8</v>
      </c>
      <c r="OX402" s="27" t="s">
        <v>7</v>
      </c>
      <c r="PI402" s="27" t="s">
        <v>8</v>
      </c>
      <c r="PJ402" s="27" t="s">
        <v>7</v>
      </c>
      <c r="PK402" s="27" t="s">
        <v>8</v>
      </c>
      <c r="PL402" s="27" t="s">
        <v>7</v>
      </c>
      <c r="PO402" s="27" t="s">
        <v>8</v>
      </c>
      <c r="QW402" s="27" t="s">
        <v>8</v>
      </c>
      <c r="QX402" s="27" t="s">
        <v>7</v>
      </c>
      <c r="QY402" s="27" t="s">
        <v>8</v>
      </c>
      <c r="QZ402" s="27" t="s">
        <v>7</v>
      </c>
      <c r="RC402" s="27" t="s">
        <v>8</v>
      </c>
      <c r="RD402" s="27" t="s">
        <v>7</v>
      </c>
      <c r="RE402" s="27" t="s">
        <v>8</v>
      </c>
      <c r="RF402" s="27" t="s">
        <v>7</v>
      </c>
      <c r="RG402" s="27" t="s">
        <v>8</v>
      </c>
      <c r="RH402" s="27" t="s">
        <v>7</v>
      </c>
    </row>
    <row r="403" spans="1:478" x14ac:dyDescent="0.25">
      <c r="A403" s="7">
        <v>38.232403778741585</v>
      </c>
      <c r="B403"/>
      <c r="C403"/>
      <c r="D403"/>
      <c r="E403"/>
      <c r="OO403" s="27" t="s">
        <v>8</v>
      </c>
      <c r="OQ403" s="27" t="s">
        <v>8</v>
      </c>
      <c r="OR403" s="27" t="s">
        <v>7</v>
      </c>
      <c r="OS403" s="27" t="s">
        <v>8</v>
      </c>
      <c r="OT403" s="27" t="s">
        <v>7</v>
      </c>
      <c r="OU403" s="27" t="s">
        <v>8</v>
      </c>
      <c r="OV403" s="27" t="s">
        <v>7</v>
      </c>
      <c r="OW403" s="27" t="s">
        <v>8</v>
      </c>
      <c r="OX403" s="27" t="s">
        <v>7</v>
      </c>
      <c r="PI403" s="27" t="s">
        <v>8</v>
      </c>
      <c r="PJ403" s="27" t="s">
        <v>7</v>
      </c>
      <c r="PK403" s="27" t="s">
        <v>8</v>
      </c>
      <c r="PL403" s="27" t="s">
        <v>7</v>
      </c>
      <c r="PM403" s="27" t="s">
        <v>8</v>
      </c>
      <c r="PO403" s="27" t="s">
        <v>8</v>
      </c>
      <c r="PP403" s="27" t="s">
        <v>7</v>
      </c>
      <c r="QW403" s="27" t="s">
        <v>8</v>
      </c>
      <c r="QX403" s="27" t="s">
        <v>7</v>
      </c>
      <c r="QY403" s="27" t="s">
        <v>8</v>
      </c>
      <c r="QZ403" s="27" t="s">
        <v>7</v>
      </c>
      <c r="RC403" s="27" t="s">
        <v>8</v>
      </c>
      <c r="RD403" s="27" t="s">
        <v>7</v>
      </c>
      <c r="RE403" s="27" t="s">
        <v>8</v>
      </c>
      <c r="RF403" s="27" t="s">
        <v>7</v>
      </c>
      <c r="RG403" s="27" t="s">
        <v>8</v>
      </c>
      <c r="RH403" s="27" t="s">
        <v>7</v>
      </c>
    </row>
    <row r="404" spans="1:478" x14ac:dyDescent="0.25">
      <c r="A404" s="7">
        <v>37.48274880268783</v>
      </c>
      <c r="B404"/>
      <c r="C404"/>
      <c r="D404"/>
      <c r="E404"/>
      <c r="OO404" s="27" t="s">
        <v>8</v>
      </c>
      <c r="OP404" s="27" t="s">
        <v>7</v>
      </c>
      <c r="OQ404" s="27" t="s">
        <v>8</v>
      </c>
      <c r="OR404" s="27" t="s">
        <v>7</v>
      </c>
      <c r="OS404" s="27" t="s">
        <v>8</v>
      </c>
      <c r="OT404" s="27" t="s">
        <v>7</v>
      </c>
      <c r="OU404" s="27" t="s">
        <v>8</v>
      </c>
      <c r="OV404" s="27" t="s">
        <v>7</v>
      </c>
      <c r="OW404" s="27" t="s">
        <v>8</v>
      </c>
      <c r="OX404" s="27" t="s">
        <v>7</v>
      </c>
      <c r="OY404" s="27" t="s">
        <v>8</v>
      </c>
      <c r="PI404" s="27" t="s">
        <v>8</v>
      </c>
      <c r="PJ404" s="27" t="s">
        <v>7</v>
      </c>
      <c r="PK404" s="27" t="s">
        <v>8</v>
      </c>
      <c r="PL404" s="27" t="s">
        <v>7</v>
      </c>
      <c r="PM404" s="27" t="s">
        <v>8</v>
      </c>
      <c r="PN404" s="27" t="s">
        <v>7</v>
      </c>
      <c r="PO404" s="27" t="s">
        <v>8</v>
      </c>
      <c r="PP404" s="27" t="s">
        <v>7</v>
      </c>
      <c r="PQ404" s="27" t="s">
        <v>8</v>
      </c>
      <c r="QW404" s="27" t="s">
        <v>8</v>
      </c>
      <c r="QX404" s="27" t="s">
        <v>7</v>
      </c>
      <c r="QY404" s="27" t="s">
        <v>8</v>
      </c>
      <c r="QZ404" s="27" t="s">
        <v>7</v>
      </c>
      <c r="RA404" s="27" t="s">
        <v>8</v>
      </c>
      <c r="RC404" s="27" t="s">
        <v>8</v>
      </c>
      <c r="RD404" s="27" t="s">
        <v>7</v>
      </c>
      <c r="RE404" s="27" t="s">
        <v>8</v>
      </c>
      <c r="RF404" s="27" t="s">
        <v>7</v>
      </c>
      <c r="RG404" s="27" t="s">
        <v>8</v>
      </c>
      <c r="RH404" s="27" t="s">
        <v>7</v>
      </c>
    </row>
    <row r="405" spans="1:478" x14ac:dyDescent="0.25">
      <c r="A405" s="7">
        <v>36.747792943811596</v>
      </c>
      <c r="B405"/>
      <c r="C405"/>
      <c r="D405"/>
      <c r="E405"/>
      <c r="OO405" s="27" t="s">
        <v>8</v>
      </c>
      <c r="OP405" s="27" t="s">
        <v>7</v>
      </c>
      <c r="OQ405" s="27" t="s">
        <v>8</v>
      </c>
      <c r="OR405" s="27" t="s">
        <v>7</v>
      </c>
      <c r="OS405" s="27" t="s">
        <v>8</v>
      </c>
      <c r="OT405" s="27" t="s">
        <v>7</v>
      </c>
      <c r="OU405" s="27" t="s">
        <v>8</v>
      </c>
      <c r="OV405" s="27" t="s">
        <v>7</v>
      </c>
      <c r="OW405" s="27" t="s">
        <v>8</v>
      </c>
      <c r="OX405" s="27" t="s">
        <v>7</v>
      </c>
      <c r="OY405" s="27" t="s">
        <v>8</v>
      </c>
      <c r="OZ405" s="27" t="s">
        <v>7</v>
      </c>
      <c r="PE405" s="27" t="s">
        <v>8</v>
      </c>
      <c r="PG405" s="27" t="s">
        <v>8</v>
      </c>
      <c r="PI405" s="27" t="s">
        <v>8</v>
      </c>
      <c r="PJ405" s="27" t="s">
        <v>7</v>
      </c>
      <c r="PK405" s="27" t="s">
        <v>8</v>
      </c>
      <c r="PL405" s="27" t="s">
        <v>7</v>
      </c>
      <c r="PM405" s="27" t="s">
        <v>8</v>
      </c>
      <c r="PN405" s="27" t="s">
        <v>7</v>
      </c>
      <c r="PO405" s="27" t="s">
        <v>8</v>
      </c>
      <c r="PP405" s="27" t="s">
        <v>7</v>
      </c>
      <c r="PQ405" s="27" t="s">
        <v>8</v>
      </c>
      <c r="PR405" s="27" t="s">
        <v>7</v>
      </c>
      <c r="QU405" s="27" t="s">
        <v>8</v>
      </c>
      <c r="QW405" s="27" t="s">
        <v>8</v>
      </c>
      <c r="QX405" s="27" t="s">
        <v>7</v>
      </c>
      <c r="QY405" s="27" t="s">
        <v>8</v>
      </c>
      <c r="QZ405" s="27" t="s">
        <v>7</v>
      </c>
      <c r="RA405" s="27" t="s">
        <v>8</v>
      </c>
      <c r="RB405" s="27" t="s">
        <v>7</v>
      </c>
      <c r="RC405" s="27" t="s">
        <v>8</v>
      </c>
      <c r="RD405" s="27" t="s">
        <v>7</v>
      </c>
      <c r="RF405" s="27" t="s">
        <v>7</v>
      </c>
      <c r="RG405" s="27" t="s">
        <v>8</v>
      </c>
      <c r="RH405" s="27" t="s">
        <v>7</v>
      </c>
      <c r="RI405" s="27" t="s">
        <v>8</v>
      </c>
    </row>
    <row r="406" spans="1:478" x14ac:dyDescent="0.25">
      <c r="A406" s="7">
        <v>36.027247984129012</v>
      </c>
      <c r="B406"/>
      <c r="C406"/>
      <c r="D406"/>
      <c r="E406"/>
      <c r="OO406" s="27" t="s">
        <v>8</v>
      </c>
      <c r="OP406" s="27" t="s">
        <v>7</v>
      </c>
      <c r="OQ406" s="27" t="s">
        <v>8</v>
      </c>
      <c r="OR406" s="27" t="s">
        <v>7</v>
      </c>
      <c r="OS406" s="27" t="s">
        <v>8</v>
      </c>
      <c r="OT406" s="27" t="s">
        <v>7</v>
      </c>
      <c r="OV406" s="27" t="s">
        <v>7</v>
      </c>
      <c r="OW406" s="27" t="s">
        <v>8</v>
      </c>
      <c r="OX406" s="27" t="s">
        <v>7</v>
      </c>
      <c r="OY406" s="27" t="s">
        <v>8</v>
      </c>
      <c r="OZ406" s="27" t="s">
        <v>7</v>
      </c>
      <c r="PE406" s="27" t="s">
        <v>8</v>
      </c>
      <c r="PF406" s="27" t="s">
        <v>7</v>
      </c>
      <c r="PG406" s="27" t="s">
        <v>8</v>
      </c>
      <c r="PH406" s="27" t="s">
        <v>7</v>
      </c>
      <c r="PI406" s="27" t="s">
        <v>8</v>
      </c>
      <c r="PJ406" s="27" t="s">
        <v>7</v>
      </c>
      <c r="PK406" s="27" t="s">
        <v>8</v>
      </c>
      <c r="PL406" s="27" t="s">
        <v>7</v>
      </c>
      <c r="PM406" s="27" t="s">
        <v>8</v>
      </c>
      <c r="PN406" s="27" t="s">
        <v>7</v>
      </c>
      <c r="PP406" s="27" t="s">
        <v>7</v>
      </c>
      <c r="PQ406" s="27" t="s">
        <v>8</v>
      </c>
      <c r="PR406" s="27" t="s">
        <v>7</v>
      </c>
      <c r="QU406" s="27" t="s">
        <v>8</v>
      </c>
      <c r="QV406" s="27" t="s">
        <v>7</v>
      </c>
      <c r="QW406" s="27" t="s">
        <v>8</v>
      </c>
      <c r="QX406" s="27" t="s">
        <v>7</v>
      </c>
      <c r="QY406" s="27" t="s">
        <v>8</v>
      </c>
      <c r="QZ406" s="27" t="s">
        <v>7</v>
      </c>
      <c r="RA406" s="27" t="s">
        <v>8</v>
      </c>
      <c r="RB406" s="27" t="s">
        <v>7</v>
      </c>
      <c r="RC406" s="27" t="s">
        <v>8</v>
      </c>
      <c r="RF406" s="27" t="s">
        <v>7</v>
      </c>
      <c r="RG406" s="27" t="s">
        <v>8</v>
      </c>
      <c r="RH406" s="27" t="s">
        <v>7</v>
      </c>
      <c r="RI406" s="27" t="s">
        <v>8</v>
      </c>
      <c r="RJ406" s="27" t="s">
        <v>7</v>
      </c>
    </row>
    <row r="407" spans="1:478" x14ac:dyDescent="0.25">
      <c r="A407" s="7">
        <v>35.320831356989224</v>
      </c>
      <c r="B407"/>
      <c r="C407"/>
      <c r="D407"/>
      <c r="E407"/>
      <c r="OO407" s="27" t="s">
        <v>8</v>
      </c>
      <c r="OP407" s="27" t="s">
        <v>7</v>
      </c>
      <c r="OQ407" s="27" t="s">
        <v>8</v>
      </c>
      <c r="OR407" s="27" t="s">
        <v>7</v>
      </c>
      <c r="OS407" s="27" t="s">
        <v>8</v>
      </c>
      <c r="OV407" s="27" t="s">
        <v>7</v>
      </c>
      <c r="OW407" s="27" t="s">
        <v>8</v>
      </c>
      <c r="OX407" s="27" t="s">
        <v>7</v>
      </c>
      <c r="OY407" s="27" t="s">
        <v>8</v>
      </c>
      <c r="OZ407" s="27" t="s">
        <v>7</v>
      </c>
      <c r="PA407" s="27" t="s">
        <v>8</v>
      </c>
      <c r="PE407" s="27" t="s">
        <v>8</v>
      </c>
      <c r="PF407" s="27" t="s">
        <v>7</v>
      </c>
      <c r="PG407" s="27" t="s">
        <v>8</v>
      </c>
      <c r="PH407" s="27" t="s">
        <v>7</v>
      </c>
      <c r="PI407" s="27" t="s">
        <v>8</v>
      </c>
      <c r="PJ407" s="27" t="s">
        <v>7</v>
      </c>
      <c r="PL407" s="27" t="s">
        <v>7</v>
      </c>
      <c r="PP407" s="27" t="s">
        <v>7</v>
      </c>
      <c r="PQ407" s="27" t="s">
        <v>8</v>
      </c>
      <c r="PR407" s="27" t="s">
        <v>7</v>
      </c>
      <c r="QU407" s="27" t="s">
        <v>8</v>
      </c>
      <c r="QV407" s="27" t="s">
        <v>7</v>
      </c>
      <c r="QW407" s="27" t="s">
        <v>8</v>
      </c>
      <c r="QX407" s="27" t="s">
        <v>7</v>
      </c>
      <c r="QY407" s="27" t="s">
        <v>8</v>
      </c>
      <c r="QZ407" s="27" t="s">
        <v>7</v>
      </c>
      <c r="RA407" s="27" t="s">
        <v>8</v>
      </c>
      <c r="RB407" s="27" t="s">
        <v>7</v>
      </c>
      <c r="RC407" s="27" t="s">
        <v>8</v>
      </c>
      <c r="RF407" s="27" t="s">
        <v>7</v>
      </c>
      <c r="RH407" s="27" t="s">
        <v>7</v>
      </c>
      <c r="RI407" s="27" t="s">
        <v>8</v>
      </c>
      <c r="RJ407" s="27" t="s">
        <v>7</v>
      </c>
    </row>
    <row r="408" spans="1:478" x14ac:dyDescent="0.25">
      <c r="A408" s="7">
        <v>34.628266036263945</v>
      </c>
      <c r="B408"/>
      <c r="C408"/>
      <c r="D408"/>
      <c r="E408"/>
      <c r="OO408" s="27" t="s">
        <v>8</v>
      </c>
      <c r="OP408" s="27" t="s">
        <v>7</v>
      </c>
      <c r="OQ408" s="27" t="s">
        <v>8</v>
      </c>
      <c r="OR408" s="27" t="s">
        <v>7</v>
      </c>
      <c r="OS408" s="27" t="s">
        <v>8</v>
      </c>
      <c r="OV408" s="27" t="s">
        <v>7</v>
      </c>
      <c r="OW408" s="27" t="s">
        <v>8</v>
      </c>
      <c r="OX408" s="27" t="s">
        <v>7</v>
      </c>
      <c r="OY408" s="27" t="s">
        <v>8</v>
      </c>
      <c r="OZ408" s="27" t="s">
        <v>7</v>
      </c>
      <c r="PA408" s="27" t="s">
        <v>8</v>
      </c>
      <c r="PB408" s="27" t="s">
        <v>7</v>
      </c>
      <c r="PC408" s="27" t="s">
        <v>8</v>
      </c>
      <c r="PE408" s="27" t="s">
        <v>8</v>
      </c>
      <c r="PF408" s="27" t="s">
        <v>7</v>
      </c>
      <c r="PG408" s="27" t="s">
        <v>8</v>
      </c>
      <c r="PH408" s="27" t="s">
        <v>7</v>
      </c>
      <c r="PI408" s="27" t="s">
        <v>8</v>
      </c>
      <c r="PP408" s="27" t="s">
        <v>7</v>
      </c>
      <c r="PR408" s="27" t="s">
        <v>7</v>
      </c>
      <c r="QU408" s="27" t="s">
        <v>8</v>
      </c>
      <c r="QV408" s="27" t="s">
        <v>7</v>
      </c>
      <c r="QX408" s="27" t="s">
        <v>7</v>
      </c>
      <c r="QZ408" s="27" t="s">
        <v>7</v>
      </c>
      <c r="RB408" s="27" t="s">
        <v>7</v>
      </c>
      <c r="RC408" s="27" t="s">
        <v>8</v>
      </c>
      <c r="RH408" s="27" t="s">
        <v>7</v>
      </c>
      <c r="RI408" s="27" t="s">
        <v>8</v>
      </c>
      <c r="RJ408" s="27" t="s">
        <v>7</v>
      </c>
    </row>
    <row r="409" spans="1:478" x14ac:dyDescent="0.25">
      <c r="A409" s="7">
        <v>33.949280427709752</v>
      </c>
      <c r="B409"/>
      <c r="C409"/>
      <c r="D409"/>
      <c r="E409"/>
      <c r="OO409" s="27" t="s">
        <v>8</v>
      </c>
      <c r="OP409" s="27" t="s">
        <v>7</v>
      </c>
      <c r="OQ409" s="27" t="s">
        <v>8</v>
      </c>
      <c r="OR409" s="27" t="s">
        <v>7</v>
      </c>
      <c r="OS409" s="27" t="s">
        <v>8</v>
      </c>
      <c r="OV409" s="27" t="s">
        <v>7</v>
      </c>
      <c r="OW409" s="27" t="s">
        <v>8</v>
      </c>
      <c r="OX409" s="27" t="s">
        <v>7</v>
      </c>
      <c r="OY409" s="27" t="s">
        <v>8</v>
      </c>
      <c r="OZ409" s="27" t="s">
        <v>7</v>
      </c>
      <c r="PA409" s="27" t="s">
        <v>8</v>
      </c>
      <c r="PB409" s="27" t="s">
        <v>7</v>
      </c>
      <c r="PC409" s="27" t="s">
        <v>8</v>
      </c>
      <c r="PD409" s="27" t="s">
        <v>7</v>
      </c>
      <c r="PE409" s="27" t="s">
        <v>8</v>
      </c>
      <c r="PF409" s="27" t="s">
        <v>7</v>
      </c>
      <c r="PH409" s="27" t="s">
        <v>7</v>
      </c>
      <c r="PR409" s="27" t="s">
        <v>7</v>
      </c>
      <c r="PS409" s="27" t="s">
        <v>8</v>
      </c>
      <c r="PU409" s="27" t="s">
        <v>8</v>
      </c>
      <c r="QU409" s="27" t="s">
        <v>8</v>
      </c>
      <c r="RB409" s="27" t="s">
        <v>7</v>
      </c>
      <c r="RC409" s="27" t="s">
        <v>8</v>
      </c>
      <c r="RH409" s="27" t="s">
        <v>7</v>
      </c>
      <c r="RI409" s="27" t="s">
        <v>8</v>
      </c>
      <c r="RJ409" s="27" t="s">
        <v>7</v>
      </c>
    </row>
    <row r="410" spans="1:478" x14ac:dyDescent="0.25">
      <c r="A410" s="7">
        <v>33.28360826246054</v>
      </c>
      <c r="B410"/>
      <c r="C410"/>
      <c r="D410"/>
      <c r="E410"/>
      <c r="OO410" s="27" t="s">
        <v>8</v>
      </c>
      <c r="OP410" s="27" t="s">
        <v>7</v>
      </c>
      <c r="OQ410" s="27" t="s">
        <v>8</v>
      </c>
      <c r="OR410" s="27" t="s">
        <v>7</v>
      </c>
      <c r="OS410" s="27" t="s">
        <v>8</v>
      </c>
      <c r="OV410" s="27" t="s">
        <v>7</v>
      </c>
      <c r="OX410" s="27" t="s">
        <v>7</v>
      </c>
      <c r="OZ410" s="27" t="s">
        <v>7</v>
      </c>
      <c r="PA410" s="27" t="s">
        <v>8</v>
      </c>
      <c r="PB410" s="27" t="s">
        <v>7</v>
      </c>
      <c r="PC410" s="27" t="s">
        <v>8</v>
      </c>
      <c r="PD410" s="27" t="s">
        <v>7</v>
      </c>
      <c r="PE410" s="27" t="s">
        <v>8</v>
      </c>
      <c r="PR410" s="27" t="s">
        <v>7</v>
      </c>
      <c r="PS410" s="27" t="s">
        <v>8</v>
      </c>
      <c r="PT410" s="27" t="s">
        <v>7</v>
      </c>
      <c r="PU410" s="27" t="s">
        <v>8</v>
      </c>
      <c r="PV410" s="27" t="s">
        <v>7</v>
      </c>
      <c r="PW410" s="27" t="s">
        <v>8</v>
      </c>
      <c r="QC410" s="27" t="s">
        <v>8</v>
      </c>
      <c r="QU410" s="27" t="s">
        <v>8</v>
      </c>
      <c r="RB410" s="27" t="s">
        <v>7</v>
      </c>
      <c r="RH410" s="27" t="s">
        <v>7</v>
      </c>
      <c r="RI410" s="27" t="s">
        <v>8</v>
      </c>
      <c r="RJ410" s="27" t="s">
        <v>7</v>
      </c>
    </row>
    <row r="411" spans="1:478" x14ac:dyDescent="0.25">
      <c r="A411" s="7">
        <v>32.630988492608374</v>
      </c>
      <c r="B411"/>
      <c r="C411"/>
      <c r="D411"/>
      <c r="E411"/>
      <c r="OO411" s="27" t="s">
        <v>8</v>
      </c>
      <c r="OP411" s="27" t="s">
        <v>7</v>
      </c>
      <c r="OQ411" s="27" t="s">
        <v>8</v>
      </c>
      <c r="OR411" s="27" t="s">
        <v>7</v>
      </c>
      <c r="OS411" s="27" t="s">
        <v>8</v>
      </c>
      <c r="OZ411" s="27" t="s">
        <v>7</v>
      </c>
      <c r="PA411" s="27" t="s">
        <v>8</v>
      </c>
      <c r="PB411" s="27" t="s">
        <v>7</v>
      </c>
      <c r="PD411" s="27" t="s">
        <v>7</v>
      </c>
      <c r="PE411" s="27" t="s">
        <v>8</v>
      </c>
      <c r="PR411" s="27" t="s">
        <v>7</v>
      </c>
      <c r="PS411" s="27" t="s">
        <v>8</v>
      </c>
      <c r="PT411" s="27" t="s">
        <v>7</v>
      </c>
      <c r="PU411" s="27" t="s">
        <v>8</v>
      </c>
      <c r="PV411" s="27" t="s">
        <v>7</v>
      </c>
      <c r="PW411" s="27" t="s">
        <v>8</v>
      </c>
      <c r="PX411" s="27" t="s">
        <v>7</v>
      </c>
      <c r="QC411" s="27" t="s">
        <v>8</v>
      </c>
      <c r="QD411" s="27" t="s">
        <v>7</v>
      </c>
      <c r="QS411" s="27" t="s">
        <v>8</v>
      </c>
      <c r="QU411" s="27" t="s">
        <v>8</v>
      </c>
      <c r="RH411" s="27" t="s">
        <v>7</v>
      </c>
      <c r="RI411" s="27" t="s">
        <v>8</v>
      </c>
      <c r="RJ411" s="27" t="s">
        <v>7</v>
      </c>
    </row>
    <row r="412" spans="1:478" x14ac:dyDescent="0.25">
      <c r="A412" s="7">
        <v>31.99116518883174</v>
      </c>
      <c r="B412"/>
      <c r="C412"/>
      <c r="D412"/>
      <c r="E412"/>
      <c r="MI412" s="27" t="s">
        <v>8</v>
      </c>
      <c r="OO412" s="27" t="s">
        <v>8</v>
      </c>
      <c r="OP412" s="27" t="s">
        <v>7</v>
      </c>
      <c r="OQ412" s="27" t="s">
        <v>8</v>
      </c>
      <c r="OR412" s="27" t="s">
        <v>7</v>
      </c>
      <c r="OS412" s="27" t="s">
        <v>8</v>
      </c>
      <c r="OZ412" s="27" t="s">
        <v>7</v>
      </c>
      <c r="PA412" s="27" t="s">
        <v>8</v>
      </c>
      <c r="PD412" s="27" t="s">
        <v>7</v>
      </c>
      <c r="PE412" s="27" t="s">
        <v>8</v>
      </c>
      <c r="PR412" s="27" t="s">
        <v>7</v>
      </c>
      <c r="PS412" s="27" t="s">
        <v>8</v>
      </c>
      <c r="PT412" s="27" t="s">
        <v>7</v>
      </c>
      <c r="PU412" s="27" t="s">
        <v>8</v>
      </c>
      <c r="PV412" s="27" t="s">
        <v>7</v>
      </c>
      <c r="PW412" s="27" t="s">
        <v>8</v>
      </c>
      <c r="PX412" s="27" t="s">
        <v>7</v>
      </c>
      <c r="QC412" s="27" t="s">
        <v>8</v>
      </c>
      <c r="QD412" s="27" t="s">
        <v>7</v>
      </c>
      <c r="QS412" s="27" t="s">
        <v>8</v>
      </c>
      <c r="QT412" s="27" t="s">
        <v>7</v>
      </c>
      <c r="QU412" s="27" t="s">
        <v>8</v>
      </c>
      <c r="RH412" s="27" t="s">
        <v>7</v>
      </c>
      <c r="RI412" s="27" t="s">
        <v>8</v>
      </c>
      <c r="RJ412" s="27" t="s">
        <v>7</v>
      </c>
    </row>
    <row r="413" spans="1:478" x14ac:dyDescent="0.25">
      <c r="A413" s="7">
        <v>31.363887440031117</v>
      </c>
      <c r="B413"/>
      <c r="C413"/>
      <c r="D413"/>
      <c r="E413"/>
      <c r="MI413" s="27" t="s">
        <v>8</v>
      </c>
      <c r="MJ413" s="27" t="s">
        <v>7</v>
      </c>
      <c r="OO413" s="27" t="s">
        <v>8</v>
      </c>
      <c r="OP413" s="27" t="s">
        <v>7</v>
      </c>
      <c r="OR413" s="27" t="s">
        <v>7</v>
      </c>
      <c r="OS413" s="27" t="s">
        <v>8</v>
      </c>
      <c r="OZ413" s="27" t="s">
        <v>7</v>
      </c>
      <c r="PA413" s="27" t="s">
        <v>8</v>
      </c>
      <c r="PD413" s="27" t="s">
        <v>7</v>
      </c>
      <c r="PR413" s="27" t="s">
        <v>7</v>
      </c>
      <c r="PS413" s="27" t="s">
        <v>8</v>
      </c>
      <c r="PT413" s="27" t="s">
        <v>7</v>
      </c>
      <c r="PU413" s="27" t="s">
        <v>8</v>
      </c>
      <c r="PV413" s="27" t="s">
        <v>7</v>
      </c>
      <c r="PW413" s="27" t="s">
        <v>8</v>
      </c>
      <c r="PX413" s="27" t="s">
        <v>7</v>
      </c>
      <c r="QC413" s="27" t="s">
        <v>8</v>
      </c>
      <c r="QD413" s="27" t="s">
        <v>7</v>
      </c>
      <c r="QS413" s="27" t="s">
        <v>8</v>
      </c>
      <c r="QT413" s="27" t="s">
        <v>7</v>
      </c>
      <c r="QU413" s="27" t="s">
        <v>8</v>
      </c>
      <c r="RH413" s="27" t="s">
        <v>7</v>
      </c>
      <c r="RI413" s="27" t="s">
        <v>8</v>
      </c>
      <c r="RJ413" s="27" t="s">
        <v>7</v>
      </c>
    </row>
    <row r="414" spans="1:478" x14ac:dyDescent="0.25">
      <c r="A414" s="7">
        <v>30.748909254932467</v>
      </c>
      <c r="B414"/>
      <c r="C414"/>
      <c r="D414"/>
      <c r="E414"/>
      <c r="MI414" s="27" t="s">
        <v>8</v>
      </c>
      <c r="MJ414" s="27" t="s">
        <v>7</v>
      </c>
      <c r="OO414" s="27" t="s">
        <v>8</v>
      </c>
      <c r="OR414" s="27" t="s">
        <v>7</v>
      </c>
      <c r="OS414" s="27" t="s">
        <v>8</v>
      </c>
      <c r="OZ414" s="27" t="s">
        <v>7</v>
      </c>
      <c r="PA414" s="27" t="s">
        <v>8</v>
      </c>
      <c r="PR414" s="27" t="s">
        <v>7</v>
      </c>
      <c r="PS414" s="27" t="s">
        <v>8</v>
      </c>
      <c r="PT414" s="27" t="s">
        <v>7</v>
      </c>
      <c r="PV414" s="27" t="s">
        <v>7</v>
      </c>
      <c r="PW414" s="27" t="s">
        <v>8</v>
      </c>
      <c r="PX414" s="27" t="s">
        <v>7</v>
      </c>
      <c r="QC414" s="27" t="s">
        <v>8</v>
      </c>
      <c r="QD414" s="27" t="s">
        <v>7</v>
      </c>
      <c r="QS414" s="27" t="s">
        <v>8</v>
      </c>
      <c r="QT414" s="27" t="s">
        <v>7</v>
      </c>
      <c r="QU414" s="27" t="s">
        <v>8</v>
      </c>
      <c r="RH414" s="27" t="s">
        <v>7</v>
      </c>
      <c r="RI414" s="27" t="s">
        <v>8</v>
      </c>
    </row>
    <row r="415" spans="1:478" x14ac:dyDescent="0.25">
      <c r="A415" s="7">
        <v>30.145989465620065</v>
      </c>
      <c r="B415"/>
      <c r="C415"/>
      <c r="D415"/>
      <c r="E415"/>
      <c r="MI415" s="27" t="s">
        <v>8</v>
      </c>
      <c r="MJ415" s="27" t="s">
        <v>7</v>
      </c>
      <c r="OO415" s="27" t="s">
        <v>8</v>
      </c>
      <c r="OR415" s="27" t="s">
        <v>7</v>
      </c>
      <c r="OS415" s="27" t="s">
        <v>8</v>
      </c>
      <c r="OZ415" s="27" t="s">
        <v>7</v>
      </c>
      <c r="PR415" s="27" t="s">
        <v>7</v>
      </c>
      <c r="PS415" s="27" t="s">
        <v>8</v>
      </c>
      <c r="PV415" s="27" t="s">
        <v>7</v>
      </c>
      <c r="PW415" s="27" t="s">
        <v>8</v>
      </c>
      <c r="PX415" s="27" t="s">
        <v>7</v>
      </c>
      <c r="QC415" s="27" t="s">
        <v>8</v>
      </c>
      <c r="QD415" s="27" t="s">
        <v>7</v>
      </c>
      <c r="QS415" s="27" t="s">
        <v>8</v>
      </c>
      <c r="QT415" s="27" t="s">
        <v>7</v>
      </c>
      <c r="QU415" s="27" t="s">
        <v>8</v>
      </c>
      <c r="RH415" s="27" t="s">
        <v>7</v>
      </c>
      <c r="RI415" s="27" t="s">
        <v>8</v>
      </c>
    </row>
    <row r="416" spans="1:478" x14ac:dyDescent="0.25">
      <c r="A416" s="7">
        <v>29.55489163296085</v>
      </c>
      <c r="B416"/>
      <c r="C416"/>
      <c r="D416"/>
      <c r="E416"/>
      <c r="MI416" s="27" t="s">
        <v>8</v>
      </c>
      <c r="MJ416" s="27" t="s">
        <v>7</v>
      </c>
      <c r="OO416" s="27" t="s">
        <v>8</v>
      </c>
      <c r="OR416" s="27" t="s">
        <v>7</v>
      </c>
      <c r="OS416" s="27" t="s">
        <v>8</v>
      </c>
      <c r="PR416" s="27" t="s">
        <v>7</v>
      </c>
      <c r="PS416" s="27" t="s">
        <v>8</v>
      </c>
      <c r="PV416" s="27" t="s">
        <v>7</v>
      </c>
      <c r="PW416" s="27" t="s">
        <v>8</v>
      </c>
      <c r="PX416" s="27" t="s">
        <v>7</v>
      </c>
      <c r="QC416" s="27" t="s">
        <v>8</v>
      </c>
      <c r="QD416" s="27" t="s">
        <v>7</v>
      </c>
      <c r="QQ416" s="27" t="s">
        <v>8</v>
      </c>
      <c r="QS416" s="27" t="s">
        <v>8</v>
      </c>
      <c r="QT416" s="27" t="s">
        <v>7</v>
      </c>
      <c r="QU416" s="27" t="s">
        <v>8</v>
      </c>
      <c r="RH416" s="27" t="s">
        <v>7</v>
      </c>
      <c r="RI416" s="27" t="s">
        <v>8</v>
      </c>
    </row>
    <row r="417" spans="1:477" x14ac:dyDescent="0.25">
      <c r="A417" s="7">
        <v>28.975383953883185</v>
      </c>
      <c r="B417"/>
      <c r="C417"/>
      <c r="D417"/>
      <c r="E417"/>
      <c r="MI417" s="27" t="s">
        <v>8</v>
      </c>
      <c r="MJ417" s="27" t="s">
        <v>7</v>
      </c>
      <c r="OO417" s="27" t="s">
        <v>8</v>
      </c>
      <c r="OR417" s="27" t="s">
        <v>7</v>
      </c>
      <c r="PR417" s="27" t="s">
        <v>7</v>
      </c>
      <c r="PS417" s="27" t="s">
        <v>8</v>
      </c>
      <c r="PV417" s="27" t="s">
        <v>7</v>
      </c>
      <c r="PW417" s="27" t="s">
        <v>8</v>
      </c>
      <c r="PX417" s="27" t="s">
        <v>7</v>
      </c>
      <c r="QA417" s="27" t="s">
        <v>8</v>
      </c>
      <c r="QC417" s="27" t="s">
        <v>8</v>
      </c>
      <c r="QD417" s="27" t="s">
        <v>7</v>
      </c>
      <c r="QE417" s="27" t="s">
        <v>8</v>
      </c>
      <c r="QQ417" s="27" t="s">
        <v>8</v>
      </c>
      <c r="QR417" s="27" t="s">
        <v>7</v>
      </c>
      <c r="QS417" s="27" t="s">
        <v>8</v>
      </c>
      <c r="QT417" s="27" t="s">
        <v>7</v>
      </c>
      <c r="QU417" s="27" t="s">
        <v>8</v>
      </c>
      <c r="RH417" s="27" t="s">
        <v>7</v>
      </c>
      <c r="RI417" s="27" t="s">
        <v>8</v>
      </c>
    </row>
    <row r="418" spans="1:477" x14ac:dyDescent="0.25">
      <c r="A418" s="7">
        <v>28.407239170473709</v>
      </c>
      <c r="B418"/>
      <c r="C418"/>
      <c r="D418"/>
      <c r="E418"/>
      <c r="LQ418" s="27" t="s">
        <v>8</v>
      </c>
      <c r="MI418" s="27" t="s">
        <v>8</v>
      </c>
      <c r="MJ418" s="27" t="s">
        <v>7</v>
      </c>
      <c r="MM418" s="27" t="s">
        <v>8</v>
      </c>
      <c r="OO418" s="27" t="s">
        <v>8</v>
      </c>
      <c r="PR418" s="27" t="s">
        <v>7</v>
      </c>
      <c r="PV418" s="27" t="s">
        <v>7</v>
      </c>
      <c r="PW418" s="27" t="s">
        <v>8</v>
      </c>
      <c r="PX418" s="27" t="s">
        <v>7</v>
      </c>
      <c r="QA418" s="27" t="s">
        <v>8</v>
      </c>
      <c r="QB418" s="27" t="s">
        <v>7</v>
      </c>
      <c r="QC418" s="27" t="s">
        <v>8</v>
      </c>
      <c r="QD418" s="27" t="s">
        <v>7</v>
      </c>
      <c r="QE418" s="27" t="s">
        <v>8</v>
      </c>
      <c r="QF418" s="27" t="s">
        <v>7</v>
      </c>
      <c r="QO418" s="27" t="s">
        <v>8</v>
      </c>
      <c r="QQ418" s="27" t="s">
        <v>8</v>
      </c>
      <c r="QR418" s="27" t="s">
        <v>7</v>
      </c>
      <c r="QS418" s="27" t="s">
        <v>8</v>
      </c>
      <c r="QT418" s="27" t="s">
        <v>7</v>
      </c>
      <c r="QU418" s="27" t="s">
        <v>8</v>
      </c>
      <c r="RH418" s="27" t="s">
        <v>7</v>
      </c>
      <c r="RI418" s="27" t="s">
        <v>8</v>
      </c>
    </row>
    <row r="419" spans="1:477" x14ac:dyDescent="0.25">
      <c r="A419" s="7">
        <v>27.850234480856578</v>
      </c>
      <c r="B419"/>
      <c r="C419"/>
      <c r="D419"/>
      <c r="E419"/>
      <c r="LQ419" s="27" t="s">
        <v>8</v>
      </c>
      <c r="LR419" s="27" t="s">
        <v>7</v>
      </c>
      <c r="MI419" s="27" t="s">
        <v>8</v>
      </c>
      <c r="MJ419" s="27" t="s">
        <v>7</v>
      </c>
      <c r="MM419" s="27" t="s">
        <v>8</v>
      </c>
      <c r="MN419" s="27" t="s">
        <v>7</v>
      </c>
      <c r="OO419" s="27" t="s">
        <v>8</v>
      </c>
      <c r="PV419" s="27" t="s">
        <v>7</v>
      </c>
      <c r="PW419" s="27" t="s">
        <v>8</v>
      </c>
      <c r="PX419" s="27" t="s">
        <v>7</v>
      </c>
      <c r="PY419" s="27" t="s">
        <v>8</v>
      </c>
      <c r="QA419" s="27" t="s">
        <v>8</v>
      </c>
      <c r="QB419" s="27" t="s">
        <v>7</v>
      </c>
      <c r="QC419" s="27" t="s">
        <v>8</v>
      </c>
      <c r="QD419" s="27" t="s">
        <v>7</v>
      </c>
      <c r="QE419" s="27" t="s">
        <v>8</v>
      </c>
      <c r="QF419" s="27" t="s">
        <v>7</v>
      </c>
      <c r="QO419" s="27" t="s">
        <v>8</v>
      </c>
      <c r="QP419" s="27" t="s">
        <v>7</v>
      </c>
      <c r="QQ419" s="27" t="s">
        <v>8</v>
      </c>
      <c r="QR419" s="27" t="s">
        <v>7</v>
      </c>
      <c r="QS419" s="27" t="s">
        <v>8</v>
      </c>
      <c r="QT419" s="27" t="s">
        <v>7</v>
      </c>
      <c r="QU419" s="27" t="s">
        <v>8</v>
      </c>
      <c r="RH419" s="27" t="s">
        <v>7</v>
      </c>
    </row>
    <row r="420" spans="1:477" x14ac:dyDescent="0.25">
      <c r="A420" s="7">
        <v>27.304151451820175</v>
      </c>
      <c r="B420"/>
      <c r="C420"/>
      <c r="D420"/>
      <c r="E420"/>
      <c r="LQ420" s="27" t="s">
        <v>8</v>
      </c>
      <c r="LR420" s="27" t="s">
        <v>7</v>
      </c>
      <c r="LS420" s="27" t="s">
        <v>8</v>
      </c>
      <c r="MI420" s="27" t="s">
        <v>8</v>
      </c>
      <c r="MJ420" s="27" t="s">
        <v>7</v>
      </c>
      <c r="MK420" s="27" t="s">
        <v>8</v>
      </c>
      <c r="MM420" s="27" t="s">
        <v>8</v>
      </c>
      <c r="MN420" s="27" t="s">
        <v>7</v>
      </c>
      <c r="OM420" s="27" t="s">
        <v>8</v>
      </c>
      <c r="OO420" s="27" t="s">
        <v>8</v>
      </c>
      <c r="PV420" s="27" t="s">
        <v>7</v>
      </c>
      <c r="PW420" s="27" t="s">
        <v>8</v>
      </c>
      <c r="PX420" s="27" t="s">
        <v>7</v>
      </c>
      <c r="PY420" s="27" t="s">
        <v>8</v>
      </c>
      <c r="PZ420" s="27" t="s">
        <v>7</v>
      </c>
      <c r="QA420" s="27" t="s">
        <v>8</v>
      </c>
      <c r="QB420" s="27" t="s">
        <v>7</v>
      </c>
      <c r="QC420" s="27" t="s">
        <v>8</v>
      </c>
      <c r="QD420" s="27" t="s">
        <v>7</v>
      </c>
      <c r="QE420" s="27" t="s">
        <v>8</v>
      </c>
      <c r="QF420" s="27" t="s">
        <v>7</v>
      </c>
      <c r="QO420" s="27" t="s">
        <v>8</v>
      </c>
      <c r="QP420" s="27" t="s">
        <v>7</v>
      </c>
      <c r="QQ420" s="27" t="s">
        <v>8</v>
      </c>
      <c r="QR420" s="27" t="s">
        <v>7</v>
      </c>
      <c r="QS420" s="27" t="s">
        <v>8</v>
      </c>
      <c r="QT420" s="27" t="s">
        <v>7</v>
      </c>
      <c r="QU420" s="27" t="s">
        <v>8</v>
      </c>
    </row>
    <row r="421" spans="1:477" x14ac:dyDescent="0.25">
      <c r="A421" s="7">
        <v>26.768775933157034</v>
      </c>
      <c r="B421"/>
      <c r="C421"/>
      <c r="D421"/>
      <c r="E421"/>
      <c r="LQ421" s="27" t="s">
        <v>8</v>
      </c>
      <c r="LR421" s="27" t="s">
        <v>7</v>
      </c>
      <c r="LS421" s="27" t="s">
        <v>8</v>
      </c>
      <c r="LT421" s="27" t="s">
        <v>7</v>
      </c>
      <c r="MI421" s="27" t="s">
        <v>8</v>
      </c>
      <c r="MJ421" s="27" t="s">
        <v>7</v>
      </c>
      <c r="MK421" s="27" t="s">
        <v>8</v>
      </c>
      <c r="ML421" s="27" t="s">
        <v>7</v>
      </c>
      <c r="MM421" s="27" t="s">
        <v>8</v>
      </c>
      <c r="MN421" s="27" t="s">
        <v>7</v>
      </c>
      <c r="OM421" s="27" t="s">
        <v>8</v>
      </c>
      <c r="ON421" s="27" t="s">
        <v>7</v>
      </c>
      <c r="OO421" s="27" t="s">
        <v>8</v>
      </c>
      <c r="PV421" s="27" t="s">
        <v>7</v>
      </c>
      <c r="PW421" s="27" t="s">
        <v>8</v>
      </c>
      <c r="PX421" s="27" t="s">
        <v>7</v>
      </c>
      <c r="PY421" s="27" t="s">
        <v>8</v>
      </c>
      <c r="PZ421" s="27" t="s">
        <v>7</v>
      </c>
      <c r="QA421" s="27" t="s">
        <v>8</v>
      </c>
      <c r="QB421" s="27" t="s">
        <v>7</v>
      </c>
      <c r="QC421" s="27" t="s">
        <v>8</v>
      </c>
      <c r="QD421" s="27" t="s">
        <v>7</v>
      </c>
      <c r="QE421" s="27" t="s">
        <v>8</v>
      </c>
      <c r="QF421" s="27" t="s">
        <v>7</v>
      </c>
      <c r="QO421" s="27" t="s">
        <v>8</v>
      </c>
      <c r="QP421" s="27" t="s">
        <v>7</v>
      </c>
      <c r="QR421" s="27" t="s">
        <v>7</v>
      </c>
      <c r="QT421" s="27" t="s">
        <v>7</v>
      </c>
      <c r="QU421" s="27" t="s">
        <v>8</v>
      </c>
    </row>
    <row r="422" spans="1:477" x14ac:dyDescent="0.25">
      <c r="A422" s="7">
        <v>26.243897973683367</v>
      </c>
      <c r="B422"/>
      <c r="C422"/>
      <c r="D422"/>
      <c r="E422"/>
      <c r="KS422" s="27" t="s">
        <v>8</v>
      </c>
      <c r="LQ422" s="27" t="s">
        <v>8</v>
      </c>
      <c r="LR422" s="27" t="s">
        <v>7</v>
      </c>
      <c r="LS422" s="27" t="s">
        <v>8</v>
      </c>
      <c r="LT422" s="27" t="s">
        <v>7</v>
      </c>
      <c r="MI422" s="27" t="s">
        <v>8</v>
      </c>
      <c r="MJ422" s="27" t="s">
        <v>7</v>
      </c>
      <c r="MK422" s="27" t="s">
        <v>8</v>
      </c>
      <c r="ML422" s="27" t="s">
        <v>7</v>
      </c>
      <c r="MM422" s="27" t="s">
        <v>8</v>
      </c>
      <c r="MN422" s="27" t="s">
        <v>7</v>
      </c>
      <c r="OI422" s="27" t="s">
        <v>8</v>
      </c>
      <c r="OM422" s="27" t="s">
        <v>8</v>
      </c>
      <c r="ON422" s="27" t="s">
        <v>7</v>
      </c>
      <c r="OO422" s="27" t="s">
        <v>8</v>
      </c>
      <c r="PV422" s="27" t="s">
        <v>7</v>
      </c>
      <c r="PW422" s="27" t="s">
        <v>8</v>
      </c>
      <c r="PX422" s="27" t="s">
        <v>7</v>
      </c>
      <c r="PY422" s="27" t="s">
        <v>8</v>
      </c>
      <c r="PZ422" s="27" t="s">
        <v>7</v>
      </c>
      <c r="QA422" s="27" t="s">
        <v>8</v>
      </c>
      <c r="QB422" s="27" t="s">
        <v>7</v>
      </c>
      <c r="QC422" s="27" t="s">
        <v>8</v>
      </c>
      <c r="QD422" s="27" t="s">
        <v>7</v>
      </c>
      <c r="QE422" s="27" t="s">
        <v>8</v>
      </c>
      <c r="QF422" s="27" t="s">
        <v>7</v>
      </c>
      <c r="QO422" s="27" t="s">
        <v>8</v>
      </c>
      <c r="QT422" s="27" t="s">
        <v>7</v>
      </c>
      <c r="QU422" s="27" t="s">
        <v>8</v>
      </c>
    </row>
    <row r="423" spans="1:477" x14ac:dyDescent="0.25">
      <c r="A423" s="7">
        <v>25.729311738905263</v>
      </c>
      <c r="B423"/>
      <c r="C423"/>
      <c r="D423"/>
      <c r="E423"/>
      <c r="KS423" s="27" t="s">
        <v>8</v>
      </c>
      <c r="KT423" s="27" t="s">
        <v>7</v>
      </c>
      <c r="LQ423" s="27" t="s">
        <v>8</v>
      </c>
      <c r="LR423" s="27" t="s">
        <v>7</v>
      </c>
      <c r="LS423" s="27" t="s">
        <v>8</v>
      </c>
      <c r="LT423" s="27" t="s">
        <v>7</v>
      </c>
      <c r="MI423" s="27" t="s">
        <v>8</v>
      </c>
      <c r="MJ423" s="27" t="s">
        <v>7</v>
      </c>
      <c r="MK423" s="27" t="s">
        <v>8</v>
      </c>
      <c r="ML423" s="27" t="s">
        <v>7</v>
      </c>
      <c r="MM423" s="27" t="s">
        <v>8</v>
      </c>
      <c r="MN423" s="27" t="s">
        <v>7</v>
      </c>
      <c r="OI423" s="27" t="s">
        <v>8</v>
      </c>
      <c r="OJ423" s="27" t="s">
        <v>7</v>
      </c>
      <c r="OK423" s="27" t="s">
        <v>8</v>
      </c>
      <c r="OM423" s="27" t="s">
        <v>8</v>
      </c>
      <c r="ON423" s="27" t="s">
        <v>7</v>
      </c>
      <c r="OO423" s="27" t="s">
        <v>8</v>
      </c>
      <c r="PV423" s="27" t="s">
        <v>7</v>
      </c>
      <c r="PX423" s="27" t="s">
        <v>7</v>
      </c>
      <c r="PY423" s="27" t="s">
        <v>8</v>
      </c>
      <c r="PZ423" s="27" t="s">
        <v>7</v>
      </c>
      <c r="QA423" s="27" t="s">
        <v>8</v>
      </c>
      <c r="QB423" s="27" t="s">
        <v>7</v>
      </c>
      <c r="QD423" s="27" t="s">
        <v>7</v>
      </c>
      <c r="QE423" s="27" t="s">
        <v>8</v>
      </c>
      <c r="QF423" s="27" t="s">
        <v>7</v>
      </c>
      <c r="QG423" s="27" t="s">
        <v>8</v>
      </c>
      <c r="QO423" s="27" t="s">
        <v>8</v>
      </c>
      <c r="QT423" s="27" t="s">
        <v>7</v>
      </c>
      <c r="QU423" s="27" t="s">
        <v>8</v>
      </c>
    </row>
    <row r="424" spans="1:477" x14ac:dyDescent="0.25">
      <c r="A424" s="7">
        <v>25.224815430299277</v>
      </c>
      <c r="B424"/>
      <c r="C424"/>
      <c r="D424"/>
      <c r="E424"/>
      <c r="KS424" s="27" t="s">
        <v>8</v>
      </c>
      <c r="KT424" s="27" t="s">
        <v>7</v>
      </c>
      <c r="LQ424" s="27" t="s">
        <v>8</v>
      </c>
      <c r="LR424" s="27" t="s">
        <v>7</v>
      </c>
      <c r="LS424" s="27" t="s">
        <v>8</v>
      </c>
      <c r="LT424" s="27" t="s">
        <v>7</v>
      </c>
      <c r="MI424" s="27" t="s">
        <v>8</v>
      </c>
      <c r="MJ424" s="27" t="s">
        <v>7</v>
      </c>
      <c r="MK424" s="27" t="s">
        <v>8</v>
      </c>
      <c r="ML424" s="27" t="s">
        <v>7</v>
      </c>
      <c r="MM424" s="27" t="s">
        <v>8</v>
      </c>
      <c r="MN424" s="27" t="s">
        <v>7</v>
      </c>
      <c r="OI424" s="27" t="s">
        <v>8</v>
      </c>
      <c r="OJ424" s="27" t="s">
        <v>7</v>
      </c>
      <c r="OK424" s="27" t="s">
        <v>8</v>
      </c>
      <c r="OL424" s="27" t="s">
        <v>7</v>
      </c>
      <c r="OM424" s="27" t="s">
        <v>8</v>
      </c>
      <c r="ON424" s="27" t="s">
        <v>7</v>
      </c>
      <c r="OO424" s="27" t="s">
        <v>8</v>
      </c>
      <c r="PX424" s="27" t="s">
        <v>7</v>
      </c>
      <c r="PZ424" s="27" t="s">
        <v>7</v>
      </c>
      <c r="QA424" s="27" t="s">
        <v>8</v>
      </c>
      <c r="QD424" s="27" t="s">
        <v>7</v>
      </c>
      <c r="QE424" s="27" t="s">
        <v>8</v>
      </c>
      <c r="QF424" s="27" t="s">
        <v>7</v>
      </c>
      <c r="QG424" s="27" t="s">
        <v>8</v>
      </c>
      <c r="QH424" s="27" t="s">
        <v>7</v>
      </c>
      <c r="QO424" s="27" t="s">
        <v>8</v>
      </c>
      <c r="QT424" s="27" t="s">
        <v>7</v>
      </c>
    </row>
    <row r="425" spans="1:477" x14ac:dyDescent="0.25">
      <c r="A425" s="7">
        <v>24.73021120617576</v>
      </c>
      <c r="B425"/>
      <c r="C425"/>
      <c r="D425"/>
      <c r="E425"/>
      <c r="KS425" s="27" t="s">
        <v>8</v>
      </c>
      <c r="KT425" s="27" t="s">
        <v>7</v>
      </c>
      <c r="KU425" s="27" t="s">
        <v>8</v>
      </c>
      <c r="LQ425" s="27" t="s">
        <v>8</v>
      </c>
      <c r="LR425" s="27" t="s">
        <v>7</v>
      </c>
      <c r="LS425" s="27" t="s">
        <v>8</v>
      </c>
      <c r="LT425" s="27" t="s">
        <v>7</v>
      </c>
      <c r="MI425" s="27" t="s">
        <v>8</v>
      </c>
      <c r="MJ425" s="27" t="s">
        <v>7</v>
      </c>
      <c r="MK425" s="27" t="s">
        <v>8</v>
      </c>
      <c r="ML425" s="27" t="s">
        <v>7</v>
      </c>
      <c r="MM425" s="27" t="s">
        <v>8</v>
      </c>
      <c r="MN425" s="27" t="s">
        <v>7</v>
      </c>
      <c r="OG425" s="27" t="s">
        <v>8</v>
      </c>
      <c r="OI425" s="27" t="s">
        <v>8</v>
      </c>
      <c r="OJ425" s="27" t="s">
        <v>7</v>
      </c>
      <c r="OK425" s="27" t="s">
        <v>8</v>
      </c>
      <c r="OL425" s="27" t="s">
        <v>7</v>
      </c>
      <c r="OM425" s="27" t="s">
        <v>8</v>
      </c>
      <c r="ON425" s="27" t="s">
        <v>7</v>
      </c>
      <c r="OO425" s="27" t="s">
        <v>8</v>
      </c>
      <c r="PZ425" s="27" t="s">
        <v>7</v>
      </c>
      <c r="QD425" s="27" t="s">
        <v>7</v>
      </c>
      <c r="QE425" s="27" t="s">
        <v>8</v>
      </c>
      <c r="QF425" s="27" t="s">
        <v>7</v>
      </c>
      <c r="QG425" s="27" t="s">
        <v>8</v>
      </c>
      <c r="QH425" s="27" t="s">
        <v>7</v>
      </c>
      <c r="QI425" s="27" t="s">
        <v>8</v>
      </c>
      <c r="QO425" s="27" t="s">
        <v>8</v>
      </c>
    </row>
    <row r="426" spans="1:477" x14ac:dyDescent="0.25">
      <c r="A426" s="7">
        <v>24.24530510409388</v>
      </c>
      <c r="B426"/>
      <c r="C426"/>
      <c r="D426"/>
      <c r="E426"/>
      <c r="KS426" s="27" t="s">
        <v>8</v>
      </c>
      <c r="KT426" s="27" t="s">
        <v>7</v>
      </c>
      <c r="KU426" s="27" t="s">
        <v>8</v>
      </c>
      <c r="KV426" s="27" t="s">
        <v>7</v>
      </c>
      <c r="LI426" s="27" t="s">
        <v>8</v>
      </c>
      <c r="LQ426" s="27" t="s">
        <v>8</v>
      </c>
      <c r="LR426" s="27" t="s">
        <v>7</v>
      </c>
      <c r="LT426" s="27" t="s">
        <v>7</v>
      </c>
      <c r="ME426" s="27" t="s">
        <v>8</v>
      </c>
      <c r="MI426" s="27" t="s">
        <v>8</v>
      </c>
      <c r="MJ426" s="27" t="s">
        <v>7</v>
      </c>
      <c r="MK426" s="27" t="s">
        <v>8</v>
      </c>
      <c r="ML426" s="27" t="s">
        <v>7</v>
      </c>
      <c r="MM426" s="27" t="s">
        <v>8</v>
      </c>
      <c r="MN426" s="27" t="s">
        <v>7</v>
      </c>
      <c r="OG426" s="27" t="s">
        <v>8</v>
      </c>
      <c r="OH426" s="27" t="s">
        <v>7</v>
      </c>
      <c r="OI426" s="27" t="s">
        <v>8</v>
      </c>
      <c r="OJ426" s="27" t="s">
        <v>7</v>
      </c>
      <c r="OK426" s="27" t="s">
        <v>8</v>
      </c>
      <c r="OL426" s="27" t="s">
        <v>7</v>
      </c>
      <c r="OM426" s="27" t="s">
        <v>8</v>
      </c>
      <c r="ON426" s="27" t="s">
        <v>7</v>
      </c>
      <c r="OO426" s="27" t="s">
        <v>8</v>
      </c>
      <c r="QD426" s="27" t="s">
        <v>7</v>
      </c>
      <c r="QE426" s="27" t="s">
        <v>8</v>
      </c>
      <c r="QF426" s="27" t="s">
        <v>7</v>
      </c>
      <c r="QG426" s="27" t="s">
        <v>8</v>
      </c>
      <c r="QH426" s="27" t="s">
        <v>7</v>
      </c>
      <c r="QI426" s="27" t="s">
        <v>8</v>
      </c>
      <c r="QJ426" s="27" t="s">
        <v>7</v>
      </c>
      <c r="QO426" s="27" t="s">
        <v>8</v>
      </c>
    </row>
    <row r="427" spans="1:477" x14ac:dyDescent="0.25">
      <c r="A427" s="7">
        <v>23.769906964797922</v>
      </c>
      <c r="B427"/>
      <c r="C427"/>
      <c r="D427"/>
      <c r="E427"/>
      <c r="KS427" s="27" t="s">
        <v>8</v>
      </c>
      <c r="KT427" s="27" t="s">
        <v>7</v>
      </c>
      <c r="KU427" s="27" t="s">
        <v>8</v>
      </c>
      <c r="KV427" s="27" t="s">
        <v>7</v>
      </c>
      <c r="LI427" s="27" t="s">
        <v>8</v>
      </c>
      <c r="LJ427" s="27" t="s">
        <v>7</v>
      </c>
      <c r="LQ427" s="27" t="s">
        <v>8</v>
      </c>
      <c r="LT427" s="27" t="s">
        <v>7</v>
      </c>
      <c r="MC427" s="27" t="s">
        <v>8</v>
      </c>
      <c r="ME427" s="27" t="s">
        <v>8</v>
      </c>
      <c r="MF427" s="27" t="s">
        <v>7</v>
      </c>
      <c r="MG427" s="27" t="s">
        <v>8</v>
      </c>
      <c r="MI427" s="27" t="s">
        <v>8</v>
      </c>
      <c r="MJ427" s="27" t="s">
        <v>7</v>
      </c>
      <c r="ML427" s="27" t="s">
        <v>7</v>
      </c>
      <c r="MM427" s="27" t="s">
        <v>8</v>
      </c>
      <c r="MN427" s="27" t="s">
        <v>7</v>
      </c>
      <c r="OG427" s="27" t="s">
        <v>8</v>
      </c>
      <c r="OH427" s="27" t="s">
        <v>7</v>
      </c>
      <c r="OI427" s="27" t="s">
        <v>8</v>
      </c>
      <c r="OJ427" s="27" t="s">
        <v>7</v>
      </c>
      <c r="OK427" s="27" t="s">
        <v>8</v>
      </c>
      <c r="OL427" s="27" t="s">
        <v>7</v>
      </c>
      <c r="OM427" s="27" t="s">
        <v>8</v>
      </c>
      <c r="ON427" s="27" t="s">
        <v>7</v>
      </c>
      <c r="OO427" s="27" t="s">
        <v>8</v>
      </c>
      <c r="QD427" s="27" t="s">
        <v>7</v>
      </c>
      <c r="QE427" s="27" t="s">
        <v>8</v>
      </c>
      <c r="QF427" s="27" t="s">
        <v>7</v>
      </c>
      <c r="QG427" s="27" t="s">
        <v>8</v>
      </c>
      <c r="QH427" s="27" t="s">
        <v>7</v>
      </c>
      <c r="QI427" s="27" t="s">
        <v>8</v>
      </c>
      <c r="QJ427" s="27" t="s">
        <v>7</v>
      </c>
      <c r="QO427" s="27" t="s">
        <v>8</v>
      </c>
    </row>
    <row r="428" spans="1:477" x14ac:dyDescent="0.25">
      <c r="A428" s="7">
        <v>23.303830357645023</v>
      </c>
      <c r="B428"/>
      <c r="C428"/>
      <c r="D428"/>
      <c r="E428"/>
      <c r="KS428" s="27" t="s">
        <v>8</v>
      </c>
      <c r="KT428" s="27" t="s">
        <v>7</v>
      </c>
      <c r="KU428" s="27" t="s">
        <v>8</v>
      </c>
      <c r="KV428" s="27" t="s">
        <v>7</v>
      </c>
      <c r="LI428" s="27" t="s">
        <v>8</v>
      </c>
      <c r="LJ428" s="27" t="s">
        <v>7</v>
      </c>
      <c r="LQ428" s="27" t="s">
        <v>8</v>
      </c>
      <c r="LT428" s="27" t="s">
        <v>7</v>
      </c>
      <c r="MA428" s="27" t="s">
        <v>8</v>
      </c>
      <c r="MC428" s="27" t="s">
        <v>8</v>
      </c>
      <c r="MD428" s="27" t="s">
        <v>7</v>
      </c>
      <c r="ME428" s="27" t="s">
        <v>8</v>
      </c>
      <c r="MF428" s="27" t="s">
        <v>7</v>
      </c>
      <c r="MG428" s="27" t="s">
        <v>8</v>
      </c>
      <c r="MH428" s="27" t="s">
        <v>7</v>
      </c>
      <c r="MI428" s="27" t="s">
        <v>8</v>
      </c>
      <c r="ML428" s="27" t="s">
        <v>7</v>
      </c>
      <c r="MM428" s="27" t="s">
        <v>8</v>
      </c>
      <c r="MN428" s="27" t="s">
        <v>7</v>
      </c>
      <c r="MO428" s="27" t="s">
        <v>8</v>
      </c>
      <c r="OG428" s="27" t="s">
        <v>8</v>
      </c>
      <c r="OH428" s="27" t="s">
        <v>7</v>
      </c>
      <c r="OI428" s="27" t="s">
        <v>8</v>
      </c>
      <c r="OJ428" s="27" t="s">
        <v>7</v>
      </c>
      <c r="OK428" s="27" t="s">
        <v>8</v>
      </c>
      <c r="OL428" s="27" t="s">
        <v>7</v>
      </c>
      <c r="ON428" s="27" t="s">
        <v>7</v>
      </c>
      <c r="OO428" s="27" t="s">
        <v>8</v>
      </c>
      <c r="QD428" s="27" t="s">
        <v>7</v>
      </c>
      <c r="QE428" s="27" t="s">
        <v>8</v>
      </c>
      <c r="QF428" s="27" t="s">
        <v>7</v>
      </c>
      <c r="QG428" s="27" t="s">
        <v>8</v>
      </c>
      <c r="QH428" s="27" t="s">
        <v>7</v>
      </c>
      <c r="QI428" s="27" t="s">
        <v>8</v>
      </c>
      <c r="QJ428" s="27" t="s">
        <v>7</v>
      </c>
      <c r="QK428" s="27" t="s">
        <v>8</v>
      </c>
      <c r="QM428" s="27" t="s">
        <v>8</v>
      </c>
      <c r="QO428" s="27" t="s">
        <v>8</v>
      </c>
    </row>
    <row r="429" spans="1:477" x14ac:dyDescent="0.25">
      <c r="A429" s="7">
        <v>22.84689250749512</v>
      </c>
      <c r="B429"/>
      <c r="C429"/>
      <c r="D429"/>
      <c r="E429"/>
      <c r="KS429" s="27" t="s">
        <v>8</v>
      </c>
      <c r="KT429" s="27" t="s">
        <v>7</v>
      </c>
      <c r="KV429" s="27" t="s">
        <v>7</v>
      </c>
      <c r="LI429" s="27" t="s">
        <v>8</v>
      </c>
      <c r="LJ429" s="27" t="s">
        <v>7</v>
      </c>
      <c r="LO429" s="27" t="s">
        <v>8</v>
      </c>
      <c r="LQ429" s="27" t="s">
        <v>8</v>
      </c>
      <c r="LT429" s="27" t="s">
        <v>7</v>
      </c>
      <c r="MA429" s="27" t="s">
        <v>8</v>
      </c>
      <c r="MB429" s="27" t="s">
        <v>7</v>
      </c>
      <c r="MC429" s="27" t="s">
        <v>8</v>
      </c>
      <c r="MD429" s="27" t="s">
        <v>7</v>
      </c>
      <c r="ME429" s="27" t="s">
        <v>8</v>
      </c>
      <c r="MF429" s="27" t="s">
        <v>7</v>
      </c>
      <c r="MG429" s="27" t="s">
        <v>8</v>
      </c>
      <c r="MH429" s="27" t="s">
        <v>7</v>
      </c>
      <c r="MI429" s="27" t="s">
        <v>8</v>
      </c>
      <c r="ML429" s="27" t="s">
        <v>7</v>
      </c>
      <c r="MM429" s="27" t="s">
        <v>8</v>
      </c>
      <c r="MN429" s="27" t="s">
        <v>7</v>
      </c>
      <c r="MO429" s="27" t="s">
        <v>8</v>
      </c>
      <c r="MP429" s="27" t="s">
        <v>7</v>
      </c>
      <c r="OG429" s="27" t="s">
        <v>8</v>
      </c>
      <c r="OH429" s="27" t="s">
        <v>7</v>
      </c>
      <c r="OI429" s="27" t="s">
        <v>8</v>
      </c>
      <c r="OJ429" s="27" t="s">
        <v>7</v>
      </c>
      <c r="OK429" s="27" t="s">
        <v>8</v>
      </c>
      <c r="ON429" s="27" t="s">
        <v>7</v>
      </c>
      <c r="OO429" s="27" t="s">
        <v>8</v>
      </c>
      <c r="QD429" s="27" t="s">
        <v>7</v>
      </c>
      <c r="QE429" s="27" t="s">
        <v>8</v>
      </c>
      <c r="QF429" s="27" t="s">
        <v>7</v>
      </c>
      <c r="QG429" s="27" t="s">
        <v>8</v>
      </c>
      <c r="QH429" s="27" t="s">
        <v>7</v>
      </c>
      <c r="QI429" s="27" t="s">
        <v>8</v>
      </c>
      <c r="QJ429" s="27" t="s">
        <v>7</v>
      </c>
      <c r="QK429" s="27" t="s">
        <v>8</v>
      </c>
      <c r="QL429" s="27" t="s">
        <v>7</v>
      </c>
      <c r="QM429" s="27" t="s">
        <v>8</v>
      </c>
      <c r="QN429" s="27" t="s">
        <v>7</v>
      </c>
      <c r="QO429" s="27" t="s">
        <v>8</v>
      </c>
    </row>
    <row r="430" spans="1:477" x14ac:dyDescent="0.25">
      <c r="A430" s="7">
        <v>22.398914223034431</v>
      </c>
      <c r="B430"/>
      <c r="C430"/>
      <c r="D430"/>
      <c r="E430"/>
      <c r="KS430" s="27" t="s">
        <v>8</v>
      </c>
      <c r="KV430" s="27" t="s">
        <v>7</v>
      </c>
      <c r="KW430" s="27" t="s">
        <v>8</v>
      </c>
      <c r="LI430" s="27" t="s">
        <v>8</v>
      </c>
      <c r="LJ430" s="27" t="s">
        <v>7</v>
      </c>
      <c r="LM430" s="27" t="s">
        <v>8</v>
      </c>
      <c r="LO430" s="27" t="s">
        <v>8</v>
      </c>
      <c r="LP430" s="27" t="s">
        <v>7</v>
      </c>
      <c r="LQ430" s="27" t="s">
        <v>8</v>
      </c>
      <c r="LT430" s="27" t="s">
        <v>7</v>
      </c>
      <c r="MA430" s="27" t="s">
        <v>8</v>
      </c>
      <c r="MB430" s="27" t="s">
        <v>7</v>
      </c>
      <c r="MC430" s="27" t="s">
        <v>8</v>
      </c>
      <c r="MD430" s="27" t="s">
        <v>7</v>
      </c>
      <c r="ME430" s="27" t="s">
        <v>8</v>
      </c>
      <c r="MF430" s="27" t="s">
        <v>7</v>
      </c>
      <c r="MH430" s="27" t="s">
        <v>7</v>
      </c>
      <c r="MI430" s="27" t="s">
        <v>8</v>
      </c>
      <c r="ML430" s="27" t="s">
        <v>7</v>
      </c>
      <c r="MM430" s="27" t="s">
        <v>8</v>
      </c>
      <c r="MN430" s="27" t="s">
        <v>7</v>
      </c>
      <c r="MO430" s="27" t="s">
        <v>8</v>
      </c>
      <c r="MP430" s="27" t="s">
        <v>7</v>
      </c>
      <c r="OG430" s="27" t="s">
        <v>8</v>
      </c>
      <c r="OH430" s="27" t="s">
        <v>7</v>
      </c>
      <c r="OI430" s="27" t="s">
        <v>8</v>
      </c>
      <c r="OJ430" s="27" t="s">
        <v>7</v>
      </c>
      <c r="ON430" s="27" t="s">
        <v>7</v>
      </c>
      <c r="OO430" s="27" t="s">
        <v>8</v>
      </c>
      <c r="QD430" s="27" t="s">
        <v>7</v>
      </c>
      <c r="QE430" s="27" t="s">
        <v>8</v>
      </c>
      <c r="QF430" s="27" t="s">
        <v>7</v>
      </c>
      <c r="QH430" s="27" t="s">
        <v>7</v>
      </c>
      <c r="QI430" s="27" t="s">
        <v>8</v>
      </c>
      <c r="QJ430" s="27" t="s">
        <v>7</v>
      </c>
      <c r="QK430" s="27" t="s">
        <v>8</v>
      </c>
      <c r="QL430" s="27" t="s">
        <v>7</v>
      </c>
      <c r="QM430" s="27" t="s">
        <v>8</v>
      </c>
      <c r="QN430" s="27" t="s">
        <v>7</v>
      </c>
      <c r="QO430" s="27" t="s">
        <v>8</v>
      </c>
    </row>
    <row r="431" spans="1:477" x14ac:dyDescent="0.25">
      <c r="A431" s="7">
        <v>21.959719826504344</v>
      </c>
      <c r="B431"/>
      <c r="C431"/>
      <c r="D431"/>
      <c r="E431"/>
      <c r="KQ431" s="27" t="s">
        <v>8</v>
      </c>
      <c r="KS431" s="27" t="s">
        <v>8</v>
      </c>
      <c r="KV431" s="27" t="s">
        <v>7</v>
      </c>
      <c r="KW431" s="27" t="s">
        <v>8</v>
      </c>
      <c r="KX431" s="27" t="s">
        <v>7</v>
      </c>
      <c r="LC431" s="27" t="s">
        <v>8</v>
      </c>
      <c r="LG431" s="27" t="s">
        <v>8</v>
      </c>
      <c r="LI431" s="27" t="s">
        <v>8</v>
      </c>
      <c r="LJ431" s="27" t="s">
        <v>7</v>
      </c>
      <c r="LM431" s="27" t="s">
        <v>8</v>
      </c>
      <c r="LN431" s="27" t="s">
        <v>7</v>
      </c>
      <c r="LO431" s="27" t="s">
        <v>8</v>
      </c>
      <c r="LP431" s="27" t="s">
        <v>7</v>
      </c>
      <c r="LQ431" s="27" t="s">
        <v>8</v>
      </c>
      <c r="LT431" s="27" t="s">
        <v>7</v>
      </c>
      <c r="LU431" s="27" t="s">
        <v>8</v>
      </c>
      <c r="MA431" s="27" t="s">
        <v>8</v>
      </c>
      <c r="MB431" s="27" t="s">
        <v>7</v>
      </c>
      <c r="MC431" s="27" t="s">
        <v>8</v>
      </c>
      <c r="MD431" s="27" t="s">
        <v>7</v>
      </c>
      <c r="ME431" s="27" t="s">
        <v>8</v>
      </c>
      <c r="MH431" s="27" t="s">
        <v>7</v>
      </c>
      <c r="MI431" s="27" t="s">
        <v>8</v>
      </c>
      <c r="ML431" s="27" t="s">
        <v>7</v>
      </c>
      <c r="MN431" s="27" t="s">
        <v>7</v>
      </c>
      <c r="MO431" s="27" t="s">
        <v>8</v>
      </c>
      <c r="MP431" s="27" t="s">
        <v>7</v>
      </c>
      <c r="OG431" s="27" t="s">
        <v>8</v>
      </c>
      <c r="OH431" s="27" t="s">
        <v>7</v>
      </c>
      <c r="OI431" s="27" t="s">
        <v>8</v>
      </c>
      <c r="ON431" s="27" t="s">
        <v>7</v>
      </c>
      <c r="OO431" s="27" t="s">
        <v>8</v>
      </c>
      <c r="QD431" s="27" t="s">
        <v>7</v>
      </c>
      <c r="QH431" s="27" t="s">
        <v>7</v>
      </c>
      <c r="QJ431" s="27" t="s">
        <v>7</v>
      </c>
      <c r="QK431" s="27" t="s">
        <v>8</v>
      </c>
      <c r="QL431" s="27" t="s">
        <v>7</v>
      </c>
      <c r="QM431" s="27" t="s">
        <v>8</v>
      </c>
      <c r="QN431" s="27" t="s">
        <v>7</v>
      </c>
      <c r="QO431" s="27" t="s">
        <v>8</v>
      </c>
    </row>
    <row r="432" spans="1:477" x14ac:dyDescent="0.25">
      <c r="A432" s="7">
        <v>21.52913708480818</v>
      </c>
      <c r="B432"/>
      <c r="C432"/>
      <c r="D432"/>
      <c r="E432"/>
      <c r="KQ432" s="27" t="s">
        <v>8</v>
      </c>
      <c r="KR432" s="27" t="s">
        <v>7</v>
      </c>
      <c r="KS432" s="27" t="s">
        <v>8</v>
      </c>
      <c r="KV432" s="27" t="s">
        <v>7</v>
      </c>
      <c r="KW432" s="27" t="s">
        <v>8</v>
      </c>
      <c r="KX432" s="27" t="s">
        <v>7</v>
      </c>
      <c r="LC432" s="27" t="s">
        <v>8</v>
      </c>
      <c r="LD432" s="27" t="s">
        <v>7</v>
      </c>
      <c r="LG432" s="27" t="s">
        <v>8</v>
      </c>
      <c r="LH432" s="27" t="s">
        <v>7</v>
      </c>
      <c r="LI432" s="27" t="s">
        <v>8</v>
      </c>
      <c r="LJ432" s="27" t="s">
        <v>7</v>
      </c>
      <c r="LM432" s="27" t="s">
        <v>8</v>
      </c>
      <c r="LN432" s="27" t="s">
        <v>7</v>
      </c>
      <c r="LO432" s="27" t="s">
        <v>8</v>
      </c>
      <c r="LP432" s="27" t="s">
        <v>7</v>
      </c>
      <c r="LQ432" s="27" t="s">
        <v>8</v>
      </c>
      <c r="LT432" s="27" t="s">
        <v>7</v>
      </c>
      <c r="LU432" s="27" t="s">
        <v>8</v>
      </c>
      <c r="LV432" s="27" t="s">
        <v>7</v>
      </c>
      <c r="LW432" s="27" t="s">
        <v>8</v>
      </c>
      <c r="MA432" s="27" t="s">
        <v>8</v>
      </c>
      <c r="MB432" s="27" t="s">
        <v>7</v>
      </c>
      <c r="MD432" s="27" t="s">
        <v>7</v>
      </c>
      <c r="MH432" s="27" t="s">
        <v>7</v>
      </c>
      <c r="MI432" s="27" t="s">
        <v>8</v>
      </c>
      <c r="MN432" s="27" t="s">
        <v>7</v>
      </c>
      <c r="MO432" s="27" t="s">
        <v>8</v>
      </c>
      <c r="MP432" s="27" t="s">
        <v>7</v>
      </c>
      <c r="OG432" s="27" t="s">
        <v>8</v>
      </c>
      <c r="OH432" s="27" t="s">
        <v>7</v>
      </c>
      <c r="OI432" s="27" t="s">
        <v>8</v>
      </c>
      <c r="ON432" s="27" t="s">
        <v>7</v>
      </c>
      <c r="OO432" s="27" t="s">
        <v>8</v>
      </c>
      <c r="QJ432" s="27" t="s">
        <v>7</v>
      </c>
      <c r="QK432" s="27" t="s">
        <v>8</v>
      </c>
      <c r="QL432" s="27" t="s">
        <v>7</v>
      </c>
      <c r="QM432" s="27" t="s">
        <v>8</v>
      </c>
      <c r="QN432" s="27" t="s">
        <v>7</v>
      </c>
      <c r="QO432" s="27" t="s">
        <v>8</v>
      </c>
    </row>
    <row r="433" spans="1:456" x14ac:dyDescent="0.25">
      <c r="A433" s="7">
        <v>21.106997141968804</v>
      </c>
      <c r="B433"/>
      <c r="C433"/>
      <c r="D433"/>
      <c r="E433"/>
      <c r="KQ433" s="27" t="s">
        <v>8</v>
      </c>
      <c r="KR433" s="27" t="s">
        <v>7</v>
      </c>
      <c r="KS433" s="27" t="s">
        <v>8</v>
      </c>
      <c r="KV433" s="27" t="s">
        <v>7</v>
      </c>
      <c r="KW433" s="27" t="s">
        <v>8</v>
      </c>
      <c r="KX433" s="27" t="s">
        <v>7</v>
      </c>
      <c r="KY433" s="27" t="s">
        <v>8</v>
      </c>
      <c r="LC433" s="27" t="s">
        <v>8</v>
      </c>
      <c r="LD433" s="27" t="s">
        <v>7</v>
      </c>
      <c r="LE433" s="27" t="s">
        <v>8</v>
      </c>
      <c r="LG433" s="27" t="s">
        <v>8</v>
      </c>
      <c r="LH433" s="27" t="s">
        <v>7</v>
      </c>
      <c r="LI433" s="27" t="s">
        <v>8</v>
      </c>
      <c r="LJ433" s="27" t="s">
        <v>7</v>
      </c>
      <c r="LM433" s="27" t="s">
        <v>8</v>
      </c>
      <c r="LN433" s="27" t="s">
        <v>7</v>
      </c>
      <c r="LO433" s="27" t="s">
        <v>8</v>
      </c>
      <c r="LP433" s="27" t="s">
        <v>7</v>
      </c>
      <c r="LQ433" s="27" t="s">
        <v>8</v>
      </c>
      <c r="LT433" s="27" t="s">
        <v>7</v>
      </c>
      <c r="LU433" s="27" t="s">
        <v>8</v>
      </c>
      <c r="LV433" s="27" t="s">
        <v>7</v>
      </c>
      <c r="LW433" s="27" t="s">
        <v>8</v>
      </c>
      <c r="LX433" s="27" t="s">
        <v>7</v>
      </c>
      <c r="MA433" s="27" t="s">
        <v>8</v>
      </c>
      <c r="MH433" s="27" t="s">
        <v>7</v>
      </c>
      <c r="MI433" s="27" t="s">
        <v>8</v>
      </c>
      <c r="MN433" s="27" t="s">
        <v>7</v>
      </c>
      <c r="MO433" s="27" t="s">
        <v>8</v>
      </c>
      <c r="MP433" s="27" t="s">
        <v>7</v>
      </c>
      <c r="OG433" s="27" t="s">
        <v>8</v>
      </c>
      <c r="OH433" s="27" t="s">
        <v>7</v>
      </c>
      <c r="OI433" s="27" t="s">
        <v>8</v>
      </c>
      <c r="ON433" s="27" t="s">
        <v>7</v>
      </c>
      <c r="OO433" s="27" t="s">
        <v>8</v>
      </c>
      <c r="QJ433" s="27" t="s">
        <v>7</v>
      </c>
      <c r="QK433" s="27" t="s">
        <v>8</v>
      </c>
      <c r="QL433" s="27" t="s">
        <v>7</v>
      </c>
      <c r="QM433" s="27" t="s">
        <v>8</v>
      </c>
      <c r="QN433" s="27" t="s">
        <v>7</v>
      </c>
    </row>
    <row r="434" spans="1:456" x14ac:dyDescent="0.25">
      <c r="A434" s="7">
        <v>20.693134452910591</v>
      </c>
      <c r="B434"/>
      <c r="C434"/>
      <c r="D434"/>
      <c r="E434"/>
      <c r="KQ434" s="27" t="s">
        <v>8</v>
      </c>
      <c r="KR434" s="27" t="s">
        <v>7</v>
      </c>
      <c r="KS434" s="27" t="s">
        <v>8</v>
      </c>
      <c r="KV434" s="27" t="s">
        <v>7</v>
      </c>
      <c r="KX434" s="27" t="s">
        <v>7</v>
      </c>
      <c r="KY434" s="27" t="s">
        <v>8</v>
      </c>
      <c r="KZ434" s="27" t="s">
        <v>7</v>
      </c>
      <c r="LA434" s="27" t="s">
        <v>8</v>
      </c>
      <c r="LC434" s="27" t="s">
        <v>8</v>
      </c>
      <c r="LD434" s="27" t="s">
        <v>7</v>
      </c>
      <c r="LE434" s="27" t="s">
        <v>8</v>
      </c>
      <c r="LF434" s="27" t="s">
        <v>7</v>
      </c>
      <c r="LG434" s="27" t="s">
        <v>8</v>
      </c>
      <c r="LH434" s="27" t="s">
        <v>7</v>
      </c>
      <c r="LI434" s="27" t="s">
        <v>8</v>
      </c>
      <c r="LJ434" s="27" t="s">
        <v>7</v>
      </c>
      <c r="LK434" s="27" t="s">
        <v>8</v>
      </c>
      <c r="LM434" s="27" t="s">
        <v>8</v>
      </c>
      <c r="LN434" s="27" t="s">
        <v>7</v>
      </c>
      <c r="LO434" s="27" t="s">
        <v>8</v>
      </c>
      <c r="LP434" s="27" t="s">
        <v>7</v>
      </c>
      <c r="LQ434" s="27" t="s">
        <v>8</v>
      </c>
      <c r="LT434" s="27" t="s">
        <v>7</v>
      </c>
      <c r="LU434" s="27" t="s">
        <v>8</v>
      </c>
      <c r="LV434" s="27" t="s">
        <v>7</v>
      </c>
      <c r="LW434" s="27" t="s">
        <v>8</v>
      </c>
      <c r="LX434" s="27" t="s">
        <v>7</v>
      </c>
      <c r="MA434" s="27" t="s">
        <v>8</v>
      </c>
      <c r="MH434" s="27" t="s">
        <v>7</v>
      </c>
      <c r="MN434" s="27" t="s">
        <v>7</v>
      </c>
      <c r="MP434" s="27" t="s">
        <v>7</v>
      </c>
      <c r="OG434" s="27" t="s">
        <v>8</v>
      </c>
      <c r="OH434" s="27" t="s">
        <v>7</v>
      </c>
      <c r="OI434" s="27" t="s">
        <v>8</v>
      </c>
      <c r="ON434" s="27" t="s">
        <v>7</v>
      </c>
      <c r="OO434" s="27" t="s">
        <v>8</v>
      </c>
      <c r="QJ434" s="27" t="s">
        <v>7</v>
      </c>
      <c r="QK434" s="27" t="s">
        <v>8</v>
      </c>
      <c r="QL434" s="27" t="s">
        <v>7</v>
      </c>
    </row>
    <row r="435" spans="1:456" x14ac:dyDescent="0.25">
      <c r="A435" s="7">
        <v>20.287386718539796</v>
      </c>
      <c r="B435"/>
      <c r="C435"/>
      <c r="D435"/>
      <c r="E435"/>
      <c r="KQ435" s="27" t="s">
        <v>8</v>
      </c>
      <c r="KR435" s="27" t="s">
        <v>7</v>
      </c>
      <c r="KS435" s="27" t="s">
        <v>8</v>
      </c>
      <c r="KX435" s="27" t="s">
        <v>7</v>
      </c>
      <c r="KY435" s="27" t="s">
        <v>8</v>
      </c>
      <c r="KZ435" s="27" t="s">
        <v>7</v>
      </c>
      <c r="LA435" s="27" t="s">
        <v>8</v>
      </c>
      <c r="LB435" s="27" t="s">
        <v>7</v>
      </c>
      <c r="LC435" s="27" t="s">
        <v>8</v>
      </c>
      <c r="LD435" s="27" t="s">
        <v>7</v>
      </c>
      <c r="LE435" s="27" t="s">
        <v>8</v>
      </c>
      <c r="LF435" s="27" t="s">
        <v>7</v>
      </c>
      <c r="LG435" s="27" t="s">
        <v>8</v>
      </c>
      <c r="LH435" s="27" t="s">
        <v>7</v>
      </c>
      <c r="LI435" s="27" t="s">
        <v>8</v>
      </c>
      <c r="LJ435" s="27" t="s">
        <v>7</v>
      </c>
      <c r="LK435" s="27" t="s">
        <v>8</v>
      </c>
      <c r="LL435" s="27" t="s">
        <v>7</v>
      </c>
      <c r="LM435" s="27" t="s">
        <v>8</v>
      </c>
      <c r="LN435" s="27" t="s">
        <v>7</v>
      </c>
      <c r="LO435" s="27" t="s">
        <v>8</v>
      </c>
      <c r="LP435" s="27" t="s">
        <v>7</v>
      </c>
      <c r="LQ435" s="27" t="s">
        <v>8</v>
      </c>
      <c r="LT435" s="27" t="s">
        <v>7</v>
      </c>
      <c r="LU435" s="27" t="s">
        <v>8</v>
      </c>
      <c r="LV435" s="27" t="s">
        <v>7</v>
      </c>
      <c r="LW435" s="27" t="s">
        <v>8</v>
      </c>
      <c r="LX435" s="27" t="s">
        <v>7</v>
      </c>
      <c r="LY435" s="27" t="s">
        <v>8</v>
      </c>
      <c r="MA435" s="27" t="s">
        <v>8</v>
      </c>
      <c r="MP435" s="27" t="s">
        <v>7</v>
      </c>
      <c r="OE435" s="27" t="s">
        <v>8</v>
      </c>
      <c r="OG435" s="27" t="s">
        <v>8</v>
      </c>
      <c r="OH435" s="27" t="s">
        <v>7</v>
      </c>
      <c r="OI435" s="27" t="s">
        <v>8</v>
      </c>
      <c r="ON435" s="27" t="s">
        <v>7</v>
      </c>
      <c r="OO435" s="27" t="s">
        <v>8</v>
      </c>
      <c r="QJ435" s="27" t="s">
        <v>7</v>
      </c>
    </row>
    <row r="436" spans="1:456" x14ac:dyDescent="0.25">
      <c r="A436" s="7">
        <v>19.889594822097838</v>
      </c>
      <c r="B436"/>
      <c r="C436"/>
      <c r="D436"/>
      <c r="E436"/>
      <c r="KQ436" s="27" t="s">
        <v>8</v>
      </c>
      <c r="KR436" s="27" t="s">
        <v>7</v>
      </c>
      <c r="KS436" s="27" t="s">
        <v>8</v>
      </c>
      <c r="KX436" s="27" t="s">
        <v>7</v>
      </c>
      <c r="KY436" s="27" t="s">
        <v>8</v>
      </c>
      <c r="KZ436" s="27" t="s">
        <v>7</v>
      </c>
      <c r="LA436" s="27" t="s">
        <v>8</v>
      </c>
      <c r="LB436" s="27" t="s">
        <v>7</v>
      </c>
      <c r="LC436" s="27" t="s">
        <v>8</v>
      </c>
      <c r="LD436" s="27" t="s">
        <v>7</v>
      </c>
      <c r="LE436" s="27" t="s">
        <v>8</v>
      </c>
      <c r="LF436" s="27" t="s">
        <v>7</v>
      </c>
      <c r="LG436" s="27" t="s">
        <v>8</v>
      </c>
      <c r="LH436" s="27" t="s">
        <v>7</v>
      </c>
      <c r="LJ436" s="27" t="s">
        <v>7</v>
      </c>
      <c r="LK436" s="27" t="s">
        <v>8</v>
      </c>
      <c r="LL436" s="27" t="s">
        <v>7</v>
      </c>
      <c r="LM436" s="27" t="s">
        <v>8</v>
      </c>
      <c r="LN436" s="27" t="s">
        <v>7</v>
      </c>
      <c r="LP436" s="27" t="s">
        <v>7</v>
      </c>
      <c r="LQ436" s="27" t="s">
        <v>8</v>
      </c>
      <c r="LT436" s="27" t="s">
        <v>7</v>
      </c>
      <c r="LU436" s="27" t="s">
        <v>8</v>
      </c>
      <c r="LV436" s="27" t="s">
        <v>7</v>
      </c>
      <c r="LW436" s="27" t="s">
        <v>8</v>
      </c>
      <c r="LX436" s="27" t="s">
        <v>7</v>
      </c>
      <c r="LY436" s="27" t="s">
        <v>8</v>
      </c>
      <c r="LZ436" s="27" t="s">
        <v>7</v>
      </c>
      <c r="MA436" s="27" t="s">
        <v>8</v>
      </c>
      <c r="MP436" s="27" t="s">
        <v>7</v>
      </c>
      <c r="OE436" s="27" t="s">
        <v>8</v>
      </c>
      <c r="OF436" s="27" t="s">
        <v>7</v>
      </c>
      <c r="OG436" s="27" t="s">
        <v>8</v>
      </c>
      <c r="OH436" s="27" t="s">
        <v>7</v>
      </c>
      <c r="OI436" s="27" t="s">
        <v>8</v>
      </c>
      <c r="ON436" s="27" t="s">
        <v>7</v>
      </c>
      <c r="OO436" s="27" t="s">
        <v>8</v>
      </c>
    </row>
    <row r="437" spans="1:456" x14ac:dyDescent="0.25">
      <c r="A437" s="7">
        <v>19.499602766762585</v>
      </c>
      <c r="B437"/>
      <c r="C437"/>
      <c r="D437"/>
      <c r="E437"/>
      <c r="KQ437" s="27" t="s">
        <v>8</v>
      </c>
      <c r="KR437" s="27" t="s">
        <v>7</v>
      </c>
      <c r="KS437" s="27" t="s">
        <v>8</v>
      </c>
      <c r="KX437" s="27" t="s">
        <v>7</v>
      </c>
      <c r="KY437" s="27" t="s">
        <v>8</v>
      </c>
      <c r="KZ437" s="27" t="s">
        <v>7</v>
      </c>
      <c r="LA437" s="27" t="s">
        <v>8</v>
      </c>
      <c r="LB437" s="27" t="s">
        <v>7</v>
      </c>
      <c r="LC437" s="27" t="s">
        <v>8</v>
      </c>
      <c r="LD437" s="27" t="s">
        <v>7</v>
      </c>
      <c r="LE437" s="27" t="s">
        <v>8</v>
      </c>
      <c r="LF437" s="27" t="s">
        <v>7</v>
      </c>
      <c r="LG437" s="27" t="s">
        <v>8</v>
      </c>
      <c r="LJ437" s="27" t="s">
        <v>7</v>
      </c>
      <c r="LK437" s="27" t="s">
        <v>8</v>
      </c>
      <c r="LL437" s="27" t="s">
        <v>7</v>
      </c>
      <c r="LM437" s="27" t="s">
        <v>8</v>
      </c>
      <c r="LP437" s="27" t="s">
        <v>7</v>
      </c>
      <c r="LQ437" s="27" t="s">
        <v>8</v>
      </c>
      <c r="LT437" s="27" t="s">
        <v>7</v>
      </c>
      <c r="LU437" s="27" t="s">
        <v>8</v>
      </c>
      <c r="LV437" s="27" t="s">
        <v>7</v>
      </c>
      <c r="LW437" s="27" t="s">
        <v>8</v>
      </c>
      <c r="LX437" s="27" t="s">
        <v>7</v>
      </c>
      <c r="LY437" s="27" t="s">
        <v>8</v>
      </c>
      <c r="LZ437" s="27" t="s">
        <v>7</v>
      </c>
      <c r="MA437" s="27" t="s">
        <v>8</v>
      </c>
      <c r="MP437" s="27" t="s">
        <v>7</v>
      </c>
      <c r="OE437" s="27" t="s">
        <v>8</v>
      </c>
      <c r="OF437" s="27" t="s">
        <v>7</v>
      </c>
      <c r="OG437" s="27" t="s">
        <v>8</v>
      </c>
      <c r="OH437" s="27" t="s">
        <v>7</v>
      </c>
      <c r="OI437" s="27" t="s">
        <v>8</v>
      </c>
      <c r="ON437" s="27" t="s">
        <v>7</v>
      </c>
      <c r="OO437" s="27" t="s">
        <v>8</v>
      </c>
    </row>
    <row r="438" spans="1:456" x14ac:dyDescent="0.25">
      <c r="A438" s="7">
        <v>19.117257614473122</v>
      </c>
      <c r="B438"/>
      <c r="C438"/>
      <c r="D438"/>
      <c r="E438"/>
      <c r="KQ438" s="27" t="s">
        <v>8</v>
      </c>
      <c r="KR438" s="27" t="s">
        <v>7</v>
      </c>
      <c r="KS438" s="27" t="s">
        <v>8</v>
      </c>
      <c r="KX438" s="27" t="s">
        <v>7</v>
      </c>
      <c r="KY438" s="27" t="s">
        <v>8</v>
      </c>
      <c r="KZ438" s="27" t="s">
        <v>7</v>
      </c>
      <c r="LA438" s="27" t="s">
        <v>8</v>
      </c>
      <c r="LB438" s="27" t="s">
        <v>7</v>
      </c>
      <c r="LC438" s="27" t="s">
        <v>8</v>
      </c>
      <c r="LD438" s="27" t="s">
        <v>7</v>
      </c>
      <c r="LE438" s="27" t="s">
        <v>8</v>
      </c>
      <c r="LF438" s="27" t="s">
        <v>7</v>
      </c>
      <c r="LG438" s="27" t="s">
        <v>8</v>
      </c>
      <c r="LJ438" s="27" t="s">
        <v>7</v>
      </c>
      <c r="LK438" s="27" t="s">
        <v>8</v>
      </c>
      <c r="LL438" s="27" t="s">
        <v>7</v>
      </c>
      <c r="LM438" s="27" t="s">
        <v>8</v>
      </c>
      <c r="LP438" s="27" t="s">
        <v>7</v>
      </c>
      <c r="LQ438" s="27" t="s">
        <v>8</v>
      </c>
      <c r="LT438" s="27" t="s">
        <v>7</v>
      </c>
      <c r="LU438" s="27" t="s">
        <v>8</v>
      </c>
      <c r="LV438" s="27" t="s">
        <v>7</v>
      </c>
      <c r="LW438" s="27" t="s">
        <v>8</v>
      </c>
      <c r="LX438" s="27" t="s">
        <v>7</v>
      </c>
      <c r="LY438" s="27" t="s">
        <v>8</v>
      </c>
      <c r="LZ438" s="27" t="s">
        <v>7</v>
      </c>
      <c r="MA438" s="27" t="s">
        <v>8</v>
      </c>
      <c r="MP438" s="27" t="s">
        <v>7</v>
      </c>
      <c r="OE438" s="27" t="s">
        <v>8</v>
      </c>
      <c r="OF438" s="27" t="s">
        <v>7</v>
      </c>
      <c r="OG438" s="27" t="s">
        <v>8</v>
      </c>
      <c r="OH438" s="27" t="s">
        <v>7</v>
      </c>
      <c r="OI438" s="27" t="s">
        <v>8</v>
      </c>
      <c r="ON438" s="27" t="s">
        <v>7</v>
      </c>
      <c r="OO438" s="27" t="s">
        <v>8</v>
      </c>
    </row>
    <row r="439" spans="1:456" x14ac:dyDescent="0.25">
      <c r="A439" s="7">
        <v>18.74240942595404</v>
      </c>
      <c r="B439"/>
      <c r="C439"/>
      <c r="D439"/>
      <c r="E439"/>
      <c r="KQ439" s="27" t="s">
        <v>8</v>
      </c>
      <c r="KR439" s="27" t="s">
        <v>7</v>
      </c>
      <c r="KS439" s="27" t="s">
        <v>8</v>
      </c>
      <c r="KX439" s="27" t="s">
        <v>7</v>
      </c>
      <c r="KY439" s="27" t="s">
        <v>8</v>
      </c>
      <c r="KZ439" s="27" t="s">
        <v>7</v>
      </c>
      <c r="LA439" s="27" t="s">
        <v>8</v>
      </c>
      <c r="LB439" s="27" t="s">
        <v>7</v>
      </c>
      <c r="LC439" s="27" t="s">
        <v>8</v>
      </c>
      <c r="LD439" s="27" t="s">
        <v>7</v>
      </c>
      <c r="LE439" s="27" t="s">
        <v>8</v>
      </c>
      <c r="LF439" s="27" t="s">
        <v>7</v>
      </c>
      <c r="LG439" s="27" t="s">
        <v>8</v>
      </c>
      <c r="LJ439" s="27" t="s">
        <v>7</v>
      </c>
      <c r="LK439" s="27" t="s">
        <v>8</v>
      </c>
      <c r="LL439" s="27" t="s">
        <v>7</v>
      </c>
      <c r="LM439" s="27" t="s">
        <v>8</v>
      </c>
      <c r="LP439" s="27" t="s">
        <v>7</v>
      </c>
      <c r="LT439" s="27" t="s">
        <v>7</v>
      </c>
      <c r="LU439" s="27" t="s">
        <v>8</v>
      </c>
      <c r="LV439" s="27" t="s">
        <v>7</v>
      </c>
      <c r="LW439" s="27" t="s">
        <v>8</v>
      </c>
      <c r="LX439" s="27" t="s">
        <v>7</v>
      </c>
      <c r="LY439" s="27" t="s">
        <v>8</v>
      </c>
      <c r="LZ439" s="27" t="s">
        <v>7</v>
      </c>
      <c r="MA439" s="27" t="s">
        <v>8</v>
      </c>
      <c r="MP439" s="27" t="s">
        <v>7</v>
      </c>
      <c r="OE439" s="27" t="s">
        <v>8</v>
      </c>
      <c r="OF439" s="27" t="s">
        <v>7</v>
      </c>
      <c r="OG439" s="27" t="s">
        <v>8</v>
      </c>
      <c r="OH439" s="27" t="s">
        <v>7</v>
      </c>
      <c r="OI439" s="27" t="s">
        <v>8</v>
      </c>
      <c r="ON439" s="27" t="s">
        <v>7</v>
      </c>
    </row>
    <row r="440" spans="1:456" x14ac:dyDescent="0.25">
      <c r="A440" s="7">
        <v>18.374911201915726</v>
      </c>
      <c r="B440"/>
      <c r="C440"/>
      <c r="D440"/>
      <c r="E440"/>
      <c r="KQ440" s="27" t="s">
        <v>8</v>
      </c>
      <c r="KR440" s="27" t="s">
        <v>7</v>
      </c>
      <c r="KS440" s="27" t="s">
        <v>8</v>
      </c>
      <c r="KX440" s="27" t="s">
        <v>7</v>
      </c>
      <c r="KY440" s="27" t="s">
        <v>8</v>
      </c>
      <c r="KZ440" s="27" t="s">
        <v>7</v>
      </c>
      <c r="LA440" s="27" t="s">
        <v>8</v>
      </c>
      <c r="LB440" s="27" t="s">
        <v>7</v>
      </c>
      <c r="LC440" s="27" t="s">
        <v>8</v>
      </c>
      <c r="LD440" s="27" t="s">
        <v>7</v>
      </c>
      <c r="LE440" s="27" t="s">
        <v>8</v>
      </c>
      <c r="LF440" s="27" t="s">
        <v>7</v>
      </c>
      <c r="LG440" s="27" t="s">
        <v>8</v>
      </c>
      <c r="LJ440" s="27" t="s">
        <v>7</v>
      </c>
      <c r="LK440" s="27" t="s">
        <v>8</v>
      </c>
      <c r="LL440" s="27" t="s">
        <v>7</v>
      </c>
      <c r="LT440" s="27" t="s">
        <v>7</v>
      </c>
      <c r="LU440" s="27" t="s">
        <v>8</v>
      </c>
      <c r="LV440" s="27" t="s">
        <v>7</v>
      </c>
      <c r="LW440" s="27" t="s">
        <v>8</v>
      </c>
      <c r="LX440" s="27" t="s">
        <v>7</v>
      </c>
      <c r="LY440" s="27" t="s">
        <v>8</v>
      </c>
      <c r="LZ440" s="27" t="s">
        <v>7</v>
      </c>
      <c r="MA440" s="27" t="s">
        <v>8</v>
      </c>
      <c r="MP440" s="27" t="s">
        <v>7</v>
      </c>
      <c r="OE440" s="27" t="s">
        <v>8</v>
      </c>
      <c r="OF440" s="27" t="s">
        <v>7</v>
      </c>
      <c r="OH440" s="27" t="s">
        <v>7</v>
      </c>
      <c r="OI440" s="27" t="s">
        <v>8</v>
      </c>
    </row>
    <row r="441" spans="1:456" x14ac:dyDescent="0.25">
      <c r="A441" s="7">
        <v>18.014618825407574</v>
      </c>
      <c r="B441"/>
      <c r="C441"/>
      <c r="D441"/>
      <c r="E441"/>
      <c r="KQ441" s="27" t="s">
        <v>8</v>
      </c>
      <c r="KR441" s="27" t="s">
        <v>7</v>
      </c>
      <c r="KS441" s="27" t="s">
        <v>8</v>
      </c>
      <c r="KX441" s="27" t="s">
        <v>7</v>
      </c>
      <c r="KY441" s="27" t="s">
        <v>8</v>
      </c>
      <c r="KZ441" s="27" t="s">
        <v>7</v>
      </c>
      <c r="LA441" s="27" t="s">
        <v>8</v>
      </c>
      <c r="LB441" s="27" t="s">
        <v>7</v>
      </c>
      <c r="LC441" s="27" t="s">
        <v>8</v>
      </c>
      <c r="LD441" s="27" t="s">
        <v>7</v>
      </c>
      <c r="LF441" s="27" t="s">
        <v>7</v>
      </c>
      <c r="LJ441" s="27" t="s">
        <v>7</v>
      </c>
      <c r="LK441" s="27" t="s">
        <v>8</v>
      </c>
      <c r="LT441" s="27" t="s">
        <v>7</v>
      </c>
      <c r="LU441" s="27" t="s">
        <v>8</v>
      </c>
      <c r="LV441" s="27" t="s">
        <v>7</v>
      </c>
      <c r="LW441" s="27" t="s">
        <v>8</v>
      </c>
      <c r="LX441" s="27" t="s">
        <v>7</v>
      </c>
      <c r="LY441" s="27" t="s">
        <v>8</v>
      </c>
      <c r="LZ441" s="27" t="s">
        <v>7</v>
      </c>
      <c r="MA441" s="27" t="s">
        <v>8</v>
      </c>
      <c r="MP441" s="27" t="s">
        <v>7</v>
      </c>
      <c r="OE441" s="27" t="s">
        <v>8</v>
      </c>
      <c r="OH441" s="27" t="s">
        <v>7</v>
      </c>
      <c r="OI441" s="27" t="s">
        <v>8</v>
      </c>
    </row>
    <row r="442" spans="1:456" x14ac:dyDescent="0.25">
      <c r="A442" s="7">
        <v>17.661391005301542</v>
      </c>
      <c r="B442"/>
      <c r="C442"/>
      <c r="D442"/>
      <c r="E442"/>
      <c r="KQ442" s="27" t="s">
        <v>8</v>
      </c>
      <c r="KR442" s="27" t="s">
        <v>7</v>
      </c>
      <c r="KS442" s="27" t="s">
        <v>8</v>
      </c>
      <c r="KX442" s="27" t="s">
        <v>7</v>
      </c>
      <c r="KY442" s="27" t="s">
        <v>8</v>
      </c>
      <c r="KZ442" s="27" t="s">
        <v>7</v>
      </c>
      <c r="LA442" s="27" t="s">
        <v>8</v>
      </c>
      <c r="LB442" s="27" t="s">
        <v>7</v>
      </c>
      <c r="LC442" s="27" t="s">
        <v>8</v>
      </c>
      <c r="LJ442" s="27" t="s">
        <v>7</v>
      </c>
      <c r="LK442" s="27" t="s">
        <v>8</v>
      </c>
      <c r="LT442" s="27" t="s">
        <v>7</v>
      </c>
      <c r="LU442" s="27" t="s">
        <v>8</v>
      </c>
      <c r="LV442" s="27" t="s">
        <v>7</v>
      </c>
      <c r="LX442" s="27" t="s">
        <v>7</v>
      </c>
      <c r="LY442" s="27" t="s">
        <v>8</v>
      </c>
      <c r="LZ442" s="27" t="s">
        <v>7</v>
      </c>
      <c r="MP442" s="27" t="s">
        <v>7</v>
      </c>
      <c r="OE442" s="27" t="s">
        <v>8</v>
      </c>
      <c r="OH442" s="27" t="s">
        <v>7</v>
      </c>
      <c r="OI442" s="27" t="s">
        <v>8</v>
      </c>
    </row>
    <row r="443" spans="1:456" x14ac:dyDescent="0.25">
      <c r="A443" s="7">
        <v>17.315089220883866</v>
      </c>
      <c r="B443"/>
      <c r="C443"/>
      <c r="D443"/>
      <c r="E443"/>
      <c r="KQ443" s="27" t="s">
        <v>8</v>
      </c>
      <c r="KR443" s="27" t="s">
        <v>7</v>
      </c>
      <c r="KS443" s="27" t="s">
        <v>8</v>
      </c>
      <c r="KX443" s="27" t="s">
        <v>7</v>
      </c>
      <c r="KY443" s="27" t="s">
        <v>8</v>
      </c>
      <c r="KZ443" s="27" t="s">
        <v>7</v>
      </c>
      <c r="LA443" s="27" t="s">
        <v>8</v>
      </c>
      <c r="LB443" s="27" t="s">
        <v>7</v>
      </c>
      <c r="LC443" s="27" t="s">
        <v>8</v>
      </c>
      <c r="LJ443" s="27" t="s">
        <v>7</v>
      </c>
      <c r="LK443" s="27" t="s">
        <v>8</v>
      </c>
      <c r="LT443" s="27" t="s">
        <v>7</v>
      </c>
      <c r="LX443" s="27" t="s">
        <v>7</v>
      </c>
      <c r="LY443" s="27" t="s">
        <v>8</v>
      </c>
      <c r="MP443" s="27" t="s">
        <v>7</v>
      </c>
      <c r="MQ443" s="27" t="s">
        <v>8</v>
      </c>
      <c r="OE443" s="27" t="s">
        <v>8</v>
      </c>
      <c r="OH443" s="27" t="s">
        <v>7</v>
      </c>
    </row>
    <row r="444" spans="1:456" x14ac:dyDescent="0.25">
      <c r="A444" s="7">
        <v>16.975577667533202</v>
      </c>
      <c r="B444"/>
      <c r="C444"/>
      <c r="D444"/>
      <c r="E444"/>
      <c r="KQ444" s="27" t="s">
        <v>8</v>
      </c>
      <c r="KR444" s="27" t="s">
        <v>7</v>
      </c>
      <c r="KS444" s="27" t="s">
        <v>8</v>
      </c>
      <c r="KX444" s="27" t="s">
        <v>7</v>
      </c>
      <c r="KY444" s="27" t="s">
        <v>8</v>
      </c>
      <c r="KZ444" s="27" t="s">
        <v>7</v>
      </c>
      <c r="LA444" s="27" t="s">
        <v>8</v>
      </c>
      <c r="LB444" s="27" t="s">
        <v>7</v>
      </c>
      <c r="LC444" s="27" t="s">
        <v>8</v>
      </c>
      <c r="LJ444" s="27" t="s">
        <v>7</v>
      </c>
      <c r="LK444" s="27" t="s">
        <v>8</v>
      </c>
      <c r="LX444" s="27" t="s">
        <v>7</v>
      </c>
      <c r="LY444" s="27" t="s">
        <v>8</v>
      </c>
      <c r="MP444" s="27" t="s">
        <v>7</v>
      </c>
      <c r="MQ444" s="27" t="s">
        <v>8</v>
      </c>
      <c r="MR444" s="27" t="s">
        <v>7</v>
      </c>
      <c r="MW444" s="27" t="s">
        <v>8</v>
      </c>
      <c r="OE444" s="27" t="s">
        <v>8</v>
      </c>
    </row>
    <row r="445" spans="1:456" x14ac:dyDescent="0.25">
      <c r="A445" s="7">
        <v>16.642723203463923</v>
      </c>
      <c r="B445"/>
      <c r="C445"/>
      <c r="D445"/>
      <c r="E445"/>
      <c r="KQ445" s="27" t="s">
        <v>8</v>
      </c>
      <c r="KR445" s="27" t="s">
        <v>7</v>
      </c>
      <c r="KS445" s="27" t="s">
        <v>8</v>
      </c>
      <c r="KX445" s="27" t="s">
        <v>7</v>
      </c>
      <c r="KY445" s="27" t="s">
        <v>8</v>
      </c>
      <c r="KZ445" s="27" t="s">
        <v>7</v>
      </c>
      <c r="LA445" s="27" t="s">
        <v>8</v>
      </c>
      <c r="LB445" s="27" t="s">
        <v>7</v>
      </c>
      <c r="LJ445" s="27" t="s">
        <v>7</v>
      </c>
      <c r="LX445" s="27" t="s">
        <v>7</v>
      </c>
      <c r="MP445" s="27" t="s">
        <v>7</v>
      </c>
      <c r="MQ445" s="27" t="s">
        <v>8</v>
      </c>
      <c r="MR445" s="27" t="s">
        <v>7</v>
      </c>
      <c r="MW445" s="27" t="s">
        <v>8</v>
      </c>
      <c r="MX445" s="27" t="s">
        <v>7</v>
      </c>
      <c r="OE445" s="27" t="s">
        <v>8</v>
      </c>
    </row>
    <row r="446" spans="1:456" x14ac:dyDescent="0.25">
      <c r="A446" s="7">
        <v>16.316395297513651</v>
      </c>
      <c r="B446"/>
      <c r="C446"/>
      <c r="D446"/>
      <c r="E446"/>
      <c r="KQ446" s="27" t="s">
        <v>8</v>
      </c>
      <c r="KR446" s="27" t="s">
        <v>7</v>
      </c>
      <c r="KS446" s="27" t="s">
        <v>8</v>
      </c>
      <c r="KX446" s="27" t="s">
        <v>7</v>
      </c>
      <c r="KY446" s="27" t="s">
        <v>8</v>
      </c>
      <c r="KZ446" s="27" t="s">
        <v>7</v>
      </c>
      <c r="MP446" s="27" t="s">
        <v>7</v>
      </c>
      <c r="MQ446" s="27" t="s">
        <v>8</v>
      </c>
      <c r="MR446" s="27" t="s">
        <v>7</v>
      </c>
      <c r="MW446" s="27" t="s">
        <v>8</v>
      </c>
      <c r="MX446" s="27" t="s">
        <v>7</v>
      </c>
      <c r="MY446" s="27" t="s">
        <v>8</v>
      </c>
      <c r="OE446" s="27" t="s">
        <v>8</v>
      </c>
    </row>
    <row r="447" spans="1:456" x14ac:dyDescent="0.25">
      <c r="A447" s="7">
        <v>15.996465977954561</v>
      </c>
      <c r="B447"/>
      <c r="C447"/>
      <c r="D447"/>
      <c r="E447"/>
      <c r="KQ447" s="27" t="s">
        <v>8</v>
      </c>
      <c r="KR447" s="27" t="s">
        <v>7</v>
      </c>
      <c r="KS447" s="27" t="s">
        <v>8</v>
      </c>
      <c r="KX447" s="27" t="s">
        <v>7</v>
      </c>
      <c r="KY447" s="27" t="s">
        <v>8</v>
      </c>
      <c r="MP447" s="27" t="s">
        <v>7</v>
      </c>
      <c r="MQ447" s="27" t="s">
        <v>8</v>
      </c>
      <c r="MR447" s="27" t="s">
        <v>7</v>
      </c>
      <c r="MW447" s="27" t="s">
        <v>8</v>
      </c>
      <c r="MX447" s="27" t="s">
        <v>7</v>
      </c>
      <c r="MY447" s="27" t="s">
        <v>8</v>
      </c>
      <c r="MZ447" s="27" t="s">
        <v>7</v>
      </c>
      <c r="OE447" s="27" t="s">
        <v>8</v>
      </c>
    </row>
    <row r="448" spans="1:456" x14ac:dyDescent="0.25">
      <c r="A448" s="7">
        <v>15.682809782308393</v>
      </c>
      <c r="B448"/>
      <c r="C448"/>
      <c r="D448"/>
      <c r="E448"/>
      <c r="KQ448" s="27" t="s">
        <v>8</v>
      </c>
      <c r="KR448" s="27" t="s">
        <v>7</v>
      </c>
      <c r="KS448" s="27" t="s">
        <v>8</v>
      </c>
      <c r="KX448" s="27" t="s">
        <v>7</v>
      </c>
      <c r="KY448" s="27" t="s">
        <v>8</v>
      </c>
      <c r="MP448" s="27" t="s">
        <v>7</v>
      </c>
      <c r="MQ448" s="27" t="s">
        <v>8</v>
      </c>
      <c r="MR448" s="27" t="s">
        <v>7</v>
      </c>
      <c r="MW448" s="27" t="s">
        <v>8</v>
      </c>
      <c r="MX448" s="27" t="s">
        <v>7</v>
      </c>
      <c r="MY448" s="27" t="s">
        <v>8</v>
      </c>
      <c r="MZ448" s="27" t="s">
        <v>7</v>
      </c>
      <c r="OE448" s="27" t="s">
        <v>8</v>
      </c>
    </row>
    <row r="449" spans="1:395" x14ac:dyDescent="0.25">
      <c r="A449" s="7">
        <v>15.375303708145482</v>
      </c>
      <c r="B449"/>
      <c r="C449"/>
      <c r="D449"/>
      <c r="E449"/>
      <c r="KO449" s="27" t="s">
        <v>8</v>
      </c>
      <c r="KQ449" s="27" t="s">
        <v>8</v>
      </c>
      <c r="KR449" s="27" t="s">
        <v>7</v>
      </c>
      <c r="KS449" s="27" t="s">
        <v>8</v>
      </c>
      <c r="KX449" s="27" t="s">
        <v>7</v>
      </c>
      <c r="MP449" s="27" t="s">
        <v>7</v>
      </c>
      <c r="MQ449" s="27" t="s">
        <v>8</v>
      </c>
      <c r="MR449" s="27" t="s">
        <v>7</v>
      </c>
      <c r="MU449" s="27" t="s">
        <v>8</v>
      </c>
      <c r="MW449" s="27" t="s">
        <v>8</v>
      </c>
      <c r="MX449" s="27" t="s">
        <v>7</v>
      </c>
      <c r="MY449" s="27" t="s">
        <v>8</v>
      </c>
      <c r="MZ449" s="27" t="s">
        <v>7</v>
      </c>
      <c r="OC449" s="27" t="s">
        <v>8</v>
      </c>
      <c r="OE449" s="27" t="s">
        <v>8</v>
      </c>
    </row>
    <row r="450" spans="1:395" x14ac:dyDescent="0.25">
      <c r="A450" s="7">
        <v>15.073827164848511</v>
      </c>
      <c r="B450"/>
      <c r="C450"/>
      <c r="D450"/>
      <c r="E450"/>
      <c r="KO450" s="27" t="s">
        <v>8</v>
      </c>
      <c r="KP450" s="27" t="s">
        <v>7</v>
      </c>
      <c r="KQ450" s="27" t="s">
        <v>8</v>
      </c>
      <c r="KR450" s="27" t="s">
        <v>7</v>
      </c>
      <c r="MP450" s="27" t="s">
        <v>7</v>
      </c>
      <c r="MQ450" s="27" t="s">
        <v>8</v>
      </c>
      <c r="MR450" s="27" t="s">
        <v>7</v>
      </c>
      <c r="MU450" s="27" t="s">
        <v>8</v>
      </c>
      <c r="MV450" s="27" t="s">
        <v>7</v>
      </c>
      <c r="MW450" s="27" t="s">
        <v>8</v>
      </c>
      <c r="MX450" s="27" t="s">
        <v>7</v>
      </c>
      <c r="MY450" s="27" t="s">
        <v>8</v>
      </c>
      <c r="MZ450" s="27" t="s">
        <v>7</v>
      </c>
      <c r="OC450" s="27" t="s">
        <v>8</v>
      </c>
      <c r="OD450" s="27" t="s">
        <v>7</v>
      </c>
      <c r="OE450" s="27" t="s">
        <v>8</v>
      </c>
    </row>
    <row r="451" spans="1:395" x14ac:dyDescent="0.25">
      <c r="A451" s="7">
        <v>14.77826192632207</v>
      </c>
      <c r="B451"/>
      <c r="C451"/>
      <c r="D451"/>
      <c r="E451"/>
      <c r="KO451" s="27" t="s">
        <v>8</v>
      </c>
      <c r="KP451" s="27" t="s">
        <v>7</v>
      </c>
      <c r="KQ451" s="27" t="s">
        <v>8</v>
      </c>
      <c r="MP451" s="27" t="s">
        <v>7</v>
      </c>
      <c r="MQ451" s="27" t="s">
        <v>8</v>
      </c>
      <c r="MR451" s="27" t="s">
        <v>7</v>
      </c>
      <c r="MU451" s="27" t="s">
        <v>8</v>
      </c>
      <c r="MV451" s="27" t="s">
        <v>7</v>
      </c>
      <c r="MW451" s="27" t="s">
        <v>8</v>
      </c>
      <c r="MX451" s="27" t="s">
        <v>7</v>
      </c>
      <c r="MY451" s="27" t="s">
        <v>8</v>
      </c>
      <c r="MZ451" s="27" t="s">
        <v>7</v>
      </c>
      <c r="NM451" s="27" t="s">
        <v>8</v>
      </c>
      <c r="OC451" s="27" t="s">
        <v>8</v>
      </c>
      <c r="OD451" s="27" t="s">
        <v>7</v>
      </c>
      <c r="OE451" s="27" t="s">
        <v>8</v>
      </c>
    </row>
    <row r="452" spans="1:395" x14ac:dyDescent="0.25">
      <c r="A452" s="7">
        <v>14.488492084629481</v>
      </c>
      <c r="B452"/>
      <c r="C452"/>
      <c r="D452"/>
      <c r="E452"/>
      <c r="KO452" s="27" t="s">
        <v>8</v>
      </c>
      <c r="KP452" s="27" t="s">
        <v>7</v>
      </c>
      <c r="KQ452" s="27" t="s">
        <v>8</v>
      </c>
      <c r="MP452" s="27" t="s">
        <v>7</v>
      </c>
      <c r="MQ452" s="27" t="s">
        <v>8</v>
      </c>
      <c r="MR452" s="27" t="s">
        <v>7</v>
      </c>
      <c r="MU452" s="27" t="s">
        <v>8</v>
      </c>
      <c r="MV452" s="27" t="s">
        <v>7</v>
      </c>
      <c r="MW452" s="27" t="s">
        <v>8</v>
      </c>
      <c r="MX452" s="27" t="s">
        <v>7</v>
      </c>
      <c r="MY452" s="27" t="s">
        <v>8</v>
      </c>
      <c r="MZ452" s="27" t="s">
        <v>7</v>
      </c>
      <c r="NE452" s="27" t="s">
        <v>8</v>
      </c>
      <c r="NM452" s="27" t="s">
        <v>8</v>
      </c>
      <c r="NN452" s="27" t="s">
        <v>7</v>
      </c>
      <c r="OC452" s="27" t="s">
        <v>8</v>
      </c>
      <c r="OD452" s="27" t="s">
        <v>7</v>
      </c>
      <c r="OE452" s="27" t="s">
        <v>8</v>
      </c>
    </row>
    <row r="453" spans="1:395" x14ac:dyDescent="0.25">
      <c r="A453" s="7">
        <v>14.204404004538707</v>
      </c>
      <c r="B453"/>
      <c r="C453"/>
      <c r="D453"/>
      <c r="E453"/>
      <c r="KO453" s="27" t="s">
        <v>8</v>
      </c>
      <c r="KP453" s="27" t="s">
        <v>7</v>
      </c>
      <c r="KQ453" s="27" t="s">
        <v>8</v>
      </c>
      <c r="MP453" s="27" t="s">
        <v>7</v>
      </c>
      <c r="MQ453" s="27" t="s">
        <v>8</v>
      </c>
      <c r="MR453" s="27" t="s">
        <v>7</v>
      </c>
      <c r="MU453" s="27" t="s">
        <v>8</v>
      </c>
      <c r="MV453" s="27" t="s">
        <v>7</v>
      </c>
      <c r="MW453" s="27" t="s">
        <v>8</v>
      </c>
      <c r="MX453" s="27" t="s">
        <v>7</v>
      </c>
      <c r="MZ453" s="27" t="s">
        <v>7</v>
      </c>
      <c r="NE453" s="27" t="s">
        <v>8</v>
      </c>
      <c r="NF453" s="27" t="s">
        <v>7</v>
      </c>
      <c r="NM453" s="27" t="s">
        <v>8</v>
      </c>
      <c r="NN453" s="27" t="s">
        <v>7</v>
      </c>
      <c r="OA453" s="27" t="s">
        <v>8</v>
      </c>
      <c r="OC453" s="27" t="s">
        <v>8</v>
      </c>
      <c r="OD453" s="27" t="s">
        <v>7</v>
      </c>
      <c r="OE453" s="27" t="s">
        <v>8</v>
      </c>
    </row>
    <row r="454" spans="1:395" x14ac:dyDescent="0.25">
      <c r="A454" s="7">
        <v>13.925886278959517</v>
      </c>
      <c r="B454"/>
      <c r="C454"/>
      <c r="D454"/>
      <c r="E454"/>
      <c r="KO454" s="27" t="s">
        <v>8</v>
      </c>
      <c r="KP454" s="27" t="s">
        <v>7</v>
      </c>
      <c r="KQ454" s="27" t="s">
        <v>8</v>
      </c>
      <c r="MP454" s="27" t="s">
        <v>7</v>
      </c>
      <c r="MQ454" s="27" t="s">
        <v>8</v>
      </c>
      <c r="MR454" s="27" t="s">
        <v>7</v>
      </c>
      <c r="MU454" s="27" t="s">
        <v>8</v>
      </c>
      <c r="MV454" s="27" t="s">
        <v>7</v>
      </c>
      <c r="MW454" s="27" t="s">
        <v>8</v>
      </c>
      <c r="MZ454" s="27" t="s">
        <v>7</v>
      </c>
      <c r="NA454" s="27" t="s">
        <v>8</v>
      </c>
      <c r="NE454" s="27" t="s">
        <v>8</v>
      </c>
      <c r="NF454" s="27" t="s">
        <v>7</v>
      </c>
      <c r="NK454" s="27" t="s">
        <v>8</v>
      </c>
      <c r="NM454" s="27" t="s">
        <v>8</v>
      </c>
      <c r="NN454" s="27" t="s">
        <v>7</v>
      </c>
      <c r="OA454" s="27" t="s">
        <v>8</v>
      </c>
      <c r="OB454" s="27" t="s">
        <v>7</v>
      </c>
      <c r="OC454" s="27" t="s">
        <v>8</v>
      </c>
      <c r="OD454" s="27" t="s">
        <v>7</v>
      </c>
      <c r="OE454" s="27" t="s">
        <v>8</v>
      </c>
    </row>
    <row r="455" spans="1:395" x14ac:dyDescent="0.25">
      <c r="A455" s="7">
        <v>13.652829685254428</v>
      </c>
      <c r="B455"/>
      <c r="C455"/>
      <c r="D455"/>
      <c r="E455"/>
      <c r="KO455" s="27" t="s">
        <v>8</v>
      </c>
      <c r="KP455" s="27" t="s">
        <v>7</v>
      </c>
      <c r="MP455" s="27" t="s">
        <v>7</v>
      </c>
      <c r="MQ455" s="27" t="s">
        <v>8</v>
      </c>
      <c r="MR455" s="27" t="s">
        <v>7</v>
      </c>
      <c r="MS455" s="27" t="s">
        <v>8</v>
      </c>
      <c r="MU455" s="27" t="s">
        <v>8</v>
      </c>
      <c r="MV455" s="27" t="s">
        <v>7</v>
      </c>
      <c r="MW455" s="27" t="s">
        <v>8</v>
      </c>
      <c r="MZ455" s="27" t="s">
        <v>7</v>
      </c>
      <c r="NA455" s="27" t="s">
        <v>8</v>
      </c>
      <c r="NB455" s="27" t="s">
        <v>7</v>
      </c>
      <c r="NE455" s="27" t="s">
        <v>8</v>
      </c>
      <c r="NF455" s="27" t="s">
        <v>7</v>
      </c>
      <c r="NK455" s="27" t="s">
        <v>8</v>
      </c>
      <c r="NL455" s="27" t="s">
        <v>7</v>
      </c>
      <c r="NM455" s="27" t="s">
        <v>8</v>
      </c>
      <c r="NN455" s="27" t="s">
        <v>7</v>
      </c>
      <c r="OA455" s="27" t="s">
        <v>8</v>
      </c>
      <c r="OB455" s="27" t="s">
        <v>7</v>
      </c>
      <c r="OC455" s="27" t="s">
        <v>8</v>
      </c>
      <c r="OD455" s="27" t="s">
        <v>7</v>
      </c>
    </row>
    <row r="456" spans="1:395" x14ac:dyDescent="0.25">
      <c r="A456" s="7">
        <v>13.385127142406303</v>
      </c>
      <c r="B456"/>
      <c r="C456"/>
      <c r="D456"/>
      <c r="E456"/>
      <c r="KO456" s="27" t="s">
        <v>8</v>
      </c>
      <c r="MP456" s="27" t="s">
        <v>7</v>
      </c>
      <c r="MQ456" s="27" t="s">
        <v>8</v>
      </c>
      <c r="MR456" s="27" t="s">
        <v>7</v>
      </c>
      <c r="MS456" s="27" t="s">
        <v>8</v>
      </c>
      <c r="MT456" s="27" t="s">
        <v>7</v>
      </c>
      <c r="MU456" s="27" t="s">
        <v>8</v>
      </c>
      <c r="MV456" s="27" t="s">
        <v>7</v>
      </c>
      <c r="MW456" s="27" t="s">
        <v>8</v>
      </c>
      <c r="MZ456" s="27" t="s">
        <v>7</v>
      </c>
      <c r="NA456" s="27" t="s">
        <v>8</v>
      </c>
      <c r="NB456" s="27" t="s">
        <v>7</v>
      </c>
      <c r="NC456" s="27" t="s">
        <v>8</v>
      </c>
      <c r="NE456" s="27" t="s">
        <v>8</v>
      </c>
      <c r="NF456" s="27" t="s">
        <v>7</v>
      </c>
      <c r="NK456" s="27" t="s">
        <v>8</v>
      </c>
      <c r="NL456" s="27" t="s">
        <v>7</v>
      </c>
      <c r="NM456" s="27" t="s">
        <v>8</v>
      </c>
      <c r="NN456" s="27" t="s">
        <v>7</v>
      </c>
      <c r="NY456" s="27" t="s">
        <v>8</v>
      </c>
      <c r="OA456" s="27" t="s">
        <v>8</v>
      </c>
      <c r="OB456" s="27" t="s">
        <v>7</v>
      </c>
      <c r="OC456" s="27" t="s">
        <v>8</v>
      </c>
    </row>
    <row r="457" spans="1:395" x14ac:dyDescent="0.25">
      <c r="A457" s="7">
        <v>13.122673669025787</v>
      </c>
      <c r="B457"/>
      <c r="C457"/>
      <c r="D457"/>
      <c r="E457"/>
      <c r="KO457" s="27" t="s">
        <v>8</v>
      </c>
      <c r="MP457" s="27" t="s">
        <v>7</v>
      </c>
      <c r="MQ457" s="27" t="s">
        <v>8</v>
      </c>
      <c r="MR457" s="27" t="s">
        <v>7</v>
      </c>
      <c r="MS457" s="27" t="s">
        <v>8</v>
      </c>
      <c r="MT457" s="27" t="s">
        <v>7</v>
      </c>
      <c r="MU457" s="27" t="s">
        <v>8</v>
      </c>
      <c r="MV457" s="27" t="s">
        <v>7</v>
      </c>
      <c r="MW457" s="27" t="s">
        <v>8</v>
      </c>
      <c r="MZ457" s="27" t="s">
        <v>7</v>
      </c>
      <c r="NA457" s="27" t="s">
        <v>8</v>
      </c>
      <c r="NB457" s="27" t="s">
        <v>7</v>
      </c>
      <c r="NC457" s="27" t="s">
        <v>8</v>
      </c>
      <c r="ND457" s="27" t="s">
        <v>7</v>
      </c>
      <c r="NE457" s="27" t="s">
        <v>8</v>
      </c>
      <c r="NF457" s="27" t="s">
        <v>7</v>
      </c>
      <c r="NK457" s="27" t="s">
        <v>8</v>
      </c>
      <c r="NL457" s="27" t="s">
        <v>7</v>
      </c>
      <c r="NM457" s="27" t="s">
        <v>8</v>
      </c>
      <c r="NN457" s="27" t="s">
        <v>7</v>
      </c>
      <c r="NO457" s="27" t="s">
        <v>8</v>
      </c>
      <c r="NY457" s="27" t="s">
        <v>8</v>
      </c>
      <c r="NZ457" s="27" t="s">
        <v>7</v>
      </c>
      <c r="OA457" s="27" t="s">
        <v>8</v>
      </c>
      <c r="OB457" s="27" t="s">
        <v>7</v>
      </c>
      <c r="OC457" s="27" t="s">
        <v>8</v>
      </c>
    </row>
    <row r="458" spans="1:395" x14ac:dyDescent="0.25">
      <c r="A458" s="7">
        <v>12.865366342182144</v>
      </c>
      <c r="B458"/>
      <c r="C458"/>
      <c r="D458"/>
      <c r="E458"/>
      <c r="KO458" s="27" t="s">
        <v>8</v>
      </c>
      <c r="MP458" s="27" t="s">
        <v>7</v>
      </c>
      <c r="MQ458" s="27" t="s">
        <v>8</v>
      </c>
      <c r="MR458" s="27" t="s">
        <v>7</v>
      </c>
      <c r="MS458" s="27" t="s">
        <v>8</v>
      </c>
      <c r="MT458" s="27" t="s">
        <v>7</v>
      </c>
      <c r="MU458" s="27" t="s">
        <v>8</v>
      </c>
      <c r="MV458" s="27" t="s">
        <v>7</v>
      </c>
      <c r="MW458" s="27" t="s">
        <v>8</v>
      </c>
      <c r="MZ458" s="27" t="s">
        <v>7</v>
      </c>
      <c r="NA458" s="27" t="s">
        <v>8</v>
      </c>
      <c r="NB458" s="27" t="s">
        <v>7</v>
      </c>
      <c r="NC458" s="27" t="s">
        <v>8</v>
      </c>
      <c r="ND458" s="27" t="s">
        <v>7</v>
      </c>
      <c r="NE458" s="27" t="s">
        <v>8</v>
      </c>
      <c r="NF458" s="27" t="s">
        <v>7</v>
      </c>
      <c r="NI458" s="27" t="s">
        <v>8</v>
      </c>
      <c r="NK458" s="27" t="s">
        <v>8</v>
      </c>
      <c r="NL458" s="27" t="s">
        <v>7</v>
      </c>
      <c r="NM458" s="27" t="s">
        <v>8</v>
      </c>
      <c r="NN458" s="27" t="s">
        <v>7</v>
      </c>
      <c r="NO458" s="27" t="s">
        <v>8</v>
      </c>
      <c r="NP458" s="27" t="s">
        <v>7</v>
      </c>
      <c r="NY458" s="27" t="s">
        <v>8</v>
      </c>
      <c r="NZ458" s="27" t="s">
        <v>7</v>
      </c>
      <c r="OA458" s="27" t="s">
        <v>8</v>
      </c>
      <c r="OB458" s="27" t="s">
        <v>7</v>
      </c>
    </row>
    <row r="459" spans="1:395" x14ac:dyDescent="0.25">
      <c r="A459" s="7">
        <v>12.613104257041318</v>
      </c>
      <c r="B459"/>
      <c r="C459"/>
      <c r="D459"/>
      <c r="E459"/>
      <c r="KO459" s="27" t="s">
        <v>8</v>
      </c>
      <c r="MP459" s="27" t="s">
        <v>7</v>
      </c>
      <c r="MQ459" s="27" t="s">
        <v>8</v>
      </c>
      <c r="MR459" s="27" t="s">
        <v>7</v>
      </c>
      <c r="MS459" s="27" t="s">
        <v>8</v>
      </c>
      <c r="MT459" s="27" t="s">
        <v>7</v>
      </c>
      <c r="MU459" s="27" t="s">
        <v>8</v>
      </c>
      <c r="MV459" s="27" t="s">
        <v>7</v>
      </c>
      <c r="MW459" s="27" t="s">
        <v>8</v>
      </c>
      <c r="MZ459" s="27" t="s">
        <v>7</v>
      </c>
      <c r="NA459" s="27" t="s">
        <v>8</v>
      </c>
      <c r="NB459" s="27" t="s">
        <v>7</v>
      </c>
      <c r="NC459" s="27" t="s">
        <v>8</v>
      </c>
      <c r="ND459" s="27" t="s">
        <v>7</v>
      </c>
      <c r="NE459" s="27" t="s">
        <v>8</v>
      </c>
      <c r="NF459" s="27" t="s">
        <v>7</v>
      </c>
      <c r="NI459" s="27" t="s">
        <v>8</v>
      </c>
      <c r="NJ459" s="27" t="s">
        <v>7</v>
      </c>
      <c r="NK459" s="27" t="s">
        <v>8</v>
      </c>
      <c r="NL459" s="27" t="s">
        <v>7</v>
      </c>
      <c r="NM459" s="27" t="s">
        <v>8</v>
      </c>
      <c r="NN459" s="27" t="s">
        <v>7</v>
      </c>
      <c r="NO459" s="27" t="s">
        <v>8</v>
      </c>
      <c r="NP459" s="27" t="s">
        <v>7</v>
      </c>
      <c r="NY459" s="27" t="s">
        <v>8</v>
      </c>
      <c r="NZ459" s="27" t="s">
        <v>7</v>
      </c>
      <c r="OA459" s="27" t="s">
        <v>8</v>
      </c>
    </row>
    <row r="460" spans="1:395" x14ac:dyDescent="0.25">
      <c r="A460" s="7">
        <v>12.36578848729541</v>
      </c>
      <c r="B460"/>
      <c r="C460"/>
      <c r="D460"/>
      <c r="E460"/>
      <c r="KO460" s="27" t="s">
        <v>8</v>
      </c>
      <c r="MP460" s="27" t="s">
        <v>7</v>
      </c>
      <c r="MQ460" s="27" t="s">
        <v>8</v>
      </c>
      <c r="MR460" s="27" t="s">
        <v>7</v>
      </c>
      <c r="MS460" s="27" t="s">
        <v>8</v>
      </c>
      <c r="MT460" s="27" t="s">
        <v>7</v>
      </c>
      <c r="MU460" s="27" t="s">
        <v>8</v>
      </c>
      <c r="MV460" s="27" t="s">
        <v>7</v>
      </c>
      <c r="MW460" s="27" t="s">
        <v>8</v>
      </c>
      <c r="MZ460" s="27" t="s">
        <v>7</v>
      </c>
      <c r="NA460" s="27" t="s">
        <v>8</v>
      </c>
      <c r="NB460" s="27" t="s">
        <v>7</v>
      </c>
      <c r="NC460" s="27" t="s">
        <v>8</v>
      </c>
      <c r="ND460" s="27" t="s">
        <v>7</v>
      </c>
      <c r="NF460" s="27" t="s">
        <v>7</v>
      </c>
      <c r="NI460" s="27" t="s">
        <v>8</v>
      </c>
      <c r="NJ460" s="27" t="s">
        <v>7</v>
      </c>
      <c r="NK460" s="27" t="s">
        <v>8</v>
      </c>
      <c r="NL460" s="27" t="s">
        <v>7</v>
      </c>
      <c r="NM460" s="27" t="s">
        <v>8</v>
      </c>
      <c r="NN460" s="27" t="s">
        <v>7</v>
      </c>
      <c r="NO460" s="27" t="s">
        <v>8</v>
      </c>
      <c r="NP460" s="27" t="s">
        <v>7</v>
      </c>
      <c r="NW460" s="27" t="s">
        <v>8</v>
      </c>
      <c r="NY460" s="27" t="s">
        <v>8</v>
      </c>
      <c r="NZ460" s="27" t="s">
        <v>7</v>
      </c>
      <c r="OA460" s="27" t="s">
        <v>8</v>
      </c>
    </row>
    <row r="461" spans="1:395" x14ac:dyDescent="0.25">
      <c r="A461" s="7">
        <v>12.123322046368049</v>
      </c>
      <c r="B461"/>
      <c r="C461"/>
      <c r="D461"/>
      <c r="E461"/>
      <c r="KO461" s="27" t="s">
        <v>8</v>
      </c>
      <c r="MP461" s="27" t="s">
        <v>7</v>
      </c>
      <c r="MQ461" s="27" t="s">
        <v>8</v>
      </c>
      <c r="MR461" s="27" t="s">
        <v>7</v>
      </c>
      <c r="MS461" s="27" t="s">
        <v>8</v>
      </c>
      <c r="MT461" s="27" t="s">
        <v>7</v>
      </c>
      <c r="MU461" s="27" t="s">
        <v>8</v>
      </c>
      <c r="MV461" s="27" t="s">
        <v>7</v>
      </c>
      <c r="MW461" s="27" t="s">
        <v>8</v>
      </c>
      <c r="MZ461" s="27" t="s">
        <v>7</v>
      </c>
      <c r="NB461" s="27" t="s">
        <v>7</v>
      </c>
      <c r="NC461" s="27" t="s">
        <v>8</v>
      </c>
      <c r="NF461" s="27" t="s">
        <v>7</v>
      </c>
      <c r="NI461" s="27" t="s">
        <v>8</v>
      </c>
      <c r="NJ461" s="27" t="s">
        <v>7</v>
      </c>
      <c r="NK461" s="27" t="s">
        <v>8</v>
      </c>
      <c r="NL461" s="27" t="s">
        <v>7</v>
      </c>
      <c r="NM461" s="27" t="s">
        <v>8</v>
      </c>
      <c r="NN461" s="27" t="s">
        <v>7</v>
      </c>
      <c r="NO461" s="27" t="s">
        <v>8</v>
      </c>
      <c r="NP461" s="27" t="s">
        <v>7</v>
      </c>
      <c r="NW461" s="27" t="s">
        <v>8</v>
      </c>
      <c r="NX461" s="27" t="s">
        <v>7</v>
      </c>
      <c r="NY461" s="27" t="s">
        <v>8</v>
      </c>
      <c r="NZ461" s="27" t="s">
        <v>7</v>
      </c>
      <c r="OA461" s="27" t="s">
        <v>8</v>
      </c>
    </row>
    <row r="462" spans="1:395" x14ac:dyDescent="0.25">
      <c r="A462" s="7">
        <v>11.88560984938044</v>
      </c>
      <c r="B462"/>
      <c r="C462"/>
      <c r="D462"/>
      <c r="E462"/>
      <c r="KO462" s="27" t="s">
        <v>8</v>
      </c>
      <c r="MP462" s="27" t="s">
        <v>7</v>
      </c>
      <c r="MQ462" s="27" t="s">
        <v>8</v>
      </c>
      <c r="MR462" s="27" t="s">
        <v>7</v>
      </c>
      <c r="MS462" s="27" t="s">
        <v>8</v>
      </c>
      <c r="MT462" s="27" t="s">
        <v>7</v>
      </c>
      <c r="MU462" s="27" t="s">
        <v>8</v>
      </c>
      <c r="MV462" s="27" t="s">
        <v>7</v>
      </c>
      <c r="MW462" s="27" t="s">
        <v>8</v>
      </c>
      <c r="NB462" s="27" t="s">
        <v>7</v>
      </c>
      <c r="NC462" s="27" t="s">
        <v>8</v>
      </c>
      <c r="NF462" s="27" t="s">
        <v>7</v>
      </c>
      <c r="NI462" s="27" t="s">
        <v>8</v>
      </c>
      <c r="NJ462" s="27" t="s">
        <v>7</v>
      </c>
      <c r="NK462" s="27" t="s">
        <v>8</v>
      </c>
      <c r="NL462" s="27" t="s">
        <v>7</v>
      </c>
      <c r="NM462" s="27" t="s">
        <v>8</v>
      </c>
      <c r="NN462" s="27" t="s">
        <v>7</v>
      </c>
      <c r="NO462" s="27" t="s">
        <v>8</v>
      </c>
      <c r="NP462" s="27" t="s">
        <v>7</v>
      </c>
      <c r="NW462" s="27" t="s">
        <v>8</v>
      </c>
      <c r="NX462" s="27" t="s">
        <v>7</v>
      </c>
      <c r="NY462" s="27" t="s">
        <v>8</v>
      </c>
      <c r="NZ462" s="27" t="s">
        <v>7</v>
      </c>
    </row>
    <row r="463" spans="1:395" x14ac:dyDescent="0.25">
      <c r="A463" s="7">
        <v>11.652558675863176</v>
      </c>
      <c r="B463"/>
      <c r="C463"/>
      <c r="D463"/>
      <c r="E463"/>
      <c r="KO463" s="27" t="s">
        <v>8</v>
      </c>
      <c r="MP463" s="27" t="s">
        <v>7</v>
      </c>
      <c r="MQ463" s="27" t="s">
        <v>8</v>
      </c>
      <c r="MR463" s="27" t="s">
        <v>7</v>
      </c>
      <c r="MS463" s="27" t="s">
        <v>8</v>
      </c>
      <c r="MT463" s="27" t="s">
        <v>7</v>
      </c>
      <c r="MU463" s="27" t="s">
        <v>8</v>
      </c>
      <c r="MV463" s="27" t="s">
        <v>7</v>
      </c>
      <c r="MW463" s="27" t="s">
        <v>8</v>
      </c>
      <c r="NB463" s="27" t="s">
        <v>7</v>
      </c>
      <c r="NC463" s="27" t="s">
        <v>8</v>
      </c>
      <c r="NF463" s="27" t="s">
        <v>7</v>
      </c>
      <c r="NI463" s="27" t="s">
        <v>8</v>
      </c>
      <c r="NJ463" s="27" t="s">
        <v>7</v>
      </c>
      <c r="NK463" s="27" t="s">
        <v>8</v>
      </c>
      <c r="NL463" s="27" t="s">
        <v>7</v>
      </c>
      <c r="NM463" s="27" t="s">
        <v>8</v>
      </c>
      <c r="NN463" s="27" t="s">
        <v>7</v>
      </c>
      <c r="NO463" s="27" t="s">
        <v>8</v>
      </c>
      <c r="NP463" s="27" t="s">
        <v>7</v>
      </c>
      <c r="NU463" s="27" t="s">
        <v>8</v>
      </c>
      <c r="NW463" s="27" t="s">
        <v>8</v>
      </c>
      <c r="NX463" s="27" t="s">
        <v>7</v>
      </c>
      <c r="NY463" s="27" t="s">
        <v>8</v>
      </c>
    </row>
    <row r="464" spans="1:395" x14ac:dyDescent="0.25">
      <c r="A464" s="7">
        <v>11.424077133199193</v>
      </c>
      <c r="B464"/>
      <c r="C464"/>
      <c r="D464"/>
      <c r="E464"/>
      <c r="KO464" s="27" t="s">
        <v>8</v>
      </c>
      <c r="MP464" s="27" t="s">
        <v>7</v>
      </c>
      <c r="MQ464" s="27" t="s">
        <v>8</v>
      </c>
      <c r="MR464" s="27" t="s">
        <v>7</v>
      </c>
      <c r="MT464" s="27" t="s">
        <v>7</v>
      </c>
      <c r="MU464" s="27" t="s">
        <v>8</v>
      </c>
      <c r="MV464" s="27" t="s">
        <v>7</v>
      </c>
      <c r="NB464" s="27" t="s">
        <v>7</v>
      </c>
      <c r="NC464" s="27" t="s">
        <v>8</v>
      </c>
      <c r="NF464" s="27" t="s">
        <v>7</v>
      </c>
      <c r="NI464" s="27" t="s">
        <v>8</v>
      </c>
      <c r="NJ464" s="27" t="s">
        <v>7</v>
      </c>
      <c r="NK464" s="27" t="s">
        <v>8</v>
      </c>
      <c r="NL464" s="27" t="s">
        <v>7</v>
      </c>
      <c r="NN464" s="27" t="s">
        <v>7</v>
      </c>
      <c r="NO464" s="27" t="s">
        <v>8</v>
      </c>
      <c r="NP464" s="27" t="s">
        <v>7</v>
      </c>
      <c r="NQ464" s="27" t="s">
        <v>8</v>
      </c>
      <c r="NS464" s="27" t="s">
        <v>8</v>
      </c>
      <c r="NU464" s="27" t="s">
        <v>8</v>
      </c>
      <c r="NV464" s="27" t="s">
        <v>7</v>
      </c>
      <c r="NW464" s="27" t="s">
        <v>8</v>
      </c>
      <c r="NX464" s="27" t="s">
        <v>7</v>
      </c>
      <c r="NY464" s="27" t="s">
        <v>8</v>
      </c>
    </row>
    <row r="465" spans="1:388" x14ac:dyDescent="0.25">
      <c r="A465" s="7">
        <v>11.200075620783522</v>
      </c>
      <c r="B465"/>
      <c r="C465"/>
      <c r="D465"/>
      <c r="E465"/>
      <c r="KO465" s="27" t="s">
        <v>8</v>
      </c>
      <c r="MP465" s="27" t="s">
        <v>7</v>
      </c>
      <c r="MQ465" s="27" t="s">
        <v>8</v>
      </c>
      <c r="MT465" s="27" t="s">
        <v>7</v>
      </c>
      <c r="MU465" s="27" t="s">
        <v>8</v>
      </c>
      <c r="NB465" s="27" t="s">
        <v>7</v>
      </c>
      <c r="NC465" s="27" t="s">
        <v>8</v>
      </c>
      <c r="NF465" s="27" t="s">
        <v>7</v>
      </c>
      <c r="NI465" s="27" t="s">
        <v>8</v>
      </c>
      <c r="NJ465" s="27" t="s">
        <v>7</v>
      </c>
      <c r="NK465" s="27" t="s">
        <v>8</v>
      </c>
      <c r="NN465" s="27" t="s">
        <v>7</v>
      </c>
      <c r="NO465" s="27" t="s">
        <v>8</v>
      </c>
      <c r="NP465" s="27" t="s">
        <v>7</v>
      </c>
      <c r="NQ465" s="27" t="s">
        <v>8</v>
      </c>
      <c r="NR465" s="27" t="s">
        <v>7</v>
      </c>
      <c r="NS465" s="27" t="s">
        <v>8</v>
      </c>
      <c r="NT465" s="27" t="s">
        <v>7</v>
      </c>
      <c r="NU465" s="27" t="s">
        <v>8</v>
      </c>
      <c r="NV465" s="27" t="s">
        <v>7</v>
      </c>
      <c r="NW465" s="27" t="s">
        <v>8</v>
      </c>
      <c r="NX465" s="27" t="s">
        <v>7</v>
      </c>
    </row>
    <row r="466" spans="1:388" x14ac:dyDescent="0.25">
      <c r="A466" s="7">
        <v>10.980466294885806</v>
      </c>
      <c r="B466"/>
      <c r="C466"/>
      <c r="D466"/>
      <c r="E466"/>
      <c r="KO466" s="27" t="s">
        <v>8</v>
      </c>
      <c r="MP466" s="27" t="s">
        <v>7</v>
      </c>
      <c r="MQ466" s="27" t="s">
        <v>8</v>
      </c>
      <c r="MT466" s="27" t="s">
        <v>7</v>
      </c>
      <c r="MU466" s="27" t="s">
        <v>8</v>
      </c>
      <c r="NB466" s="27" t="s">
        <v>7</v>
      </c>
      <c r="NF466" s="27" t="s">
        <v>7</v>
      </c>
      <c r="NI466" s="27" t="s">
        <v>8</v>
      </c>
      <c r="NJ466" s="27" t="s">
        <v>7</v>
      </c>
      <c r="NK466" s="27" t="s">
        <v>8</v>
      </c>
      <c r="NN466" s="27" t="s">
        <v>7</v>
      </c>
      <c r="NO466" s="27" t="s">
        <v>8</v>
      </c>
      <c r="NP466" s="27" t="s">
        <v>7</v>
      </c>
      <c r="NQ466" s="27" t="s">
        <v>8</v>
      </c>
      <c r="NR466" s="27" t="s">
        <v>7</v>
      </c>
      <c r="NS466" s="27" t="s">
        <v>8</v>
      </c>
      <c r="NT466" s="27" t="s">
        <v>7</v>
      </c>
      <c r="NU466" s="27" t="s">
        <v>8</v>
      </c>
      <c r="NV466" s="27" t="s">
        <v>7</v>
      </c>
    </row>
    <row r="467" spans="1:388" x14ac:dyDescent="0.25">
      <c r="A467" s="7">
        <v>10.765163034201771</v>
      </c>
      <c r="B467"/>
      <c r="C467"/>
      <c r="D467"/>
      <c r="E467"/>
      <c r="KO467" s="27" t="s">
        <v>8</v>
      </c>
      <c r="MP467" s="27" t="s">
        <v>7</v>
      </c>
      <c r="MQ467" s="27" t="s">
        <v>8</v>
      </c>
      <c r="MT467" s="27" t="s">
        <v>7</v>
      </c>
      <c r="MU467" s="27" t="s">
        <v>8</v>
      </c>
      <c r="NF467" s="27" t="s">
        <v>7</v>
      </c>
      <c r="NI467" s="27" t="s">
        <v>8</v>
      </c>
      <c r="NJ467" s="27" t="s">
        <v>7</v>
      </c>
      <c r="NK467" s="27" t="s">
        <v>8</v>
      </c>
      <c r="NN467" s="27" t="s">
        <v>7</v>
      </c>
      <c r="NP467" s="27" t="s">
        <v>7</v>
      </c>
      <c r="NR467" s="27" t="s">
        <v>7</v>
      </c>
      <c r="NS467" s="27" t="s">
        <v>8</v>
      </c>
      <c r="NT467" s="27" t="s">
        <v>7</v>
      </c>
    </row>
    <row r="468" spans="1:388" x14ac:dyDescent="0.25">
      <c r="A468" s="7">
        <v>10.554081406080169</v>
      </c>
      <c r="B468"/>
      <c r="C468"/>
      <c r="D468"/>
      <c r="E468"/>
      <c r="KO468" s="27" t="s">
        <v>8</v>
      </c>
      <c r="MP468" s="27" t="s">
        <v>7</v>
      </c>
      <c r="MQ468" s="27" t="s">
        <v>8</v>
      </c>
      <c r="MT468" s="27" t="s">
        <v>7</v>
      </c>
      <c r="MU468" s="27" t="s">
        <v>8</v>
      </c>
      <c r="NF468" s="27" t="s">
        <v>7</v>
      </c>
      <c r="NG468" s="27" t="s">
        <v>8</v>
      </c>
      <c r="NI468" s="27" t="s">
        <v>8</v>
      </c>
      <c r="NJ468" s="27" t="s">
        <v>7</v>
      </c>
      <c r="NR468" s="27" t="s">
        <v>7</v>
      </c>
      <c r="NS468" s="27" t="s">
        <v>8</v>
      </c>
    </row>
    <row r="469" spans="1:388" x14ac:dyDescent="0.25">
      <c r="A469" s="7">
        <v>10.34713863341193</v>
      </c>
      <c r="B469"/>
      <c r="C469"/>
      <c r="D469"/>
      <c r="E469"/>
      <c r="KO469" s="27" t="s">
        <v>8</v>
      </c>
      <c r="MP469" s="27" t="s">
        <v>7</v>
      </c>
      <c r="MQ469" s="27" t="s">
        <v>8</v>
      </c>
      <c r="MT469" s="27" t="s">
        <v>7</v>
      </c>
      <c r="MU469" s="27" t="s">
        <v>8</v>
      </c>
      <c r="NF469" s="27" t="s">
        <v>7</v>
      </c>
      <c r="NG469" s="27" t="s">
        <v>8</v>
      </c>
      <c r="NH469" s="27" t="s">
        <v>7</v>
      </c>
      <c r="NI469" s="27" t="s">
        <v>8</v>
      </c>
      <c r="NR469" s="27" t="s">
        <v>7</v>
      </c>
      <c r="NS469" s="27" t="s">
        <v>8</v>
      </c>
    </row>
    <row r="470" spans="1:388" x14ac:dyDescent="0.25">
      <c r="A470" s="7">
        <v>10.14425356216856</v>
      </c>
      <c r="B470"/>
      <c r="C470"/>
      <c r="D470"/>
      <c r="E470"/>
      <c r="KG470" s="27" t="s">
        <v>8</v>
      </c>
      <c r="KO470" s="27" t="s">
        <v>8</v>
      </c>
      <c r="MP470" s="27" t="s">
        <v>7</v>
      </c>
      <c r="MQ470" s="27" t="s">
        <v>8</v>
      </c>
      <c r="MT470" s="27" t="s">
        <v>7</v>
      </c>
      <c r="MU470" s="27" t="s">
        <v>8</v>
      </c>
      <c r="NF470" s="27" t="s">
        <v>7</v>
      </c>
      <c r="NG470" s="27" t="s">
        <v>8</v>
      </c>
      <c r="NH470" s="27" t="s">
        <v>7</v>
      </c>
      <c r="NI470" s="27" t="s">
        <v>8</v>
      </c>
      <c r="NR470" s="27" t="s">
        <v>7</v>
      </c>
      <c r="NS470" s="27" t="s">
        <v>8</v>
      </c>
    </row>
    <row r="471" spans="1:388" x14ac:dyDescent="0.25">
      <c r="A471" s="7">
        <v>9.9453466295770188</v>
      </c>
      <c r="B471"/>
      <c r="C471"/>
      <c r="D471"/>
      <c r="E471"/>
      <c r="KG471" s="27" t="s">
        <v>8</v>
      </c>
      <c r="KH471" s="27" t="s">
        <v>7</v>
      </c>
      <c r="KO471" s="27" t="s">
        <v>8</v>
      </c>
      <c r="MP471" s="27" t="s">
        <v>7</v>
      </c>
      <c r="MQ471" s="27" t="s">
        <v>8</v>
      </c>
      <c r="MT471" s="27" t="s">
        <v>7</v>
      </c>
      <c r="MU471" s="27" t="s">
        <v>8</v>
      </c>
      <c r="NF471" s="27" t="s">
        <v>7</v>
      </c>
      <c r="NG471" s="27" t="s">
        <v>8</v>
      </c>
      <c r="NH471" s="27" t="s">
        <v>7</v>
      </c>
      <c r="NI471" s="27" t="s">
        <v>8</v>
      </c>
      <c r="NR471" s="18" t="s">
        <v>7</v>
      </c>
      <c r="NS471" s="27" t="s">
        <v>8</v>
      </c>
    </row>
    <row r="472" spans="1:388" x14ac:dyDescent="0.25">
      <c r="A472" s="7">
        <v>9.7503398329186464</v>
      </c>
      <c r="B472"/>
      <c r="C472"/>
      <c r="D472"/>
      <c r="E472"/>
      <c r="KG472" s="27" t="s">
        <v>8</v>
      </c>
      <c r="KH472" s="27" t="s">
        <v>7</v>
      </c>
      <c r="KO472" s="27" t="s">
        <v>8</v>
      </c>
      <c r="MP472" s="27" t="s">
        <v>7</v>
      </c>
      <c r="MQ472" s="27" t="s">
        <v>8</v>
      </c>
      <c r="MT472" s="27" t="s">
        <v>7</v>
      </c>
      <c r="MU472" s="27" t="s">
        <v>8</v>
      </c>
      <c r="NF472" s="27" t="s">
        <v>7</v>
      </c>
      <c r="NG472" s="27" t="s">
        <v>8</v>
      </c>
      <c r="NH472" s="27" t="s">
        <v>7</v>
      </c>
      <c r="NI472" s="27" t="s">
        <v>8</v>
      </c>
      <c r="NR472" s="27" t="s">
        <v>7</v>
      </c>
      <c r="NS472" s="27" t="s">
        <v>8</v>
      </c>
    </row>
    <row r="473" spans="1:388" x14ac:dyDescent="0.25">
      <c r="A473" s="7">
        <v>9.5591566989398498</v>
      </c>
      <c r="B473"/>
      <c r="C473"/>
      <c r="D473"/>
      <c r="E473"/>
      <c r="KE473" s="27" t="s">
        <v>8</v>
      </c>
      <c r="KG473" s="27" t="s">
        <v>8</v>
      </c>
      <c r="KH473" s="27" t="s">
        <v>7</v>
      </c>
      <c r="KO473" s="27" t="s">
        <v>8</v>
      </c>
      <c r="MP473" s="27" t="s">
        <v>7</v>
      </c>
      <c r="MT473" s="27" t="s">
        <v>7</v>
      </c>
      <c r="MU473" s="27" t="s">
        <v>8</v>
      </c>
      <c r="NF473" s="27" t="s">
        <v>7</v>
      </c>
      <c r="NG473" s="27" t="s">
        <v>8</v>
      </c>
      <c r="NH473" s="27" t="s">
        <v>7</v>
      </c>
      <c r="NI473" s="27" t="s">
        <v>8</v>
      </c>
      <c r="NR473" s="27" t="s">
        <v>7</v>
      </c>
      <c r="NS473" s="27" t="s">
        <v>8</v>
      </c>
    </row>
    <row r="474" spans="1:388" x14ac:dyDescent="0.25">
      <c r="A474" s="7">
        <v>9.3717222538625968</v>
      </c>
      <c r="B474"/>
      <c r="C474"/>
      <c r="D474"/>
      <c r="E474"/>
      <c r="KE474" s="27" t="s">
        <v>8</v>
      </c>
      <c r="KF474" s="27" t="s">
        <v>7</v>
      </c>
      <c r="KG474" s="27" t="s">
        <v>8</v>
      </c>
      <c r="KH474" s="27" t="s">
        <v>7</v>
      </c>
      <c r="KM474" s="27" t="s">
        <v>8</v>
      </c>
      <c r="KO474" s="27" t="s">
        <v>8</v>
      </c>
      <c r="MT474" s="27" t="s">
        <v>7</v>
      </c>
      <c r="MU474" s="27" t="s">
        <v>8</v>
      </c>
      <c r="NF474" s="27" t="s">
        <v>7</v>
      </c>
      <c r="NG474" s="27" t="s">
        <v>8</v>
      </c>
      <c r="NH474" s="27" t="s">
        <v>7</v>
      </c>
      <c r="NI474" s="27" t="s">
        <v>8</v>
      </c>
      <c r="NR474" s="27" t="s">
        <v>7</v>
      </c>
      <c r="NS474" s="27" t="s">
        <v>8</v>
      </c>
    </row>
    <row r="475" spans="1:388" x14ac:dyDescent="0.25">
      <c r="A475" s="7">
        <v>9.1879629939829375</v>
      </c>
      <c r="B475"/>
      <c r="C475"/>
      <c r="D475"/>
      <c r="E475"/>
      <c r="KE475" s="27" t="s">
        <v>8</v>
      </c>
      <c r="KF475" s="27" t="s">
        <v>7</v>
      </c>
      <c r="KG475" s="27" t="s">
        <v>8</v>
      </c>
      <c r="KH475" s="27" t="s">
        <v>7</v>
      </c>
      <c r="KM475" s="27" t="s">
        <v>8</v>
      </c>
      <c r="KN475" s="27" t="s">
        <v>7</v>
      </c>
      <c r="KO475" s="27" t="s">
        <v>8</v>
      </c>
      <c r="MT475" s="27" t="s">
        <v>7</v>
      </c>
      <c r="MU475" s="27" t="s">
        <v>8</v>
      </c>
      <c r="NF475" s="27" t="s">
        <v>7</v>
      </c>
      <c r="NG475" s="27" t="s">
        <v>8</v>
      </c>
      <c r="NH475" s="27" t="s">
        <v>7</v>
      </c>
      <c r="NI475" s="27" t="s">
        <v>8</v>
      </c>
      <c r="NR475" s="27" t="s">
        <v>7</v>
      </c>
      <c r="NS475" s="27" t="s">
        <v>8</v>
      </c>
    </row>
    <row r="476" spans="1:388" x14ac:dyDescent="0.25">
      <c r="A476" s="7">
        <v>9.0078068568460168</v>
      </c>
      <c r="B476"/>
      <c r="C476"/>
      <c r="D476"/>
      <c r="E476"/>
      <c r="KE476" s="27" t="s">
        <v>8</v>
      </c>
      <c r="KF476" s="27" t="s">
        <v>7</v>
      </c>
      <c r="KG476" s="27" t="s">
        <v>8</v>
      </c>
      <c r="KH476" s="27" t="s">
        <v>7</v>
      </c>
      <c r="KM476" s="27" t="s">
        <v>8</v>
      </c>
      <c r="KN476" s="27" t="s">
        <v>7</v>
      </c>
      <c r="KO476" s="27" t="s">
        <v>8</v>
      </c>
      <c r="MT476" s="27" t="s">
        <v>7</v>
      </c>
      <c r="MU476" s="27" t="s">
        <v>8</v>
      </c>
      <c r="NF476" s="27" t="s">
        <v>7</v>
      </c>
      <c r="NG476" s="27" t="s">
        <v>8</v>
      </c>
      <c r="NH476" s="27" t="s">
        <v>7</v>
      </c>
      <c r="NI476" s="27" t="s">
        <v>8</v>
      </c>
      <c r="NR476" s="27" t="s">
        <v>7</v>
      </c>
    </row>
    <row r="477" spans="1:388" x14ac:dyDescent="0.25">
      <c r="A477" s="7">
        <v>8.8311831929862912</v>
      </c>
      <c r="B477"/>
      <c r="C477"/>
      <c r="D477"/>
      <c r="E477"/>
      <c r="HQ477" s="27" t="s">
        <v>8</v>
      </c>
      <c r="KE477" s="27" t="s">
        <v>8</v>
      </c>
      <c r="KF477" s="27" t="s">
        <v>7</v>
      </c>
      <c r="KG477" s="27" t="s">
        <v>8</v>
      </c>
      <c r="KH477" s="27" t="s">
        <v>7</v>
      </c>
      <c r="KM477" s="27" t="s">
        <v>8</v>
      </c>
      <c r="KN477" s="27" t="s">
        <v>7</v>
      </c>
      <c r="KO477" s="27" t="s">
        <v>8</v>
      </c>
      <c r="MT477" s="27" t="s">
        <v>7</v>
      </c>
      <c r="MU477" s="27" t="s">
        <v>8</v>
      </c>
      <c r="NF477" s="27" t="s">
        <v>7</v>
      </c>
      <c r="NG477" s="27" t="s">
        <v>8</v>
      </c>
      <c r="NH477" s="27" t="s">
        <v>7</v>
      </c>
      <c r="NI477" s="27" t="s">
        <v>8</v>
      </c>
    </row>
    <row r="478" spans="1:388" x14ac:dyDescent="0.25">
      <c r="A478" s="7">
        <v>8.6580227382218542</v>
      </c>
      <c r="B478"/>
      <c r="C478"/>
      <c r="D478"/>
      <c r="E478"/>
      <c r="HQ478" s="27" t="s">
        <v>8</v>
      </c>
      <c r="HR478" s="27" t="s">
        <v>7</v>
      </c>
      <c r="KE478" s="27" t="s">
        <v>8</v>
      </c>
      <c r="KF478" s="27" t="s">
        <v>7</v>
      </c>
      <c r="KG478" s="27" t="s">
        <v>8</v>
      </c>
      <c r="KH478" s="27" t="s">
        <v>7</v>
      </c>
      <c r="KI478" s="27" t="s">
        <v>8</v>
      </c>
      <c r="KM478" s="27" t="s">
        <v>8</v>
      </c>
      <c r="KN478" s="27" t="s">
        <v>7</v>
      </c>
      <c r="MT478" s="27" t="s">
        <v>7</v>
      </c>
      <c r="NF478" s="27" t="s">
        <v>7</v>
      </c>
      <c r="NG478" s="27" t="s">
        <v>8</v>
      </c>
      <c r="NH478" s="27" t="s">
        <v>7</v>
      </c>
    </row>
    <row r="479" spans="1:388" x14ac:dyDescent="0.25">
      <c r="A479" s="7">
        <v>8.4882575864920131</v>
      </c>
      <c r="B479"/>
      <c r="C479"/>
      <c r="D479"/>
      <c r="E479"/>
      <c r="HO479" s="27" t="s">
        <v>8</v>
      </c>
      <c r="HQ479" s="27" t="s">
        <v>8</v>
      </c>
      <c r="HR479" s="27" t="s">
        <v>7</v>
      </c>
      <c r="KE479" s="27" t="s">
        <v>8</v>
      </c>
      <c r="KF479" s="27" t="s">
        <v>7</v>
      </c>
      <c r="KG479" s="27" t="s">
        <v>8</v>
      </c>
      <c r="KH479" s="27" t="s">
        <v>7</v>
      </c>
      <c r="KI479" s="27" t="s">
        <v>8</v>
      </c>
      <c r="KJ479" s="27" t="s">
        <v>7</v>
      </c>
      <c r="KK479" s="27" t="s">
        <v>8</v>
      </c>
      <c r="KM479" s="27" t="s">
        <v>8</v>
      </c>
      <c r="NF479" s="27" t="s">
        <v>7</v>
      </c>
      <c r="NG479" s="27" t="s">
        <v>8</v>
      </c>
    </row>
    <row r="480" spans="1:388" x14ac:dyDescent="0.25">
      <c r="A480" s="7">
        <v>8.3218211632274635</v>
      </c>
      <c r="B480"/>
      <c r="C480"/>
      <c r="D480"/>
      <c r="E480"/>
      <c r="HO480" s="27" t="s">
        <v>8</v>
      </c>
      <c r="HP480" s="27" t="s">
        <v>7</v>
      </c>
      <c r="HQ480" s="27" t="s">
        <v>8</v>
      </c>
      <c r="HR480" s="27" t="s">
        <v>7</v>
      </c>
      <c r="KE480" s="27" t="s">
        <v>8</v>
      </c>
      <c r="KF480" s="27" t="s">
        <v>7</v>
      </c>
      <c r="KG480" s="27" t="s">
        <v>8</v>
      </c>
      <c r="KH480" s="27" t="s">
        <v>7</v>
      </c>
      <c r="KI480" s="27" t="s">
        <v>8</v>
      </c>
      <c r="KJ480" s="27" t="s">
        <v>7</v>
      </c>
      <c r="KK480" s="27" t="s">
        <v>8</v>
      </c>
      <c r="KL480" s="27" t="s">
        <v>7</v>
      </c>
      <c r="KM480" s="27" t="s">
        <v>8</v>
      </c>
      <c r="NF480" s="27" t="s">
        <v>7</v>
      </c>
      <c r="NG480" s="27" t="s">
        <v>8</v>
      </c>
    </row>
    <row r="481" spans="1:371" x14ac:dyDescent="0.25">
      <c r="A481" s="7">
        <v>8.1586481992426112</v>
      </c>
      <c r="B481"/>
      <c r="C481"/>
      <c r="D481"/>
      <c r="E481"/>
      <c r="HO481" s="27" t="s">
        <v>8</v>
      </c>
      <c r="HP481" s="27" t="s">
        <v>7</v>
      </c>
      <c r="HQ481" s="27" t="s">
        <v>8</v>
      </c>
      <c r="HR481" s="27" t="s">
        <v>7</v>
      </c>
      <c r="KE481" s="27" t="s">
        <v>8</v>
      </c>
      <c r="KF481" s="27" t="s">
        <v>7</v>
      </c>
      <c r="KH481" s="27" t="s">
        <v>7</v>
      </c>
      <c r="KI481" s="27" t="s">
        <v>8</v>
      </c>
      <c r="KJ481" s="27" t="s">
        <v>7</v>
      </c>
      <c r="KK481" s="27" t="s">
        <v>8</v>
      </c>
      <c r="KL481" s="27" t="s">
        <v>7</v>
      </c>
      <c r="KM481" s="27" t="s">
        <v>8</v>
      </c>
      <c r="NF481" s="27" t="s">
        <v>7</v>
      </c>
      <c r="NG481" s="27" t="s">
        <v>8</v>
      </c>
    </row>
    <row r="482" spans="1:371" x14ac:dyDescent="0.25">
      <c r="A482" s="7">
        <v>7.9986747051398144</v>
      </c>
      <c r="B482"/>
      <c r="C482"/>
      <c r="D482"/>
      <c r="E482"/>
      <c r="HO482" s="27" t="s">
        <v>8</v>
      </c>
      <c r="HP482" s="27" t="s">
        <v>7</v>
      </c>
      <c r="HQ482" s="27" t="s">
        <v>8</v>
      </c>
      <c r="HR482" s="27" t="s">
        <v>7</v>
      </c>
      <c r="KE482" s="27" t="s">
        <v>8</v>
      </c>
      <c r="KH482" s="27" t="s">
        <v>7</v>
      </c>
      <c r="KI482" s="27" t="s">
        <v>8</v>
      </c>
      <c r="KJ482" s="27" t="s">
        <v>7</v>
      </c>
      <c r="KK482" s="27" t="s">
        <v>8</v>
      </c>
      <c r="KL482" s="27" t="s">
        <v>7</v>
      </c>
      <c r="KM482" s="27" t="s">
        <v>8</v>
      </c>
      <c r="NF482" s="27" t="s">
        <v>7</v>
      </c>
      <c r="NG482" s="27" t="s">
        <v>8</v>
      </c>
    </row>
    <row r="483" spans="1:371" x14ac:dyDescent="0.25">
      <c r="A483" s="7">
        <v>7.8418379462155041</v>
      </c>
      <c r="B483"/>
      <c r="C483"/>
      <c r="D483"/>
      <c r="E483"/>
      <c r="HO483" s="27" t="s">
        <v>8</v>
      </c>
      <c r="HP483" s="27" t="s">
        <v>7</v>
      </c>
      <c r="HQ483" s="27" t="s">
        <v>8</v>
      </c>
      <c r="HR483" s="27" t="s">
        <v>7</v>
      </c>
      <c r="HS483" s="27" t="s">
        <v>8</v>
      </c>
      <c r="KE483" s="27" t="s">
        <v>8</v>
      </c>
      <c r="KH483" s="27" t="s">
        <v>7</v>
      </c>
      <c r="KI483" s="27" t="s">
        <v>8</v>
      </c>
      <c r="KJ483" s="27" t="s">
        <v>7</v>
      </c>
      <c r="KK483" s="27" t="s">
        <v>8</v>
      </c>
      <c r="KL483" s="27" t="s">
        <v>7</v>
      </c>
      <c r="KM483" s="27" t="s">
        <v>8</v>
      </c>
      <c r="NF483" s="27" t="s">
        <v>7</v>
      </c>
    </row>
    <row r="484" spans="1:371" x14ac:dyDescent="0.25">
      <c r="A484" s="7">
        <v>7.688076417858337</v>
      </c>
      <c r="B484"/>
      <c r="C484"/>
      <c r="D484"/>
      <c r="E484"/>
      <c r="HO484" s="27" t="s">
        <v>8</v>
      </c>
      <c r="HP484" s="27" t="s">
        <v>7</v>
      </c>
      <c r="HR484" s="27" t="s">
        <v>7</v>
      </c>
      <c r="HS484" s="27" t="s">
        <v>8</v>
      </c>
      <c r="HT484" s="27" t="s">
        <v>7</v>
      </c>
      <c r="HU484" s="27" t="s">
        <v>8</v>
      </c>
      <c r="KE484" s="27" t="s">
        <v>8</v>
      </c>
      <c r="KH484" s="27" t="s">
        <v>7</v>
      </c>
      <c r="KI484" s="27" t="s">
        <v>8</v>
      </c>
      <c r="KJ484" s="27" t="s">
        <v>7</v>
      </c>
      <c r="KK484" s="27" t="s">
        <v>8</v>
      </c>
      <c r="KL484" s="27" t="s">
        <v>7</v>
      </c>
    </row>
    <row r="485" spans="1:371" x14ac:dyDescent="0.25">
      <c r="A485" s="7">
        <v>7.5373298214297417</v>
      </c>
      <c r="B485"/>
      <c r="C485"/>
      <c r="D485"/>
      <c r="E485"/>
      <c r="HO485" s="27" t="s">
        <v>8</v>
      </c>
      <c r="HR485" s="27" t="s">
        <v>7</v>
      </c>
      <c r="HS485" s="27" t="s">
        <v>8</v>
      </c>
      <c r="HT485" s="27" t="s">
        <v>7</v>
      </c>
      <c r="HU485" s="27" t="s">
        <v>8</v>
      </c>
      <c r="HV485" s="27" t="s">
        <v>7</v>
      </c>
      <c r="KE485" s="27" t="s">
        <v>8</v>
      </c>
      <c r="KH485" s="27" t="s">
        <v>7</v>
      </c>
      <c r="KI485" s="27" t="s">
        <v>8</v>
      </c>
      <c r="KJ485" s="27" t="s">
        <v>7</v>
      </c>
      <c r="KK485" s="27" t="s">
        <v>8</v>
      </c>
    </row>
    <row r="486" spans="1:371" x14ac:dyDescent="0.25">
      <c r="A486" s="7">
        <v>7.389539040617394</v>
      </c>
      <c r="B486"/>
      <c r="C486"/>
      <c r="D486"/>
      <c r="E486"/>
      <c r="HO486" s="27" t="s">
        <v>8</v>
      </c>
      <c r="HR486" s="27" t="s">
        <v>7</v>
      </c>
      <c r="HS486" s="27" t="s">
        <v>8</v>
      </c>
      <c r="HT486" s="27" t="s">
        <v>7</v>
      </c>
      <c r="HU486" s="27" t="s">
        <v>8</v>
      </c>
      <c r="HV486" s="27" t="s">
        <v>7</v>
      </c>
      <c r="KE486" s="27" t="s">
        <v>8</v>
      </c>
      <c r="KH486" s="27" t="s">
        <v>7</v>
      </c>
      <c r="KI486" s="27" t="s">
        <v>8</v>
      </c>
      <c r="KJ486" s="27" t="s">
        <v>7</v>
      </c>
      <c r="KK486" s="27" t="s">
        <v>8</v>
      </c>
    </row>
    <row r="487" spans="1:371" x14ac:dyDescent="0.25">
      <c r="A487" s="7">
        <v>7.2446461182523469</v>
      </c>
      <c r="B487"/>
      <c r="C487"/>
      <c r="D487"/>
      <c r="E487"/>
      <c r="AC487" s="27" t="s">
        <v>8</v>
      </c>
      <c r="HO487" s="27" t="s">
        <v>8</v>
      </c>
      <c r="HR487" s="27" t="s">
        <v>7</v>
      </c>
      <c r="HS487" s="27" t="s">
        <v>8</v>
      </c>
      <c r="HT487" s="27" t="s">
        <v>7</v>
      </c>
      <c r="HV487" s="27" t="s">
        <v>7</v>
      </c>
      <c r="KE487" s="27" t="s">
        <v>8</v>
      </c>
      <c r="KH487" s="27" t="s">
        <v>7</v>
      </c>
      <c r="KI487" s="27" t="s">
        <v>8</v>
      </c>
      <c r="KJ487" s="27" t="s">
        <v>7</v>
      </c>
      <c r="KK487" s="27" t="s">
        <v>8</v>
      </c>
    </row>
    <row r="488" spans="1:371" x14ac:dyDescent="0.25">
      <c r="A488" s="7">
        <v>7.1025942335807324</v>
      </c>
      <c r="B488"/>
      <c r="C488"/>
      <c r="D488"/>
      <c r="E488"/>
      <c r="AC488" s="27" t="s">
        <v>8</v>
      </c>
      <c r="AD488" s="27" t="s">
        <v>7</v>
      </c>
      <c r="AK488" s="27" t="s">
        <v>8</v>
      </c>
      <c r="HO488" s="27" t="s">
        <v>8</v>
      </c>
      <c r="HR488" s="27" t="s">
        <v>7</v>
      </c>
      <c r="HS488" s="27" t="s">
        <v>8</v>
      </c>
      <c r="HV488" s="27" t="s">
        <v>7</v>
      </c>
      <c r="KC488" s="27" t="s">
        <v>8</v>
      </c>
      <c r="KE488" s="27" t="s">
        <v>8</v>
      </c>
      <c r="KH488" s="27" t="s">
        <v>7</v>
      </c>
      <c r="KI488" s="27" t="s">
        <v>8</v>
      </c>
      <c r="KJ488" s="27" t="s">
        <v>7</v>
      </c>
      <c r="KK488" s="27" t="s">
        <v>8</v>
      </c>
    </row>
    <row r="489" spans="1:371" x14ac:dyDescent="0.25">
      <c r="A489" s="7">
        <v>6.9633276799811101</v>
      </c>
      <c r="B489"/>
      <c r="C489"/>
      <c r="D489"/>
      <c r="E489"/>
      <c r="AC489" s="27" t="s">
        <v>8</v>
      </c>
      <c r="AD489" s="27" t="s">
        <v>7</v>
      </c>
      <c r="AI489" s="27" t="s">
        <v>8</v>
      </c>
      <c r="AK489" s="27" t="s">
        <v>8</v>
      </c>
      <c r="AL489" s="27" t="s">
        <v>7</v>
      </c>
      <c r="HO489" s="27" t="s">
        <v>8</v>
      </c>
      <c r="HR489" s="27" t="s">
        <v>7</v>
      </c>
      <c r="HV489" s="27" t="s">
        <v>7</v>
      </c>
      <c r="KC489" s="27" t="s">
        <v>8</v>
      </c>
      <c r="KD489" s="27" t="s">
        <v>7</v>
      </c>
      <c r="KE489" s="27" t="s">
        <v>8</v>
      </c>
      <c r="KH489" s="27" t="s">
        <v>7</v>
      </c>
      <c r="KI489" s="27" t="s">
        <v>8</v>
      </c>
      <c r="KJ489" s="27" t="s">
        <v>7</v>
      </c>
      <c r="KK489" s="27" t="s">
        <v>8</v>
      </c>
    </row>
    <row r="490" spans="1:371" x14ac:dyDescent="0.25">
      <c r="A490" s="7">
        <v>6.8267918431187349</v>
      </c>
      <c r="B490"/>
      <c r="C490"/>
      <c r="D490"/>
      <c r="E490"/>
      <c r="AC490" s="27" t="s">
        <v>8</v>
      </c>
      <c r="AD490" s="27" t="s">
        <v>7</v>
      </c>
      <c r="AI490" s="27" t="s">
        <v>8</v>
      </c>
      <c r="AJ490" s="27" t="s">
        <v>7</v>
      </c>
      <c r="AK490" s="27" t="s">
        <v>8</v>
      </c>
      <c r="AL490" s="27" t="s">
        <v>7</v>
      </c>
      <c r="HO490" s="27" t="s">
        <v>8</v>
      </c>
      <c r="HV490" s="27" t="s">
        <v>7</v>
      </c>
      <c r="KA490" s="27" t="s">
        <v>8</v>
      </c>
      <c r="KC490" s="27" t="s">
        <v>8</v>
      </c>
      <c r="KD490" s="27" t="s">
        <v>7</v>
      </c>
      <c r="KE490" s="27" t="s">
        <v>8</v>
      </c>
      <c r="KH490" s="27" t="s">
        <v>7</v>
      </c>
      <c r="KI490" s="27" t="s">
        <v>8</v>
      </c>
      <c r="KJ490" s="27" t="s">
        <v>7</v>
      </c>
    </row>
    <row r="491" spans="1:371" x14ac:dyDescent="0.25">
      <c r="A491" s="7">
        <v>6.692933179528171</v>
      </c>
      <c r="B491"/>
      <c r="C491"/>
      <c r="D491"/>
      <c r="E491"/>
      <c r="AC491" s="27" t="s">
        <v>8</v>
      </c>
      <c r="AD491" s="27" t="s">
        <v>7</v>
      </c>
      <c r="AI491" s="27" t="s">
        <v>8</v>
      </c>
      <c r="AJ491" s="27" t="s">
        <v>7</v>
      </c>
      <c r="AK491" s="27" t="s">
        <v>8</v>
      </c>
      <c r="AL491" s="27" t="s">
        <v>7</v>
      </c>
      <c r="HO491" s="27" t="s">
        <v>8</v>
      </c>
      <c r="HV491" s="27" t="s">
        <v>7</v>
      </c>
      <c r="KA491" s="27" t="s">
        <v>8</v>
      </c>
      <c r="KB491" s="27" t="s">
        <v>7</v>
      </c>
      <c r="KC491" s="27" t="s">
        <v>8</v>
      </c>
      <c r="KD491" s="27" t="s">
        <v>7</v>
      </c>
      <c r="KE491" s="27" t="s">
        <v>8</v>
      </c>
      <c r="KH491" s="27" t="s">
        <v>7</v>
      </c>
    </row>
    <row r="492" spans="1:371" x14ac:dyDescent="0.25">
      <c r="A492" s="7">
        <v>6.5616991956158541</v>
      </c>
      <c r="B492"/>
      <c r="C492"/>
      <c r="D492"/>
      <c r="E492"/>
      <c r="Y492" s="27" t="s">
        <v>8</v>
      </c>
      <c r="AC492" s="27" t="s">
        <v>8</v>
      </c>
      <c r="AD492" s="27" t="s">
        <v>7</v>
      </c>
      <c r="AE492" s="27" t="s">
        <v>8</v>
      </c>
      <c r="AI492" s="27" t="s">
        <v>8</v>
      </c>
      <c r="AJ492" s="27" t="s">
        <v>7</v>
      </c>
      <c r="AK492" s="27" t="s">
        <v>8</v>
      </c>
      <c r="AL492" s="27" t="s">
        <v>7</v>
      </c>
      <c r="HG492" s="27" t="s">
        <v>8</v>
      </c>
      <c r="HM492" s="27" t="s">
        <v>8</v>
      </c>
      <c r="HO492" s="27" t="s">
        <v>8</v>
      </c>
      <c r="HV492" s="27" t="s">
        <v>7</v>
      </c>
      <c r="KA492" s="27" t="s">
        <v>8</v>
      </c>
      <c r="KB492" s="27" t="s">
        <v>7</v>
      </c>
      <c r="KC492" s="27" t="s">
        <v>8</v>
      </c>
      <c r="KD492" s="27" t="s">
        <v>7</v>
      </c>
      <c r="KE492" s="27" t="s">
        <v>8</v>
      </c>
    </row>
    <row r="493" spans="1:371" x14ac:dyDescent="0.25">
      <c r="A493" s="7">
        <v>6.4330384270743668</v>
      </c>
      <c r="B493"/>
      <c r="C493"/>
      <c r="D493"/>
      <c r="E493"/>
      <c r="Y493" s="27" t="s">
        <v>8</v>
      </c>
      <c r="Z493" s="27" t="s">
        <v>7</v>
      </c>
      <c r="AC493" s="27" t="s">
        <v>8</v>
      </c>
      <c r="AD493" s="27" t="s">
        <v>7</v>
      </c>
      <c r="AE493" s="27" t="s">
        <v>8</v>
      </c>
      <c r="AF493" s="27" t="s">
        <v>7</v>
      </c>
      <c r="AG493" s="27" t="s">
        <v>8</v>
      </c>
      <c r="AI493" s="27" t="s">
        <v>8</v>
      </c>
      <c r="AJ493" s="27" t="s">
        <v>7</v>
      </c>
      <c r="AK493" s="27" t="s">
        <v>8</v>
      </c>
      <c r="AL493" s="27" t="s">
        <v>7</v>
      </c>
      <c r="HG493" s="27" t="s">
        <v>8</v>
      </c>
      <c r="HH493" s="27" t="s">
        <v>7</v>
      </c>
      <c r="HM493" s="27" t="s">
        <v>8</v>
      </c>
      <c r="HN493" s="27" t="s">
        <v>7</v>
      </c>
      <c r="HO493" s="27" t="s">
        <v>8</v>
      </c>
      <c r="HV493" s="27" t="s">
        <v>7</v>
      </c>
      <c r="JK493" s="27" t="s">
        <v>8</v>
      </c>
      <c r="JY493" s="27" t="s">
        <v>8</v>
      </c>
      <c r="KA493" s="27" t="s">
        <v>8</v>
      </c>
      <c r="KB493" s="27" t="s">
        <v>7</v>
      </c>
      <c r="KC493" s="27" t="s">
        <v>8</v>
      </c>
      <c r="KD493" s="27" t="s">
        <v>7</v>
      </c>
      <c r="KE493" s="27" t="s">
        <v>8</v>
      </c>
    </row>
    <row r="494" spans="1:371" x14ac:dyDescent="0.25">
      <c r="A494" s="7">
        <v>6.3069004187003594</v>
      </c>
      <c r="B494"/>
      <c r="C494"/>
      <c r="D494"/>
      <c r="E494"/>
      <c r="Y494" s="27" t="s">
        <v>8</v>
      </c>
      <c r="Z494" s="27" t="s">
        <v>7</v>
      </c>
      <c r="AA494" s="27" t="s">
        <v>8</v>
      </c>
      <c r="AC494" s="27" t="s">
        <v>8</v>
      </c>
      <c r="AD494" s="27" t="s">
        <v>7</v>
      </c>
      <c r="AE494" s="27" t="s">
        <v>8</v>
      </c>
      <c r="AF494" s="27" t="s">
        <v>7</v>
      </c>
      <c r="AG494" s="27" t="s">
        <v>8</v>
      </c>
      <c r="AH494" s="27" t="s">
        <v>7</v>
      </c>
      <c r="AI494" s="27" t="s">
        <v>8</v>
      </c>
      <c r="AJ494" s="27" t="s">
        <v>7</v>
      </c>
      <c r="AL494" s="27" t="s">
        <v>7</v>
      </c>
      <c r="HG494" s="27" t="s">
        <v>8</v>
      </c>
      <c r="HH494" s="27" t="s">
        <v>7</v>
      </c>
      <c r="HI494" s="27" t="s">
        <v>8</v>
      </c>
      <c r="HK494" s="27" t="s">
        <v>8</v>
      </c>
      <c r="HM494" s="27" t="s">
        <v>8</v>
      </c>
      <c r="HN494" s="27" t="s">
        <v>7</v>
      </c>
      <c r="HO494" s="27" t="s">
        <v>8</v>
      </c>
      <c r="HV494" s="27" t="s">
        <v>7</v>
      </c>
      <c r="JK494" s="27" t="s">
        <v>8</v>
      </c>
      <c r="JL494" s="27" t="s">
        <v>7</v>
      </c>
      <c r="JY494" s="27" t="s">
        <v>8</v>
      </c>
      <c r="JZ494" s="27" t="s">
        <v>7</v>
      </c>
      <c r="KA494" s="27" t="s">
        <v>8</v>
      </c>
      <c r="KB494" s="27" t="s">
        <v>7</v>
      </c>
      <c r="KC494" s="27" t="s">
        <v>8</v>
      </c>
      <c r="KD494" s="27" t="s">
        <v>7</v>
      </c>
      <c r="KE494" s="27" t="s">
        <v>8</v>
      </c>
    </row>
    <row r="495" spans="1:371" x14ac:dyDescent="0.25">
      <c r="A495" s="7">
        <v>6.1832357046081956</v>
      </c>
      <c r="B495"/>
      <c r="C495"/>
      <c r="D495"/>
      <c r="E495"/>
      <c r="Y495" s="27" t="s">
        <v>8</v>
      </c>
      <c r="Z495" s="27" t="s">
        <v>7</v>
      </c>
      <c r="AA495" s="27" t="s">
        <v>8</v>
      </c>
      <c r="AB495" s="27" t="s">
        <v>7</v>
      </c>
      <c r="AC495" s="27" t="s">
        <v>8</v>
      </c>
      <c r="AD495" s="27" t="s">
        <v>7</v>
      </c>
      <c r="AE495" s="27" t="s">
        <v>8</v>
      </c>
      <c r="AF495" s="27" t="s">
        <v>7</v>
      </c>
      <c r="AG495" s="27" t="s">
        <v>8</v>
      </c>
      <c r="AH495" s="27" t="s">
        <v>7</v>
      </c>
      <c r="AI495" s="27" t="s">
        <v>8</v>
      </c>
      <c r="AL495" s="27" t="s">
        <v>7</v>
      </c>
      <c r="AM495" s="27" t="s">
        <v>8</v>
      </c>
      <c r="HG495" s="27" t="s">
        <v>8</v>
      </c>
      <c r="HH495" s="27" t="s">
        <v>7</v>
      </c>
      <c r="HI495" s="27" t="s">
        <v>8</v>
      </c>
      <c r="HJ495" s="27" t="s">
        <v>7</v>
      </c>
      <c r="HK495" s="27" t="s">
        <v>8</v>
      </c>
      <c r="HL495" s="27" t="s">
        <v>7</v>
      </c>
      <c r="HM495" s="27" t="s">
        <v>8</v>
      </c>
      <c r="HN495" s="27" t="s">
        <v>7</v>
      </c>
      <c r="HO495" s="27" t="s">
        <v>8</v>
      </c>
      <c r="HV495" s="27" t="s">
        <v>7</v>
      </c>
      <c r="IO495" s="27" t="s">
        <v>8</v>
      </c>
      <c r="IQ495" s="27" t="s">
        <v>8</v>
      </c>
      <c r="JK495" s="27" t="s">
        <v>8</v>
      </c>
      <c r="JL495" s="27" t="s">
        <v>7</v>
      </c>
      <c r="JY495" s="27" t="s">
        <v>8</v>
      </c>
      <c r="JZ495" s="27" t="s">
        <v>7</v>
      </c>
      <c r="KA495" s="27" t="s">
        <v>8</v>
      </c>
      <c r="KB495" s="27" t="s">
        <v>7</v>
      </c>
      <c r="KC495" s="27" t="s">
        <v>8</v>
      </c>
      <c r="KD495" s="27" t="s">
        <v>7</v>
      </c>
      <c r="KE495" s="27" t="s">
        <v>8</v>
      </c>
    </row>
    <row r="496" spans="1:371" x14ac:dyDescent="0.25">
      <c r="A496" s="7">
        <v>6.0619957888315641</v>
      </c>
      <c r="B496"/>
      <c r="C496"/>
      <c r="D496"/>
      <c r="E496"/>
      <c r="Y496" s="27" t="s">
        <v>8</v>
      </c>
      <c r="Z496" s="27" t="s">
        <v>7</v>
      </c>
      <c r="AA496" s="27" t="s">
        <v>8</v>
      </c>
      <c r="AB496" s="27" t="s">
        <v>7</v>
      </c>
      <c r="AC496" s="27" t="s">
        <v>8</v>
      </c>
      <c r="AD496" s="27" t="s">
        <v>7</v>
      </c>
      <c r="AE496" s="27" t="s">
        <v>8</v>
      </c>
      <c r="AF496" s="27" t="s">
        <v>7</v>
      </c>
      <c r="AG496" s="27" t="s">
        <v>8</v>
      </c>
      <c r="AH496" s="27" t="s">
        <v>7</v>
      </c>
      <c r="AI496" s="27" t="s">
        <v>8</v>
      </c>
      <c r="AL496" s="27" t="s">
        <v>7</v>
      </c>
      <c r="AM496" s="27" t="s">
        <v>8</v>
      </c>
      <c r="AN496" s="27" t="s">
        <v>7</v>
      </c>
      <c r="HG496" s="27" t="s">
        <v>8</v>
      </c>
      <c r="HH496" s="27" t="s">
        <v>7</v>
      </c>
      <c r="HI496" s="27" t="s">
        <v>8</v>
      </c>
      <c r="HJ496" s="27" t="s">
        <v>7</v>
      </c>
      <c r="HK496" s="27" t="s">
        <v>8</v>
      </c>
      <c r="HL496" s="27" t="s">
        <v>7</v>
      </c>
      <c r="HM496" s="27" t="s">
        <v>8</v>
      </c>
      <c r="HN496" s="27" t="s">
        <v>7</v>
      </c>
      <c r="HO496" s="27" t="s">
        <v>8</v>
      </c>
      <c r="HV496" s="27" t="s">
        <v>7</v>
      </c>
      <c r="IO496" s="27" t="s">
        <v>8</v>
      </c>
      <c r="IP496" s="27" t="s">
        <v>7</v>
      </c>
      <c r="IQ496" s="27" t="s">
        <v>8</v>
      </c>
      <c r="IR496" s="27" t="s">
        <v>7</v>
      </c>
      <c r="JK496" s="27" t="s">
        <v>8</v>
      </c>
      <c r="JL496" s="27" t="s">
        <v>7</v>
      </c>
      <c r="JY496" s="27" t="s">
        <v>8</v>
      </c>
      <c r="JZ496" s="27" t="s">
        <v>7</v>
      </c>
      <c r="KA496" s="27" t="s">
        <v>8</v>
      </c>
      <c r="KB496" s="27" t="s">
        <v>7</v>
      </c>
      <c r="KC496" s="27" t="s">
        <v>8</v>
      </c>
      <c r="KD496" s="27" t="s">
        <v>7</v>
      </c>
      <c r="KE496" s="27" t="s">
        <v>8</v>
      </c>
    </row>
    <row r="497" spans="1:291" x14ac:dyDescent="0.25">
      <c r="A497" s="7">
        <v>5.9431331263054545</v>
      </c>
      <c r="B497"/>
      <c r="C497"/>
      <c r="D497"/>
      <c r="E497"/>
      <c r="Y497" s="27" t="s">
        <v>8</v>
      </c>
      <c r="Z497" s="27" t="s">
        <v>7</v>
      </c>
      <c r="AA497" s="27" t="s">
        <v>8</v>
      </c>
      <c r="AB497" s="27" t="s">
        <v>7</v>
      </c>
      <c r="AC497" s="27" t="s">
        <v>8</v>
      </c>
      <c r="AD497" s="27" t="s">
        <v>7</v>
      </c>
      <c r="AE497" s="27" t="s">
        <v>8</v>
      </c>
      <c r="AF497" s="27" t="s">
        <v>7</v>
      </c>
      <c r="AG497" s="27" t="s">
        <v>8</v>
      </c>
      <c r="AH497" s="27" t="s">
        <v>7</v>
      </c>
      <c r="AL497" s="27" t="s">
        <v>7</v>
      </c>
      <c r="AM497" s="27" t="s">
        <v>8</v>
      </c>
      <c r="AN497" s="27" t="s">
        <v>7</v>
      </c>
      <c r="HG497" s="27" t="s">
        <v>8</v>
      </c>
      <c r="HH497" s="27" t="s">
        <v>7</v>
      </c>
      <c r="HJ497" s="27" t="s">
        <v>7</v>
      </c>
      <c r="HK497" s="27" t="s">
        <v>8</v>
      </c>
      <c r="HL497" s="27" t="s">
        <v>7</v>
      </c>
      <c r="HM497" s="27" t="s">
        <v>8</v>
      </c>
      <c r="HN497" s="27" t="s">
        <v>7</v>
      </c>
      <c r="HO497" s="27" t="s">
        <v>8</v>
      </c>
      <c r="HV497" s="27" t="s">
        <v>7</v>
      </c>
      <c r="IO497" s="27" t="s">
        <v>8</v>
      </c>
      <c r="IP497" s="27" t="s">
        <v>7</v>
      </c>
      <c r="IQ497" s="27" t="s">
        <v>8</v>
      </c>
      <c r="IR497" s="27" t="s">
        <v>7</v>
      </c>
      <c r="JI497" s="27" t="s">
        <v>8</v>
      </c>
      <c r="JK497" s="27" t="s">
        <v>8</v>
      </c>
      <c r="JL497" s="27" t="s">
        <v>7</v>
      </c>
      <c r="JY497" s="27" t="s">
        <v>8</v>
      </c>
      <c r="JZ497" s="27" t="s">
        <v>7</v>
      </c>
      <c r="KA497" s="27" t="s">
        <v>8</v>
      </c>
      <c r="KB497" s="27" t="s">
        <v>7</v>
      </c>
      <c r="KC497" s="27" t="s">
        <v>8</v>
      </c>
      <c r="KD497" s="27" t="s">
        <v>7</v>
      </c>
      <c r="KE497" s="27" t="s">
        <v>8</v>
      </c>
    </row>
    <row r="498" spans="1:291" x14ac:dyDescent="0.25">
      <c r="A498" s="7">
        <v>5.8266011042210337</v>
      </c>
      <c r="B498"/>
      <c r="C498"/>
      <c r="D498"/>
      <c r="E498"/>
      <c r="Y498" s="27" t="s">
        <v>8</v>
      </c>
      <c r="Z498" s="27" t="s">
        <v>7</v>
      </c>
      <c r="AA498" s="27" t="s">
        <v>8</v>
      </c>
      <c r="AB498" s="27" t="s">
        <v>7</v>
      </c>
      <c r="AC498" s="27" t="s">
        <v>8</v>
      </c>
      <c r="AD498" s="27" t="s">
        <v>7</v>
      </c>
      <c r="AE498" s="27" t="s">
        <v>8</v>
      </c>
      <c r="AF498" s="27" t="s">
        <v>7</v>
      </c>
      <c r="AG498" s="27" t="s">
        <v>8</v>
      </c>
      <c r="AL498" s="27" t="s">
        <v>7</v>
      </c>
      <c r="AM498" s="27" t="s">
        <v>8</v>
      </c>
      <c r="AN498" s="27" t="s">
        <v>7</v>
      </c>
      <c r="HE498" s="27" t="s">
        <v>8</v>
      </c>
      <c r="HG498" s="27" t="s">
        <v>8</v>
      </c>
      <c r="HJ498" s="27" t="s">
        <v>7</v>
      </c>
      <c r="HL498" s="27" t="s">
        <v>7</v>
      </c>
      <c r="HM498" s="27" t="s">
        <v>8</v>
      </c>
      <c r="HN498" s="27" t="s">
        <v>7</v>
      </c>
      <c r="HO498" s="27" t="s">
        <v>8</v>
      </c>
      <c r="HV498" s="27" t="s">
        <v>7</v>
      </c>
      <c r="IC498" s="27" t="s">
        <v>8</v>
      </c>
      <c r="IO498" s="27" t="s">
        <v>8</v>
      </c>
      <c r="IP498" s="27" t="s">
        <v>7</v>
      </c>
      <c r="IR498" s="27" t="s">
        <v>7</v>
      </c>
      <c r="JI498" s="27" t="s">
        <v>8</v>
      </c>
      <c r="JJ498" s="27" t="s">
        <v>7</v>
      </c>
      <c r="JK498" s="27" t="s">
        <v>8</v>
      </c>
      <c r="JL498" s="27" t="s">
        <v>7</v>
      </c>
      <c r="JY498" s="27" t="s">
        <v>8</v>
      </c>
      <c r="JZ498" s="27" t="s">
        <v>7</v>
      </c>
      <c r="KA498" s="27" t="s">
        <v>8</v>
      </c>
      <c r="KB498" s="27" t="s">
        <v>7</v>
      </c>
      <c r="KC498" s="27" t="s">
        <v>8</v>
      </c>
      <c r="KD498" s="27" t="s">
        <v>7</v>
      </c>
      <c r="KE498" s="27" t="s">
        <v>8</v>
      </c>
    </row>
    <row r="499" spans="1:291" x14ac:dyDescent="0.25">
      <c r="A499" s="7">
        <v>5.7123540237461112</v>
      </c>
      <c r="B499"/>
      <c r="C499"/>
      <c r="D499"/>
      <c r="E499"/>
      <c r="Y499" s="27" t="s">
        <v>8</v>
      </c>
      <c r="Z499" s="27" t="s">
        <v>7</v>
      </c>
      <c r="AA499" s="27" t="s">
        <v>8</v>
      </c>
      <c r="AB499" s="27" t="s">
        <v>7</v>
      </c>
      <c r="AC499" s="27" t="s">
        <v>8</v>
      </c>
      <c r="AD499" s="27" t="s">
        <v>7</v>
      </c>
      <c r="AF499" s="27" t="s">
        <v>7</v>
      </c>
      <c r="AL499" s="27" t="s">
        <v>7</v>
      </c>
      <c r="AM499" s="27" t="s">
        <v>8</v>
      </c>
      <c r="AN499" s="27" t="s">
        <v>7</v>
      </c>
      <c r="AO499" s="27" t="s">
        <v>8</v>
      </c>
      <c r="HE499" s="27" t="s">
        <v>8</v>
      </c>
      <c r="HF499" s="27" t="s">
        <v>7</v>
      </c>
      <c r="HG499" s="27" t="s">
        <v>8</v>
      </c>
      <c r="HL499" s="27" t="s">
        <v>7</v>
      </c>
      <c r="HM499" s="27" t="s">
        <v>8</v>
      </c>
      <c r="HN499" s="27" t="s">
        <v>7</v>
      </c>
      <c r="HO499" s="27" t="s">
        <v>8</v>
      </c>
      <c r="HV499" s="27" t="s">
        <v>7</v>
      </c>
      <c r="IC499" s="27" t="s">
        <v>8</v>
      </c>
      <c r="ID499" s="27" t="s">
        <v>7</v>
      </c>
      <c r="IO499" s="27" t="s">
        <v>8</v>
      </c>
      <c r="IR499" s="27" t="s">
        <v>7</v>
      </c>
      <c r="IS499" s="27" t="s">
        <v>8</v>
      </c>
      <c r="JI499" s="27" t="s">
        <v>8</v>
      </c>
      <c r="JJ499" s="27" t="s">
        <v>7</v>
      </c>
      <c r="JK499" s="27" t="s">
        <v>8</v>
      </c>
      <c r="JL499" s="27" t="s">
        <v>7</v>
      </c>
      <c r="JS499" s="27" t="s">
        <v>8</v>
      </c>
      <c r="JY499" s="27" t="s">
        <v>8</v>
      </c>
      <c r="JZ499" s="27" t="s">
        <v>7</v>
      </c>
      <c r="KA499" s="27" t="s">
        <v>8</v>
      </c>
      <c r="KB499" s="27" t="s">
        <v>7</v>
      </c>
      <c r="KD499" s="27" t="s">
        <v>7</v>
      </c>
      <c r="KE499" s="27" t="s">
        <v>8</v>
      </c>
    </row>
    <row r="500" spans="1:291" x14ac:dyDescent="0.25">
      <c r="A500" s="7">
        <v>5.6003470821040304</v>
      </c>
      <c r="B500"/>
      <c r="C500"/>
      <c r="D500"/>
      <c r="E500"/>
      <c r="G500" s="27" t="s">
        <v>8</v>
      </c>
      <c r="Y500" s="27" t="s">
        <v>8</v>
      </c>
      <c r="Z500" s="27" t="s">
        <v>7</v>
      </c>
      <c r="AA500" s="27" t="s">
        <v>8</v>
      </c>
      <c r="AB500" s="27" t="s">
        <v>7</v>
      </c>
      <c r="AL500" s="27" t="s">
        <v>7</v>
      </c>
      <c r="AM500" s="27" t="s">
        <v>8</v>
      </c>
      <c r="AN500" s="27" t="s">
        <v>7</v>
      </c>
      <c r="AO500" s="27" t="s">
        <v>8</v>
      </c>
      <c r="AP500" s="27" t="s">
        <v>7</v>
      </c>
      <c r="HE500" s="27" t="s">
        <v>8</v>
      </c>
      <c r="HF500" s="27" t="s">
        <v>7</v>
      </c>
      <c r="HG500" s="27" t="s">
        <v>8</v>
      </c>
      <c r="HL500" s="27" t="s">
        <v>7</v>
      </c>
      <c r="HM500" s="27" t="s">
        <v>8</v>
      </c>
      <c r="HN500" s="27" t="s">
        <v>7</v>
      </c>
      <c r="HO500" s="27" t="s">
        <v>8</v>
      </c>
      <c r="HV500" s="27" t="s">
        <v>7</v>
      </c>
      <c r="HW500" s="27" t="s">
        <v>8</v>
      </c>
      <c r="IC500" s="27" t="s">
        <v>8</v>
      </c>
      <c r="ID500" s="27" t="s">
        <v>7</v>
      </c>
      <c r="IO500" s="27" t="s">
        <v>8</v>
      </c>
      <c r="IR500" s="27" t="s">
        <v>7</v>
      </c>
      <c r="IS500" s="27" t="s">
        <v>8</v>
      </c>
      <c r="IT500" s="27" t="s">
        <v>7</v>
      </c>
      <c r="IW500" s="27" t="s">
        <v>8</v>
      </c>
      <c r="JI500" s="27" t="s">
        <v>8</v>
      </c>
      <c r="JJ500" s="27" t="s">
        <v>7</v>
      </c>
      <c r="JK500" s="27" t="s">
        <v>8</v>
      </c>
      <c r="JL500" s="27" t="s">
        <v>7</v>
      </c>
      <c r="JM500" s="27" t="s">
        <v>8</v>
      </c>
      <c r="JO500" s="27" t="s">
        <v>8</v>
      </c>
      <c r="JS500" s="27" t="s">
        <v>8</v>
      </c>
      <c r="JT500" s="27" t="s">
        <v>7</v>
      </c>
      <c r="JW500" s="27" t="s">
        <v>8</v>
      </c>
      <c r="JY500" s="27" t="s">
        <v>8</v>
      </c>
      <c r="JZ500" s="27" t="s">
        <v>7</v>
      </c>
      <c r="KA500" s="27" t="s">
        <v>8</v>
      </c>
      <c r="KD500" s="27" t="s">
        <v>7</v>
      </c>
      <c r="KE500" s="27" t="s">
        <v>8</v>
      </c>
    </row>
    <row r="501" spans="1:291" x14ac:dyDescent="0.25">
      <c r="A501" s="7">
        <v>5.4905363550039512</v>
      </c>
      <c r="B501"/>
      <c r="C501"/>
      <c r="D501"/>
      <c r="E501"/>
      <c r="G501" s="27" t="s">
        <v>8</v>
      </c>
      <c r="H501" s="27" t="s">
        <v>7</v>
      </c>
      <c r="Y501" s="27" t="s">
        <v>8</v>
      </c>
      <c r="Z501" s="27" t="s">
        <v>7</v>
      </c>
      <c r="AA501" s="27" t="s">
        <v>8</v>
      </c>
      <c r="AL501" s="27" t="s">
        <v>7</v>
      </c>
      <c r="AM501" s="27" t="s">
        <v>8</v>
      </c>
      <c r="AN501" s="27" t="s">
        <v>7</v>
      </c>
      <c r="AO501" s="27" t="s">
        <v>8</v>
      </c>
      <c r="AP501" s="27" t="s">
        <v>7</v>
      </c>
      <c r="HE501" s="27" t="s">
        <v>8</v>
      </c>
      <c r="HF501" s="27" t="s">
        <v>7</v>
      </c>
      <c r="HG501" s="27" t="s">
        <v>8</v>
      </c>
      <c r="HL501" s="27" t="s">
        <v>7</v>
      </c>
      <c r="HM501" s="27" t="s">
        <v>8</v>
      </c>
      <c r="HN501" s="27" t="s">
        <v>7</v>
      </c>
      <c r="HV501" s="27" t="s">
        <v>7</v>
      </c>
      <c r="HW501" s="27" t="s">
        <v>8</v>
      </c>
      <c r="HX501" s="27" t="s">
        <v>7</v>
      </c>
      <c r="IA501" s="27" t="s">
        <v>8</v>
      </c>
      <c r="IC501" s="27" t="s">
        <v>8</v>
      </c>
      <c r="ID501" s="27" t="s">
        <v>7</v>
      </c>
      <c r="IK501" s="27" t="s">
        <v>8</v>
      </c>
      <c r="IO501" s="27" t="s">
        <v>8</v>
      </c>
      <c r="IR501" s="27" t="s">
        <v>7</v>
      </c>
      <c r="IS501" s="27" t="s">
        <v>8</v>
      </c>
      <c r="IT501" s="27" t="s">
        <v>7</v>
      </c>
      <c r="IU501" s="27" t="s">
        <v>8</v>
      </c>
      <c r="IW501" s="27" t="s">
        <v>8</v>
      </c>
      <c r="IX501" s="27" t="s">
        <v>7</v>
      </c>
      <c r="JI501" s="27" t="s">
        <v>8</v>
      </c>
      <c r="JJ501" s="27" t="s">
        <v>7</v>
      </c>
      <c r="JK501" s="27" t="s">
        <v>8</v>
      </c>
      <c r="JL501" s="27" t="s">
        <v>7</v>
      </c>
      <c r="JM501" s="27" t="s">
        <v>8</v>
      </c>
      <c r="JN501" s="27" t="s">
        <v>7</v>
      </c>
      <c r="JO501" s="27" t="s">
        <v>8</v>
      </c>
      <c r="JP501" s="27" t="s">
        <v>7</v>
      </c>
      <c r="JS501" s="27" t="s">
        <v>8</v>
      </c>
      <c r="JT501" s="27" t="s">
        <v>7</v>
      </c>
      <c r="JW501" s="27" t="s">
        <v>8</v>
      </c>
      <c r="JX501" s="27" t="s">
        <v>7</v>
      </c>
      <c r="JY501" s="27" t="s">
        <v>8</v>
      </c>
      <c r="JZ501" s="27" t="s">
        <v>7</v>
      </c>
      <c r="KA501" s="27" t="s">
        <v>8</v>
      </c>
      <c r="KD501" s="27" t="s">
        <v>7</v>
      </c>
      <c r="KE501" s="27" t="s">
        <v>8</v>
      </c>
    </row>
    <row r="502" spans="1:291" x14ac:dyDescent="0.25">
      <c r="A502" s="7">
        <v>5.3828787794156385</v>
      </c>
      <c r="B502"/>
      <c r="C502"/>
      <c r="D502"/>
      <c r="E502"/>
      <c r="G502" s="27" t="s">
        <v>8</v>
      </c>
      <c r="H502" s="27" t="s">
        <v>7</v>
      </c>
      <c r="Y502" s="27" t="s">
        <v>8</v>
      </c>
      <c r="Z502" s="27" t="s">
        <v>7</v>
      </c>
      <c r="AA502" s="27" t="s">
        <v>8</v>
      </c>
      <c r="AL502" s="27" t="s">
        <v>7</v>
      </c>
      <c r="AN502" s="27" t="s">
        <v>7</v>
      </c>
      <c r="AO502" s="27" t="s">
        <v>8</v>
      </c>
      <c r="AP502" s="27" t="s">
        <v>7</v>
      </c>
      <c r="DY502" s="27" t="s">
        <v>8</v>
      </c>
      <c r="HE502" s="27" t="s">
        <v>8</v>
      </c>
      <c r="HF502" s="27" t="s">
        <v>7</v>
      </c>
      <c r="HG502" s="27" t="s">
        <v>8</v>
      </c>
      <c r="HL502" s="27" t="s">
        <v>7</v>
      </c>
      <c r="HV502" s="27" t="s">
        <v>7</v>
      </c>
      <c r="HW502" s="27" t="s">
        <v>8</v>
      </c>
      <c r="HX502" s="27" t="s">
        <v>7</v>
      </c>
      <c r="IA502" s="27" t="s">
        <v>8</v>
      </c>
      <c r="IB502" s="27" t="s">
        <v>7</v>
      </c>
      <c r="IC502" s="27" t="s">
        <v>8</v>
      </c>
      <c r="ID502" s="27" t="s">
        <v>7</v>
      </c>
      <c r="IK502" s="27" t="s">
        <v>8</v>
      </c>
      <c r="IL502" s="27" t="s">
        <v>7</v>
      </c>
      <c r="IM502" s="27" t="s">
        <v>8</v>
      </c>
      <c r="IO502" s="27" t="s">
        <v>8</v>
      </c>
      <c r="IR502" s="27" t="s">
        <v>7</v>
      </c>
      <c r="IT502" s="27" t="s">
        <v>7</v>
      </c>
      <c r="IU502" s="27" t="s">
        <v>8</v>
      </c>
      <c r="IV502" s="27" t="s">
        <v>7</v>
      </c>
      <c r="IW502" s="27" t="s">
        <v>8</v>
      </c>
      <c r="IX502" s="27" t="s">
        <v>7</v>
      </c>
      <c r="JI502" s="27" t="s">
        <v>8</v>
      </c>
      <c r="JJ502" s="27" t="s">
        <v>7</v>
      </c>
      <c r="JK502" s="27" t="s">
        <v>8</v>
      </c>
      <c r="JL502" s="27" t="s">
        <v>7</v>
      </c>
      <c r="JM502" s="27" t="s">
        <v>8</v>
      </c>
      <c r="JN502" s="27" t="s">
        <v>7</v>
      </c>
      <c r="JO502" s="27" t="s">
        <v>8</v>
      </c>
      <c r="JP502" s="27" t="s">
        <v>7</v>
      </c>
      <c r="JS502" s="27" t="s">
        <v>8</v>
      </c>
      <c r="JT502" s="27" t="s">
        <v>7</v>
      </c>
      <c r="JW502" s="27" t="s">
        <v>8</v>
      </c>
      <c r="JX502" s="27" t="s">
        <v>7</v>
      </c>
      <c r="JY502" s="27" t="s">
        <v>8</v>
      </c>
      <c r="JZ502" s="27" t="s">
        <v>7</v>
      </c>
      <c r="KA502" s="27" t="s">
        <v>8</v>
      </c>
      <c r="KD502" s="27" t="s">
        <v>7</v>
      </c>
      <c r="KE502" s="27" t="s">
        <v>8</v>
      </c>
    </row>
    <row r="503" spans="1:291" x14ac:dyDescent="0.25">
      <c r="A503" s="7">
        <v>5.2773321366819985</v>
      </c>
      <c r="B503"/>
      <c r="C503"/>
      <c r="D503"/>
      <c r="E503"/>
      <c r="G503" s="27" t="s">
        <v>8</v>
      </c>
      <c r="H503" s="27" t="s">
        <v>7</v>
      </c>
      <c r="Y503" s="27" t="s">
        <v>8</v>
      </c>
      <c r="Z503" s="27" t="s">
        <v>7</v>
      </c>
      <c r="AN503" s="27" t="s">
        <v>7</v>
      </c>
      <c r="AO503" s="27" t="s">
        <v>8</v>
      </c>
      <c r="AP503" s="27" t="s">
        <v>7</v>
      </c>
      <c r="DY503" s="27" t="s">
        <v>8</v>
      </c>
      <c r="DZ503" s="27" t="s">
        <v>7</v>
      </c>
      <c r="EK503" s="27" t="s">
        <v>8</v>
      </c>
      <c r="HE503" s="27" t="s">
        <v>8</v>
      </c>
      <c r="HF503" s="27" t="s">
        <v>7</v>
      </c>
      <c r="HG503" s="27" t="s">
        <v>8</v>
      </c>
      <c r="HV503" s="27" t="s">
        <v>7</v>
      </c>
      <c r="HW503" s="27" t="s">
        <v>8</v>
      </c>
      <c r="HX503" s="27" t="s">
        <v>7</v>
      </c>
      <c r="IA503" s="27" t="s">
        <v>8</v>
      </c>
      <c r="IB503" s="27" t="s">
        <v>7</v>
      </c>
      <c r="IC503" s="27" t="s">
        <v>8</v>
      </c>
      <c r="ID503" s="27" t="s">
        <v>7</v>
      </c>
      <c r="IK503" s="27" t="s">
        <v>8</v>
      </c>
      <c r="IL503" s="27" t="s">
        <v>7</v>
      </c>
      <c r="IM503" s="27" t="s">
        <v>8</v>
      </c>
      <c r="IN503" s="27" t="s">
        <v>7</v>
      </c>
      <c r="IO503" s="27" t="s">
        <v>8</v>
      </c>
      <c r="IT503" s="27" t="s">
        <v>7</v>
      </c>
      <c r="IU503" s="27" t="s">
        <v>8</v>
      </c>
      <c r="IV503" s="27" t="s">
        <v>7</v>
      </c>
      <c r="IW503" s="27" t="s">
        <v>8</v>
      </c>
      <c r="IX503" s="27" t="s">
        <v>7</v>
      </c>
      <c r="IY503" s="27" t="s">
        <v>8</v>
      </c>
      <c r="JE503" s="27" t="s">
        <v>8</v>
      </c>
      <c r="JG503" s="27" t="s">
        <v>8</v>
      </c>
      <c r="JI503" s="27" t="s">
        <v>8</v>
      </c>
      <c r="JJ503" s="27" t="s">
        <v>7</v>
      </c>
      <c r="JL503" s="27" t="s">
        <v>7</v>
      </c>
      <c r="JM503" s="27" t="s">
        <v>8</v>
      </c>
      <c r="JN503" s="27" t="s">
        <v>7</v>
      </c>
      <c r="JO503" s="27" t="s">
        <v>8</v>
      </c>
      <c r="JP503" s="27" t="s">
        <v>7</v>
      </c>
      <c r="JQ503" s="27" t="s">
        <v>8</v>
      </c>
      <c r="JS503" s="27" t="s">
        <v>8</v>
      </c>
      <c r="JT503" s="27" t="s">
        <v>7</v>
      </c>
      <c r="JW503" s="27" t="s">
        <v>8</v>
      </c>
      <c r="JX503" s="27" t="s">
        <v>7</v>
      </c>
      <c r="JY503" s="27" t="s">
        <v>8</v>
      </c>
      <c r="JZ503" s="27" t="s">
        <v>7</v>
      </c>
      <c r="KD503" s="27" t="s">
        <v>7</v>
      </c>
      <c r="KE503" s="27" t="s">
        <v>8</v>
      </c>
    </row>
    <row r="504" spans="1:291" x14ac:dyDescent="0.25">
      <c r="A504" s="7">
        <v>5.1738550359627435</v>
      </c>
      <c r="B504"/>
      <c r="C504"/>
      <c r="D504"/>
      <c r="E504"/>
      <c r="G504" s="27" t="s">
        <v>8</v>
      </c>
      <c r="H504" s="27" t="s">
        <v>7</v>
      </c>
      <c r="Y504" s="27" t="s">
        <v>8</v>
      </c>
      <c r="AN504" s="27" t="s">
        <v>7</v>
      </c>
      <c r="AP504" s="27" t="s">
        <v>7</v>
      </c>
      <c r="DY504" s="27" t="s">
        <v>8</v>
      </c>
      <c r="DZ504" s="27" t="s">
        <v>7</v>
      </c>
      <c r="EK504" s="27" t="s">
        <v>8</v>
      </c>
      <c r="EL504" s="27" t="s">
        <v>7</v>
      </c>
      <c r="HE504" s="27" t="s">
        <v>8</v>
      </c>
      <c r="HF504" s="27" t="s">
        <v>7</v>
      </c>
      <c r="HG504" s="27" t="s">
        <v>8</v>
      </c>
      <c r="HV504" s="27" t="s">
        <v>7</v>
      </c>
      <c r="HW504" s="27" t="s">
        <v>8</v>
      </c>
      <c r="HX504" s="27" t="s">
        <v>7</v>
      </c>
      <c r="HY504" s="27" t="s">
        <v>8</v>
      </c>
      <c r="IA504" s="27" t="s">
        <v>8</v>
      </c>
      <c r="IB504" s="27" t="s">
        <v>7</v>
      </c>
      <c r="IC504" s="27" t="s">
        <v>8</v>
      </c>
      <c r="ID504" s="27" t="s">
        <v>7</v>
      </c>
      <c r="IE504" s="27" t="s">
        <v>8</v>
      </c>
      <c r="IK504" s="27" t="s">
        <v>8</v>
      </c>
      <c r="IL504" s="27" t="s">
        <v>7</v>
      </c>
      <c r="IM504" s="27" t="s">
        <v>8</v>
      </c>
      <c r="IN504" s="27" t="s">
        <v>7</v>
      </c>
      <c r="IO504" s="27" t="s">
        <v>8</v>
      </c>
      <c r="IT504" s="27" t="s">
        <v>7</v>
      </c>
      <c r="IU504" s="27" t="s">
        <v>8</v>
      </c>
      <c r="IV504" s="27" t="s">
        <v>7</v>
      </c>
      <c r="IX504" s="27" t="s">
        <v>7</v>
      </c>
      <c r="IY504" s="27" t="s">
        <v>8</v>
      </c>
      <c r="IZ504" s="27" t="s">
        <v>7</v>
      </c>
      <c r="JE504" s="27" t="s">
        <v>8</v>
      </c>
      <c r="JF504" s="27" t="s">
        <v>7</v>
      </c>
      <c r="JG504" s="27" t="s">
        <v>8</v>
      </c>
      <c r="JH504" s="27" t="s">
        <v>7</v>
      </c>
      <c r="JI504" s="27" t="s">
        <v>8</v>
      </c>
      <c r="JL504" s="27" t="s">
        <v>7</v>
      </c>
      <c r="JM504" s="27" t="s">
        <v>8</v>
      </c>
      <c r="JN504" s="27" t="s">
        <v>7</v>
      </c>
      <c r="JP504" s="27" t="s">
        <v>7</v>
      </c>
      <c r="JQ504" s="27" t="s">
        <v>8</v>
      </c>
      <c r="JR504" s="27" t="s">
        <v>7</v>
      </c>
      <c r="JS504" s="27" t="s">
        <v>8</v>
      </c>
      <c r="JT504" s="27" t="s">
        <v>7</v>
      </c>
      <c r="JW504" s="27" t="s">
        <v>8</v>
      </c>
      <c r="JX504" s="27" t="s">
        <v>7</v>
      </c>
      <c r="JY504" s="27" t="s">
        <v>8</v>
      </c>
      <c r="KD504" s="27" t="s">
        <v>7</v>
      </c>
      <c r="KE504" s="27" t="s">
        <v>8</v>
      </c>
    </row>
    <row r="505" spans="1:291" x14ac:dyDescent="0.25">
      <c r="A505" s="7">
        <v>5.07240689800269</v>
      </c>
      <c r="B505"/>
      <c r="C505"/>
      <c r="D505"/>
      <c r="E505"/>
      <c r="G505" s="27" t="s">
        <v>8</v>
      </c>
      <c r="H505" s="27" t="s">
        <v>7</v>
      </c>
      <c r="Q505" s="27" t="s">
        <v>8</v>
      </c>
      <c r="Y505" s="27" t="s">
        <v>8</v>
      </c>
      <c r="AP505" s="27" t="s">
        <v>7</v>
      </c>
      <c r="DY505" s="27" t="s">
        <v>8</v>
      </c>
      <c r="DZ505" s="27" t="s">
        <v>7</v>
      </c>
      <c r="EK505" s="27" t="s">
        <v>8</v>
      </c>
      <c r="EL505" s="27" t="s">
        <v>7</v>
      </c>
      <c r="EO505" s="27" t="s">
        <v>8</v>
      </c>
      <c r="HE505" s="27" t="s">
        <v>8</v>
      </c>
      <c r="HF505" s="27" t="s">
        <v>7</v>
      </c>
      <c r="HG505" s="27" t="s">
        <v>8</v>
      </c>
      <c r="HV505" s="27" t="s">
        <v>7</v>
      </c>
      <c r="HW505" s="27" t="s">
        <v>8</v>
      </c>
      <c r="HX505" s="27" t="s">
        <v>7</v>
      </c>
      <c r="HY505" s="27" t="s">
        <v>8</v>
      </c>
      <c r="HZ505" s="27" t="s">
        <v>7</v>
      </c>
      <c r="IA505" s="27" t="s">
        <v>8</v>
      </c>
      <c r="IB505" s="27" t="s">
        <v>7</v>
      </c>
      <c r="ID505" s="27" t="s">
        <v>7</v>
      </c>
      <c r="IE505" s="27" t="s">
        <v>8</v>
      </c>
      <c r="IF505" s="27" t="s">
        <v>7</v>
      </c>
      <c r="IK505" s="27" t="s">
        <v>8</v>
      </c>
      <c r="IL505" s="27" t="s">
        <v>7</v>
      </c>
      <c r="IM505" s="27" t="s">
        <v>8</v>
      </c>
      <c r="IN505" s="27" t="s">
        <v>7</v>
      </c>
      <c r="IO505" s="27" t="s">
        <v>8</v>
      </c>
      <c r="IT505" s="27" t="s">
        <v>7</v>
      </c>
      <c r="IX505" s="27" t="s">
        <v>7</v>
      </c>
      <c r="IY505" s="27" t="s">
        <v>8</v>
      </c>
      <c r="IZ505" s="27" t="s">
        <v>7</v>
      </c>
      <c r="JC505" s="27" t="s">
        <v>8</v>
      </c>
      <c r="JE505" s="27" t="s">
        <v>8</v>
      </c>
      <c r="JF505" s="27" t="s">
        <v>7</v>
      </c>
      <c r="JG505" s="27" t="s">
        <v>8</v>
      </c>
      <c r="JH505" s="27" t="s">
        <v>7</v>
      </c>
      <c r="JI505" s="27" t="s">
        <v>8</v>
      </c>
      <c r="JL505" s="27" t="s">
        <v>7</v>
      </c>
      <c r="JP505" s="27" t="s">
        <v>7</v>
      </c>
      <c r="JQ505" s="27" t="s">
        <v>8</v>
      </c>
      <c r="JR505" s="27" t="s">
        <v>7</v>
      </c>
      <c r="JS505" s="27" t="s">
        <v>8</v>
      </c>
      <c r="JT505" s="27" t="s">
        <v>7</v>
      </c>
      <c r="JW505" s="27" t="s">
        <v>8</v>
      </c>
      <c r="JX505" s="27" t="s">
        <v>7</v>
      </c>
      <c r="KD505" s="27" t="s">
        <v>7</v>
      </c>
    </row>
    <row r="506" spans="1:291" x14ac:dyDescent="0.25">
      <c r="A506" s="7">
        <v>4.9729479392183231</v>
      </c>
      <c r="B506"/>
      <c r="C506"/>
      <c r="D506"/>
      <c r="E506"/>
      <c r="G506" s="27" t="s">
        <v>8</v>
      </c>
      <c r="H506" s="27" t="s">
        <v>7</v>
      </c>
      <c r="I506" s="27" t="s">
        <v>8</v>
      </c>
      <c r="Q506" s="27" t="s">
        <v>8</v>
      </c>
      <c r="R506" s="27" t="s">
        <v>7</v>
      </c>
      <c r="Y506" s="27" t="s">
        <v>8</v>
      </c>
      <c r="AP506" s="27" t="s">
        <v>7</v>
      </c>
      <c r="DY506" s="27" t="s">
        <v>8</v>
      </c>
      <c r="DZ506" s="27" t="s">
        <v>7</v>
      </c>
      <c r="EA506" s="27" t="s">
        <v>8</v>
      </c>
      <c r="EK506" s="27" t="s">
        <v>8</v>
      </c>
      <c r="EL506" s="27" t="s">
        <v>7</v>
      </c>
      <c r="EO506" s="27" t="s">
        <v>8</v>
      </c>
      <c r="EP506" s="27" t="s">
        <v>7</v>
      </c>
      <c r="HE506" s="27" t="s">
        <v>8</v>
      </c>
      <c r="HF506" s="27" t="s">
        <v>7</v>
      </c>
      <c r="HG506" s="27" t="s">
        <v>8</v>
      </c>
      <c r="HV506" s="27" t="s">
        <v>7</v>
      </c>
      <c r="HW506" s="27" t="s">
        <v>8</v>
      </c>
      <c r="HX506" s="27" t="s">
        <v>7</v>
      </c>
      <c r="HY506" s="27" t="s">
        <v>8</v>
      </c>
      <c r="HZ506" s="27" t="s">
        <v>7</v>
      </c>
      <c r="IA506" s="27" t="s">
        <v>8</v>
      </c>
      <c r="ID506" s="27" t="s">
        <v>7</v>
      </c>
      <c r="IE506" s="27" t="s">
        <v>8</v>
      </c>
      <c r="IF506" s="27" t="s">
        <v>7</v>
      </c>
      <c r="IK506" s="27" t="s">
        <v>8</v>
      </c>
      <c r="IL506" s="27" t="s">
        <v>7</v>
      </c>
      <c r="IM506" s="27" t="s">
        <v>8</v>
      </c>
      <c r="IN506" s="27" t="s">
        <v>7</v>
      </c>
      <c r="IO506" s="27" t="s">
        <v>8</v>
      </c>
      <c r="IX506" s="27" t="s">
        <v>7</v>
      </c>
      <c r="IZ506" s="27" t="s">
        <v>7</v>
      </c>
      <c r="JC506" s="27" t="s">
        <v>8</v>
      </c>
      <c r="JD506" s="27" t="s">
        <v>7</v>
      </c>
      <c r="JE506" s="27" t="s">
        <v>8</v>
      </c>
      <c r="JF506" s="27" t="s">
        <v>7</v>
      </c>
      <c r="JG506" s="27" t="s">
        <v>8</v>
      </c>
      <c r="JH506" s="27" t="s">
        <v>7</v>
      </c>
      <c r="JP506" s="27" t="s">
        <v>7</v>
      </c>
      <c r="JR506" s="27" t="s">
        <v>7</v>
      </c>
      <c r="JS506" s="27" t="s">
        <v>8</v>
      </c>
      <c r="JT506" s="27" t="s">
        <v>7</v>
      </c>
      <c r="JU506" s="27" t="s">
        <v>8</v>
      </c>
      <c r="JW506" s="27" t="s">
        <v>8</v>
      </c>
    </row>
    <row r="507" spans="1:291" x14ac:dyDescent="0.25">
      <c r="A507" s="7">
        <v>4.8754391560963954</v>
      </c>
      <c r="B507"/>
      <c r="C507"/>
      <c r="D507"/>
      <c r="E507"/>
      <c r="G507" s="27" t="s">
        <v>8</v>
      </c>
      <c r="H507" s="27" t="s">
        <v>7</v>
      </c>
      <c r="I507" s="27" t="s">
        <v>8</v>
      </c>
      <c r="J507" s="27" t="s">
        <v>7</v>
      </c>
      <c r="Q507" s="27" t="s">
        <v>8</v>
      </c>
      <c r="R507" s="27" t="s">
        <v>7</v>
      </c>
      <c r="Y507" s="27" t="s">
        <v>8</v>
      </c>
      <c r="AP507" s="27" t="s">
        <v>7</v>
      </c>
      <c r="DY507" s="27" t="s">
        <v>8</v>
      </c>
      <c r="DZ507" s="27" t="s">
        <v>7</v>
      </c>
      <c r="EA507" s="27" t="s">
        <v>8</v>
      </c>
      <c r="EB507" s="27" t="s">
        <v>7</v>
      </c>
      <c r="EG507" s="27" t="s">
        <v>8</v>
      </c>
      <c r="EK507" s="27" t="s">
        <v>8</v>
      </c>
      <c r="EL507" s="27" t="s">
        <v>7</v>
      </c>
      <c r="EO507" s="27" t="s">
        <v>8</v>
      </c>
      <c r="EP507" s="27" t="s">
        <v>7</v>
      </c>
      <c r="HE507" s="27" t="s">
        <v>8</v>
      </c>
      <c r="HF507" s="27" t="s">
        <v>7</v>
      </c>
      <c r="HG507" s="27" t="s">
        <v>8</v>
      </c>
      <c r="HV507" s="27" t="s">
        <v>7</v>
      </c>
      <c r="HW507" s="27" t="s">
        <v>8</v>
      </c>
      <c r="HX507" s="27" t="s">
        <v>7</v>
      </c>
      <c r="HY507" s="27" t="s">
        <v>8</v>
      </c>
      <c r="HZ507" s="27" t="s">
        <v>7</v>
      </c>
      <c r="IA507" s="27" t="s">
        <v>8</v>
      </c>
      <c r="ID507" s="27" t="s">
        <v>7</v>
      </c>
      <c r="IE507" s="27" t="s">
        <v>8</v>
      </c>
      <c r="IF507" s="27" t="s">
        <v>7</v>
      </c>
      <c r="IK507" s="27" t="s">
        <v>8</v>
      </c>
      <c r="IL507" s="27" t="s">
        <v>7</v>
      </c>
      <c r="IM507" s="27" t="s">
        <v>8</v>
      </c>
      <c r="IN507" s="27" t="s">
        <v>7</v>
      </c>
      <c r="IO507" s="27" t="s">
        <v>8</v>
      </c>
      <c r="IZ507" s="27" t="s">
        <v>7</v>
      </c>
      <c r="JC507" s="27" t="s">
        <v>8</v>
      </c>
      <c r="JD507" s="27" t="s">
        <v>7</v>
      </c>
      <c r="JE507" s="27" t="s">
        <v>8</v>
      </c>
      <c r="JF507" s="27" t="s">
        <v>7</v>
      </c>
      <c r="JR507" s="27" t="s">
        <v>7</v>
      </c>
      <c r="JS507" s="27" t="s">
        <v>8</v>
      </c>
      <c r="JT507" s="27" t="s">
        <v>7</v>
      </c>
      <c r="JU507" s="27" t="s">
        <v>8</v>
      </c>
      <c r="JV507" s="27" t="s">
        <v>7</v>
      </c>
      <c r="JW507" s="27" t="s">
        <v>8</v>
      </c>
    </row>
    <row r="508" spans="1:291" x14ac:dyDescent="0.25">
      <c r="A508" s="7">
        <v>4.7798423098984264</v>
      </c>
      <c r="B508"/>
      <c r="C508"/>
      <c r="D508"/>
      <c r="E508"/>
      <c r="G508" s="27" t="s">
        <v>8</v>
      </c>
      <c r="H508" s="27" t="s">
        <v>7</v>
      </c>
      <c r="I508" s="27" t="s">
        <v>8</v>
      </c>
      <c r="J508" s="27" t="s">
        <v>7</v>
      </c>
      <c r="O508" s="27" t="s">
        <v>8</v>
      </c>
      <c r="Q508" s="27" t="s">
        <v>8</v>
      </c>
      <c r="R508" s="27" t="s">
        <v>7</v>
      </c>
      <c r="S508" s="27" t="s">
        <v>8</v>
      </c>
      <c r="W508" s="27" t="s">
        <v>8</v>
      </c>
      <c r="Y508" s="27" t="s">
        <v>8</v>
      </c>
      <c r="AP508" s="27" t="s">
        <v>7</v>
      </c>
      <c r="DQ508" s="27" t="s">
        <v>8</v>
      </c>
      <c r="DY508" s="27" t="s">
        <v>8</v>
      </c>
      <c r="DZ508" s="27" t="s">
        <v>7</v>
      </c>
      <c r="EA508" s="27" t="s">
        <v>8</v>
      </c>
      <c r="EB508" s="27" t="s">
        <v>7</v>
      </c>
      <c r="EG508" s="27" t="s">
        <v>8</v>
      </c>
      <c r="EH508" s="27" t="s">
        <v>7</v>
      </c>
      <c r="EI508" s="27" t="s">
        <v>8</v>
      </c>
      <c r="EK508" s="27" t="s">
        <v>8</v>
      </c>
      <c r="EL508" s="27" t="s">
        <v>7</v>
      </c>
      <c r="EO508" s="27" t="s">
        <v>8</v>
      </c>
      <c r="EP508" s="27" t="s">
        <v>7</v>
      </c>
      <c r="HE508" s="27" t="s">
        <v>8</v>
      </c>
      <c r="HF508" s="27" t="s">
        <v>7</v>
      </c>
      <c r="HV508" s="27" t="s">
        <v>7</v>
      </c>
      <c r="HW508" s="27" t="s">
        <v>8</v>
      </c>
      <c r="HX508" s="27" t="s">
        <v>7</v>
      </c>
      <c r="HY508" s="27" t="s">
        <v>8</v>
      </c>
      <c r="HZ508" s="27" t="s">
        <v>7</v>
      </c>
      <c r="ID508" s="27" t="s">
        <v>7</v>
      </c>
      <c r="IE508" s="27" t="s">
        <v>8</v>
      </c>
      <c r="IF508" s="27" t="s">
        <v>7</v>
      </c>
      <c r="II508" s="27" t="s">
        <v>8</v>
      </c>
      <c r="IK508" s="27" t="s">
        <v>8</v>
      </c>
      <c r="IL508" s="27" t="s">
        <v>7</v>
      </c>
      <c r="IM508" s="27" t="s">
        <v>8</v>
      </c>
      <c r="IN508" s="27" t="s">
        <v>7</v>
      </c>
      <c r="IO508" s="27" t="s">
        <v>8</v>
      </c>
      <c r="IZ508" s="27" t="s">
        <v>7</v>
      </c>
      <c r="JA508" s="27" t="s">
        <v>8</v>
      </c>
      <c r="JC508" s="27" t="s">
        <v>8</v>
      </c>
      <c r="JD508" s="27" t="s">
        <v>7</v>
      </c>
      <c r="JE508" s="27" t="s">
        <v>8</v>
      </c>
      <c r="JR508" s="27" t="s">
        <v>7</v>
      </c>
      <c r="JS508" s="27" t="s">
        <v>8</v>
      </c>
      <c r="JT508" s="27" t="s">
        <v>7</v>
      </c>
      <c r="JU508" s="27" t="s">
        <v>8</v>
      </c>
      <c r="JV508" s="27" t="s">
        <v>7</v>
      </c>
      <c r="JW508" s="27" t="s">
        <v>8</v>
      </c>
    </row>
    <row r="509" spans="1:291" x14ac:dyDescent="0.25">
      <c r="A509" s="7">
        <v>4.6861199116651235</v>
      </c>
      <c r="B509"/>
      <c r="C509"/>
      <c r="D509"/>
      <c r="E509"/>
      <c r="G509" s="27" t="s">
        <v>8</v>
      </c>
      <c r="H509" s="27" t="s">
        <v>7</v>
      </c>
      <c r="I509" s="27" t="s">
        <v>8</v>
      </c>
      <c r="J509" s="27" t="s">
        <v>7</v>
      </c>
      <c r="O509" s="27" t="s">
        <v>8</v>
      </c>
      <c r="P509" s="27" t="s">
        <v>7</v>
      </c>
      <c r="Q509" s="27" t="s">
        <v>8</v>
      </c>
      <c r="R509" s="27" t="s">
        <v>7</v>
      </c>
      <c r="S509" s="27" t="s">
        <v>8</v>
      </c>
      <c r="T509" s="27" t="s">
        <v>7</v>
      </c>
      <c r="U509" s="27" t="s">
        <v>8</v>
      </c>
      <c r="W509" s="27" t="s">
        <v>8</v>
      </c>
      <c r="X509" s="27" t="s">
        <v>7</v>
      </c>
      <c r="Y509" s="27" t="s">
        <v>8</v>
      </c>
      <c r="AP509" s="27" t="s">
        <v>7</v>
      </c>
      <c r="DQ509" s="27" t="s">
        <v>8</v>
      </c>
      <c r="DR509" s="27" t="s">
        <v>7</v>
      </c>
      <c r="DY509" s="27" t="s">
        <v>8</v>
      </c>
      <c r="DZ509" s="27" t="s">
        <v>7</v>
      </c>
      <c r="EB509" s="27" t="s">
        <v>7</v>
      </c>
      <c r="EC509" s="27" t="s">
        <v>8</v>
      </c>
      <c r="EG509" s="27" t="s">
        <v>8</v>
      </c>
      <c r="EH509" s="27" t="s">
        <v>7</v>
      </c>
      <c r="EI509" s="27" t="s">
        <v>8</v>
      </c>
      <c r="EJ509" s="27" t="s">
        <v>7</v>
      </c>
      <c r="EK509" s="27" t="s">
        <v>8</v>
      </c>
      <c r="EL509" s="27" t="s">
        <v>7</v>
      </c>
      <c r="EM509" s="27" t="s">
        <v>8</v>
      </c>
      <c r="EO509" s="27" t="s">
        <v>8</v>
      </c>
      <c r="EP509" s="27" t="s">
        <v>7</v>
      </c>
      <c r="HE509" s="27" t="s">
        <v>8</v>
      </c>
      <c r="HV509" s="27" t="s">
        <v>7</v>
      </c>
      <c r="HW509" s="27" t="s">
        <v>8</v>
      </c>
      <c r="HX509" s="27" t="s">
        <v>7</v>
      </c>
      <c r="HY509" s="27" t="s">
        <v>8</v>
      </c>
      <c r="ID509" s="27" t="s">
        <v>7</v>
      </c>
      <c r="IF509" s="27" t="s">
        <v>7</v>
      </c>
      <c r="II509" s="27" t="s">
        <v>8</v>
      </c>
      <c r="IJ509" s="27" t="s">
        <v>7</v>
      </c>
      <c r="IK509" s="27" t="s">
        <v>8</v>
      </c>
      <c r="IL509" s="27" t="s">
        <v>7</v>
      </c>
      <c r="IN509" s="27" t="s">
        <v>7</v>
      </c>
      <c r="IO509" s="27" t="s">
        <v>8</v>
      </c>
      <c r="IZ509" s="27" t="s">
        <v>7</v>
      </c>
      <c r="JA509" s="27" t="s">
        <v>8</v>
      </c>
      <c r="JB509" s="27" t="s">
        <v>7</v>
      </c>
      <c r="JC509" s="27" t="s">
        <v>8</v>
      </c>
      <c r="JD509" s="27" t="s">
        <v>7</v>
      </c>
      <c r="JE509" s="27" t="s">
        <v>8</v>
      </c>
      <c r="JR509" s="27" t="s">
        <v>7</v>
      </c>
      <c r="JS509" s="27" t="s">
        <v>8</v>
      </c>
      <c r="JT509" s="27" t="s">
        <v>7</v>
      </c>
      <c r="JU509" s="27" t="s">
        <v>8</v>
      </c>
      <c r="JV509" s="27" t="s">
        <v>7</v>
      </c>
      <c r="JW509" s="27" t="s">
        <v>8</v>
      </c>
    </row>
    <row r="510" spans="1:291" x14ac:dyDescent="0.25">
      <c r="A510" s="7">
        <v>4.5942352075148269</v>
      </c>
      <c r="B510"/>
      <c r="C510"/>
      <c r="D510"/>
      <c r="E510" t="s">
        <v>8</v>
      </c>
      <c r="G510" s="27" t="s">
        <v>8</v>
      </c>
      <c r="H510" s="27" t="s">
        <v>7</v>
      </c>
      <c r="I510" s="27" t="s">
        <v>8</v>
      </c>
      <c r="J510" s="27" t="s">
        <v>7</v>
      </c>
      <c r="O510" s="27" t="s">
        <v>8</v>
      </c>
      <c r="P510" s="27" t="s">
        <v>7</v>
      </c>
      <c r="Q510" s="27" t="s">
        <v>8</v>
      </c>
      <c r="R510" s="27" t="s">
        <v>7</v>
      </c>
      <c r="S510" s="27" t="s">
        <v>8</v>
      </c>
      <c r="T510" s="27" t="s">
        <v>7</v>
      </c>
      <c r="U510" s="27" t="s">
        <v>8</v>
      </c>
      <c r="V510" s="27" t="s">
        <v>7</v>
      </c>
      <c r="W510" s="27" t="s">
        <v>8</v>
      </c>
      <c r="X510" s="27" t="s">
        <v>7</v>
      </c>
      <c r="Y510" s="27" t="s">
        <v>8</v>
      </c>
      <c r="AP510" s="27" t="s">
        <v>7</v>
      </c>
      <c r="AQ510" s="27" t="s">
        <v>8</v>
      </c>
      <c r="DI510" s="27" t="s">
        <v>8</v>
      </c>
      <c r="DQ510" s="27" t="s">
        <v>8</v>
      </c>
      <c r="DR510" s="27" t="s">
        <v>7</v>
      </c>
      <c r="DY510" s="27" t="s">
        <v>8</v>
      </c>
      <c r="EB510" s="27" t="s">
        <v>7</v>
      </c>
      <c r="EC510" s="27" t="s">
        <v>8</v>
      </c>
      <c r="ED510" s="27" t="s">
        <v>7</v>
      </c>
      <c r="EE510" s="27" t="s">
        <v>8</v>
      </c>
      <c r="EG510" s="27" t="s">
        <v>8</v>
      </c>
      <c r="EH510" s="27" t="s">
        <v>7</v>
      </c>
      <c r="EI510" s="27" t="s">
        <v>8</v>
      </c>
      <c r="EJ510" s="27" t="s">
        <v>7</v>
      </c>
      <c r="EK510" s="27" t="s">
        <v>8</v>
      </c>
      <c r="EL510" s="27" t="s">
        <v>7</v>
      </c>
      <c r="EM510" s="27" t="s">
        <v>8</v>
      </c>
      <c r="EN510" s="27" t="s">
        <v>7</v>
      </c>
      <c r="EO510" s="27" t="s">
        <v>8</v>
      </c>
      <c r="EP510" s="27" t="s">
        <v>7</v>
      </c>
      <c r="HE510" s="27" t="s">
        <v>8</v>
      </c>
      <c r="HV510" s="27" t="s">
        <v>7</v>
      </c>
      <c r="HW510" s="27" t="s">
        <v>8</v>
      </c>
      <c r="HX510" s="27" t="s">
        <v>7</v>
      </c>
      <c r="HY510" s="27" t="s">
        <v>8</v>
      </c>
      <c r="IF510" s="27" t="s">
        <v>7</v>
      </c>
      <c r="II510" s="27" t="s">
        <v>8</v>
      </c>
      <c r="IJ510" s="27" t="s">
        <v>7</v>
      </c>
      <c r="IK510" s="27" t="s">
        <v>8</v>
      </c>
      <c r="IN510" s="27" t="s">
        <v>7</v>
      </c>
      <c r="IZ510" s="27" t="s">
        <v>7</v>
      </c>
      <c r="JA510" s="27" t="s">
        <v>8</v>
      </c>
      <c r="JB510" s="27" t="s">
        <v>7</v>
      </c>
      <c r="JC510" s="27" t="s">
        <v>8</v>
      </c>
      <c r="JD510" s="27" t="s">
        <v>7</v>
      </c>
      <c r="JR510" s="27" t="s">
        <v>7</v>
      </c>
      <c r="JS510" s="27" t="s">
        <v>8</v>
      </c>
      <c r="JT510" s="27" t="s">
        <v>7</v>
      </c>
      <c r="JU510" s="27" t="s">
        <v>8</v>
      </c>
      <c r="JV510" s="27" t="s">
        <v>7</v>
      </c>
    </row>
    <row r="511" spans="1:291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  <c r="J511" s="27" t="s">
        <v>7</v>
      </c>
      <c r="O511" s="27" t="s">
        <v>8</v>
      </c>
      <c r="P511" s="27" t="s">
        <v>7</v>
      </c>
      <c r="Q511" s="27" t="s">
        <v>8</v>
      </c>
      <c r="R511" s="27" t="s">
        <v>7</v>
      </c>
      <c r="T511" s="27" t="s">
        <v>7</v>
      </c>
      <c r="U511" s="27" t="s">
        <v>8</v>
      </c>
      <c r="V511" s="27" t="s">
        <v>7</v>
      </c>
      <c r="W511" s="27" t="s">
        <v>8</v>
      </c>
      <c r="X511" s="27" t="s">
        <v>7</v>
      </c>
      <c r="AP511" s="27" t="s">
        <v>7</v>
      </c>
      <c r="AQ511" s="27" t="s">
        <v>8</v>
      </c>
      <c r="AR511" s="27" t="s">
        <v>7</v>
      </c>
      <c r="DI511" s="27" t="s">
        <v>8</v>
      </c>
      <c r="DJ511" s="27" t="s">
        <v>7</v>
      </c>
      <c r="DK511" s="27" t="s">
        <v>8</v>
      </c>
      <c r="DQ511" s="27" t="s">
        <v>8</v>
      </c>
      <c r="DR511" s="27" t="s">
        <v>7</v>
      </c>
      <c r="DY511" s="27" t="s">
        <v>8</v>
      </c>
      <c r="EB511" s="27" t="s">
        <v>7</v>
      </c>
      <c r="EC511" s="27" t="s">
        <v>8</v>
      </c>
      <c r="ED511" s="27" t="s">
        <v>7</v>
      </c>
      <c r="EE511" s="27" t="s">
        <v>8</v>
      </c>
      <c r="EF511" s="27" t="s">
        <v>7</v>
      </c>
      <c r="EG511" s="27" t="s">
        <v>8</v>
      </c>
      <c r="EH511" s="27" t="s">
        <v>7</v>
      </c>
      <c r="EJ511" s="27" t="s">
        <v>7</v>
      </c>
      <c r="EL511" s="27" t="s">
        <v>7</v>
      </c>
      <c r="EM511" s="27" t="s">
        <v>8</v>
      </c>
      <c r="EN511" s="27" t="s">
        <v>7</v>
      </c>
      <c r="EO511" s="27" t="s">
        <v>8</v>
      </c>
      <c r="EP511" s="27" t="s">
        <v>7</v>
      </c>
      <c r="GU511" s="27" t="s">
        <v>8</v>
      </c>
      <c r="HE511" s="27" t="s">
        <v>8</v>
      </c>
      <c r="HV511" s="27" t="s">
        <v>7</v>
      </c>
      <c r="HX511" s="27" t="s">
        <v>7</v>
      </c>
      <c r="IF511" s="27" t="s">
        <v>7</v>
      </c>
      <c r="II511" s="27" t="s">
        <v>8</v>
      </c>
      <c r="IJ511" s="27" t="s">
        <v>7</v>
      </c>
      <c r="IZ511" s="27" t="s">
        <v>7</v>
      </c>
      <c r="JA511" s="27" t="s">
        <v>8</v>
      </c>
      <c r="JB511" s="27" t="s">
        <v>7</v>
      </c>
      <c r="JC511" s="27" t="s">
        <v>8</v>
      </c>
      <c r="JR511" s="27" t="s">
        <v>7</v>
      </c>
      <c r="JT511" s="27" t="s">
        <v>7</v>
      </c>
      <c r="JU511" s="27" t="s">
        <v>8</v>
      </c>
    </row>
    <row r="512" spans="1:291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J512" s="27" t="s">
        <v>7</v>
      </c>
      <c r="O512" s="27" t="s">
        <v>8</v>
      </c>
      <c r="P512" s="27" t="s">
        <v>7</v>
      </c>
      <c r="Q512" s="27" t="s">
        <v>8</v>
      </c>
      <c r="T512" s="27" t="s">
        <v>7</v>
      </c>
      <c r="U512" s="27" t="s">
        <v>8</v>
      </c>
      <c r="V512" s="27" t="s">
        <v>7</v>
      </c>
      <c r="W512" s="27" t="s">
        <v>8</v>
      </c>
      <c r="AP512" s="27" t="s">
        <v>7</v>
      </c>
      <c r="AQ512" s="27" t="s">
        <v>8</v>
      </c>
      <c r="AR512" s="27" t="s">
        <v>7</v>
      </c>
      <c r="DI512" s="27" t="s">
        <v>8</v>
      </c>
      <c r="DJ512" s="27" t="s">
        <v>7</v>
      </c>
      <c r="DK512" s="27" t="s">
        <v>8</v>
      </c>
      <c r="DL512" s="27" t="s">
        <v>7</v>
      </c>
      <c r="DO512" s="27" t="s">
        <v>8</v>
      </c>
      <c r="DQ512" s="27" t="s">
        <v>8</v>
      </c>
      <c r="DR512" s="27" t="s">
        <v>7</v>
      </c>
      <c r="DS512" s="27" t="s">
        <v>8</v>
      </c>
      <c r="DW512" s="27" t="s">
        <v>8</v>
      </c>
      <c r="DY512" s="27" t="s">
        <v>8</v>
      </c>
      <c r="EB512" s="27" t="s">
        <v>7</v>
      </c>
      <c r="ED512" s="27" t="s">
        <v>7</v>
      </c>
      <c r="EE512" s="27" t="s">
        <v>8</v>
      </c>
      <c r="EF512" s="27" t="s">
        <v>7</v>
      </c>
      <c r="EG512" s="27" t="s">
        <v>8</v>
      </c>
      <c r="EL512" s="27" t="s">
        <v>7</v>
      </c>
      <c r="EM512" s="27" t="s">
        <v>8</v>
      </c>
      <c r="EN512" s="27" t="s">
        <v>7</v>
      </c>
      <c r="EO512" s="27" t="s">
        <v>8</v>
      </c>
      <c r="EP512" s="27" t="s">
        <v>7</v>
      </c>
      <c r="GQ512" s="27" t="s">
        <v>8</v>
      </c>
      <c r="GU512" s="27" t="s">
        <v>8</v>
      </c>
      <c r="GV512" s="27" t="s">
        <v>7</v>
      </c>
      <c r="HE512" s="27" t="s">
        <v>8</v>
      </c>
      <c r="IF512" s="27" t="s">
        <v>7</v>
      </c>
      <c r="II512" s="27" t="s">
        <v>8</v>
      </c>
      <c r="IZ512" s="27" t="s">
        <v>7</v>
      </c>
      <c r="JB512" s="27" t="s">
        <v>7</v>
      </c>
      <c r="JC512" s="27" t="s">
        <v>8</v>
      </c>
      <c r="JT512" s="27" t="s">
        <v>7</v>
      </c>
      <c r="JU512" s="27" t="s">
        <v>8</v>
      </c>
    </row>
    <row r="513" spans="1:281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J513" s="27" t="s">
        <v>7</v>
      </c>
      <c r="O513" s="27" t="s">
        <v>8</v>
      </c>
      <c r="P513" s="27" t="s">
        <v>7</v>
      </c>
      <c r="Q513" s="27" t="s">
        <v>8</v>
      </c>
      <c r="T513" s="27" t="s">
        <v>7</v>
      </c>
      <c r="U513" s="27" t="s">
        <v>8</v>
      </c>
      <c r="V513" s="27" t="s">
        <v>7</v>
      </c>
      <c r="W513" s="27" t="s">
        <v>8</v>
      </c>
      <c r="AP513" s="27" t="s">
        <v>7</v>
      </c>
      <c r="AQ513" s="27" t="s">
        <v>8</v>
      </c>
      <c r="AR513" s="27" t="s">
        <v>7</v>
      </c>
      <c r="AU513" s="27" t="s">
        <v>8</v>
      </c>
      <c r="CQ513" s="27" t="s">
        <v>8</v>
      </c>
      <c r="DI513" s="27" t="s">
        <v>8</v>
      </c>
      <c r="DJ513" s="27" t="s">
        <v>7</v>
      </c>
      <c r="DK513" s="27" t="s">
        <v>8</v>
      </c>
      <c r="DL513" s="27" t="s">
        <v>7</v>
      </c>
      <c r="DM513" s="27" t="s">
        <v>8</v>
      </c>
      <c r="DO513" s="27" t="s">
        <v>8</v>
      </c>
      <c r="DP513" s="27" t="s">
        <v>7</v>
      </c>
      <c r="DQ513" s="27" t="s">
        <v>8</v>
      </c>
      <c r="DR513" s="27" t="s">
        <v>7</v>
      </c>
      <c r="DS513" s="27" t="s">
        <v>8</v>
      </c>
      <c r="DT513" s="27" t="s">
        <v>7</v>
      </c>
      <c r="DU513" s="27" t="s">
        <v>8</v>
      </c>
      <c r="DW513" s="27" t="s">
        <v>8</v>
      </c>
      <c r="DX513" s="27" t="s">
        <v>7</v>
      </c>
      <c r="DY513" s="27" t="s">
        <v>8</v>
      </c>
      <c r="ED513" s="27" t="s">
        <v>7</v>
      </c>
      <c r="EF513" s="27" t="s">
        <v>7</v>
      </c>
      <c r="EG513" s="27" t="s">
        <v>8</v>
      </c>
      <c r="EL513" s="27" t="s">
        <v>7</v>
      </c>
      <c r="EM513" s="27" t="s">
        <v>8</v>
      </c>
      <c r="EN513" s="27" t="s">
        <v>7</v>
      </c>
      <c r="EO513" s="27" t="s">
        <v>8</v>
      </c>
      <c r="EP513" s="27" t="s">
        <v>7</v>
      </c>
      <c r="GQ513" s="27" t="s">
        <v>8</v>
      </c>
      <c r="GR513" s="27" t="s">
        <v>7</v>
      </c>
      <c r="GU513" s="27" t="s">
        <v>8</v>
      </c>
      <c r="GV513" s="27" t="s">
        <v>7</v>
      </c>
      <c r="HE513" s="27" t="s">
        <v>8</v>
      </c>
      <c r="IF513" s="27" t="s">
        <v>7</v>
      </c>
      <c r="II513" s="27" t="s">
        <v>8</v>
      </c>
      <c r="JB513" s="27" t="s">
        <v>7</v>
      </c>
      <c r="JC513" s="27" t="s">
        <v>8</v>
      </c>
      <c r="JT513" s="27" t="s">
        <v>7</v>
      </c>
      <c r="JU513" s="27" t="s">
        <v>8</v>
      </c>
    </row>
    <row r="514" spans="1:281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J514" s="27" t="s">
        <v>7</v>
      </c>
      <c r="O514" s="27" t="s">
        <v>8</v>
      </c>
      <c r="P514" s="27" t="s">
        <v>7</v>
      </c>
      <c r="Q514" s="27" t="s">
        <v>8</v>
      </c>
      <c r="T514" s="27" t="s">
        <v>7</v>
      </c>
      <c r="U514" s="27" t="s">
        <v>8</v>
      </c>
      <c r="V514" s="27" t="s">
        <v>7</v>
      </c>
      <c r="AP514" s="27" t="s">
        <v>7</v>
      </c>
      <c r="AQ514" s="27" t="s">
        <v>8</v>
      </c>
      <c r="AR514" s="27" t="s">
        <v>7</v>
      </c>
      <c r="AU514" s="27" t="s">
        <v>8</v>
      </c>
      <c r="AV514" s="27" t="s">
        <v>7</v>
      </c>
      <c r="CQ514" s="27" t="s">
        <v>8</v>
      </c>
      <c r="CR514" s="27" t="s">
        <v>7</v>
      </c>
      <c r="DG514" s="27" t="s">
        <v>8</v>
      </c>
      <c r="DI514" s="27" t="s">
        <v>8</v>
      </c>
      <c r="DJ514" s="27" t="s">
        <v>7</v>
      </c>
      <c r="DK514" s="27" t="s">
        <v>8</v>
      </c>
      <c r="DL514" s="27" t="s">
        <v>7</v>
      </c>
      <c r="DM514" s="27" t="s">
        <v>8</v>
      </c>
      <c r="DN514" s="27" t="s">
        <v>7</v>
      </c>
      <c r="DO514" s="27" t="s">
        <v>8</v>
      </c>
      <c r="DP514" s="27" t="s">
        <v>7</v>
      </c>
      <c r="DQ514" s="27" t="s">
        <v>8</v>
      </c>
      <c r="DR514" s="27" t="s">
        <v>7</v>
      </c>
      <c r="DS514" s="27" t="s">
        <v>8</v>
      </c>
      <c r="DT514" s="27" t="s">
        <v>7</v>
      </c>
      <c r="DU514" s="27" t="s">
        <v>8</v>
      </c>
      <c r="DV514" s="27" t="s">
        <v>7</v>
      </c>
      <c r="DW514" s="27" t="s">
        <v>8</v>
      </c>
      <c r="DX514" s="27" t="s">
        <v>7</v>
      </c>
      <c r="DY514" s="27" t="s">
        <v>8</v>
      </c>
      <c r="EF514" s="27" t="s">
        <v>7</v>
      </c>
      <c r="EG514" s="27" t="s">
        <v>8</v>
      </c>
      <c r="EL514" s="27" t="s">
        <v>7</v>
      </c>
      <c r="EM514" s="27" t="s">
        <v>8</v>
      </c>
      <c r="EN514" s="27" t="s">
        <v>7</v>
      </c>
      <c r="EO514" s="27" t="s">
        <v>8</v>
      </c>
      <c r="EP514" s="27" t="s">
        <v>7</v>
      </c>
      <c r="GQ514" s="27" t="s">
        <v>8</v>
      </c>
      <c r="GR514" s="27" t="s">
        <v>7</v>
      </c>
      <c r="GS514" s="27" t="s">
        <v>8</v>
      </c>
      <c r="GU514" s="27" t="s">
        <v>8</v>
      </c>
      <c r="GV514" s="27" t="s">
        <v>7</v>
      </c>
      <c r="HC514" s="27" t="s">
        <v>8</v>
      </c>
      <c r="HE514" s="27" t="s">
        <v>8</v>
      </c>
      <c r="IF514" s="27" t="s">
        <v>7</v>
      </c>
      <c r="IG514" s="27" t="s">
        <v>8</v>
      </c>
      <c r="II514" s="27" t="s">
        <v>8</v>
      </c>
      <c r="JB514" s="27" t="s">
        <v>7</v>
      </c>
      <c r="JT514" s="27" t="s">
        <v>7</v>
      </c>
    </row>
    <row r="515" spans="1:281" x14ac:dyDescent="0.25">
      <c r="A515" s="7">
        <v>4.1611403750515157</v>
      </c>
      <c r="B515"/>
      <c r="C515"/>
      <c r="D515"/>
      <c r="E515" t="s">
        <v>8</v>
      </c>
      <c r="J515" s="27" t="s">
        <v>7</v>
      </c>
      <c r="K515" s="27" t="s">
        <v>8</v>
      </c>
      <c r="M515" s="27" t="s">
        <v>8</v>
      </c>
      <c r="O515" s="27" t="s">
        <v>8</v>
      </c>
      <c r="P515" s="27" t="s">
        <v>7</v>
      </c>
      <c r="Q515" s="27" t="s">
        <v>8</v>
      </c>
      <c r="T515" s="27" t="s">
        <v>7</v>
      </c>
      <c r="AP515" s="27" t="s">
        <v>7</v>
      </c>
      <c r="AQ515" s="27" t="s">
        <v>8</v>
      </c>
      <c r="AR515" s="27" t="s">
        <v>7</v>
      </c>
      <c r="AS515" s="27" t="s">
        <v>8</v>
      </c>
      <c r="AU515" s="27" t="s">
        <v>8</v>
      </c>
      <c r="AV515" s="27" t="s">
        <v>7</v>
      </c>
      <c r="CQ515" s="27" t="s">
        <v>8</v>
      </c>
      <c r="CR515" s="27" t="s">
        <v>7</v>
      </c>
      <c r="DG515" s="27" t="s">
        <v>8</v>
      </c>
      <c r="DH515" s="27" t="s">
        <v>7</v>
      </c>
      <c r="DI515" s="27" t="s">
        <v>8</v>
      </c>
      <c r="DJ515" s="27" t="s">
        <v>7</v>
      </c>
      <c r="DK515" s="27" t="s">
        <v>8</v>
      </c>
      <c r="DL515" s="27" t="s">
        <v>7</v>
      </c>
      <c r="DM515" s="27" t="s">
        <v>8</v>
      </c>
      <c r="DN515" s="27" t="s">
        <v>7</v>
      </c>
      <c r="DO515" s="27" t="s">
        <v>8</v>
      </c>
      <c r="DP515" s="27" t="s">
        <v>7</v>
      </c>
      <c r="DR515" s="27" t="s">
        <v>7</v>
      </c>
      <c r="DT515" s="27" t="s">
        <v>7</v>
      </c>
      <c r="DU515" s="27" t="s">
        <v>8</v>
      </c>
      <c r="DV515" s="27" t="s">
        <v>7</v>
      </c>
      <c r="DW515" s="27" t="s">
        <v>8</v>
      </c>
      <c r="DX515" s="27" t="s">
        <v>7</v>
      </c>
      <c r="EF515" s="27" t="s">
        <v>7</v>
      </c>
      <c r="EG515" s="27" t="s">
        <v>8</v>
      </c>
      <c r="EL515" s="27" t="s">
        <v>7</v>
      </c>
      <c r="EM515" s="27" t="s">
        <v>8</v>
      </c>
      <c r="EN515" s="27" t="s">
        <v>7</v>
      </c>
      <c r="EP515" s="27" t="s">
        <v>7</v>
      </c>
      <c r="GQ515" s="27" t="s">
        <v>8</v>
      </c>
      <c r="GR515" s="27" t="s">
        <v>7</v>
      </c>
      <c r="GS515" s="27" t="s">
        <v>8</v>
      </c>
      <c r="GT515" s="27" t="s">
        <v>7</v>
      </c>
      <c r="GU515" s="27" t="s">
        <v>8</v>
      </c>
      <c r="GV515" s="27" t="s">
        <v>7</v>
      </c>
      <c r="HA515" s="27" t="s">
        <v>8</v>
      </c>
      <c r="HC515" s="27" t="s">
        <v>8</v>
      </c>
      <c r="HD515" s="27" t="s">
        <v>7</v>
      </c>
      <c r="HE515" s="27" t="s">
        <v>8</v>
      </c>
      <c r="IF515" s="27" t="s">
        <v>7</v>
      </c>
      <c r="IG515" s="27" t="s">
        <v>8</v>
      </c>
      <c r="IH515" s="27" t="s">
        <v>7</v>
      </c>
      <c r="II515" s="27" t="s">
        <v>8</v>
      </c>
    </row>
    <row r="516" spans="1:281" x14ac:dyDescent="0.25">
      <c r="A516" s="7">
        <v>4.0795493873054074</v>
      </c>
      <c r="B516"/>
      <c r="C516"/>
      <c r="D516"/>
      <c r="E516" t="s">
        <v>8</v>
      </c>
      <c r="J516" s="27" t="s">
        <v>7</v>
      </c>
      <c r="K516" s="27" t="s">
        <v>8</v>
      </c>
      <c r="L516" s="27" t="s">
        <v>7</v>
      </c>
      <c r="M516" s="27" t="s">
        <v>8</v>
      </c>
      <c r="N516" s="27" t="s">
        <v>7</v>
      </c>
      <c r="O516" s="27" t="s">
        <v>8</v>
      </c>
      <c r="P516" s="27" t="s">
        <v>7</v>
      </c>
      <c r="Q516" s="27" t="s">
        <v>8</v>
      </c>
      <c r="AP516" s="27" t="s">
        <v>7</v>
      </c>
      <c r="AR516" s="27" t="s">
        <v>7</v>
      </c>
      <c r="AS516" s="27" t="s">
        <v>8</v>
      </c>
      <c r="AT516" s="27" t="s">
        <v>7</v>
      </c>
      <c r="AU516" s="27" t="s">
        <v>8</v>
      </c>
      <c r="AV516" s="27" t="s">
        <v>7</v>
      </c>
      <c r="CQ516" s="27" t="s">
        <v>8</v>
      </c>
      <c r="CR516" s="27" t="s">
        <v>7</v>
      </c>
      <c r="CS516" s="27" t="s">
        <v>8</v>
      </c>
      <c r="DA516" s="27" t="s">
        <v>8</v>
      </c>
      <c r="DG516" s="27" t="s">
        <v>8</v>
      </c>
      <c r="DH516" s="27" t="s">
        <v>7</v>
      </c>
      <c r="DI516" s="27" t="s">
        <v>8</v>
      </c>
      <c r="DJ516" s="27" t="s">
        <v>7</v>
      </c>
      <c r="DK516" s="27" t="s">
        <v>8</v>
      </c>
      <c r="DL516" s="27" t="s">
        <v>7</v>
      </c>
      <c r="DN516" s="27" t="s">
        <v>7</v>
      </c>
      <c r="DT516" s="27" t="s">
        <v>7</v>
      </c>
      <c r="DU516" s="27" t="s">
        <v>8</v>
      </c>
      <c r="DV516" s="27" t="s">
        <v>7</v>
      </c>
      <c r="DW516" s="27" t="s">
        <v>8</v>
      </c>
      <c r="EF516" s="27" t="s">
        <v>7</v>
      </c>
      <c r="EL516" s="27" t="s">
        <v>7</v>
      </c>
      <c r="EM516" s="27" t="s">
        <v>8</v>
      </c>
      <c r="EP516" s="27" t="s">
        <v>7</v>
      </c>
      <c r="GQ516" s="27" t="s">
        <v>8</v>
      </c>
      <c r="GR516" s="27" t="s">
        <v>7</v>
      </c>
      <c r="GS516" s="27" t="s">
        <v>8</v>
      </c>
      <c r="GT516" s="27" t="s">
        <v>7</v>
      </c>
      <c r="GU516" s="27" t="s">
        <v>8</v>
      </c>
      <c r="GV516" s="27" t="s">
        <v>7</v>
      </c>
      <c r="GW516" s="27" t="s">
        <v>8</v>
      </c>
      <c r="HA516" s="27" t="s">
        <v>8</v>
      </c>
      <c r="HB516" s="27" t="s">
        <v>7</v>
      </c>
      <c r="HC516" s="27" t="s">
        <v>8</v>
      </c>
      <c r="HD516" s="27" t="s">
        <v>7</v>
      </c>
      <c r="HE516" s="27" t="s">
        <v>8</v>
      </c>
      <c r="IF516" s="27" t="s">
        <v>7</v>
      </c>
      <c r="IG516" s="27" t="s">
        <v>8</v>
      </c>
      <c r="IH516" s="27" t="s">
        <v>7</v>
      </c>
      <c r="II516" s="27" t="s">
        <v>8</v>
      </c>
    </row>
    <row r="517" spans="1:281" x14ac:dyDescent="0.25">
      <c r="A517" s="7">
        <v>3.9995582228484383</v>
      </c>
      <c r="B517"/>
      <c r="C517"/>
      <c r="D517"/>
      <c r="E517" t="s">
        <v>8</v>
      </c>
      <c r="J517" s="27" t="s">
        <v>7</v>
      </c>
      <c r="K517" s="27" t="s">
        <v>8</v>
      </c>
      <c r="L517" s="27" t="s">
        <v>7</v>
      </c>
      <c r="M517" s="27" t="s">
        <v>8</v>
      </c>
      <c r="N517" s="27" t="s">
        <v>7</v>
      </c>
      <c r="O517" s="27" t="s">
        <v>8</v>
      </c>
      <c r="P517" s="27" t="s">
        <v>7</v>
      </c>
      <c r="AR517" s="27" t="s">
        <v>7</v>
      </c>
      <c r="AS517" s="27" t="s">
        <v>8</v>
      </c>
      <c r="AT517" s="27" t="s">
        <v>7</v>
      </c>
      <c r="AU517" s="27" t="s">
        <v>8</v>
      </c>
      <c r="AV517" s="27" t="s">
        <v>7</v>
      </c>
      <c r="AW517" s="27" t="s">
        <v>8</v>
      </c>
      <c r="CQ517" s="27" t="s">
        <v>8</v>
      </c>
      <c r="CR517" s="27" t="s">
        <v>7</v>
      </c>
      <c r="CS517" s="27" t="s">
        <v>8</v>
      </c>
      <c r="CT517" s="27" t="s">
        <v>7</v>
      </c>
      <c r="DA517" s="27" t="s">
        <v>8</v>
      </c>
      <c r="DB517" s="27" t="s">
        <v>7</v>
      </c>
      <c r="DG517" s="27" t="s">
        <v>8</v>
      </c>
      <c r="DH517" s="27" t="s">
        <v>7</v>
      </c>
      <c r="DJ517" s="27" t="s">
        <v>7</v>
      </c>
      <c r="DK517" s="27" t="s">
        <v>8</v>
      </c>
      <c r="DT517" s="27" t="s">
        <v>7</v>
      </c>
      <c r="DV517" s="27" t="s">
        <v>7</v>
      </c>
      <c r="EL517" s="27" t="s">
        <v>7</v>
      </c>
      <c r="EM517" s="27" t="s">
        <v>8</v>
      </c>
      <c r="EP517" s="27" t="s">
        <v>7</v>
      </c>
      <c r="GQ517" s="27" t="s">
        <v>8</v>
      </c>
      <c r="GR517" s="27" t="s">
        <v>7</v>
      </c>
      <c r="GS517" s="27" t="s">
        <v>8</v>
      </c>
      <c r="GT517" s="27" t="s">
        <v>7</v>
      </c>
      <c r="GV517" s="27" t="s">
        <v>7</v>
      </c>
      <c r="GW517" s="27" t="s">
        <v>8</v>
      </c>
      <c r="GX517" s="27" t="s">
        <v>7</v>
      </c>
      <c r="HA517" s="27" t="s">
        <v>8</v>
      </c>
      <c r="HB517" s="27" t="s">
        <v>7</v>
      </c>
      <c r="HC517" s="27" t="s">
        <v>8</v>
      </c>
      <c r="HD517" s="27" t="s">
        <v>7</v>
      </c>
      <c r="HE517" s="27" t="s">
        <v>8</v>
      </c>
      <c r="IF517" s="27" t="s">
        <v>7</v>
      </c>
      <c r="IH517" s="27" t="s">
        <v>7</v>
      </c>
      <c r="II517" s="27" t="s">
        <v>8</v>
      </c>
    </row>
    <row r="518" spans="1:281" x14ac:dyDescent="0.25">
      <c r="A518" s="7">
        <v>3.9211355125965079</v>
      </c>
      <c r="B518"/>
      <c r="C518"/>
      <c r="D518"/>
      <c r="E518" t="s">
        <v>8</v>
      </c>
      <c r="J518" s="27" t="s">
        <v>7</v>
      </c>
      <c r="K518" s="27" t="s">
        <v>8</v>
      </c>
      <c r="L518" s="27" t="s">
        <v>7</v>
      </c>
      <c r="M518" s="27" t="s">
        <v>8</v>
      </c>
      <c r="N518" s="27" t="s">
        <v>7</v>
      </c>
      <c r="O518" s="27" t="s">
        <v>8</v>
      </c>
      <c r="AR518" s="27" t="s">
        <v>7</v>
      </c>
      <c r="AS518" s="27" t="s">
        <v>8</v>
      </c>
      <c r="AT518" s="27" t="s">
        <v>7</v>
      </c>
      <c r="AU518" s="27" t="s">
        <v>8</v>
      </c>
      <c r="AV518" s="27" t="s">
        <v>7</v>
      </c>
      <c r="AW518" s="27" t="s">
        <v>8</v>
      </c>
      <c r="AX518" s="27" t="s">
        <v>7</v>
      </c>
      <c r="CQ518" s="27" t="s">
        <v>8</v>
      </c>
      <c r="CR518" s="27" t="s">
        <v>7</v>
      </c>
      <c r="CS518" s="27" t="s">
        <v>8</v>
      </c>
      <c r="CT518" s="27" t="s">
        <v>7</v>
      </c>
      <c r="DA518" s="27" t="s">
        <v>8</v>
      </c>
      <c r="DB518" s="27" t="s">
        <v>7</v>
      </c>
      <c r="DE518" s="27" t="s">
        <v>8</v>
      </c>
      <c r="DG518" s="27" t="s">
        <v>8</v>
      </c>
      <c r="DJ518" s="27" t="s">
        <v>7</v>
      </c>
      <c r="DK518" s="27" t="s">
        <v>8</v>
      </c>
      <c r="EL518" s="27" t="s">
        <v>7</v>
      </c>
      <c r="EP518" s="27" t="s">
        <v>7</v>
      </c>
      <c r="EU518" s="27" t="s">
        <v>8</v>
      </c>
      <c r="GQ518" s="27" t="s">
        <v>8</v>
      </c>
      <c r="GR518" s="27" t="s">
        <v>7</v>
      </c>
      <c r="GS518" s="27" t="s">
        <v>8</v>
      </c>
      <c r="GV518" s="27" t="s">
        <v>7</v>
      </c>
      <c r="GW518" s="27" t="s">
        <v>8</v>
      </c>
      <c r="GX518" s="27" t="s">
        <v>7</v>
      </c>
      <c r="HA518" s="27" t="s">
        <v>8</v>
      </c>
      <c r="HB518" s="27" t="s">
        <v>7</v>
      </c>
      <c r="HC518" s="27" t="s">
        <v>8</v>
      </c>
      <c r="HD518" s="27" t="s">
        <v>7</v>
      </c>
      <c r="IH518" s="27" t="s">
        <v>7</v>
      </c>
      <c r="II518" s="27" t="s">
        <v>8</v>
      </c>
    </row>
    <row r="519" spans="1:281" x14ac:dyDescent="0.25">
      <c r="A519" s="7">
        <v>3.844250502545596</v>
      </c>
      <c r="B519"/>
      <c r="C519"/>
      <c r="D519"/>
      <c r="E519" t="s">
        <v>8</v>
      </c>
      <c r="J519" s="27" t="s">
        <v>7</v>
      </c>
      <c r="K519" s="27" t="s">
        <v>8</v>
      </c>
      <c r="L519" s="27" t="s">
        <v>7</v>
      </c>
      <c r="M519" s="27" t="s">
        <v>8</v>
      </c>
      <c r="N519" s="27" t="s">
        <v>7</v>
      </c>
      <c r="AR519" s="27" t="s">
        <v>7</v>
      </c>
      <c r="AS519" s="27" t="s">
        <v>8</v>
      </c>
      <c r="AT519" s="27" t="s">
        <v>7</v>
      </c>
      <c r="AV519" s="27" t="s">
        <v>7</v>
      </c>
      <c r="AW519" s="27" t="s">
        <v>8</v>
      </c>
      <c r="AX519" s="27" t="s">
        <v>7</v>
      </c>
      <c r="AY519" s="27" t="s">
        <v>8</v>
      </c>
      <c r="BA519" s="27" t="s">
        <v>8</v>
      </c>
      <c r="CQ519" s="27" t="s">
        <v>8</v>
      </c>
      <c r="CR519" s="27" t="s">
        <v>7</v>
      </c>
      <c r="CT519" s="27" t="s">
        <v>7</v>
      </c>
      <c r="DA519" s="27" t="s">
        <v>8</v>
      </c>
      <c r="DB519" s="27" t="s">
        <v>7</v>
      </c>
      <c r="DC519" s="27" t="s">
        <v>8</v>
      </c>
      <c r="DE519" s="27" t="s">
        <v>8</v>
      </c>
      <c r="DF519" s="27" t="s">
        <v>7</v>
      </c>
      <c r="DG519" s="27" t="s">
        <v>8</v>
      </c>
      <c r="DJ519" s="27" t="s">
        <v>7</v>
      </c>
      <c r="DK519" s="27" t="s">
        <v>8</v>
      </c>
      <c r="EP519" s="27" t="s">
        <v>7</v>
      </c>
      <c r="EU519" s="27" t="s">
        <v>8</v>
      </c>
      <c r="EV519" s="27" t="s">
        <v>7</v>
      </c>
      <c r="GQ519" s="27" t="s">
        <v>8</v>
      </c>
      <c r="GR519" s="27" t="s">
        <v>7</v>
      </c>
      <c r="GS519" s="27" t="s">
        <v>8</v>
      </c>
      <c r="GV519" s="27" t="s">
        <v>7</v>
      </c>
      <c r="GX519" s="27" t="s">
        <v>7</v>
      </c>
      <c r="GY519" s="27" t="s">
        <v>8</v>
      </c>
      <c r="HA519" s="27" t="s">
        <v>8</v>
      </c>
      <c r="HB519" s="27" t="s">
        <v>7</v>
      </c>
      <c r="IH519" s="27" t="s">
        <v>7</v>
      </c>
    </row>
    <row r="520" spans="1:281" x14ac:dyDescent="0.25">
      <c r="A520" s="7">
        <v>3.7688730417113687</v>
      </c>
      <c r="B520"/>
      <c r="C520"/>
      <c r="D520"/>
      <c r="E520" t="s">
        <v>8</v>
      </c>
      <c r="J520" s="27" t="s">
        <v>7</v>
      </c>
      <c r="K520" s="27" t="s">
        <v>8</v>
      </c>
      <c r="L520" s="27" t="s">
        <v>7</v>
      </c>
      <c r="M520" s="27" t="s">
        <v>8</v>
      </c>
      <c r="AR520" s="27" t="s">
        <v>7</v>
      </c>
      <c r="AS520" s="27" t="s">
        <v>8</v>
      </c>
      <c r="AV520" s="27" t="s">
        <v>7</v>
      </c>
      <c r="AW520" s="27" t="s">
        <v>8</v>
      </c>
      <c r="AX520" s="27" t="s">
        <v>7</v>
      </c>
      <c r="AY520" s="27" t="s">
        <v>8</v>
      </c>
      <c r="AZ520" s="27" t="s">
        <v>7</v>
      </c>
      <c r="BA520" s="27" t="s">
        <v>8</v>
      </c>
      <c r="BB520" s="27" t="s">
        <v>7</v>
      </c>
      <c r="CQ520" s="27" t="s">
        <v>8</v>
      </c>
      <c r="CT520" s="27" t="s">
        <v>7</v>
      </c>
      <c r="CY520" s="27" t="s">
        <v>8</v>
      </c>
      <c r="DA520" s="27" t="s">
        <v>8</v>
      </c>
      <c r="DB520" s="27" t="s">
        <v>7</v>
      </c>
      <c r="DC520" s="27" t="s">
        <v>8</v>
      </c>
      <c r="DD520" s="27" t="s">
        <v>7</v>
      </c>
      <c r="DE520" s="27" t="s">
        <v>8</v>
      </c>
      <c r="DF520" s="27" t="s">
        <v>7</v>
      </c>
      <c r="DG520" s="27" t="s">
        <v>8</v>
      </c>
      <c r="DJ520" s="27" t="s">
        <v>7</v>
      </c>
      <c r="DK520" s="27" t="s">
        <v>8</v>
      </c>
      <c r="EP520" s="27" t="s">
        <v>7</v>
      </c>
      <c r="ES520" s="27" t="s">
        <v>8</v>
      </c>
      <c r="EU520" s="27" t="s">
        <v>8</v>
      </c>
      <c r="EV520" s="27" t="s">
        <v>7</v>
      </c>
      <c r="GQ520" s="27" t="s">
        <v>8</v>
      </c>
      <c r="GR520" s="27" t="s">
        <v>7</v>
      </c>
      <c r="GX520" s="27" t="s">
        <v>7</v>
      </c>
      <c r="GY520" s="27" t="s">
        <v>8</v>
      </c>
      <c r="GZ520" s="27" t="s">
        <v>7</v>
      </c>
      <c r="HA520" s="27" t="s">
        <v>8</v>
      </c>
    </row>
    <row r="521" spans="1:281" x14ac:dyDescent="0.25">
      <c r="A521" s="7">
        <v>3.6949735703052635</v>
      </c>
      <c r="B521"/>
      <c r="C521"/>
      <c r="D521"/>
      <c r="E521" t="s">
        <v>8</v>
      </c>
      <c r="J521" s="27" t="s">
        <v>7</v>
      </c>
      <c r="K521" s="27" t="s">
        <v>8</v>
      </c>
      <c r="L521" s="27" t="s">
        <v>7</v>
      </c>
      <c r="M521" s="27" t="s">
        <v>8</v>
      </c>
      <c r="AR521" s="27" t="s">
        <v>7</v>
      </c>
      <c r="AS521" s="27" t="s">
        <v>8</v>
      </c>
      <c r="AV521" s="27" t="s">
        <v>7</v>
      </c>
      <c r="AW521" s="27" t="s">
        <v>8</v>
      </c>
      <c r="AX521" s="27" t="s">
        <v>7</v>
      </c>
      <c r="AY521" s="27" t="s">
        <v>8</v>
      </c>
      <c r="AZ521" s="27" t="s">
        <v>7</v>
      </c>
      <c r="BA521" s="27" t="s">
        <v>8</v>
      </c>
      <c r="BB521" s="27" t="s">
        <v>7</v>
      </c>
      <c r="CQ521" s="27" t="s">
        <v>8</v>
      </c>
      <c r="CT521" s="27" t="s">
        <v>7</v>
      </c>
      <c r="CY521" s="27" t="s">
        <v>8</v>
      </c>
      <c r="CZ521" s="27" t="s">
        <v>7</v>
      </c>
      <c r="DA521" s="27" t="s">
        <v>8</v>
      </c>
      <c r="DB521" s="27" t="s">
        <v>7</v>
      </c>
      <c r="DC521" s="27" t="s">
        <v>8</v>
      </c>
      <c r="DD521" s="27" t="s">
        <v>7</v>
      </c>
      <c r="DE521" s="27" t="s">
        <v>8</v>
      </c>
      <c r="DF521" s="27" t="s">
        <v>7</v>
      </c>
      <c r="DG521" s="27" t="s">
        <v>8</v>
      </c>
      <c r="DJ521" s="27" t="s">
        <v>7</v>
      </c>
      <c r="DK521" s="27" t="s">
        <v>8</v>
      </c>
      <c r="EP521" s="27" t="s">
        <v>7</v>
      </c>
      <c r="EQ521" s="27" t="s">
        <v>8</v>
      </c>
      <c r="ES521" s="27" t="s">
        <v>8</v>
      </c>
      <c r="ET521" s="27" t="s">
        <v>7</v>
      </c>
      <c r="EU521" s="27" t="s">
        <v>8</v>
      </c>
      <c r="EV521" s="27" t="s">
        <v>7</v>
      </c>
      <c r="GQ521" s="27" t="s">
        <v>8</v>
      </c>
      <c r="GX521" s="27" t="s">
        <v>7</v>
      </c>
      <c r="GY521" s="27" t="s">
        <v>8</v>
      </c>
      <c r="GZ521" s="27" t="s">
        <v>7</v>
      </c>
      <c r="HA521" s="27" t="s">
        <v>8</v>
      </c>
    </row>
    <row r="522" spans="1:281" x14ac:dyDescent="0.25">
      <c r="A522" s="7">
        <v>3.6225231081424152</v>
      </c>
      <c r="B522"/>
      <c r="C522"/>
      <c r="D522"/>
      <c r="E522" t="s">
        <v>8</v>
      </c>
      <c r="J522" s="27" t="s">
        <v>7</v>
      </c>
      <c r="K522" s="27" t="s">
        <v>8</v>
      </c>
      <c r="L522" s="27" t="s">
        <v>7</v>
      </c>
      <c r="AR522" s="27" t="s">
        <v>7</v>
      </c>
      <c r="AS522" s="27" t="s">
        <v>8</v>
      </c>
      <c r="AV522" s="27" t="s">
        <v>7</v>
      </c>
      <c r="AX522" s="27" t="s">
        <v>7</v>
      </c>
      <c r="AY522" s="27" t="s">
        <v>8</v>
      </c>
      <c r="AZ522" s="27" t="s">
        <v>7</v>
      </c>
      <c r="BB522" s="27" t="s">
        <v>7</v>
      </c>
      <c r="BC522" s="27" t="s">
        <v>8</v>
      </c>
      <c r="CQ522" s="27" t="s">
        <v>8</v>
      </c>
      <c r="CT522" s="27" t="s">
        <v>7</v>
      </c>
      <c r="CY522" s="27" t="s">
        <v>8</v>
      </c>
      <c r="CZ522" s="27" t="s">
        <v>7</v>
      </c>
      <c r="DA522" s="27" t="s">
        <v>8</v>
      </c>
      <c r="DB522" s="27" t="s">
        <v>7</v>
      </c>
      <c r="DD522" s="27" t="s">
        <v>7</v>
      </c>
      <c r="DE522" s="27" t="s">
        <v>8</v>
      </c>
      <c r="DF522" s="27" t="s">
        <v>7</v>
      </c>
      <c r="DG522" s="27" t="s">
        <v>8</v>
      </c>
      <c r="DJ522" s="27" t="s">
        <v>7</v>
      </c>
      <c r="DK522" s="27" t="s">
        <v>8</v>
      </c>
      <c r="EP522" s="27" t="s">
        <v>7</v>
      </c>
      <c r="EQ522" s="27" t="s">
        <v>8</v>
      </c>
      <c r="ER522" s="27" t="s">
        <v>7</v>
      </c>
      <c r="ES522" s="27" t="s">
        <v>8</v>
      </c>
      <c r="ET522" s="27" t="s">
        <v>7</v>
      </c>
      <c r="EU522" s="27" t="s">
        <v>8</v>
      </c>
      <c r="EV522" s="27" t="s">
        <v>7</v>
      </c>
      <c r="GQ522" s="27" t="s">
        <v>8</v>
      </c>
      <c r="GX522" s="27" t="s">
        <v>7</v>
      </c>
      <c r="GY522" s="27" t="s">
        <v>8</v>
      </c>
      <c r="GZ522" s="27" t="s">
        <v>7</v>
      </c>
    </row>
    <row r="523" spans="1:281" x14ac:dyDescent="0.25">
      <c r="A523" s="7">
        <v>3.5514932432768775</v>
      </c>
      <c r="B523"/>
      <c r="C523"/>
      <c r="D523"/>
      <c r="E523" t="s">
        <v>8</v>
      </c>
      <c r="J523" s="27" t="s">
        <v>7</v>
      </c>
      <c r="K523" s="27" t="s">
        <v>8</v>
      </c>
      <c r="AR523" s="27" t="s">
        <v>7</v>
      </c>
      <c r="AS523" s="27" t="s">
        <v>8</v>
      </c>
      <c r="AX523" s="27" t="s">
        <v>7</v>
      </c>
      <c r="AY523" s="27" t="s">
        <v>8</v>
      </c>
      <c r="BB523" s="27" t="s">
        <v>7</v>
      </c>
      <c r="BC523" s="27" t="s">
        <v>8</v>
      </c>
      <c r="BD523" s="27" t="s">
        <v>7</v>
      </c>
      <c r="BQ523" s="27" t="s">
        <v>8</v>
      </c>
      <c r="CQ523" s="27" t="s">
        <v>8</v>
      </c>
      <c r="CT523" s="27" t="s">
        <v>7</v>
      </c>
      <c r="CU523" s="27" t="s">
        <v>8</v>
      </c>
      <c r="CY523" s="27" t="s">
        <v>8</v>
      </c>
      <c r="CZ523" s="27" t="s">
        <v>7</v>
      </c>
      <c r="DA523" s="27" t="s">
        <v>8</v>
      </c>
      <c r="DD523" s="27" t="s">
        <v>7</v>
      </c>
      <c r="DE523" s="27" t="s">
        <v>8</v>
      </c>
      <c r="DF523" s="27" t="s">
        <v>7</v>
      </c>
      <c r="DJ523" s="27" t="s">
        <v>7</v>
      </c>
      <c r="EP523" s="27" t="s">
        <v>7</v>
      </c>
      <c r="EQ523" s="27" t="s">
        <v>8</v>
      </c>
      <c r="ER523" s="27" t="s">
        <v>7</v>
      </c>
      <c r="ES523" s="27" t="s">
        <v>8</v>
      </c>
      <c r="ET523" s="27" t="s">
        <v>7</v>
      </c>
      <c r="EV523" s="27" t="s">
        <v>7</v>
      </c>
      <c r="GQ523" s="27" t="s">
        <v>8</v>
      </c>
      <c r="GX523" s="27" t="s">
        <v>7</v>
      </c>
      <c r="GY523" s="27" t="s">
        <v>8</v>
      </c>
    </row>
    <row r="524" spans="1:281" x14ac:dyDescent="0.25">
      <c r="A524" s="7">
        <v>3.4818561208596837</v>
      </c>
      <c r="B524"/>
      <c r="C524"/>
      <c r="D524"/>
      <c r="E524" t="s">
        <v>8</v>
      </c>
      <c r="J524" s="27" t="s">
        <v>7</v>
      </c>
      <c r="AR524" s="27" t="s">
        <v>7</v>
      </c>
      <c r="AX524" s="27" t="s">
        <v>7</v>
      </c>
      <c r="BB524" s="27" t="s">
        <v>7</v>
      </c>
      <c r="BC524" s="27" t="s">
        <v>8</v>
      </c>
      <c r="BD524" s="27" t="s">
        <v>7</v>
      </c>
      <c r="BQ524" s="27" t="s">
        <v>8</v>
      </c>
      <c r="BR524" s="27" t="s">
        <v>7</v>
      </c>
      <c r="CQ524" s="27" t="s">
        <v>8</v>
      </c>
      <c r="CT524" s="27" t="s">
        <v>7</v>
      </c>
      <c r="CU524" s="27" t="s">
        <v>8</v>
      </c>
      <c r="CV524" s="27" t="s">
        <v>7</v>
      </c>
      <c r="CY524" s="27" t="s">
        <v>8</v>
      </c>
      <c r="CZ524" s="27" t="s">
        <v>7</v>
      </c>
      <c r="DD524" s="27" t="s">
        <v>7</v>
      </c>
      <c r="EP524" s="27" t="s">
        <v>7</v>
      </c>
      <c r="EQ524" s="27" t="s">
        <v>8</v>
      </c>
      <c r="ER524" s="27" t="s">
        <v>7</v>
      </c>
      <c r="ES524" s="27" t="s">
        <v>8</v>
      </c>
      <c r="EV524" s="27" t="s">
        <v>7</v>
      </c>
      <c r="GQ524" s="27" t="s">
        <v>8</v>
      </c>
      <c r="GX524" s="27" t="s">
        <v>7</v>
      </c>
      <c r="GY524" s="27" t="s">
        <v>8</v>
      </c>
    </row>
    <row r="525" spans="1:281" x14ac:dyDescent="0.25">
      <c r="A525" s="7">
        <v>3.4135844322153761</v>
      </c>
      <c r="B525"/>
      <c r="C525"/>
      <c r="D525"/>
      <c r="E525" t="s">
        <v>8</v>
      </c>
      <c r="BB525" s="27" t="s">
        <v>7</v>
      </c>
      <c r="BC525" s="27" t="s">
        <v>8</v>
      </c>
      <c r="BD525" s="27" t="s">
        <v>7</v>
      </c>
      <c r="BQ525" s="27" t="s">
        <v>8</v>
      </c>
      <c r="BR525" s="27" t="s">
        <v>7</v>
      </c>
      <c r="BS525" s="27" t="s">
        <v>8</v>
      </c>
      <c r="CQ525" s="27" t="s">
        <v>8</v>
      </c>
      <c r="CT525" s="27" t="s">
        <v>7</v>
      </c>
      <c r="CU525" s="27" t="s">
        <v>8</v>
      </c>
      <c r="CV525" s="27" t="s">
        <v>7</v>
      </c>
      <c r="CY525" s="27" t="s">
        <v>8</v>
      </c>
      <c r="EP525" s="27" t="s">
        <v>7</v>
      </c>
      <c r="EQ525" s="27" t="s">
        <v>8</v>
      </c>
      <c r="ER525" s="27" t="s">
        <v>7</v>
      </c>
      <c r="ES525" s="27" t="s">
        <v>8</v>
      </c>
      <c r="EV525" s="27" t="s">
        <v>7</v>
      </c>
      <c r="GQ525" s="27" t="s">
        <v>8</v>
      </c>
      <c r="GX525" s="27" t="s">
        <v>7</v>
      </c>
      <c r="GY525" s="27" t="s">
        <v>8</v>
      </c>
    </row>
    <row r="526" spans="1:281" x14ac:dyDescent="0.25">
      <c r="A526" s="7">
        <v>3.3466514041327216</v>
      </c>
      <c r="B526"/>
      <c r="C526"/>
      <c r="D526"/>
      <c r="E526" t="s">
        <v>8</v>
      </c>
      <c r="BB526" s="27" t="s">
        <v>7</v>
      </c>
      <c r="BC526" s="27" t="s">
        <v>8</v>
      </c>
      <c r="BD526" s="27" t="s">
        <v>7</v>
      </c>
      <c r="BQ526" s="27" t="s">
        <v>8</v>
      </c>
      <c r="BR526" s="27" t="s">
        <v>7</v>
      </c>
      <c r="BS526" s="27" t="s">
        <v>8</v>
      </c>
      <c r="BT526" s="27" t="s">
        <v>7</v>
      </c>
      <c r="CQ526" s="27" t="s">
        <v>8</v>
      </c>
      <c r="CT526" s="27" t="s">
        <v>7</v>
      </c>
      <c r="CV526" s="27" t="s">
        <v>7</v>
      </c>
      <c r="CY526" s="27" t="s">
        <v>8</v>
      </c>
      <c r="EP526" s="27" t="s">
        <v>7</v>
      </c>
      <c r="ER526" s="27" t="s">
        <v>7</v>
      </c>
      <c r="ES526" s="27" t="s">
        <v>8</v>
      </c>
      <c r="EV526" s="27" t="s">
        <v>7</v>
      </c>
      <c r="GQ526" s="27" t="s">
        <v>8</v>
      </c>
      <c r="GX526" s="27" t="s">
        <v>7</v>
      </c>
    </row>
    <row r="527" spans="1:281" x14ac:dyDescent="0.25">
      <c r="A527" s="7">
        <v>3.2810307883654133</v>
      </c>
      <c r="B527"/>
      <c r="C527"/>
      <c r="D527"/>
      <c r="E527" t="s">
        <v>8</v>
      </c>
      <c r="BB527" s="27" t="s">
        <v>7</v>
      </c>
      <c r="BC527" s="27" t="s">
        <v>8</v>
      </c>
      <c r="BD527" s="27" t="s">
        <v>7</v>
      </c>
      <c r="BO527" s="27" t="s">
        <v>8</v>
      </c>
      <c r="BQ527" s="27" t="s">
        <v>8</v>
      </c>
      <c r="BR527" s="27" t="s">
        <v>7</v>
      </c>
      <c r="BS527" s="27" t="s">
        <v>8</v>
      </c>
      <c r="BT527" s="27" t="s">
        <v>7</v>
      </c>
      <c r="BU527" s="27" t="s">
        <v>8</v>
      </c>
      <c r="CO527" s="27" t="s">
        <v>8</v>
      </c>
      <c r="CQ527" s="27" t="s">
        <v>8</v>
      </c>
      <c r="CV527" s="27" t="s">
        <v>7</v>
      </c>
      <c r="CY527" s="27" t="s">
        <v>8</v>
      </c>
      <c r="ER527" s="27" t="s">
        <v>7</v>
      </c>
      <c r="EV527" s="27" t="s">
        <v>7</v>
      </c>
      <c r="GQ527" s="27" t="s">
        <v>8</v>
      </c>
    </row>
    <row r="528" spans="1:281" x14ac:dyDescent="0.25">
      <c r="A528" s="7">
        <v>3.2166968513386403</v>
      </c>
      <c r="B528"/>
      <c r="C528"/>
      <c r="D528"/>
      <c r="E528" t="s">
        <v>8</v>
      </c>
      <c r="BB528" s="27" t="s">
        <v>7</v>
      </c>
      <c r="BC528" s="27" t="s">
        <v>8</v>
      </c>
      <c r="BD528" s="27" t="s">
        <v>7</v>
      </c>
      <c r="BO528" s="27" t="s">
        <v>8</v>
      </c>
      <c r="BP528" s="27" t="s">
        <v>7</v>
      </c>
      <c r="BQ528" s="27" t="s">
        <v>8</v>
      </c>
      <c r="BR528" s="27" t="s">
        <v>7</v>
      </c>
      <c r="BS528" s="27" t="s">
        <v>8</v>
      </c>
      <c r="BT528" s="27" t="s">
        <v>7</v>
      </c>
      <c r="BU528" s="27" t="s">
        <v>8</v>
      </c>
      <c r="BV528" s="27" t="s">
        <v>7</v>
      </c>
      <c r="CO528" s="27" t="s">
        <v>8</v>
      </c>
      <c r="CP528" s="27" t="s">
        <v>7</v>
      </c>
      <c r="CQ528" s="27" t="s">
        <v>8</v>
      </c>
      <c r="CV528" s="27" t="s">
        <v>7</v>
      </c>
      <c r="CW528" s="27" t="s">
        <v>8</v>
      </c>
      <c r="CY528" s="27" t="s">
        <v>8</v>
      </c>
      <c r="EV528" s="27" t="s">
        <v>7</v>
      </c>
      <c r="GQ528" s="27" t="s">
        <v>8</v>
      </c>
    </row>
    <row r="529" spans="1:199" x14ac:dyDescent="0.25">
      <c r="A529" s="7">
        <v>3.1536243640574906</v>
      </c>
      <c r="B529"/>
      <c r="C529"/>
      <c r="D529"/>
      <c r="E529" t="s">
        <v>8</v>
      </c>
      <c r="BB529" s="27" t="s">
        <v>7</v>
      </c>
      <c r="BC529" s="27" t="s">
        <v>8</v>
      </c>
      <c r="BD529" s="27" t="s">
        <v>7</v>
      </c>
      <c r="BO529" s="27" t="s">
        <v>8</v>
      </c>
      <c r="BP529" s="27" t="s">
        <v>7</v>
      </c>
      <c r="BQ529" s="27" t="s">
        <v>8</v>
      </c>
      <c r="BR529" s="27" t="s">
        <v>7</v>
      </c>
      <c r="BT529" s="27" t="s">
        <v>7</v>
      </c>
      <c r="BU529" s="27" t="s">
        <v>8</v>
      </c>
      <c r="BV529" s="27" t="s">
        <v>7</v>
      </c>
      <c r="CI529" s="27" t="s">
        <v>8</v>
      </c>
      <c r="CO529" s="27" t="s">
        <v>8</v>
      </c>
      <c r="CP529" s="27" t="s">
        <v>7</v>
      </c>
      <c r="CQ529" s="27" t="s">
        <v>8</v>
      </c>
      <c r="CV529" s="27" t="s">
        <v>7</v>
      </c>
      <c r="CW529" s="27" t="s">
        <v>8</v>
      </c>
      <c r="CX529" s="27" t="s">
        <v>7</v>
      </c>
      <c r="CY529" s="27" t="s">
        <v>8</v>
      </c>
      <c r="EV529" s="27" t="s">
        <v>7</v>
      </c>
      <c r="EW529" s="27" t="s">
        <v>8</v>
      </c>
      <c r="GG529" s="27" t="s">
        <v>8</v>
      </c>
      <c r="GI529" s="27" t="s">
        <v>8</v>
      </c>
      <c r="GQ529" s="27" t="s">
        <v>8</v>
      </c>
    </row>
    <row r="530" spans="1:199" x14ac:dyDescent="0.25">
      <c r="A530" s="7">
        <v>3.0917885922132262</v>
      </c>
      <c r="B530"/>
      <c r="C530"/>
      <c r="D530"/>
      <c r="E530" t="s">
        <v>8</v>
      </c>
      <c r="BB530" s="27" t="s">
        <v>7</v>
      </c>
      <c r="BC530" s="27" t="s">
        <v>8</v>
      </c>
      <c r="BD530" s="27" t="s">
        <v>7</v>
      </c>
      <c r="BO530" s="27" t="s">
        <v>8</v>
      </c>
      <c r="BP530" s="27" t="s">
        <v>7</v>
      </c>
      <c r="BQ530" s="27" t="s">
        <v>8</v>
      </c>
      <c r="BT530" s="27" t="s">
        <v>7</v>
      </c>
      <c r="BU530" s="27" t="s">
        <v>8</v>
      </c>
      <c r="BV530" s="27" t="s">
        <v>7</v>
      </c>
      <c r="CI530" s="27" t="s">
        <v>8</v>
      </c>
      <c r="CJ530" s="27" t="s">
        <v>7</v>
      </c>
      <c r="CO530" s="27" t="s">
        <v>8</v>
      </c>
      <c r="CP530" s="27" t="s">
        <v>7</v>
      </c>
      <c r="CQ530" s="27" t="s">
        <v>8</v>
      </c>
      <c r="CV530" s="27" t="s">
        <v>7</v>
      </c>
      <c r="CW530" s="27" t="s">
        <v>8</v>
      </c>
      <c r="CX530" s="27" t="s">
        <v>7</v>
      </c>
      <c r="CY530" s="27" t="s">
        <v>8</v>
      </c>
      <c r="EV530" s="27" t="s">
        <v>7</v>
      </c>
      <c r="EW530" s="27" t="s">
        <v>8</v>
      </c>
      <c r="EX530" s="27" t="s">
        <v>7</v>
      </c>
      <c r="GG530" s="27" t="s">
        <v>8</v>
      </c>
      <c r="GH530" s="27" t="s">
        <v>7</v>
      </c>
      <c r="GI530" s="27" t="s">
        <v>8</v>
      </c>
      <c r="GJ530" s="27" t="s">
        <v>7</v>
      </c>
      <c r="GQ530" s="27" t="s">
        <v>8</v>
      </c>
    </row>
    <row r="531" spans="1:199" x14ac:dyDescent="0.25">
      <c r="A531" s="7">
        <v>3.0311652864835552</v>
      </c>
      <c r="B531"/>
      <c r="C531"/>
      <c r="D531"/>
      <c r="E531" t="s">
        <v>8</v>
      </c>
      <c r="BB531" s="27" t="s">
        <v>7</v>
      </c>
      <c r="BD531" s="27" t="s">
        <v>7</v>
      </c>
      <c r="BO531" s="27" t="s">
        <v>8</v>
      </c>
      <c r="BP531" s="27" t="s">
        <v>7</v>
      </c>
      <c r="BT531" s="27" t="s">
        <v>7</v>
      </c>
      <c r="BU531" s="27" t="s">
        <v>8</v>
      </c>
      <c r="BV531" s="27" t="s">
        <v>7</v>
      </c>
      <c r="CG531" s="27" t="s">
        <v>8</v>
      </c>
      <c r="CI531" s="27" t="s">
        <v>8</v>
      </c>
      <c r="CJ531" s="27" t="s">
        <v>7</v>
      </c>
      <c r="CO531" s="27" t="s">
        <v>8</v>
      </c>
      <c r="CP531" s="27" t="s">
        <v>7</v>
      </c>
      <c r="CQ531" s="27" t="s">
        <v>8</v>
      </c>
      <c r="CV531" s="27" t="s">
        <v>7</v>
      </c>
      <c r="CW531" s="27" t="s">
        <v>8</v>
      </c>
      <c r="CX531" s="27" t="s">
        <v>7</v>
      </c>
      <c r="EV531" s="27" t="s">
        <v>7</v>
      </c>
      <c r="EW531" s="27" t="s">
        <v>8</v>
      </c>
      <c r="EX531" s="27" t="s">
        <v>7</v>
      </c>
      <c r="FW531" s="27" t="s">
        <v>8</v>
      </c>
      <c r="GG531" s="27" t="s">
        <v>8</v>
      </c>
      <c r="GH531" s="27" t="s">
        <v>7</v>
      </c>
      <c r="GI531" s="27" t="s">
        <v>8</v>
      </c>
      <c r="GJ531" s="27" t="s">
        <v>7</v>
      </c>
      <c r="GQ531" s="27" t="s">
        <v>8</v>
      </c>
    </row>
    <row r="532" spans="1:199" x14ac:dyDescent="0.25">
      <c r="A532" s="7">
        <v>2.9717306730230932</v>
      </c>
      <c r="B532"/>
      <c r="C532"/>
      <c r="D532"/>
      <c r="E532" t="s">
        <v>8</v>
      </c>
      <c r="BD532" s="27" t="s">
        <v>7</v>
      </c>
      <c r="BO532" s="27" t="s">
        <v>8</v>
      </c>
      <c r="BT532" s="27" t="s">
        <v>7</v>
      </c>
      <c r="BV532" s="27" t="s">
        <v>7</v>
      </c>
      <c r="CG532" s="27" t="s">
        <v>8</v>
      </c>
      <c r="CH532" s="27" t="s">
        <v>7</v>
      </c>
      <c r="CI532" s="27" t="s">
        <v>8</v>
      </c>
      <c r="CJ532" s="27" t="s">
        <v>7</v>
      </c>
      <c r="CM532" s="27" t="s">
        <v>8</v>
      </c>
      <c r="CO532" s="27" t="s">
        <v>8</v>
      </c>
      <c r="CP532" s="27" t="s">
        <v>7</v>
      </c>
      <c r="CV532" s="27" t="s">
        <v>7</v>
      </c>
      <c r="CW532" s="27" t="s">
        <v>8</v>
      </c>
      <c r="EV532" s="27" t="s">
        <v>7</v>
      </c>
      <c r="EW532" s="27" t="s">
        <v>8</v>
      </c>
      <c r="EX532" s="27" t="s">
        <v>7</v>
      </c>
      <c r="FW532" s="27" t="s">
        <v>8</v>
      </c>
      <c r="FX532" s="27" t="s">
        <v>7</v>
      </c>
      <c r="GG532" s="27" t="s">
        <v>8</v>
      </c>
      <c r="GH532" s="27" t="s">
        <v>7</v>
      </c>
      <c r="GI532" s="27" t="s">
        <v>8</v>
      </c>
      <c r="GJ532" s="27" t="s">
        <v>7</v>
      </c>
      <c r="GQ532" s="27" t="s">
        <v>8</v>
      </c>
    </row>
    <row r="533" spans="1:199" x14ac:dyDescent="0.25">
      <c r="A533" s="7">
        <v>2.9134614441402875</v>
      </c>
      <c r="B533"/>
      <c r="C533"/>
      <c r="D533"/>
      <c r="E533" t="s">
        <v>8</v>
      </c>
      <c r="BD533" s="27" t="s">
        <v>7</v>
      </c>
      <c r="BK533" s="27" t="s">
        <v>8</v>
      </c>
      <c r="BM533" s="27" t="s">
        <v>8</v>
      </c>
      <c r="BO533" s="27" t="s">
        <v>8</v>
      </c>
      <c r="BV533" s="27" t="s">
        <v>7</v>
      </c>
      <c r="CG533" s="27" t="s">
        <v>8</v>
      </c>
      <c r="CH533" s="27" t="s">
        <v>7</v>
      </c>
      <c r="CI533" s="27" t="s">
        <v>8</v>
      </c>
      <c r="CJ533" s="27" t="s">
        <v>7</v>
      </c>
      <c r="CK533" s="27" t="s">
        <v>8</v>
      </c>
      <c r="CM533" s="27" t="s">
        <v>8</v>
      </c>
      <c r="CN533" s="27" t="s">
        <v>7</v>
      </c>
      <c r="CO533" s="27" t="s">
        <v>8</v>
      </c>
      <c r="CV533" s="27" t="s">
        <v>7</v>
      </c>
      <c r="CW533" s="27" t="s">
        <v>8</v>
      </c>
      <c r="EV533" s="27" t="s">
        <v>7</v>
      </c>
      <c r="EW533" s="27" t="s">
        <v>8</v>
      </c>
      <c r="EX533" s="27" t="s">
        <v>7</v>
      </c>
      <c r="FU533" s="27" t="s">
        <v>8</v>
      </c>
      <c r="FW533" s="27" t="s">
        <v>8</v>
      </c>
      <c r="FX533" s="27" t="s">
        <v>7</v>
      </c>
      <c r="GE533" s="27" t="s">
        <v>8</v>
      </c>
      <c r="GG533" s="27" t="s">
        <v>8</v>
      </c>
      <c r="GH533" s="27" t="s">
        <v>7</v>
      </c>
      <c r="GJ533" s="27" t="s">
        <v>7</v>
      </c>
      <c r="GK533" s="27" t="s">
        <v>8</v>
      </c>
      <c r="GQ533" s="27" t="s">
        <v>8</v>
      </c>
    </row>
    <row r="534" spans="1:199" x14ac:dyDescent="0.25">
      <c r="A534" s="7">
        <v>2.8563347491571447</v>
      </c>
      <c r="B534"/>
      <c r="C534"/>
      <c r="D534"/>
      <c r="E534" t="s">
        <v>8</v>
      </c>
      <c r="BD534" s="27" t="s">
        <v>7</v>
      </c>
      <c r="BK534" s="27" t="s">
        <v>8</v>
      </c>
      <c r="BL534" s="27" t="s">
        <v>7</v>
      </c>
      <c r="BM534" s="27" t="s">
        <v>8</v>
      </c>
      <c r="BN534" s="27" t="s">
        <v>7</v>
      </c>
      <c r="BO534" s="27" t="s">
        <v>8</v>
      </c>
      <c r="BV534" s="27" t="s">
        <v>7</v>
      </c>
      <c r="CG534" s="27" t="s">
        <v>8</v>
      </c>
      <c r="CH534" s="27" t="s">
        <v>7</v>
      </c>
      <c r="CI534" s="27" t="s">
        <v>8</v>
      </c>
      <c r="CJ534" s="27" t="s">
        <v>7</v>
      </c>
      <c r="CK534" s="27" t="s">
        <v>8</v>
      </c>
      <c r="CL534" s="27" t="s">
        <v>7</v>
      </c>
      <c r="CM534" s="27" t="s">
        <v>8</v>
      </c>
      <c r="CN534" s="27" t="s">
        <v>7</v>
      </c>
      <c r="CO534" s="27" t="s">
        <v>8</v>
      </c>
      <c r="CV534" s="27" t="s">
        <v>7</v>
      </c>
      <c r="CW534" s="27" t="s">
        <v>8</v>
      </c>
      <c r="EV534" s="27" t="s">
        <v>7</v>
      </c>
      <c r="EX534" s="27" t="s">
        <v>7</v>
      </c>
      <c r="FU534" s="27" t="s">
        <v>8</v>
      </c>
      <c r="FV534" s="27" t="s">
        <v>7</v>
      </c>
      <c r="FW534" s="27" t="s">
        <v>8</v>
      </c>
      <c r="FX534" s="27" t="s">
        <v>7</v>
      </c>
      <c r="GE534" s="27" t="s">
        <v>8</v>
      </c>
      <c r="GF534" s="27" t="s">
        <v>7</v>
      </c>
      <c r="GG534" s="27" t="s">
        <v>8</v>
      </c>
      <c r="GJ534" s="27" t="s">
        <v>7</v>
      </c>
      <c r="GK534" s="27" t="s">
        <v>8</v>
      </c>
      <c r="GL534" s="27" t="s">
        <v>7</v>
      </c>
      <c r="GO534" s="27" t="s">
        <v>8</v>
      </c>
      <c r="GQ534" s="27" t="s">
        <v>8</v>
      </c>
    </row>
    <row r="535" spans="1:199" x14ac:dyDescent="0.25">
      <c r="A535" s="7">
        <v>2.8003281854481812</v>
      </c>
      <c r="B535"/>
      <c r="C535"/>
      <c r="D535"/>
      <c r="E535" t="s">
        <v>8</v>
      </c>
      <c r="BD535" s="27" t="s">
        <v>7</v>
      </c>
      <c r="BK535" s="27" t="s">
        <v>8</v>
      </c>
      <c r="BL535" s="27" t="s">
        <v>7</v>
      </c>
      <c r="BM535" s="27" t="s">
        <v>8</v>
      </c>
      <c r="BN535" s="27" t="s">
        <v>7</v>
      </c>
      <c r="BO535" s="27" t="s">
        <v>8</v>
      </c>
      <c r="BV535" s="27" t="s">
        <v>7</v>
      </c>
      <c r="CE535" s="27" t="s">
        <v>8</v>
      </c>
      <c r="CG535" s="27" t="s">
        <v>8</v>
      </c>
      <c r="CH535" s="27" t="s">
        <v>7</v>
      </c>
      <c r="CI535" s="27" t="s">
        <v>8</v>
      </c>
      <c r="CJ535" s="27" t="s">
        <v>7</v>
      </c>
      <c r="CK535" s="27" t="s">
        <v>8</v>
      </c>
      <c r="CL535" s="27" t="s">
        <v>7</v>
      </c>
      <c r="CM535" s="27" t="s">
        <v>8</v>
      </c>
      <c r="CN535" s="27" t="s">
        <v>7</v>
      </c>
      <c r="CO535" s="27" t="s">
        <v>8</v>
      </c>
      <c r="CV535" s="27" t="s">
        <v>7</v>
      </c>
      <c r="CW535" s="27" t="s">
        <v>8</v>
      </c>
      <c r="EX535" s="27" t="s">
        <v>7</v>
      </c>
      <c r="FU535" s="27" t="s">
        <v>8</v>
      </c>
      <c r="FV535" s="27" t="s">
        <v>7</v>
      </c>
      <c r="FW535" s="27" t="s">
        <v>8</v>
      </c>
      <c r="FX535" s="27" t="s">
        <v>7</v>
      </c>
      <c r="FY535" s="27" t="s">
        <v>8</v>
      </c>
      <c r="GE535" s="27" t="s">
        <v>8</v>
      </c>
      <c r="GF535" s="27" t="s">
        <v>7</v>
      </c>
      <c r="GG535" s="27" t="s">
        <v>8</v>
      </c>
      <c r="GJ535" s="27" t="s">
        <v>7</v>
      </c>
      <c r="GK535" s="27" t="s">
        <v>8</v>
      </c>
      <c r="GL535" s="27" t="s">
        <v>7</v>
      </c>
      <c r="GO535" s="27" t="s">
        <v>8</v>
      </c>
      <c r="GP535" s="27" t="s">
        <v>7</v>
      </c>
      <c r="GQ535" s="27" t="s">
        <v>8</v>
      </c>
    </row>
    <row r="536" spans="1:199" x14ac:dyDescent="0.25">
      <c r="A536" s="7">
        <v>2.7454197896550796</v>
      </c>
      <c r="B536"/>
      <c r="C536"/>
      <c r="D536"/>
      <c r="E536" t="s">
        <v>8</v>
      </c>
      <c r="BD536" s="27" t="s">
        <v>7</v>
      </c>
      <c r="BE536" s="27" t="s">
        <v>8</v>
      </c>
      <c r="BK536" s="27" t="s">
        <v>8</v>
      </c>
      <c r="BL536" s="27" t="s">
        <v>7</v>
      </c>
      <c r="BM536" s="27" t="s">
        <v>8</v>
      </c>
      <c r="BN536" s="27" t="s">
        <v>7</v>
      </c>
      <c r="BO536" s="27" t="s">
        <v>8</v>
      </c>
      <c r="BV536" s="27" t="s">
        <v>7</v>
      </c>
      <c r="CE536" s="27" t="s">
        <v>8</v>
      </c>
      <c r="CF536" s="27" t="s">
        <v>7</v>
      </c>
      <c r="CG536" s="27" t="s">
        <v>8</v>
      </c>
      <c r="CH536" s="27" t="s">
        <v>7</v>
      </c>
      <c r="CI536" s="27" t="s">
        <v>8</v>
      </c>
      <c r="CJ536" s="27" t="s">
        <v>7</v>
      </c>
      <c r="CK536" s="27" t="s">
        <v>8</v>
      </c>
      <c r="CL536" s="27" t="s">
        <v>7</v>
      </c>
      <c r="CM536" s="27" t="s">
        <v>8</v>
      </c>
      <c r="CN536" s="27" t="s">
        <v>7</v>
      </c>
      <c r="CO536" s="27" t="s">
        <v>8</v>
      </c>
      <c r="CV536" s="27" t="s">
        <v>7</v>
      </c>
      <c r="CW536" s="27" t="s">
        <v>8</v>
      </c>
      <c r="EX536" s="27" t="s">
        <v>7</v>
      </c>
      <c r="FU536" s="27" t="s">
        <v>8</v>
      </c>
      <c r="FV536" s="27" t="s">
        <v>7</v>
      </c>
      <c r="FW536" s="27" t="s">
        <v>8</v>
      </c>
      <c r="FX536" s="27" t="s">
        <v>7</v>
      </c>
      <c r="FY536" s="27" t="s">
        <v>8</v>
      </c>
      <c r="FZ536" s="27" t="s">
        <v>7</v>
      </c>
      <c r="GE536" s="27" t="s">
        <v>8</v>
      </c>
      <c r="GF536" s="27" t="s">
        <v>7</v>
      </c>
      <c r="GJ536" s="27" t="s">
        <v>7</v>
      </c>
      <c r="GL536" s="27" t="s">
        <v>7</v>
      </c>
      <c r="GM536" s="27" t="s">
        <v>8</v>
      </c>
      <c r="GO536" s="27" t="s">
        <v>8</v>
      </c>
      <c r="GP536" s="27" t="s">
        <v>7</v>
      </c>
      <c r="GQ536" s="27" t="s">
        <v>8</v>
      </c>
    </row>
    <row r="537" spans="1:199" x14ac:dyDescent="0.25">
      <c r="A537" s="7">
        <v>2.6915880290736074</v>
      </c>
      <c r="B537"/>
      <c r="C537"/>
      <c r="D537"/>
      <c r="E537" t="s">
        <v>8</v>
      </c>
      <c r="BD537" s="27" t="s">
        <v>7</v>
      </c>
      <c r="BE537" s="27" t="s">
        <v>8</v>
      </c>
      <c r="BF537" s="27" t="s">
        <v>7</v>
      </c>
      <c r="BK537" s="27" t="s">
        <v>8</v>
      </c>
      <c r="BL537" s="27" t="s">
        <v>7</v>
      </c>
      <c r="BM537" s="27" t="s">
        <v>8</v>
      </c>
      <c r="BN537" s="27" t="s">
        <v>7</v>
      </c>
      <c r="BO537" s="27" t="s">
        <v>8</v>
      </c>
      <c r="BV537" s="27" t="s">
        <v>7</v>
      </c>
      <c r="CE537" s="27" t="s">
        <v>8</v>
      </c>
      <c r="CF537" s="27" t="s">
        <v>7</v>
      </c>
      <c r="CG537" s="27" t="s">
        <v>8</v>
      </c>
      <c r="CH537" s="27" t="s">
        <v>7</v>
      </c>
      <c r="CJ537" s="27" t="s">
        <v>7</v>
      </c>
      <c r="CL537" s="27" t="s">
        <v>7</v>
      </c>
      <c r="CN537" s="27" t="s">
        <v>7</v>
      </c>
      <c r="CO537" s="27" t="s">
        <v>8</v>
      </c>
      <c r="CV537" s="27" t="s">
        <v>7</v>
      </c>
      <c r="CW537" s="27" t="s">
        <v>8</v>
      </c>
      <c r="EX537" s="27" t="s">
        <v>7</v>
      </c>
      <c r="FU537" s="27" t="s">
        <v>8</v>
      </c>
      <c r="FV537" s="27" t="s">
        <v>7</v>
      </c>
      <c r="FX537" s="27" t="s">
        <v>7</v>
      </c>
      <c r="FY537" s="27" t="s">
        <v>8</v>
      </c>
      <c r="FZ537" s="27" t="s">
        <v>7</v>
      </c>
      <c r="GA537" s="27" t="s">
        <v>8</v>
      </c>
      <c r="GE537" s="27" t="s">
        <v>8</v>
      </c>
      <c r="GL537" s="27" t="s">
        <v>7</v>
      </c>
      <c r="GM537" s="27" t="s">
        <v>8</v>
      </c>
      <c r="GN537" s="27" t="s">
        <v>7</v>
      </c>
      <c r="GO537" s="27" t="s">
        <v>8</v>
      </c>
      <c r="GP537" s="27" t="s">
        <v>7</v>
      </c>
      <c r="GQ537" s="27" t="s">
        <v>8</v>
      </c>
    </row>
    <row r="538" spans="1:199" x14ac:dyDescent="0.25">
      <c r="A538" s="7">
        <v>2.6388117932094191</v>
      </c>
      <c r="B538"/>
      <c r="C538"/>
      <c r="D538"/>
      <c r="E538" t="s">
        <v>8</v>
      </c>
      <c r="BD538" s="27" t="s">
        <v>7</v>
      </c>
      <c r="BE538" s="27" t="s">
        <v>8</v>
      </c>
      <c r="BF538" s="27" t="s">
        <v>7</v>
      </c>
      <c r="BK538" s="27" t="s">
        <v>8</v>
      </c>
      <c r="BL538" s="27" t="s">
        <v>7</v>
      </c>
      <c r="BM538" s="27" t="s">
        <v>8</v>
      </c>
      <c r="BN538" s="27" t="s">
        <v>7</v>
      </c>
      <c r="BO538" s="27" t="s">
        <v>8</v>
      </c>
      <c r="BV538" s="27" t="s">
        <v>7</v>
      </c>
      <c r="CA538" s="27" t="s">
        <v>8</v>
      </c>
      <c r="CC538" s="27" t="s">
        <v>8</v>
      </c>
      <c r="CE538" s="27" t="s">
        <v>8</v>
      </c>
      <c r="CF538" s="27" t="s">
        <v>7</v>
      </c>
      <c r="CG538" s="27" t="s">
        <v>8</v>
      </c>
      <c r="CN538" s="27" t="s">
        <v>7</v>
      </c>
      <c r="CO538" s="27" t="s">
        <v>8</v>
      </c>
      <c r="CV538" s="27" t="s">
        <v>7</v>
      </c>
      <c r="EX538" s="27" t="s">
        <v>7</v>
      </c>
      <c r="FU538" s="27" t="s">
        <v>8</v>
      </c>
      <c r="FX538" s="27" t="s">
        <v>7</v>
      </c>
      <c r="FY538" s="27" t="s">
        <v>8</v>
      </c>
      <c r="FZ538" s="27" t="s">
        <v>7</v>
      </c>
      <c r="GA538" s="27" t="s">
        <v>8</v>
      </c>
      <c r="GB538" s="27" t="s">
        <v>7</v>
      </c>
      <c r="GC538" s="27" t="s">
        <v>8</v>
      </c>
      <c r="GE538" s="27" t="s">
        <v>8</v>
      </c>
      <c r="GL538" s="27" t="s">
        <v>7</v>
      </c>
      <c r="GM538" s="27" t="s">
        <v>8</v>
      </c>
      <c r="GN538" s="27" t="s">
        <v>7</v>
      </c>
      <c r="GO538" s="27" t="s">
        <v>8</v>
      </c>
      <c r="GP538" s="27" t="s">
        <v>7</v>
      </c>
      <c r="GQ538" s="27" t="s">
        <v>8</v>
      </c>
    </row>
    <row r="539" spans="1:199" x14ac:dyDescent="0.25">
      <c r="A539" s="7">
        <v>2.5870703854994304</v>
      </c>
      <c r="B539"/>
      <c r="C539"/>
      <c r="D539"/>
      <c r="E539" t="s">
        <v>8</v>
      </c>
      <c r="BD539" s="27" t="s">
        <v>7</v>
      </c>
      <c r="BF539" s="27" t="s">
        <v>7</v>
      </c>
      <c r="BK539" s="27" t="s">
        <v>8</v>
      </c>
      <c r="BL539" s="27" t="s">
        <v>7</v>
      </c>
      <c r="BM539" s="27" t="s">
        <v>8</v>
      </c>
      <c r="BN539" s="27" t="s">
        <v>7</v>
      </c>
      <c r="BO539" s="27" t="s">
        <v>8</v>
      </c>
      <c r="BV539" s="27" t="s">
        <v>7</v>
      </c>
      <c r="CA539" s="27" t="s">
        <v>8</v>
      </c>
      <c r="CB539" s="27" t="s">
        <v>7</v>
      </c>
      <c r="CC539" s="27" t="s">
        <v>8</v>
      </c>
      <c r="CD539" s="27" t="s">
        <v>7</v>
      </c>
      <c r="CE539" s="27" t="s">
        <v>8</v>
      </c>
      <c r="CF539" s="27" t="s">
        <v>7</v>
      </c>
      <c r="CG539" s="27" t="s">
        <v>8</v>
      </c>
      <c r="CN539" s="27" t="s">
        <v>7</v>
      </c>
      <c r="EX539" s="27" t="s">
        <v>7</v>
      </c>
      <c r="FM539" s="27" t="s">
        <v>8</v>
      </c>
      <c r="FU539" s="27" t="s">
        <v>8</v>
      </c>
      <c r="FX539" s="27" t="s">
        <v>7</v>
      </c>
      <c r="FZ539" s="27" t="s">
        <v>7</v>
      </c>
      <c r="GA539" s="27" t="s">
        <v>8</v>
      </c>
      <c r="GB539" s="27" t="s">
        <v>7</v>
      </c>
      <c r="GC539" s="27" t="s">
        <v>8</v>
      </c>
      <c r="GD539" s="27" t="s">
        <v>7</v>
      </c>
      <c r="GE539" s="27" t="s">
        <v>8</v>
      </c>
      <c r="GL539" s="27" t="s">
        <v>7</v>
      </c>
      <c r="GN539" s="27" t="s">
        <v>7</v>
      </c>
      <c r="GP539" s="27" t="s">
        <v>7</v>
      </c>
      <c r="GQ539" s="27" t="s">
        <v>8</v>
      </c>
    </row>
    <row r="540" spans="1:199" x14ac:dyDescent="0.25">
      <c r="A540" s="7">
        <v>2.53634351519552</v>
      </c>
      <c r="B540"/>
      <c r="C540"/>
      <c r="D540"/>
      <c r="E540" t="s">
        <v>8</v>
      </c>
      <c r="BF540" s="27" t="s">
        <v>7</v>
      </c>
      <c r="BK540" s="27" t="s">
        <v>8</v>
      </c>
      <c r="BL540" s="27" t="s">
        <v>7</v>
      </c>
      <c r="BM540" s="27" t="s">
        <v>8</v>
      </c>
      <c r="BN540" s="27" t="s">
        <v>7</v>
      </c>
      <c r="BO540" s="27" t="s">
        <v>8</v>
      </c>
      <c r="BV540" s="27" t="s">
        <v>7</v>
      </c>
      <c r="CA540" s="27" t="s">
        <v>8</v>
      </c>
      <c r="CB540" s="27" t="s">
        <v>7</v>
      </c>
      <c r="CC540" s="27" t="s">
        <v>8</v>
      </c>
      <c r="CD540" s="27" t="s">
        <v>7</v>
      </c>
      <c r="CE540" s="27" t="s">
        <v>8</v>
      </c>
      <c r="CF540" s="27" t="s">
        <v>7</v>
      </c>
      <c r="EX540" s="27" t="s">
        <v>7</v>
      </c>
      <c r="FM540" s="27" t="s">
        <v>8</v>
      </c>
      <c r="FN540" s="27" t="s">
        <v>7</v>
      </c>
      <c r="FS540" s="27" t="s">
        <v>8</v>
      </c>
      <c r="FU540" s="27" t="s">
        <v>8</v>
      </c>
      <c r="FZ540" s="27" t="s">
        <v>7</v>
      </c>
      <c r="GA540" s="27" t="s">
        <v>8</v>
      </c>
      <c r="GB540" s="27" t="s">
        <v>7</v>
      </c>
      <c r="GC540" s="27" t="s">
        <v>8</v>
      </c>
      <c r="GD540" s="27" t="s">
        <v>7</v>
      </c>
      <c r="GE540" s="27" t="s">
        <v>8</v>
      </c>
      <c r="GP540" s="27" t="s">
        <v>7</v>
      </c>
      <c r="GQ540" s="27" t="s">
        <v>8</v>
      </c>
    </row>
    <row r="541" spans="1:199" x14ac:dyDescent="0.25">
      <c r="A541" s="7">
        <v>2.4866112894073726</v>
      </c>
      <c r="B541"/>
      <c r="C541"/>
      <c r="D541"/>
      <c r="E541" t="s">
        <v>8</v>
      </c>
      <c r="BF541" s="27" t="s">
        <v>7</v>
      </c>
      <c r="BK541" s="27" t="s">
        <v>8</v>
      </c>
      <c r="BL541" s="27" t="s">
        <v>7</v>
      </c>
      <c r="BM541" s="27" t="s">
        <v>8</v>
      </c>
      <c r="BN541" s="27" t="s">
        <v>7</v>
      </c>
      <c r="BO541" s="27" t="s">
        <v>8</v>
      </c>
      <c r="BV541" s="27" t="s">
        <v>7</v>
      </c>
      <c r="CA541" s="27" t="s">
        <v>8</v>
      </c>
      <c r="CB541" s="27" t="s">
        <v>7</v>
      </c>
      <c r="CC541" s="27" t="s">
        <v>8</v>
      </c>
      <c r="CD541" s="27" t="s">
        <v>7</v>
      </c>
      <c r="EX541" s="27" t="s">
        <v>7</v>
      </c>
      <c r="FK541" s="27" t="s">
        <v>8</v>
      </c>
      <c r="FM541" s="27" t="s">
        <v>8</v>
      </c>
      <c r="FN541" s="27" t="s">
        <v>7</v>
      </c>
      <c r="FS541" s="27" t="s">
        <v>8</v>
      </c>
      <c r="FT541" s="27" t="s">
        <v>7</v>
      </c>
      <c r="FU541" s="27" t="s">
        <v>8</v>
      </c>
      <c r="FZ541" s="27" t="s">
        <v>7</v>
      </c>
      <c r="GA541" s="27" t="s">
        <v>8</v>
      </c>
      <c r="GB541" s="27" t="s">
        <v>7</v>
      </c>
      <c r="GD541" s="27" t="s">
        <v>7</v>
      </c>
      <c r="GP541" s="27" t="s">
        <v>7</v>
      </c>
      <c r="GQ541" s="27" t="s">
        <v>8</v>
      </c>
    </row>
    <row r="542" spans="1:199" x14ac:dyDescent="0.25">
      <c r="A542" s="7">
        <v>2.4378542053013459</v>
      </c>
      <c r="B542"/>
      <c r="C542"/>
      <c r="D542"/>
      <c r="E542" t="s">
        <v>8</v>
      </c>
      <c r="BF542" s="27" t="s">
        <v>7</v>
      </c>
      <c r="BK542" s="27" t="s">
        <v>8</v>
      </c>
      <c r="BL542" s="27" t="s">
        <v>7</v>
      </c>
      <c r="BN542" s="27" t="s">
        <v>7</v>
      </c>
      <c r="BV542" s="27" t="s">
        <v>7</v>
      </c>
      <c r="CA542" s="27" t="s">
        <v>8</v>
      </c>
      <c r="CB542" s="27" t="s">
        <v>7</v>
      </c>
      <c r="EX542" s="27" t="s">
        <v>7</v>
      </c>
      <c r="FC542" s="27" t="s">
        <v>8</v>
      </c>
      <c r="FK542" s="27" t="s">
        <v>8</v>
      </c>
      <c r="FL542" s="27" t="s">
        <v>7</v>
      </c>
      <c r="FM542" s="27" t="s">
        <v>8</v>
      </c>
      <c r="FN542" s="27" t="s">
        <v>7</v>
      </c>
      <c r="FQ542" s="27" t="s">
        <v>8</v>
      </c>
      <c r="FS542" s="27" t="s">
        <v>8</v>
      </c>
      <c r="FT542" s="27" t="s">
        <v>7</v>
      </c>
      <c r="FU542" s="27" t="s">
        <v>8</v>
      </c>
      <c r="FZ542" s="27" t="s">
        <v>7</v>
      </c>
      <c r="GA542" s="27" t="s">
        <v>8</v>
      </c>
      <c r="GP542" s="27" t="s">
        <v>7</v>
      </c>
      <c r="GQ542" s="27" t="s">
        <v>8</v>
      </c>
    </row>
    <row r="543" spans="1:199" x14ac:dyDescent="0.25">
      <c r="A543" s="7">
        <v>2.3900531424522997</v>
      </c>
      <c r="B543"/>
      <c r="C543"/>
      <c r="D543"/>
      <c r="E543" t="s">
        <v>8</v>
      </c>
      <c r="BF543" s="27" t="s">
        <v>7</v>
      </c>
      <c r="BK543" s="27" t="s">
        <v>8</v>
      </c>
      <c r="BV543" s="27" t="s">
        <v>7</v>
      </c>
      <c r="BW543" s="27" t="s">
        <v>8</v>
      </c>
      <c r="CA543" s="27" t="s">
        <v>8</v>
      </c>
      <c r="EX543" s="27" t="s">
        <v>7</v>
      </c>
      <c r="FC543" s="27" t="s">
        <v>8</v>
      </c>
      <c r="FD543" s="27" t="s">
        <v>7</v>
      </c>
      <c r="FK543" s="27" t="s">
        <v>8</v>
      </c>
      <c r="FL543" s="27" t="s">
        <v>7</v>
      </c>
      <c r="FM543" s="27" t="s">
        <v>8</v>
      </c>
      <c r="FN543" s="27" t="s">
        <v>7</v>
      </c>
      <c r="FO543" s="27" t="s">
        <v>8</v>
      </c>
      <c r="FQ543" s="27" t="s">
        <v>8</v>
      </c>
      <c r="FR543" s="27" t="s">
        <v>7</v>
      </c>
      <c r="FS543" s="27" t="s">
        <v>8</v>
      </c>
      <c r="FT543" s="27" t="s">
        <v>7</v>
      </c>
      <c r="FU543" s="27" t="s">
        <v>8</v>
      </c>
      <c r="FZ543" s="27" t="s">
        <v>7</v>
      </c>
      <c r="GA543" s="27" t="s">
        <v>8</v>
      </c>
      <c r="GP543" s="27" t="s">
        <v>7</v>
      </c>
      <c r="GQ543" s="27" t="s">
        <v>8</v>
      </c>
    </row>
    <row r="544" spans="1:199" x14ac:dyDescent="0.25">
      <c r="A544" s="7">
        <v>2.343189355345392</v>
      </c>
      <c r="B544"/>
      <c r="C544"/>
      <c r="D544"/>
      <c r="E544" t="s">
        <v>8</v>
      </c>
      <c r="BF544" s="27" t="s">
        <v>7</v>
      </c>
      <c r="BK544" s="27" t="s">
        <v>8</v>
      </c>
      <c r="BV544" s="27" t="s">
        <v>7</v>
      </c>
      <c r="BW544" s="27" t="s">
        <v>8</v>
      </c>
      <c r="BX544" s="27" t="s">
        <v>7</v>
      </c>
      <c r="CA544" s="27" t="s">
        <v>8</v>
      </c>
      <c r="EX544" s="27" t="s">
        <v>7</v>
      </c>
      <c r="FC544" s="27" t="s">
        <v>8</v>
      </c>
      <c r="FD544" s="27" t="s">
        <v>7</v>
      </c>
      <c r="FK544" s="27" t="s">
        <v>8</v>
      </c>
      <c r="FL544" s="27" t="s">
        <v>7</v>
      </c>
      <c r="FN544" s="27" t="s">
        <v>7</v>
      </c>
      <c r="FO544" s="27" t="s">
        <v>8</v>
      </c>
      <c r="FP544" s="27" t="s">
        <v>7</v>
      </c>
      <c r="FQ544" s="27" t="s">
        <v>8</v>
      </c>
      <c r="FR544" s="27" t="s">
        <v>7</v>
      </c>
      <c r="FS544" s="27" t="s">
        <v>8</v>
      </c>
      <c r="FT544" s="27" t="s">
        <v>7</v>
      </c>
      <c r="FU544" s="27" t="s">
        <v>8</v>
      </c>
      <c r="FZ544" s="27" t="s">
        <v>7</v>
      </c>
      <c r="GA544" s="27" t="s">
        <v>8</v>
      </c>
      <c r="GP544" s="27" t="s">
        <v>7</v>
      </c>
      <c r="GQ544" s="27" t="s">
        <v>8</v>
      </c>
    </row>
    <row r="545" spans="1:198" x14ac:dyDescent="0.25">
      <c r="A545" s="7">
        <v>2.2972444660248938</v>
      </c>
      <c r="B545"/>
      <c r="C545"/>
      <c r="D545"/>
      <c r="E545" t="s">
        <v>8</v>
      </c>
      <c r="BF545" s="27" t="s">
        <v>7</v>
      </c>
      <c r="BK545" s="27" t="s">
        <v>8</v>
      </c>
      <c r="BV545" s="27" t="s">
        <v>7</v>
      </c>
      <c r="BW545" s="27" t="s">
        <v>8</v>
      </c>
      <c r="BX545" s="27" t="s">
        <v>7</v>
      </c>
      <c r="BY545" s="27" t="s">
        <v>8</v>
      </c>
      <c r="CA545" s="27" t="s">
        <v>8</v>
      </c>
      <c r="EX545" s="27" t="s">
        <v>7</v>
      </c>
      <c r="FC545" s="27" t="s">
        <v>8</v>
      </c>
      <c r="FD545" s="27" t="s">
        <v>7</v>
      </c>
      <c r="FK545" s="27" t="s">
        <v>8</v>
      </c>
      <c r="FN545" s="27" t="s">
        <v>7</v>
      </c>
      <c r="FO545" s="27" t="s">
        <v>8</v>
      </c>
      <c r="FP545" s="27" t="s">
        <v>7</v>
      </c>
      <c r="FQ545" s="27" t="s">
        <v>8</v>
      </c>
      <c r="FR545" s="27" t="s">
        <v>7</v>
      </c>
      <c r="FS545" s="27" t="s">
        <v>8</v>
      </c>
      <c r="FT545" s="27" t="s">
        <v>7</v>
      </c>
      <c r="FZ545" s="27" t="s">
        <v>7</v>
      </c>
      <c r="GP545" s="27" t="s">
        <v>7</v>
      </c>
    </row>
    <row r="546" spans="1:198" x14ac:dyDescent="0.25">
      <c r="A546" s="7">
        <v>2.252200456887151</v>
      </c>
      <c r="B546"/>
      <c r="C546"/>
      <c r="D546"/>
      <c r="E546" t="s">
        <v>8</v>
      </c>
      <c r="BF546" s="27" t="s">
        <v>7</v>
      </c>
      <c r="BK546" s="27" t="s">
        <v>8</v>
      </c>
      <c r="BV546" s="27" t="s">
        <v>7</v>
      </c>
      <c r="BW546" s="27" t="s">
        <v>8</v>
      </c>
      <c r="BX546" s="27" t="s">
        <v>7</v>
      </c>
      <c r="BY546" s="27" t="s">
        <v>8</v>
      </c>
      <c r="BZ546" s="27" t="s">
        <v>7</v>
      </c>
      <c r="CA546" s="27" t="s">
        <v>8</v>
      </c>
      <c r="EX546" s="27" t="s">
        <v>7</v>
      </c>
      <c r="FC546" s="27" t="s">
        <v>8</v>
      </c>
      <c r="FD546" s="27" t="s">
        <v>7</v>
      </c>
      <c r="FK546" s="27" t="s">
        <v>8</v>
      </c>
      <c r="FN546" s="27" t="s">
        <v>7</v>
      </c>
      <c r="FO546" s="27" t="s">
        <v>8</v>
      </c>
      <c r="FP546" s="27" t="s">
        <v>7</v>
      </c>
      <c r="FQ546" s="27" t="s">
        <v>8</v>
      </c>
      <c r="FR546" s="27" t="s">
        <v>7</v>
      </c>
      <c r="FS546" s="27" t="s">
        <v>8</v>
      </c>
    </row>
    <row r="547" spans="1:198" x14ac:dyDescent="0.25">
      <c r="A547" s="7">
        <v>2.208039663614854</v>
      </c>
      <c r="B547"/>
      <c r="C547"/>
      <c r="D547"/>
      <c r="E547" t="s">
        <v>8</v>
      </c>
      <c r="BF547" s="27" t="s">
        <v>7</v>
      </c>
      <c r="BG547" s="27" t="s">
        <v>8</v>
      </c>
      <c r="BI547" s="27" t="s">
        <v>8</v>
      </c>
      <c r="BK547" s="27" t="s">
        <v>8</v>
      </c>
      <c r="BV547" s="27" t="s">
        <v>7</v>
      </c>
      <c r="BW547" s="27" t="s">
        <v>8</v>
      </c>
      <c r="BX547" s="27" t="s">
        <v>7</v>
      </c>
      <c r="BY547" s="27" t="s">
        <v>8</v>
      </c>
      <c r="BZ547" s="27" t="s">
        <v>7</v>
      </c>
      <c r="CA547" s="27" t="s">
        <v>8</v>
      </c>
      <c r="EX547" s="27" t="s">
        <v>7</v>
      </c>
      <c r="FC547" s="27" t="s">
        <v>8</v>
      </c>
      <c r="FD547" s="27" t="s">
        <v>7</v>
      </c>
      <c r="FE547" s="27" t="s">
        <v>8</v>
      </c>
      <c r="FK547" s="27" t="s">
        <v>8</v>
      </c>
      <c r="FN547" s="27" t="s">
        <v>7</v>
      </c>
      <c r="FP547" s="27" t="s">
        <v>7</v>
      </c>
      <c r="FR547" s="27" t="s">
        <v>7</v>
      </c>
    </row>
    <row r="548" spans="1:198" x14ac:dyDescent="0.25">
      <c r="A548" s="7">
        <v>2.1647447682498568</v>
      </c>
      <c r="B548"/>
      <c r="C548"/>
      <c r="D548"/>
      <c r="E548" t="s">
        <v>8</v>
      </c>
      <c r="BF548" s="27" t="s">
        <v>7</v>
      </c>
      <c r="BG548" s="27" t="s">
        <v>8</v>
      </c>
      <c r="BH548" s="27" t="s">
        <v>7</v>
      </c>
      <c r="BI548" s="27" t="s">
        <v>8</v>
      </c>
      <c r="BJ548" s="27" t="s">
        <v>7</v>
      </c>
      <c r="BK548" s="27" t="s">
        <v>8</v>
      </c>
      <c r="BV548" s="27" t="s">
        <v>7</v>
      </c>
      <c r="BW548" s="27" t="s">
        <v>8</v>
      </c>
      <c r="BX548" s="27" t="s">
        <v>7</v>
      </c>
      <c r="BY548" s="27" t="s">
        <v>8</v>
      </c>
      <c r="BZ548" s="27" t="s">
        <v>7</v>
      </c>
      <c r="CA548" s="27" t="s">
        <v>8</v>
      </c>
      <c r="EX548" s="27" t="s">
        <v>7</v>
      </c>
      <c r="FC548" s="27" t="s">
        <v>8</v>
      </c>
      <c r="FD548" s="27" t="s">
        <v>7</v>
      </c>
      <c r="FE548" s="27" t="s">
        <v>8</v>
      </c>
      <c r="FF548" s="27" t="s">
        <v>7</v>
      </c>
      <c r="FK548" s="27" t="s">
        <v>8</v>
      </c>
    </row>
    <row r="549" spans="1:198" x14ac:dyDescent="0.25">
      <c r="A549" s="7">
        <v>2.1222987924018204</v>
      </c>
      <c r="B549"/>
      <c r="C549"/>
      <c r="D549"/>
      <c r="E549" t="s">
        <v>8</v>
      </c>
      <c r="BF549" s="27" t="s">
        <v>7</v>
      </c>
      <c r="BG549" s="27" t="s">
        <v>8</v>
      </c>
      <c r="BH549" s="27" t="s">
        <v>7</v>
      </c>
      <c r="BI549" s="27" t="s">
        <v>8</v>
      </c>
      <c r="BJ549" s="27" t="s">
        <v>7</v>
      </c>
      <c r="BK549" s="27" t="s">
        <v>8</v>
      </c>
      <c r="BV549" s="27" t="s">
        <v>7</v>
      </c>
      <c r="BW549" s="27" t="s">
        <v>8</v>
      </c>
      <c r="BX549" s="27" t="s">
        <v>7</v>
      </c>
      <c r="BY549" s="27" t="s">
        <v>8</v>
      </c>
      <c r="BZ549" s="27" t="s">
        <v>7</v>
      </c>
      <c r="EX549" s="27" t="s">
        <v>7</v>
      </c>
      <c r="FC549" s="27" t="s">
        <v>8</v>
      </c>
      <c r="FD549" s="27" t="s">
        <v>7</v>
      </c>
      <c r="FE549" s="27" t="s">
        <v>8</v>
      </c>
      <c r="FF549" s="27" t="s">
        <v>7</v>
      </c>
      <c r="FK549" s="27" t="s">
        <v>8</v>
      </c>
    </row>
    <row r="550" spans="1:198" x14ac:dyDescent="0.25">
      <c r="A550" s="7">
        <v>2.0806850905900198</v>
      </c>
      <c r="B550"/>
      <c r="C550"/>
      <c r="D550"/>
      <c r="E550" t="s">
        <v>8</v>
      </c>
      <c r="BF550" s="27" t="s">
        <v>7</v>
      </c>
      <c r="BG550" s="27" t="s">
        <v>8</v>
      </c>
      <c r="BH550" s="27" t="s">
        <v>7</v>
      </c>
      <c r="BJ550" s="27" t="s">
        <v>7</v>
      </c>
      <c r="BK550" s="27" t="s">
        <v>8</v>
      </c>
      <c r="BV550" s="27" t="s">
        <v>7</v>
      </c>
      <c r="BW550" s="27" t="s">
        <v>8</v>
      </c>
      <c r="BX550" s="27" t="s">
        <v>7</v>
      </c>
      <c r="EX550" s="27" t="s">
        <v>7</v>
      </c>
      <c r="EY550" s="27" t="s">
        <v>8</v>
      </c>
      <c r="FC550" s="27" t="s">
        <v>8</v>
      </c>
      <c r="FD550" s="27" t="s">
        <v>7</v>
      </c>
      <c r="FE550" s="27" t="s">
        <v>8</v>
      </c>
      <c r="FF550" s="27" t="s">
        <v>7</v>
      </c>
      <c r="FI550" s="27" t="s">
        <v>8</v>
      </c>
      <c r="FK550" s="27" t="s">
        <v>8</v>
      </c>
    </row>
    <row r="551" spans="1:198" x14ac:dyDescent="0.25">
      <c r="A551" s="7">
        <v>2.0398873437157055</v>
      </c>
      <c r="B551"/>
      <c r="C551"/>
      <c r="D551"/>
      <c r="E551" t="s">
        <v>8</v>
      </c>
      <c r="BF551" s="27" t="s">
        <v>7</v>
      </c>
      <c r="BG551" s="27" t="s">
        <v>8</v>
      </c>
      <c r="BJ551" s="27" t="s">
        <v>7</v>
      </c>
      <c r="BK551" s="27" t="s">
        <v>8</v>
      </c>
      <c r="BV551" s="27" t="s">
        <v>7</v>
      </c>
      <c r="BW551" s="27" t="s">
        <v>8</v>
      </c>
      <c r="EX551" s="27" t="s">
        <v>7</v>
      </c>
      <c r="EY551" s="27" t="s">
        <v>8</v>
      </c>
      <c r="EZ551" s="27" t="s">
        <v>7</v>
      </c>
      <c r="FC551" s="27" t="s">
        <v>8</v>
      </c>
      <c r="FD551" s="27" t="s">
        <v>7</v>
      </c>
      <c r="FE551" s="27" t="s">
        <v>8</v>
      </c>
      <c r="FF551" s="27" t="s">
        <v>7</v>
      </c>
      <c r="FI551" s="27" t="s">
        <v>8</v>
      </c>
      <c r="FJ551" s="27" t="s">
        <v>7</v>
      </c>
      <c r="FK551" s="27" t="s">
        <v>8</v>
      </c>
    </row>
    <row r="552" spans="1:198" x14ac:dyDescent="0.25">
      <c r="A552" s="7">
        <v>1.9998895526624565</v>
      </c>
      <c r="B552"/>
      <c r="C552"/>
      <c r="D552"/>
      <c r="E552" t="s">
        <v>8</v>
      </c>
      <c r="BF552" s="27" t="s">
        <v>7</v>
      </c>
      <c r="BJ552" s="27" t="s">
        <v>7</v>
      </c>
      <c r="BK552" s="27" t="s">
        <v>8</v>
      </c>
      <c r="BV552" s="27" t="s">
        <v>7</v>
      </c>
      <c r="BW552" s="27" t="s">
        <v>8</v>
      </c>
      <c r="EX552" s="27" t="s">
        <v>7</v>
      </c>
      <c r="EY552" s="27" t="s">
        <v>8</v>
      </c>
      <c r="EZ552" s="27" t="s">
        <v>7</v>
      </c>
      <c r="FC552" s="27" t="s">
        <v>8</v>
      </c>
      <c r="FD552" s="27" t="s">
        <v>7</v>
      </c>
      <c r="FE552" s="27" t="s">
        <v>8</v>
      </c>
      <c r="FF552" s="27" t="s">
        <v>7</v>
      </c>
      <c r="FG552" s="27" t="s">
        <v>8</v>
      </c>
      <c r="FI552" s="27" t="s">
        <v>8</v>
      </c>
      <c r="FJ552" s="27" t="s">
        <v>7</v>
      </c>
      <c r="FK552" s="27" t="s">
        <v>8</v>
      </c>
    </row>
    <row r="553" spans="1:198" x14ac:dyDescent="0.25">
      <c r="A553" s="7">
        <v>1.9606760320220162</v>
      </c>
      <c r="B553"/>
      <c r="C553"/>
      <c r="D553"/>
      <c r="E553" t="s">
        <v>8</v>
      </c>
      <c r="BJ553" s="27" t="s">
        <v>7</v>
      </c>
      <c r="BK553" s="27" t="s">
        <v>8</v>
      </c>
      <c r="BV553" s="27" t="s">
        <v>7</v>
      </c>
      <c r="EX553" s="27" t="s">
        <v>7</v>
      </c>
      <c r="EY553" s="27" t="s">
        <v>8</v>
      </c>
      <c r="EZ553" s="27" t="s">
        <v>7</v>
      </c>
      <c r="FC553" s="27" t="s">
        <v>8</v>
      </c>
      <c r="FD553" s="27" t="s">
        <v>7</v>
      </c>
      <c r="FE553" s="27" t="s">
        <v>8</v>
      </c>
      <c r="FF553" s="27" t="s">
        <v>7</v>
      </c>
      <c r="FG553" s="27" t="s">
        <v>8</v>
      </c>
      <c r="FH553" s="27" t="s">
        <v>7</v>
      </c>
      <c r="FI553" s="27" t="s">
        <v>8</v>
      </c>
      <c r="FJ553" s="27" t="s">
        <v>7</v>
      </c>
    </row>
    <row r="554" spans="1:198" x14ac:dyDescent="0.25">
      <c r="A554" s="7">
        <v>1.9222314039431532</v>
      </c>
      <c r="B554"/>
      <c r="C554"/>
      <c r="D554"/>
      <c r="E554" t="s">
        <v>8</v>
      </c>
      <c r="BJ554" s="27" t="s">
        <v>7</v>
      </c>
      <c r="BK554" s="27" t="s">
        <v>8</v>
      </c>
      <c r="EX554" s="27" t="s">
        <v>7</v>
      </c>
      <c r="EY554" s="27" t="s">
        <v>8</v>
      </c>
      <c r="EZ554" s="27" t="s">
        <v>7</v>
      </c>
      <c r="FC554" s="27" t="s">
        <v>8</v>
      </c>
      <c r="FD554" s="27" t="s">
        <v>7</v>
      </c>
      <c r="FF554" s="27" t="s">
        <v>7</v>
      </c>
      <c r="FG554" s="27" t="s">
        <v>8</v>
      </c>
      <c r="FH554" s="27" t="s">
        <v>7</v>
      </c>
      <c r="FI554" s="27" t="s">
        <v>8</v>
      </c>
    </row>
    <row r="555" spans="1:198" x14ac:dyDescent="0.25">
      <c r="A555" s="7">
        <v>1.8845405921011305</v>
      </c>
      <c r="B555"/>
      <c r="C555"/>
      <c r="D555"/>
      <c r="E555" t="s">
        <v>8</v>
      </c>
      <c r="BJ555" s="27" t="s">
        <v>7</v>
      </c>
      <c r="BK555" s="27" t="s">
        <v>8</v>
      </c>
      <c r="EX555" s="27" t="s">
        <v>7</v>
      </c>
      <c r="EY555" s="27" t="s">
        <v>8</v>
      </c>
      <c r="EZ555" s="27" t="s">
        <v>7</v>
      </c>
      <c r="FC555" s="27" t="s">
        <v>8</v>
      </c>
      <c r="FF555" s="27" t="s">
        <v>7</v>
      </c>
      <c r="FG555" s="27" t="s">
        <v>8</v>
      </c>
      <c r="FH555" s="27" t="s">
        <v>7</v>
      </c>
    </row>
    <row r="556" spans="1:198" x14ac:dyDescent="0.25">
      <c r="A556" s="7">
        <v>1.8475888157854219</v>
      </c>
      <c r="B556"/>
      <c r="C556"/>
      <c r="D556"/>
      <c r="E556" t="s">
        <v>8</v>
      </c>
      <c r="BJ556" s="27" t="s">
        <v>7</v>
      </c>
      <c r="EX556" s="27" t="s">
        <v>7</v>
      </c>
      <c r="EY556" s="27" t="s">
        <v>8</v>
      </c>
      <c r="EZ556" s="27" t="s">
        <v>7</v>
      </c>
      <c r="FA556" s="27" t="s">
        <v>8</v>
      </c>
      <c r="FC556" s="27" t="s">
        <v>8</v>
      </c>
      <c r="FF556" s="27" t="s">
        <v>7</v>
      </c>
    </row>
    <row r="557" spans="1:198" x14ac:dyDescent="0.25">
      <c r="A557" s="7">
        <v>1.8113615841033548</v>
      </c>
      <c r="B557"/>
      <c r="C557"/>
      <c r="D557"/>
      <c r="E557" t="s">
        <v>8</v>
      </c>
      <c r="EX557" s="27" t="s">
        <v>7</v>
      </c>
      <c r="EY557" s="27" t="s">
        <v>8</v>
      </c>
      <c r="EZ557" s="27" t="s">
        <v>7</v>
      </c>
      <c r="FA557" s="27" t="s">
        <v>8</v>
      </c>
      <c r="FB557" s="27" t="s">
        <v>7</v>
      </c>
      <c r="FC557" s="27" t="s">
        <v>8</v>
      </c>
    </row>
    <row r="558" spans="1:198" x14ac:dyDescent="0.25">
      <c r="A558" s="7">
        <v>1.7758446902974065</v>
      </c>
      <c r="B558"/>
      <c r="C558"/>
      <c r="D558"/>
      <c r="E558" t="s">
        <v>8</v>
      </c>
      <c r="EX558" s="27" t="s">
        <v>7</v>
      </c>
      <c r="EY558" s="27" t="s">
        <v>8</v>
      </c>
      <c r="EZ558" s="27" t="s">
        <v>7</v>
      </c>
      <c r="FA558" s="27" t="s">
        <v>8</v>
      </c>
      <c r="FB558" s="27" t="s">
        <v>7</v>
      </c>
      <c r="FC558" s="27" t="s">
        <v>8</v>
      </c>
    </row>
    <row r="559" spans="1:198" x14ac:dyDescent="0.25">
      <c r="A559" s="7">
        <v>1.7410242061739281</v>
      </c>
      <c r="B559"/>
      <c r="C559"/>
      <c r="D559"/>
      <c r="E559" t="s">
        <v>8</v>
      </c>
      <c r="EX559" s="27" t="s">
        <v>7</v>
      </c>
      <c r="EY559" s="27" t="s">
        <v>8</v>
      </c>
      <c r="EZ559" s="27" t="s">
        <v>7</v>
      </c>
      <c r="FA559" s="27" t="s">
        <v>8</v>
      </c>
      <c r="FB559" s="27" t="s">
        <v>7</v>
      </c>
      <c r="FC559" s="27" t="s">
        <v>8</v>
      </c>
    </row>
    <row r="560" spans="1:198" x14ac:dyDescent="0.25">
      <c r="A560" s="7">
        <v>1.7068864766411058</v>
      </c>
      <c r="B560"/>
      <c r="C560"/>
      <c r="D560"/>
      <c r="E560" t="s">
        <v>8</v>
      </c>
      <c r="EX560" s="27" t="s">
        <v>7</v>
      </c>
      <c r="EY560" s="27" t="s">
        <v>8</v>
      </c>
      <c r="EZ560" s="27" t="s">
        <v>7</v>
      </c>
      <c r="FA560" s="27" t="s">
        <v>8</v>
      </c>
      <c r="FB560" s="27" t="s">
        <v>7</v>
      </c>
      <c r="FC560" s="27" t="s">
        <v>8</v>
      </c>
    </row>
    <row r="561" spans="1:158" x14ac:dyDescent="0.25">
      <c r="A561" s="7">
        <v>1.6734181143540252</v>
      </c>
      <c r="B561"/>
      <c r="C561"/>
      <c r="D561"/>
      <c r="E561" t="s">
        <v>8</v>
      </c>
      <c r="EX561" s="27" t="s">
        <v>7</v>
      </c>
      <c r="EY561" s="27" t="s">
        <v>8</v>
      </c>
      <c r="EZ561" s="27" t="s">
        <v>7</v>
      </c>
      <c r="FA561" s="27" t="s">
        <v>8</v>
      </c>
      <c r="FB561" s="27" t="s">
        <v>7</v>
      </c>
    </row>
    <row r="562" spans="1:158" x14ac:dyDescent="0.25">
      <c r="A562" s="7">
        <v>1.6406059944647307</v>
      </c>
      <c r="B562"/>
      <c r="C562"/>
      <c r="D562"/>
      <c r="E562" t="s">
        <v>8</v>
      </c>
      <c r="EX562" s="27" t="s">
        <v>7</v>
      </c>
      <c r="EY562" s="27" t="s">
        <v>8</v>
      </c>
      <c r="EZ562" s="27" t="s">
        <v>7</v>
      </c>
      <c r="FA562" s="27" t="s">
        <v>8</v>
      </c>
    </row>
    <row r="563" spans="1:158" x14ac:dyDescent="0.25">
      <c r="A563" s="7">
        <v>1.6084372494752261</v>
      </c>
      <c r="B563"/>
      <c r="C563"/>
      <c r="D563"/>
      <c r="E563" t="s">
        <v>8</v>
      </c>
      <c r="EX563" s="27" t="s">
        <v>7</v>
      </c>
      <c r="EY563" s="27" t="s">
        <v>8</v>
      </c>
      <c r="EZ563" s="27" t="s">
        <v>7</v>
      </c>
      <c r="FA563" s="27" t="s">
        <v>8</v>
      </c>
    </row>
    <row r="564" spans="1:158" x14ac:dyDescent="0.25">
      <c r="A564" s="7">
        <v>1.5768992641913981</v>
      </c>
      <c r="B564"/>
      <c r="C564"/>
      <c r="D564"/>
      <c r="E564" t="s">
        <v>8</v>
      </c>
      <c r="EX564" s="27" t="s">
        <v>7</v>
      </c>
      <c r="EY564" s="27" t="s">
        <v>8</v>
      </c>
      <c r="EZ564" s="27" t="s">
        <v>7</v>
      </c>
      <c r="FA564" s="27" t="s">
        <v>8</v>
      </c>
    </row>
    <row r="565" spans="1:158" x14ac:dyDescent="0.25">
      <c r="A565" s="7">
        <v>1.5459796707758806</v>
      </c>
      <c r="B565"/>
      <c r="C565"/>
      <c r="D565"/>
      <c r="E565" t="s">
        <v>8</v>
      </c>
      <c r="EX565" s="27" t="s">
        <v>7</v>
      </c>
      <c r="EY565" s="27" t="s">
        <v>8</v>
      </c>
      <c r="EZ565" s="27" t="s">
        <v>7</v>
      </c>
      <c r="FA565" s="27" t="s">
        <v>8</v>
      </c>
    </row>
    <row r="566" spans="1:158" x14ac:dyDescent="0.25">
      <c r="A566" s="7">
        <v>1.5156663438979221</v>
      </c>
      <c r="B566"/>
      <c r="C566"/>
      <c r="D566"/>
      <c r="E566" t="s">
        <v>8</v>
      </c>
      <c r="EX566" s="27" t="s">
        <v>7</v>
      </c>
      <c r="EY566" s="27" t="s">
        <v>8</v>
      </c>
      <c r="EZ566" s="27" t="s">
        <v>7</v>
      </c>
    </row>
    <row r="567" spans="1:158" x14ac:dyDescent="0.25">
      <c r="A567" s="7">
        <v>1.4859473959783549</v>
      </c>
      <c r="B567"/>
      <c r="C567"/>
      <c r="D567"/>
      <c r="E567" t="s">
        <v>8</v>
      </c>
      <c r="EX567" s="27" t="s">
        <v>7</v>
      </c>
      <c r="EY567" s="27" t="s">
        <v>8</v>
      </c>
    </row>
    <row r="568" spans="1:158" x14ac:dyDescent="0.25">
      <c r="A568" s="7">
        <v>1.4568111725277988</v>
      </c>
      <c r="B568"/>
      <c r="C568"/>
      <c r="D568"/>
      <c r="E568" t="s">
        <v>8</v>
      </c>
      <c r="EX568" s="27" t="s">
        <v>7</v>
      </c>
      <c r="EY568" s="27" t="s">
        <v>8</v>
      </c>
    </row>
    <row r="569" spans="1:158" x14ac:dyDescent="0.25">
      <c r="A569" s="7">
        <v>1.4282462475762734</v>
      </c>
      <c r="B569"/>
      <c r="C569"/>
      <c r="D569"/>
      <c r="E569" t="s">
        <v>8</v>
      </c>
      <c r="EX569" s="27" t="s">
        <v>7</v>
      </c>
      <c r="EY569" s="27" t="s">
        <v>8</v>
      </c>
    </row>
    <row r="570" spans="1:158" x14ac:dyDescent="0.25">
      <c r="A570" s="7">
        <v>1.4002414191924248</v>
      </c>
      <c r="B570"/>
      <c r="C570"/>
      <c r="D570"/>
      <c r="E570" t="s">
        <v>8</v>
      </c>
      <c r="EX570" s="27" t="s">
        <v>7</v>
      </c>
      <c r="EY570" s="27" t="s">
        <v>8</v>
      </c>
    </row>
    <row r="571" spans="1:158" x14ac:dyDescent="0.25">
      <c r="A571" s="7">
        <v>1.3727857050906125</v>
      </c>
      <c r="B571"/>
      <c r="C571"/>
      <c r="D571"/>
      <c r="E571" t="s">
        <v>8</v>
      </c>
      <c r="EX571" s="27" t="s">
        <v>7</v>
      </c>
      <c r="EY571" s="27" t="s">
        <v>8</v>
      </c>
    </row>
    <row r="572" spans="1:158" x14ac:dyDescent="0.25">
      <c r="A572" s="7">
        <v>1.3458683383241299</v>
      </c>
      <c r="B572"/>
      <c r="C572"/>
      <c r="D572"/>
      <c r="E572" t="s">
        <v>8</v>
      </c>
      <c r="EX572" s="27" t="s">
        <v>7</v>
      </c>
      <c r="EY572" s="27" t="s">
        <v>8</v>
      </c>
    </row>
    <row r="573" spans="1:158" x14ac:dyDescent="0.25">
      <c r="A573" s="7">
        <v>1.3194787630628724</v>
      </c>
      <c r="B573"/>
      <c r="C573"/>
      <c r="D573"/>
      <c r="E573" t="s">
        <v>8</v>
      </c>
      <c r="EX573" s="27" t="s">
        <v>7</v>
      </c>
      <c r="EY573" s="27" t="s">
        <v>8</v>
      </c>
    </row>
    <row r="574" spans="1:158" x14ac:dyDescent="0.25">
      <c r="A574" s="7">
        <v>1.2936066304537963</v>
      </c>
      <c r="B574"/>
      <c r="C574"/>
      <c r="D574"/>
      <c r="E574" t="s">
        <v>8</v>
      </c>
      <c r="EX574" s="27" t="s">
        <v>7</v>
      </c>
      <c r="EY574" s="27" t="s">
        <v>8</v>
      </c>
    </row>
    <row r="575" spans="1:158" x14ac:dyDescent="0.25">
      <c r="A575" s="7">
        <v>1.2682417945625455</v>
      </c>
      <c r="B575"/>
      <c r="C575"/>
      <c r="D575"/>
      <c r="E575" t="s">
        <v>8</v>
      </c>
      <c r="EX575" s="27" t="s">
        <v>7</v>
      </c>
      <c r="EY575" s="27" t="s">
        <v>8</v>
      </c>
    </row>
    <row r="576" spans="1:158" x14ac:dyDescent="0.25">
      <c r="A576" s="7">
        <v>1.2433743083946525</v>
      </c>
      <c r="B576"/>
      <c r="C576"/>
      <c r="D576"/>
      <c r="E576" t="s">
        <v>8</v>
      </c>
      <c r="EX576" s="27" t="s">
        <v>7</v>
      </c>
      <c r="EY576" s="27" t="s">
        <v>8</v>
      </c>
    </row>
    <row r="577" spans="1:155" x14ac:dyDescent="0.25">
      <c r="A577" s="7">
        <v>1.2189944199947573</v>
      </c>
      <c r="B577"/>
      <c r="C577"/>
      <c r="D577"/>
      <c r="E577" t="s">
        <v>8</v>
      </c>
      <c r="EX577" s="27" t="s">
        <v>7</v>
      </c>
      <c r="EY577" s="27" t="s">
        <v>8</v>
      </c>
    </row>
    <row r="578" spans="1:155" x14ac:dyDescent="0.25">
      <c r="A578" s="7">
        <v>1.1950925686223111</v>
      </c>
      <c r="B578"/>
      <c r="C578"/>
      <c r="D578"/>
      <c r="E578" t="s">
        <v>8</v>
      </c>
      <c r="EX578" s="27" t="s">
        <v>7</v>
      </c>
      <c r="EY578" s="27" t="s">
        <v>8</v>
      </c>
    </row>
    <row r="579" spans="1:155" x14ac:dyDescent="0.25">
      <c r="A579" s="7">
        <v>1.1716593810022657</v>
      </c>
      <c r="B579"/>
      <c r="C579"/>
      <c r="D579"/>
      <c r="E579" t="s">
        <v>8</v>
      </c>
      <c r="EX579" s="27" t="s">
        <v>7</v>
      </c>
      <c r="EY579" s="27" t="s">
        <v>8</v>
      </c>
    </row>
    <row r="580" spans="1:155" x14ac:dyDescent="0.25">
      <c r="A580" s="7">
        <v>1.14868566764928</v>
      </c>
      <c r="B580"/>
      <c r="C580"/>
      <c r="D580"/>
      <c r="E580" t="s">
        <v>8</v>
      </c>
      <c r="EX580" s="27" t="s">
        <v>7</v>
      </c>
      <c r="EY580" s="27" t="s">
        <v>8</v>
      </c>
    </row>
    <row r="581" spans="1:155" x14ac:dyDescent="0.25">
      <c r="A581" s="7">
        <v>1.1261624192640001</v>
      </c>
      <c r="B581"/>
      <c r="C581"/>
      <c r="D581"/>
      <c r="E581" t="s">
        <v>8</v>
      </c>
      <c r="EX581" s="27" t="s">
        <v>7</v>
      </c>
      <c r="EY581" s="27" t="s">
        <v>8</v>
      </c>
    </row>
    <row r="582" spans="1:155" x14ac:dyDescent="0.25">
      <c r="A582" s="7">
        <v>1.1040808032</v>
      </c>
      <c r="B582"/>
      <c r="C582"/>
      <c r="D582"/>
      <c r="E582" t="s">
        <v>8</v>
      </c>
      <c r="EX582" s="27" t="s">
        <v>7</v>
      </c>
      <c r="EY582" s="27" t="s">
        <v>8</v>
      </c>
    </row>
    <row r="583" spans="1:155" x14ac:dyDescent="0.25">
      <c r="A583" s="7">
        <v>1.08243216</v>
      </c>
      <c r="B583"/>
      <c r="C583"/>
      <c r="D583"/>
      <c r="E583" t="s">
        <v>8</v>
      </c>
      <c r="EX583" s="27" t="s">
        <v>7</v>
      </c>
      <c r="EY583" s="27" t="s">
        <v>8</v>
      </c>
    </row>
    <row r="584" spans="1:155" x14ac:dyDescent="0.25">
      <c r="A584" s="7">
        <v>1.0612079999999999</v>
      </c>
      <c r="B584"/>
      <c r="C584"/>
      <c r="D584"/>
      <c r="E584" t="s">
        <v>8</v>
      </c>
      <c r="EX584" s="27" t="s">
        <v>7</v>
      </c>
    </row>
    <row r="585" spans="1:155" x14ac:dyDescent="0.25">
      <c r="A585" s="7">
        <v>1.0404</v>
      </c>
      <c r="B585"/>
      <c r="C585"/>
      <c r="D585"/>
      <c r="E585" t="s">
        <v>8</v>
      </c>
    </row>
    <row r="586" spans="1:155" x14ac:dyDescent="0.25">
      <c r="A586" s="7">
        <v>1.02</v>
      </c>
      <c r="B586"/>
      <c r="C586"/>
      <c r="D586"/>
      <c r="E586" t="s">
        <v>8</v>
      </c>
    </row>
    <row r="587" spans="1:155" x14ac:dyDescent="0.25">
      <c r="A587" s="7">
        <v>1</v>
      </c>
      <c r="B587"/>
      <c r="C587"/>
      <c r="D587"/>
      <c r="E587" s="29" t="s">
        <v>8</v>
      </c>
    </row>
    <row r="588" spans="1:155" x14ac:dyDescent="0.25">
      <c r="A588" s="7">
        <v>0.98039215686274506</v>
      </c>
      <c r="B588"/>
      <c r="C588"/>
      <c r="D588"/>
      <c r="E588"/>
    </row>
    <row r="589" spans="1:155" x14ac:dyDescent="0.25">
      <c r="A589" s="7">
        <v>0.96116878123798544</v>
      </c>
      <c r="B589"/>
      <c r="C589"/>
      <c r="D589"/>
      <c r="E589"/>
    </row>
    <row r="590" spans="1:155" x14ac:dyDescent="0.25">
      <c r="A590" s="7">
        <v>0.94232233454704462</v>
      </c>
      <c r="B590"/>
      <c r="C590"/>
      <c r="D590"/>
      <c r="E590"/>
    </row>
    <row r="591" spans="1:155" x14ac:dyDescent="0.25">
      <c r="A591" s="7">
        <v>0.92384542602651432</v>
      </c>
      <c r="B591"/>
      <c r="C591"/>
      <c r="D591"/>
      <c r="E591"/>
    </row>
    <row r="592" spans="1:15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10" operator="equal">
      <formula>$U$1</formula>
    </cfRule>
    <cfRule type="cellIs" dxfId="89" priority="1411" operator="equal">
      <formula>$S$1</formula>
    </cfRule>
  </conditionalFormatting>
  <conditionalFormatting sqref="D27">
    <cfRule type="cellIs" dxfId="88" priority="1408" operator="equal">
      <formula>$S$1</formula>
    </cfRule>
    <cfRule type="cellIs" dxfId="87" priority="1409" operator="equal">
      <formula>$U$1</formula>
    </cfRule>
  </conditionalFormatting>
  <conditionalFormatting sqref="C164">
    <cfRule type="cellIs" dxfId="86" priority="1406" operator="equal">
      <formula>$U$1</formula>
    </cfRule>
    <cfRule type="cellIs" dxfId="85" priority="1407" operator="equal">
      <formula>$S$1</formula>
    </cfRule>
  </conditionalFormatting>
  <conditionalFormatting sqref="D164">
    <cfRule type="cellIs" dxfId="84" priority="1404" operator="equal">
      <formula>$S$1</formula>
    </cfRule>
    <cfRule type="cellIs" dxfId="83" priority="1405" operator="equal">
      <formula>$U$1</formula>
    </cfRule>
  </conditionalFormatting>
  <conditionalFormatting sqref="C55">
    <cfRule type="cellIs" dxfId="82" priority="1402" operator="equal">
      <formula>$U$1</formula>
    </cfRule>
    <cfRule type="cellIs" dxfId="81" priority="1403" operator="equal">
      <formula>$S$1</formula>
    </cfRule>
  </conditionalFormatting>
  <conditionalFormatting sqref="D55">
    <cfRule type="cellIs" dxfId="80" priority="1400" operator="equal">
      <formula>$S$1</formula>
    </cfRule>
    <cfRule type="cellIs" dxfId="79" priority="1401" operator="equal">
      <formula>$U$1</formula>
    </cfRule>
  </conditionalFormatting>
  <conditionalFormatting sqref="C89">
    <cfRule type="cellIs" dxfId="78" priority="1398" operator="equal">
      <formula>$U$1</formula>
    </cfRule>
    <cfRule type="cellIs" dxfId="77" priority="1399" operator="equal">
      <formula>$S$1</formula>
    </cfRule>
  </conditionalFormatting>
  <conditionalFormatting sqref="D89">
    <cfRule type="cellIs" dxfId="76" priority="1396" operator="equal">
      <formula>$S$1</formula>
    </cfRule>
    <cfRule type="cellIs" dxfId="75" priority="1397" operator="equal">
      <formula>$U$1</formula>
    </cfRule>
  </conditionalFormatting>
  <conditionalFormatting sqref="C136">
    <cfRule type="cellIs" dxfId="74" priority="1394" operator="equal">
      <formula>$U$1</formula>
    </cfRule>
    <cfRule type="cellIs" dxfId="73" priority="1395" operator="equal">
      <formula>$S$1</formula>
    </cfRule>
  </conditionalFormatting>
  <conditionalFormatting sqref="D136">
    <cfRule type="cellIs" dxfId="72" priority="1392" operator="equal">
      <formula>$S$1</formula>
    </cfRule>
    <cfRule type="cellIs" dxfId="71" priority="1393" operator="equal">
      <formula>$U$1</formula>
    </cfRule>
  </conditionalFormatting>
  <conditionalFormatting sqref="C1">
    <cfRule type="cellIs" dxfId="70" priority="139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49" zoomScale="90" zoomScaleNormal="90" workbookViewId="0">
      <pane xSplit="4" topLeftCell="DS1" activePane="topRight" state="frozen"/>
      <selection activeCell="A109" sqref="A109"/>
      <selection pane="topRight" activeCell="FX169" sqref="FX16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$A$168</v>
      </c>
      <c r="D111" s="1" t="str">
        <f>ADDRESS(C121-1,D121,1,1)</f>
        <v>$FX$168</v>
      </c>
      <c r="E111"/>
    </row>
    <row r="112" spans="1:5" x14ac:dyDescent="0.25">
      <c r="A112" s="30">
        <v>515.50191262726139</v>
      </c>
      <c r="C112" s="1" t="str">
        <f>ADDRESS(C121,1,1,1)</f>
        <v>$A$169</v>
      </c>
      <c r="D112" s="1" t="str">
        <f>ADDRESS(C121,D121-1,1,1)</f>
        <v>$FW$169</v>
      </c>
      <c r="E112"/>
    </row>
    <row r="113" spans="1:5" x14ac:dyDescent="0.25">
      <c r="A113" s="30">
        <v>490.95420250215363</v>
      </c>
      <c r="C113" s="1" t="str">
        <f>ADDRESS(C121+1,1,1,1)</f>
        <v>$A$170</v>
      </c>
      <c r="D113" s="1" t="str">
        <f>ADDRESS(C121-1,D121+1,1,1)</f>
        <v>$FY$168</v>
      </c>
    </row>
    <row r="114" spans="1:5" x14ac:dyDescent="0.25">
      <c r="A114" s="30">
        <v>467.57543095443202</v>
      </c>
      <c r="C114" s="1" t="str">
        <f>ADDRESS(C121,D121,1,1)</f>
        <v>$FX$169</v>
      </c>
      <c r="D114" s="1" t="str">
        <f>ADDRESS(C121+1,D121+1,1,1)</f>
        <v>$FY$170</v>
      </c>
    </row>
    <row r="115" spans="1:5" x14ac:dyDescent="0.25">
      <c r="A115" s="30">
        <v>445.30993424231622</v>
      </c>
      <c r="C115" s="1" t="str">
        <f>ADDRESS(C121+1,D121,1,1)</f>
        <v>$FX$170</v>
      </c>
    </row>
    <row r="116" spans="1:5" x14ac:dyDescent="0.25">
      <c r="A116" s="30">
        <v>424.10469927839637</v>
      </c>
      <c r="C116" s="1">
        <f>C117-1</f>
        <v>168</v>
      </c>
    </row>
    <row r="117" spans="1:5" x14ac:dyDescent="0.25">
      <c r="A117" s="30">
        <v>403.9092374079965</v>
      </c>
      <c r="C117" s="1">
        <f>C121</f>
        <v>169</v>
      </c>
      <c r="D117" s="1">
        <f>D121</f>
        <v>180</v>
      </c>
    </row>
    <row r="118" spans="1:5" x14ac:dyDescent="0.25">
      <c r="A118" s="30">
        <v>384.6754641980919</v>
      </c>
      <c r="C118" s="1">
        <f>C117+1</f>
        <v>170</v>
      </c>
      <c r="D118" s="1">
        <f>D117+1</f>
        <v>181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169</v>
      </c>
      <c r="D121" s="19">
        <v>180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R169</v>
      </c>
      <c r="D123" s="1" t="str">
        <f>"C"&amp;D121</f>
        <v>C180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31.947746812289637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171" x14ac:dyDescent="0.25">
      <c r="A145" s="30">
        <v>103.03467644609493</v>
      </c>
      <c r="E145"/>
    </row>
    <row r="146" spans="1:171" x14ac:dyDescent="0.25">
      <c r="A146" s="30">
        <v>98.128263281995174</v>
      </c>
      <c r="E146"/>
    </row>
    <row r="147" spans="1:171" x14ac:dyDescent="0.25">
      <c r="A147" s="30">
        <v>93.455488839995397</v>
      </c>
      <c r="E147"/>
    </row>
    <row r="148" spans="1:171" x14ac:dyDescent="0.25">
      <c r="A148" s="30">
        <v>89.005227466662276</v>
      </c>
      <c r="E148"/>
    </row>
    <row r="149" spans="1:171" x14ac:dyDescent="0.25">
      <c r="A149" s="30">
        <v>84.766883301583121</v>
      </c>
      <c r="E149"/>
    </row>
    <row r="150" spans="1:171" x14ac:dyDescent="0.25">
      <c r="A150" s="30">
        <v>80.730365049126775</v>
      </c>
      <c r="E150"/>
    </row>
    <row r="151" spans="1:171" x14ac:dyDescent="0.25">
      <c r="A151" s="30">
        <v>76.886061951549308</v>
      </c>
      <c r="E151"/>
    </row>
    <row r="152" spans="1:171" x14ac:dyDescent="0.25">
      <c r="A152" s="30">
        <v>73.22482090623744</v>
      </c>
      <c r="E152"/>
    </row>
    <row r="153" spans="1:171" x14ac:dyDescent="0.25">
      <c r="A153" s="30">
        <v>69.737924672607079</v>
      </c>
      <c r="C153" s="7"/>
      <c r="D153"/>
      <c r="E153"/>
    </row>
    <row r="154" spans="1:171" x14ac:dyDescent="0.25">
      <c r="A154" s="30">
        <v>66.417071116768639</v>
      </c>
      <c r="E154"/>
    </row>
    <row r="155" spans="1:171" x14ac:dyDescent="0.25">
      <c r="A155" s="30">
        <v>63.254353444541557</v>
      </c>
      <c r="E155"/>
    </row>
    <row r="156" spans="1:171" x14ac:dyDescent="0.25">
      <c r="A156" s="30">
        <v>60.242241375753864</v>
      </c>
      <c r="C156"/>
      <c r="D156"/>
      <c r="E156"/>
    </row>
    <row r="157" spans="1:171" x14ac:dyDescent="0.25">
      <c r="A157" s="30">
        <v>57.373563215003678</v>
      </c>
      <c r="E157"/>
    </row>
    <row r="158" spans="1:171" x14ac:dyDescent="0.25">
      <c r="A158" s="30">
        <v>54.641488776193974</v>
      </c>
      <c r="E158"/>
    </row>
    <row r="159" spans="1:171" x14ac:dyDescent="0.25">
      <c r="A159" s="30">
        <v>52.039513120184736</v>
      </c>
      <c r="E159"/>
      <c r="FO159" s="36"/>
    </row>
    <row r="160" spans="1:171" x14ac:dyDescent="0.25">
      <c r="A160" s="30">
        <v>49.561441066842605</v>
      </c>
      <c r="C160"/>
      <c r="E160"/>
    </row>
    <row r="161" spans="1:180" x14ac:dyDescent="0.25">
      <c r="A161" s="30">
        <v>47.201372444612005</v>
      </c>
      <c r="E161"/>
    </row>
    <row r="162" spans="1:180" x14ac:dyDescent="0.25">
      <c r="A162" s="30">
        <v>44.95368804248762</v>
      </c>
      <c r="E162"/>
    </row>
    <row r="163" spans="1:180" x14ac:dyDescent="0.25">
      <c r="A163" s="30">
        <v>42.81303623094059</v>
      </c>
      <c r="E163"/>
      <c r="EU163" s="35" t="s">
        <v>8</v>
      </c>
      <c r="EW163" s="35" t="s">
        <v>8</v>
      </c>
      <c r="EY163" s="35" t="s">
        <v>8</v>
      </c>
      <c r="FC163" s="33" t="s">
        <v>8</v>
      </c>
      <c r="FQ163" s="35" t="s">
        <v>8</v>
      </c>
      <c r="FS163" s="35" t="s">
        <v>8</v>
      </c>
      <c r="FU163" s="27" t="s">
        <v>8</v>
      </c>
    </row>
    <row r="164" spans="1:180" x14ac:dyDescent="0.25">
      <c r="A164" s="30">
        <v>40.774320219943419</v>
      </c>
      <c r="E164"/>
      <c r="EU164" s="27" t="s">
        <v>8</v>
      </c>
      <c r="EV164" s="27" t="s">
        <v>7</v>
      </c>
      <c r="EW164" s="27" t="s">
        <v>8</v>
      </c>
      <c r="EX164" s="27" t="s">
        <v>7</v>
      </c>
      <c r="EY164" s="27" t="s">
        <v>8</v>
      </c>
      <c r="EZ164" s="27" t="s">
        <v>7</v>
      </c>
      <c r="FA164" s="27" t="s">
        <v>8</v>
      </c>
      <c r="FC164" s="27" t="s">
        <v>8</v>
      </c>
      <c r="FD164" s="27" t="s">
        <v>7</v>
      </c>
      <c r="FE164" s="31" t="s">
        <v>8</v>
      </c>
      <c r="FQ164" s="27" t="s">
        <v>8</v>
      </c>
      <c r="FR164" s="27" t="s">
        <v>7</v>
      </c>
      <c r="FS164" s="27" t="s">
        <v>8</v>
      </c>
      <c r="FT164" s="27" t="s">
        <v>7</v>
      </c>
      <c r="FU164" s="27" t="s">
        <v>8</v>
      </c>
      <c r="FV164" s="27" t="s">
        <v>7</v>
      </c>
    </row>
    <row r="165" spans="1:180" x14ac:dyDescent="0.25">
      <c r="A165" s="30">
        <v>38.832685923755633</v>
      </c>
      <c r="E165"/>
      <c r="ES165" s="27" t="s">
        <v>8</v>
      </c>
      <c r="EU165" s="27" t="s">
        <v>8</v>
      </c>
      <c r="EV165" s="27" t="s">
        <v>7</v>
      </c>
      <c r="EW165" s="27" t="s">
        <v>8</v>
      </c>
      <c r="EX165" s="27" t="s">
        <v>7</v>
      </c>
      <c r="EY165" s="27" t="s">
        <v>8</v>
      </c>
      <c r="EZ165" s="27" t="s">
        <v>7</v>
      </c>
      <c r="FA165" s="27" t="s">
        <v>8</v>
      </c>
      <c r="FB165" s="27" t="s">
        <v>7</v>
      </c>
      <c r="FC165" s="27" t="s">
        <v>8</v>
      </c>
      <c r="FD165" s="27" t="s">
        <v>7</v>
      </c>
      <c r="FE165" s="27" t="s">
        <v>8</v>
      </c>
      <c r="FF165" s="31" t="s">
        <v>7</v>
      </c>
      <c r="FQ165" s="27" t="s">
        <v>8</v>
      </c>
      <c r="FR165" s="27" t="s">
        <v>7</v>
      </c>
      <c r="FS165" s="27" t="s">
        <v>8</v>
      </c>
      <c r="FT165" s="27" t="s">
        <v>7</v>
      </c>
      <c r="FU165" s="27" t="s">
        <v>8</v>
      </c>
      <c r="FV165" s="27" t="s">
        <v>7</v>
      </c>
    </row>
    <row r="166" spans="1:180" x14ac:dyDescent="0.25">
      <c r="A166" s="30">
        <v>36.983510403576794</v>
      </c>
      <c r="E166"/>
      <c r="ES166" s="27" t="s">
        <v>8</v>
      </c>
      <c r="ET166" s="27" t="s">
        <v>7</v>
      </c>
      <c r="EU166" s="27" t="s">
        <v>8</v>
      </c>
      <c r="EV166" s="27" t="s">
        <v>7</v>
      </c>
      <c r="EW166" s="27" t="s">
        <v>8</v>
      </c>
      <c r="EX166" s="27" t="s">
        <v>7</v>
      </c>
      <c r="EZ166" s="27" t="s">
        <v>7</v>
      </c>
      <c r="FA166" s="27" t="s">
        <v>8</v>
      </c>
      <c r="FB166" s="27" t="s">
        <v>7</v>
      </c>
      <c r="FC166" s="27" t="s">
        <v>8</v>
      </c>
      <c r="FD166" s="27" t="s">
        <v>7</v>
      </c>
      <c r="FE166" s="27" t="s">
        <v>8</v>
      </c>
      <c r="FF166" s="27" t="s">
        <v>7</v>
      </c>
      <c r="FG166" s="31"/>
      <c r="FQ166" s="27" t="s">
        <v>8</v>
      </c>
      <c r="FR166" s="27" t="s">
        <v>7</v>
      </c>
      <c r="FS166" s="27" t="s">
        <v>8</v>
      </c>
      <c r="FT166" s="27" t="s">
        <v>7</v>
      </c>
      <c r="FU166" s="27" t="s">
        <v>8</v>
      </c>
      <c r="FV166" s="27" t="s">
        <v>7</v>
      </c>
      <c r="FW166" s="27" t="s">
        <v>8</v>
      </c>
    </row>
    <row r="167" spans="1:180" x14ac:dyDescent="0.25">
      <c r="A167" s="30">
        <v>35.222390860549325</v>
      </c>
      <c r="E167"/>
      <c r="ES167" s="27" t="s">
        <v>8</v>
      </c>
      <c r="ET167" s="27" t="s">
        <v>7</v>
      </c>
      <c r="EU167" s="27" t="s">
        <v>8</v>
      </c>
      <c r="EV167" s="27" t="s">
        <v>7</v>
      </c>
      <c r="EW167" s="27" t="s">
        <v>8</v>
      </c>
      <c r="EZ167" s="27" t="s">
        <v>7</v>
      </c>
      <c r="FA167" s="27" t="s">
        <v>8</v>
      </c>
      <c r="FB167" s="27" t="s">
        <v>7</v>
      </c>
      <c r="FC167" s="27" t="s">
        <v>8</v>
      </c>
      <c r="FD167" s="27" t="s">
        <v>7</v>
      </c>
      <c r="FF167" s="27" t="s">
        <v>7</v>
      </c>
      <c r="FH167" s="31"/>
      <c r="FQ167" s="27" t="s">
        <v>8</v>
      </c>
      <c r="FR167" s="27" t="s">
        <v>7</v>
      </c>
      <c r="FT167" s="27" t="s">
        <v>7</v>
      </c>
      <c r="FU167" s="27" t="s">
        <v>8</v>
      </c>
      <c r="FV167" s="27" t="s">
        <v>7</v>
      </c>
      <c r="FW167" s="27" t="s">
        <v>8</v>
      </c>
      <c r="FX167" s="27" t="s">
        <v>7</v>
      </c>
    </row>
    <row r="168" spans="1:180" x14ac:dyDescent="0.25">
      <c r="A168" s="30">
        <v>33.545134152904119</v>
      </c>
      <c r="E168"/>
      <c r="ES168" s="27" t="s">
        <v>8</v>
      </c>
      <c r="ET168" s="27" t="s">
        <v>7</v>
      </c>
      <c r="EU168" s="27" t="s">
        <v>8</v>
      </c>
      <c r="EV168" s="27" t="s">
        <v>7</v>
      </c>
      <c r="EW168" s="27" t="s">
        <v>8</v>
      </c>
      <c r="EZ168" s="27" t="s">
        <v>7</v>
      </c>
      <c r="FB168" s="27" t="s">
        <v>7</v>
      </c>
      <c r="FC168" s="27" t="s">
        <v>8</v>
      </c>
      <c r="FF168" s="32" t="s">
        <v>7</v>
      </c>
      <c r="FG168" s="35" t="s">
        <v>8</v>
      </c>
      <c r="FI168" s="35" t="s">
        <v>8</v>
      </c>
      <c r="FK168" s="35" t="s">
        <v>8</v>
      </c>
      <c r="FQ168" s="27" t="s">
        <v>8</v>
      </c>
      <c r="FT168" s="32" t="s">
        <v>7</v>
      </c>
      <c r="FV168" s="27" t="s">
        <v>7</v>
      </c>
      <c r="FW168" s="27" t="s">
        <v>8</v>
      </c>
      <c r="FX168" s="27" t="s">
        <v>7</v>
      </c>
    </row>
    <row r="169" spans="1:180" x14ac:dyDescent="0.25">
      <c r="A169" s="30">
        <v>31.947746812289637</v>
      </c>
      <c r="E169"/>
      <c r="DM169" s="31" t="s">
        <v>8</v>
      </c>
      <c r="ES169" s="27" t="s">
        <v>8</v>
      </c>
      <c r="ET169" s="27" t="s">
        <v>7</v>
      </c>
      <c r="EV169" s="27" t="s">
        <v>7</v>
      </c>
      <c r="EW169" s="27" t="s">
        <v>8</v>
      </c>
      <c r="FB169" s="27" t="s">
        <v>7</v>
      </c>
      <c r="FC169" s="27" t="s">
        <v>8</v>
      </c>
      <c r="FF169" s="27" t="s">
        <v>7</v>
      </c>
      <c r="FG169" s="27" t="s">
        <v>8</v>
      </c>
      <c r="FH169" s="27" t="s">
        <v>7</v>
      </c>
      <c r="FI169" s="27" t="s">
        <v>8</v>
      </c>
      <c r="FJ169" s="31" t="s">
        <v>7</v>
      </c>
      <c r="FK169" s="27" t="s">
        <v>8</v>
      </c>
      <c r="FL169" s="27" t="s">
        <v>7</v>
      </c>
      <c r="FO169" s="27" t="s">
        <v>8</v>
      </c>
      <c r="FQ169" s="27" t="s">
        <v>8</v>
      </c>
      <c r="FV169" s="27" t="s">
        <v>7</v>
      </c>
      <c r="FW169" s="27" t="s">
        <v>8</v>
      </c>
      <c r="FX169" s="27" t="s">
        <v>7</v>
      </c>
    </row>
    <row r="170" spans="1:180" x14ac:dyDescent="0.25">
      <c r="A170" s="30">
        <v>30.426425535513939</v>
      </c>
      <c r="E170"/>
      <c r="DM170" s="27" t="s">
        <v>8</v>
      </c>
      <c r="DN170" s="31" t="s">
        <v>7</v>
      </c>
      <c r="ES170" s="27" t="s">
        <v>8</v>
      </c>
      <c r="EV170" s="32" t="s">
        <v>7</v>
      </c>
      <c r="EW170" s="27" t="s">
        <v>8</v>
      </c>
      <c r="FB170" s="27" t="s">
        <v>7</v>
      </c>
      <c r="FF170" s="27" t="s">
        <v>7</v>
      </c>
      <c r="FG170" s="27" t="s">
        <v>8</v>
      </c>
      <c r="FH170" s="27" t="s">
        <v>7</v>
      </c>
      <c r="FI170" s="27" t="s">
        <v>8</v>
      </c>
      <c r="FJ170" s="27" t="s">
        <v>7</v>
      </c>
      <c r="FK170" s="31" t="s">
        <v>8</v>
      </c>
      <c r="FL170" s="27" t="s">
        <v>7</v>
      </c>
      <c r="FO170" s="33" t="s">
        <v>8</v>
      </c>
      <c r="FP170" s="27" t="s">
        <v>7</v>
      </c>
      <c r="FQ170" s="27" t="s">
        <v>8</v>
      </c>
      <c r="FV170" s="31" t="s">
        <v>7</v>
      </c>
      <c r="FW170" s="27" t="s">
        <v>8</v>
      </c>
    </row>
    <row r="171" spans="1:180" x14ac:dyDescent="0.25">
      <c r="A171" s="30">
        <v>28.977548129060892</v>
      </c>
      <c r="E171"/>
      <c r="DM171" s="27" t="s">
        <v>8</v>
      </c>
      <c r="DN171" s="27" t="s">
        <v>7</v>
      </c>
      <c r="DO171" s="31"/>
      <c r="ES171" s="27" t="s">
        <v>8</v>
      </c>
      <c r="EV171" s="27" t="s">
        <v>7</v>
      </c>
      <c r="FF171" s="27" t="s">
        <v>7</v>
      </c>
      <c r="FH171" s="27" t="s">
        <v>7</v>
      </c>
      <c r="FI171" s="27" t="s">
        <v>8</v>
      </c>
      <c r="FJ171" s="19" t="s">
        <v>7</v>
      </c>
      <c r="FK171" s="27" t="s">
        <v>8</v>
      </c>
      <c r="FL171" s="27" t="s">
        <v>7</v>
      </c>
      <c r="FM171" s="27" t="s">
        <v>8</v>
      </c>
      <c r="FO171" s="27" t="s">
        <v>8</v>
      </c>
      <c r="FP171" s="27" t="s">
        <v>7</v>
      </c>
      <c r="FQ171" s="27" t="s">
        <v>8</v>
      </c>
      <c r="FU171" s="31"/>
      <c r="FV171" s="27" t="s">
        <v>7</v>
      </c>
      <c r="FW171" s="27" t="s">
        <v>8</v>
      </c>
    </row>
    <row r="172" spans="1:180" x14ac:dyDescent="0.25">
      <c r="A172" s="30">
        <v>27.597664884819896</v>
      </c>
      <c r="E172"/>
      <c r="DE172" s="27" t="s">
        <v>8</v>
      </c>
      <c r="DM172" s="27" t="s">
        <v>8</v>
      </c>
      <c r="DN172" s="27" t="s">
        <v>7</v>
      </c>
      <c r="DO172" s="27" t="s">
        <v>8</v>
      </c>
      <c r="DP172" s="31"/>
      <c r="ES172" s="33" t="s">
        <v>8</v>
      </c>
      <c r="FH172" s="27" t="s">
        <v>7</v>
      </c>
      <c r="FI172" s="19" t="s">
        <v>8</v>
      </c>
      <c r="FJ172" s="27" t="s">
        <v>7</v>
      </c>
      <c r="FK172" s="27" t="s">
        <v>8</v>
      </c>
      <c r="FL172" s="27" t="s">
        <v>7</v>
      </c>
      <c r="FM172" s="27" t="s">
        <v>8</v>
      </c>
      <c r="FN172" s="27" t="s">
        <v>7</v>
      </c>
      <c r="FO172" s="27" t="s">
        <v>8</v>
      </c>
      <c r="FP172" s="27" t="s">
        <v>7</v>
      </c>
      <c r="FQ172" s="27" t="s">
        <v>8</v>
      </c>
      <c r="FT172" s="31"/>
      <c r="FV172" s="27" t="s">
        <v>7</v>
      </c>
    </row>
    <row r="173" spans="1:180" x14ac:dyDescent="0.25">
      <c r="A173" s="30">
        <v>26.283490366495137</v>
      </c>
      <c r="E173"/>
      <c r="CQ173" s="27" t="s">
        <v>8</v>
      </c>
      <c r="DE173" s="27" t="s">
        <v>8</v>
      </c>
      <c r="DF173" s="27" t="s">
        <v>7</v>
      </c>
      <c r="DM173" s="27" t="s">
        <v>8</v>
      </c>
      <c r="DN173" s="27" t="s">
        <v>7</v>
      </c>
      <c r="DO173" s="27" t="s">
        <v>8</v>
      </c>
      <c r="DP173" s="27" t="s">
        <v>7</v>
      </c>
      <c r="DQ173" s="31"/>
      <c r="EO173" s="35" t="s">
        <v>8</v>
      </c>
      <c r="EQ173" s="35" t="s">
        <v>8</v>
      </c>
      <c r="ES173" s="27" t="s">
        <v>8</v>
      </c>
      <c r="FH173" s="31" t="s">
        <v>7</v>
      </c>
      <c r="FJ173" s="27" t="s">
        <v>7</v>
      </c>
      <c r="FK173" s="27" t="s">
        <v>8</v>
      </c>
      <c r="FL173" s="27" t="s">
        <v>7</v>
      </c>
      <c r="FM173" s="27" t="s">
        <v>8</v>
      </c>
      <c r="FN173" s="27" t="s">
        <v>7</v>
      </c>
      <c r="FO173" s="27" t="s">
        <v>8</v>
      </c>
      <c r="FP173" s="27" t="s">
        <v>7</v>
      </c>
      <c r="FS173" s="31"/>
    </row>
    <row r="174" spans="1:180" x14ac:dyDescent="0.25">
      <c r="A174" s="30">
        <v>25.031895587138223</v>
      </c>
      <c r="E174"/>
      <c r="CQ174" s="27" t="s">
        <v>8</v>
      </c>
      <c r="CR174" s="27" t="s">
        <v>7</v>
      </c>
      <c r="DE174" s="27" t="s">
        <v>8</v>
      </c>
      <c r="DF174" s="27" t="s">
        <v>7</v>
      </c>
      <c r="DM174" s="27" t="s">
        <v>8</v>
      </c>
      <c r="DN174" s="27" t="s">
        <v>7</v>
      </c>
      <c r="DO174" s="27" t="s">
        <v>8</v>
      </c>
      <c r="DP174" s="27" t="s">
        <v>7</v>
      </c>
      <c r="DR174" s="31"/>
      <c r="EO174" s="27" t="s">
        <v>8</v>
      </c>
      <c r="EP174" s="27" t="s">
        <v>7</v>
      </c>
      <c r="EQ174" s="27" t="s">
        <v>8</v>
      </c>
      <c r="ER174" s="27" t="s">
        <v>7</v>
      </c>
      <c r="ES174" s="27" t="s">
        <v>8</v>
      </c>
      <c r="FG174" s="31"/>
      <c r="FJ174" s="27" t="s">
        <v>7</v>
      </c>
      <c r="FL174" s="27" t="s">
        <v>7</v>
      </c>
      <c r="FM174" s="27" t="s">
        <v>8</v>
      </c>
      <c r="FN174" s="27" t="s">
        <v>7</v>
      </c>
      <c r="FO174" s="27" t="s">
        <v>8</v>
      </c>
      <c r="FR174" s="31"/>
    </row>
    <row r="175" spans="1:180" x14ac:dyDescent="0.25">
      <c r="A175" s="30">
        <v>23.839900559179259</v>
      </c>
      <c r="E175"/>
      <c r="CQ175" s="27" t="s">
        <v>8</v>
      </c>
      <c r="CR175" s="27" t="s">
        <v>7</v>
      </c>
      <c r="DA175" s="27" t="s">
        <v>8</v>
      </c>
      <c r="DE175" s="27" t="s">
        <v>8</v>
      </c>
      <c r="DF175" s="27" t="s">
        <v>7</v>
      </c>
      <c r="DK175" s="27" t="s">
        <v>8</v>
      </c>
      <c r="DM175" s="27" t="s">
        <v>8</v>
      </c>
      <c r="DN175" s="27" t="s">
        <v>7</v>
      </c>
      <c r="DO175" s="27" t="s">
        <v>8</v>
      </c>
      <c r="DP175" s="27" t="s">
        <v>7</v>
      </c>
      <c r="DS175" s="31"/>
      <c r="EM175" s="27" t="s">
        <v>8</v>
      </c>
      <c r="EO175" s="27" t="s">
        <v>8</v>
      </c>
      <c r="EP175" s="27" t="s">
        <v>7</v>
      </c>
      <c r="EQ175" s="27" t="s">
        <v>8</v>
      </c>
      <c r="ER175" s="27" t="s">
        <v>7</v>
      </c>
      <c r="ES175" s="27" t="s">
        <v>8</v>
      </c>
      <c r="FF175" s="31"/>
      <c r="FL175" s="27" t="s">
        <v>7</v>
      </c>
      <c r="FM175" s="27" t="s">
        <v>8</v>
      </c>
      <c r="FN175" s="27" t="s">
        <v>7</v>
      </c>
      <c r="FO175" s="27" t="s">
        <v>8</v>
      </c>
      <c r="FQ175" s="31"/>
    </row>
    <row r="176" spans="1:180" x14ac:dyDescent="0.25">
      <c r="A176" s="30">
        <v>22.704667199218342</v>
      </c>
      <c r="E176"/>
      <c r="CQ176" s="27" t="s">
        <v>8</v>
      </c>
      <c r="CR176" s="27" t="s">
        <v>7</v>
      </c>
      <c r="DA176" s="27" t="s">
        <v>8</v>
      </c>
      <c r="DB176" s="27" t="s">
        <v>7</v>
      </c>
      <c r="DC176" s="27" t="s">
        <v>8</v>
      </c>
      <c r="DE176" s="27" t="s">
        <v>8</v>
      </c>
      <c r="DF176" s="27" t="s">
        <v>7</v>
      </c>
      <c r="DK176" s="27" t="s">
        <v>8</v>
      </c>
      <c r="DL176" s="27" t="s">
        <v>7</v>
      </c>
      <c r="DM176" s="27" t="s">
        <v>8</v>
      </c>
      <c r="DN176" s="27" t="s">
        <v>7</v>
      </c>
      <c r="DP176" s="27" t="s">
        <v>7</v>
      </c>
      <c r="DT176" s="31"/>
      <c r="EM176" s="27" t="s">
        <v>8</v>
      </c>
      <c r="EN176" s="27" t="s">
        <v>7</v>
      </c>
      <c r="EO176" s="27" t="s">
        <v>8</v>
      </c>
      <c r="EP176" s="27" t="s">
        <v>7</v>
      </c>
      <c r="ER176" s="27" t="s">
        <v>7</v>
      </c>
      <c r="ES176" s="27" t="s">
        <v>8</v>
      </c>
      <c r="FE176" s="31"/>
      <c r="FL176" s="27" t="s">
        <v>7</v>
      </c>
      <c r="FN176" s="27" t="s">
        <v>7</v>
      </c>
      <c r="FO176" s="27" t="s">
        <v>8</v>
      </c>
      <c r="FP176" s="31"/>
    </row>
    <row r="177" spans="1:171" x14ac:dyDescent="0.25">
      <c r="A177" s="30">
        <v>21.623492570684135</v>
      </c>
      <c r="E177"/>
      <c r="CO177" s="27" t="s">
        <v>8</v>
      </c>
      <c r="CQ177" s="27" t="s">
        <v>8</v>
      </c>
      <c r="CR177" s="27" t="s">
        <v>7</v>
      </c>
      <c r="CW177" s="27" t="s">
        <v>8</v>
      </c>
      <c r="DA177" s="27" t="s">
        <v>8</v>
      </c>
      <c r="DB177" s="27" t="s">
        <v>7</v>
      </c>
      <c r="DC177" s="27" t="s">
        <v>8</v>
      </c>
      <c r="DD177" s="27" t="s">
        <v>7</v>
      </c>
      <c r="DE177" s="27" t="s">
        <v>8</v>
      </c>
      <c r="DF177" s="27" t="s">
        <v>7</v>
      </c>
      <c r="DG177" s="27" t="s">
        <v>8</v>
      </c>
      <c r="DK177" s="27" t="s">
        <v>8</v>
      </c>
      <c r="DL177" s="27" t="s">
        <v>7</v>
      </c>
      <c r="DM177" s="27" t="s">
        <v>8</v>
      </c>
      <c r="DP177" s="32" t="s">
        <v>7</v>
      </c>
      <c r="DU177" s="31"/>
      <c r="EM177" s="27" t="s">
        <v>8</v>
      </c>
      <c r="EN177" s="27" t="s">
        <v>7</v>
      </c>
      <c r="EO177" s="27" t="s">
        <v>8</v>
      </c>
      <c r="ER177" s="32" t="s">
        <v>7</v>
      </c>
      <c r="ES177" s="27" t="s">
        <v>8</v>
      </c>
      <c r="FD177" s="31"/>
      <c r="FN177" s="27" t="s">
        <v>7</v>
      </c>
      <c r="FO177" s="31" t="s">
        <v>8</v>
      </c>
    </row>
    <row r="178" spans="1:171" x14ac:dyDescent="0.25">
      <c r="A178" s="30">
        <v>20.593802448270605</v>
      </c>
      <c r="C178" s="7"/>
      <c r="D178"/>
      <c r="E178"/>
      <c r="CO178" s="27" t="s">
        <v>8</v>
      </c>
      <c r="CP178" s="27" t="s">
        <v>7</v>
      </c>
      <c r="CQ178" s="27" t="s">
        <v>8</v>
      </c>
      <c r="CR178" s="27" t="s">
        <v>7</v>
      </c>
      <c r="CS178" s="27" t="s">
        <v>8</v>
      </c>
      <c r="CU178" s="27" t="s">
        <v>8</v>
      </c>
      <c r="CW178" s="27" t="s">
        <v>8</v>
      </c>
      <c r="CX178" s="27" t="s">
        <v>7</v>
      </c>
      <c r="CY178" s="27" t="s">
        <v>8</v>
      </c>
      <c r="DA178" s="27" t="s">
        <v>8</v>
      </c>
      <c r="DB178" s="27" t="s">
        <v>7</v>
      </c>
      <c r="DC178" s="27" t="s">
        <v>8</v>
      </c>
      <c r="DD178" s="27" t="s">
        <v>7</v>
      </c>
      <c r="DE178" s="27" t="s">
        <v>8</v>
      </c>
      <c r="DF178" s="27" t="s">
        <v>7</v>
      </c>
      <c r="DG178" s="27" t="s">
        <v>8</v>
      </c>
      <c r="DH178" s="27" t="s">
        <v>7</v>
      </c>
      <c r="DI178" s="27" t="s">
        <v>8</v>
      </c>
      <c r="DK178" s="27" t="s">
        <v>8</v>
      </c>
      <c r="DL178" s="27" t="s">
        <v>7</v>
      </c>
      <c r="DP178" s="27" t="s">
        <v>7</v>
      </c>
      <c r="DV178" s="31"/>
      <c r="EM178" s="27" t="s">
        <v>8</v>
      </c>
      <c r="EN178" s="27" t="s">
        <v>7</v>
      </c>
      <c r="EO178" s="27" t="s">
        <v>8</v>
      </c>
      <c r="ER178" s="27" t="s">
        <v>7</v>
      </c>
      <c r="ES178" s="27" t="s">
        <v>8</v>
      </c>
      <c r="FC178" s="31"/>
      <c r="FN178" s="31" t="s">
        <v>7</v>
      </c>
    </row>
    <row r="179" spans="1:171" x14ac:dyDescent="0.25">
      <c r="A179" s="30">
        <v>19.613145188829147</v>
      </c>
      <c r="E179"/>
      <c r="CO179" s="27" t="s">
        <v>8</v>
      </c>
      <c r="CP179" s="27" t="s">
        <v>7</v>
      </c>
      <c r="CQ179" s="27" t="s">
        <v>8</v>
      </c>
      <c r="CR179" s="27" t="s">
        <v>7</v>
      </c>
      <c r="CS179" s="27" t="s">
        <v>8</v>
      </c>
      <c r="CT179" s="27" t="s">
        <v>7</v>
      </c>
      <c r="CU179" s="27" t="s">
        <v>8</v>
      </c>
      <c r="CV179" s="27" t="s">
        <v>7</v>
      </c>
      <c r="CW179" s="27" t="s">
        <v>8</v>
      </c>
      <c r="CX179" s="27" t="s">
        <v>7</v>
      </c>
      <c r="CY179" s="27" t="s">
        <v>8</v>
      </c>
      <c r="CZ179" s="27" t="s">
        <v>7</v>
      </c>
      <c r="DA179" s="27" t="s">
        <v>8</v>
      </c>
      <c r="DB179" s="27" t="s">
        <v>7</v>
      </c>
      <c r="DC179" s="27" t="s">
        <v>8</v>
      </c>
      <c r="DD179" s="27" t="s">
        <v>7</v>
      </c>
      <c r="DE179" s="27" t="s">
        <v>8</v>
      </c>
      <c r="DF179" s="27" t="s">
        <v>7</v>
      </c>
      <c r="DG179" s="27" t="s">
        <v>8</v>
      </c>
      <c r="DH179" s="27" t="s">
        <v>7</v>
      </c>
      <c r="DI179" s="27" t="s">
        <v>8</v>
      </c>
      <c r="DJ179" s="27" t="s">
        <v>7</v>
      </c>
      <c r="DK179" s="27" t="s">
        <v>8</v>
      </c>
      <c r="DP179" s="27" t="s">
        <v>7</v>
      </c>
      <c r="DW179" s="31"/>
      <c r="EM179" s="27" t="s">
        <v>8</v>
      </c>
      <c r="EN179" s="27" t="s">
        <v>7</v>
      </c>
      <c r="EO179" s="27" t="s">
        <v>8</v>
      </c>
      <c r="ER179" s="27" t="s">
        <v>7</v>
      </c>
      <c r="ES179" s="27" t="s">
        <v>8</v>
      </c>
      <c r="FB179" s="31"/>
    </row>
    <row r="180" spans="1:171" x14ac:dyDescent="0.25">
      <c r="A180" s="30">
        <v>18.679185894122998</v>
      </c>
      <c r="E180"/>
      <c r="CO180" s="27" t="s">
        <v>8</v>
      </c>
      <c r="CP180" s="27" t="s">
        <v>7</v>
      </c>
      <c r="CQ180" s="27" t="s">
        <v>8</v>
      </c>
      <c r="CR180" s="27" t="s">
        <v>7</v>
      </c>
      <c r="CS180" s="27" t="s">
        <v>8</v>
      </c>
      <c r="CT180" s="27" t="s">
        <v>7</v>
      </c>
      <c r="CU180" s="27" t="s">
        <v>8</v>
      </c>
      <c r="CV180" s="27" t="s">
        <v>7</v>
      </c>
      <c r="CW180" s="27" t="s">
        <v>8</v>
      </c>
      <c r="CX180" s="27" t="s">
        <v>7</v>
      </c>
      <c r="CY180" s="27" t="s">
        <v>8</v>
      </c>
      <c r="CZ180" s="27" t="s">
        <v>7</v>
      </c>
      <c r="DA180" s="27" t="s">
        <v>8</v>
      </c>
      <c r="DB180" s="27" t="s">
        <v>7</v>
      </c>
      <c r="DC180" s="27" t="s">
        <v>8</v>
      </c>
      <c r="DD180" s="27" t="s">
        <v>7</v>
      </c>
      <c r="DF180" s="27" t="s">
        <v>7</v>
      </c>
      <c r="DG180" s="27" t="s">
        <v>8</v>
      </c>
      <c r="DH180" s="27" t="s">
        <v>7</v>
      </c>
      <c r="DI180" s="27" t="s">
        <v>8</v>
      </c>
      <c r="DJ180" s="27" t="s">
        <v>7</v>
      </c>
      <c r="DK180" s="27" t="s">
        <v>8</v>
      </c>
      <c r="DP180" s="27" t="s">
        <v>7</v>
      </c>
      <c r="DX180" s="31"/>
      <c r="EM180" s="27" t="s">
        <v>8</v>
      </c>
      <c r="EN180" s="27" t="s">
        <v>7</v>
      </c>
      <c r="EO180" s="27" t="s">
        <v>8</v>
      </c>
      <c r="ER180" s="27" t="s">
        <v>7</v>
      </c>
      <c r="ES180" s="27" t="s">
        <v>8</v>
      </c>
      <c r="FA180" s="31"/>
    </row>
    <row r="181" spans="1:171" x14ac:dyDescent="0.25">
      <c r="A181" s="30">
        <v>17.78970085154571</v>
      </c>
      <c r="C181"/>
      <c r="D181"/>
      <c r="E181"/>
      <c r="CO181" s="27" t="s">
        <v>8</v>
      </c>
      <c r="CP181" s="27" t="s">
        <v>7</v>
      </c>
      <c r="CQ181" s="27" t="s">
        <v>8</v>
      </c>
      <c r="CR181" s="27" t="s">
        <v>7</v>
      </c>
      <c r="CS181" s="27" t="s">
        <v>8</v>
      </c>
      <c r="CT181" s="27" t="s">
        <v>7</v>
      </c>
      <c r="CU181" s="27" t="s">
        <v>8</v>
      </c>
      <c r="CV181" s="27" t="s">
        <v>7</v>
      </c>
      <c r="CW181" s="27" t="s">
        <v>8</v>
      </c>
      <c r="CX181" s="27" t="s">
        <v>7</v>
      </c>
      <c r="CZ181" s="27" t="s">
        <v>7</v>
      </c>
      <c r="DB181" s="27" t="s">
        <v>7</v>
      </c>
      <c r="DC181" s="27" t="s">
        <v>8</v>
      </c>
      <c r="DF181" s="27" t="s">
        <v>7</v>
      </c>
      <c r="DH181" s="27" t="s">
        <v>7</v>
      </c>
      <c r="DJ181" s="27" t="s">
        <v>7</v>
      </c>
      <c r="DK181" s="27" t="s">
        <v>8</v>
      </c>
      <c r="DP181" s="27" t="s">
        <v>7</v>
      </c>
      <c r="DY181" s="31"/>
      <c r="EM181" s="27" t="s">
        <v>8</v>
      </c>
      <c r="EN181" s="27" t="s">
        <v>7</v>
      </c>
      <c r="ER181" s="27" t="s">
        <v>7</v>
      </c>
      <c r="EZ181" s="31"/>
    </row>
    <row r="182" spans="1:171" x14ac:dyDescent="0.25">
      <c r="A182" s="30">
        <v>16.942572239567344</v>
      </c>
      <c r="E182"/>
      <c r="CO182" s="27" t="s">
        <v>8</v>
      </c>
      <c r="CP182" s="27" t="s">
        <v>7</v>
      </c>
      <c r="CQ182" s="27" t="s">
        <v>8</v>
      </c>
      <c r="CR182" s="27" t="s">
        <v>7</v>
      </c>
      <c r="CS182" s="27" t="s">
        <v>8</v>
      </c>
      <c r="CT182" s="27" t="s">
        <v>7</v>
      </c>
      <c r="CU182" s="27" t="s">
        <v>8</v>
      </c>
      <c r="CV182" s="27" t="s">
        <v>7</v>
      </c>
      <c r="DB182" s="27" t="s">
        <v>7</v>
      </c>
      <c r="DJ182" s="27" t="s">
        <v>7</v>
      </c>
      <c r="DP182" s="27" t="s">
        <v>7</v>
      </c>
      <c r="DQ182" s="27" t="s">
        <v>8</v>
      </c>
      <c r="DW182" s="27" t="s">
        <v>8</v>
      </c>
      <c r="DZ182" s="31"/>
      <c r="EM182" s="27" t="s">
        <v>8</v>
      </c>
      <c r="EY182" s="31"/>
    </row>
    <row r="183" spans="1:171" x14ac:dyDescent="0.25">
      <c r="A183" s="30">
        <v>16.135783085302233</v>
      </c>
      <c r="E183"/>
      <c r="CO183" s="27" t="s">
        <v>8</v>
      </c>
      <c r="CP183" s="27" t="s">
        <v>7</v>
      </c>
      <c r="CQ183" s="27" t="s">
        <v>8</v>
      </c>
      <c r="CR183" s="27" t="s">
        <v>7</v>
      </c>
      <c r="CS183" s="27" t="s">
        <v>8</v>
      </c>
      <c r="CT183" s="27" t="s">
        <v>7</v>
      </c>
      <c r="DP183" s="27" t="s">
        <v>7</v>
      </c>
      <c r="DQ183" s="27" t="s">
        <v>8</v>
      </c>
      <c r="DR183" s="27" t="s">
        <v>7</v>
      </c>
      <c r="DW183" s="27" t="s">
        <v>8</v>
      </c>
      <c r="DX183" s="27" t="s">
        <v>7</v>
      </c>
      <c r="EA183" s="31"/>
      <c r="EM183" s="27" t="s">
        <v>8</v>
      </c>
      <c r="EX183" s="31"/>
    </row>
    <row r="184" spans="1:171" x14ac:dyDescent="0.25">
      <c r="A184" s="30">
        <v>15.367412462192602</v>
      </c>
      <c r="E184"/>
      <c r="CO184" s="27" t="s">
        <v>8</v>
      </c>
      <c r="CP184" s="27" t="s">
        <v>7</v>
      </c>
      <c r="CR184" s="27" t="s">
        <v>7</v>
      </c>
      <c r="DP184" s="27" t="s">
        <v>7</v>
      </c>
      <c r="DQ184" s="27" t="s">
        <v>8</v>
      </c>
      <c r="DR184" s="27" t="s">
        <v>7</v>
      </c>
      <c r="DU184" s="27" t="s">
        <v>8</v>
      </c>
      <c r="DW184" s="27" t="s">
        <v>8</v>
      </c>
      <c r="DX184" s="27" t="s">
        <v>7</v>
      </c>
      <c r="EB184" s="31"/>
      <c r="EM184" s="27" t="s">
        <v>8</v>
      </c>
      <c r="EW184" s="31"/>
    </row>
    <row r="185" spans="1:171" x14ac:dyDescent="0.25">
      <c r="A185" s="30">
        <v>14.635630916373906</v>
      </c>
      <c r="C185"/>
      <c r="E185"/>
      <c r="CO185" s="27" t="s">
        <v>8</v>
      </c>
      <c r="DP185" s="27" t="s">
        <v>7</v>
      </c>
      <c r="DQ185" s="27" t="s">
        <v>8</v>
      </c>
      <c r="DR185" s="27" t="s">
        <v>7</v>
      </c>
      <c r="DU185" s="27" t="s">
        <v>8</v>
      </c>
      <c r="DV185" s="27" t="s">
        <v>7</v>
      </c>
      <c r="DW185" s="27" t="s">
        <v>8</v>
      </c>
      <c r="DX185" s="27" t="s">
        <v>7</v>
      </c>
      <c r="EA185" s="33" t="s">
        <v>8</v>
      </c>
      <c r="EC185" s="31"/>
      <c r="EI185" s="31" t="s">
        <v>8</v>
      </c>
      <c r="EM185" s="27" t="s">
        <v>8</v>
      </c>
      <c r="EV185" s="31"/>
    </row>
    <row r="186" spans="1:171" x14ac:dyDescent="0.25">
      <c r="A186" s="30">
        <v>13.938696110832291</v>
      </c>
      <c r="E186"/>
      <c r="CO186" s="27" t="s">
        <v>8</v>
      </c>
      <c r="DP186" s="27" t="s">
        <v>7</v>
      </c>
      <c r="DQ186" s="27" t="s">
        <v>8</v>
      </c>
      <c r="DR186" s="27" t="s">
        <v>7</v>
      </c>
      <c r="DU186" s="33" t="s">
        <v>8</v>
      </c>
      <c r="DV186" s="27" t="s">
        <v>7</v>
      </c>
      <c r="DW186" s="27" t="s">
        <v>8</v>
      </c>
      <c r="DX186" s="27" t="s">
        <v>7</v>
      </c>
      <c r="DY186" s="27" t="s">
        <v>8</v>
      </c>
      <c r="EA186" s="27" t="s">
        <v>8</v>
      </c>
      <c r="EB186" s="27" t="s">
        <v>7</v>
      </c>
      <c r="ED186" s="31"/>
      <c r="EG186" s="27" t="s">
        <v>8</v>
      </c>
      <c r="EI186" s="27" t="s">
        <v>8</v>
      </c>
      <c r="EJ186" s="31" t="s">
        <v>7</v>
      </c>
      <c r="EM186" s="27" t="s">
        <v>8</v>
      </c>
      <c r="EU186" s="31"/>
    </row>
    <row r="187" spans="1:17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CO187" s="27" t="s">
        <v>8</v>
      </c>
      <c r="DP187" s="27" t="s">
        <v>7</v>
      </c>
      <c r="DQ187" s="27" t="s">
        <v>8</v>
      </c>
      <c r="DR187" s="27" t="s">
        <v>7</v>
      </c>
      <c r="DS187" s="27" t="s">
        <v>8</v>
      </c>
      <c r="DU187" s="27" t="s">
        <v>8</v>
      </c>
      <c r="DV187" s="27" t="s">
        <v>7</v>
      </c>
      <c r="DW187" s="27" t="s">
        <v>8</v>
      </c>
      <c r="DX187" s="27" t="s">
        <v>7</v>
      </c>
      <c r="DY187" s="27" t="s">
        <v>8</v>
      </c>
      <c r="DZ187" s="27" t="s">
        <v>7</v>
      </c>
      <c r="EA187" s="27" t="s">
        <v>8</v>
      </c>
      <c r="EB187" s="27" t="s">
        <v>7</v>
      </c>
      <c r="EE187" s="31"/>
      <c r="EG187" s="33" t="s">
        <v>8</v>
      </c>
      <c r="EH187" s="27" t="s">
        <v>7</v>
      </c>
      <c r="EI187" s="27" t="s">
        <v>8</v>
      </c>
      <c r="EJ187" s="27" t="s">
        <v>7</v>
      </c>
      <c r="EK187" s="31"/>
      <c r="EM187" s="33" t="s">
        <v>8</v>
      </c>
      <c r="ET187" s="31"/>
    </row>
    <row r="188" spans="1:171" x14ac:dyDescent="0.25">
      <c r="A188" s="30">
        <v>12.64280826379346</v>
      </c>
      <c r="E188"/>
      <c r="CO188" s="27" t="s">
        <v>8</v>
      </c>
      <c r="DP188" s="27" t="s">
        <v>7</v>
      </c>
      <c r="DQ188" s="27" t="s">
        <v>8</v>
      </c>
      <c r="DR188" s="27" t="s">
        <v>7</v>
      </c>
      <c r="DS188" s="27" t="s">
        <v>8</v>
      </c>
      <c r="DT188" s="27" t="s">
        <v>7</v>
      </c>
      <c r="DU188" s="27" t="s">
        <v>8</v>
      </c>
      <c r="DV188" s="27" t="s">
        <v>7</v>
      </c>
      <c r="DW188" s="27" t="s">
        <v>8</v>
      </c>
      <c r="DX188" s="27" t="s">
        <v>7</v>
      </c>
      <c r="DY188" s="27" t="s">
        <v>8</v>
      </c>
      <c r="DZ188" s="27" t="s">
        <v>7</v>
      </c>
      <c r="EA188" s="27" t="s">
        <v>8</v>
      </c>
      <c r="EB188" s="27" t="s">
        <v>7</v>
      </c>
      <c r="EE188" s="27" t="s">
        <v>8</v>
      </c>
      <c r="EF188" s="31"/>
      <c r="EG188" s="27" t="s">
        <v>8</v>
      </c>
      <c r="EH188" s="27" t="s">
        <v>7</v>
      </c>
      <c r="EI188" s="27" t="s">
        <v>8</v>
      </c>
      <c r="EJ188" s="27" t="s">
        <v>7</v>
      </c>
      <c r="EK188" s="27" t="s">
        <v>8</v>
      </c>
      <c r="EL188" s="31"/>
      <c r="EM188" s="27" t="s">
        <v>8</v>
      </c>
      <c r="ES188" s="31"/>
    </row>
    <row r="189" spans="1:171" x14ac:dyDescent="0.25">
      <c r="A189" s="30">
        <v>12.04076977504139</v>
      </c>
      <c r="E189"/>
      <c r="CO189" s="27" t="s">
        <v>8</v>
      </c>
      <c r="DP189" s="27" t="s">
        <v>7</v>
      </c>
      <c r="DQ189" s="27" t="s">
        <v>8</v>
      </c>
      <c r="DR189" s="27" t="s">
        <v>7</v>
      </c>
      <c r="DS189" s="27" t="s">
        <v>8</v>
      </c>
      <c r="DT189" s="27" t="s">
        <v>7</v>
      </c>
      <c r="DU189" s="27" t="s">
        <v>8</v>
      </c>
      <c r="DV189" s="27" t="s">
        <v>7</v>
      </c>
      <c r="DW189" s="27" t="s">
        <v>8</v>
      </c>
      <c r="DX189" s="27" t="s">
        <v>7</v>
      </c>
      <c r="DZ189" s="27" t="s">
        <v>7</v>
      </c>
      <c r="EA189" s="27" t="s">
        <v>8</v>
      </c>
      <c r="EB189" s="27" t="s">
        <v>7</v>
      </c>
      <c r="EE189" s="27" t="s">
        <v>8</v>
      </c>
      <c r="EF189" s="27" t="s">
        <v>7</v>
      </c>
      <c r="EG189" s="31" t="s">
        <v>8</v>
      </c>
      <c r="EH189" s="27" t="s">
        <v>7</v>
      </c>
      <c r="EI189" s="27" t="s">
        <v>8</v>
      </c>
      <c r="EJ189" s="31" t="s">
        <v>7</v>
      </c>
      <c r="EK189" s="27" t="s">
        <v>8</v>
      </c>
      <c r="EL189" s="27" t="s">
        <v>7</v>
      </c>
      <c r="EM189" s="31" t="s">
        <v>8</v>
      </c>
      <c r="ER189" s="31"/>
    </row>
    <row r="190" spans="1:171" x14ac:dyDescent="0.25">
      <c r="A190" s="30">
        <v>11.467399785753704</v>
      </c>
      <c r="E190"/>
      <c r="CO190" s="27" t="s">
        <v>8</v>
      </c>
      <c r="DP190" s="27" t="s">
        <v>7</v>
      </c>
      <c r="DQ190" s="27" t="s">
        <v>8</v>
      </c>
      <c r="DR190" s="27" t="s">
        <v>7</v>
      </c>
      <c r="DT190" s="27" t="s">
        <v>7</v>
      </c>
      <c r="DU190" s="27" t="s">
        <v>8</v>
      </c>
      <c r="DV190" s="27" t="s">
        <v>7</v>
      </c>
      <c r="DZ190" s="32" t="s">
        <v>7</v>
      </c>
      <c r="EA190" s="27" t="s">
        <v>8</v>
      </c>
      <c r="EB190" s="27" t="s">
        <v>7</v>
      </c>
      <c r="EE190" s="27" t="s">
        <v>8</v>
      </c>
      <c r="EF190" s="27" t="s">
        <v>7</v>
      </c>
      <c r="EG190" s="27" t="s">
        <v>8</v>
      </c>
      <c r="EH190" s="27" t="s">
        <v>7</v>
      </c>
      <c r="EI190" s="31"/>
      <c r="EJ190" s="27" t="s">
        <v>7</v>
      </c>
      <c r="EK190" s="27" t="s">
        <v>8</v>
      </c>
      <c r="EL190" s="27" t="s">
        <v>7</v>
      </c>
      <c r="EM190" s="27" t="s">
        <v>8</v>
      </c>
      <c r="EN190" s="31"/>
      <c r="EQ190" s="31"/>
    </row>
    <row r="191" spans="1:171" x14ac:dyDescent="0.25">
      <c r="A191" s="30">
        <v>10.921333129289241</v>
      </c>
      <c r="E191"/>
      <c r="CO191" s="27" t="s">
        <v>8</v>
      </c>
      <c r="DP191" s="27" t="s">
        <v>7</v>
      </c>
      <c r="DQ191" s="27" t="s">
        <v>8</v>
      </c>
      <c r="DT191" s="27" t="s">
        <v>7</v>
      </c>
      <c r="DU191" s="27" t="s">
        <v>8</v>
      </c>
      <c r="DZ191" s="27" t="s">
        <v>7</v>
      </c>
      <c r="EB191" s="27" t="s">
        <v>7</v>
      </c>
      <c r="EE191" s="27" t="s">
        <v>8</v>
      </c>
      <c r="EF191" s="27" t="s">
        <v>7</v>
      </c>
      <c r="EH191" s="31"/>
      <c r="EJ191" s="27" t="s">
        <v>7</v>
      </c>
      <c r="EL191" s="27" t="s">
        <v>7</v>
      </c>
      <c r="EM191" s="27" t="s">
        <v>8</v>
      </c>
      <c r="EP191" s="31"/>
    </row>
    <row r="192" spans="1:171" x14ac:dyDescent="0.25">
      <c r="A192" s="30">
        <v>10.401269646942135</v>
      </c>
      <c r="E192"/>
      <c r="CO192" s="27" t="s">
        <v>8</v>
      </c>
      <c r="DP192" s="27" t="s">
        <v>7</v>
      </c>
      <c r="DQ192" s="27" t="s">
        <v>8</v>
      </c>
      <c r="DT192" s="27" t="s">
        <v>7</v>
      </c>
      <c r="DU192" s="27" t="s">
        <v>8</v>
      </c>
      <c r="EB192" s="32" t="s">
        <v>7</v>
      </c>
      <c r="EC192" s="27" t="s">
        <v>8</v>
      </c>
      <c r="EE192" s="27" t="s">
        <v>8</v>
      </c>
      <c r="EG192" s="31"/>
      <c r="EL192" s="32" t="s">
        <v>7</v>
      </c>
      <c r="EM192" s="27" t="s">
        <v>8</v>
      </c>
      <c r="EO192" s="31"/>
    </row>
    <row r="193" spans="1:144" x14ac:dyDescent="0.25">
      <c r="A193" s="30">
        <v>9.9059710923258422</v>
      </c>
      <c r="E193"/>
      <c r="CK193" s="27" t="s">
        <v>8</v>
      </c>
      <c r="CO193" s="27" t="s">
        <v>8</v>
      </c>
      <c r="DP193" s="27" t="s">
        <v>7</v>
      </c>
      <c r="DT193" s="27" t="s">
        <v>7</v>
      </c>
      <c r="DU193" s="27" t="s">
        <v>8</v>
      </c>
      <c r="EB193" s="27" t="s">
        <v>7</v>
      </c>
      <c r="EC193" s="27" t="s">
        <v>8</v>
      </c>
      <c r="ED193" s="27" t="s">
        <v>7</v>
      </c>
      <c r="EE193" s="27" t="s">
        <v>8</v>
      </c>
      <c r="EF193" s="31"/>
      <c r="EL193" s="27" t="s">
        <v>7</v>
      </c>
      <c r="EM193" s="27" t="s">
        <v>8</v>
      </c>
      <c r="EN193" s="31"/>
    </row>
    <row r="194" spans="1:144" x14ac:dyDescent="0.25">
      <c r="A194" s="30">
        <v>9.4342581831674686</v>
      </c>
      <c r="E194"/>
      <c r="CI194" s="27" t="s">
        <v>8</v>
      </c>
      <c r="CK194" s="27" t="s">
        <v>8</v>
      </c>
      <c r="CL194" s="27" t="s">
        <v>7</v>
      </c>
      <c r="CO194" s="27" t="s">
        <v>8</v>
      </c>
      <c r="DT194" s="27" t="s">
        <v>7</v>
      </c>
      <c r="DU194" s="27" t="s">
        <v>8</v>
      </c>
      <c r="EB194" s="27" t="s">
        <v>7</v>
      </c>
      <c r="EC194" s="27" t="s">
        <v>8</v>
      </c>
      <c r="ED194" s="27" t="s">
        <v>7</v>
      </c>
      <c r="EE194" s="31" t="s">
        <v>8</v>
      </c>
      <c r="EL194" s="27" t="s">
        <v>7</v>
      </c>
      <c r="EM194" s="31" t="s">
        <v>8</v>
      </c>
    </row>
    <row r="195" spans="1:144" x14ac:dyDescent="0.25">
      <c r="A195" s="30">
        <v>8.9850077934928265</v>
      </c>
      <c r="E195"/>
      <c r="CI195" s="27" t="s">
        <v>8</v>
      </c>
      <c r="CJ195" s="27" t="s">
        <v>7</v>
      </c>
      <c r="CK195" s="27" t="s">
        <v>8</v>
      </c>
      <c r="CL195" s="27" t="s">
        <v>7</v>
      </c>
      <c r="CO195" s="27" t="s">
        <v>8</v>
      </c>
      <c r="DT195" s="27" t="s">
        <v>7</v>
      </c>
      <c r="DU195" s="27" t="s">
        <v>8</v>
      </c>
      <c r="EB195" s="27" t="s">
        <v>7</v>
      </c>
      <c r="EC195" s="27" t="s">
        <v>8</v>
      </c>
      <c r="ED195" s="31" t="s">
        <v>7</v>
      </c>
      <c r="EL195" s="31" t="s">
        <v>7</v>
      </c>
    </row>
    <row r="196" spans="1:144" x14ac:dyDescent="0.25">
      <c r="A196" s="30">
        <v>8.5571502795169767</v>
      </c>
      <c r="E196"/>
      <c r="BO196" s="27" t="s">
        <v>8</v>
      </c>
      <c r="CI196" s="27" t="s">
        <v>8</v>
      </c>
      <c r="CJ196" s="27" t="s">
        <v>7</v>
      </c>
      <c r="CK196" s="27" t="s">
        <v>8</v>
      </c>
      <c r="CL196" s="27" t="s">
        <v>7</v>
      </c>
      <c r="CM196" s="27" t="s">
        <v>8</v>
      </c>
      <c r="CO196" s="27" t="s">
        <v>8</v>
      </c>
      <c r="DT196" s="27" t="s">
        <v>7</v>
      </c>
      <c r="EB196" s="27" t="s">
        <v>7</v>
      </c>
      <c r="EC196" s="31" t="s">
        <v>8</v>
      </c>
    </row>
    <row r="197" spans="1:144" x14ac:dyDescent="0.25">
      <c r="A197" s="30">
        <v>8.1496669328733109</v>
      </c>
      <c r="E197"/>
      <c r="BO197" s="27" t="s">
        <v>8</v>
      </c>
      <c r="BP197" s="27" t="s">
        <v>7</v>
      </c>
      <c r="CI197" s="27" t="s">
        <v>8</v>
      </c>
      <c r="CJ197" s="27" t="s">
        <v>7</v>
      </c>
      <c r="CL197" s="27" t="s">
        <v>7</v>
      </c>
      <c r="CM197" s="27" t="s">
        <v>8</v>
      </c>
      <c r="CN197" s="27" t="s">
        <v>7</v>
      </c>
      <c r="CO197" s="27" t="s">
        <v>8</v>
      </c>
      <c r="EB197" s="31" t="s">
        <v>7</v>
      </c>
    </row>
    <row r="198" spans="1:144" x14ac:dyDescent="0.25">
      <c r="A198" s="30">
        <v>7.7615875551174378</v>
      </c>
      <c r="E198"/>
      <c r="BO198" s="27" t="s">
        <v>8</v>
      </c>
      <c r="BP198" s="27" t="s">
        <v>7</v>
      </c>
      <c r="CI198" s="27" t="s">
        <v>8</v>
      </c>
      <c r="CL198" s="27" t="s">
        <v>7</v>
      </c>
      <c r="CM198" s="27" t="s">
        <v>8</v>
      </c>
      <c r="CN198" s="27" t="s">
        <v>7</v>
      </c>
      <c r="CO198" s="27" t="s">
        <v>8</v>
      </c>
    </row>
    <row r="199" spans="1:144" x14ac:dyDescent="0.25">
      <c r="A199" s="30">
        <v>7.3919881477308929</v>
      </c>
      <c r="E199"/>
      <c r="BO199" s="27" t="s">
        <v>8</v>
      </c>
      <c r="BP199" s="27" t="s">
        <v>7</v>
      </c>
      <c r="CI199" s="27" t="s">
        <v>8</v>
      </c>
      <c r="CL199" s="27" t="s">
        <v>7</v>
      </c>
      <c r="CM199" s="27" t="s">
        <v>8</v>
      </c>
      <c r="CN199" s="27" t="s">
        <v>7</v>
      </c>
      <c r="CO199" s="27" t="s">
        <v>8</v>
      </c>
    </row>
    <row r="200" spans="1:144" x14ac:dyDescent="0.25">
      <c r="A200" s="30">
        <v>7.0399887121246598</v>
      </c>
      <c r="E200"/>
      <c r="M200" s="27" t="s">
        <v>8</v>
      </c>
      <c r="O200" s="27" t="s">
        <v>8</v>
      </c>
      <c r="BO200" s="27" t="s">
        <v>8</v>
      </c>
      <c r="BP200" s="27" t="s">
        <v>7</v>
      </c>
      <c r="CG200" s="27" t="s">
        <v>8</v>
      </c>
      <c r="CI200" s="27" t="s">
        <v>8</v>
      </c>
      <c r="CL200" s="27" t="s">
        <v>7</v>
      </c>
      <c r="CM200" s="27" t="s">
        <v>8</v>
      </c>
      <c r="CN200" s="27" t="s">
        <v>7</v>
      </c>
    </row>
    <row r="201" spans="1:144" x14ac:dyDescent="0.25">
      <c r="A201" s="30">
        <v>6.7047511544044376</v>
      </c>
      <c r="E201"/>
      <c r="M201" s="27" t="s">
        <v>8</v>
      </c>
      <c r="N201" s="27" t="s">
        <v>7</v>
      </c>
      <c r="O201" s="27" t="s">
        <v>8</v>
      </c>
      <c r="P201" s="27" t="s">
        <v>7</v>
      </c>
      <c r="BO201" s="27" t="s">
        <v>8</v>
      </c>
      <c r="BP201" s="27" t="s">
        <v>7</v>
      </c>
      <c r="CE201" s="27" t="s">
        <v>8</v>
      </c>
      <c r="CG201" s="27" t="s">
        <v>8</v>
      </c>
      <c r="CH201" s="27" t="s">
        <v>7</v>
      </c>
      <c r="CI201" s="27" t="s">
        <v>8</v>
      </c>
      <c r="CL201" s="27" t="s">
        <v>7</v>
      </c>
    </row>
    <row r="202" spans="1:144" x14ac:dyDescent="0.25">
      <c r="A202" s="30">
        <v>6.3854772899089882</v>
      </c>
      <c r="E202"/>
      <c r="K202" s="27" t="s">
        <v>8</v>
      </c>
      <c r="M202" s="27" t="s">
        <v>8</v>
      </c>
      <c r="N202" s="27" t="s">
        <v>7</v>
      </c>
      <c r="O202" s="27" t="s">
        <v>8</v>
      </c>
      <c r="P202" s="27" t="s">
        <v>7</v>
      </c>
      <c r="BK202" s="27" t="s">
        <v>8</v>
      </c>
      <c r="BM202" s="27" t="s">
        <v>8</v>
      </c>
      <c r="BO202" s="27" t="s">
        <v>8</v>
      </c>
      <c r="BP202" s="27" t="s">
        <v>7</v>
      </c>
      <c r="BY202" s="27" t="s">
        <v>8</v>
      </c>
      <c r="CC202" s="27" t="s">
        <v>8</v>
      </c>
      <c r="CE202" s="27" t="s">
        <v>8</v>
      </c>
      <c r="CF202" s="27" t="s">
        <v>7</v>
      </c>
      <c r="CG202" s="27" t="s">
        <v>8</v>
      </c>
      <c r="CH202" s="27" t="s">
        <v>7</v>
      </c>
      <c r="CI202" s="27" t="s">
        <v>8</v>
      </c>
    </row>
    <row r="203" spans="1:144" x14ac:dyDescent="0.25">
      <c r="A203" s="30">
        <v>6.0814069427704647</v>
      </c>
      <c r="C203" s="7"/>
      <c r="D203"/>
      <c r="E203"/>
      <c r="K203" s="27" t="s">
        <v>8</v>
      </c>
      <c r="L203" s="27" t="s">
        <v>7</v>
      </c>
      <c r="M203" s="27" t="s">
        <v>8</v>
      </c>
      <c r="N203" s="27" t="s">
        <v>7</v>
      </c>
      <c r="O203" s="27" t="s">
        <v>8</v>
      </c>
      <c r="P203" s="27" t="s">
        <v>7</v>
      </c>
      <c r="BK203" s="27" t="s">
        <v>8</v>
      </c>
      <c r="BL203" s="27" t="s">
        <v>7</v>
      </c>
      <c r="BM203" s="27" t="s">
        <v>8</v>
      </c>
      <c r="BN203" s="27" t="s">
        <v>7</v>
      </c>
      <c r="BO203" s="27" t="s">
        <v>8</v>
      </c>
      <c r="BP203" s="27" t="s">
        <v>7</v>
      </c>
      <c r="BW203" s="27" t="s">
        <v>8</v>
      </c>
      <c r="BY203" s="27" t="s">
        <v>8</v>
      </c>
      <c r="BZ203" s="27" t="s">
        <v>7</v>
      </c>
      <c r="CC203" s="27" t="s">
        <v>8</v>
      </c>
      <c r="CD203" s="27" t="s">
        <v>7</v>
      </c>
      <c r="CE203" s="27" t="s">
        <v>8</v>
      </c>
      <c r="CF203" s="27" t="s">
        <v>7</v>
      </c>
      <c r="CG203" s="27" t="s">
        <v>8</v>
      </c>
      <c r="CH203" s="27" t="s">
        <v>7</v>
      </c>
      <c r="CI203" s="27" t="s">
        <v>8</v>
      </c>
    </row>
    <row r="204" spans="1:144" x14ac:dyDescent="0.25">
      <c r="A204" s="30">
        <v>5.7918161359718709</v>
      </c>
      <c r="E204"/>
      <c r="K204" s="27" t="s">
        <v>8</v>
      </c>
      <c r="L204" s="27" t="s">
        <v>7</v>
      </c>
      <c r="M204" s="27" t="s">
        <v>8</v>
      </c>
      <c r="N204" s="27" t="s">
        <v>7</v>
      </c>
      <c r="P204" s="27" t="s">
        <v>7</v>
      </c>
      <c r="BI204" s="27" t="s">
        <v>8</v>
      </c>
      <c r="BK204" s="27" t="s">
        <v>8</v>
      </c>
      <c r="BL204" s="27" t="s">
        <v>7</v>
      </c>
      <c r="BM204" s="27" t="s">
        <v>8</v>
      </c>
      <c r="BN204" s="27" t="s">
        <v>7</v>
      </c>
      <c r="BO204" s="27" t="s">
        <v>8</v>
      </c>
      <c r="BP204" s="27" t="s">
        <v>7</v>
      </c>
      <c r="BS204" s="27" t="s">
        <v>8</v>
      </c>
      <c r="BW204" s="27" t="s">
        <v>8</v>
      </c>
      <c r="BX204" s="27" t="s">
        <v>7</v>
      </c>
      <c r="BY204" s="27" t="s">
        <v>8</v>
      </c>
      <c r="BZ204" s="27" t="s">
        <v>7</v>
      </c>
      <c r="CC204" s="27" t="s">
        <v>8</v>
      </c>
      <c r="CD204" s="27" t="s">
        <v>7</v>
      </c>
      <c r="CE204" s="27" t="s">
        <v>8</v>
      </c>
      <c r="CF204" s="27" t="s">
        <v>7</v>
      </c>
      <c r="CH204" s="27" t="s">
        <v>7</v>
      </c>
      <c r="CI204" s="27" t="s">
        <v>8</v>
      </c>
    </row>
    <row r="205" spans="1:144" x14ac:dyDescent="0.25">
      <c r="A205" s="30">
        <v>5.5160153675922574</v>
      </c>
      <c r="E205" t="s">
        <v>8</v>
      </c>
      <c r="K205" s="27" t="s">
        <v>8</v>
      </c>
      <c r="L205" s="27" t="s">
        <v>7</v>
      </c>
      <c r="M205" s="27" t="s">
        <v>8</v>
      </c>
      <c r="P205" s="27" t="s">
        <v>7</v>
      </c>
      <c r="BI205" s="27" t="s">
        <v>8</v>
      </c>
      <c r="BJ205" s="27" t="s">
        <v>7</v>
      </c>
      <c r="BK205" s="27" t="s">
        <v>8</v>
      </c>
      <c r="BL205" s="27" t="s">
        <v>7</v>
      </c>
      <c r="BN205" s="27" t="s">
        <v>7</v>
      </c>
      <c r="BP205" s="27" t="s">
        <v>7</v>
      </c>
      <c r="BQ205" s="27" t="s">
        <v>8</v>
      </c>
      <c r="BS205" s="27" t="s">
        <v>8</v>
      </c>
      <c r="BT205" s="27" t="s">
        <v>7</v>
      </c>
      <c r="BU205" s="27" t="s">
        <v>8</v>
      </c>
      <c r="BW205" s="27" t="s">
        <v>8</v>
      </c>
      <c r="BX205" s="27" t="s">
        <v>7</v>
      </c>
      <c r="BY205" s="27" t="s">
        <v>8</v>
      </c>
      <c r="BZ205" s="27" t="s">
        <v>7</v>
      </c>
      <c r="CA205" s="27" t="s">
        <v>8</v>
      </c>
      <c r="CC205" s="27" t="s">
        <v>8</v>
      </c>
      <c r="CD205" s="27" t="s">
        <v>7</v>
      </c>
      <c r="CE205" s="27" t="s">
        <v>8</v>
      </c>
      <c r="CH205" s="27" t="s">
        <v>7</v>
      </c>
      <c r="CI205" s="27" t="s">
        <v>8</v>
      </c>
    </row>
    <row r="206" spans="1:144" x14ac:dyDescent="0.25">
      <c r="A206" s="30">
        <v>5.2533479691354827</v>
      </c>
      <c r="C206"/>
      <c r="D206"/>
      <c r="E206" t="s">
        <v>8</v>
      </c>
      <c r="F206" s="27" t="s">
        <v>7</v>
      </c>
      <c r="K206" s="27" t="s">
        <v>8</v>
      </c>
      <c r="L206" s="27" t="s">
        <v>7</v>
      </c>
      <c r="P206" s="27" t="s">
        <v>7</v>
      </c>
      <c r="AK206" s="27" t="s">
        <v>8</v>
      </c>
      <c r="AM206" s="27" t="s">
        <v>8</v>
      </c>
      <c r="BI206" s="27" t="s">
        <v>8</v>
      </c>
      <c r="BJ206" s="27" t="s">
        <v>7</v>
      </c>
      <c r="BK206" s="27" t="s">
        <v>8</v>
      </c>
      <c r="BP206" s="27" t="s">
        <v>7</v>
      </c>
      <c r="BQ206" s="27" t="s">
        <v>8</v>
      </c>
      <c r="BR206" s="27" t="s">
        <v>7</v>
      </c>
      <c r="BS206" s="27" t="s">
        <v>8</v>
      </c>
      <c r="BT206" s="27" t="s">
        <v>7</v>
      </c>
      <c r="BU206" s="27" t="s">
        <v>8</v>
      </c>
      <c r="BV206" s="27" t="s">
        <v>7</v>
      </c>
      <c r="BW206" s="27" t="s">
        <v>8</v>
      </c>
      <c r="BX206" s="27" t="s">
        <v>7</v>
      </c>
      <c r="BY206" s="27" t="s">
        <v>8</v>
      </c>
      <c r="BZ206" s="27" t="s">
        <v>7</v>
      </c>
      <c r="CA206" s="27" t="s">
        <v>8</v>
      </c>
      <c r="CB206" s="27" t="s">
        <v>7</v>
      </c>
      <c r="CC206" s="27" t="s">
        <v>8</v>
      </c>
      <c r="CD206" s="27" t="s">
        <v>7</v>
      </c>
      <c r="CH206" s="27" t="s">
        <v>7</v>
      </c>
      <c r="CI206" s="27" t="s">
        <v>8</v>
      </c>
    </row>
    <row r="207" spans="1:144" x14ac:dyDescent="0.25">
      <c r="A207" s="30">
        <v>5.0031885420337927</v>
      </c>
      <c r="E207" t="s">
        <v>8</v>
      </c>
      <c r="F207" s="27" t="s">
        <v>7</v>
      </c>
      <c r="I207" s="27" t="s">
        <v>8</v>
      </c>
      <c r="K207" s="27" t="s">
        <v>8</v>
      </c>
      <c r="P207" s="27" t="s">
        <v>7</v>
      </c>
      <c r="AK207" s="27" t="s">
        <v>8</v>
      </c>
      <c r="AL207" s="27" t="s">
        <v>7</v>
      </c>
      <c r="AM207" s="27" t="s">
        <v>8</v>
      </c>
      <c r="AN207" s="27" t="s">
        <v>7</v>
      </c>
      <c r="AO207" s="27" t="s">
        <v>8</v>
      </c>
      <c r="BI207" s="27" t="s">
        <v>8</v>
      </c>
      <c r="BJ207" s="27" t="s">
        <v>7</v>
      </c>
      <c r="BK207" s="27" t="s">
        <v>8</v>
      </c>
      <c r="BP207" s="27" t="s">
        <v>7</v>
      </c>
      <c r="BQ207" s="27" t="s">
        <v>8</v>
      </c>
      <c r="BR207" s="27" t="s">
        <v>7</v>
      </c>
      <c r="BS207" s="27" t="s">
        <v>8</v>
      </c>
      <c r="BT207" s="27" t="s">
        <v>7</v>
      </c>
      <c r="BU207" s="27" t="s">
        <v>8</v>
      </c>
      <c r="BV207" s="27" t="s">
        <v>7</v>
      </c>
      <c r="BW207" s="27" t="s">
        <v>8</v>
      </c>
      <c r="BX207" s="27" t="s">
        <v>7</v>
      </c>
      <c r="BY207" s="27" t="s">
        <v>8</v>
      </c>
      <c r="BZ207" s="27" t="s">
        <v>7</v>
      </c>
      <c r="CA207" s="27" t="s">
        <v>8</v>
      </c>
      <c r="CB207" s="27" t="s">
        <v>7</v>
      </c>
      <c r="CC207" s="27" t="s">
        <v>8</v>
      </c>
      <c r="CH207" s="27" t="s">
        <v>7</v>
      </c>
    </row>
    <row r="208" spans="1:144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I208" s="27" t="s">
        <v>8</v>
      </c>
      <c r="J208" s="27" t="s">
        <v>7</v>
      </c>
      <c r="K208" s="27" t="s">
        <v>8</v>
      </c>
      <c r="P208" s="27" t="s">
        <v>7</v>
      </c>
      <c r="AI208" s="27" t="s">
        <v>8</v>
      </c>
      <c r="AK208" s="27" t="s">
        <v>8</v>
      </c>
      <c r="AL208" s="27" t="s">
        <v>7</v>
      </c>
      <c r="AM208" s="27" t="s">
        <v>8</v>
      </c>
      <c r="AN208" s="27" t="s">
        <v>7</v>
      </c>
      <c r="AO208" s="27" t="s">
        <v>8</v>
      </c>
      <c r="AP208" s="27" t="s">
        <v>7</v>
      </c>
      <c r="BI208" s="27" t="s">
        <v>8</v>
      </c>
      <c r="BJ208" s="27" t="s">
        <v>7</v>
      </c>
      <c r="BP208" s="27" t="s">
        <v>7</v>
      </c>
      <c r="BQ208" s="27" t="s">
        <v>8</v>
      </c>
      <c r="BR208" s="27" t="s">
        <v>7</v>
      </c>
      <c r="BS208" s="27" t="s">
        <v>8</v>
      </c>
      <c r="BT208" s="27" t="s">
        <v>7</v>
      </c>
      <c r="BU208" s="27" t="s">
        <v>8</v>
      </c>
      <c r="BV208" s="27" t="s">
        <v>7</v>
      </c>
      <c r="BX208" s="27" t="s">
        <v>7</v>
      </c>
      <c r="BY208" s="27" t="s">
        <v>8</v>
      </c>
      <c r="BZ208" s="27" t="s">
        <v>7</v>
      </c>
      <c r="CA208" s="27" t="s">
        <v>8</v>
      </c>
      <c r="CB208" s="27" t="s">
        <v>7</v>
      </c>
      <c r="CC208" s="27" t="s">
        <v>8</v>
      </c>
    </row>
    <row r="209" spans="1:81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I209" s="27" t="s">
        <v>8</v>
      </c>
      <c r="J209" s="27" t="s">
        <v>7</v>
      </c>
      <c r="K209" s="27" t="s">
        <v>8</v>
      </c>
      <c r="P209" s="27" t="s">
        <v>7</v>
      </c>
      <c r="AG209" s="27" t="s">
        <v>8</v>
      </c>
      <c r="AI209" s="27" t="s">
        <v>8</v>
      </c>
      <c r="AJ209" s="27" t="s">
        <v>7</v>
      </c>
      <c r="AK209" s="27" t="s">
        <v>8</v>
      </c>
      <c r="AL209" s="27" t="s">
        <v>7</v>
      </c>
      <c r="AM209" s="27" t="s">
        <v>8</v>
      </c>
      <c r="AN209" s="27" t="s">
        <v>7</v>
      </c>
      <c r="AO209" s="27" t="s">
        <v>8</v>
      </c>
      <c r="AP209" s="27" t="s">
        <v>7</v>
      </c>
      <c r="BI209" s="27" t="s">
        <v>8</v>
      </c>
      <c r="BP209" s="27" t="s">
        <v>7</v>
      </c>
      <c r="BR209" s="27" t="s">
        <v>7</v>
      </c>
      <c r="BT209" s="27" t="s">
        <v>7</v>
      </c>
      <c r="BU209" s="27" t="s">
        <v>8</v>
      </c>
      <c r="BX209" s="27" t="s">
        <v>7</v>
      </c>
      <c r="BY209" s="27" t="s">
        <v>8</v>
      </c>
      <c r="BZ209" s="27" t="s">
        <v>7</v>
      </c>
      <c r="CB209" s="27" t="s">
        <v>7</v>
      </c>
      <c r="CC209" s="27" t="s">
        <v>8</v>
      </c>
    </row>
    <row r="210" spans="1:81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  <c r="I210" s="27" t="s">
        <v>8</v>
      </c>
      <c r="J210" s="27" t="s">
        <v>7</v>
      </c>
      <c r="K210" s="27" t="s">
        <v>8</v>
      </c>
      <c r="P210" s="27" t="s">
        <v>7</v>
      </c>
      <c r="Q210" s="27" t="s">
        <v>8</v>
      </c>
      <c r="AE210" s="27" t="s">
        <v>8</v>
      </c>
      <c r="AG210" s="27" t="s">
        <v>8</v>
      </c>
      <c r="AH210" s="27" t="s">
        <v>7</v>
      </c>
      <c r="AI210" s="27" t="s">
        <v>8</v>
      </c>
      <c r="AJ210" s="27" t="s">
        <v>7</v>
      </c>
      <c r="AK210" s="27" t="s">
        <v>8</v>
      </c>
      <c r="AL210" s="27" t="s">
        <v>7</v>
      </c>
      <c r="AM210" s="27" t="s">
        <v>8</v>
      </c>
      <c r="AN210" s="27" t="s">
        <v>7</v>
      </c>
      <c r="AO210" s="27" t="s">
        <v>8</v>
      </c>
      <c r="AP210" s="27" t="s">
        <v>7</v>
      </c>
      <c r="BC210" s="27" t="s">
        <v>8</v>
      </c>
      <c r="BE210" s="27" t="s">
        <v>8</v>
      </c>
      <c r="BI210" s="27" t="s">
        <v>8</v>
      </c>
      <c r="BT210" s="27" t="s">
        <v>7</v>
      </c>
      <c r="BU210" s="27" t="s">
        <v>8</v>
      </c>
      <c r="BX210" s="27" t="s">
        <v>7</v>
      </c>
      <c r="CB210" s="27" t="s">
        <v>7</v>
      </c>
    </row>
    <row r="211" spans="1:81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H211" s="27" t="s">
        <v>7</v>
      </c>
      <c r="J211" s="27" t="s">
        <v>7</v>
      </c>
      <c r="P211" s="27" t="s">
        <v>7</v>
      </c>
      <c r="Q211" s="27" t="s">
        <v>8</v>
      </c>
      <c r="R211" s="27" t="s">
        <v>7</v>
      </c>
      <c r="AE211" s="27" t="s">
        <v>8</v>
      </c>
      <c r="AF211" s="27" t="s">
        <v>7</v>
      </c>
      <c r="AG211" s="27" t="s">
        <v>8</v>
      </c>
      <c r="AH211" s="27" t="s">
        <v>7</v>
      </c>
      <c r="AI211" s="27" t="s">
        <v>8</v>
      </c>
      <c r="AJ211" s="27" t="s">
        <v>7</v>
      </c>
      <c r="AL211" s="27" t="s">
        <v>7</v>
      </c>
      <c r="AN211" s="27" t="s">
        <v>7</v>
      </c>
      <c r="AO211" s="27" t="s">
        <v>8</v>
      </c>
      <c r="AP211" s="27" t="s">
        <v>7</v>
      </c>
      <c r="BC211" s="27" t="s">
        <v>8</v>
      </c>
      <c r="BD211" s="27" t="s">
        <v>7</v>
      </c>
      <c r="BE211" s="27" t="s">
        <v>8</v>
      </c>
      <c r="BF211" s="27" t="s">
        <v>7</v>
      </c>
      <c r="BG211" s="27" t="s">
        <v>8</v>
      </c>
      <c r="BI211" s="27" t="s">
        <v>8</v>
      </c>
      <c r="BT211" s="27" t="s">
        <v>7</v>
      </c>
      <c r="BU211" s="27" t="s">
        <v>8</v>
      </c>
    </row>
    <row r="212" spans="1:81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P212" s="27" t="s">
        <v>7</v>
      </c>
      <c r="Q212" s="27" t="s">
        <v>8</v>
      </c>
      <c r="R212" s="27" t="s">
        <v>7</v>
      </c>
      <c r="AE212" s="27" t="s">
        <v>8</v>
      </c>
      <c r="AF212" s="27" t="s">
        <v>7</v>
      </c>
      <c r="AG212" s="27" t="s">
        <v>8</v>
      </c>
      <c r="AH212" s="27" t="s">
        <v>7</v>
      </c>
      <c r="AI212" s="27" t="s">
        <v>8</v>
      </c>
      <c r="AN212" s="27" t="s">
        <v>7</v>
      </c>
      <c r="AP212" s="27" t="s">
        <v>7</v>
      </c>
      <c r="AQ212" s="27" t="s">
        <v>8</v>
      </c>
      <c r="BC212" s="27" t="s">
        <v>8</v>
      </c>
      <c r="BD212" s="27" t="s">
        <v>7</v>
      </c>
      <c r="BE212" s="27" t="s">
        <v>8</v>
      </c>
      <c r="BF212" s="27" t="s">
        <v>7</v>
      </c>
      <c r="BG212" s="27" t="s">
        <v>8</v>
      </c>
      <c r="BH212" s="27" t="s">
        <v>7</v>
      </c>
      <c r="BI212" s="27" t="s">
        <v>8</v>
      </c>
      <c r="BT212" s="27" t="s">
        <v>7</v>
      </c>
    </row>
    <row r="213" spans="1:81" x14ac:dyDescent="0.25">
      <c r="A213" s="30">
        <v>3.7334563223415764</v>
      </c>
      <c r="E213" t="s">
        <v>8</v>
      </c>
      <c r="F213" s="27" t="s">
        <v>7</v>
      </c>
      <c r="G213" s="27" t="s">
        <v>8</v>
      </c>
      <c r="P213" s="27" t="s">
        <v>7</v>
      </c>
      <c r="Q213" s="27" t="s">
        <v>8</v>
      </c>
      <c r="R213" s="27" t="s">
        <v>7</v>
      </c>
      <c r="AE213" s="27" t="s">
        <v>8</v>
      </c>
      <c r="AF213" s="27" t="s">
        <v>7</v>
      </c>
      <c r="AG213" s="27" t="s">
        <v>8</v>
      </c>
      <c r="AH213" s="27" t="s">
        <v>7</v>
      </c>
      <c r="AI213" s="27" t="s">
        <v>8</v>
      </c>
      <c r="AP213" s="27" t="s">
        <v>7</v>
      </c>
      <c r="AQ213" s="27" t="s">
        <v>8</v>
      </c>
      <c r="AR213" s="27" t="s">
        <v>7</v>
      </c>
      <c r="BC213" s="27" t="s">
        <v>8</v>
      </c>
      <c r="BD213" s="27" t="s">
        <v>7</v>
      </c>
      <c r="BF213" s="27" t="s">
        <v>7</v>
      </c>
      <c r="BG213" s="27" t="s">
        <v>8</v>
      </c>
      <c r="BH213" s="27" t="s">
        <v>7</v>
      </c>
      <c r="BI213" s="27" t="s">
        <v>8</v>
      </c>
    </row>
    <row r="214" spans="1:81" x14ac:dyDescent="0.25">
      <c r="A214" s="30">
        <v>3.5556726879443583</v>
      </c>
      <c r="E214" t="s">
        <v>8</v>
      </c>
      <c r="F214" s="27" t="s">
        <v>7</v>
      </c>
      <c r="P214" s="27" t="s">
        <v>7</v>
      </c>
      <c r="R214" s="27" t="s">
        <v>7</v>
      </c>
      <c r="S214" s="27" t="s">
        <v>8</v>
      </c>
      <c r="Y214" s="27" t="s">
        <v>8</v>
      </c>
      <c r="AE214" s="27" t="s">
        <v>8</v>
      </c>
      <c r="AF214" s="27" t="s">
        <v>7</v>
      </c>
      <c r="AG214" s="27" t="s">
        <v>8</v>
      </c>
      <c r="AH214" s="27" t="s">
        <v>7</v>
      </c>
      <c r="AP214" s="27" t="s">
        <v>7</v>
      </c>
      <c r="AQ214" s="27" t="s">
        <v>8</v>
      </c>
      <c r="AR214" s="27" t="s">
        <v>7</v>
      </c>
      <c r="BC214" s="27" t="s">
        <v>8</v>
      </c>
      <c r="BF214" s="27" t="s">
        <v>7</v>
      </c>
      <c r="BG214" s="27" t="s">
        <v>8</v>
      </c>
      <c r="BH214" s="27" t="s">
        <v>7</v>
      </c>
    </row>
    <row r="215" spans="1:81" x14ac:dyDescent="0.25">
      <c r="A215" s="30">
        <v>3.3863549408993889</v>
      </c>
      <c r="E215" t="s">
        <v>8</v>
      </c>
      <c r="R215" s="27" t="s">
        <v>7</v>
      </c>
      <c r="S215" s="27" t="s">
        <v>8</v>
      </c>
      <c r="T215" s="27" t="s">
        <v>7</v>
      </c>
      <c r="Y215" s="27" t="s">
        <v>8</v>
      </c>
      <c r="Z215" s="27" t="s">
        <v>7</v>
      </c>
      <c r="AE215" s="27" t="s">
        <v>8</v>
      </c>
      <c r="AF215" s="27" t="s">
        <v>7</v>
      </c>
      <c r="AG215" s="27" t="s">
        <v>8</v>
      </c>
      <c r="AP215" s="27" t="s">
        <v>7</v>
      </c>
      <c r="AR215" s="27" t="s">
        <v>7</v>
      </c>
      <c r="BC215" s="27" t="s">
        <v>8</v>
      </c>
      <c r="BF215" s="27" t="s">
        <v>7</v>
      </c>
    </row>
    <row r="216" spans="1:81" x14ac:dyDescent="0.25">
      <c r="A216" s="30">
        <v>3.2250999437137038</v>
      </c>
      <c r="E216" t="s">
        <v>8</v>
      </c>
      <c r="R216" s="27" t="s">
        <v>7</v>
      </c>
      <c r="S216" s="27" t="s">
        <v>8</v>
      </c>
      <c r="T216" s="27" t="s">
        <v>7</v>
      </c>
      <c r="Y216" s="27" t="s">
        <v>8</v>
      </c>
      <c r="Z216" s="27" t="s">
        <v>7</v>
      </c>
      <c r="AE216" s="27" t="s">
        <v>8</v>
      </c>
      <c r="AF216" s="27" t="s">
        <v>7</v>
      </c>
      <c r="AG216" s="27" t="s">
        <v>8</v>
      </c>
      <c r="AR216" s="27" t="s">
        <v>7</v>
      </c>
      <c r="BC216" s="27" t="s">
        <v>8</v>
      </c>
    </row>
    <row r="217" spans="1:81" x14ac:dyDescent="0.25">
      <c r="A217" s="30">
        <v>3.0715237559178128</v>
      </c>
      <c r="E217" t="s">
        <v>8</v>
      </c>
      <c r="R217" s="27" t="s">
        <v>7</v>
      </c>
      <c r="T217" s="27" t="s">
        <v>7</v>
      </c>
      <c r="Y217" s="27" t="s">
        <v>8</v>
      </c>
      <c r="Z217" s="27" t="s">
        <v>7</v>
      </c>
      <c r="AC217" s="27" t="s">
        <v>8</v>
      </c>
      <c r="AE217" s="27" t="s">
        <v>8</v>
      </c>
      <c r="AF217" s="27" t="s">
        <v>7</v>
      </c>
      <c r="AG217" s="27" t="s">
        <v>8</v>
      </c>
      <c r="AR217" s="27" t="s">
        <v>7</v>
      </c>
      <c r="AY217" s="27" t="s">
        <v>8</v>
      </c>
      <c r="BA217" s="27" t="s">
        <v>8</v>
      </c>
      <c r="BC217" s="27" t="s">
        <v>8</v>
      </c>
    </row>
    <row r="218" spans="1:81" x14ac:dyDescent="0.25">
      <c r="A218" s="30">
        <v>2.9252607199217264</v>
      </c>
      <c r="E218" t="s">
        <v>8</v>
      </c>
      <c r="T218" s="27" t="s">
        <v>7</v>
      </c>
      <c r="U218" s="27" t="s">
        <v>8</v>
      </c>
      <c r="W218" s="27" t="s">
        <v>8</v>
      </c>
      <c r="Y218" s="27" t="s">
        <v>8</v>
      </c>
      <c r="Z218" s="27" t="s">
        <v>7</v>
      </c>
      <c r="AC218" s="27" t="s">
        <v>8</v>
      </c>
      <c r="AD218" s="27" t="s">
        <v>7</v>
      </c>
      <c r="AE218" s="27" t="s">
        <v>8</v>
      </c>
      <c r="AF218" s="27" t="s">
        <v>7</v>
      </c>
      <c r="AG218" s="27" t="s">
        <v>8</v>
      </c>
      <c r="AR218" s="27" t="s">
        <v>7</v>
      </c>
      <c r="AY218" s="27" t="s">
        <v>8</v>
      </c>
      <c r="AZ218" s="27" t="s">
        <v>7</v>
      </c>
      <c r="BA218" s="27" t="s">
        <v>8</v>
      </c>
      <c r="BB218" s="27" t="s">
        <v>7</v>
      </c>
      <c r="BC218" s="27" t="s">
        <v>8</v>
      </c>
    </row>
    <row r="219" spans="1:81" x14ac:dyDescent="0.25">
      <c r="A219" s="30">
        <v>2.7859625904016441</v>
      </c>
      <c r="E219" t="s">
        <v>8</v>
      </c>
      <c r="T219" s="27" t="s">
        <v>7</v>
      </c>
      <c r="U219" s="27" t="s">
        <v>8</v>
      </c>
      <c r="V219" s="27" t="s">
        <v>7</v>
      </c>
      <c r="W219" s="27" t="s">
        <v>8</v>
      </c>
      <c r="X219" s="27" t="s">
        <v>7</v>
      </c>
      <c r="Y219" s="27" t="s">
        <v>8</v>
      </c>
      <c r="Z219" s="27" t="s">
        <v>7</v>
      </c>
      <c r="AC219" s="27" t="s">
        <v>8</v>
      </c>
      <c r="AD219" s="27" t="s">
        <v>7</v>
      </c>
      <c r="AE219" s="27" t="s">
        <v>8</v>
      </c>
      <c r="AF219" s="27" t="s">
        <v>7</v>
      </c>
      <c r="AG219" s="27" t="s">
        <v>8</v>
      </c>
      <c r="AR219" s="27" t="s">
        <v>7</v>
      </c>
      <c r="AY219" s="27" t="s">
        <v>8</v>
      </c>
      <c r="AZ219" s="27" t="s">
        <v>7</v>
      </c>
      <c r="BA219" s="27" t="s">
        <v>8</v>
      </c>
      <c r="BB219" s="27" t="s">
        <v>7</v>
      </c>
      <c r="BC219" s="27" t="s">
        <v>8</v>
      </c>
    </row>
    <row r="220" spans="1:81" x14ac:dyDescent="0.25">
      <c r="A220" s="30">
        <v>2.6532977051444226</v>
      </c>
      <c r="E220" t="s">
        <v>8</v>
      </c>
      <c r="T220" s="27" t="s">
        <v>7</v>
      </c>
      <c r="U220" s="27" t="s">
        <v>8</v>
      </c>
      <c r="V220" s="27" t="s">
        <v>7</v>
      </c>
      <c r="W220" s="27" t="s">
        <v>8</v>
      </c>
      <c r="X220" s="27" t="s">
        <v>7</v>
      </c>
      <c r="Y220" s="27" t="s">
        <v>8</v>
      </c>
      <c r="Z220" s="27" t="s">
        <v>7</v>
      </c>
      <c r="AC220" s="27" t="s">
        <v>8</v>
      </c>
      <c r="AD220" s="27" t="s">
        <v>7</v>
      </c>
      <c r="AF220" s="27" t="s">
        <v>7</v>
      </c>
      <c r="AR220" s="27" t="s">
        <v>7</v>
      </c>
      <c r="AY220" s="27" t="s">
        <v>8</v>
      </c>
      <c r="AZ220" s="27" t="s">
        <v>7</v>
      </c>
      <c r="BA220" s="27" t="s">
        <v>8</v>
      </c>
      <c r="BB220" s="27" t="s">
        <v>7</v>
      </c>
      <c r="BC220" s="27" t="s">
        <v>8</v>
      </c>
    </row>
    <row r="221" spans="1:81" x14ac:dyDescent="0.25">
      <c r="A221" s="30">
        <v>2.5269501953756404</v>
      </c>
      <c r="E221" t="s">
        <v>8</v>
      </c>
      <c r="T221" s="27" t="s">
        <v>7</v>
      </c>
      <c r="U221" s="27" t="s">
        <v>8</v>
      </c>
      <c r="V221" s="27" t="s">
        <v>7</v>
      </c>
      <c r="X221" s="27" t="s">
        <v>7</v>
      </c>
      <c r="Y221" s="27" t="s">
        <v>8</v>
      </c>
      <c r="Z221" s="27" t="s">
        <v>7</v>
      </c>
      <c r="AC221" s="27" t="s">
        <v>8</v>
      </c>
      <c r="AR221" s="27" t="s">
        <v>7</v>
      </c>
      <c r="AW221" s="27" t="s">
        <v>8</v>
      </c>
      <c r="AY221" s="27" t="s">
        <v>8</v>
      </c>
      <c r="AZ221" s="27" t="s">
        <v>7</v>
      </c>
      <c r="BA221" s="27" t="s">
        <v>8</v>
      </c>
      <c r="BB221" s="27" t="s">
        <v>7</v>
      </c>
      <c r="BC221" s="27" t="s">
        <v>8</v>
      </c>
    </row>
    <row r="222" spans="1:81" x14ac:dyDescent="0.25">
      <c r="A222" s="30">
        <v>2.4066192336910861</v>
      </c>
      <c r="E222" t="s">
        <v>8</v>
      </c>
      <c r="T222" s="27" t="s">
        <v>7</v>
      </c>
      <c r="U222" s="27" t="s">
        <v>8</v>
      </c>
      <c r="X222" s="27" t="s">
        <v>7</v>
      </c>
      <c r="Z222" s="27" t="s">
        <v>7</v>
      </c>
      <c r="AA222" s="27" t="s">
        <v>8</v>
      </c>
      <c r="AC222" s="27" t="s">
        <v>8</v>
      </c>
      <c r="AR222" s="27" t="s">
        <v>7</v>
      </c>
      <c r="AU222" s="27" t="s">
        <v>8</v>
      </c>
      <c r="AW222" s="27" t="s">
        <v>8</v>
      </c>
      <c r="AX222" s="27" t="s">
        <v>7</v>
      </c>
      <c r="AY222" s="27" t="s">
        <v>8</v>
      </c>
      <c r="AZ222" s="27" t="s">
        <v>7</v>
      </c>
      <c r="BA222" s="27" t="s">
        <v>8</v>
      </c>
      <c r="BB222" s="27" t="s">
        <v>7</v>
      </c>
      <c r="BC222" s="27" t="s">
        <v>8</v>
      </c>
    </row>
    <row r="223" spans="1:81" x14ac:dyDescent="0.25">
      <c r="A223" s="30">
        <v>2.2920183178010345</v>
      </c>
      <c r="E223" t="s">
        <v>8</v>
      </c>
      <c r="T223" s="27" t="s">
        <v>7</v>
      </c>
      <c r="U223" s="27" t="s">
        <v>8</v>
      </c>
      <c r="Z223" s="27" t="s">
        <v>7</v>
      </c>
      <c r="AA223" s="27" t="s">
        <v>8</v>
      </c>
      <c r="AB223" s="27" t="s">
        <v>7</v>
      </c>
      <c r="AC223" s="27" t="s">
        <v>8</v>
      </c>
      <c r="AR223" s="27" t="s">
        <v>7</v>
      </c>
      <c r="AU223" s="27" t="s">
        <v>8</v>
      </c>
      <c r="AV223" s="27" t="s">
        <v>7</v>
      </c>
      <c r="AW223" s="27" t="s">
        <v>8</v>
      </c>
      <c r="AX223" s="27" t="s">
        <v>7</v>
      </c>
      <c r="AY223" s="27" t="s">
        <v>8</v>
      </c>
      <c r="AZ223" s="27" t="s">
        <v>7</v>
      </c>
      <c r="BB223" s="27" t="s">
        <v>7</v>
      </c>
    </row>
    <row r="224" spans="1:81" x14ac:dyDescent="0.25">
      <c r="A224" s="30">
        <v>2.1828745883819374</v>
      </c>
      <c r="E224" t="s">
        <v>8</v>
      </c>
      <c r="T224" s="27" t="s">
        <v>7</v>
      </c>
      <c r="U224" s="27" t="s">
        <v>8</v>
      </c>
      <c r="Z224" s="27" t="s">
        <v>7</v>
      </c>
      <c r="AA224" s="27" t="s">
        <v>8</v>
      </c>
      <c r="AB224" s="27" t="s">
        <v>7</v>
      </c>
      <c r="AC224" s="27" t="s">
        <v>8</v>
      </c>
      <c r="AR224" s="27" t="s">
        <v>7</v>
      </c>
      <c r="AU224" s="27" t="s">
        <v>8</v>
      </c>
      <c r="AV224" s="27" t="s">
        <v>7</v>
      </c>
      <c r="AW224" s="27" t="s">
        <v>8</v>
      </c>
      <c r="AX224" s="27" t="s">
        <v>7</v>
      </c>
    </row>
    <row r="225" spans="1:49" x14ac:dyDescent="0.25">
      <c r="A225" s="30">
        <v>2.0789281794113688</v>
      </c>
      <c r="E225" t="s">
        <v>8</v>
      </c>
      <c r="T225" s="27" t="s">
        <v>7</v>
      </c>
      <c r="U225" s="27" t="s">
        <v>8</v>
      </c>
      <c r="Z225" s="27" t="s">
        <v>7</v>
      </c>
      <c r="AA225" s="27" t="s">
        <v>8</v>
      </c>
      <c r="AB225" s="27" t="s">
        <v>7</v>
      </c>
      <c r="AR225" s="27" t="s">
        <v>7</v>
      </c>
      <c r="AS225" s="27" t="s">
        <v>8</v>
      </c>
      <c r="AU225" s="27" t="s">
        <v>8</v>
      </c>
      <c r="AV225" s="27" t="s">
        <v>7</v>
      </c>
      <c r="AW225" s="27" t="s">
        <v>8</v>
      </c>
    </row>
    <row r="226" spans="1:49" x14ac:dyDescent="0.25">
      <c r="A226" s="30">
        <v>1.9799315994393987</v>
      </c>
      <c r="E226" t="s">
        <v>8</v>
      </c>
      <c r="T226" s="27" t="s">
        <v>7</v>
      </c>
      <c r="U226" s="27" t="s">
        <v>8</v>
      </c>
      <c r="Z226" s="27" t="s">
        <v>7</v>
      </c>
      <c r="AR226" s="27" t="s">
        <v>7</v>
      </c>
      <c r="AS226" s="27" t="s">
        <v>8</v>
      </c>
      <c r="AT226" s="27" t="s">
        <v>7</v>
      </c>
      <c r="AU226" s="27" t="s">
        <v>8</v>
      </c>
      <c r="AV226" s="27" t="s">
        <v>7</v>
      </c>
      <c r="AW226" s="27" t="s">
        <v>8</v>
      </c>
    </row>
    <row r="227" spans="1:49" x14ac:dyDescent="0.25">
      <c r="A227" s="30">
        <v>1.8856491423232367</v>
      </c>
      <c r="E227" t="s">
        <v>8</v>
      </c>
      <c r="T227" s="27" t="s">
        <v>7</v>
      </c>
      <c r="AR227" s="27" t="s">
        <v>7</v>
      </c>
      <c r="AS227" s="27" t="s">
        <v>8</v>
      </c>
      <c r="AT227" s="27" t="s">
        <v>7</v>
      </c>
      <c r="AU227" s="27" t="s">
        <v>8</v>
      </c>
      <c r="AV227" s="27" t="s">
        <v>7</v>
      </c>
    </row>
    <row r="228" spans="1:49" x14ac:dyDescent="0.25">
      <c r="A228" s="30">
        <v>1.7958563260221301</v>
      </c>
      <c r="C228" s="7"/>
      <c r="D228"/>
      <c r="E228" t="s">
        <v>8</v>
      </c>
      <c r="AR228" s="27" t="s">
        <v>7</v>
      </c>
      <c r="AS228" s="27" t="s">
        <v>8</v>
      </c>
      <c r="AT228" s="27" t="s">
        <v>7</v>
      </c>
      <c r="AU228" s="27" t="s">
        <v>8</v>
      </c>
    </row>
    <row r="229" spans="1:49" x14ac:dyDescent="0.25">
      <c r="A229" s="30">
        <v>1.7103393581163142</v>
      </c>
      <c r="E229" t="s">
        <v>8</v>
      </c>
      <c r="AR229" s="27" t="s">
        <v>7</v>
      </c>
      <c r="AS229" s="27" t="s">
        <v>8</v>
      </c>
      <c r="AT229" s="27" t="s">
        <v>7</v>
      </c>
      <c r="AU229" s="27" t="s">
        <v>8</v>
      </c>
    </row>
    <row r="230" spans="1:49" x14ac:dyDescent="0.25">
      <c r="A230" s="30">
        <v>1.628894626777442</v>
      </c>
      <c r="E230" t="s">
        <v>8</v>
      </c>
      <c r="AR230" s="27" t="s">
        <v>7</v>
      </c>
      <c r="AS230" s="27" t="s">
        <v>8</v>
      </c>
      <c r="AT230" s="27" t="s">
        <v>7</v>
      </c>
      <c r="AU230" s="27" t="s">
        <v>8</v>
      </c>
    </row>
    <row r="231" spans="1:49" x14ac:dyDescent="0.25">
      <c r="A231" s="30">
        <v>1.5513282159785162</v>
      </c>
      <c r="C231"/>
      <c r="D231"/>
      <c r="E231" t="s">
        <v>8</v>
      </c>
      <c r="AR231" s="27" t="s">
        <v>7</v>
      </c>
      <c r="AS231" s="27" t="s">
        <v>8</v>
      </c>
      <c r="AT231" s="27" t="s">
        <v>7</v>
      </c>
    </row>
    <row r="232" spans="1:49" x14ac:dyDescent="0.25">
      <c r="A232" s="30">
        <v>1.477455443789063</v>
      </c>
      <c r="E232" t="s">
        <v>8</v>
      </c>
      <c r="AR232" s="27" t="s">
        <v>7</v>
      </c>
      <c r="AS232" s="27" t="s">
        <v>8</v>
      </c>
    </row>
    <row r="233" spans="1:49" x14ac:dyDescent="0.25">
      <c r="A233" s="30">
        <v>1.4071004226562505</v>
      </c>
      <c r="E233" t="s">
        <v>8</v>
      </c>
      <c r="AR233" s="27" t="s">
        <v>7</v>
      </c>
      <c r="AS233" s="27" t="s">
        <v>8</v>
      </c>
    </row>
    <row r="234" spans="1:49" x14ac:dyDescent="0.25">
      <c r="A234" s="30">
        <v>1.3400956406250004</v>
      </c>
      <c r="E234" t="s">
        <v>8</v>
      </c>
      <c r="AR234" s="27" t="s">
        <v>7</v>
      </c>
      <c r="AS234" s="27" t="s">
        <v>8</v>
      </c>
    </row>
    <row r="235" spans="1:49" x14ac:dyDescent="0.25">
      <c r="A235" s="30">
        <v>1.2762815625000004</v>
      </c>
      <c r="C235"/>
      <c r="E235" t="s">
        <v>8</v>
      </c>
      <c r="AR235" s="27" t="s">
        <v>7</v>
      </c>
      <c r="AS235" s="27" t="s">
        <v>8</v>
      </c>
    </row>
    <row r="236" spans="1:49" x14ac:dyDescent="0.25">
      <c r="A236" s="30">
        <v>1.2155062500000002</v>
      </c>
      <c r="E236" t="s">
        <v>8</v>
      </c>
      <c r="AR236" s="27" t="s">
        <v>7</v>
      </c>
      <c r="AS236" s="27" t="s">
        <v>8</v>
      </c>
    </row>
    <row r="237" spans="1:4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AR237" s="27" t="s">
        <v>7</v>
      </c>
      <c r="AS237" s="27" t="s">
        <v>8</v>
      </c>
    </row>
    <row r="238" spans="1:49" x14ac:dyDescent="0.25">
      <c r="A238" s="30">
        <v>1.1025</v>
      </c>
      <c r="E238" t="s">
        <v>8</v>
      </c>
      <c r="AR238" s="27" t="s">
        <v>7</v>
      </c>
    </row>
    <row r="239" spans="1:49" x14ac:dyDescent="0.25">
      <c r="A239" s="30">
        <v>1.05</v>
      </c>
      <c r="E239" t="s">
        <v>8</v>
      </c>
    </row>
    <row r="240" spans="1:49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25" operator="equal">
      <formula>$U$1</formula>
    </cfRule>
    <cfRule type="cellIs" dxfId="67" priority="1426" operator="equal">
      <formula>$S$1</formula>
    </cfRule>
  </conditionalFormatting>
  <conditionalFormatting sqref="D136">
    <cfRule type="cellIs" dxfId="66" priority="1423" operator="equal">
      <formula>$S$1</formula>
    </cfRule>
    <cfRule type="cellIs" dxfId="65" priority="1424" operator="equal">
      <formula>$U$1</formula>
    </cfRule>
  </conditionalFormatting>
  <conditionalFormatting sqref="C162">
    <cfRule type="cellIs" dxfId="64" priority="1421" operator="equal">
      <formula>$U$1</formula>
    </cfRule>
    <cfRule type="cellIs" dxfId="63" priority="1422" operator="equal">
      <formula>$S$1</formula>
    </cfRule>
  </conditionalFormatting>
  <conditionalFormatting sqref="D162">
    <cfRule type="cellIs" dxfId="62" priority="1419" operator="equal">
      <formula>$S$1</formula>
    </cfRule>
    <cfRule type="cellIs" dxfId="61" priority="1420" operator="equal">
      <formula>$U$1</formula>
    </cfRule>
  </conditionalFormatting>
  <conditionalFormatting sqref="C187">
    <cfRule type="cellIs" dxfId="60" priority="1417" operator="equal">
      <formula>$U$1</formula>
    </cfRule>
    <cfRule type="cellIs" dxfId="59" priority="1418" operator="equal">
      <formula>$S$1</formula>
    </cfRule>
  </conditionalFormatting>
  <conditionalFormatting sqref="D187">
    <cfRule type="cellIs" dxfId="58" priority="1415" operator="equal">
      <formula>$S$1</formula>
    </cfRule>
    <cfRule type="cellIs" dxfId="57" priority="1416" operator="equal">
      <formula>$U$1</formula>
    </cfRule>
  </conditionalFormatting>
  <conditionalFormatting sqref="C212">
    <cfRule type="cellIs" dxfId="56" priority="1413" operator="equal">
      <formula>$U$1</formula>
    </cfRule>
    <cfRule type="cellIs" dxfId="55" priority="1414" operator="equal">
      <formula>$S$1</formula>
    </cfRule>
  </conditionalFormatting>
  <conditionalFormatting sqref="D212">
    <cfRule type="cellIs" dxfId="54" priority="1411" operator="equal">
      <formula>$S$1</formula>
    </cfRule>
    <cfRule type="cellIs" dxfId="53" priority="1412" operator="equal">
      <formula>$U$1</formula>
    </cfRule>
  </conditionalFormatting>
  <conditionalFormatting sqref="C237">
    <cfRule type="cellIs" dxfId="52" priority="1409" operator="equal">
      <formula>$U$1</formula>
    </cfRule>
    <cfRule type="cellIs" dxfId="51" priority="1410" operator="equal">
      <formula>$S$1</formula>
    </cfRule>
  </conditionalFormatting>
  <conditionalFormatting sqref="D237">
    <cfRule type="cellIs" dxfId="50" priority="1407" operator="equal">
      <formula>$S$1</formula>
    </cfRule>
    <cfRule type="cellIs" dxfId="49" priority="1408" operator="equal">
      <formula>$U$1</formula>
    </cfRule>
  </conditionalFormatting>
  <conditionalFormatting sqref="C106">
    <cfRule type="cellIs" dxfId="48" priority="1405" operator="equal">
      <formula>$U$1</formula>
    </cfRule>
    <cfRule type="cellIs" dxfId="47" priority="1406" operator="equal">
      <formula>$S$1</formula>
    </cfRule>
  </conditionalFormatting>
  <conditionalFormatting sqref="D106">
    <cfRule type="cellIs" dxfId="46" priority="1403" operator="equal">
      <formula>$S$1</formula>
    </cfRule>
    <cfRule type="cellIs" dxfId="45" priority="1404" operator="equal">
      <formula>$U$1</formula>
    </cfRule>
  </conditionalFormatting>
  <conditionalFormatting sqref="C81">
    <cfRule type="cellIs" dxfId="44" priority="1401" operator="equal">
      <formula>$U$1</formula>
    </cfRule>
    <cfRule type="cellIs" dxfId="43" priority="1402" operator="equal">
      <formula>$S$1</formula>
    </cfRule>
  </conditionalFormatting>
  <conditionalFormatting sqref="D81">
    <cfRule type="cellIs" dxfId="42" priority="1399" operator="equal">
      <formula>$S$1</formula>
    </cfRule>
    <cfRule type="cellIs" dxfId="41" priority="1400" operator="equal">
      <formula>$U$1</formula>
    </cfRule>
  </conditionalFormatting>
  <conditionalFormatting sqref="C56">
    <cfRule type="cellIs" dxfId="40" priority="1397" operator="equal">
      <formula>$U$1</formula>
    </cfRule>
    <cfRule type="cellIs" dxfId="39" priority="1398" operator="equal">
      <formula>$S$1</formula>
    </cfRule>
  </conditionalFormatting>
  <conditionalFormatting sqref="D56">
    <cfRule type="cellIs" dxfId="38" priority="1395" operator="equal">
      <formula>$S$1</formula>
    </cfRule>
    <cfRule type="cellIs" dxfId="37" priority="1396" operator="equal">
      <formula>$U$1</formula>
    </cfRule>
  </conditionalFormatting>
  <conditionalFormatting sqref="C31">
    <cfRule type="cellIs" dxfId="36" priority="1393" operator="equal">
      <formula>$U$1</formula>
    </cfRule>
    <cfRule type="cellIs" dxfId="35" priority="1394" operator="equal">
      <formula>$S$1</formula>
    </cfRule>
  </conditionalFormatting>
  <conditionalFormatting sqref="D31">
    <cfRule type="cellIs" dxfId="34" priority="1391" operator="equal">
      <formula>$S$1</formula>
    </cfRule>
    <cfRule type="cellIs" dxfId="33" priority="139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72" zoomScale="90" zoomScaleNormal="90" workbookViewId="0">
      <pane xSplit="4" topLeftCell="G1" activePane="topRight" state="frozen"/>
      <selection activeCell="A109" sqref="A109"/>
      <selection pane="topRight" activeCell="AZ86" sqref="AZ8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2" x14ac:dyDescent="0.25">
      <c r="A81" s="30">
        <v>45.259255568176073</v>
      </c>
      <c r="E81"/>
    </row>
    <row r="82" spans="1:52" x14ac:dyDescent="0.25">
      <c r="A82" s="30">
        <v>41.144777789250973</v>
      </c>
      <c r="E82"/>
      <c r="AS82" s="35" t="s">
        <v>8</v>
      </c>
      <c r="AU82" s="35" t="s">
        <v>8</v>
      </c>
      <c r="AW82" s="35" t="s">
        <v>8</v>
      </c>
      <c r="AY82" s="27" t="s">
        <v>8</v>
      </c>
    </row>
    <row r="83" spans="1:52" x14ac:dyDescent="0.25">
      <c r="A83" s="30">
        <v>37.404343444773609</v>
      </c>
      <c r="E83"/>
      <c r="AS83" s="27" t="s">
        <v>8</v>
      </c>
      <c r="AT83" s="27" t="s">
        <v>7</v>
      </c>
      <c r="AU83" s="27" t="s">
        <v>8</v>
      </c>
      <c r="AV83" s="27" t="s">
        <v>7</v>
      </c>
      <c r="AW83" s="27" t="s">
        <v>8</v>
      </c>
      <c r="AX83" s="27" t="s">
        <v>7</v>
      </c>
      <c r="AY83" s="27" t="s">
        <v>8</v>
      </c>
      <c r="AZ83" s="27" t="s">
        <v>7</v>
      </c>
    </row>
    <row r="84" spans="1:52" x14ac:dyDescent="0.25">
      <c r="A84" s="30">
        <v>34.003948586157826</v>
      </c>
      <c r="E84"/>
      <c r="AS84" s="27" t="s">
        <v>8</v>
      </c>
      <c r="AT84" s="27" t="s">
        <v>7</v>
      </c>
      <c r="AU84" s="27" t="s">
        <v>8</v>
      </c>
      <c r="AV84" s="27" t="s">
        <v>7</v>
      </c>
      <c r="AW84" s="27" t="s">
        <v>8</v>
      </c>
      <c r="AX84" s="27" t="s">
        <v>7</v>
      </c>
      <c r="AY84" s="27" t="s">
        <v>8</v>
      </c>
      <c r="AZ84" s="27" t="s">
        <v>7</v>
      </c>
    </row>
    <row r="85" spans="1:52" x14ac:dyDescent="0.25">
      <c r="A85" s="30">
        <v>30.912680532870748</v>
      </c>
      <c r="E85"/>
      <c r="AG85" s="31" t="s">
        <v>8</v>
      </c>
      <c r="AS85" s="27" t="s">
        <v>8</v>
      </c>
      <c r="AT85" s="35" t="s">
        <v>7</v>
      </c>
      <c r="AV85" s="35" t="s">
        <v>7</v>
      </c>
      <c r="AX85" s="27" t="s">
        <v>7</v>
      </c>
      <c r="AY85" s="27" t="s">
        <v>8</v>
      </c>
      <c r="AZ85" s="27" t="s">
        <v>7</v>
      </c>
    </row>
    <row r="86" spans="1:52" x14ac:dyDescent="0.25">
      <c r="A86" s="30">
        <v>28.102436848064315</v>
      </c>
      <c r="E86"/>
      <c r="AE86" s="27" t="s">
        <v>8</v>
      </c>
      <c r="AG86" s="27" t="s">
        <v>8</v>
      </c>
      <c r="AH86" s="31" t="s">
        <v>7</v>
      </c>
      <c r="AS86" s="27" t="s">
        <v>8</v>
      </c>
      <c r="AX86" s="27" t="s">
        <v>7</v>
      </c>
      <c r="AY86" s="27" t="s">
        <v>8</v>
      </c>
      <c r="AZ86" s="34" t="s">
        <v>7</v>
      </c>
    </row>
    <row r="87" spans="1:52" x14ac:dyDescent="0.25">
      <c r="A87" s="30">
        <v>25.547669861876649</v>
      </c>
      <c r="E87"/>
      <c r="AA87" s="27" t="s">
        <v>8</v>
      </c>
      <c r="AE87" s="27" t="s">
        <v>8</v>
      </c>
      <c r="AF87" s="27" t="s">
        <v>7</v>
      </c>
      <c r="AG87" s="27" t="s">
        <v>8</v>
      </c>
      <c r="AH87" s="27" t="s">
        <v>7</v>
      </c>
      <c r="AI87" s="31"/>
      <c r="AQ87" s="27" t="s">
        <v>8</v>
      </c>
      <c r="AS87" s="27" t="s">
        <v>8</v>
      </c>
      <c r="AX87" s="27" t="s">
        <v>7</v>
      </c>
      <c r="AY87" s="34" t="s">
        <v>8</v>
      </c>
    </row>
    <row r="88" spans="1:52" x14ac:dyDescent="0.25">
      <c r="A88" s="30">
        <v>23.225154419887861</v>
      </c>
      <c r="E88"/>
      <c r="AA88" s="27" t="s">
        <v>8</v>
      </c>
      <c r="AB88" s="27" t="s">
        <v>7</v>
      </c>
      <c r="AC88" s="27" t="s">
        <v>8</v>
      </c>
      <c r="AE88" s="27" t="s">
        <v>8</v>
      </c>
      <c r="AF88" s="27" t="s">
        <v>7</v>
      </c>
      <c r="AG88" s="27" t="s">
        <v>8</v>
      </c>
      <c r="AH88" s="27" t="s">
        <v>7</v>
      </c>
      <c r="AJ88" s="31"/>
      <c r="AO88" s="27" t="s">
        <v>8</v>
      </c>
      <c r="AQ88" s="27" t="s">
        <v>8</v>
      </c>
      <c r="AR88" s="27" t="s">
        <v>7</v>
      </c>
      <c r="AS88" s="27" t="s">
        <v>8</v>
      </c>
      <c r="AX88" s="34" t="s">
        <v>7</v>
      </c>
      <c r="AY88" s="27" t="s">
        <v>8</v>
      </c>
    </row>
    <row r="89" spans="1:52" x14ac:dyDescent="0.25">
      <c r="A89" s="30">
        <v>21.113776745352599</v>
      </c>
      <c r="E89"/>
      <c r="AA89" s="27" t="s">
        <v>8</v>
      </c>
      <c r="AB89" s="27" t="s">
        <v>7</v>
      </c>
      <c r="AC89" s="27" t="s">
        <v>8</v>
      </c>
      <c r="AD89" s="27" t="s">
        <v>7</v>
      </c>
      <c r="AE89" s="27" t="s">
        <v>8</v>
      </c>
      <c r="AF89" s="27" t="s">
        <v>7</v>
      </c>
      <c r="AG89" s="27" t="s">
        <v>8</v>
      </c>
      <c r="AH89" s="27" t="s">
        <v>7</v>
      </c>
      <c r="AK89" s="31"/>
      <c r="AO89" s="27" t="s">
        <v>8</v>
      </c>
      <c r="AP89" s="27" t="s">
        <v>7</v>
      </c>
      <c r="AQ89" s="27" t="s">
        <v>8</v>
      </c>
      <c r="AR89" s="27" t="s">
        <v>7</v>
      </c>
      <c r="AS89" s="27" t="s">
        <v>8</v>
      </c>
      <c r="AW89" s="34"/>
      <c r="AX89" s="27" t="s">
        <v>7</v>
      </c>
    </row>
    <row r="90" spans="1:52" x14ac:dyDescent="0.25">
      <c r="A90" s="30">
        <v>19.194342495775089</v>
      </c>
      <c r="E90"/>
      <c r="AA90" s="27" t="s">
        <v>8</v>
      </c>
      <c r="AB90" s="27" t="s">
        <v>7</v>
      </c>
      <c r="AC90" s="27" t="s">
        <v>8</v>
      </c>
      <c r="AD90" s="27" t="s">
        <v>7</v>
      </c>
      <c r="AE90" s="27" t="s">
        <v>8</v>
      </c>
      <c r="AF90" s="27" t="s">
        <v>7</v>
      </c>
      <c r="AG90" s="27" t="s">
        <v>8</v>
      </c>
      <c r="AH90" s="27" t="s">
        <v>7</v>
      </c>
      <c r="AL90" s="31"/>
      <c r="AO90" s="27" t="s">
        <v>8</v>
      </c>
      <c r="AP90" s="27" t="s">
        <v>7</v>
      </c>
      <c r="AQ90" s="27" t="s">
        <v>8</v>
      </c>
      <c r="AR90" s="27" t="s">
        <v>7</v>
      </c>
      <c r="AV90" s="34"/>
    </row>
    <row r="91" spans="1:52" x14ac:dyDescent="0.25">
      <c r="A91" s="30">
        <v>17.449402268886445</v>
      </c>
      <c r="E91"/>
      <c r="AA91" s="27" t="s">
        <v>8</v>
      </c>
      <c r="AB91" s="27" t="s">
        <v>7</v>
      </c>
      <c r="AC91" s="27" t="s">
        <v>8</v>
      </c>
      <c r="AD91" s="27" t="s">
        <v>7</v>
      </c>
      <c r="AF91" s="27" t="s">
        <v>7</v>
      </c>
      <c r="AH91" s="27" t="s">
        <v>7</v>
      </c>
      <c r="AI91" s="27" t="s">
        <v>8</v>
      </c>
      <c r="AM91" s="31"/>
      <c r="AO91" s="27" t="s">
        <v>8</v>
      </c>
      <c r="AP91" s="27" t="s">
        <v>7</v>
      </c>
      <c r="AU91" s="34"/>
    </row>
    <row r="92" spans="1:52" x14ac:dyDescent="0.25">
      <c r="A92" s="30">
        <v>15.863092971714948</v>
      </c>
      <c r="C92" s="1" t="s">
        <v>15</v>
      </c>
      <c r="E92"/>
      <c r="AA92" s="27" t="s">
        <v>8</v>
      </c>
      <c r="AB92" s="27" t="s">
        <v>7</v>
      </c>
      <c r="AH92" s="27" t="s">
        <v>7</v>
      </c>
      <c r="AI92" s="27" t="s">
        <v>8</v>
      </c>
      <c r="AJ92" s="27" t="s">
        <v>7</v>
      </c>
      <c r="AK92" s="27" t="s">
        <v>8</v>
      </c>
      <c r="AN92" s="31"/>
      <c r="AO92" s="33" t="s">
        <v>8</v>
      </c>
      <c r="AT92" s="34"/>
    </row>
    <row r="93" spans="1:52" x14ac:dyDescent="0.25">
      <c r="A93" s="30">
        <v>14.420993610649951</v>
      </c>
      <c r="C93" s="7">
        <v>0.11167815779424731</v>
      </c>
      <c r="D93"/>
      <c r="E93"/>
      <c r="AA93" s="27" t="s">
        <v>8</v>
      </c>
      <c r="AH93" s="27" t="s">
        <v>7</v>
      </c>
      <c r="AI93" s="27" t="s">
        <v>8</v>
      </c>
      <c r="AJ93" s="27" t="s">
        <v>7</v>
      </c>
      <c r="AK93" s="27" t="s">
        <v>8</v>
      </c>
      <c r="AL93" s="27" t="s">
        <v>7</v>
      </c>
      <c r="AM93" s="27" t="s">
        <v>8</v>
      </c>
      <c r="AO93" s="31" t="s">
        <v>8</v>
      </c>
      <c r="AS93" s="34"/>
    </row>
    <row r="94" spans="1:52" x14ac:dyDescent="0.25">
      <c r="A94" s="30">
        <v>13.109994191499954</v>
      </c>
      <c r="E94"/>
      <c r="AA94" s="27" t="s">
        <v>8</v>
      </c>
      <c r="AH94" s="27" t="s">
        <v>7</v>
      </c>
      <c r="AI94" s="27" t="s">
        <v>8</v>
      </c>
      <c r="AJ94" s="27" t="s">
        <v>7</v>
      </c>
      <c r="AK94" s="27" t="s">
        <v>8</v>
      </c>
      <c r="AL94" s="27" t="s">
        <v>7</v>
      </c>
      <c r="AM94" s="27" t="s">
        <v>8</v>
      </c>
      <c r="AN94" s="27" t="s">
        <v>7</v>
      </c>
      <c r="AO94" s="27" t="s">
        <v>8</v>
      </c>
      <c r="AP94" s="19"/>
      <c r="AR94" s="34"/>
    </row>
    <row r="95" spans="1:52" x14ac:dyDescent="0.25">
      <c r="A95" s="30">
        <v>11.918176537727231</v>
      </c>
      <c r="C95" s="1" t="s">
        <v>11</v>
      </c>
      <c r="D95" s="1" t="s">
        <v>12</v>
      </c>
      <c r="E95"/>
      <c r="AA95" s="27" t="s">
        <v>8</v>
      </c>
      <c r="AH95" s="27" t="s">
        <v>7</v>
      </c>
      <c r="AI95" s="27" t="s">
        <v>8</v>
      </c>
      <c r="AJ95" s="27" t="s">
        <v>7</v>
      </c>
      <c r="AK95" s="27" t="s">
        <v>8</v>
      </c>
      <c r="AL95" s="27" t="s">
        <v>7</v>
      </c>
      <c r="AM95" s="27" t="s">
        <v>8</v>
      </c>
      <c r="AN95" s="27" t="s">
        <v>7</v>
      </c>
      <c r="AO95" s="27" t="s">
        <v>8</v>
      </c>
      <c r="AQ95" s="34"/>
    </row>
    <row r="96" spans="1:52" x14ac:dyDescent="0.25">
      <c r="A96" s="30">
        <v>10.834705943388391</v>
      </c>
      <c r="C96"/>
      <c r="D96"/>
      <c r="E96"/>
      <c r="AA96" s="27" t="s">
        <v>8</v>
      </c>
      <c r="AH96" s="27" t="s">
        <v>7</v>
      </c>
      <c r="AI96" s="27" t="s">
        <v>8</v>
      </c>
      <c r="AJ96" s="27" t="s">
        <v>7</v>
      </c>
      <c r="AK96" s="27" t="s">
        <v>8</v>
      </c>
      <c r="AL96" s="27" t="s">
        <v>7</v>
      </c>
      <c r="AM96" s="27" t="s">
        <v>8</v>
      </c>
      <c r="AN96" s="18" t="s">
        <v>7</v>
      </c>
      <c r="AO96" s="27" t="s">
        <v>8</v>
      </c>
      <c r="AP96" s="34"/>
    </row>
    <row r="97" spans="1:41" x14ac:dyDescent="0.25">
      <c r="A97" s="30">
        <v>9.849732675807628</v>
      </c>
      <c r="E97"/>
      <c r="Y97" s="27" t="s">
        <v>8</v>
      </c>
      <c r="AA97" s="27" t="s">
        <v>8</v>
      </c>
      <c r="AH97" s="27" t="s">
        <v>7</v>
      </c>
      <c r="AJ97" s="27" t="s">
        <v>7</v>
      </c>
      <c r="AK97" s="31" t="s">
        <v>8</v>
      </c>
      <c r="AL97" s="27" t="s">
        <v>7</v>
      </c>
      <c r="AM97" s="27" t="s">
        <v>8</v>
      </c>
      <c r="AN97" s="27" t="s">
        <v>7</v>
      </c>
      <c r="AO97" s="34" t="s">
        <v>8</v>
      </c>
    </row>
    <row r="98" spans="1:41" x14ac:dyDescent="0.25">
      <c r="A98" s="30">
        <v>8.9543024325523888</v>
      </c>
      <c r="C98" s="1" t="s">
        <v>13</v>
      </c>
      <c r="E98"/>
      <c r="Y98" s="27" t="s">
        <v>8</v>
      </c>
      <c r="Z98" s="27" t="s">
        <v>7</v>
      </c>
      <c r="AA98" s="27" t="s">
        <v>8</v>
      </c>
      <c r="AJ98" s="31" t="s">
        <v>7</v>
      </c>
      <c r="AL98" s="27" t="s">
        <v>7</v>
      </c>
      <c r="AM98" s="27" t="s">
        <v>8</v>
      </c>
      <c r="AN98" s="34" t="s">
        <v>7</v>
      </c>
    </row>
    <row r="99" spans="1:41" x14ac:dyDescent="0.25">
      <c r="A99" s="30">
        <v>8.140274938683989</v>
      </c>
      <c r="C99" s="1">
        <f>C88</f>
        <v>0</v>
      </c>
      <c r="E99"/>
      <c r="Q99" s="27" t="s">
        <v>8</v>
      </c>
      <c r="Y99" s="27" t="s">
        <v>8</v>
      </c>
      <c r="Z99" s="27" t="s">
        <v>7</v>
      </c>
      <c r="AA99" s="27" t="s">
        <v>8</v>
      </c>
      <c r="AI99" s="31"/>
      <c r="AL99" s="27" t="s">
        <v>7</v>
      </c>
    </row>
    <row r="100" spans="1:41" x14ac:dyDescent="0.25">
      <c r="A100" s="30">
        <v>7.4002499442581717</v>
      </c>
      <c r="C100"/>
      <c r="D100"/>
      <c r="E100"/>
      <c r="Q100" s="27" t="s">
        <v>8</v>
      </c>
      <c r="R100" s="27" t="s">
        <v>7</v>
      </c>
      <c r="Y100" s="27" t="s">
        <v>8</v>
      </c>
      <c r="Z100" s="27" t="s">
        <v>7</v>
      </c>
      <c r="AA100" s="27" t="s">
        <v>8</v>
      </c>
      <c r="AH100" s="31"/>
    </row>
    <row r="101" spans="1:41" x14ac:dyDescent="0.25">
      <c r="A101" s="30">
        <v>6.72749994932561</v>
      </c>
      <c r="C101" s="1" t="s">
        <v>14</v>
      </c>
      <c r="E101"/>
      <c r="G101" s="27" t="s">
        <v>8</v>
      </c>
      <c r="Q101" s="27" t="s">
        <v>8</v>
      </c>
      <c r="R101" s="27" t="s">
        <v>7</v>
      </c>
      <c r="W101" s="27" t="s">
        <v>8</v>
      </c>
      <c r="Y101" s="27" t="s">
        <v>8</v>
      </c>
      <c r="Z101" s="27" t="s">
        <v>7</v>
      </c>
      <c r="AG101" s="31"/>
    </row>
    <row r="102" spans="1:41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G102" s="27" t="s">
        <v>8</v>
      </c>
      <c r="H102" s="27" t="s">
        <v>7</v>
      </c>
      <c r="Q102" s="27" t="s">
        <v>8</v>
      </c>
      <c r="R102" s="27" t="s">
        <v>7</v>
      </c>
      <c r="S102" s="27" t="s">
        <v>8</v>
      </c>
      <c r="U102" s="27" t="s">
        <v>8</v>
      </c>
      <c r="W102" s="27" t="s">
        <v>8</v>
      </c>
      <c r="X102" s="27" t="s">
        <v>7</v>
      </c>
      <c r="Y102" s="27" t="s">
        <v>8</v>
      </c>
      <c r="AF102" s="31"/>
    </row>
    <row r="103" spans="1:41" x14ac:dyDescent="0.25">
      <c r="A103" s="30">
        <v>5.5599173134922388</v>
      </c>
      <c r="E103" t="s">
        <v>8</v>
      </c>
      <c r="G103" s="27" t="s">
        <v>8</v>
      </c>
      <c r="H103" s="27" t="s">
        <v>7</v>
      </c>
      <c r="Q103" s="27" t="s">
        <v>8</v>
      </c>
      <c r="R103" s="27" t="s">
        <v>7</v>
      </c>
      <c r="S103" s="27" t="s">
        <v>8</v>
      </c>
      <c r="T103" s="27" t="s">
        <v>7</v>
      </c>
      <c r="U103" s="27" t="s">
        <v>8</v>
      </c>
      <c r="V103" s="27" t="s">
        <v>7</v>
      </c>
      <c r="W103" s="27" t="s">
        <v>8</v>
      </c>
      <c r="X103" s="27" t="s">
        <v>7</v>
      </c>
      <c r="Y103" s="27" t="s">
        <v>8</v>
      </c>
      <c r="AE103" s="31"/>
    </row>
    <row r="104" spans="1:41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M104" s="27" t="s">
        <v>8</v>
      </c>
      <c r="Q104" s="27" t="s">
        <v>8</v>
      </c>
      <c r="R104" s="27" t="s">
        <v>7</v>
      </c>
      <c r="S104" s="27" t="s">
        <v>8</v>
      </c>
      <c r="T104" s="27" t="s">
        <v>7</v>
      </c>
      <c r="U104" s="27" t="s">
        <v>8</v>
      </c>
      <c r="V104" s="27" t="s">
        <v>7</v>
      </c>
      <c r="W104" s="27" t="s">
        <v>8</v>
      </c>
      <c r="X104" s="27" t="s">
        <v>7</v>
      </c>
      <c r="AD104" s="31"/>
    </row>
    <row r="105" spans="1:41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  <c r="M105" s="27" t="s">
        <v>8</v>
      </c>
      <c r="N105" s="27" t="s">
        <v>7</v>
      </c>
      <c r="Q105" s="27" t="s">
        <v>8</v>
      </c>
      <c r="R105" s="27" t="s">
        <v>7</v>
      </c>
      <c r="S105" s="27" t="s">
        <v>8</v>
      </c>
      <c r="T105" s="27" t="s">
        <v>7</v>
      </c>
      <c r="V105" s="27" t="s">
        <v>7</v>
      </c>
      <c r="AC105" s="31"/>
    </row>
    <row r="106" spans="1:41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K106" s="27" t="s">
        <v>8</v>
      </c>
      <c r="M106" s="27" t="s">
        <v>8</v>
      </c>
      <c r="N106" s="27" t="s">
        <v>7</v>
      </c>
      <c r="Q106" s="27" t="s">
        <v>8</v>
      </c>
      <c r="R106" s="27" t="s">
        <v>7</v>
      </c>
      <c r="S106" s="27" t="s">
        <v>8</v>
      </c>
      <c r="AB106" s="31"/>
    </row>
    <row r="107" spans="1:41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  <c r="K107" s="27" t="s">
        <v>8</v>
      </c>
      <c r="L107" s="27" t="s">
        <v>7</v>
      </c>
      <c r="M107" s="27" t="s">
        <v>8</v>
      </c>
      <c r="N107" s="27" t="s">
        <v>7</v>
      </c>
      <c r="Q107" s="27" t="s">
        <v>8</v>
      </c>
      <c r="R107" s="27" t="s">
        <v>7</v>
      </c>
      <c r="AA107" s="31"/>
    </row>
    <row r="108" spans="1:41" x14ac:dyDescent="0.25">
      <c r="A108" s="30">
        <v>3.4522712143931042</v>
      </c>
      <c r="E108" t="s">
        <v>8</v>
      </c>
      <c r="F108" s="27" t="s">
        <v>7</v>
      </c>
      <c r="H108" s="27" t="s">
        <v>7</v>
      </c>
      <c r="I108" s="27" t="s">
        <v>8</v>
      </c>
      <c r="K108" s="27" t="s">
        <v>8</v>
      </c>
      <c r="L108" s="27" t="s">
        <v>7</v>
      </c>
      <c r="M108" s="27" t="s">
        <v>8</v>
      </c>
      <c r="N108" s="27" t="s">
        <v>7</v>
      </c>
      <c r="Q108" s="27" t="s">
        <v>8</v>
      </c>
      <c r="Z108" s="31"/>
    </row>
    <row r="109" spans="1:41" x14ac:dyDescent="0.25">
      <c r="A109" s="30">
        <v>3.1384283767210035</v>
      </c>
      <c r="E109" t="s">
        <v>8</v>
      </c>
      <c r="H109" s="27" t="s">
        <v>7</v>
      </c>
      <c r="I109" s="27" t="s">
        <v>8</v>
      </c>
      <c r="J109" s="27" t="s">
        <v>7</v>
      </c>
      <c r="K109" s="27" t="s">
        <v>8</v>
      </c>
      <c r="L109" s="27" t="s">
        <v>7</v>
      </c>
      <c r="M109" s="27" t="s">
        <v>8</v>
      </c>
      <c r="N109" s="27" t="s">
        <v>7</v>
      </c>
      <c r="O109" s="27" t="s">
        <v>8</v>
      </c>
      <c r="Q109" s="27" t="s">
        <v>8</v>
      </c>
      <c r="Y109" s="31"/>
    </row>
    <row r="110" spans="1:41" x14ac:dyDescent="0.25">
      <c r="A110" s="30">
        <v>2.8531167061100029</v>
      </c>
      <c r="E110" t="s">
        <v>8</v>
      </c>
      <c r="H110" s="27" t="s">
        <v>7</v>
      </c>
      <c r="I110" s="27" t="s">
        <v>8</v>
      </c>
      <c r="J110" s="27" t="s">
        <v>7</v>
      </c>
      <c r="K110" s="27" t="s">
        <v>8</v>
      </c>
      <c r="L110" s="27" t="s">
        <v>7</v>
      </c>
      <c r="N110" s="27" t="s">
        <v>7</v>
      </c>
      <c r="O110" s="27" t="s">
        <v>8</v>
      </c>
      <c r="P110" s="27" t="s">
        <v>7</v>
      </c>
      <c r="Q110" s="27" t="s">
        <v>8</v>
      </c>
      <c r="X110" s="31"/>
    </row>
    <row r="111" spans="1:41" x14ac:dyDescent="0.25">
      <c r="A111" s="30">
        <v>2.5937424601000023</v>
      </c>
      <c r="C111" s="1" t="str">
        <f>ADDRESS(C121-1,1,1,1)</f>
        <v>$A$85</v>
      </c>
      <c r="D111" s="1" t="str">
        <f>ADDRESS(C121-1,D121,1,1)</f>
        <v>$AZ$85</v>
      </c>
      <c r="E111" t="s">
        <v>8</v>
      </c>
      <c r="H111" s="27" t="s">
        <v>7</v>
      </c>
      <c r="I111" s="27" t="s">
        <v>8</v>
      </c>
      <c r="J111" s="27" t="s">
        <v>7</v>
      </c>
      <c r="K111" s="27" t="s">
        <v>8</v>
      </c>
      <c r="N111" s="27" t="s">
        <v>7</v>
      </c>
      <c r="O111" s="27" t="s">
        <v>8</v>
      </c>
      <c r="P111" s="27" t="s">
        <v>7</v>
      </c>
      <c r="Q111" s="27" t="s">
        <v>8</v>
      </c>
      <c r="W111" s="31"/>
    </row>
    <row r="112" spans="1:41" x14ac:dyDescent="0.25">
      <c r="A112" s="30">
        <v>2.3579476910000019</v>
      </c>
      <c r="C112" s="1" t="str">
        <f>ADDRESS(C121,1,1,1)</f>
        <v>$A$86</v>
      </c>
      <c r="D112" s="1" t="str">
        <f>ADDRESS(C121,D121-1,1,1)</f>
        <v>$AY$86</v>
      </c>
      <c r="E112" t="s">
        <v>8</v>
      </c>
      <c r="H112" s="27" t="s">
        <v>7</v>
      </c>
      <c r="I112" s="27" t="s">
        <v>8</v>
      </c>
      <c r="J112" s="27" t="s">
        <v>7</v>
      </c>
      <c r="K112" s="27" t="s">
        <v>8</v>
      </c>
      <c r="N112" s="27" t="s">
        <v>7</v>
      </c>
      <c r="O112" s="27" t="s">
        <v>8</v>
      </c>
      <c r="P112" s="27" t="s">
        <v>7</v>
      </c>
      <c r="V112" s="31"/>
    </row>
    <row r="113" spans="1:21" x14ac:dyDescent="0.25">
      <c r="A113" s="30">
        <v>2.1435888100000016</v>
      </c>
      <c r="C113" s="1" t="str">
        <f>ADDRESS(C121+1,1,1,1)</f>
        <v>$A$87</v>
      </c>
      <c r="D113" s="1" t="str">
        <f>ADDRESS(C121-1,D121+1,1,1)</f>
        <v>$BA$85</v>
      </c>
      <c r="E113" s="1" t="s">
        <v>8</v>
      </c>
      <c r="H113" s="27" t="s">
        <v>7</v>
      </c>
      <c r="I113" s="27" t="s">
        <v>8</v>
      </c>
      <c r="J113" s="27" t="s">
        <v>7</v>
      </c>
      <c r="K113" s="27" t="s">
        <v>8</v>
      </c>
      <c r="N113" s="27" t="s">
        <v>7</v>
      </c>
      <c r="O113" s="27" t="s">
        <v>8</v>
      </c>
      <c r="U113" s="31"/>
    </row>
    <row r="114" spans="1:21" x14ac:dyDescent="0.25">
      <c r="A114" s="30">
        <v>1.9487171000000014</v>
      </c>
      <c r="C114" s="1" t="str">
        <f>ADDRESS(C121,D121,1,1)</f>
        <v>$AZ$86</v>
      </c>
      <c r="D114" s="1" t="str">
        <f>ADDRESS(C121+1,D121+1,1,1)</f>
        <v>$BA$87</v>
      </c>
      <c r="E114" s="1" t="s">
        <v>8</v>
      </c>
      <c r="H114" s="27" t="s">
        <v>7</v>
      </c>
      <c r="J114" s="27" t="s">
        <v>7</v>
      </c>
      <c r="N114" s="27" t="s">
        <v>7</v>
      </c>
      <c r="O114" s="27" t="s">
        <v>8</v>
      </c>
      <c r="T114" s="31"/>
    </row>
    <row r="115" spans="1:21" x14ac:dyDescent="0.25">
      <c r="A115" s="30">
        <v>1.7715610000000011</v>
      </c>
      <c r="C115" s="1" t="str">
        <f>ADDRESS(C121+1,D121,1,1)</f>
        <v>$AZ$87</v>
      </c>
      <c r="E115" s="1" t="s">
        <v>8</v>
      </c>
      <c r="N115" s="27" t="s">
        <v>7</v>
      </c>
      <c r="O115" s="27" t="s">
        <v>8</v>
      </c>
      <c r="S115" s="31"/>
    </row>
    <row r="116" spans="1:21" x14ac:dyDescent="0.25">
      <c r="A116" s="30">
        <v>1.6105100000000008</v>
      </c>
      <c r="C116" s="1">
        <f>C117-1</f>
        <v>85</v>
      </c>
      <c r="E116" s="1" t="s">
        <v>8</v>
      </c>
      <c r="N116" s="27" t="s">
        <v>7</v>
      </c>
      <c r="O116" s="27" t="s">
        <v>8</v>
      </c>
      <c r="R116" s="31"/>
    </row>
    <row r="117" spans="1:21" x14ac:dyDescent="0.25">
      <c r="A117" s="30">
        <v>1.4641000000000006</v>
      </c>
      <c r="C117" s="1">
        <f>C121</f>
        <v>86</v>
      </c>
      <c r="D117" s="1">
        <f>D121</f>
        <v>52</v>
      </c>
      <c r="E117" s="1" t="s">
        <v>8</v>
      </c>
      <c r="N117" s="27" t="s">
        <v>7</v>
      </c>
      <c r="O117" s="27" t="s">
        <v>8</v>
      </c>
      <c r="Q117" s="31"/>
    </row>
    <row r="118" spans="1:21" x14ac:dyDescent="0.25">
      <c r="A118" s="30">
        <v>1.3310000000000004</v>
      </c>
      <c r="C118" s="1">
        <f>C117+1</f>
        <v>87</v>
      </c>
      <c r="D118" s="1">
        <f>D117+1</f>
        <v>53</v>
      </c>
      <c r="E118" s="1" t="s">
        <v>8</v>
      </c>
      <c r="N118" s="27" t="s">
        <v>7</v>
      </c>
      <c r="O118" s="27" t="s">
        <v>8</v>
      </c>
      <c r="P118" s="31"/>
    </row>
    <row r="119" spans="1:21" x14ac:dyDescent="0.25">
      <c r="A119" s="30">
        <v>1.2100000000000002</v>
      </c>
      <c r="E119" s="1" t="s">
        <v>8</v>
      </c>
      <c r="N119" s="27" t="s">
        <v>7</v>
      </c>
      <c r="O119" s="31" t="s">
        <v>8</v>
      </c>
    </row>
    <row r="120" spans="1:21" x14ac:dyDescent="0.25">
      <c r="A120" s="30">
        <v>1.1000000000000001</v>
      </c>
      <c r="C120" s="1" t="s">
        <v>9</v>
      </c>
      <c r="E120" s="1" t="s">
        <v>8</v>
      </c>
      <c r="N120" s="31" t="s">
        <v>7</v>
      </c>
    </row>
    <row r="121" spans="1:21" x14ac:dyDescent="0.25">
      <c r="A121" s="30">
        <v>1</v>
      </c>
      <c r="C121" s="18">
        <v>86</v>
      </c>
      <c r="D121" s="19">
        <v>52</v>
      </c>
      <c r="E121" s="18" t="s">
        <v>8</v>
      </c>
    </row>
    <row r="122" spans="1:21" x14ac:dyDescent="0.25">
      <c r="A122" s="30">
        <v>0.90909090909090895</v>
      </c>
      <c r="C122" s="1" t="str">
        <f>INDEX(1:1048576,C117,D117)</f>
        <v>O</v>
      </c>
    </row>
    <row r="123" spans="1:21" x14ac:dyDescent="0.25">
      <c r="A123" s="30">
        <v>0.82644628099173523</v>
      </c>
      <c r="C123" s="1" t="str">
        <f>"R"&amp;C121</f>
        <v>R86</v>
      </c>
      <c r="D123" s="1" t="str">
        <f>"C"&amp;D121</f>
        <v>C52</v>
      </c>
    </row>
    <row r="124" spans="1:21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21" x14ac:dyDescent="0.25">
      <c r="A125" s="30">
        <v>0.68301345536507019</v>
      </c>
    </row>
    <row r="126" spans="1:21" x14ac:dyDescent="0.25">
      <c r="A126" s="30">
        <v>0.6209213230591546</v>
      </c>
      <c r="C126" s="1" t="s">
        <v>10</v>
      </c>
    </row>
    <row r="127" spans="1:21" x14ac:dyDescent="0.25">
      <c r="A127" s="30">
        <v>0.56447393005377677</v>
      </c>
      <c r="C127" s="30">
        <v>28.102436848064315</v>
      </c>
      <c r="D127"/>
    </row>
    <row r="128" spans="1:21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09" operator="equal">
      <formula>$U$1</formula>
    </cfRule>
    <cfRule type="cellIs" dxfId="30" priority="1410" operator="equal">
      <formula>$S$1</formula>
    </cfRule>
  </conditionalFormatting>
  <conditionalFormatting sqref="D136">
    <cfRule type="cellIs" dxfId="29" priority="1407" operator="equal">
      <formula>$S$1</formula>
    </cfRule>
    <cfRule type="cellIs" dxfId="28" priority="1408" operator="equal">
      <formula>$U$1</formula>
    </cfRule>
  </conditionalFormatting>
  <conditionalFormatting sqref="C102">
    <cfRule type="cellIs" dxfId="27" priority="1405" operator="equal">
      <formula>$U$1</formula>
    </cfRule>
    <cfRule type="cellIs" dxfId="26" priority="1406" operator="equal">
      <formula>$S$1</formula>
    </cfRule>
  </conditionalFormatting>
  <conditionalFormatting sqref="D102">
    <cfRule type="cellIs" dxfId="25" priority="1403" operator="equal">
      <formula>$S$1</formula>
    </cfRule>
    <cfRule type="cellIs" dxfId="24" priority="1404" operator="equal">
      <formula>$U$1</formula>
    </cfRule>
  </conditionalFormatting>
  <conditionalFormatting sqref="C77">
    <cfRule type="cellIs" dxfId="23" priority="1401" operator="equal">
      <formula>$U$1</formula>
    </cfRule>
    <cfRule type="cellIs" dxfId="22" priority="1402" operator="equal">
      <formula>$S$1</formula>
    </cfRule>
  </conditionalFormatting>
  <conditionalFormatting sqref="D77">
    <cfRule type="cellIs" dxfId="21" priority="1399" operator="equal">
      <formula>$S$1</formula>
    </cfRule>
    <cfRule type="cellIs" dxfId="20" priority="1400" operator="equal">
      <formula>$U$1</formula>
    </cfRule>
  </conditionalFormatting>
  <conditionalFormatting sqref="C52">
    <cfRule type="cellIs" dxfId="19" priority="1397" operator="equal">
      <formula>$U$1</formula>
    </cfRule>
    <cfRule type="cellIs" dxfId="18" priority="1398" operator="equal">
      <formula>$S$1</formula>
    </cfRule>
  </conditionalFormatting>
  <conditionalFormatting sqref="D52">
    <cfRule type="cellIs" dxfId="17" priority="1395" operator="equal">
      <formula>$S$1</formula>
    </cfRule>
    <cfRule type="cellIs" dxfId="16" priority="1396" operator="equal">
      <formula>$U$1</formula>
    </cfRule>
  </conditionalFormatting>
  <conditionalFormatting sqref="C26">
    <cfRule type="cellIs" dxfId="15" priority="1393" operator="equal">
      <formula>$U$1</formula>
    </cfRule>
    <cfRule type="cellIs" dxfId="14" priority="1394" operator="equal">
      <formula>$S$1</formula>
    </cfRule>
  </conditionalFormatting>
  <conditionalFormatting sqref="D26">
    <cfRule type="cellIs" dxfId="13" priority="1391" operator="equal">
      <formula>$S$1</formula>
    </cfRule>
    <cfRule type="cellIs" dxfId="12" priority="139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4" sqref="H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0.05</v>
      </c>
      <c r="E3" s="30">
        <v>8.9850077934928265</v>
      </c>
      <c r="F3" s="30">
        <v>9.4342581831674686</v>
      </c>
      <c r="G3" s="30">
        <v>23.839900559179259</v>
      </c>
      <c r="H3" s="25">
        <f>IF(G3="","",(3*(G3-F3))+E3)</f>
        <v>52.201934921528199</v>
      </c>
      <c r="I3" s="7"/>
      <c r="J3" s="7">
        <f>(E3+G3)/2</f>
        <v>16.412454176336041</v>
      </c>
      <c r="K3" s="7">
        <f>H3/2</f>
        <v>26.1009674607641</v>
      </c>
      <c r="M3" s="26">
        <f>IF(OR(J3="",H3=""),"",H3/J3)</f>
        <v>3.1806294391240089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20.593802448270605</v>
      </c>
      <c r="F4" s="30">
        <v>21.623492570684135</v>
      </c>
      <c r="G4" s="30">
        <v>31.947746812289637</v>
      </c>
      <c r="H4" s="25">
        <f t="shared" ref="H4:H25" si="0">IF(G4="","",(3*(G4-F4))+E4)</f>
        <v>51.566565173087113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2022-01-28T01:13:51Z</dcterms:modified>
</cp:coreProperties>
</file>