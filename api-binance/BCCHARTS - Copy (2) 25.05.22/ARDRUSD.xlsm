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F36F9631-34FB-4E20-81A9-D347BE217D8D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18" i="4"/>
  <c r="C122" i="4"/>
  <c r="C133" i="4" s="1"/>
  <c r="C136" i="4" s="1"/>
  <c r="C116" i="3"/>
  <c r="C122" i="3"/>
  <c r="C133" i="3" s="1"/>
  <c r="D136" i="3" s="1"/>
  <c r="R765" i="1"/>
  <c r="D136" i="5" l="1"/>
  <c r="C138" i="5" s="1"/>
  <c r="D136" i="4"/>
  <c r="C138" i="4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S212" i="1" l="1"/>
  <c r="T212" i="1" s="1"/>
  <c r="R211" i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S199" i="1" l="1"/>
  <c r="T199" i="1" s="1"/>
  <c r="R198" i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R148" i="1" l="1"/>
  <c r="S149" i="1"/>
  <c r="T149" i="1" s="1"/>
  <c r="S148" i="1" l="1"/>
  <c r="T148" i="1" s="1"/>
  <c r="R147" i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S82" i="1" l="1"/>
  <c r="T82" i="1" s="1"/>
  <c r="R81" i="1"/>
  <c r="S81" i="1" l="1"/>
  <c r="T81" i="1" s="1"/>
  <c r="R80" i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R70" i="1" l="1"/>
  <c r="S71" i="1"/>
  <c r="T71" i="1" s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S58" i="1" l="1"/>
  <c r="T58" i="1" s="1"/>
  <c r="R57" i="1"/>
  <c r="S57" i="1" l="1"/>
  <c r="T57" i="1" s="1"/>
  <c r="R56" i="1"/>
  <c r="S56" i="1" l="1"/>
  <c r="T56" i="1" s="1"/>
  <c r="R55" i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R46" i="1" l="1"/>
  <c r="S47" i="1"/>
  <c r="T47" i="1" s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<sst xmlns="http://schemas.openxmlformats.org/spreadsheetml/2006/main" count="7127" uniqueCount="34">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</sst>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0.16300000000000001</c:v>
                </c:pt>
                <c:pt idx="1">
                  <c:v>0.16839999999999999</c:v>
                </c:pt>
                <c:pt idx="2">
                  <c:v>0.1673</c:v>
                </c:pt>
                <c:pt idx="3">
                  <c:v>0.1618</c:v>
                </c:pt>
                <c:pt idx="4">
                  <c:v>0.16900000000000001</c:v>
                </c:pt>
                <c:pt idx="5">
                  <c:v>0.1628</c:v>
                </c:pt>
                <c:pt idx="6">
                  <c:v>0.18049999999999999</c:v>
                </c:pt>
                <c:pt idx="7">
                  <c:v>0.20599999999999999</c:v>
                </c:pt>
                <c:pt idx="8">
                  <c:v>0.21249999999999999</c:v>
                </c:pt>
                <c:pt idx="9">
                  <c:v>0.21790000000000001</c:v>
                </c:pt>
                <c:pt idx="10">
                  <c:v>0.22270000000000001</c:v>
                </c:pt>
                <c:pt idx="11">
                  <c:v>0.23280000000000001</c:v>
                </c:pt>
                <c:pt idx="12">
                  <c:v>0.2306</c:v>
                </c:pt>
                <c:pt idx="13">
                  <c:v>0.23</c:v>
                </c:pt>
                <c:pt idx="14">
                  <c:v>0.22889999999999999</c:v>
                </c:pt>
                <c:pt idx="15">
                  <c:v>0.22600000000000001</c:v>
                </c:pt>
                <c:pt idx="16">
                  <c:v>0.22070000000000001</c:v>
                </c:pt>
                <c:pt idx="17">
                  <c:v>0.2276</c:v>
                </c:pt>
                <c:pt idx="18">
                  <c:v>0.21809999999999999</c:v>
                </c:pt>
                <c:pt idx="19">
                  <c:v>0.20599999999999999</c:v>
                </c:pt>
                <c:pt idx="20">
                  <c:v>0.21199999999999999</c:v>
                </c:pt>
                <c:pt idx="21">
                  <c:v>0.2293</c:v>
                </c:pt>
                <c:pt idx="22">
                  <c:v>0.22919999999999999</c:v>
                </c:pt>
                <c:pt idx="23">
                  <c:v>0.24840000000000001</c:v>
                </c:pt>
                <c:pt idx="24">
                  <c:v>0.25900000000000001</c:v>
                </c:pt>
                <c:pt idx="25">
                  <c:v>0.27410000000000001</c:v>
                </c:pt>
                <c:pt idx="26">
                  <c:v>0.22939999999999999</c:v>
                </c:pt>
                <c:pt idx="27">
                  <c:v>0.22409999999999999</c:v>
                </c:pt>
                <c:pt idx="28">
                  <c:v>0.22639999999999999</c:v>
                </c:pt>
                <c:pt idx="29">
                  <c:v>0.22409999999999999</c:v>
                </c:pt>
                <c:pt idx="30">
                  <c:v>0.2321</c:v>
                </c:pt>
                <c:pt idx="31">
                  <c:v>0.2586</c:v>
                </c:pt>
                <c:pt idx="32">
                  <c:v>0.25519999999999998</c:v>
                </c:pt>
                <c:pt idx="33">
                  <c:v>0.253</c:v>
                </c:pt>
                <c:pt idx="34">
                  <c:v>0.25009999999999999</c:v>
                </c:pt>
                <c:pt idx="35">
                  <c:v>0.25309999999999999</c:v>
                </c:pt>
                <c:pt idx="36">
                  <c:v>0.23910000000000001</c:v>
                </c:pt>
                <c:pt idx="37">
                  <c:v>0.23130000000000001</c:v>
                </c:pt>
                <c:pt idx="38">
                  <c:v>0.2235</c:v>
                </c:pt>
                <c:pt idx="39">
                  <c:v>0.2306</c:v>
                </c:pt>
                <c:pt idx="40">
                  <c:v>0.2361</c:v>
                </c:pt>
                <c:pt idx="41">
                  <c:v>0.23200000000000001</c:v>
                </c:pt>
                <c:pt idx="42">
                  <c:v>0.22989999999999999</c:v>
                </c:pt>
                <c:pt idx="43">
                  <c:v>0.23330000000000001</c:v>
                </c:pt>
                <c:pt idx="44">
                  <c:v>0.2288</c:v>
                </c:pt>
                <c:pt idx="45">
                  <c:v>0.2218</c:v>
                </c:pt>
                <c:pt idx="46">
                  <c:v>0.2477</c:v>
                </c:pt>
                <c:pt idx="47">
                  <c:v>0.24229999999999999</c:v>
                </c:pt>
                <c:pt idx="48">
                  <c:v>0.24229999999999999</c:v>
                </c:pt>
                <c:pt idx="49">
                  <c:v>0.25269999999999998</c:v>
                </c:pt>
                <c:pt idx="50">
                  <c:v>0.27979999999999999</c:v>
                </c:pt>
                <c:pt idx="51">
                  <c:v>0.27339999999999998</c:v>
                </c:pt>
                <c:pt idx="52">
                  <c:v>0.2636</c:v>
                </c:pt>
                <c:pt idx="53">
                  <c:v>0.25469999999999998</c:v>
                </c:pt>
                <c:pt idx="54">
                  <c:v>0.28120000000000001</c:v>
                </c:pt>
                <c:pt idx="55">
                  <c:v>0.33679999999999999</c:v>
                </c:pt>
                <c:pt idx="56">
                  <c:v>0.34899999999999998</c:v>
                </c:pt>
                <c:pt idx="57">
                  <c:v>0.3624</c:v>
                </c:pt>
                <c:pt idx="58">
                  <c:v>0.36309999999999998</c:v>
                </c:pt>
                <c:pt idx="59">
                  <c:v>0.37759999999999999</c:v>
                </c:pt>
                <c:pt idx="60">
                  <c:v>0.34010000000000001</c:v>
                </c:pt>
                <c:pt idx="61">
                  <c:v>0.35799999999999998</c:v>
                </c:pt>
                <c:pt idx="62">
                  <c:v>0.33929999999999999</c:v>
                </c:pt>
                <c:pt idx="63">
                  <c:v>0.32900000000000001</c:v>
                </c:pt>
                <c:pt idx="64">
                  <c:v>0.31669999999999998</c:v>
                </c:pt>
                <c:pt idx="65">
                  <c:v>0.3281</c:v>
                </c:pt>
                <c:pt idx="66">
                  <c:v>0.31709999999999999</c:v>
                </c:pt>
                <c:pt idx="67">
                  <c:v>0.33500000000000002</c:v>
                </c:pt>
                <c:pt idx="68">
                  <c:v>0.33660000000000001</c:v>
                </c:pt>
                <c:pt idx="69">
                  <c:v>0.32079999999999997</c:v>
                </c:pt>
                <c:pt idx="70">
                  <c:v>0.30719999999999997</c:v>
                </c:pt>
                <c:pt idx="71">
                  <c:v>0.3634</c:v>
                </c:pt>
                <c:pt idx="72">
                  <c:v>0.34429999999999999</c:v>
                </c:pt>
                <c:pt idx="73">
                  <c:v>0.3392</c:v>
                </c:pt>
                <c:pt idx="74">
                  <c:v>0.32550000000000001</c:v>
                </c:pt>
                <c:pt idx="75">
                  <c:v>0.3236</c:v>
                </c:pt>
                <c:pt idx="76">
                  <c:v>0.31640000000000001</c:v>
                </c:pt>
                <c:pt idx="77">
                  <c:v>0.32579999999999998</c:v>
                </c:pt>
                <c:pt idx="78">
                  <c:v>0.316</c:v>
                </c:pt>
                <c:pt idx="79">
                  <c:v>0.33379999999999999</c:v>
                </c:pt>
                <c:pt idx="80">
                  <c:v>0.3342</c:v>
                </c:pt>
                <c:pt idx="81">
                  <c:v>0.34289999999999998</c:v>
                </c:pt>
                <c:pt idx="82">
                  <c:v>0.35699999999999998</c:v>
                </c:pt>
                <c:pt idx="83">
                  <c:v>0.3367</c:v>
                </c:pt>
                <c:pt idx="84">
                  <c:v>0.34460000000000002</c:v>
                </c:pt>
                <c:pt idx="85">
                  <c:v>0.33960000000000001</c:v>
                </c:pt>
                <c:pt idx="86">
                  <c:v>0.3473</c:v>
                </c:pt>
                <c:pt idx="87">
                  <c:v>0.34100000000000003</c:v>
                </c:pt>
                <c:pt idx="88">
                  <c:v>0.34150000000000003</c:v>
                </c:pt>
                <c:pt idx="89">
                  <c:v>0.32519999999999999</c:v>
                </c:pt>
                <c:pt idx="90">
                  <c:v>0.3135</c:v>
                </c:pt>
                <c:pt idx="91">
                  <c:v>0.30259999999999998</c:v>
                </c:pt>
                <c:pt idx="92">
                  <c:v>0.28820000000000001</c:v>
                </c:pt>
                <c:pt idx="93">
                  <c:v>0.32479999999999998</c:v>
                </c:pt>
                <c:pt idx="94">
                  <c:v>0.32579999999999998</c:v>
                </c:pt>
                <c:pt idx="95">
                  <c:v>0.31929999999999997</c:v>
                </c:pt>
                <c:pt idx="96">
                  <c:v>0.32829999999999998</c:v>
                </c:pt>
                <c:pt idx="97">
                  <c:v>0.32940000000000003</c:v>
                </c:pt>
                <c:pt idx="98">
                  <c:v>0.31309999999999999</c:v>
                </c:pt>
                <c:pt idx="99">
                  <c:v>0.32650000000000001</c:v>
                </c:pt>
                <c:pt idx="100">
                  <c:v>0.31929999999999997</c:v>
                </c:pt>
                <c:pt idx="101">
                  <c:v>0.3115</c:v>
                </c:pt>
                <c:pt idx="102">
                  <c:v>0.31850000000000001</c:v>
                </c:pt>
                <c:pt idx="103">
                  <c:v>0.32229999999999998</c:v>
                </c:pt>
                <c:pt idx="104">
                  <c:v>0.32469999999999999</c:v>
                </c:pt>
                <c:pt idx="105">
                  <c:v>0.35089999999999999</c:v>
                </c:pt>
                <c:pt idx="106">
                  <c:v>0.34799999999999998</c:v>
                </c:pt>
                <c:pt idx="107">
                  <c:v>0.33539999999999998</c:v>
                </c:pt>
                <c:pt idx="108">
                  <c:v>0.36209999999999998</c:v>
                </c:pt>
                <c:pt idx="109">
                  <c:v>0.38190000000000002</c:v>
                </c:pt>
                <c:pt idx="110">
                  <c:v>0.36859999999999998</c:v>
                </c:pt>
                <c:pt idx="111">
                  <c:v>0.39329999999999998</c:v>
                </c:pt>
                <c:pt idx="112">
                  <c:v>0.35809999999999997</c:v>
                </c:pt>
                <c:pt idx="113">
                  <c:v>0.36720000000000003</c:v>
                </c:pt>
                <c:pt idx="114">
                  <c:v>0.34849999999999998</c:v>
                </c:pt>
                <c:pt idx="115">
                  <c:v>0.3201</c:v>
                </c:pt>
                <c:pt idx="116">
                  <c:v>0.33019999999999999</c:v>
                </c:pt>
                <c:pt idx="117">
                  <c:v>0.32419999999999999</c:v>
                </c:pt>
                <c:pt idx="118">
                  <c:v>0.30980000000000002</c:v>
                </c:pt>
                <c:pt idx="119">
                  <c:v>0.28010000000000002</c:v>
                </c:pt>
                <c:pt idx="120">
                  <c:v>0.25180000000000002</c:v>
                </c:pt>
                <c:pt idx="121">
                  <c:v>0.25030000000000002</c:v>
                </c:pt>
                <c:pt idx="122">
                  <c:v>0.2757</c:v>
                </c:pt>
                <c:pt idx="123">
                  <c:v>0.28610000000000002</c:v>
                </c:pt>
                <c:pt idx="124">
                  <c:v>0.3</c:v>
                </c:pt>
                <c:pt idx="125">
                  <c:v>0.28920000000000001</c:v>
                </c:pt>
                <c:pt idx="126">
                  <c:v>0.31619999999999998</c:v>
                </c:pt>
                <c:pt idx="127">
                  <c:v>0.30609999999999998</c:v>
                </c:pt>
                <c:pt idx="128">
                  <c:v>0.27389999999999998</c:v>
                </c:pt>
                <c:pt idx="129">
                  <c:v>0.3281</c:v>
                </c:pt>
                <c:pt idx="130">
                  <c:v>0.37740000000000001</c:v>
                </c:pt>
                <c:pt idx="131">
                  <c:v>0.3785</c:v>
                </c:pt>
                <c:pt idx="132">
                  <c:v>0.373</c:v>
                </c:pt>
                <c:pt idx="133">
                  <c:v>0.41160000000000002</c:v>
                </c:pt>
                <c:pt idx="134">
                  <c:v>0.3589</c:v>
                </c:pt>
                <c:pt idx="135">
                  <c:v>0.34239999999999998</c:v>
                </c:pt>
                <c:pt idx="136">
                  <c:v>0.33019999999999999</c:v>
                </c:pt>
                <c:pt idx="137">
                  <c:v>0.34150000000000003</c:v>
                </c:pt>
                <c:pt idx="138">
                  <c:v>0.3397</c:v>
                </c:pt>
                <c:pt idx="139">
                  <c:v>0.34449999999999997</c:v>
                </c:pt>
                <c:pt idx="140">
                  <c:v>0.38040000000000002</c:v>
                </c:pt>
                <c:pt idx="141">
                  <c:v>0.35</c:v>
                </c:pt>
                <c:pt idx="142">
                  <c:v>0.33529999999999999</c:v>
                </c:pt>
                <c:pt idx="143">
                  <c:v>0.40939999999999999</c:v>
                </c:pt>
                <c:pt idx="144">
                  <c:v>0.40279999999999999</c:v>
                </c:pt>
                <c:pt idx="145">
                  <c:v>0.44400000000000001</c:v>
                </c:pt>
                <c:pt idx="146">
                  <c:v>0.32800000000000001</c:v>
                </c:pt>
                <c:pt idx="147">
                  <c:v>0.30249999999999999</c:v>
                </c:pt>
                <c:pt idx="148">
                  <c:v>0.30120000000000002</c:v>
                </c:pt>
                <c:pt idx="149">
                  <c:v>0.29199999999999998</c:v>
                </c:pt>
                <c:pt idx="150">
                  <c:v>0.27800000000000002</c:v>
                </c:pt>
                <c:pt idx="151">
                  <c:v>0.28599999999999998</c:v>
                </c:pt>
                <c:pt idx="152">
                  <c:v>0.2893</c:v>
                </c:pt>
                <c:pt idx="153">
                  <c:v>0.2979</c:v>
                </c:pt>
                <c:pt idx="154">
                  <c:v>0.28499999999999998</c:v>
                </c:pt>
                <c:pt idx="155">
                  <c:v>0.30837999999999999</c:v>
                </c:pt>
                <c:pt idx="156">
                  <c:v>0.30847999999999998</c:v>
                </c:pt>
                <c:pt idx="157">
                  <c:v>0.28765000000000002</c:v>
                </c:pt>
                <c:pt idx="158">
                  <c:v>0.26894000000000001</c:v>
                </c:pt>
                <c:pt idx="159">
                  <c:v>0.2702</c:v>
                </c:pt>
                <c:pt idx="160">
                  <c:v>0.27356000000000003</c:v>
                </c:pt>
                <c:pt idx="161">
                  <c:v>0.26233000000000001</c:v>
                </c:pt>
                <c:pt idx="162">
                  <c:v>0.24979999999999999</c:v>
                </c:pt>
                <c:pt idx="163">
                  <c:v>0.26051000000000002</c:v>
                </c:pt>
                <c:pt idx="164">
                  <c:v>0.28162999999999999</c:v>
                </c:pt>
                <c:pt idx="165">
                  <c:v>0.28310000000000002</c:v>
                </c:pt>
                <c:pt idx="166">
                  <c:v>0.28298000000000001</c:v>
                </c:pt>
                <c:pt idx="167">
                  <c:v>0.27609</c:v>
                </c:pt>
                <c:pt idx="168">
                  <c:v>0.25878000000000001</c:v>
                </c:pt>
                <c:pt idx="169">
                  <c:v>0.27073000000000003</c:v>
                </c:pt>
                <c:pt idx="170">
                  <c:v>0.2681</c:v>
                </c:pt>
                <c:pt idx="171">
                  <c:v>0.25575999999999999</c:v>
                </c:pt>
                <c:pt idx="172">
                  <c:v>0.24948000000000001</c:v>
                </c:pt>
                <c:pt idx="173">
                  <c:v>0.25563000000000002</c:v>
                </c:pt>
                <c:pt idx="174">
                  <c:v>0.25174999999999997</c:v>
                </c:pt>
                <c:pt idx="175">
                  <c:v>0.24851000000000001</c:v>
                </c:pt>
                <c:pt idx="176">
                  <c:v>0.24549000000000001</c:v>
                </c:pt>
                <c:pt idx="177">
                  <c:v>0.24063000000000001</c:v>
                </c:pt>
                <c:pt idx="178">
                  <c:v>0.25369999999999998</c:v>
                </c:pt>
                <c:pt idx="179">
                  <c:v>0.24698000000000001</c:v>
                </c:pt>
                <c:pt idx="180">
                  <c:v>0.30593999999999999</c:v>
                </c:pt>
                <c:pt idx="181">
                  <c:v>0.19581000000000001</c:v>
                </c:pt>
                <c:pt idx="182">
                  <c:v>0.19178999999999999</c:v>
                </c:pt>
                <c:pt idx="183">
                  <c:v>0.1656</c:v>
                </c:pt>
                <c:pt idx="184">
                  <c:v>0.16200000000000001</c:v>
                </c:pt>
                <c:pt idx="185">
                  <c:v>0.15129999999999999</c:v>
                </c:pt>
                <c:pt idx="186">
                  <c:v>0.14651</c:v>
                </c:pt>
                <c:pt idx="187">
                  <c:v>0.14432</c:v>
                </c:pt>
                <c:pt idx="188">
                  <c:v>0.14158999999999999</c:v>
                </c:pt>
                <c:pt idx="189">
                  <c:v>0.14011999999999999</c:v>
                </c:pt>
                <c:pt idx="190">
                  <c:v>0.13422000000000001</c:v>
                </c:pt>
                <c:pt idx="191">
                  <c:v>0.12418999999999999</c:v>
                </c:pt>
                <c:pt idx="192">
                  <c:v>0.13425000000000001</c:v>
                </c:pt>
                <c:pt idx="193">
                  <c:v>0.14799999999999999</c:v>
                </c:pt>
                <c:pt idx="194">
                  <c:v>0.14751</c:v>
                </c:pt>
                <c:pt idx="195">
                  <c:v>0.14504</c:v>
                </c:pt>
                <c:pt idx="196">
                  <c:v>0.16192999999999999</c:v>
                </c:pt>
                <c:pt idx="197">
                  <c:v>0.16064999999999999</c:v>
                </c:pt>
                <c:pt idx="198">
                  <c:v>0.16544</c:v>
                </c:pt>
                <c:pt idx="199">
                  <c:v>0.16553000000000001</c:v>
                </c:pt>
                <c:pt idx="200">
                  <c:v>0.16550000000000001</c:v>
                </c:pt>
                <c:pt idx="201">
                  <c:v>0.16108</c:v>
                </c:pt>
                <c:pt idx="202">
                  <c:v>0.16364999999999999</c:v>
                </c:pt>
                <c:pt idx="203">
                  <c:v>0.15698999999999999</c:v>
                </c:pt>
                <c:pt idx="204">
                  <c:v>0.17685000000000001</c:v>
                </c:pt>
                <c:pt idx="205">
                  <c:v>0.17882999999999999</c:v>
                </c:pt>
                <c:pt idx="206">
                  <c:v>0.17777999999999999</c:v>
                </c:pt>
                <c:pt idx="207">
                  <c:v>0.18443000000000001</c:v>
                </c:pt>
                <c:pt idx="208">
                  <c:v>0.16972999999999999</c:v>
                </c:pt>
                <c:pt idx="209">
                  <c:v>0.16242000000000001</c:v>
                </c:pt>
                <c:pt idx="210">
                  <c:v>0.18432999999999999</c:v>
                </c:pt>
                <c:pt idx="211">
                  <c:v>0.15536</c:v>
                </c:pt>
                <c:pt idx="212">
                  <c:v>0.13256000000000001</c:v>
                </c:pt>
                <c:pt idx="213">
                  <c:v>0.12073</c:v>
                </c:pt>
                <c:pt idx="214">
                  <c:v>0.10989</c:v>
                </c:pt>
                <c:pt idx="215">
                  <c:v>0.10677</c:v>
                </c:pt>
                <c:pt idx="216">
                  <c:v>0.10506</c:v>
                </c:pt>
                <c:pt idx="217">
                  <c:v>0.11618000000000001</c:v>
                </c:pt>
                <c:pt idx="218">
                  <c:v>0.10865</c:v>
                </c:pt>
                <c:pt idx="219">
                  <c:v>0.10145999999999999</c:v>
                </c:pt>
                <c:pt idx="220">
                  <c:v>0.11137</c:v>
                </c:pt>
                <c:pt idx="221">
                  <c:v>0.15042</c:v>
                </c:pt>
                <c:pt idx="222">
                  <c:v>0.15132999999999999</c:v>
                </c:pt>
                <c:pt idx="223">
                  <c:v>0.15825</c:v>
                </c:pt>
                <c:pt idx="224">
                  <c:v>0.16477</c:v>
                </c:pt>
                <c:pt idx="225">
                  <c:v>0.16536000000000001</c:v>
                </c:pt>
                <c:pt idx="226">
                  <c:v>0.17892</c:v>
                </c:pt>
                <c:pt idx="227">
                  <c:v>0.18274000000000001</c:v>
                </c:pt>
                <c:pt idx="228">
                  <c:v>0.17599999999999999</c:v>
                </c:pt>
                <c:pt idx="229">
                  <c:v>0.16319</c:v>
                </c:pt>
                <c:pt idx="230">
                  <c:v>0.18242</c:v>
                </c:pt>
                <c:pt idx="231">
                  <c:v>0.20469000000000001</c:v>
                </c:pt>
                <c:pt idx="232">
                  <c:v>0.19969000000000001</c:v>
                </c:pt>
                <c:pt idx="233">
                  <c:v>0.19622000000000001</c:v>
                </c:pt>
                <c:pt idx="234">
                  <c:v>0.20927999999999999</c:v>
                </c:pt>
                <c:pt idx="235">
                  <c:v>0.22045000000000001</c:v>
                </c:pt>
                <c:pt idx="236">
                  <c:v>0.21498</c:v>
                </c:pt>
                <c:pt idx="237">
                  <c:v>0.22245999999999999</c:v>
                </c:pt>
                <c:pt idx="238">
                  <c:v>0.23937</c:v>
                </c:pt>
                <c:pt idx="239">
                  <c:v>0.23646</c:v>
                </c:pt>
                <c:pt idx="240">
                  <c:v>0.22084999999999999</c:v>
                </c:pt>
                <c:pt idx="241">
                  <c:v>0.22202</c:v>
                </c:pt>
                <c:pt idx="242">
                  <c:v>0.21467</c:v>
                </c:pt>
                <c:pt idx="243">
                  <c:v>0.2102</c:v>
                </c:pt>
                <c:pt idx="244">
                  <c:v>0.22273000000000001</c:v>
                </c:pt>
                <c:pt idx="245">
                  <c:v>0.24876000000000001</c:v>
                </c:pt>
                <c:pt idx="246">
                  <c:v>0.24242</c:v>
                </c:pt>
                <c:pt idx="247">
                  <c:v>0.22663</c:v>
                </c:pt>
                <c:pt idx="248">
                  <c:v>0.23788000000000001</c:v>
                </c:pt>
                <c:pt idx="249">
                  <c:v>0.21795999999999999</c:v>
                </c:pt>
                <c:pt idx="250">
                  <c:v>0.26857999999999999</c:v>
                </c:pt>
                <c:pt idx="251">
                  <c:v>0.25773000000000001</c:v>
                </c:pt>
                <c:pt idx="252">
                  <c:v>0.25161</c:v>
                </c:pt>
                <c:pt idx="253">
                  <c:v>0.20763999999999999</c:v>
                </c:pt>
                <c:pt idx="254">
                  <c:v>0.31092999999999998</c:v>
                </c:pt>
                <c:pt idx="255">
                  <c:v>0.30208000000000002</c:v>
                </c:pt>
                <c:pt idx="256">
                  <c:v>0.31507000000000002</c:v>
                </c:pt>
                <c:pt idx="257">
                  <c:v>0.31753999999999999</c:v>
                </c:pt>
                <c:pt idx="258">
                  <c:v>0.34039999999999998</c:v>
                </c:pt>
                <c:pt idx="259">
                  <c:v>0.32006000000000001</c:v>
                </c:pt>
                <c:pt idx="260">
                  <c:v>0.31818999999999997</c:v>
                </c:pt>
                <c:pt idx="261">
                  <c:v>0.38218999999999997</c:v>
                </c:pt>
                <c:pt idx="262">
                  <c:v>0.36281999999999998</c:v>
                </c:pt>
                <c:pt idx="263">
                  <c:v>0.42473</c:v>
                </c:pt>
                <c:pt idx="264">
                  <c:v>0.43231999999999998</c:v>
                </c:pt>
                <c:pt idx="265">
                  <c:v>0.42914000000000002</c:v>
                </c:pt>
                <c:pt idx="266">
                  <c:v>0.40848000000000001</c:v>
                </c:pt>
                <c:pt idx="267">
                  <c:v>0.38416</c:v>
                </c:pt>
                <c:pt idx="268">
                  <c:v>0.35629</c:v>
                </c:pt>
                <c:pt idx="269">
                  <c:v>0.39711000000000002</c:v>
                </c:pt>
                <c:pt idx="270">
                  <c:v>0.39474999999999999</c:v>
                </c:pt>
                <c:pt idx="271">
                  <c:v>0.4027</c:v>
                </c:pt>
                <c:pt idx="272">
                  <c:v>0.41297</c:v>
                </c:pt>
                <c:pt idx="273">
                  <c:v>0.39032</c:v>
                </c:pt>
                <c:pt idx="274">
                  <c:v>0.38364999999999999</c:v>
                </c:pt>
                <c:pt idx="275">
                  <c:v>0.39811999999999997</c:v>
                </c:pt>
                <c:pt idx="276">
                  <c:v>0.35794999999999999</c:v>
                </c:pt>
                <c:pt idx="277">
                  <c:v>0.30792999999999998</c:v>
                </c:pt>
                <c:pt idx="278">
                  <c:v>0.30146000000000001</c:v>
                </c:pt>
                <c:pt idx="279">
                  <c:v>0.30137000000000003</c:v>
                </c:pt>
                <c:pt idx="280">
                  <c:v>0.32138</c:v>
                </c:pt>
                <c:pt idx="281">
                  <c:v>0.39812999999999998</c:v>
                </c:pt>
                <c:pt idx="282">
                  <c:v>0.45601000000000003</c:v>
                </c:pt>
                <c:pt idx="283">
                  <c:v>0.35872999999999999</c:v>
                </c:pt>
                <c:pt idx="284">
                  <c:v>0.38241999999999998</c:v>
                </c:pt>
                <c:pt idx="285">
                  <c:v>0.44098999999999999</c:v>
                </c:pt>
                <c:pt idx="286">
                  <c:v>0.44406000000000001</c:v>
                </c:pt>
                <c:pt idx="287">
                  <c:v>0.48849999999999999</c:v>
                </c:pt>
                <c:pt idx="288">
                  <c:v>0.46577000000000002</c:v>
                </c:pt>
                <c:pt idx="289">
                  <c:v>0.50146000000000002</c:v>
                </c:pt>
                <c:pt idx="290">
                  <c:v>0.48216999999999999</c:v>
                </c:pt>
                <c:pt idx="291">
                  <c:v>0.51795000000000002</c:v>
                </c:pt>
                <c:pt idx="292">
                  <c:v>0.53149000000000002</c:v>
                </c:pt>
                <c:pt idx="293">
                  <c:v>0.49897999999999998</c:v>
                </c:pt>
                <c:pt idx="294">
                  <c:v>0.34064</c:v>
                </c:pt>
                <c:pt idx="295">
                  <c:v>0.30380000000000001</c:v>
                </c:pt>
                <c:pt idx="296">
                  <c:v>0.35765000000000002</c:v>
                </c:pt>
                <c:pt idx="297">
                  <c:v>0.37511</c:v>
                </c:pt>
                <c:pt idx="298">
                  <c:v>0.41749999999999998</c:v>
                </c:pt>
                <c:pt idx="299">
                  <c:v>0.36273</c:v>
                </c:pt>
                <c:pt idx="300">
                  <c:v>0.40634999999999999</c:v>
                </c:pt>
                <c:pt idx="301">
                  <c:v>0.40364</c:v>
                </c:pt>
                <c:pt idx="302">
                  <c:v>0.38241000000000003</c:v>
                </c:pt>
                <c:pt idx="303">
                  <c:v>0.39928999999999998</c:v>
                </c:pt>
                <c:pt idx="304">
                  <c:v>0.35311999999999999</c:v>
                </c:pt>
                <c:pt idx="305">
                  <c:v>0.30953000000000003</c:v>
                </c:pt>
                <c:pt idx="306">
                  <c:v>0.29196</c:v>
                </c:pt>
                <c:pt idx="307">
                  <c:v>0.26634000000000002</c:v>
                </c:pt>
                <c:pt idx="308">
                  <c:v>0.24812999999999999</c:v>
                </c:pt>
                <c:pt idx="309">
                  <c:v>0.26038</c:v>
                </c:pt>
                <c:pt idx="310">
                  <c:v>0.29536000000000001</c:v>
                </c:pt>
                <c:pt idx="311">
                  <c:v>0.28000999999999998</c:v>
                </c:pt>
                <c:pt idx="312">
                  <c:v>0.27789000000000003</c:v>
                </c:pt>
                <c:pt idx="313">
                  <c:v>0.26751000000000003</c:v>
                </c:pt>
                <c:pt idx="314">
                  <c:v>0.27796999999999999</c:v>
                </c:pt>
                <c:pt idx="315">
                  <c:v>0.27109</c:v>
                </c:pt>
                <c:pt idx="316">
                  <c:v>0.26394000000000001</c:v>
                </c:pt>
                <c:pt idx="317">
                  <c:v>0.24787000000000001</c:v>
                </c:pt>
                <c:pt idx="318">
                  <c:v>0.24315000000000001</c:v>
                </c:pt>
                <c:pt idx="319">
                  <c:v>0.25248999999999999</c:v>
                </c:pt>
                <c:pt idx="320">
                  <c:v>0.23177</c:v>
                </c:pt>
                <c:pt idx="321">
                  <c:v>0.22738</c:v>
                </c:pt>
                <c:pt idx="322">
                  <c:v>0.21708</c:v>
                </c:pt>
                <c:pt idx="323">
                  <c:v>0.21539</c:v>
                </c:pt>
                <c:pt idx="324">
                  <c:v>0.22661999999999999</c:v>
                </c:pt>
                <c:pt idx="325">
                  <c:v>0.20630999999999999</c:v>
                </c:pt>
                <c:pt idx="326">
                  <c:v>0.20594999999999999</c:v>
                </c:pt>
                <c:pt idx="327">
                  <c:v>0.20644000000000001</c:v>
                </c:pt>
                <c:pt idx="328">
                  <c:v>0.21326999999999999</c:v>
                </c:pt>
                <c:pt idx="329">
                  <c:v>0.18758</c:v>
                </c:pt>
                <c:pt idx="330">
                  <c:v>0.18262</c:v>
                </c:pt>
                <c:pt idx="331">
                  <c:v>0.17158999999999999</c:v>
                </c:pt>
                <c:pt idx="332">
                  <c:v>0.17494000000000001</c:v>
                </c:pt>
                <c:pt idx="333">
                  <c:v>0.15629000000000001</c:v>
                </c:pt>
                <c:pt idx="334">
                  <c:v>0.16506000000000001</c:v>
                </c:pt>
                <c:pt idx="335">
                  <c:v>0.15368000000000001</c:v>
                </c:pt>
                <c:pt idx="336">
                  <c:v>0.15314</c:v>
                </c:pt>
                <c:pt idx="337">
                  <c:v>0.15018999999999999</c:v>
                </c:pt>
                <c:pt idx="338">
                  <c:v>0.14329</c:v>
                </c:pt>
                <c:pt idx="339">
                  <c:v>0.18576000000000001</c:v>
                </c:pt>
                <c:pt idx="340">
                  <c:v>0.20721999999999999</c:v>
                </c:pt>
                <c:pt idx="341">
                  <c:v>0.18842</c:v>
                </c:pt>
                <c:pt idx="342">
                  <c:v>0.20211000000000001</c:v>
                </c:pt>
                <c:pt idx="343">
                  <c:v>0.20272999999999999</c:v>
                </c:pt>
                <c:pt idx="344">
                  <c:v>0.16833999999999999</c:v>
                </c:pt>
                <c:pt idx="345">
                  <c:v>0.17302999999999999</c:v>
                </c:pt>
                <c:pt idx="346">
                  <c:v>0.18748999999999999</c:v>
                </c:pt>
                <c:pt idx="347">
                  <c:v>0.13424</c:v>
                </c:pt>
                <c:pt idx="348">
                  <c:v>0.14047999999999999</c:v>
                </c:pt>
                <c:pt idx="349">
                  <c:v>0.13247999999999999</c:v>
                </c:pt>
                <c:pt idx="350">
                  <c:v>0.12676000000000001</c:v>
                </c:pt>
                <c:pt idx="351">
                  <c:v>0.11111</c:v>
                </c:pt>
                <c:pt idx="352">
                  <c:v>0.10772</c:v>
                </c:pt>
                <c:pt idx="353">
                  <c:v>0.10136000000000001</c:v>
                </c:pt>
                <c:pt idx="354">
                  <c:v>9.6500000000000002E-2</c:v>
                </c:pt>
                <c:pt idx="355">
                  <c:v>0.10591</c:v>
                </c:pt>
                <c:pt idx="356">
                  <c:v>9.6379999999999993E-2</c:v>
                </c:pt>
                <c:pt idx="357">
                  <c:v>8.6190000000000003E-2</c:v>
                </c:pt>
                <c:pt idx="358">
                  <c:v>8.9109999999999995E-2</c:v>
                </c:pt>
                <c:pt idx="359">
                  <c:v>8.3040000000000003E-2</c:v>
                </c:pt>
                <c:pt idx="360">
                  <c:v>8.0979999999999996E-2</c:v>
                </c:pt>
                <c:pt idx="361">
                  <c:v>7.9000000000000001E-2</c:v>
                </c:pt>
                <c:pt idx="362">
                  <c:v>7.9320000000000002E-2</c:v>
                </c:pt>
                <c:pt idx="363">
                  <c:v>8.0259999999999998E-2</c:v>
                </c:pt>
                <c:pt idx="364">
                  <c:v>7.8079999999999997E-2</c:v>
                </c:pt>
                <c:pt idx="365">
                  <c:v>7.2520000000000001E-2</c:v>
                </c:pt>
                <c:pt idx="366">
                  <c:v>8.0790000000000001E-2</c:v>
                </c:pt>
                <c:pt idx="367">
                  <c:v>8.09E-2</c:v>
                </c:pt>
                <c:pt idx="368">
                  <c:v>8.3379999999999996E-2</c:v>
                </c:pt>
                <c:pt idx="369">
                  <c:v>8.2530000000000006E-2</c:v>
                </c:pt>
                <c:pt idx="370">
                  <c:v>8.2629999999999995E-2</c:v>
                </c:pt>
                <c:pt idx="371">
                  <c:v>7.6499999999999999E-2</c:v>
                </c:pt>
                <c:pt idx="372">
                  <c:v>8.6209999999999995E-2</c:v>
                </c:pt>
                <c:pt idx="373">
                  <c:v>8.7859999999999994E-2</c:v>
                </c:pt>
                <c:pt idx="374">
                  <c:v>8.6249999999999993E-2</c:v>
                </c:pt>
                <c:pt idx="375">
                  <c:v>8.448E-2</c:v>
                </c:pt>
                <c:pt idx="376">
                  <c:v>8.2879999999999995E-2</c:v>
                </c:pt>
                <c:pt idx="377">
                  <c:v>7.8399999999999997E-2</c:v>
                </c:pt>
                <c:pt idx="378">
                  <c:v>8.1839999999999996E-2</c:v>
                </c:pt>
                <c:pt idx="379">
                  <c:v>7.7950000000000005E-2</c:v>
                </c:pt>
                <c:pt idx="380">
                  <c:v>7.1059999999999998E-2</c:v>
                </c:pt>
                <c:pt idx="381">
                  <c:v>7.2470000000000007E-2</c:v>
                </c:pt>
                <c:pt idx="382">
                  <c:v>8.3900000000000002E-2</c:v>
                </c:pt>
                <c:pt idx="383">
                  <c:v>8.8499999999999995E-2</c:v>
                </c:pt>
                <c:pt idx="384">
                  <c:v>8.344E-2</c:v>
                </c:pt>
                <c:pt idx="385">
                  <c:v>9.0179999999999996E-2</c:v>
                </c:pt>
                <c:pt idx="386">
                  <c:v>7.8570000000000001E-2</c:v>
                </c:pt>
                <c:pt idx="387">
                  <c:v>7.3050000000000004E-2</c:v>
                </c:pt>
                <c:pt idx="388">
                  <c:v>7.1379999999999999E-2</c:v>
                </c:pt>
                <c:pt idx="389">
                  <c:v>7.6969999999999997E-2</c:v>
                </c:pt>
                <c:pt idx="390">
                  <c:v>7.6850000000000002E-2</c:v>
                </c:pt>
                <c:pt idx="391">
                  <c:v>8.2830000000000001E-2</c:v>
                </c:pt>
                <c:pt idx="392">
                  <c:v>7.1620000000000003E-2</c:v>
                </c:pt>
                <c:pt idx="393">
                  <c:v>7.0889999999999995E-2</c:v>
                </c:pt>
                <c:pt idx="394">
                  <c:v>6.4850000000000005E-2</c:v>
                </c:pt>
                <c:pt idx="395">
                  <c:v>6.7809999999999995E-2</c:v>
                </c:pt>
                <c:pt idx="396">
                  <c:v>6.6229999999999997E-2</c:v>
                </c:pt>
                <c:pt idx="397">
                  <c:v>6.5629999999999994E-2</c:v>
                </c:pt>
                <c:pt idx="398">
                  <c:v>6.7349999999999993E-2</c:v>
                </c:pt>
                <c:pt idx="399">
                  <c:v>6.7699999999999996E-2</c:v>
                </c:pt>
                <c:pt idx="400">
                  <c:v>6.0990000000000003E-2</c:v>
                </c:pt>
                <c:pt idx="401">
                  <c:v>6.855E-2</c:v>
                </c:pt>
                <c:pt idx="402">
                  <c:v>6.8970000000000004E-2</c:v>
                </c:pt>
                <c:pt idx="403">
                  <c:v>7.3639999999999997E-2</c:v>
                </c:pt>
                <c:pt idx="404">
                  <c:v>7.4520000000000003E-2</c:v>
                </c:pt>
                <c:pt idx="405">
                  <c:v>7.1059999999999998E-2</c:v>
                </c:pt>
                <c:pt idx="406">
                  <c:v>6.8110000000000004E-2</c:v>
                </c:pt>
                <c:pt idx="407">
                  <c:v>6.9019999999999998E-2</c:v>
                </c:pt>
                <c:pt idx="408">
                  <c:v>6.8129999999999996E-2</c:v>
                </c:pt>
                <c:pt idx="409">
                  <c:v>6.6680000000000003E-2</c:v>
                </c:pt>
                <c:pt idx="410">
                  <c:v>6.5250000000000002E-2</c:v>
                </c:pt>
                <c:pt idx="411">
                  <c:v>6.2120000000000002E-2</c:v>
                </c:pt>
                <c:pt idx="412">
                  <c:v>5.951E-2</c:v>
                </c:pt>
                <c:pt idx="413">
                  <c:v>6.1600000000000002E-2</c:v>
                </c:pt>
                <c:pt idx="414">
                  <c:v>6.54E-2</c:v>
                </c:pt>
                <c:pt idx="415">
                  <c:v>6.2990000000000004E-2</c:v>
                </c:pt>
                <c:pt idx="416">
                  <c:v>6.8919999999999995E-2</c:v>
                </c:pt>
                <c:pt idx="417">
                  <c:v>7.0279999999999995E-2</c:v>
                </c:pt>
                <c:pt idx="418">
                  <c:v>6.8440000000000001E-2</c:v>
                </c:pt>
                <c:pt idx="419">
                  <c:v>6.5490000000000007E-2</c:v>
                </c:pt>
                <c:pt idx="420">
                  <c:v>7.3569999999999997E-2</c:v>
                </c:pt>
                <c:pt idx="421">
                  <c:v>7.3400000000000007E-2</c:v>
                </c:pt>
                <c:pt idx="422">
                  <c:v>7.0949999999999999E-2</c:v>
                </c:pt>
                <c:pt idx="423">
                  <c:v>7.399E-2</c:v>
                </c:pt>
                <c:pt idx="424">
                  <c:v>6.7729999999999999E-2</c:v>
                </c:pt>
                <c:pt idx="425">
                  <c:v>6.8720000000000003E-2</c:v>
                </c:pt>
                <c:pt idx="426">
                  <c:v>6.3969999999999999E-2</c:v>
                </c:pt>
                <c:pt idx="427">
                  <c:v>6.6570000000000004E-2</c:v>
                </c:pt>
                <c:pt idx="428">
                  <c:v>7.0910000000000001E-2</c:v>
                </c:pt>
                <c:pt idx="429">
                  <c:v>6.6449999999999995E-2</c:v>
                </c:pt>
                <c:pt idx="430">
                  <c:v>6.087E-2</c:v>
                </c:pt>
                <c:pt idx="431">
                  <c:v>5.8549999999999998E-2</c:v>
                </c:pt>
                <c:pt idx="432">
                  <c:v>5.6770000000000001E-2</c:v>
                </c:pt>
                <c:pt idx="433">
                  <c:v>5.3379999999999997E-2</c:v>
                </c:pt>
                <c:pt idx="434">
                  <c:v>5.3069999999999999E-2</c:v>
                </c:pt>
                <c:pt idx="435">
                  <c:v>5.2420000000000001E-2</c:v>
                </c:pt>
                <c:pt idx="436">
                  <c:v>5.5210000000000002E-2</c:v>
                </c:pt>
                <c:pt idx="437">
                  <c:v>5.4919999999999997E-2</c:v>
                </c:pt>
                <c:pt idx="438">
                  <c:v>5.459E-2</c:v>
                </c:pt>
                <c:pt idx="439">
                  <c:v>5.6660000000000002E-2</c:v>
                </c:pt>
                <c:pt idx="440">
                  <c:v>5.4649999999999997E-2</c:v>
                </c:pt>
                <c:pt idx="441">
                  <c:v>5.3429999999999998E-2</c:v>
                </c:pt>
                <c:pt idx="442">
                  <c:v>5.5169999999999997E-2</c:v>
                </c:pt>
                <c:pt idx="443">
                  <c:v>5.6649999999999999E-2</c:v>
                </c:pt>
                <c:pt idx="444">
                  <c:v>5.7079999999999999E-2</c:v>
                </c:pt>
                <c:pt idx="445">
                  <c:v>5.1799999999999999E-2</c:v>
                </c:pt>
                <c:pt idx="446">
                  <c:v>4.99E-2</c:v>
                </c:pt>
                <c:pt idx="447">
                  <c:v>5.2429999999999997E-2</c:v>
                </c:pt>
                <c:pt idx="448">
                  <c:v>4.854E-2</c:v>
                </c:pt>
                <c:pt idx="449">
                  <c:v>4.7160000000000001E-2</c:v>
                </c:pt>
                <c:pt idx="450">
                  <c:v>4.7239999999999997E-2</c:v>
                </c:pt>
                <c:pt idx="451">
                  <c:v>5.0630000000000001E-2</c:v>
                </c:pt>
                <c:pt idx="452">
                  <c:v>4.759E-2</c:v>
                </c:pt>
                <c:pt idx="453">
                  <c:v>4.7280000000000003E-2</c:v>
                </c:pt>
                <c:pt idx="454">
                  <c:v>4.7140000000000001E-2</c:v>
                </c:pt>
                <c:pt idx="455">
                  <c:v>4.8770000000000001E-2</c:v>
                </c:pt>
                <c:pt idx="456">
                  <c:v>5.0259999999999999E-2</c:v>
                </c:pt>
                <c:pt idx="457">
                  <c:v>5.3159999999999999E-2</c:v>
                </c:pt>
                <c:pt idx="458">
                  <c:v>5.176E-2</c:v>
                </c:pt>
                <c:pt idx="459">
                  <c:v>5.1979999999999998E-2</c:v>
                </c:pt>
                <c:pt idx="460">
                  <c:v>5.4789999999999998E-2</c:v>
                </c:pt>
                <c:pt idx="461">
                  <c:v>5.2690000000000001E-2</c:v>
                </c:pt>
                <c:pt idx="462">
                  <c:v>5.1580000000000001E-2</c:v>
                </c:pt>
                <c:pt idx="463">
                  <c:v>5.0939999999999999E-2</c:v>
                </c:pt>
                <c:pt idx="464">
                  <c:v>4.8009999999999997E-2</c:v>
                </c:pt>
                <c:pt idx="465">
                  <c:v>4.8669999999999998E-2</c:v>
                </c:pt>
                <c:pt idx="466">
                  <c:v>4.8509999999999998E-2</c:v>
                </c:pt>
                <c:pt idx="467">
                  <c:v>4.8039999999999999E-2</c:v>
                </c:pt>
                <c:pt idx="468">
                  <c:v>4.6829999999999997E-2</c:v>
                </c:pt>
                <c:pt idx="469">
                  <c:v>4.8989999999999999E-2</c:v>
                </c:pt>
                <c:pt idx="470">
                  <c:v>5.0290000000000001E-2</c:v>
                </c:pt>
                <c:pt idx="471">
                  <c:v>5.1720000000000002E-2</c:v>
                </c:pt>
                <c:pt idx="472">
                  <c:v>5.2940000000000001E-2</c:v>
                </c:pt>
                <c:pt idx="473">
                  <c:v>5.3760000000000002E-2</c:v>
                </c:pt>
                <c:pt idx="474">
                  <c:v>5.2940000000000001E-2</c:v>
                </c:pt>
                <c:pt idx="475">
                  <c:v>5.1139999999999998E-2</c:v>
                </c:pt>
                <c:pt idx="476">
                  <c:v>4.6899999999999997E-2</c:v>
                </c:pt>
                <c:pt idx="477">
                  <c:v>4.48E-2</c:v>
                </c:pt>
                <c:pt idx="478">
                  <c:v>4.5740000000000003E-2</c:v>
                </c:pt>
                <c:pt idx="479">
                  <c:v>4.8090000000000001E-2</c:v>
                </c:pt>
                <c:pt idx="480">
                  <c:v>4.6960000000000002E-2</c:v>
                </c:pt>
                <c:pt idx="481">
                  <c:v>4.7120000000000002E-2</c:v>
                </c:pt>
                <c:pt idx="482">
                  <c:v>4.7019999999999999E-2</c:v>
                </c:pt>
                <c:pt idx="483">
                  <c:v>4.8739999999999999E-2</c:v>
                </c:pt>
                <c:pt idx="484">
                  <c:v>5.0880000000000002E-2</c:v>
                </c:pt>
                <c:pt idx="485">
                  <c:v>5.2440000000000001E-2</c:v>
                </c:pt>
                <c:pt idx="486">
                  <c:v>5.2880000000000003E-2</c:v>
                </c:pt>
                <c:pt idx="487">
                  <c:v>5.2260000000000001E-2</c:v>
                </c:pt>
                <c:pt idx="488">
                  <c:v>5.3740000000000003E-2</c:v>
                </c:pt>
                <c:pt idx="489">
                  <c:v>5.3670000000000002E-2</c:v>
                </c:pt>
                <c:pt idx="490">
                  <c:v>5.4039999999999998E-2</c:v>
                </c:pt>
                <c:pt idx="491">
                  <c:v>5.0360000000000002E-2</c:v>
                </c:pt>
                <c:pt idx="492">
                  <c:v>5.441E-2</c:v>
                </c:pt>
                <c:pt idx="493">
                  <c:v>5.5169999999999997E-2</c:v>
                </c:pt>
                <c:pt idx="494">
                  <c:v>6.5449999999999994E-2</c:v>
                </c:pt>
                <c:pt idx="495">
                  <c:v>6.6699999999999995E-2</c:v>
                </c:pt>
                <c:pt idx="496">
                  <c:v>6.5409999999999996E-2</c:v>
                </c:pt>
                <c:pt idx="497">
                  <c:v>6.5790000000000001E-2</c:v>
                </c:pt>
                <c:pt idx="498">
                  <c:v>6.0780000000000001E-2</c:v>
                </c:pt>
                <c:pt idx="499">
                  <c:v>6.1089999999999998E-2</c:v>
                </c:pt>
                <c:pt idx="500">
                  <c:v>6.4519999999999994E-2</c:v>
                </c:pt>
                <c:pt idx="501">
                  <c:v>6.2909999999999994E-2</c:v>
                </c:pt>
                <c:pt idx="502">
                  <c:v>6.8080000000000002E-2</c:v>
                </c:pt>
                <c:pt idx="503">
                  <c:v>6.6769999999999996E-2</c:v>
                </c:pt>
                <c:pt idx="504">
                  <c:v>6.6009999999999999E-2</c:v>
                </c:pt>
                <c:pt idx="505">
                  <c:v>5.8729999999999997E-2</c:v>
                </c:pt>
                <c:pt idx="506">
                  <c:v>5.5500000000000001E-2</c:v>
                </c:pt>
                <c:pt idx="507">
                  <c:v>5.6570000000000002E-2</c:v>
                </c:pt>
                <c:pt idx="508">
                  <c:v>5.586E-2</c:v>
                </c:pt>
                <c:pt idx="509">
                  <c:v>5.4859999999999999E-2</c:v>
                </c:pt>
                <c:pt idx="510">
                  <c:v>6.182E-2</c:v>
                </c:pt>
                <c:pt idx="511">
                  <c:v>5.7889999999999997E-2</c:v>
                </c:pt>
                <c:pt idx="512">
                  <c:v>7.6399999999999996E-2</c:v>
                </c:pt>
                <c:pt idx="513">
                  <c:v>8.1670000000000006E-2</c:v>
                </c:pt>
                <c:pt idx="514">
                  <c:v>8.5949999999999999E-2</c:v>
                </c:pt>
                <c:pt idx="515">
                  <c:v>8.5620000000000002E-2</c:v>
                </c:pt>
                <c:pt idx="516">
                  <c:v>8.0920000000000006E-2</c:v>
                </c:pt>
                <c:pt idx="517">
                  <c:v>7.7429999999999999E-2</c:v>
                </c:pt>
                <c:pt idx="518">
                  <c:v>8.0420000000000005E-2</c:v>
                </c:pt>
                <c:pt idx="519">
                  <c:v>8.8900000000000007E-2</c:v>
                </c:pt>
                <c:pt idx="520">
                  <c:v>8.1309999999999993E-2</c:v>
                </c:pt>
                <c:pt idx="521">
                  <c:v>7.8670000000000004E-2</c:v>
                </c:pt>
                <c:pt idx="522">
                  <c:v>7.6850000000000002E-2</c:v>
                </c:pt>
                <c:pt idx="523">
                  <c:v>7.7600000000000002E-2</c:v>
                </c:pt>
                <c:pt idx="524">
                  <c:v>6.8330000000000002E-2</c:v>
                </c:pt>
                <c:pt idx="525">
                  <c:v>7.3209999999999997E-2</c:v>
                </c:pt>
                <c:pt idx="526">
                  <c:v>6.7760000000000001E-2</c:v>
                </c:pt>
                <c:pt idx="527">
                  <c:v>7.6289999999999997E-2</c:v>
                </c:pt>
                <c:pt idx="528">
                  <c:v>7.0569999999999994E-2</c:v>
                </c:pt>
                <c:pt idx="529">
                  <c:v>6.8010000000000001E-2</c:v>
                </c:pt>
                <c:pt idx="530">
                  <c:v>6.6790000000000002E-2</c:v>
                </c:pt>
                <c:pt idx="531">
                  <c:v>6.8000000000000005E-2</c:v>
                </c:pt>
                <c:pt idx="532">
                  <c:v>6.8000000000000005E-2</c:v>
                </c:pt>
                <c:pt idx="533">
                  <c:v>6.9290000000000004E-2</c:v>
                </c:pt>
                <c:pt idx="534">
                  <c:v>6.8349999999999994E-2</c:v>
                </c:pt>
                <c:pt idx="535">
                  <c:v>7.3830000000000007E-2</c:v>
                </c:pt>
                <c:pt idx="536">
                  <c:v>6.8690000000000001E-2</c:v>
                </c:pt>
                <c:pt idx="537">
                  <c:v>6.8409999999999999E-2</c:v>
                </c:pt>
                <c:pt idx="538">
                  <c:v>6.8690000000000001E-2</c:v>
                </c:pt>
                <c:pt idx="539">
                  <c:v>6.6540000000000002E-2</c:v>
                </c:pt>
                <c:pt idx="540">
                  <c:v>6.0479999999999999E-2</c:v>
                </c:pt>
                <c:pt idx="541">
                  <c:v>5.7849999999999999E-2</c:v>
                </c:pt>
                <c:pt idx="542">
                  <c:v>5.5780000000000003E-2</c:v>
                </c:pt>
                <c:pt idx="543">
                  <c:v>5.5469999999999998E-2</c:v>
                </c:pt>
                <c:pt idx="544">
                  <c:v>5.6809999999999999E-2</c:v>
                </c:pt>
                <c:pt idx="545">
                  <c:v>5.6689999999999997E-2</c:v>
                </c:pt>
                <c:pt idx="546">
                  <c:v>5.7480000000000003E-2</c:v>
                </c:pt>
                <c:pt idx="547">
                  <c:v>5.7610000000000001E-2</c:v>
                </c:pt>
                <c:pt idx="548">
                  <c:v>5.4519999999999999E-2</c:v>
                </c:pt>
                <c:pt idx="549">
                  <c:v>5.2540000000000003E-2</c:v>
                </c:pt>
                <c:pt idx="550">
                  <c:v>5.6099999999999997E-2</c:v>
                </c:pt>
                <c:pt idx="551">
                  <c:v>5.7970000000000001E-2</c:v>
                </c:pt>
                <c:pt idx="552">
                  <c:v>5.9950000000000003E-2</c:v>
                </c:pt>
                <c:pt idx="553">
                  <c:v>6.2190000000000002E-2</c:v>
                </c:pt>
                <c:pt idx="554">
                  <c:v>5.9360000000000003E-2</c:v>
                </c:pt>
                <c:pt idx="555">
                  <c:v>5.9929999999999997E-2</c:v>
                </c:pt>
                <c:pt idx="556">
                  <c:v>5.985E-2</c:v>
                </c:pt>
                <c:pt idx="557">
                  <c:v>5.6239999999999998E-2</c:v>
                </c:pt>
                <c:pt idx="558">
                  <c:v>5.8569999999999997E-2</c:v>
                </c:pt>
                <c:pt idx="559">
                  <c:v>5.8430000000000003E-2</c:v>
                </c:pt>
                <c:pt idx="560">
                  <c:v>6.1129999999999997E-2</c:v>
                </c:pt>
                <c:pt idx="561">
                  <c:v>5.3539999999999997E-2</c:v>
                </c:pt>
                <c:pt idx="562">
                  <c:v>5.1499999999999997E-2</c:v>
                </c:pt>
                <c:pt idx="563">
                  <c:v>5.1970000000000002E-2</c:v>
                </c:pt>
                <c:pt idx="564">
                  <c:v>5.2499999999999998E-2</c:v>
                </c:pt>
                <c:pt idx="565">
                  <c:v>5.3280000000000001E-2</c:v>
                </c:pt>
                <c:pt idx="566">
                  <c:v>5.2089999999999997E-2</c:v>
                </c:pt>
                <c:pt idx="567">
                  <c:v>5.2699999999999997E-2</c:v>
                </c:pt>
                <c:pt idx="568">
                  <c:v>5.4039999999999998E-2</c:v>
                </c:pt>
                <c:pt idx="569">
                  <c:v>5.0689999999999999E-2</c:v>
                </c:pt>
                <c:pt idx="570">
                  <c:v>5.1999999999999998E-2</c:v>
                </c:pt>
                <c:pt idx="571">
                  <c:v>5.1069999999999997E-2</c:v>
                </c:pt>
                <c:pt idx="572">
                  <c:v>4.9970000000000001E-2</c:v>
                </c:pt>
                <c:pt idx="573">
                  <c:v>4.9419999999999999E-2</c:v>
                </c:pt>
                <c:pt idx="574">
                  <c:v>4.7070000000000001E-2</c:v>
                </c:pt>
                <c:pt idx="575">
                  <c:v>4.759E-2</c:v>
                </c:pt>
                <c:pt idx="576">
                  <c:v>4.7640000000000002E-2</c:v>
                </c:pt>
                <c:pt idx="577">
                  <c:v>4.8480000000000002E-2</c:v>
                </c:pt>
                <c:pt idx="578">
                  <c:v>4.8579999999999998E-2</c:v>
                </c:pt>
                <c:pt idx="579">
                  <c:v>4.7719999999999999E-2</c:v>
                </c:pt>
                <c:pt idx="580">
                  <c:v>5.1610000000000003E-2</c:v>
                </c:pt>
                <c:pt idx="581">
                  <c:v>4.9169999999999998E-2</c:v>
                </c:pt>
                <c:pt idx="582">
                  <c:v>5.0229999999999997E-2</c:v>
                </c:pt>
                <c:pt idx="583">
                  <c:v>5.3350000000000002E-2</c:v>
                </c:pt>
                <c:pt idx="584">
                  <c:v>5.5050000000000002E-2</c:v>
                </c:pt>
                <c:pt idx="585">
                  <c:v>5.4879999999999998E-2</c:v>
                </c:pt>
                <c:pt idx="586">
                  <c:v>5.3499999999999999E-2</c:v>
                </c:pt>
                <c:pt idx="587">
                  <c:v>5.2769999999999997E-2</c:v>
                </c:pt>
                <c:pt idx="588">
                  <c:v>5.2999999999999999E-2</c:v>
                </c:pt>
                <c:pt idx="589">
                  <c:v>5.1860000000000003E-2</c:v>
                </c:pt>
                <c:pt idx="590">
                  <c:v>5.2549999999999999E-2</c:v>
                </c:pt>
                <c:pt idx="591">
                  <c:v>5.4699999999999999E-2</c:v>
                </c:pt>
                <c:pt idx="592">
                  <c:v>5.2330000000000002E-2</c:v>
                </c:pt>
                <c:pt idx="593">
                  <c:v>5.509E-2</c:v>
                </c:pt>
                <c:pt idx="594">
                  <c:v>5.2479999999999999E-2</c:v>
                </c:pt>
                <c:pt idx="595">
                  <c:v>4.8079999999999998E-2</c:v>
                </c:pt>
                <c:pt idx="596">
                  <c:v>5.3199999999999997E-2</c:v>
                </c:pt>
                <c:pt idx="597">
                  <c:v>5.0799999999999998E-2</c:v>
                </c:pt>
                <c:pt idx="598">
                  <c:v>5.1240000000000001E-2</c:v>
                </c:pt>
                <c:pt idx="599">
                  <c:v>4.9390000000000003E-2</c:v>
                </c:pt>
                <c:pt idx="600">
                  <c:v>5.0950000000000002E-2</c:v>
                </c:pt>
                <c:pt idx="601">
                  <c:v>4.9880000000000001E-2</c:v>
                </c:pt>
                <c:pt idx="602">
                  <c:v>5.1029999999999999E-2</c:v>
                </c:pt>
                <c:pt idx="603">
                  <c:v>4.9320000000000003E-2</c:v>
                </c:pt>
                <c:pt idx="604">
                  <c:v>4.6080000000000003E-2</c:v>
                </c:pt>
                <c:pt idx="605">
                  <c:v>4.836E-2</c:v>
                </c:pt>
                <c:pt idx="606">
                  <c:v>4.648E-2</c:v>
                </c:pt>
                <c:pt idx="607">
                  <c:v>4.7190000000000003E-2</c:v>
                </c:pt>
                <c:pt idx="608">
                  <c:v>4.7350000000000003E-2</c:v>
                </c:pt>
                <c:pt idx="609">
                  <c:v>4.5789999999999997E-2</c:v>
                </c:pt>
                <c:pt idx="610">
                  <c:v>4.5710000000000001E-2</c:v>
                </c:pt>
                <c:pt idx="611">
                  <c:v>4.7579999999999997E-2</c:v>
                </c:pt>
                <c:pt idx="612">
                  <c:v>4.9739999999999999E-2</c:v>
                </c:pt>
                <c:pt idx="613">
                  <c:v>4.5999999999999999E-2</c:v>
                </c:pt>
                <c:pt idx="614">
                  <c:v>5.0840000000000003E-2</c:v>
                </c:pt>
                <c:pt idx="615">
                  <c:v>5.6710000000000003E-2</c:v>
                </c:pt>
                <c:pt idx="616">
                  <c:v>3.8640000000000001E-2</c:v>
                </c:pt>
                <c:pt idx="617">
                  <c:v>3.9730000000000001E-2</c:v>
                </c:pt>
                <c:pt idx="618">
                  <c:v>4.0579999999999998E-2</c:v>
                </c:pt>
                <c:pt idx="619">
                  <c:v>4.0259999999999997E-2</c:v>
                </c:pt>
                <c:pt idx="620">
                  <c:v>4.0189999999999997E-2</c:v>
                </c:pt>
                <c:pt idx="621">
                  <c:v>3.9210000000000002E-2</c:v>
                </c:pt>
                <c:pt idx="622">
                  <c:v>3.841E-2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E2-4FE1-A391-729FE67EED4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-2.1112828278979929</c:v>
                </c:pt>
                <c:pt idx="1">
                  <c:v>-2.1084957119278434</c:v>
                </c:pt>
                <c:pt idx="2">
                  <c:v>-2.0993861619278431</c:v>
                </c:pt>
                <c:pt idx="3">
                  <c:v>-2.032237766610383</c:v>
                </c:pt>
                <c:pt idx="4">
                  <c:v>-2.0482463839137539</c:v>
                </c:pt>
                <c:pt idx="5">
                  <c:v>-2.0594281130902243</c:v>
                </c:pt>
                <c:pt idx="6">
                  <c:v>-2.0510456817176754</c:v>
                </c:pt>
                <c:pt idx="7">
                  <c:v>-2.0065859830847641</c:v>
                </c:pt>
                <c:pt idx="8">
                  <c:v>-1.9926271861616873</c:v>
                </c:pt>
                <c:pt idx="9">
                  <c:v>-1.9851349883839096</c:v>
                </c:pt>
                <c:pt idx="10">
                  <c:v>-1.9858776180135393</c:v>
                </c:pt>
                <c:pt idx="11">
                  <c:v>-1.9756740531199224</c:v>
                </c:pt>
                <c:pt idx="12">
                  <c:v>-1.9835182354455037</c:v>
                </c:pt>
                <c:pt idx="13">
                  <c:v>-1.9935545614455037</c:v>
                </c:pt>
                <c:pt idx="14">
                  <c:v>-2.0180356500169321</c:v>
                </c:pt>
                <c:pt idx="15">
                  <c:v>-1.969155052072268</c:v>
                </c:pt>
                <c:pt idx="16">
                  <c:v>-2.0004027409211891</c:v>
                </c:pt>
                <c:pt idx="17">
                  <c:v>-2.025929037967821</c:v>
                </c:pt>
                <c:pt idx="18">
                  <c:v>-2.0308287283424606</c:v>
                </c:pt>
                <c:pt idx="19">
                  <c:v>-1.9538626740168792</c:v>
                </c:pt>
                <c:pt idx="20">
                  <c:v>-1.9419558287205827</c:v>
                </c:pt>
                <c:pt idx="21">
                  <c:v>-1.9154024164421017</c:v>
                </c:pt>
                <c:pt idx="22">
                  <c:v>-1.9234060131486883</c:v>
                </c:pt>
                <c:pt idx="23">
                  <c:v>-1.8679156372950296</c:v>
                </c:pt>
                <c:pt idx="24">
                  <c:v>-1.8004043886121033</c:v>
                </c:pt>
                <c:pt idx="25">
                  <c:v>-1.4096574691111434</c:v>
                </c:pt>
                <c:pt idx="26">
                  <c:v>-0.79887838603422068</c:v>
                </c:pt>
                <c:pt idx="27">
                  <c:v>-0.80712157035520815</c:v>
                </c:pt>
                <c:pt idx="28">
                  <c:v>-0.79104109452187488</c:v>
                </c:pt>
                <c:pt idx="29">
                  <c:v>-0.8037397155499123</c:v>
                </c:pt>
                <c:pt idx="30">
                  <c:v>-0.79083547581836866</c:v>
                </c:pt>
                <c:pt idx="31">
                  <c:v>-0.75785792871310553</c:v>
                </c:pt>
                <c:pt idx="32">
                  <c:v>-0.69844376584545842</c:v>
                </c:pt>
                <c:pt idx="33">
                  <c:v>-0.72200246402727641</c:v>
                </c:pt>
                <c:pt idx="34">
                  <c:v>-0.7302414189568539</c:v>
                </c:pt>
                <c:pt idx="35">
                  <c:v>-0.71114840129018708</c:v>
                </c:pt>
                <c:pt idx="36">
                  <c:v>-0.73722140055127083</c:v>
                </c:pt>
                <c:pt idx="37">
                  <c:v>-0.71820744441793771</c:v>
                </c:pt>
                <c:pt idx="38">
                  <c:v>-0.73157823041793768</c:v>
                </c:pt>
                <c:pt idx="39">
                  <c:v>-0.73013747715706812</c:v>
                </c:pt>
                <c:pt idx="40">
                  <c:v>-0.70993732264093912</c:v>
                </c:pt>
                <c:pt idx="41">
                  <c:v>-0.71749919110809246</c:v>
                </c:pt>
                <c:pt idx="42">
                  <c:v>-0.71822805749984497</c:v>
                </c:pt>
                <c:pt idx="43">
                  <c:v>-0.67440590336651163</c:v>
                </c:pt>
                <c:pt idx="44">
                  <c:v>-0.68839612584692944</c:v>
                </c:pt>
                <c:pt idx="45">
                  <c:v>-0.68609054311085194</c:v>
                </c:pt>
                <c:pt idx="46">
                  <c:v>-0.66187021172012339</c:v>
                </c:pt>
                <c:pt idx="47">
                  <c:v>-0.67397492632189338</c:v>
                </c:pt>
                <c:pt idx="48">
                  <c:v>-0.67556776749836389</c:v>
                </c:pt>
                <c:pt idx="49">
                  <c:v>-0.60440900863796487</c:v>
                </c:pt>
                <c:pt idx="50">
                  <c:v>-0.56994391165790781</c:v>
                </c:pt>
                <c:pt idx="51">
                  <c:v>-0.59318713716423699</c:v>
                </c:pt>
                <c:pt idx="52">
                  <c:v>-0.57419570750906446</c:v>
                </c:pt>
                <c:pt idx="53">
                  <c:v>-0.68232925737882177</c:v>
                </c:pt>
                <c:pt idx="54">
                  <c:v>-0.6309950576851675</c:v>
                </c:pt>
                <c:pt idx="55">
                  <c:v>-0.61770054193366453</c:v>
                </c:pt>
                <c:pt idx="56">
                  <c:v>-0.46487184486106486</c:v>
                </c:pt>
                <c:pt idx="57">
                  <c:v>-0.45885060772819769</c:v>
                </c:pt>
                <c:pt idx="58">
                  <c:v>-0.40117900319989575</c:v>
                </c:pt>
                <c:pt idx="59">
                  <c:v>-0.4107238499998957</c:v>
                </c:pt>
                <c:pt idx="60">
                  <c:v>-0.53739409827298801</c:v>
                </c:pt>
                <c:pt idx="61">
                  <c:v>-0.55090284251759236</c:v>
                </c:pt>
                <c:pt idx="62">
                  <c:v>-0.66837816657164639</c:v>
                </c:pt>
                <c:pt idx="63">
                  <c:v>-0.71143760606209216</c:v>
                </c:pt>
                <c:pt idx="64">
                  <c:v>-0.74234950954467938</c:v>
                </c:pt>
                <c:pt idx="65">
                  <c:v>-0.73294544790288829</c:v>
                </c:pt>
                <c:pt idx="66">
                  <c:v>-0.76552669256955508</c:v>
                </c:pt>
                <c:pt idx="67">
                  <c:v>-0.73866628555201119</c:v>
                </c:pt>
                <c:pt idx="68">
                  <c:v>-0.73533160177049883</c:v>
                </c:pt>
                <c:pt idx="69">
                  <c:v>-0.69660963992881875</c:v>
                </c:pt>
                <c:pt idx="70">
                  <c:v>-0.77077880464931559</c:v>
                </c:pt>
                <c:pt idx="71">
                  <c:v>-0.64863531097941263</c:v>
                </c:pt>
                <c:pt idx="72">
                  <c:v>-0.75860126049397592</c:v>
                </c:pt>
                <c:pt idx="73">
                  <c:v>-0.9008086404939758</c:v>
                </c:pt>
                <c:pt idx="74">
                  <c:v>-0.92568360288107265</c:v>
                </c:pt>
                <c:pt idx="75">
                  <c:v>-0.87679284085941234</c:v>
                </c:pt>
                <c:pt idx="76">
                  <c:v>-0.87534418460941232</c:v>
                </c:pt>
                <c:pt idx="77">
                  <c:v>-0.87207962332449618</c:v>
                </c:pt>
                <c:pt idx="78">
                  <c:v>-0.89799449859278857</c:v>
                </c:pt>
                <c:pt idx="79">
                  <c:v>-0.86683590695710078</c:v>
                </c:pt>
                <c:pt idx="80">
                  <c:v>-0.85327142649556209</c:v>
                </c:pt>
                <c:pt idx="81">
                  <c:v>-0.8452120055521658</c:v>
                </c:pt>
                <c:pt idx="82">
                  <c:v>-0.81503562790510697</c:v>
                </c:pt>
                <c:pt idx="83">
                  <c:v>-0.70723558545180676</c:v>
                </c:pt>
                <c:pt idx="84">
                  <c:v>-0.67553337017230375</c:v>
                </c:pt>
                <c:pt idx="85">
                  <c:v>-0.68386154044257397</c:v>
                </c:pt>
                <c:pt idx="86">
                  <c:v>-0.68651464723269762</c:v>
                </c:pt>
                <c:pt idx="87">
                  <c:v>-0.71588993065375028</c:v>
                </c:pt>
                <c:pt idx="88">
                  <c:v>-0.74832714267465628</c:v>
                </c:pt>
                <c:pt idx="89">
                  <c:v>-0.80740369375573739</c:v>
                </c:pt>
                <c:pt idx="90">
                  <c:v>-0.84006905230496021</c:v>
                </c:pt>
                <c:pt idx="91">
                  <c:v>-0.86459421885257914</c:v>
                </c:pt>
                <c:pt idx="92">
                  <c:v>-0.89638416018591238</c:v>
                </c:pt>
                <c:pt idx="93">
                  <c:v>-0.86643768927682152</c:v>
                </c:pt>
                <c:pt idx="94">
                  <c:v>-0.80910336379736936</c:v>
                </c:pt>
                <c:pt idx="95">
                  <c:v>-0.88141204720162425</c:v>
                </c:pt>
                <c:pt idx="96">
                  <c:v>-0.74187067134796436</c:v>
                </c:pt>
                <c:pt idx="97">
                  <c:v>-0.75937925221752922</c:v>
                </c:pt>
                <c:pt idx="98">
                  <c:v>-0.74463532106368358</c:v>
                </c:pt>
                <c:pt idx="99">
                  <c:v>-0.69677183203142556</c:v>
                </c:pt>
                <c:pt idx="100">
                  <c:v>-0.97899388565780032</c:v>
                </c:pt>
                <c:pt idx="101">
                  <c:v>-0.99264051818792065</c:v>
                </c:pt>
                <c:pt idx="102">
                  <c:v>-0.99914076818792052</c:v>
                </c:pt>
                <c:pt idx="103">
                  <c:v>-0.98722576100843351</c:v>
                </c:pt>
                <c:pt idx="104">
                  <c:v>-0.9692627968168166</c:v>
                </c:pt>
                <c:pt idx="105">
                  <c:v>-0.86611354539706353</c:v>
                </c:pt>
                <c:pt idx="106">
                  <c:v>-0.88257771248039685</c:v>
                </c:pt>
                <c:pt idx="107">
                  <c:v>-0.92159862464002118</c:v>
                </c:pt>
                <c:pt idx="108">
                  <c:v>-0.92090586167705812</c:v>
                </c:pt>
                <c:pt idx="109">
                  <c:v>-0.90987594554372497</c:v>
                </c:pt>
                <c:pt idx="110">
                  <c:v>-0.87272293999672967</c:v>
                </c:pt>
                <c:pt idx="111">
                  <c:v>-0.79944847406839081</c:v>
                </c:pt>
                <c:pt idx="112">
                  <c:v>-0.81417118186112303</c:v>
                </c:pt>
                <c:pt idx="113">
                  <c:v>-0.81857510945040846</c:v>
                </c:pt>
                <c:pt idx="114">
                  <c:v>-0.65841707109915437</c:v>
                </c:pt>
                <c:pt idx="115">
                  <c:v>-0.69355757479014146</c:v>
                </c:pt>
                <c:pt idx="116">
                  <c:v>-0.66948260793828962</c:v>
                </c:pt>
                <c:pt idx="117">
                  <c:v>-0.6858685394254691</c:v>
                </c:pt>
                <c:pt idx="118">
                  <c:v>-0.71401459735650363</c:v>
                </c:pt>
                <c:pt idx="119">
                  <c:v>-0.77227060059179764</c:v>
                </c:pt>
                <c:pt idx="120">
                  <c:v>-0.75199502804634333</c:v>
                </c:pt>
                <c:pt idx="121">
                  <c:v>-0.74042587688355266</c:v>
                </c:pt>
                <c:pt idx="122">
                  <c:v>-0.69530499150540137</c:v>
                </c:pt>
                <c:pt idx="123">
                  <c:v>-0.64476479617206794</c:v>
                </c:pt>
                <c:pt idx="124">
                  <c:v>-0.65097079127140578</c:v>
                </c:pt>
                <c:pt idx="125">
                  <c:v>-0.70803774233523564</c:v>
                </c:pt>
                <c:pt idx="126">
                  <c:v>-0.69767013619841478</c:v>
                </c:pt>
                <c:pt idx="127">
                  <c:v>-0.77993642540988406</c:v>
                </c:pt>
                <c:pt idx="128">
                  <c:v>-0.85702490009653243</c:v>
                </c:pt>
                <c:pt idx="129">
                  <c:v>-0.8054343085114507</c:v>
                </c:pt>
                <c:pt idx="130">
                  <c:v>-0.77138935862381031</c:v>
                </c:pt>
                <c:pt idx="131">
                  <c:v>-0.74352600089653764</c:v>
                </c:pt>
                <c:pt idx="132">
                  <c:v>-0.73975956038806301</c:v>
                </c:pt>
                <c:pt idx="133">
                  <c:v>-0.65312502000344774</c:v>
                </c:pt>
                <c:pt idx="134">
                  <c:v>-0.91310802396741175</c:v>
                </c:pt>
                <c:pt idx="135">
                  <c:v>-0.97267515396741178</c:v>
                </c:pt>
                <c:pt idx="136">
                  <c:v>-1.0225772411767138</c:v>
                </c:pt>
                <c:pt idx="137">
                  <c:v>-1.0130973914475943</c:v>
                </c:pt>
                <c:pt idx="138">
                  <c:v>-1.0381961364475945</c:v>
                </c:pt>
                <c:pt idx="139">
                  <c:v>-1.074875915504198</c:v>
                </c:pt>
                <c:pt idx="140">
                  <c:v>-1.0377701122138756</c:v>
                </c:pt>
                <c:pt idx="141">
                  <c:v>-1.1296974241369526</c:v>
                </c:pt>
                <c:pt idx="142">
                  <c:v>-1.1735905079105373</c:v>
                </c:pt>
                <c:pt idx="143">
                  <c:v>-1.0668175192251605</c:v>
                </c:pt>
                <c:pt idx="144">
                  <c:v>-1.2223453700669116</c:v>
                </c:pt>
                <c:pt idx="145">
                  <c:v>-4.6619967237505465E-2</c:v>
                </c:pt>
                <c:pt idx="146">
                  <c:v>-0.4661355694585852</c:v>
                </c:pt>
                <c:pt idx="147">
                  <c:v>-0.52579536884320077</c:v>
                </c:pt>
                <c:pt idx="148">
                  <c:v>-0.52900502884320066</c:v>
                </c:pt>
                <c:pt idx="149">
                  <c:v>-0.58449295726820083</c:v>
                </c:pt>
                <c:pt idx="150">
                  <c:v>-0.61027730982551309</c:v>
                </c:pt>
                <c:pt idx="151">
                  <c:v>-0.58729722649217964</c:v>
                </c:pt>
                <c:pt idx="152">
                  <c:v>-0.62516650087434511</c:v>
                </c:pt>
                <c:pt idx="153">
                  <c:v>-0.61489282050397476</c:v>
                </c:pt>
                <c:pt idx="154">
                  <c:v>-0.68455704750397495</c:v>
                </c:pt>
                <c:pt idx="155">
                  <c:v>-0.65479315965957263</c:v>
                </c:pt>
                <c:pt idx="156">
                  <c:v>-0.76236793830277061</c:v>
                </c:pt>
                <c:pt idx="157">
                  <c:v>-0.84910175339388005</c:v>
                </c:pt>
                <c:pt idx="158">
                  <c:v>-0.83318665410355763</c:v>
                </c:pt>
                <c:pt idx="159">
                  <c:v>-0.83349699499702845</c:v>
                </c:pt>
                <c:pt idx="160">
                  <c:v>-0.84744902899702879</c:v>
                </c:pt>
                <c:pt idx="161">
                  <c:v>-0.83707845195831343</c:v>
                </c:pt>
                <c:pt idx="162">
                  <c:v>-0.89264238794984607</c:v>
                </c:pt>
                <c:pt idx="163">
                  <c:v>-0.86497801821511566</c:v>
                </c:pt>
                <c:pt idx="164">
                  <c:v>-0.79222936758741858</c:v>
                </c:pt>
                <c:pt idx="165">
                  <c:v>-0.83985564307897298</c:v>
                </c:pt>
                <c:pt idx="166">
                  <c:v>-0.8965045003126183</c:v>
                </c:pt>
                <c:pt idx="167">
                  <c:v>-1.0785602811922645</c:v>
                </c:pt>
                <c:pt idx="168">
                  <c:v>-1.1460732499646364</c:v>
                </c:pt>
                <c:pt idx="169">
                  <c:v>-1.1192410000227364</c:v>
                </c:pt>
                <c:pt idx="170">
                  <c:v>-1.1344865079743225</c:v>
                </c:pt>
                <c:pt idx="171">
                  <c:v>-1.2329660708920405</c:v>
                </c:pt>
                <c:pt idx="172">
                  <c:v>-1.2908257813503321</c:v>
                </c:pt>
                <c:pt idx="173">
                  <c:v>-1.2942251487971406</c:v>
                </c:pt>
                <c:pt idx="174">
                  <c:v>-1.4048736331165332</c:v>
                </c:pt>
                <c:pt idx="175">
                  <c:v>-1.4923572203360445</c:v>
                </c:pt>
                <c:pt idx="176">
                  <c:v>-1.5024286076270625</c:v>
                </c:pt>
                <c:pt idx="177">
                  <c:v>-1.5898656619373912</c:v>
                </c:pt>
                <c:pt idx="178">
                  <c:v>-1.5655912861251884</c:v>
                </c:pt>
                <c:pt idx="179">
                  <c:v>-1.8722199622599918</c:v>
                </c:pt>
                <c:pt idx="180">
                  <c:v>-1.3962461397963208</c:v>
                </c:pt>
                <c:pt idx="181">
                  <c:v>-1.7898296566974019</c:v>
                </c:pt>
                <c:pt idx="182">
                  <c:v>-1.8812361712603927</c:v>
                </c:pt>
                <c:pt idx="183">
                  <c:v>-2.0161880272423445</c:v>
                </c:pt>
                <c:pt idx="184">
                  <c:v>-2.0649505470689702</c:v>
                </c:pt>
                <c:pt idx="185">
                  <c:v>-2.1308318946291926</c:v>
                </c:pt>
                <c:pt idx="186">
                  <c:v>-2.134334148629192</c:v>
                </c:pt>
                <c:pt idx="187">
                  <c:v>-2.1525077293660342</c:v>
                </c:pt>
                <c:pt idx="188">
                  <c:v>-2.1376385319772031</c:v>
                </c:pt>
                <c:pt idx="189">
                  <c:v>-2.159625029729094</c:v>
                </c:pt>
                <c:pt idx="190">
                  <c:v>-2.1895362443603936</c:v>
                </c:pt>
                <c:pt idx="191">
                  <c:v>-2.2416965437586125</c:v>
                </c:pt>
                <c:pt idx="192">
                  <c:v>-2.1949770018621444</c:v>
                </c:pt>
                <c:pt idx="193">
                  <c:v>-2.1769167216281864</c:v>
                </c:pt>
                <c:pt idx="194">
                  <c:v>-2.1815792249615198</c:v>
                </c:pt>
                <c:pt idx="195">
                  <c:v>-2.1872370777938728</c:v>
                </c:pt>
                <c:pt idx="196">
                  <c:v>-2.1562520966455612</c:v>
                </c:pt>
                <c:pt idx="197">
                  <c:v>-2.1749259660504396</c:v>
                </c:pt>
                <c:pt idx="198">
                  <c:v>-2.1957585351735163</c:v>
                </c:pt>
                <c:pt idx="199">
                  <c:v>-2.1946447576499621</c:v>
                </c:pt>
                <c:pt idx="200">
                  <c:v>-2.1649414973301244</c:v>
                </c:pt>
                <c:pt idx="201">
                  <c:v>-2.2210145072839196</c:v>
                </c:pt>
                <c:pt idx="202">
                  <c:v>-2.2066873395057214</c:v>
                </c:pt>
                <c:pt idx="203">
                  <c:v>-2.1659066704888539</c:v>
                </c:pt>
                <c:pt idx="204">
                  <c:v>-2.1004418701803513</c:v>
                </c:pt>
                <c:pt idx="205">
                  <c:v>-2.1171230531857717</c:v>
                </c:pt>
                <c:pt idx="206">
                  <c:v>-2.1522455514391772</c:v>
                </c:pt>
                <c:pt idx="207">
                  <c:v>-2.1216103256622967</c:v>
                </c:pt>
                <c:pt idx="208">
                  <c:v>-1.8150498775702344</c:v>
                </c:pt>
                <c:pt idx="209">
                  <c:v>-1.9627687828895743</c:v>
                </c:pt>
                <c:pt idx="210">
                  <c:v>-1.8653463821714173</c:v>
                </c:pt>
                <c:pt idx="211">
                  <c:v>-2.2770722009891213</c:v>
                </c:pt>
                <c:pt idx="212">
                  <c:v>-2.3299784084172033</c:v>
                </c:pt>
                <c:pt idx="213">
                  <c:v>-2.3895253342224128</c:v>
                </c:pt>
                <c:pt idx="214">
                  <c:v>-2.4925301381514369</c:v>
                </c:pt>
                <c:pt idx="215">
                  <c:v>-2.564966546865314</c:v>
                </c:pt>
                <c:pt idx="216">
                  <c:v>-2.610483442441391</c:v>
                </c:pt>
                <c:pt idx="217">
                  <c:v>-2.5592263476271495</c:v>
                </c:pt>
                <c:pt idx="218">
                  <c:v>-2.6192882917287941</c:v>
                </c:pt>
                <c:pt idx="219">
                  <c:v>-2.657956577073405</c:v>
                </c:pt>
                <c:pt idx="220">
                  <c:v>-2.640082241126263</c:v>
                </c:pt>
                <c:pt idx="221">
                  <c:v>-2.4935174062379644</c:v>
                </c:pt>
                <c:pt idx="222">
                  <c:v>-2.5641783736969144</c:v>
                </c:pt>
                <c:pt idx="223">
                  <c:v>-2.5371558672593455</c:v>
                </c:pt>
                <c:pt idx="224">
                  <c:v>-2.516723693445587</c:v>
                </c:pt>
                <c:pt idx="225">
                  <c:v>-2.5170318171555515</c:v>
                </c:pt>
                <c:pt idx="226">
                  <c:v>-2.4696293685539454</c:v>
                </c:pt>
                <c:pt idx="227">
                  <c:v>-2.4557599605269482</c:v>
                </c:pt>
                <c:pt idx="228">
                  <c:v>-2.4934517198591748</c:v>
                </c:pt>
                <c:pt idx="229">
                  <c:v>-2.5681925288740999</c:v>
                </c:pt>
                <c:pt idx="230">
                  <c:v>-2.469344259123583</c:v>
                </c:pt>
                <c:pt idx="231">
                  <c:v>-2.3785907937267066</c:v>
                </c:pt>
                <c:pt idx="232">
                  <c:v>-2.2924563609203297</c:v>
                </c:pt>
                <c:pt idx="233">
                  <c:v>-2.3382709382579407</c:v>
                </c:pt>
                <c:pt idx="234">
                  <c:v>-2.3432823663331388</c:v>
                </c:pt>
                <c:pt idx="235">
                  <c:v>-2.2696404051580235</c:v>
                </c:pt>
                <c:pt idx="236">
                  <c:v>-2.2614329570511669</c:v>
                </c:pt>
                <c:pt idx="237">
                  <c:v>-2.2551308569303616</c:v>
                </c:pt>
                <c:pt idx="238">
                  <c:v>-2.2487019532842902</c:v>
                </c:pt>
                <c:pt idx="239">
                  <c:v>-2.2671686623842904</c:v>
                </c:pt>
                <c:pt idx="240">
                  <c:v>-2.3225968272880473</c:v>
                </c:pt>
                <c:pt idx="241">
                  <c:v>-2.3363456108567715</c:v>
                </c:pt>
                <c:pt idx="242">
                  <c:v>-2.3634206812789524</c:v>
                </c:pt>
                <c:pt idx="243">
                  <c:v>-2.3851348802202326</c:v>
                </c:pt>
                <c:pt idx="244">
                  <c:v>-2.3581513529716776</c:v>
                </c:pt>
                <c:pt idx="245">
                  <c:v>-2.3330259127571495</c:v>
                </c:pt>
                <c:pt idx="246">
                  <c:v>-2.3538885739475131</c:v>
                </c:pt>
                <c:pt idx="247">
                  <c:v>-2.449245293573477</c:v>
                </c:pt>
                <c:pt idx="248">
                  <c:v>-2.4536433715059007</c:v>
                </c:pt>
                <c:pt idx="249">
                  <c:v>-2.6144587964850587</c:v>
                </c:pt>
                <c:pt idx="250">
                  <c:v>-2.5986881554108541</c:v>
                </c:pt>
                <c:pt idx="251">
                  <c:v>-2.4148877583281481</c:v>
                </c:pt>
                <c:pt idx="252">
                  <c:v>-2.4545179791199656</c:v>
                </c:pt>
                <c:pt idx="253">
                  <c:v>-2.5622286746278666</c:v>
                </c:pt>
                <c:pt idx="254">
                  <c:v>-2.4906122770518277</c:v>
                </c:pt>
                <c:pt idx="255">
                  <c:v>-2.5120561971430599</c:v>
                </c:pt>
                <c:pt idx="256">
                  <c:v>-2.3860500936495121</c:v>
                </c:pt>
                <c:pt idx="257">
                  <c:v>-2.3729339091992308</c:v>
                </c:pt>
                <c:pt idx="258">
                  <c:v>-2.3353821739816056</c:v>
                </c:pt>
                <c:pt idx="259">
                  <c:v>-2.3802136740331754</c:v>
                </c:pt>
                <c:pt idx="260">
                  <c:v>-2.4000850353046137</c:v>
                </c:pt>
                <c:pt idx="261">
                  <c:v>-2.3127229849203097</c:v>
                </c:pt>
                <c:pt idx="262">
                  <c:v>-2.4042509950543125</c:v>
                </c:pt>
                <c:pt idx="263">
                  <c:v>-2.3216405390523183</c:v>
                </c:pt>
                <c:pt idx="264">
                  <c:v>-2.2916355914972222</c:v>
                </c:pt>
                <c:pt idx="265">
                  <c:v>-2.2392710846952775</c:v>
                </c:pt>
                <c:pt idx="266">
                  <c:v>-1.3871338954416852</c:v>
                </c:pt>
                <c:pt idx="267">
                  <c:v>-1.5036921662518308</c:v>
                </c:pt>
                <c:pt idx="268">
                  <c:v>-1.5933032584325839</c:v>
                </c:pt>
                <c:pt idx="269">
                  <c:v>-1.4719663559024871</c:v>
                </c:pt>
                <c:pt idx="270">
                  <c:v>-1.4672717669953412</c:v>
                </c:pt>
                <c:pt idx="271">
                  <c:v>-1.4888490650483168</c:v>
                </c:pt>
                <c:pt idx="272">
                  <c:v>-1.5093003605252071</c:v>
                </c:pt>
                <c:pt idx="273">
                  <c:v>-1.57751929522713</c:v>
                </c:pt>
                <c:pt idx="274">
                  <c:v>-1.567635136167584</c:v>
                </c:pt>
                <c:pt idx="275">
                  <c:v>-1.53490186872254</c:v>
                </c:pt>
                <c:pt idx="276">
                  <c:v>-1.6278914784900451</c:v>
                </c:pt>
                <c:pt idx="277">
                  <c:v>-1.7334332317566703</c:v>
                </c:pt>
                <c:pt idx="278">
                  <c:v>-1.7605803107707132</c:v>
                </c:pt>
                <c:pt idx="279">
                  <c:v>-1.6874903229563691</c:v>
                </c:pt>
                <c:pt idx="280">
                  <c:v>-1.7562798278077025</c:v>
                </c:pt>
                <c:pt idx="281">
                  <c:v>-1.6246494002763681</c:v>
                </c:pt>
                <c:pt idx="282">
                  <c:v>-1.4079546987564371</c:v>
                </c:pt>
                <c:pt idx="283">
                  <c:v>-1.8185406371167199</c:v>
                </c:pt>
                <c:pt idx="284">
                  <c:v>-1.7521763944684599</c:v>
                </c:pt>
                <c:pt idx="285">
                  <c:v>-1.7318766645775787</c:v>
                </c:pt>
                <c:pt idx="286">
                  <c:v>-1.7256030783989793</c:v>
                </c:pt>
                <c:pt idx="287">
                  <c:v>-1.6802519664370579</c:v>
                </c:pt>
                <c:pt idx="288">
                  <c:v>-1.8079539576697767</c:v>
                </c:pt>
                <c:pt idx="289">
                  <c:v>-1.7964187298622039</c:v>
                </c:pt>
                <c:pt idx="290">
                  <c:v>-1.7195861928934233</c:v>
                </c:pt>
                <c:pt idx="291">
                  <c:v>-1.6435981035194258</c:v>
                </c:pt>
                <c:pt idx="292">
                  <c:v>-2.0040710462889888</c:v>
                </c:pt>
                <c:pt idx="293">
                  <c:v>1.5166286521741803</c:v>
                </c:pt>
                <c:pt idx="294">
                  <c:v>0.80790786511407353</c:v>
                </c:pt>
                <c:pt idx="295">
                  <c:v>0.70481507647912045</c:v>
                </c:pt>
                <c:pt idx="296">
                  <c:v>0.7274572529114175</c:v>
                </c:pt>
                <c:pt idx="297">
                  <c:v>0.73456675026141738</c:v>
                </c:pt>
                <c:pt idx="298">
                  <c:v>0.8313464674771518</c:v>
                </c:pt>
                <c:pt idx="299">
                  <c:v>0.6913164278887306</c:v>
                </c:pt>
                <c:pt idx="300">
                  <c:v>0.74581583855470857</c:v>
                </c:pt>
                <c:pt idx="301">
                  <c:v>0.73837401107570499</c:v>
                </c:pt>
                <c:pt idx="302">
                  <c:v>0.74880184855864673</c:v>
                </c:pt>
                <c:pt idx="303">
                  <c:v>0.7942873342673844</c:v>
                </c:pt>
                <c:pt idx="304">
                  <c:v>0.71370778229928344</c:v>
                </c:pt>
                <c:pt idx="305">
                  <c:v>0.58141596770092607</c:v>
                </c:pt>
                <c:pt idx="306">
                  <c:v>0.55363670146395894</c:v>
                </c:pt>
                <c:pt idx="307">
                  <c:v>0.44775751577130252</c:v>
                </c:pt>
                <c:pt idx="308">
                  <c:v>0.41852380099820058</c:v>
                </c:pt>
                <c:pt idx="309">
                  <c:v>0.4204629764249167</c:v>
                </c:pt>
                <c:pt idx="310">
                  <c:v>0.46578658892373181</c:v>
                </c:pt>
                <c:pt idx="311">
                  <c:v>0.39058485614649918</c:v>
                </c:pt>
                <c:pt idx="312">
                  <c:v>0.41446750137888311</c:v>
                </c:pt>
                <c:pt idx="313">
                  <c:v>0.40178699435336573</c:v>
                </c:pt>
                <c:pt idx="314">
                  <c:v>0.6951622224901971</c:v>
                </c:pt>
                <c:pt idx="315">
                  <c:v>0.65072233450758843</c:v>
                </c:pt>
                <c:pt idx="316">
                  <c:v>0.61835556335617725</c:v>
                </c:pt>
                <c:pt idx="317">
                  <c:v>0.63792280212040464</c:v>
                </c:pt>
                <c:pt idx="318">
                  <c:v>0.5881167701469826</c:v>
                </c:pt>
                <c:pt idx="319">
                  <c:v>0.59672577560806361</c:v>
                </c:pt>
                <c:pt idx="320">
                  <c:v>0.6247299156506011</c:v>
                </c:pt>
                <c:pt idx="321">
                  <c:v>0.61797810391449415</c:v>
                </c:pt>
                <c:pt idx="322">
                  <c:v>0.59910873151985811</c:v>
                </c:pt>
                <c:pt idx="323">
                  <c:v>0.56397087849616745</c:v>
                </c:pt>
                <c:pt idx="324">
                  <c:v>0.5871160321667136</c:v>
                </c:pt>
                <c:pt idx="325">
                  <c:v>0.55176848322045735</c:v>
                </c:pt>
                <c:pt idx="326">
                  <c:v>0.51160019077778018</c:v>
                </c:pt>
                <c:pt idx="327">
                  <c:v>0.49808367051462232</c:v>
                </c:pt>
                <c:pt idx="328">
                  <c:v>0.46830941157108397</c:v>
                </c:pt>
                <c:pt idx="329">
                  <c:v>0.36528230110115495</c:v>
                </c:pt>
                <c:pt idx="330">
                  <c:v>0.32510377691038894</c:v>
                </c:pt>
                <c:pt idx="331">
                  <c:v>0.29098689368836228</c:v>
                </c:pt>
                <c:pt idx="332">
                  <c:v>0.28144055583989913</c:v>
                </c:pt>
                <c:pt idx="333">
                  <c:v>0.33347192665622138</c:v>
                </c:pt>
                <c:pt idx="334">
                  <c:v>0.33876087420597623</c:v>
                </c:pt>
                <c:pt idx="335">
                  <c:v>0.31777864539171247</c:v>
                </c:pt>
                <c:pt idx="336">
                  <c:v>0.29746961095268809</c:v>
                </c:pt>
                <c:pt idx="337">
                  <c:v>0.37708354822441525</c:v>
                </c:pt>
                <c:pt idx="338">
                  <c:v>0.41874028801728064</c:v>
                </c:pt>
                <c:pt idx="339">
                  <c:v>0.46115202785515136</c:v>
                </c:pt>
                <c:pt idx="340">
                  <c:v>0.4453602952913594</c:v>
                </c:pt>
                <c:pt idx="341">
                  <c:v>0.48591347186883577</c:v>
                </c:pt>
                <c:pt idx="342">
                  <c:v>0.52853644820698487</c:v>
                </c:pt>
                <c:pt idx="343">
                  <c:v>0.49495139681138905</c:v>
                </c:pt>
                <c:pt idx="344">
                  <c:v>0.31024032143726143</c:v>
                </c:pt>
                <c:pt idx="345">
                  <c:v>0.27738991999553492</c:v>
                </c:pt>
                <c:pt idx="346">
                  <c:v>0.37710342318933365</c:v>
                </c:pt>
                <c:pt idx="347">
                  <c:v>-0.1023358308348038</c:v>
                </c:pt>
                <c:pt idx="348">
                  <c:v>-7.2046051235034436E-2</c:v>
                </c:pt>
                <c:pt idx="349">
                  <c:v>-0.13614717374052882</c:v>
                </c:pt>
                <c:pt idx="350">
                  <c:v>-0.20979927526998193</c:v>
                </c:pt>
                <c:pt idx="351">
                  <c:v>-0.30603487620153119</c:v>
                </c:pt>
                <c:pt idx="352">
                  <c:v>-0.29295987265453033</c:v>
                </c:pt>
                <c:pt idx="353">
                  <c:v>-0.25914985228912218</c:v>
                </c:pt>
                <c:pt idx="354">
                  <c:v>-0.23259049001998644</c:v>
                </c:pt>
                <c:pt idx="355">
                  <c:v>-0.20955669055245399</c:v>
                </c:pt>
                <c:pt idx="356">
                  <c:v>-0.26767644480287012</c:v>
                </c:pt>
                <c:pt idx="357">
                  <c:v>-0.3718764762441451</c:v>
                </c:pt>
                <c:pt idx="358">
                  <c:v>-0.36573661741315933</c:v>
                </c:pt>
                <c:pt idx="359">
                  <c:v>-0.39844494378310136</c:v>
                </c:pt>
                <c:pt idx="360">
                  <c:v>-0.39779222035026551</c:v>
                </c:pt>
                <c:pt idx="361">
                  <c:v>-0.43557104308790806</c:v>
                </c:pt>
                <c:pt idx="362">
                  <c:v>-0.44636853830522549</c:v>
                </c:pt>
                <c:pt idx="363">
                  <c:v>-0.48680929099532605</c:v>
                </c:pt>
                <c:pt idx="364">
                  <c:v>-0.4059279514752514</c:v>
                </c:pt>
                <c:pt idx="365">
                  <c:v>-0.43193552795995149</c:v>
                </c:pt>
                <c:pt idx="366">
                  <c:v>-0.41583373158901471</c:v>
                </c:pt>
                <c:pt idx="367">
                  <c:v>-0.42305216019218922</c:v>
                </c:pt>
                <c:pt idx="368">
                  <c:v>-0.41359488762361069</c:v>
                </c:pt>
                <c:pt idx="369">
                  <c:v>-0.42035820664608264</c:v>
                </c:pt>
                <c:pt idx="370">
                  <c:v>-0.41744936552458739</c:v>
                </c:pt>
                <c:pt idx="371">
                  <c:v>-0.45099925021960646</c:v>
                </c:pt>
                <c:pt idx="372">
                  <c:v>-0.40900806587287275</c:v>
                </c:pt>
                <c:pt idx="373">
                  <c:v>-0.42935933862069875</c:v>
                </c:pt>
                <c:pt idx="374">
                  <c:v>-0.41803440530291425</c:v>
                </c:pt>
                <c:pt idx="375">
                  <c:v>-0.46040331965972886</c:v>
                </c:pt>
                <c:pt idx="376">
                  <c:v>-0.46896914756052605</c:v>
                </c:pt>
                <c:pt idx="377">
                  <c:v>-0.48430244067914208</c:v>
                </c:pt>
                <c:pt idx="378">
                  <c:v>-0.48029742338713916</c:v>
                </c:pt>
                <c:pt idx="379">
                  <c:v>-0.4565213909598046</c:v>
                </c:pt>
                <c:pt idx="380">
                  <c:v>-0.47971545345980465</c:v>
                </c:pt>
                <c:pt idx="381">
                  <c:v>-0.47699653207909398</c:v>
                </c:pt>
                <c:pt idx="382">
                  <c:v>-0.47118993246686586</c:v>
                </c:pt>
                <c:pt idx="383">
                  <c:v>-0.46246716557502521</c:v>
                </c:pt>
                <c:pt idx="384">
                  <c:v>-0.51667369407862229</c:v>
                </c:pt>
                <c:pt idx="385">
                  <c:v>-0.51663734152243856</c:v>
                </c:pt>
                <c:pt idx="386">
                  <c:v>-0.5516463199122148</c:v>
                </c:pt>
                <c:pt idx="387">
                  <c:v>-0.58647838403363373</c:v>
                </c:pt>
                <c:pt idx="388">
                  <c:v>-0.60574336142493801</c:v>
                </c:pt>
                <c:pt idx="389">
                  <c:v>-0.59389887668254593</c:v>
                </c:pt>
                <c:pt idx="390">
                  <c:v>-0.60035386954603798</c:v>
                </c:pt>
                <c:pt idx="391">
                  <c:v>-0.55987615375006827</c:v>
                </c:pt>
                <c:pt idx="392">
                  <c:v>-0.56448856567089445</c:v>
                </c:pt>
                <c:pt idx="393">
                  <c:v>-0.56876181274675663</c:v>
                </c:pt>
                <c:pt idx="394">
                  <c:v>-0.56357040624773502</c:v>
                </c:pt>
                <c:pt idx="395">
                  <c:v>-0.56317338685395268</c:v>
                </c:pt>
                <c:pt idx="396">
                  <c:v>-0.55219055323173039</c:v>
                </c:pt>
                <c:pt idx="397">
                  <c:v>-0.53430336273387635</c:v>
                </c:pt>
                <c:pt idx="398">
                  <c:v>-0.54231360594382116</c:v>
                </c:pt>
                <c:pt idx="399">
                  <c:v>-0.53733178199253562</c:v>
                </c:pt>
                <c:pt idx="400">
                  <c:v>-0.56512045799253563</c:v>
                </c:pt>
                <c:pt idx="401">
                  <c:v>-0.54856392848288316</c:v>
                </c:pt>
                <c:pt idx="402">
                  <c:v>-0.55656430377700072</c:v>
                </c:pt>
                <c:pt idx="403">
                  <c:v>-0.54170419373066159</c:v>
                </c:pt>
                <c:pt idx="404">
                  <c:v>-0.43714341701148346</c:v>
                </c:pt>
                <c:pt idx="405">
                  <c:v>-0.42482407633854236</c:v>
                </c:pt>
                <c:pt idx="406">
                  <c:v>-0.42915038592635585</c:v>
                </c:pt>
                <c:pt idx="407">
                  <c:v>-0.40475612453708498</c:v>
                </c:pt>
                <c:pt idx="408">
                  <c:v>-0.43292001703348792</c:v>
                </c:pt>
                <c:pt idx="409">
                  <c:v>-0.39593241629692882</c:v>
                </c:pt>
                <c:pt idx="410">
                  <c:v>-0.40450260449692882</c:v>
                </c:pt>
                <c:pt idx="411">
                  <c:v>-0.41866968500397117</c:v>
                </c:pt>
                <c:pt idx="412">
                  <c:v>-0.38288480622023729</c:v>
                </c:pt>
                <c:pt idx="413">
                  <c:v>-0.36402235126653359</c:v>
                </c:pt>
                <c:pt idx="414">
                  <c:v>-0.35605822655031738</c:v>
                </c:pt>
                <c:pt idx="415">
                  <c:v>-0.36429833495292896</c:v>
                </c:pt>
                <c:pt idx="416">
                  <c:v>-0.35117078139858116</c:v>
                </c:pt>
                <c:pt idx="417">
                  <c:v>-0.31701181467089218</c:v>
                </c:pt>
                <c:pt idx="418">
                  <c:v>-0.31916234916603786</c:v>
                </c:pt>
                <c:pt idx="419">
                  <c:v>-0.33218484066940862</c:v>
                </c:pt>
                <c:pt idx="420">
                  <c:v>-0.31024777655163088</c:v>
                </c:pt>
                <c:pt idx="421">
                  <c:v>-0.309695568786925</c:v>
                </c:pt>
                <c:pt idx="422">
                  <c:v>-0.32806915513340873</c:v>
                </c:pt>
                <c:pt idx="423">
                  <c:v>-0.30430079570518492</c:v>
                </c:pt>
                <c:pt idx="424">
                  <c:v>-0.27887247814164895</c:v>
                </c:pt>
                <c:pt idx="425">
                  <c:v>-0.26960645612330036</c:v>
                </c:pt>
                <c:pt idx="426">
                  <c:v>-0.30222733888436237</c:v>
                </c:pt>
                <c:pt idx="427">
                  <c:v>-0.31583590545092582</c:v>
                </c:pt>
                <c:pt idx="428">
                  <c:v>-8.9951023349644735E-2</c:v>
                </c:pt>
                <c:pt idx="429">
                  <c:v>-8.0753636618638575E-2</c:v>
                </c:pt>
                <c:pt idx="430">
                  <c:v>-0.12105971856575395</c:v>
                </c:pt>
                <c:pt idx="431">
                  <c:v>-0.15680701141159578</c:v>
                </c:pt>
                <c:pt idx="432">
                  <c:v>-0.1626543442115958</c:v>
                </c:pt>
                <c:pt idx="433">
                  <c:v>-0.18716460543801092</c:v>
                </c:pt>
                <c:pt idx="434">
                  <c:v>-0.19379688390739866</c:v>
                </c:pt>
                <c:pt idx="435">
                  <c:v>-0.20589045840739859</c:v>
                </c:pt>
                <c:pt idx="436">
                  <c:v>-0.19999706049959723</c:v>
                </c:pt>
                <c:pt idx="437">
                  <c:v>-0.19338691227296836</c:v>
                </c:pt>
                <c:pt idx="438">
                  <c:v>-0.19555383188835293</c:v>
                </c:pt>
                <c:pt idx="439">
                  <c:v>-0.18097774873571107</c:v>
                </c:pt>
                <c:pt idx="440">
                  <c:v>-0.18064295216769197</c:v>
                </c:pt>
                <c:pt idx="441">
                  <c:v>-0.20708583200274333</c:v>
                </c:pt>
                <c:pt idx="442">
                  <c:v>-0.19563161471983018</c:v>
                </c:pt>
                <c:pt idx="443">
                  <c:v>-0.18319464808085251</c:v>
                </c:pt>
                <c:pt idx="444">
                  <c:v>-0.18167255386844203</c:v>
                </c:pt>
                <c:pt idx="445">
                  <c:v>-0.21019417668805865</c:v>
                </c:pt>
                <c:pt idx="446">
                  <c:v>-0.21671661748971158</c:v>
                </c:pt>
                <c:pt idx="447">
                  <c:v>-0.20346093417144759</c:v>
                </c:pt>
                <c:pt idx="448">
                  <c:v>-0.20912457161716913</c:v>
                </c:pt>
                <c:pt idx="449">
                  <c:v>-0.22088208541404408</c:v>
                </c:pt>
                <c:pt idx="450">
                  <c:v>-0.23149046237056581</c:v>
                </c:pt>
                <c:pt idx="451">
                  <c:v>-0.22440434969760981</c:v>
                </c:pt>
                <c:pt idx="452">
                  <c:v>1.6171376729501571E-2</c:v>
                </c:pt>
                <c:pt idx="453">
                  <c:v>1.280370660993636E-2</c:v>
                </c:pt>
                <c:pt idx="454">
                  <c:v>1.4568465613984907E-2</c:v>
                </c:pt>
                <c:pt idx="455">
                  <c:v>2.0997795265147706E-2</c:v>
                </c:pt>
                <c:pt idx="456">
                  <c:v>2.6529379060019481E-2</c:v>
                </c:pt>
                <c:pt idx="457">
                  <c:v>3.4620664970083731E-2</c:v>
                </c:pt>
                <c:pt idx="458">
                  <c:v>4.0681895091798821E-2</c:v>
                </c:pt>
                <c:pt idx="459">
                  <c:v>4.1445141014647482E-2</c:v>
                </c:pt>
                <c:pt idx="460">
                  <c:v>4.625166889229454E-2</c:v>
                </c:pt>
                <c:pt idx="461">
                  <c:v>4.5725466639394349E-2</c:v>
                </c:pt>
                <c:pt idx="462">
                  <c:v>6.2257826759223173E-2</c:v>
                </c:pt>
                <c:pt idx="463">
                  <c:v>6.0853692031950443E-2</c:v>
                </c:pt>
                <c:pt idx="464">
                  <c:v>5.3156319661023139E-2</c:v>
                </c:pt>
                <c:pt idx="465">
                  <c:v>5.7657961745990458E-2</c:v>
                </c:pt>
                <c:pt idx="466">
                  <c:v>5.4207950114020201E-2</c:v>
                </c:pt>
                <c:pt idx="467">
                  <c:v>8.2219684641240839E-2</c:v>
                </c:pt>
                <c:pt idx="468">
                  <c:v>7.7410935000615869E-2</c:v>
                </c:pt>
                <c:pt idx="469">
                  <c:v>8.3634473715349419E-2</c:v>
                </c:pt>
                <c:pt idx="470">
                  <c:v>8.4411530988076675E-2</c:v>
                </c:pt>
                <c:pt idx="471">
                  <c:v>8.7582525964753077E-2</c:v>
                </c:pt>
                <c:pt idx="472">
                  <c:v>8.9673059268031735E-2</c:v>
                </c:pt>
                <c:pt idx="473">
                  <c:v>9.2176848838454256E-2</c:v>
                </c:pt>
                <c:pt idx="474">
                  <c:v>0.14716515168567651</c:v>
                </c:pt>
                <c:pt idx="475">
                  <c:v>0.14544520735415475</c:v>
                </c:pt>
                <c:pt idx="476">
                  <c:v>0.1307386898227082</c:v>
                </c:pt>
                <c:pt idx="477">
                  <c:v>0.12620364206962181</c:v>
                </c:pt>
                <c:pt idx="478">
                  <c:v>0.13026157663965438</c:v>
                </c:pt>
                <c:pt idx="479">
                  <c:v>0.138435628316673</c:v>
                </c:pt>
                <c:pt idx="480">
                  <c:v>0.14262821783123611</c:v>
                </c:pt>
                <c:pt idx="481">
                  <c:v>0.14177336287698769</c:v>
                </c:pt>
                <c:pt idx="482">
                  <c:v>0.14795679799019523</c:v>
                </c:pt>
                <c:pt idx="483">
                  <c:v>0.14941445335472728</c:v>
                </c:pt>
                <c:pt idx="484">
                  <c:v>0.15798223370766845</c:v>
                </c:pt>
                <c:pt idx="485">
                  <c:v>0.1610145323904271</c:v>
                </c:pt>
                <c:pt idx="486">
                  <c:v>0.1567775498189985</c:v>
                </c:pt>
                <c:pt idx="487">
                  <c:v>0.1922442771076118</c:v>
                </c:pt>
                <c:pt idx="488">
                  <c:v>0.19425300922189748</c:v>
                </c:pt>
                <c:pt idx="489">
                  <c:v>0.18983922387164362</c:v>
                </c:pt>
                <c:pt idx="490">
                  <c:v>0.17816809964451424</c:v>
                </c:pt>
                <c:pt idx="491">
                  <c:v>0.16406562064451424</c:v>
                </c:pt>
                <c:pt idx="492">
                  <c:v>0.19331727692146281</c:v>
                </c:pt>
                <c:pt idx="493">
                  <c:v>0.2161267197804371</c:v>
                </c:pt>
                <c:pt idx="494">
                  <c:v>0.23944915058929681</c:v>
                </c:pt>
                <c:pt idx="495">
                  <c:v>0.26241352339927776</c:v>
                </c:pt>
                <c:pt idx="496">
                  <c:v>0.2666450672798748</c:v>
                </c:pt>
                <c:pt idx="497">
                  <c:v>0.28702514394602641</c:v>
                </c:pt>
                <c:pt idx="498">
                  <c:v>0.25236226740617679</c:v>
                </c:pt>
                <c:pt idx="499">
                  <c:v>0.25118993503609804</c:v>
                </c:pt>
                <c:pt idx="500">
                  <c:v>0.28453120986127289</c:v>
                </c:pt>
                <c:pt idx="501">
                  <c:v>0.27507378521262427</c:v>
                </c:pt>
                <c:pt idx="502">
                  <c:v>0.2886508596615221</c:v>
                </c:pt>
                <c:pt idx="503">
                  <c:v>0.28777126342055809</c:v>
                </c:pt>
                <c:pt idx="504">
                  <c:v>0.21474740186632091</c:v>
                </c:pt>
                <c:pt idx="505">
                  <c:v>0.1385246907552099</c:v>
                </c:pt>
                <c:pt idx="506">
                  <c:v>0.10094726160589758</c:v>
                </c:pt>
                <c:pt idx="507">
                  <c:v>0.14502069585633851</c:v>
                </c:pt>
                <c:pt idx="508">
                  <c:v>0.1212328128532616</c:v>
                </c:pt>
                <c:pt idx="509">
                  <c:v>9.2045881401797827E-2</c:v>
                </c:pt>
                <c:pt idx="510">
                  <c:v>0.10242463338059642</c:v>
                </c:pt>
                <c:pt idx="511">
                  <c:v>8.2553822041938313E-2</c:v>
                </c:pt>
                <c:pt idx="512">
                  <c:v>0.13060733922959025</c:v>
                </c:pt>
                <c:pt idx="513">
                  <c:v>0.14013054527076677</c:v>
                </c:pt>
                <c:pt idx="514">
                  <c:v>0.163119879809698</c:v>
                </c:pt>
                <c:pt idx="515">
                  <c:v>0.17554640614007491</c:v>
                </c:pt>
                <c:pt idx="516">
                  <c:v>0.14327633344668536</c:v>
                </c:pt>
                <c:pt idx="517">
                  <c:v>9.5464896687259784E-2</c:v>
                </c:pt>
                <c:pt idx="518">
                  <c:v>0.12805361157573564</c:v>
                </c:pt>
                <c:pt idx="519">
                  <c:v>0.15126129277900491</c:v>
                </c:pt>
                <c:pt idx="520">
                  <c:v>5.551462957918309E-3</c:v>
                </c:pt>
                <c:pt idx="521">
                  <c:v>-9.0555840927262959E-2</c:v>
                </c:pt>
                <c:pt idx="522">
                  <c:v>-0.127460133127824</c:v>
                </c:pt>
                <c:pt idx="523">
                  <c:v>-0.15728798789453813</c:v>
                </c:pt>
                <c:pt idx="524">
                  <c:v>-0.26351808555060025</c:v>
                </c:pt>
                <c:pt idx="525">
                  <c:v>-0.20370119848328064</c:v>
                </c:pt>
                <c:pt idx="526">
                  <c:v>-0.27532746708304984</c:v>
                </c:pt>
                <c:pt idx="527">
                  <c:v>-0.23338218172883662</c:v>
                </c:pt>
                <c:pt idx="528">
                  <c:v>-0.26268513772274382</c:v>
                </c:pt>
                <c:pt idx="529">
                  <c:v>-0.23961605107204786</c:v>
                </c:pt>
                <c:pt idx="530">
                  <c:v>-0.27009800883100565</c:v>
                </c:pt>
                <c:pt idx="531">
                  <c:v>-0.26185172487545016</c:v>
                </c:pt>
                <c:pt idx="532">
                  <c:v>-0.22885862996834672</c:v>
                </c:pt>
                <c:pt idx="533">
                  <c:v>-0.24717925576644675</c:v>
                </c:pt>
                <c:pt idx="534">
                  <c:v>-0.36465334476881095</c:v>
                </c:pt>
                <c:pt idx="535">
                  <c:v>-0.20434264858237017</c:v>
                </c:pt>
                <c:pt idx="536">
                  <c:v>-0.34654399815067649</c:v>
                </c:pt>
                <c:pt idx="537">
                  <c:v>-0.4080560645777323</c:v>
                </c:pt>
                <c:pt idx="538">
                  <c:v>-0.37878618938532022</c:v>
                </c:pt>
                <c:pt idx="539">
                  <c:v>-0.42340604197068604</c:v>
                </c:pt>
                <c:pt idx="540">
                  <c:v>-0.48732284721558394</c:v>
                </c:pt>
                <c:pt idx="541">
                  <c:v>-0.51207655990558387</c:v>
                </c:pt>
                <c:pt idx="542">
                  <c:v>-0.51652825723891715</c:v>
                </c:pt>
                <c:pt idx="543">
                  <c:v>-0.50947356072489847</c:v>
                </c:pt>
                <c:pt idx="544">
                  <c:v>-0.52571050812706266</c:v>
                </c:pt>
                <c:pt idx="545">
                  <c:v>-0.53091481181047973</c:v>
                </c:pt>
                <c:pt idx="546">
                  <c:v>-0.53339325346088617</c:v>
                </c:pt>
                <c:pt idx="547">
                  <c:v>-0.50805483692976039</c:v>
                </c:pt>
                <c:pt idx="548">
                  <c:v>-0.52371629627146887</c:v>
                </c:pt>
                <c:pt idx="549">
                  <c:v>-0.52717455127146884</c:v>
                </c:pt>
                <c:pt idx="550">
                  <c:v>-0.5467585405626606</c:v>
                </c:pt>
                <c:pt idx="551">
                  <c:v>-0.54321270382581854</c:v>
                </c:pt>
                <c:pt idx="552">
                  <c:v>-0.53947039054995649</c:v>
                </c:pt>
                <c:pt idx="553">
                  <c:v>-0.52644693814995647</c:v>
                </c:pt>
                <c:pt idx="554">
                  <c:v>-0.55166793280049431</c:v>
                </c:pt>
                <c:pt idx="555">
                  <c:v>-0.52750573205700002</c:v>
                </c:pt>
                <c:pt idx="556">
                  <c:v>-0.53064721269871118</c:v>
                </c:pt>
                <c:pt idx="557">
                  <c:v>-0.56722029337956226</c:v>
                </c:pt>
                <c:pt idx="558">
                  <c:v>-0.55263240924983248</c:v>
                </c:pt>
                <c:pt idx="559">
                  <c:v>-0.58044603022351671</c:v>
                </c:pt>
                <c:pt idx="560">
                  <c:v>-0.51792226610586978</c:v>
                </c:pt>
                <c:pt idx="561">
                  <c:v>-0.59316802129225776</c:v>
                </c:pt>
                <c:pt idx="562">
                  <c:v>-0.60488760901477079</c:v>
                </c:pt>
                <c:pt idx="563">
                  <c:v>-0.60396430835697601</c:v>
                </c:pt>
                <c:pt idx="564">
                  <c:v>-0.57508860635697601</c:v>
                </c:pt>
                <c:pt idx="565">
                  <c:v>-0.57310410025144831</c:v>
                </c:pt>
                <c:pt idx="566">
                  <c:v>-0.57689957962303307</c:v>
                </c:pt>
                <c:pt idx="567">
                  <c:v>-0.58488537085437642</c:v>
                </c:pt>
                <c:pt idx="568">
                  <c:v>-0.58277167867163515</c:v>
                </c:pt>
                <c:pt idx="569">
                  <c:v>-0.60478068235010929</c:v>
                </c:pt>
                <c:pt idx="570">
                  <c:v>-0.59806023172047973</c:v>
                </c:pt>
                <c:pt idx="571">
                  <c:v>-0.60496284539116241</c:v>
                </c:pt>
                <c:pt idx="572">
                  <c:v>-0.62635246979116244</c:v>
                </c:pt>
                <c:pt idx="573">
                  <c:v>-0.61462671371973387</c:v>
                </c:pt>
                <c:pt idx="574">
                  <c:v>-0.62102198952461185</c:v>
                </c:pt>
                <c:pt idx="575">
                  <c:v>-0.61794087452461177</c:v>
                </c:pt>
                <c:pt idx="576">
                  <c:v>-0.61823203952461192</c:v>
                </c:pt>
                <c:pt idx="577">
                  <c:v>-0.61417192372974017</c:v>
                </c:pt>
                <c:pt idx="578">
                  <c:v>-0.61609156540062615</c:v>
                </c:pt>
                <c:pt idx="579">
                  <c:v>-0.62179185649249891</c:v>
                </c:pt>
                <c:pt idx="580">
                  <c:v>-0.61176207752698164</c:v>
                </c:pt>
                <c:pt idx="581">
                  <c:v>-0.60737961106973271</c:v>
                </c:pt>
                <c:pt idx="582">
                  <c:v>-0.60409234328427819</c:v>
                </c:pt>
                <c:pt idx="583">
                  <c:v>-0.59531561006895717</c:v>
                </c:pt>
                <c:pt idx="584">
                  <c:v>-0.57804764677443665</c:v>
                </c:pt>
                <c:pt idx="585">
                  <c:v>-0.58033017050777003</c:v>
                </c:pt>
                <c:pt idx="586">
                  <c:v>-0.57928644903408577</c:v>
                </c:pt>
                <c:pt idx="587">
                  <c:v>-0.57957403014698905</c:v>
                </c:pt>
                <c:pt idx="588">
                  <c:v>-0.57645143480864303</c:v>
                </c:pt>
                <c:pt idx="589">
                  <c:v>-0.58390747327018155</c:v>
                </c:pt>
                <c:pt idx="590">
                  <c:v>-0.59164624792513376</c:v>
                </c:pt>
                <c:pt idx="591">
                  <c:v>-0.58712910878227653</c:v>
                </c:pt>
                <c:pt idx="592">
                  <c:v>-0.60510962733246243</c:v>
                </c:pt>
                <c:pt idx="593">
                  <c:v>-0.57734280001739391</c:v>
                </c:pt>
                <c:pt idx="594">
                  <c:v>-0.59346495180843861</c:v>
                </c:pt>
                <c:pt idx="595">
                  <c:v>-0.60721539524003787</c:v>
                </c:pt>
                <c:pt idx="596">
                  <c:v>-0.56013196124003783</c:v>
                </c:pt>
                <c:pt idx="597">
                  <c:v>-0.56979904441395091</c:v>
                </c:pt>
                <c:pt idx="598">
                  <c:v>-0.57186124824235318</c:v>
                </c:pt>
                <c:pt idx="599">
                  <c:v>-0.5859339283131747</c:v>
                </c:pt>
                <c:pt idx="600">
                  <c:v>-0.58687557609508967</c:v>
                </c:pt>
                <c:pt idx="601">
                  <c:v>-0.59084499792117662</c:v>
                </c:pt>
                <c:pt idx="602">
                  <c:v>-0.57840101211036588</c:v>
                </c:pt>
                <c:pt idx="603">
                  <c:v>-0.59866536856330699</c:v>
                </c:pt>
                <c:pt idx="604">
                  <c:v>-0.59771853668640529</c:v>
                </c:pt>
                <c:pt idx="605">
                  <c:v>-0.59265978110993467</c:v>
                </c:pt>
                <c:pt idx="606">
                  <c:v>-0.6049338810986139</c:v>
                </c:pt>
                <c:pt idx="607">
                  <c:v>-0.53674062223000074</c:v>
                </c:pt>
                <c:pt idx="608">
                  <c:v>-0.5402084665633341</c:v>
                </c:pt>
                <c:pt idx="609">
                  <c:v>-0.5500755421996979</c:v>
                </c:pt>
                <c:pt idx="610">
                  <c:v>-0.54620582897520809</c:v>
                </c:pt>
                <c:pt idx="611">
                  <c:v>-0.52659201062146654</c:v>
                </c:pt>
                <c:pt idx="612">
                  <c:v>-0.51044666181595877</c:v>
                </c:pt>
                <c:pt idx="613">
                  <c:v>-0.55804638434902498</c:v>
                </c:pt>
                <c:pt idx="614">
                  <c:v>-0.43091865565538318</c:v>
                </c:pt>
                <c:pt idx="615">
                  <c:v>-0.21974987643414462</c:v>
                </c:pt>
                <c:pt idx="616">
                  <c:v>-1.2177835724767609E-3</c:v>
                </c:pt>
                <c:pt idx="617">
                  <c:v>-7.9317318689681475E-4</c:v>
                </c:pt>
                <c:pt idx="618">
                  <c:v>-1.8370260486854403E-3</c:v>
                </c:pt>
                <c:pt idx="619">
                  <c:v>-1.3843648048685439E-2</c:v>
                </c:pt>
                <c:pt idx="620">
                  <c:v>-1.307382207993541E-2</c:v>
                </c:pt>
                <c:pt idx="621">
                  <c:v>-1.2441941845036046E-2</c:v>
                </c:pt>
                <c:pt idx="622">
                  <c:v>-1.2696887978369386E-2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E2-4FE1-A391-729FE67EE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2491615"/>
        <c:axId val="932495359"/>
      </c:lineChart>
      <c:dateAx>
        <c:axId val="9324916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495359"/>
        <c:crosses val="autoZero"/>
        <c:auto val="1"/>
        <c:lblOffset val="100"/>
        <c:baseTimeUnit val="days"/>
      </c:dateAx>
      <c:valAx>
        <c:axId val="932495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491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92CB8D3-ACDC-46E6-B8DA-1A87C2069698}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3DF7E9-68C8-427D-823F-693B2620B63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0.79</v>
      </c>
      <c r="D2" s="4">
        <f>MIN(D3:D1912)</f>
        <v>2.1190000000000001E-2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0.16850000000000001</v>
      </c>
      <c r="C5">
        <v>0.16930000000000001</v>
      </c>
      <c r="D5">
        <v>0.16259999999999999</v>
      </c>
      <c r="E5">
        <v>0.16300000000000001</v>
      </c>
      <c r="F5">
        <v>316503</v>
      </c>
      <c r="G5">
        <v>0.16300000000000001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-0.8805970149253699</v>
      </c>
      <c r="Q5">
        <f t="shared" ref="Q5" si="1">F5*P5</f>
        <v>-278711.59701492434</v>
      </c>
      <c r="R5">
        <f t="shared" ref="R5" si="2">R6+Q5</f>
        <v>-211128282.78979927</v>
      </c>
      <c r="S5">
        <f t="shared" ref="S5" si="3">R5/100000</f>
        <v>-2111.2828278979928</v>
      </c>
      <c r="T5">
        <f t="shared" ref="T5" si="4">S5/1000</f>
        <v>-2.1112828278979929</v>
      </c>
    </row>
    <row r="6" spans="1:20" x14ac:dyDescent="0.25">
      <c r="A6" s="5">
        <v>44587</v>
      </c>
      <c r="B6">
        <v>0.1673</v>
      </c>
      <c r="C6">
        <v>0.1797</v>
      </c>
      <c r="D6">
        <v>0.16089999999999999</v>
      </c>
      <c r="E6">
        <v>0.16839999999999999</v>
      </c>
      <c r="F6">
        <v>4506830</v>
      </c>
      <c r="G6">
        <v>0.16839999999999999</v>
      </c>
      <c r="L6" t="s">
        <v>7</v>
      </c>
      <c r="M6" t="s">
        <v>8</v>
      </c>
      <c r="N6" t="s">
        <v>7</v>
      </c>
      <c r="P6">
        <f t="shared" ref="P6" si="5">IF(C6=D6,0,((E6-D6)-(C6-E6))/(C6-D6))</f>
        <v>-0.20212765957446785</v>
      </c>
      <c r="Q6">
        <f t="shared" ref="Q6" si="6">F6*P6</f>
        <v>-910954.99999999895</v>
      </c>
      <c r="R6">
        <f t="shared" ref="R6" si="7">R7+Q6</f>
        <v>-210849571.19278434</v>
      </c>
      <c r="S6">
        <f t="shared" ref="S6" si="8">R6/100000</f>
        <v>-2108.4957119278433</v>
      </c>
      <c r="T6">
        <f t="shared" ref="T6" si="9">S6/1000</f>
        <v>-2.1084957119278434</v>
      </c>
    </row>
    <row r="7" spans="1:20" x14ac:dyDescent="0.25">
      <c r="A7" s="5">
        <v>44586</v>
      </c>
      <c r="B7">
        <v>0.16220000000000001</v>
      </c>
      <c r="C7">
        <v>0.18720000000000001</v>
      </c>
      <c r="D7">
        <v>0.16200000000000001</v>
      </c>
      <c r="E7">
        <v>0.1673</v>
      </c>
      <c r="F7">
        <v>11589997</v>
      </c>
      <c r="G7">
        <v>0.1673</v>
      </c>
      <c r="L7" t="s">
        <v>8</v>
      </c>
      <c r="M7" t="s">
        <v>8</v>
      </c>
      <c r="N7" t="s">
        <v>7</v>
      </c>
      <c r="P7">
        <f t="shared" ref="P7" si="10">IF(C7=D7,0,((E7-D7)-(C7-E7))/(C7-D7))</f>
        <v>-0.57936507936507942</v>
      </c>
      <c r="Q7">
        <f t="shared" ref="Q7" si="11">F7*P7</f>
        <v>-6714839.5317460326</v>
      </c>
      <c r="R7">
        <f t="shared" ref="R7" si="12">R8+Q7</f>
        <v>-209938616.19278434</v>
      </c>
      <c r="S7">
        <f t="shared" ref="S7" si="13">R7/100000</f>
        <v>-2099.3861619278432</v>
      </c>
      <c r="T7">
        <f t="shared" ref="T7" si="14">S7/1000</f>
        <v>-2.0993861619278431</v>
      </c>
    </row>
    <row r="8" spans="1:20" x14ac:dyDescent="0.25">
      <c r="A8" s="5">
        <v>44585</v>
      </c>
      <c r="B8">
        <v>0.16900000000000001</v>
      </c>
      <c r="C8">
        <v>0.1716</v>
      </c>
      <c r="D8">
        <v>0.1449</v>
      </c>
      <c r="E8">
        <v>0.1618</v>
      </c>
      <c r="F8">
        <v>6020142</v>
      </c>
      <c r="G8">
        <v>0.1618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0.2659176029962545</v>
      </c>
      <c r="Q8">
        <f t="shared" ref="Q8" si="16">F8*P8</f>
        <v>1600861.7303370775</v>
      </c>
      <c r="R8">
        <f t="shared" ref="R8" si="17">R9+Q8</f>
        <v>-203223776.66103831</v>
      </c>
      <c r="S8">
        <f t="shared" ref="S8" si="18">R8/100000</f>
        <v>-2032.237766610383</v>
      </c>
      <c r="T8">
        <f t="shared" ref="T8" si="19">S8/1000</f>
        <v>-2.032237766610383</v>
      </c>
    </row>
    <row r="9" spans="1:20" x14ac:dyDescent="0.25">
      <c r="A9" s="5">
        <v>44584</v>
      </c>
      <c r="B9">
        <v>0.16259999999999999</v>
      </c>
      <c r="C9">
        <v>0.1754</v>
      </c>
      <c r="D9">
        <v>0.15840000000000001</v>
      </c>
      <c r="E9">
        <v>0.16900000000000001</v>
      </c>
      <c r="F9">
        <v>4525938</v>
      </c>
      <c r="G9">
        <v>0.16900000000000001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0.2470588235294125</v>
      </c>
      <c r="Q9">
        <f t="shared" ref="Q9" si="21">F9*P9</f>
        <v>1118172.9176470621</v>
      </c>
      <c r="R9">
        <f t="shared" ref="R9" si="22">R10+Q9</f>
        <v>-204824638.39137539</v>
      </c>
      <c r="S9">
        <f t="shared" ref="S9" si="23">R9/100000</f>
        <v>-2048.246383913754</v>
      </c>
      <c r="T9">
        <f t="shared" ref="T9" si="24">S9/1000</f>
        <v>-2.0482463839137539</v>
      </c>
    </row>
    <row r="10" spans="1:20" x14ac:dyDescent="0.25">
      <c r="A10" s="5">
        <v>44583</v>
      </c>
      <c r="B10">
        <v>0.18029999999999999</v>
      </c>
      <c r="C10">
        <v>0.18240000000000001</v>
      </c>
      <c r="D10">
        <v>0.1467</v>
      </c>
      <c r="E10">
        <v>0.1628</v>
      </c>
      <c r="F10">
        <v>8550080</v>
      </c>
      <c r="G10">
        <v>0.1628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-9.8039215686274564E-2</v>
      </c>
      <c r="Q10">
        <f t="shared" ref="Q10" si="26">F10*P10</f>
        <v>-838243.13725490239</v>
      </c>
      <c r="R10">
        <f t="shared" ref="R10" si="27">R11+Q10</f>
        <v>-205942811.30902246</v>
      </c>
      <c r="S10">
        <f t="shared" ref="S10" si="28">R10/100000</f>
        <v>-2059.4281130902245</v>
      </c>
      <c r="T10">
        <f t="shared" ref="T10" si="29">S10/1000</f>
        <v>-2.0594281130902243</v>
      </c>
    </row>
    <row r="11" spans="1:20" x14ac:dyDescent="0.25">
      <c r="A11" s="5">
        <v>44582</v>
      </c>
      <c r="B11">
        <v>0.20610000000000001</v>
      </c>
      <c r="C11">
        <v>0.20749999999999999</v>
      </c>
      <c r="D11">
        <v>0.1759</v>
      </c>
      <c r="E11">
        <v>0.18049999999999999</v>
      </c>
      <c r="F11">
        <v>6271993.2000000002</v>
      </c>
      <c r="G11">
        <v>0.18049999999999999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-0.70886075949367122</v>
      </c>
      <c r="Q11">
        <f t="shared" ref="Q11" si="31">F11*P11</f>
        <v>-4445969.8632911416</v>
      </c>
      <c r="R11">
        <f t="shared" ref="R11" si="32">R12+Q11</f>
        <v>-205104568.17176756</v>
      </c>
      <c r="S11">
        <f t="shared" ref="S11" si="33">R11/100000</f>
        <v>-2051.0456817176755</v>
      </c>
      <c r="T11">
        <f t="shared" ref="T11" si="34">S11/1000</f>
        <v>-2.0510456817176754</v>
      </c>
    </row>
    <row r="12" spans="1:20" x14ac:dyDescent="0.25">
      <c r="A12" s="5">
        <v>44581</v>
      </c>
      <c r="B12">
        <v>0.21240000000000001</v>
      </c>
      <c r="C12">
        <v>0.22009999999999999</v>
      </c>
      <c r="D12">
        <v>0.20449999999999999</v>
      </c>
      <c r="E12">
        <v>0.20599999999999999</v>
      </c>
      <c r="F12">
        <v>1728232</v>
      </c>
      <c r="G12">
        <v>0.20599999999999999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-0.8076923076923076</v>
      </c>
      <c r="Q12">
        <f t="shared" ref="Q12" si="36">F12*P12</f>
        <v>-1395879.6923076923</v>
      </c>
      <c r="R12">
        <f t="shared" ref="R12" si="37">R13+Q12</f>
        <v>-200658598.30847642</v>
      </c>
      <c r="S12">
        <f t="shared" ref="S12" si="38">R12/100000</f>
        <v>-2006.5859830847642</v>
      </c>
      <c r="T12">
        <f t="shared" ref="T12" si="39">S12/1000</f>
        <v>-2.0065859830847641</v>
      </c>
    </row>
    <row r="13" spans="1:20" x14ac:dyDescent="0.25">
      <c r="A13" s="5">
        <v>44580</v>
      </c>
      <c r="B13">
        <v>0.21820000000000001</v>
      </c>
      <c r="C13">
        <v>0.22189999999999999</v>
      </c>
      <c r="D13">
        <v>0.2084</v>
      </c>
      <c r="E13">
        <v>0.21249999999999999</v>
      </c>
      <c r="F13">
        <v>1908390</v>
      </c>
      <c r="G13">
        <v>0.21249999999999999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-0.39259259259259299</v>
      </c>
      <c r="Q13">
        <f t="shared" ref="Q13" si="41">F13*P13</f>
        <v>-749219.77777777857</v>
      </c>
      <c r="R13">
        <f t="shared" ref="R13" si="42">R14+Q13</f>
        <v>-199262718.61616874</v>
      </c>
      <c r="S13">
        <f t="shared" ref="S13" si="43">R13/100000</f>
        <v>-1992.6271861616874</v>
      </c>
      <c r="T13">
        <f t="shared" ref="T13" si="44">S13/1000</f>
        <v>-1.9926271861616873</v>
      </c>
    </row>
    <row r="14" spans="1:20" x14ac:dyDescent="0.25">
      <c r="A14" s="5">
        <v>44579</v>
      </c>
      <c r="B14">
        <v>0.22259999999999999</v>
      </c>
      <c r="C14">
        <v>0.22309999999999999</v>
      </c>
      <c r="D14">
        <v>0.21229999999999999</v>
      </c>
      <c r="E14">
        <v>0.21790000000000001</v>
      </c>
      <c r="F14">
        <v>2005100</v>
      </c>
      <c r="G14">
        <v>0.21790000000000001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3.7037037037040657E-2</v>
      </c>
      <c r="Q14">
        <f t="shared" ref="Q14" si="46">F14*P14</f>
        <v>74262.962962970225</v>
      </c>
      <c r="R14">
        <f t="shared" ref="R14" si="47">R15+Q14</f>
        <v>-198513498.83839095</v>
      </c>
      <c r="S14">
        <f t="shared" ref="S14" si="48">R14/100000</f>
        <v>-1985.1349883839096</v>
      </c>
      <c r="T14">
        <f t="shared" ref="T14" si="49">S14/1000</f>
        <v>-1.9851349883839096</v>
      </c>
    </row>
    <row r="15" spans="1:20" x14ac:dyDescent="0.25">
      <c r="A15" s="5">
        <v>44578</v>
      </c>
      <c r="B15">
        <v>0.23250000000000001</v>
      </c>
      <c r="C15">
        <v>0.23250000000000001</v>
      </c>
      <c r="D15">
        <v>0.21840000000000001</v>
      </c>
      <c r="E15">
        <v>0.22270000000000001</v>
      </c>
      <c r="F15">
        <v>2615823</v>
      </c>
      <c r="G15">
        <v>0.22270000000000001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-0.39007092198581589</v>
      </c>
      <c r="Q15">
        <f t="shared" ref="Q15" si="51">F15*P15</f>
        <v>-1020356.4893617029</v>
      </c>
      <c r="R15">
        <f t="shared" ref="R15" si="52">R16+Q15</f>
        <v>-198587761.80135393</v>
      </c>
      <c r="S15">
        <f t="shared" ref="S15" si="53">R15/100000</f>
        <v>-1985.8776180135394</v>
      </c>
      <c r="T15">
        <f t="shared" ref="T15" si="54">S15/1000</f>
        <v>-1.9858776180135393</v>
      </c>
    </row>
    <row r="16" spans="1:20" x14ac:dyDescent="0.25">
      <c r="A16" s="5">
        <v>44577</v>
      </c>
      <c r="B16">
        <v>0.2303</v>
      </c>
      <c r="C16">
        <v>0.23530000000000001</v>
      </c>
      <c r="D16">
        <v>0.22670000000000001</v>
      </c>
      <c r="E16">
        <v>0.23280000000000001</v>
      </c>
      <c r="F16">
        <v>1873888</v>
      </c>
      <c r="G16">
        <v>0.23280000000000001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0.41860465116278994</v>
      </c>
      <c r="Q16">
        <f t="shared" ref="Q16" si="56">F16*P16</f>
        <v>784418.23255813809</v>
      </c>
      <c r="R16">
        <f t="shared" ref="R16" si="57">R17+Q16</f>
        <v>-197567405.31199223</v>
      </c>
      <c r="S16">
        <f t="shared" ref="S16" si="58">R16/100000</f>
        <v>-1975.6740531199223</v>
      </c>
      <c r="T16">
        <f t="shared" ref="T16" si="59">S16/1000</f>
        <v>-1.9756740531199224</v>
      </c>
    </row>
    <row r="17" spans="1:20" x14ac:dyDescent="0.25">
      <c r="A17" s="5">
        <v>44576</v>
      </c>
      <c r="B17">
        <v>0.23039999999999999</v>
      </c>
      <c r="C17">
        <v>0.23180000000000001</v>
      </c>
      <c r="D17">
        <v>0.2258</v>
      </c>
      <c r="E17">
        <v>0.2306</v>
      </c>
      <c r="F17">
        <v>1672721</v>
      </c>
      <c r="G17">
        <v>0.2306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0.5999999999999982</v>
      </c>
      <c r="Q17">
        <f t="shared" ref="Q17" si="61">F17*P17</f>
        <v>1003632.5999999969</v>
      </c>
      <c r="R17">
        <f t="shared" ref="R17" si="62">R18+Q17</f>
        <v>-198351823.54455036</v>
      </c>
      <c r="S17">
        <f t="shared" ref="S17" si="63">R17/100000</f>
        <v>-1983.5182354455037</v>
      </c>
      <c r="T17">
        <f t="shared" ref="T17" si="64">S17/1000</f>
        <v>-1.9835182354455037</v>
      </c>
    </row>
    <row r="18" spans="1:20" x14ac:dyDescent="0.25">
      <c r="A18" s="5">
        <v>44575</v>
      </c>
      <c r="B18">
        <v>0.22889999999999999</v>
      </c>
      <c r="C18">
        <v>0.23089999999999999</v>
      </c>
      <c r="D18">
        <v>0.21829999999999999</v>
      </c>
      <c r="E18">
        <v>0.23</v>
      </c>
      <c r="F18">
        <v>2856127</v>
      </c>
      <c r="G18">
        <v>0.23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0.85714285714285965</v>
      </c>
      <c r="Q18">
        <f t="shared" ref="Q18" si="66">F18*P18</f>
        <v>2448108.8571428643</v>
      </c>
      <c r="R18">
        <f t="shared" ref="R18" si="67">R19+Q18</f>
        <v>-199355456.14455035</v>
      </c>
      <c r="S18">
        <f t="shared" ref="S18" si="68">R18/100000</f>
        <v>-1993.5545614455036</v>
      </c>
      <c r="T18">
        <f t="shared" ref="T18" si="69">S18/1000</f>
        <v>-1.9935545614455037</v>
      </c>
    </row>
    <row r="19" spans="1:20" x14ac:dyDescent="0.25">
      <c r="A19" s="5">
        <v>44574</v>
      </c>
      <c r="B19">
        <v>0.22639999999999999</v>
      </c>
      <c r="C19">
        <v>0.24909999999999999</v>
      </c>
      <c r="D19">
        <v>0.2238</v>
      </c>
      <c r="E19">
        <v>0.22889999999999999</v>
      </c>
      <c r="F19">
        <v>8189928</v>
      </c>
      <c r="G19">
        <v>0.22889999999999999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-0.59683794466403195</v>
      </c>
      <c r="Q19">
        <f t="shared" ref="Q19" si="71">F19*P19</f>
        <v>-4888059.7944664061</v>
      </c>
      <c r="R19">
        <f t="shared" ref="R19" si="72">R20+Q19</f>
        <v>-201803565.00169322</v>
      </c>
      <c r="S19">
        <f t="shared" ref="S19" si="73">R19/100000</f>
        <v>-2018.0356500169321</v>
      </c>
      <c r="T19">
        <f t="shared" ref="T19" si="74">S19/1000</f>
        <v>-2.0180356500169321</v>
      </c>
    </row>
    <row r="20" spans="1:20" x14ac:dyDescent="0.25">
      <c r="A20" s="5">
        <v>44573</v>
      </c>
      <c r="B20">
        <v>0.22059999999999999</v>
      </c>
      <c r="C20">
        <v>0.22670000000000001</v>
      </c>
      <c r="D20">
        <v>0.21279999999999999</v>
      </c>
      <c r="E20">
        <v>0.22600000000000001</v>
      </c>
      <c r="F20">
        <v>3474743</v>
      </c>
      <c r="G20">
        <v>0.22600000000000001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0.89928057553956764</v>
      </c>
      <c r="Q20">
        <f t="shared" ref="Q20" si="76">F20*P20</f>
        <v>3124768.8848920837</v>
      </c>
      <c r="R20">
        <f t="shared" ref="R20" si="77">R21+Q20</f>
        <v>-196915505.20722681</v>
      </c>
      <c r="S20">
        <f t="shared" ref="S20" si="78">R20/100000</f>
        <v>-1969.1550520722681</v>
      </c>
      <c r="T20">
        <f t="shared" ref="T20" si="79">S20/1000</f>
        <v>-1.969155052072268</v>
      </c>
    </row>
    <row r="21" spans="1:20" x14ac:dyDescent="0.25">
      <c r="A21" s="5">
        <v>44572</v>
      </c>
      <c r="B21">
        <v>0.2273</v>
      </c>
      <c r="C21">
        <v>0.2273</v>
      </c>
      <c r="D21">
        <v>0.20799999999999999</v>
      </c>
      <c r="E21">
        <v>0.22070000000000001</v>
      </c>
      <c r="F21">
        <v>8076353</v>
      </c>
      <c r="G21">
        <v>0.22070000000000001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0.31606217616580407</v>
      </c>
      <c r="Q21">
        <f t="shared" ref="Q21" si="81">F21*P21</f>
        <v>2552629.7046632203</v>
      </c>
      <c r="R21">
        <f t="shared" ref="R21" si="82">R22+Q21</f>
        <v>-200040274.09211889</v>
      </c>
      <c r="S21">
        <f t="shared" ref="S21" si="83">R21/100000</f>
        <v>-2000.402740921189</v>
      </c>
      <c r="T21">
        <f t="shared" ref="T21" si="84">S21/1000</f>
        <v>-2.0004027409211891</v>
      </c>
    </row>
    <row r="22" spans="1:20" x14ac:dyDescent="0.25">
      <c r="A22" s="5">
        <v>44571</v>
      </c>
      <c r="B22">
        <v>0.2185</v>
      </c>
      <c r="C22">
        <v>0.24440000000000001</v>
      </c>
      <c r="D22">
        <v>0.2097</v>
      </c>
      <c r="E22">
        <v>0.2276</v>
      </c>
      <c r="F22">
        <v>15456296</v>
      </c>
      <c r="G22">
        <v>0.2276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3.1700288184437743E-2</v>
      </c>
      <c r="Q22">
        <f t="shared" ref="Q22" si="86">F22*P22</f>
        <v>489969.03746397234</v>
      </c>
      <c r="R22">
        <f t="shared" ref="R22" si="87">R23+Q22</f>
        <v>-202592903.79678211</v>
      </c>
      <c r="S22">
        <f t="shared" ref="S22" si="88">R22/100000</f>
        <v>-2025.9290379678212</v>
      </c>
      <c r="T22">
        <f t="shared" ref="T22" si="89">S22/1000</f>
        <v>-2.025929037967821</v>
      </c>
    </row>
    <row r="23" spans="1:20" x14ac:dyDescent="0.25">
      <c r="A23" s="5">
        <v>44570</v>
      </c>
      <c r="B23">
        <v>0.20619999999999999</v>
      </c>
      <c r="C23">
        <v>0.24679999999999999</v>
      </c>
      <c r="D23">
        <v>0.20380000000000001</v>
      </c>
      <c r="E23">
        <v>0.21809999999999999</v>
      </c>
      <c r="F23">
        <v>22982919</v>
      </c>
      <c r="G23">
        <v>0.21809999999999999</v>
      </c>
      <c r="L23" t="s">
        <v>8</v>
      </c>
      <c r="M23" t="s">
        <v>8</v>
      </c>
      <c r="N23" t="s">
        <v>7</v>
      </c>
      <c r="P23">
        <f t="shared" ref="P23" si="90">IF(C23=D23,0,((E23-D23)-(C23-E23))/(C23-D23))</f>
        <v>-0.33488372093023328</v>
      </c>
      <c r="Q23">
        <f t="shared" ref="Q23" si="91">F23*P23</f>
        <v>-7696605.4325581556</v>
      </c>
      <c r="R23">
        <f t="shared" ref="R23" si="92">R24+Q23</f>
        <v>-203082872.83424607</v>
      </c>
      <c r="S23">
        <f t="shared" ref="S23" si="93">R23/100000</f>
        <v>-2030.8287283424606</v>
      </c>
      <c r="T23">
        <f t="shared" ref="T23" si="94">S23/1000</f>
        <v>-2.0308287283424606</v>
      </c>
    </row>
    <row r="24" spans="1:20" x14ac:dyDescent="0.25">
      <c r="A24" s="5">
        <v>44569</v>
      </c>
      <c r="B24">
        <v>0.21199999999999999</v>
      </c>
      <c r="C24">
        <v>0.2185</v>
      </c>
      <c r="D24">
        <v>0.1996</v>
      </c>
      <c r="E24">
        <v>0.20599999999999999</v>
      </c>
      <c r="F24">
        <v>3689170.1</v>
      </c>
      <c r="G24">
        <v>0.20599999999999999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-0.3227513227513239</v>
      </c>
      <c r="Q24">
        <f t="shared" ref="Q24" si="96">F24*P24</f>
        <v>-1190684.529629634</v>
      </c>
      <c r="R24">
        <f t="shared" ref="R24" si="97">R25+Q24</f>
        <v>-195386267.40168792</v>
      </c>
      <c r="S24">
        <f t="shared" ref="S24" si="98">R24/100000</f>
        <v>-1953.8626740168793</v>
      </c>
      <c r="T24">
        <f t="shared" ref="T24" si="99">S24/1000</f>
        <v>-1.9538626740168792</v>
      </c>
    </row>
    <row r="25" spans="1:20" x14ac:dyDescent="0.25">
      <c r="A25" s="5">
        <v>44568</v>
      </c>
      <c r="B25">
        <v>0.22919999999999999</v>
      </c>
      <c r="C25">
        <v>0.22950000000000001</v>
      </c>
      <c r="D25">
        <v>0.20580000000000001</v>
      </c>
      <c r="E25">
        <v>0.21199999999999999</v>
      </c>
      <c r="F25">
        <v>5569167</v>
      </c>
      <c r="G25">
        <v>0.21199999999999999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-0.47679324894514907</v>
      </c>
      <c r="Q25">
        <f t="shared" ref="Q25" si="101">F25*P25</f>
        <v>-2655341.2278481089</v>
      </c>
      <c r="R25">
        <f t="shared" ref="R25" si="102">R26+Q25</f>
        <v>-194195582.87205827</v>
      </c>
      <c r="S25">
        <f t="shared" ref="S25" si="103">R25/100000</f>
        <v>-1941.9558287205828</v>
      </c>
      <c r="T25">
        <f t="shared" ref="T25" si="104">S25/1000</f>
        <v>-1.9419558287205827</v>
      </c>
    </row>
    <row r="26" spans="1:20" x14ac:dyDescent="0.25">
      <c r="A26" s="5">
        <v>44567</v>
      </c>
      <c r="B26">
        <v>0.22919999999999999</v>
      </c>
      <c r="C26">
        <v>0.2366</v>
      </c>
      <c r="D26">
        <v>0.21990000000000001</v>
      </c>
      <c r="E26">
        <v>0.2293</v>
      </c>
      <c r="F26">
        <v>6364765</v>
      </c>
      <c r="G26">
        <v>0.2293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0.12574850299401147</v>
      </c>
      <c r="Q26">
        <f t="shared" ref="Q26" si="106">F26*P26</f>
        <v>800359.67065867945</v>
      </c>
      <c r="R26">
        <f t="shared" ref="R26" si="107">R27+Q26</f>
        <v>-191540241.64421016</v>
      </c>
      <c r="S26">
        <f t="shared" ref="S26" si="108">R26/100000</f>
        <v>-1915.4024164421016</v>
      </c>
      <c r="T26">
        <f t="shared" ref="T26" si="109">S26/1000</f>
        <v>-1.9154024164421017</v>
      </c>
    </row>
    <row r="27" spans="1:20" x14ac:dyDescent="0.25">
      <c r="A27" s="5">
        <v>44566</v>
      </c>
      <c r="B27">
        <v>0.2487</v>
      </c>
      <c r="C27">
        <v>0.25580000000000003</v>
      </c>
      <c r="D27">
        <v>0.223</v>
      </c>
      <c r="E27">
        <v>0.22919999999999999</v>
      </c>
      <c r="F27">
        <v>8921982</v>
      </c>
      <c r="G27">
        <v>0.22919999999999999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-0.62195121951219645</v>
      </c>
      <c r="Q27">
        <f t="shared" ref="Q27" si="111">F27*P27</f>
        <v>-5549037.5853658654</v>
      </c>
      <c r="R27">
        <f t="shared" ref="R27" si="112">R28+Q27</f>
        <v>-192340601.31486884</v>
      </c>
      <c r="S27">
        <f t="shared" ref="S27" si="113">R27/100000</f>
        <v>-1923.4060131486883</v>
      </c>
      <c r="T27">
        <f t="shared" ref="T27" si="114">S27/1000</f>
        <v>-1.9234060131486883</v>
      </c>
    </row>
    <row r="28" spans="1:20" x14ac:dyDescent="0.25">
      <c r="A28" s="5">
        <v>44565</v>
      </c>
      <c r="B28">
        <v>0.25940000000000002</v>
      </c>
      <c r="C28">
        <v>0.26450000000000001</v>
      </c>
      <c r="D28">
        <v>0.24399999999999999</v>
      </c>
      <c r="E28">
        <v>0.24840000000000001</v>
      </c>
      <c r="F28">
        <v>11828894</v>
      </c>
      <c r="G28">
        <v>0.24840000000000001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-0.57073170731707212</v>
      </c>
      <c r="Q28">
        <f t="shared" ref="Q28" si="116">F28*P28</f>
        <v>-6751124.8682926707</v>
      </c>
      <c r="R28">
        <f t="shared" ref="R28" si="117">R29+Q28</f>
        <v>-186791563.72950298</v>
      </c>
      <c r="S28">
        <f t="shared" ref="S28" si="118">R28/100000</f>
        <v>-1867.9156372950297</v>
      </c>
      <c r="T28">
        <f t="shared" ref="T28" si="119">S28/1000</f>
        <v>-1.8679156372950296</v>
      </c>
    </row>
    <row r="29" spans="1:20" x14ac:dyDescent="0.25">
      <c r="A29" s="5">
        <v>44564</v>
      </c>
      <c r="B29">
        <v>0.27379999999999999</v>
      </c>
      <c r="C29">
        <v>0.30399999999999999</v>
      </c>
      <c r="D29">
        <v>0.25190000000000001</v>
      </c>
      <c r="E29">
        <v>0.25900000000000001</v>
      </c>
      <c r="F29">
        <v>53714814</v>
      </c>
      <c r="G29">
        <v>0.25900000000000001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-0.72744721689059511</v>
      </c>
      <c r="Q29">
        <f t="shared" ref="Q29" si="121">F29*P29</f>
        <v>-39074691.950095974</v>
      </c>
      <c r="R29">
        <f t="shared" ref="R29" si="122">R30+Q29</f>
        <v>-180040438.86121032</v>
      </c>
      <c r="S29">
        <f t="shared" ref="S29" si="123">R29/100000</f>
        <v>-1800.4043886121033</v>
      </c>
      <c r="T29">
        <f t="shared" ref="T29" si="124">S29/1000</f>
        <v>-1.8004043886121033</v>
      </c>
    </row>
    <row r="30" spans="1:20" x14ac:dyDescent="0.25">
      <c r="A30" s="5">
        <v>44563</v>
      </c>
      <c r="B30">
        <v>0.2296</v>
      </c>
      <c r="C30">
        <v>0.38819999999999999</v>
      </c>
      <c r="D30">
        <v>0.2296</v>
      </c>
      <c r="E30">
        <v>0.27410000000000001</v>
      </c>
      <c r="F30">
        <v>139180406</v>
      </c>
      <c r="G30">
        <v>0.27410000000000001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-0.43883984867591408</v>
      </c>
      <c r="Q30">
        <f t="shared" ref="Q30" si="126">F30*P30</f>
        <v>-61077908.307692282</v>
      </c>
      <c r="R30">
        <f t="shared" ref="R30" si="127">R31+Q30</f>
        <v>-140965746.91111434</v>
      </c>
      <c r="S30">
        <f t="shared" ref="S30" si="128">R30/100000</f>
        <v>-1409.6574691111434</v>
      </c>
      <c r="T30">
        <f t="shared" ref="T30" si="129">S30/1000</f>
        <v>-1.4096574691111434</v>
      </c>
    </row>
    <row r="31" spans="1:20" x14ac:dyDescent="0.25">
      <c r="A31" s="5">
        <v>44562</v>
      </c>
      <c r="B31">
        <v>0.2243</v>
      </c>
      <c r="C31">
        <v>0.2316</v>
      </c>
      <c r="D31">
        <v>0.2235</v>
      </c>
      <c r="E31">
        <v>0.22939999999999999</v>
      </c>
      <c r="F31">
        <v>1804589</v>
      </c>
      <c r="G31">
        <v>0.22939999999999999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0.45679012345678799</v>
      </c>
      <c r="Q31">
        <f t="shared" ref="Q31" si="131">F31*P31</f>
        <v>824318.43209876155</v>
      </c>
      <c r="R31">
        <f t="shared" ref="R31" si="132">R32+Q31</f>
        <v>-79887838.603422061</v>
      </c>
      <c r="S31">
        <f t="shared" ref="S31" si="133">R31/100000</f>
        <v>-798.87838603422063</v>
      </c>
      <c r="T31">
        <f t="shared" ref="T31" si="134">S31/1000</f>
        <v>-0.79887838603422068</v>
      </c>
    </row>
    <row r="32" spans="1:20" x14ac:dyDescent="0.25">
      <c r="A32" s="5">
        <v>44561</v>
      </c>
      <c r="B32">
        <v>0.22689999999999999</v>
      </c>
      <c r="C32">
        <v>0.2336</v>
      </c>
      <c r="D32">
        <v>0.22159999999999999</v>
      </c>
      <c r="E32">
        <v>0.22409999999999999</v>
      </c>
      <c r="F32">
        <v>2756653</v>
      </c>
      <c r="G32">
        <v>0.22409999999999999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-0.58333333333333337</v>
      </c>
      <c r="Q32">
        <f t="shared" ref="Q32" si="136">F32*P32</f>
        <v>-1608047.5833333335</v>
      </c>
      <c r="R32">
        <f t="shared" ref="R32" si="137">R33+Q32</f>
        <v>-80712157.035520822</v>
      </c>
      <c r="S32">
        <f t="shared" ref="S32" si="138">R32/100000</f>
        <v>-807.12157035520818</v>
      </c>
      <c r="T32">
        <f t="shared" ref="T32" si="139">S32/1000</f>
        <v>-0.80712157035520815</v>
      </c>
    </row>
    <row r="33" spans="1:20" x14ac:dyDescent="0.25">
      <c r="A33" s="5">
        <v>44560</v>
      </c>
      <c r="B33">
        <v>0.22459999999999999</v>
      </c>
      <c r="C33">
        <v>0.22900000000000001</v>
      </c>
      <c r="D33">
        <v>0.21829999999999999</v>
      </c>
      <c r="E33">
        <v>0.22639999999999999</v>
      </c>
      <c r="F33">
        <v>2470459</v>
      </c>
      <c r="G33">
        <v>0.22639999999999999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0.51401869158878222</v>
      </c>
      <c r="Q33">
        <f t="shared" ref="Q33" si="141">F33*P33</f>
        <v>1269862.1028037313</v>
      </c>
      <c r="R33">
        <f t="shared" ref="R33" si="142">R34+Q33</f>
        <v>-79104109.452187493</v>
      </c>
      <c r="S33">
        <f t="shared" ref="S33" si="143">R33/100000</f>
        <v>-791.04109452187492</v>
      </c>
      <c r="T33">
        <f t="shared" ref="T33" si="144">S33/1000</f>
        <v>-0.79104109452187488</v>
      </c>
    </row>
    <row r="34" spans="1:20" x14ac:dyDescent="0.25">
      <c r="A34" s="5">
        <v>44559</v>
      </c>
      <c r="B34">
        <v>0.2321</v>
      </c>
      <c r="C34">
        <v>0.2361</v>
      </c>
      <c r="D34">
        <v>0.22120000000000001</v>
      </c>
      <c r="E34">
        <v>0.22409999999999999</v>
      </c>
      <c r="F34">
        <v>2112892</v>
      </c>
      <c r="G34">
        <v>0.22409999999999999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-0.61073825503355883</v>
      </c>
      <c r="Q34">
        <f t="shared" ref="Q34" si="146">F34*P34</f>
        <v>-1290423.9731543662</v>
      </c>
      <c r="R34">
        <f t="shared" ref="R34" si="147">R35+Q34</f>
        <v>-80373971.55499123</v>
      </c>
      <c r="S34">
        <f t="shared" ref="S34" si="148">R34/100000</f>
        <v>-803.73971554991226</v>
      </c>
      <c r="T34">
        <f t="shared" ref="T34" si="149">S34/1000</f>
        <v>-0.8037397155499123</v>
      </c>
    </row>
    <row r="35" spans="1:20" x14ac:dyDescent="0.25">
      <c r="A35" s="5">
        <v>44558</v>
      </c>
      <c r="B35">
        <v>0.2586</v>
      </c>
      <c r="C35">
        <v>0.25969999999999999</v>
      </c>
      <c r="D35">
        <v>0.2293</v>
      </c>
      <c r="E35">
        <v>0.2321</v>
      </c>
      <c r="F35">
        <v>4042409</v>
      </c>
      <c r="G35">
        <v>0.2321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-0.81578947368421062</v>
      </c>
      <c r="Q35">
        <f t="shared" ref="Q35" si="151">F35*P35</f>
        <v>-3297754.710526316</v>
      </c>
      <c r="R35">
        <f t="shared" ref="R35" si="152">R36+Q35</f>
        <v>-79083547.581836864</v>
      </c>
      <c r="S35">
        <f t="shared" ref="S35" si="153">R35/100000</f>
        <v>-790.83547581836865</v>
      </c>
      <c r="T35">
        <f t="shared" ref="T35" si="154">S35/1000</f>
        <v>-0.79083547581836866</v>
      </c>
    </row>
    <row r="36" spans="1:20" x14ac:dyDescent="0.25">
      <c r="A36" s="5">
        <v>44557</v>
      </c>
      <c r="B36">
        <v>0.255</v>
      </c>
      <c r="C36">
        <v>0.2787</v>
      </c>
      <c r="D36">
        <v>0.2515</v>
      </c>
      <c r="E36">
        <v>0.2586</v>
      </c>
      <c r="F36">
        <v>12431271</v>
      </c>
      <c r="G36">
        <v>0.2586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-0.47794117647058865</v>
      </c>
      <c r="Q36">
        <f t="shared" ref="Q36" si="156">F36*P36</f>
        <v>-5941416.2867647111</v>
      </c>
      <c r="R36">
        <f t="shared" ref="R36" si="157">R37+Q36</f>
        <v>-75785792.871310547</v>
      </c>
      <c r="S36">
        <f t="shared" ref="S36" si="158">R36/100000</f>
        <v>-757.85792871310548</v>
      </c>
      <c r="T36">
        <f t="shared" ref="T36" si="159">S36/1000</f>
        <v>-0.75785792871310553</v>
      </c>
    </row>
    <row r="37" spans="1:20" x14ac:dyDescent="0.25">
      <c r="A37" s="5">
        <v>44556</v>
      </c>
      <c r="B37">
        <v>0.2525</v>
      </c>
      <c r="C37">
        <v>0.25669999999999998</v>
      </c>
      <c r="D37">
        <v>0.2457</v>
      </c>
      <c r="E37">
        <v>0.25519999999999998</v>
      </c>
      <c r="F37">
        <v>3239321</v>
      </c>
      <c r="G37">
        <v>0.25519999999999998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0.72727272727272663</v>
      </c>
      <c r="Q37">
        <f t="shared" ref="Q37" si="161">F37*P37</f>
        <v>2355869.818181816</v>
      </c>
      <c r="R37">
        <f t="shared" ref="R37" si="162">R38+Q37</f>
        <v>-69844376.584545836</v>
      </c>
      <c r="S37">
        <f t="shared" ref="S37" si="163">R37/100000</f>
        <v>-698.44376584545842</v>
      </c>
      <c r="T37">
        <f t="shared" ref="T37" si="164">S37/1000</f>
        <v>-0.69844376584545842</v>
      </c>
    </row>
    <row r="38" spans="1:20" x14ac:dyDescent="0.25">
      <c r="A38" s="5">
        <v>44555</v>
      </c>
      <c r="B38">
        <v>0.25030000000000002</v>
      </c>
      <c r="C38">
        <v>0.25430000000000003</v>
      </c>
      <c r="D38">
        <v>0.2472</v>
      </c>
      <c r="E38">
        <v>0.253</v>
      </c>
      <c r="F38">
        <v>1299924</v>
      </c>
      <c r="G38">
        <v>0.253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0.63380281690140305</v>
      </c>
      <c r="Q38">
        <f t="shared" ref="Q38" si="166">F38*P38</f>
        <v>823895.49295773951</v>
      </c>
      <c r="R38">
        <f t="shared" ref="R38" si="167">R39+Q38</f>
        <v>-72200246.402727649</v>
      </c>
      <c r="S38">
        <f t="shared" ref="S38" si="168">R38/100000</f>
        <v>-722.00246402727646</v>
      </c>
      <c r="T38">
        <f t="shared" ref="T38" si="169">S38/1000</f>
        <v>-0.72200246402727641</v>
      </c>
    </row>
    <row r="39" spans="1:20" x14ac:dyDescent="0.25">
      <c r="A39" s="5">
        <v>44554</v>
      </c>
      <c r="B39">
        <v>0.253</v>
      </c>
      <c r="C39">
        <v>0.25990000000000002</v>
      </c>
      <c r="D39">
        <v>0.24790000000000001</v>
      </c>
      <c r="E39">
        <v>0.25009999999999999</v>
      </c>
      <c r="F39">
        <v>3014687</v>
      </c>
      <c r="G39">
        <v>0.25009999999999999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-0.63333333333333708</v>
      </c>
      <c r="Q39">
        <f t="shared" ref="Q39" si="171">F39*P39</f>
        <v>-1909301.766666678</v>
      </c>
      <c r="R39">
        <f t="shared" ref="R39" si="172">R40+Q39</f>
        <v>-73024141.89568539</v>
      </c>
      <c r="S39">
        <f t="shared" ref="S39" si="173">R39/100000</f>
        <v>-730.24141895685386</v>
      </c>
      <c r="T39">
        <f t="shared" ref="T39" si="174">S39/1000</f>
        <v>-0.7302414189568539</v>
      </c>
    </row>
    <row r="40" spans="1:20" x14ac:dyDescent="0.25">
      <c r="A40" s="5">
        <v>44553</v>
      </c>
      <c r="B40">
        <v>0.23910000000000001</v>
      </c>
      <c r="C40">
        <v>0.255</v>
      </c>
      <c r="D40">
        <v>0.23469999999999999</v>
      </c>
      <c r="E40">
        <v>0.25309999999999999</v>
      </c>
      <c r="F40">
        <v>3207769</v>
      </c>
      <c r="G40">
        <v>0.25309999999999999</v>
      </c>
      <c r="L40" t="s">
        <v>7</v>
      </c>
      <c r="M40" t="s">
        <v>8</v>
      </c>
      <c r="N40" t="s">
        <v>7</v>
      </c>
      <c r="P40">
        <f t="shared" ref="P40" si="175">IF(C40=D40,0,((E40-D40)-(C40-E40))/(C40-D40))</f>
        <v>0.81280788177339791</v>
      </c>
      <c r="Q40">
        <f t="shared" ref="Q40" si="176">F40*P40</f>
        <v>2607299.926108371</v>
      </c>
      <c r="R40">
        <f t="shared" ref="R40" si="177">R41+Q40</f>
        <v>-71114840.129018709</v>
      </c>
      <c r="S40">
        <f t="shared" ref="S40" si="178">R40/100000</f>
        <v>-711.14840129018705</v>
      </c>
      <c r="T40">
        <f t="shared" ref="T40" si="179">S40/1000</f>
        <v>-0.71114840129018708</v>
      </c>
    </row>
    <row r="41" spans="1:20" x14ac:dyDescent="0.25">
      <c r="A41" s="5">
        <v>44552</v>
      </c>
      <c r="B41">
        <v>0.23119999999999999</v>
      </c>
      <c r="C41">
        <v>0.25319999999999998</v>
      </c>
      <c r="D41">
        <v>0.23069999999999999</v>
      </c>
      <c r="E41">
        <v>0.23910000000000001</v>
      </c>
      <c r="F41">
        <v>7505509</v>
      </c>
      <c r="G41">
        <v>0.23910000000000001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-0.25333333333333141</v>
      </c>
      <c r="Q41">
        <f t="shared" ref="Q41" si="181">F41*P41</f>
        <v>-1901395.6133333188</v>
      </c>
      <c r="R41">
        <f t="shared" ref="R41" si="182">R42+Q41</f>
        <v>-73722140.055127084</v>
      </c>
      <c r="S41">
        <f t="shared" ref="S41" si="183">R41/100000</f>
        <v>-737.22140055127079</v>
      </c>
      <c r="T41">
        <f t="shared" ref="T41" si="184">S41/1000</f>
        <v>-0.73722140055127083</v>
      </c>
    </row>
    <row r="42" spans="1:20" x14ac:dyDescent="0.25">
      <c r="A42" s="5">
        <v>44551</v>
      </c>
      <c r="B42">
        <v>0.22389999999999999</v>
      </c>
      <c r="C42">
        <v>0.2349</v>
      </c>
      <c r="D42">
        <v>0.21990000000000001</v>
      </c>
      <c r="E42">
        <v>0.23130000000000001</v>
      </c>
      <c r="F42">
        <v>2571305</v>
      </c>
      <c r="G42">
        <v>0.23130000000000001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0.52000000000000057</v>
      </c>
      <c r="Q42">
        <f t="shared" ref="Q42" si="186">F42*P42</f>
        <v>1337078.6000000015</v>
      </c>
      <c r="R42">
        <f t="shared" ref="R42" si="187">R43+Q42</f>
        <v>-71820744.44179377</v>
      </c>
      <c r="S42">
        <f t="shared" ref="S42" si="188">R42/100000</f>
        <v>-718.20744441793772</v>
      </c>
      <c r="T42">
        <f t="shared" ref="T42" si="189">S42/1000</f>
        <v>-0.71820744441793771</v>
      </c>
    </row>
    <row r="43" spans="1:20" x14ac:dyDescent="0.25">
      <c r="A43" s="5">
        <v>44550</v>
      </c>
      <c r="B43">
        <v>0.23050000000000001</v>
      </c>
      <c r="C43">
        <v>0.23319999999999999</v>
      </c>
      <c r="D43">
        <v>0.21479999999999999</v>
      </c>
      <c r="E43">
        <v>0.2235</v>
      </c>
      <c r="F43">
        <v>2650986</v>
      </c>
      <c r="G43">
        <v>0.2235</v>
      </c>
      <c r="L43" t="s">
        <v>7</v>
      </c>
      <c r="M43" t="s">
        <v>8</v>
      </c>
      <c r="N43" t="s">
        <v>7</v>
      </c>
      <c r="P43">
        <f t="shared" ref="P43" si="190">IF(C43=D43,0,((E43-D43)-(C43-E43))/(C43-D43))</f>
        <v>-5.4347826086955063E-2</v>
      </c>
      <c r="Q43">
        <f t="shared" ref="Q43" si="191">F43*P43</f>
        <v>-144075.32608695264</v>
      </c>
      <c r="R43">
        <f t="shared" ref="R43" si="192">R44+Q43</f>
        <v>-73157823.041793764</v>
      </c>
      <c r="S43">
        <f t="shared" ref="S43" si="193">R43/100000</f>
        <v>-731.57823041793768</v>
      </c>
      <c r="T43">
        <f t="shared" ref="T43" si="194">S43/1000</f>
        <v>-0.73157823041793768</v>
      </c>
    </row>
    <row r="44" spans="1:20" x14ac:dyDescent="0.25">
      <c r="A44" s="5">
        <v>44549</v>
      </c>
      <c r="B44">
        <v>0.2361</v>
      </c>
      <c r="C44">
        <v>0.23930000000000001</v>
      </c>
      <c r="D44">
        <v>0.23</v>
      </c>
      <c r="E44">
        <v>0.2306</v>
      </c>
      <c r="F44">
        <v>2319277</v>
      </c>
      <c r="G44">
        <v>0.2306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-0.87096774193548621</v>
      </c>
      <c r="Q44">
        <f t="shared" ref="Q44" si="196">F44*P44</f>
        <v>-2020015.4516129086</v>
      </c>
      <c r="R44">
        <f t="shared" ref="R44" si="197">R45+Q44</f>
        <v>-73013747.71570681</v>
      </c>
      <c r="S44">
        <f t="shared" ref="S44" si="198">R44/100000</f>
        <v>-730.13747715706813</v>
      </c>
      <c r="T44">
        <f t="shared" ref="T44" si="199">S44/1000</f>
        <v>-0.73013747715706812</v>
      </c>
    </row>
    <row r="45" spans="1:20" x14ac:dyDescent="0.25">
      <c r="A45" s="5">
        <v>44548</v>
      </c>
      <c r="B45">
        <v>0.23280000000000001</v>
      </c>
      <c r="C45">
        <v>0.2414</v>
      </c>
      <c r="D45">
        <v>0.22770000000000001</v>
      </c>
      <c r="E45">
        <v>0.2361</v>
      </c>
      <c r="F45">
        <v>3341858</v>
      </c>
      <c r="G45">
        <v>0.2361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0.22627737226277328</v>
      </c>
      <c r="Q45">
        <f t="shared" ref="Q45" si="201">F45*P45</f>
        <v>756186.846715327</v>
      </c>
      <c r="R45">
        <f t="shared" ref="R45" si="202">R46+Q45</f>
        <v>-70993732.264093906</v>
      </c>
      <c r="S45">
        <f t="shared" ref="S45" si="203">R45/100000</f>
        <v>-709.9373226409391</v>
      </c>
      <c r="T45">
        <f t="shared" ref="T45" si="204">S45/1000</f>
        <v>-0.70993732264093912</v>
      </c>
    </row>
    <row r="46" spans="1:20" x14ac:dyDescent="0.25">
      <c r="A46" s="5">
        <v>44547</v>
      </c>
      <c r="B46">
        <v>0.22989999999999999</v>
      </c>
      <c r="C46">
        <v>0.24160000000000001</v>
      </c>
      <c r="D46">
        <v>0.22220000000000001</v>
      </c>
      <c r="E46">
        <v>0.23200000000000001</v>
      </c>
      <c r="F46">
        <v>7070004</v>
      </c>
      <c r="G46">
        <v>0.23200000000000001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1.0309278350515759E-2</v>
      </c>
      <c r="Q46">
        <f t="shared" ref="Q46" si="206">F46*P46</f>
        <v>72886.639175259814</v>
      </c>
      <c r="R46">
        <f t="shared" ref="R46" si="207">R47+Q46</f>
        <v>-71749919.110809237</v>
      </c>
      <c r="S46">
        <f t="shared" ref="S46" si="208">R46/100000</f>
        <v>-717.49919110809242</v>
      </c>
      <c r="T46">
        <f t="shared" ref="T46" si="209">S46/1000</f>
        <v>-0.71749919110809246</v>
      </c>
    </row>
    <row r="47" spans="1:20" x14ac:dyDescent="0.25">
      <c r="A47" s="5">
        <v>44546</v>
      </c>
      <c r="B47">
        <v>0.2331</v>
      </c>
      <c r="C47">
        <v>0.24260000000000001</v>
      </c>
      <c r="D47">
        <v>0.2276</v>
      </c>
      <c r="E47">
        <v>0.22989999999999999</v>
      </c>
      <c r="F47">
        <v>6320503</v>
      </c>
      <c r="G47">
        <v>0.22989999999999999</v>
      </c>
      <c r="L47" t="s">
        <v>7</v>
      </c>
      <c r="M47" t="s">
        <v>8</v>
      </c>
      <c r="N47" t="s">
        <v>7</v>
      </c>
      <c r="P47">
        <f t="shared" ref="P47" si="210">IF(C47=D47,0,((E47-D47)-(C47-E47))/(C47-D47))</f>
        <v>-0.69333333333333402</v>
      </c>
      <c r="Q47">
        <f t="shared" ref="Q47" si="211">F47*P47</f>
        <v>-4382215.4133333378</v>
      </c>
      <c r="R47">
        <f t="shared" ref="R47" si="212">R48+Q47</f>
        <v>-71822805.749984503</v>
      </c>
      <c r="S47">
        <f t="shared" ref="S47" si="213">R47/100000</f>
        <v>-718.22805749984502</v>
      </c>
      <c r="T47">
        <f t="shared" ref="T47" si="214">S47/1000</f>
        <v>-0.71822805749984497</v>
      </c>
    </row>
    <row r="48" spans="1:20" x14ac:dyDescent="0.25">
      <c r="A48" s="5">
        <v>44545</v>
      </c>
      <c r="B48">
        <v>0.22900000000000001</v>
      </c>
      <c r="C48">
        <v>0.24929999999999999</v>
      </c>
      <c r="D48">
        <v>0.21099999999999999</v>
      </c>
      <c r="E48">
        <v>0.23330000000000001</v>
      </c>
      <c r="F48">
        <v>8505167</v>
      </c>
      <c r="G48">
        <v>0.23330000000000001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0.16449086161879967</v>
      </c>
      <c r="Q48">
        <f t="shared" ref="Q48" si="216">F48*P48</f>
        <v>1399022.2480417816</v>
      </c>
      <c r="R48">
        <f t="shared" ref="R48" si="217">R49+Q48</f>
        <v>-67440590.336651161</v>
      </c>
      <c r="S48">
        <f t="shared" ref="S48" si="218">R48/100000</f>
        <v>-674.40590336651167</v>
      </c>
      <c r="T48">
        <f t="shared" ref="T48" si="219">S48/1000</f>
        <v>-0.67440590336651163</v>
      </c>
    </row>
    <row r="49" spans="1:20" x14ac:dyDescent="0.25">
      <c r="A49" s="5">
        <v>44544</v>
      </c>
      <c r="B49">
        <v>0.22159999999999999</v>
      </c>
      <c r="C49">
        <v>0.24990000000000001</v>
      </c>
      <c r="D49">
        <v>0.20860000000000001</v>
      </c>
      <c r="E49">
        <v>0.2288</v>
      </c>
      <c r="F49">
        <v>10580063</v>
      </c>
      <c r="G49">
        <v>0.2288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-2.1791767554479705E-2</v>
      </c>
      <c r="Q49">
        <f t="shared" ref="Q49" si="221">F49*P49</f>
        <v>-230558.27360775121</v>
      </c>
      <c r="R49">
        <f t="shared" ref="R49" si="222">R50+Q49</f>
        <v>-68839612.58469294</v>
      </c>
      <c r="S49">
        <f t="shared" ref="S49" si="223">R49/100000</f>
        <v>-688.39612584692941</v>
      </c>
      <c r="T49">
        <f t="shared" ref="T49" si="224">S49/1000</f>
        <v>-0.68839612584692944</v>
      </c>
    </row>
    <row r="50" spans="1:20" x14ac:dyDescent="0.25">
      <c r="A50" s="5">
        <v>44543</v>
      </c>
      <c r="B50">
        <v>0.2475</v>
      </c>
      <c r="C50">
        <v>0.2485</v>
      </c>
      <c r="D50">
        <v>0.21829999999999999</v>
      </c>
      <c r="E50">
        <v>0.2218</v>
      </c>
      <c r="F50">
        <v>3152819</v>
      </c>
      <c r="G50">
        <v>0.2218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-0.76821192052980114</v>
      </c>
      <c r="Q50">
        <f t="shared" ref="Q50" si="226">F50*P50</f>
        <v>-2422033.1390728471</v>
      </c>
      <c r="R50">
        <f t="shared" ref="R50" si="227">R51+Q50</f>
        <v>-68609054.311085194</v>
      </c>
      <c r="S50">
        <f t="shared" ref="S50" si="228">R50/100000</f>
        <v>-686.09054311085197</v>
      </c>
      <c r="T50">
        <f t="shared" ref="T50" si="229">S50/1000</f>
        <v>-0.68609054311085194</v>
      </c>
    </row>
    <row r="51" spans="1:20" x14ac:dyDescent="0.25">
      <c r="A51" s="5">
        <v>44542</v>
      </c>
      <c r="B51">
        <v>0.24990000000000001</v>
      </c>
      <c r="C51">
        <v>0.25080000000000002</v>
      </c>
      <c r="D51">
        <v>0.23949999999999999</v>
      </c>
      <c r="E51">
        <v>0.2477</v>
      </c>
      <c r="F51">
        <v>2682025</v>
      </c>
      <c r="G51">
        <v>0.2477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0.45132743362831673</v>
      </c>
      <c r="Q51">
        <f t="shared" ref="Q51" si="231">F51*P51</f>
        <v>1210471.4601769862</v>
      </c>
      <c r="R51">
        <f t="shared" ref="R51" si="232">R52+Q51</f>
        <v>-66187021.172012344</v>
      </c>
      <c r="S51">
        <f t="shared" ref="S51" si="233">R51/100000</f>
        <v>-661.87021172012339</v>
      </c>
      <c r="T51">
        <f t="shared" ref="T51" si="234">S51/1000</f>
        <v>-0.66187021172012339</v>
      </c>
    </row>
    <row r="52" spans="1:20" x14ac:dyDescent="0.25">
      <c r="A52" s="5">
        <v>44541</v>
      </c>
      <c r="B52">
        <v>0.24229999999999999</v>
      </c>
      <c r="C52">
        <v>0.24429999999999999</v>
      </c>
      <c r="D52">
        <v>0.23580000000000001</v>
      </c>
      <c r="E52">
        <v>0.24229999999999999</v>
      </c>
      <c r="F52">
        <v>300870</v>
      </c>
      <c r="G52">
        <v>0.24229999999999999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0.52941176470588081</v>
      </c>
      <c r="Q52">
        <f t="shared" ref="Q52" si="236">F52*P52</f>
        <v>159284.11764705836</v>
      </c>
      <c r="R52">
        <f t="shared" ref="R52" si="237">R53+Q52</f>
        <v>-67397492.632189333</v>
      </c>
      <c r="S52">
        <f t="shared" ref="S52" si="238">R52/100000</f>
        <v>-673.97492632189335</v>
      </c>
      <c r="T52">
        <f t="shared" ref="T52" si="239">S52/1000</f>
        <v>-0.67397492632189338</v>
      </c>
    </row>
    <row r="53" spans="1:20" x14ac:dyDescent="0.25">
      <c r="A53" s="5">
        <v>44540</v>
      </c>
      <c r="B53">
        <v>0.25219999999999998</v>
      </c>
      <c r="C53">
        <v>0.27600000000000002</v>
      </c>
      <c r="D53">
        <v>0.2409</v>
      </c>
      <c r="E53">
        <v>0.24229999999999999</v>
      </c>
      <c r="F53">
        <v>7732732</v>
      </c>
      <c r="G53">
        <v>0.24229999999999999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-0.9202279202279211</v>
      </c>
      <c r="Q53">
        <f t="shared" ref="Q53" si="241">F53*P53</f>
        <v>-7115875.8860398931</v>
      </c>
      <c r="R53">
        <f t="shared" ref="R53" si="242">R54+Q53</f>
        <v>-67556776.749836385</v>
      </c>
      <c r="S53">
        <f t="shared" ref="S53" si="243">R53/100000</f>
        <v>-675.56776749836388</v>
      </c>
      <c r="T53">
        <f t="shared" ref="T53" si="244">S53/1000</f>
        <v>-0.67556776749836389</v>
      </c>
    </row>
    <row r="54" spans="1:20" x14ac:dyDescent="0.25">
      <c r="A54" s="5">
        <v>44539</v>
      </c>
      <c r="B54">
        <v>0.27979999999999999</v>
      </c>
      <c r="C54">
        <v>0.28560000000000002</v>
      </c>
      <c r="D54">
        <v>0.2505</v>
      </c>
      <c r="E54">
        <v>0.25269999999999998</v>
      </c>
      <c r="F54">
        <v>3940472</v>
      </c>
      <c r="G54">
        <v>0.25269999999999998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-0.87464387464387583</v>
      </c>
      <c r="Q54">
        <f t="shared" ref="Q54" si="246">F54*P54</f>
        <v>-3446509.6980057028</v>
      </c>
      <c r="R54">
        <f t="shared" ref="R54" si="247">R55+Q54</f>
        <v>-60440900.863796495</v>
      </c>
      <c r="S54">
        <f t="shared" ref="S54" si="248">R54/100000</f>
        <v>-604.40900863796492</v>
      </c>
      <c r="T54">
        <f t="shared" ref="T54" si="249">S54/1000</f>
        <v>-0.60440900863796487</v>
      </c>
    </row>
    <row r="55" spans="1:20" x14ac:dyDescent="0.25">
      <c r="A55" s="5">
        <v>44538</v>
      </c>
      <c r="B55">
        <v>0.27329999999999999</v>
      </c>
      <c r="C55">
        <v>0.28989999999999999</v>
      </c>
      <c r="D55">
        <v>0.25829999999999997</v>
      </c>
      <c r="E55">
        <v>0.27979999999999999</v>
      </c>
      <c r="F55">
        <v>6442859</v>
      </c>
      <c r="G55">
        <v>0.27979999999999999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0.36075949367088656</v>
      </c>
      <c r="Q55">
        <f t="shared" ref="Q55" si="251">F55*P55</f>
        <v>2324322.5506329145</v>
      </c>
      <c r="R55">
        <f t="shared" ref="R55" si="252">R56+Q55</f>
        <v>-56994391.165790789</v>
      </c>
      <c r="S55">
        <f t="shared" ref="S55" si="253">R55/100000</f>
        <v>-569.94391165790785</v>
      </c>
      <c r="T55">
        <f t="shared" ref="T55" si="254">S55/1000</f>
        <v>-0.56994391165790781</v>
      </c>
    </row>
    <row r="56" spans="1:20" x14ac:dyDescent="0.25">
      <c r="A56" s="5">
        <v>44537</v>
      </c>
      <c r="B56">
        <v>0.26479999999999998</v>
      </c>
      <c r="C56">
        <v>0.29360000000000003</v>
      </c>
      <c r="D56">
        <v>0.25879999999999997</v>
      </c>
      <c r="E56">
        <v>0.27339999999999998</v>
      </c>
      <c r="F56">
        <v>11801817</v>
      </c>
      <c r="G56">
        <v>0.27339999999999998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-0.16091954022988622</v>
      </c>
      <c r="Q56">
        <f t="shared" ref="Q56" si="256">F56*P56</f>
        <v>-1899142.965517255</v>
      </c>
      <c r="R56">
        <f t="shared" ref="R56" si="257">R57+Q56</f>
        <v>-59318713.716423705</v>
      </c>
      <c r="S56">
        <f t="shared" ref="S56" si="258">R56/100000</f>
        <v>-593.18713716423701</v>
      </c>
      <c r="T56">
        <f t="shared" ref="T56" si="259">S56/1000</f>
        <v>-0.59318713716423699</v>
      </c>
    </row>
    <row r="57" spans="1:20" x14ac:dyDescent="0.25">
      <c r="A57" s="5">
        <v>44536</v>
      </c>
      <c r="B57">
        <v>0.25540000000000002</v>
      </c>
      <c r="C57">
        <v>0.26579999999999998</v>
      </c>
      <c r="D57">
        <v>0.2205</v>
      </c>
      <c r="E57">
        <v>0.2636</v>
      </c>
      <c r="F57">
        <v>11976649.9</v>
      </c>
      <c r="G57">
        <v>0.2636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0.90286975717439377</v>
      </c>
      <c r="Q57">
        <f t="shared" ref="Q57" si="261">F57*P57</f>
        <v>10813354.986975728</v>
      </c>
      <c r="R57">
        <f t="shared" ref="R57" si="262">R58+Q57</f>
        <v>-57419570.750906453</v>
      </c>
      <c r="S57">
        <f t="shared" ref="S57" si="263">R57/100000</f>
        <v>-574.1957075090645</v>
      </c>
      <c r="T57">
        <f t="shared" ref="T57" si="264">S57/1000</f>
        <v>-0.57419570750906446</v>
      </c>
    </row>
    <row r="58" spans="1:20" x14ac:dyDescent="0.25">
      <c r="A58" s="5">
        <v>44535</v>
      </c>
      <c r="B58">
        <v>0.28239999999999998</v>
      </c>
      <c r="C58">
        <v>0.28649999999999998</v>
      </c>
      <c r="D58">
        <v>0.24079999999999999</v>
      </c>
      <c r="E58">
        <v>0.25469999999999998</v>
      </c>
      <c r="F58">
        <v>13105994</v>
      </c>
      <c r="G58">
        <v>0.25469999999999998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-0.39168490153172875</v>
      </c>
      <c r="Q58">
        <f t="shared" ref="Q58" si="266">F58*P58</f>
        <v>-5133419.9693654282</v>
      </c>
      <c r="R58">
        <f t="shared" ref="R58" si="267">R59+Q58</f>
        <v>-68232925.737882182</v>
      </c>
      <c r="S58">
        <f t="shared" ref="S58" si="268">R58/100000</f>
        <v>-682.32925737882181</v>
      </c>
      <c r="T58">
        <f t="shared" ref="T58" si="269">S58/1000</f>
        <v>-0.68232925737882177</v>
      </c>
    </row>
    <row r="59" spans="1:20" x14ac:dyDescent="0.25">
      <c r="A59" s="5">
        <v>44534</v>
      </c>
      <c r="B59">
        <v>0.33639999999999998</v>
      </c>
      <c r="C59">
        <v>0.33639999999999998</v>
      </c>
      <c r="D59">
        <v>0.2366</v>
      </c>
      <c r="E59">
        <v>0.28120000000000001</v>
      </c>
      <c r="F59">
        <v>12516912</v>
      </c>
      <c r="G59">
        <v>0.28120000000000001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-0.10621242484969913</v>
      </c>
      <c r="Q59">
        <f t="shared" ref="Q59" si="271">F59*P59</f>
        <v>-1329451.5751502973</v>
      </c>
      <c r="R59">
        <f t="shared" ref="R59" si="272">R60+Q59</f>
        <v>-63099505.768516749</v>
      </c>
      <c r="S59">
        <f t="shared" ref="S59" si="273">R59/100000</f>
        <v>-630.99505768516747</v>
      </c>
      <c r="T59">
        <f t="shared" ref="T59" si="274">S59/1000</f>
        <v>-0.6309950576851675</v>
      </c>
    </row>
    <row r="60" spans="1:20" x14ac:dyDescent="0.25">
      <c r="A60" s="5">
        <v>44533</v>
      </c>
      <c r="B60">
        <v>0.3483</v>
      </c>
      <c r="C60">
        <v>0.4088</v>
      </c>
      <c r="D60">
        <v>0.32340000000000002</v>
      </c>
      <c r="E60">
        <v>0.33679999999999999</v>
      </c>
      <c r="F60">
        <v>22272305</v>
      </c>
      <c r="G60">
        <v>0.33679999999999999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-0.68618266978922782</v>
      </c>
      <c r="Q60">
        <f t="shared" ref="Q60" si="276">F60*P60</f>
        <v>-15282869.707259968</v>
      </c>
      <c r="R60">
        <f t="shared" ref="R60" si="277">R61+Q60</f>
        <v>-61770054.193366453</v>
      </c>
      <c r="S60">
        <f t="shared" ref="S60" si="278">R60/100000</f>
        <v>-617.70054193366457</v>
      </c>
      <c r="T60">
        <f t="shared" ref="T60" si="279">S60/1000</f>
        <v>-0.61770054193366453</v>
      </c>
    </row>
    <row r="61" spans="1:20" x14ac:dyDescent="0.25">
      <c r="A61" s="5">
        <v>44532</v>
      </c>
      <c r="B61">
        <v>0.36209999999999998</v>
      </c>
      <c r="C61">
        <v>0.36499999999999999</v>
      </c>
      <c r="D61">
        <v>0.33639999999999998</v>
      </c>
      <c r="E61">
        <v>0.34899999999999998</v>
      </c>
      <c r="F61">
        <v>5064923</v>
      </c>
      <c r="G61">
        <v>0.34899999999999998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-0.11888111888111931</v>
      </c>
      <c r="Q61">
        <f t="shared" ref="Q61" si="281">F61*P61</f>
        <v>-602123.71328671544</v>
      </c>
      <c r="R61">
        <f t="shared" ref="R61" si="282">R62+Q61</f>
        <v>-46487184.486106485</v>
      </c>
      <c r="S61">
        <f t="shared" ref="S61" si="283">R61/100000</f>
        <v>-464.87184486106486</v>
      </c>
      <c r="T61">
        <f t="shared" ref="T61" si="284">S61/1000</f>
        <v>-0.46487184486106486</v>
      </c>
    </row>
    <row r="62" spans="1:20" x14ac:dyDescent="0.25">
      <c r="A62" s="5">
        <v>44531</v>
      </c>
      <c r="B62">
        <v>0.36370000000000002</v>
      </c>
      <c r="C62">
        <v>0.39600000000000002</v>
      </c>
      <c r="D62">
        <v>0.35360000000000003</v>
      </c>
      <c r="E62">
        <v>0.3624</v>
      </c>
      <c r="F62">
        <v>9859984</v>
      </c>
      <c r="G62">
        <v>0.3624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-0.58490566037735958</v>
      </c>
      <c r="Q62">
        <f t="shared" ref="Q62" si="286">F62*P62</f>
        <v>-5767160.4528301992</v>
      </c>
      <c r="R62">
        <f t="shared" ref="R62" si="287">R63+Q62</f>
        <v>-45885060.772819772</v>
      </c>
      <c r="S62">
        <f t="shared" ref="S62" si="288">R62/100000</f>
        <v>-458.8506077281977</v>
      </c>
      <c r="T62">
        <f t="shared" ref="T62" si="289">S62/1000</f>
        <v>-0.45885060772819769</v>
      </c>
    </row>
    <row r="63" spans="1:20" x14ac:dyDescent="0.25">
      <c r="A63" s="5">
        <v>44530</v>
      </c>
      <c r="B63">
        <v>0.37759999999999999</v>
      </c>
      <c r="C63">
        <v>0.37959999999999999</v>
      </c>
      <c r="D63">
        <v>0.34210000000000002</v>
      </c>
      <c r="E63">
        <v>0.36309999999999998</v>
      </c>
      <c r="F63">
        <v>7954039</v>
      </c>
      <c r="G63">
        <v>0.36309999999999998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0.11999999999999869</v>
      </c>
      <c r="Q63">
        <f t="shared" ref="Q63" si="291">F63*P63</f>
        <v>954484.67999998957</v>
      </c>
      <c r="R63">
        <f t="shared" ref="R63" si="292">R64+Q63</f>
        <v>-40117900.319989577</v>
      </c>
      <c r="S63">
        <f t="shared" ref="S63" si="293">R63/100000</f>
        <v>-401.17900319989576</v>
      </c>
      <c r="T63">
        <f t="shared" ref="T63" si="294">S63/1000</f>
        <v>-0.40117900319989575</v>
      </c>
    </row>
    <row r="64" spans="1:20" x14ac:dyDescent="0.25">
      <c r="A64" s="5">
        <v>44529</v>
      </c>
      <c r="B64">
        <v>0.34</v>
      </c>
      <c r="C64">
        <v>0.38069999999999998</v>
      </c>
      <c r="D64">
        <v>0.33090000000000003</v>
      </c>
      <c r="E64">
        <v>0.37759999999999999</v>
      </c>
      <c r="F64">
        <v>14468299</v>
      </c>
      <c r="G64">
        <v>0.37759999999999999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0.87550200803212874</v>
      </c>
      <c r="Q64">
        <f t="shared" ref="Q64" si="296">F64*P64</f>
        <v>12667024.82730924</v>
      </c>
      <c r="R64">
        <f t="shared" ref="R64" si="297">R65+Q64</f>
        <v>-41072384.999989569</v>
      </c>
      <c r="S64">
        <f t="shared" ref="S64" si="298">R64/100000</f>
        <v>-410.72384999989572</v>
      </c>
      <c r="T64">
        <f t="shared" ref="T64" si="299">S64/1000</f>
        <v>-0.4107238499998957</v>
      </c>
    </row>
    <row r="65" spans="1:20" x14ac:dyDescent="0.25">
      <c r="A65" s="5">
        <v>44528</v>
      </c>
      <c r="B65">
        <v>0.35730000000000001</v>
      </c>
      <c r="C65">
        <v>0.35770000000000002</v>
      </c>
      <c r="D65">
        <v>0.316</v>
      </c>
      <c r="E65">
        <v>0.34010000000000001</v>
      </c>
      <c r="F65">
        <v>8666379</v>
      </c>
      <c r="G65">
        <v>0.34010000000000001</v>
      </c>
      <c r="L65" t="s">
        <v>7</v>
      </c>
      <c r="M65" t="s">
        <v>8</v>
      </c>
      <c r="N65" t="s">
        <v>7</v>
      </c>
      <c r="P65">
        <f t="shared" ref="P65" si="300">IF(C65=D65,0,((E65-D65)-(C65-E65))/(C65-D65))</f>
        <v>0.15587529976019193</v>
      </c>
      <c r="Q65">
        <f t="shared" ref="Q65" si="301">F65*P65</f>
        <v>1350874.4244604325</v>
      </c>
      <c r="R65">
        <f t="shared" ref="R65" si="302">R66+Q65</f>
        <v>-53739409.827298805</v>
      </c>
      <c r="S65">
        <f t="shared" ref="S65" si="303">R65/100000</f>
        <v>-537.394098272988</v>
      </c>
      <c r="T65">
        <f t="shared" ref="T65" si="304">S65/1000</f>
        <v>-0.53739409827298801</v>
      </c>
    </row>
    <row r="66" spans="1:20" x14ac:dyDescent="0.25">
      <c r="A66" s="5">
        <v>44527</v>
      </c>
      <c r="B66">
        <v>0.33950000000000002</v>
      </c>
      <c r="C66">
        <v>0.36199999999999999</v>
      </c>
      <c r="D66">
        <v>0.32500000000000001</v>
      </c>
      <c r="E66">
        <v>0.35799999999999998</v>
      </c>
      <c r="F66">
        <v>14988231</v>
      </c>
      <c r="G66">
        <v>0.35799999999999998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0.78378378378378344</v>
      </c>
      <c r="Q66">
        <f t="shared" ref="Q66" si="306">F66*P66</f>
        <v>11747532.4054054</v>
      </c>
      <c r="R66">
        <f t="shared" ref="R66" si="307">R67+Q66</f>
        <v>-55090284.251759239</v>
      </c>
      <c r="S66">
        <f t="shared" ref="S66" si="308">R66/100000</f>
        <v>-550.90284251759238</v>
      </c>
      <c r="T66">
        <f t="shared" ref="T66" si="309">S66/1000</f>
        <v>-0.55090284251759236</v>
      </c>
    </row>
    <row r="67" spans="1:20" x14ac:dyDescent="0.25">
      <c r="A67" s="5">
        <v>44526</v>
      </c>
      <c r="B67">
        <v>0.32969999999999999</v>
      </c>
      <c r="C67">
        <v>0.36349999999999999</v>
      </c>
      <c r="D67">
        <v>0.30070000000000002</v>
      </c>
      <c r="E67">
        <v>0.33929999999999999</v>
      </c>
      <c r="F67">
        <v>18778700</v>
      </c>
      <c r="G67">
        <v>0.33929999999999999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0.22929936305732446</v>
      </c>
      <c r="Q67">
        <f t="shared" ref="Q67" si="311">F67*P67</f>
        <v>4305943.9490445787</v>
      </c>
      <c r="R67">
        <f t="shared" ref="R67" si="312">R68+Q67</f>
        <v>-66837816.657164641</v>
      </c>
      <c r="S67">
        <f t="shared" ref="S67" si="313">R67/100000</f>
        <v>-668.37816657164637</v>
      </c>
      <c r="T67">
        <f t="shared" ref="T67" si="314">S67/1000</f>
        <v>-0.66837816657164639</v>
      </c>
    </row>
    <row r="68" spans="1:20" x14ac:dyDescent="0.25">
      <c r="A68" s="5">
        <v>44525</v>
      </c>
      <c r="B68">
        <v>0.31929999999999997</v>
      </c>
      <c r="C68">
        <v>0.33429999999999999</v>
      </c>
      <c r="D68">
        <v>0.31419999999999998</v>
      </c>
      <c r="E68">
        <v>0.32900000000000001</v>
      </c>
      <c r="F68">
        <v>6540308</v>
      </c>
      <c r="G68">
        <v>0.32900000000000001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0.47263681592040102</v>
      </c>
      <c r="Q68">
        <f t="shared" ref="Q68" si="316">F68*P68</f>
        <v>3091190.3482587263</v>
      </c>
      <c r="R68">
        <f t="shared" ref="R68" si="317">R69+Q68</f>
        <v>-71143760.606209219</v>
      </c>
      <c r="S68">
        <f t="shared" ref="S68" si="318">R68/100000</f>
        <v>-711.43760606209219</v>
      </c>
      <c r="T68">
        <f t="shared" ref="T68" si="319">S68/1000</f>
        <v>-0.71143760606209216</v>
      </c>
    </row>
    <row r="69" spans="1:20" x14ac:dyDescent="0.25">
      <c r="A69" s="5">
        <v>44524</v>
      </c>
      <c r="B69">
        <v>0.32800000000000001</v>
      </c>
      <c r="C69">
        <v>0.3281</v>
      </c>
      <c r="D69">
        <v>0.31469999999999998</v>
      </c>
      <c r="E69">
        <v>0.31669999999999998</v>
      </c>
      <c r="F69">
        <v>1340579</v>
      </c>
      <c r="G69">
        <v>0.31669999999999998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-0.70149253731343308</v>
      </c>
      <c r="Q69">
        <f t="shared" ref="Q69" si="321">F69*P69</f>
        <v>-940406.16417910485</v>
      </c>
      <c r="R69">
        <f t="shared" ref="R69" si="322">R70+Q69</f>
        <v>-74234950.954467937</v>
      </c>
      <c r="S69">
        <f t="shared" ref="S69" si="323">R69/100000</f>
        <v>-742.34950954467934</v>
      </c>
      <c r="T69">
        <f t="shared" ref="T69" si="324">S69/1000</f>
        <v>-0.74234950954467938</v>
      </c>
    </row>
    <row r="70" spans="1:20" x14ac:dyDescent="0.25">
      <c r="A70" s="5">
        <v>44523</v>
      </c>
      <c r="B70">
        <v>0.31630000000000003</v>
      </c>
      <c r="C70">
        <v>0.33069999999999999</v>
      </c>
      <c r="D70">
        <v>0.31119999999999998</v>
      </c>
      <c r="E70">
        <v>0.3281</v>
      </c>
      <c r="F70">
        <v>4442897</v>
      </c>
      <c r="G70">
        <v>0.3281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0.7333333333333345</v>
      </c>
      <c r="Q70">
        <f t="shared" ref="Q70" si="326">F70*P70</f>
        <v>3258124.4666666719</v>
      </c>
      <c r="R70">
        <f t="shared" ref="R70" si="327">R71+Q70</f>
        <v>-73294544.790288836</v>
      </c>
      <c r="S70">
        <f t="shared" ref="S70" si="328">R70/100000</f>
        <v>-732.9454479028883</v>
      </c>
      <c r="T70">
        <f t="shared" ref="T70" si="329">S70/1000</f>
        <v>-0.73294544790288829</v>
      </c>
    </row>
    <row r="71" spans="1:20" x14ac:dyDescent="0.25">
      <c r="A71" s="5">
        <v>44522</v>
      </c>
      <c r="B71">
        <v>0.33489999999999998</v>
      </c>
      <c r="C71">
        <v>0.33489999999999998</v>
      </c>
      <c r="D71">
        <v>0.31209999999999999</v>
      </c>
      <c r="E71">
        <v>0.31709999999999999</v>
      </c>
      <c r="F71">
        <v>4784510</v>
      </c>
      <c r="G71">
        <v>0.31709999999999999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-0.56140350877192924</v>
      </c>
      <c r="Q71">
        <f t="shared" ref="Q71" si="331">F71*P71</f>
        <v>-2686040.7017543833</v>
      </c>
      <c r="R71">
        <f t="shared" ref="R71" si="332">R72+Q71</f>
        <v>-76552669.256955504</v>
      </c>
      <c r="S71">
        <f t="shared" ref="S71" si="333">R71/100000</f>
        <v>-765.52669256955505</v>
      </c>
      <c r="T71">
        <f t="shared" ref="T71" si="334">S71/1000</f>
        <v>-0.76552669256955508</v>
      </c>
    </row>
    <row r="72" spans="1:20" x14ac:dyDescent="0.25">
      <c r="A72" s="5">
        <v>44521</v>
      </c>
      <c r="B72">
        <v>0.3367</v>
      </c>
      <c r="C72">
        <v>0.34139999999999998</v>
      </c>
      <c r="D72">
        <v>0.32950000000000002</v>
      </c>
      <c r="E72">
        <v>0.33500000000000002</v>
      </c>
      <c r="F72">
        <v>4409193</v>
      </c>
      <c r="G72">
        <v>0.33500000000000002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-7.5630252100836889E-2</v>
      </c>
      <c r="Q72">
        <f t="shared" ref="Q72" si="336">F72*P72</f>
        <v>-333468.3781512453</v>
      </c>
      <c r="R72">
        <f t="shared" ref="R72" si="337">R73+Q72</f>
        <v>-73866628.555201128</v>
      </c>
      <c r="S72">
        <f t="shared" ref="S72" si="338">R72/100000</f>
        <v>-738.66628555201123</v>
      </c>
      <c r="T72">
        <f t="shared" ref="T72" si="339">S72/1000</f>
        <v>-0.73866628555201119</v>
      </c>
    </row>
    <row r="73" spans="1:20" x14ac:dyDescent="0.25">
      <c r="A73" s="5">
        <v>44520</v>
      </c>
      <c r="B73">
        <v>0.3206</v>
      </c>
      <c r="C73">
        <v>0.38</v>
      </c>
      <c r="D73">
        <v>0.31809999999999999</v>
      </c>
      <c r="E73">
        <v>0.33660000000000001</v>
      </c>
      <c r="F73">
        <v>9626062</v>
      </c>
      <c r="G73">
        <v>0.33660000000000001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-0.402261712439418</v>
      </c>
      <c r="Q73">
        <f t="shared" ref="Q73" si="341">F73*P73</f>
        <v>-3872196.1841680091</v>
      </c>
      <c r="R73">
        <f t="shared" ref="R73" si="342">R74+Q73</f>
        <v>-73533160.17704989</v>
      </c>
      <c r="S73">
        <f t="shared" ref="S73" si="343">R73/100000</f>
        <v>-735.33160177049888</v>
      </c>
      <c r="T73">
        <f t="shared" ref="T73" si="344">S73/1000</f>
        <v>-0.73533160177049883</v>
      </c>
    </row>
    <row r="74" spans="1:20" x14ac:dyDescent="0.25">
      <c r="A74" s="5">
        <v>44519</v>
      </c>
      <c r="B74">
        <v>0.30690000000000001</v>
      </c>
      <c r="C74">
        <v>0.32169999999999999</v>
      </c>
      <c r="D74">
        <v>0.28949999999999998</v>
      </c>
      <c r="E74">
        <v>0.32079999999999997</v>
      </c>
      <c r="F74">
        <v>7856076</v>
      </c>
      <c r="G74">
        <v>0.32079999999999997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0.94409937888198681</v>
      </c>
      <c r="Q74">
        <f t="shared" ref="Q74" si="346">F74*P74</f>
        <v>7416916.4720496833</v>
      </c>
      <c r="R74">
        <f t="shared" ref="R74" si="347">R75+Q74</f>
        <v>-69660963.992881879</v>
      </c>
      <c r="S74">
        <f t="shared" ref="S74" si="348">R74/100000</f>
        <v>-696.60963992881875</v>
      </c>
      <c r="T74">
        <f t="shared" ref="T74" si="349">S74/1000</f>
        <v>-0.69660963992881875</v>
      </c>
    </row>
    <row r="75" spans="1:20" x14ac:dyDescent="0.25">
      <c r="A75" s="5">
        <v>44518</v>
      </c>
      <c r="B75">
        <v>0.3639</v>
      </c>
      <c r="C75">
        <v>0.39900000000000002</v>
      </c>
      <c r="D75">
        <v>0.29599999999999999</v>
      </c>
      <c r="E75">
        <v>0.30719999999999997</v>
      </c>
      <c r="F75">
        <v>15608908</v>
      </c>
      <c r="G75">
        <v>0.30719999999999997</v>
      </c>
      <c r="L75" t="s">
        <v>8</v>
      </c>
      <c r="M75" t="s">
        <v>8</v>
      </c>
      <c r="N75" t="s">
        <v>8</v>
      </c>
      <c r="P75">
        <f t="shared" ref="P75" si="350">IF(C75=D75,0,((E75-D75)-(C75-E75))/(C75-D75))</f>
        <v>-0.78252427184466056</v>
      </c>
      <c r="Q75">
        <f t="shared" ref="Q75" si="351">F75*P75</f>
        <v>-12214349.366990296</v>
      </c>
      <c r="R75">
        <f t="shared" ref="R75" si="352">R76+Q75</f>
        <v>-77077880.464931563</v>
      </c>
      <c r="S75">
        <f t="shared" ref="S75" si="353">R75/100000</f>
        <v>-770.77880464931559</v>
      </c>
      <c r="T75">
        <f t="shared" ref="T75" si="354">S75/1000</f>
        <v>-0.77077880464931559</v>
      </c>
    </row>
    <row r="76" spans="1:20" x14ac:dyDescent="0.25">
      <c r="A76" s="5">
        <v>44517</v>
      </c>
      <c r="B76">
        <v>0.34429999999999999</v>
      </c>
      <c r="C76">
        <v>0.36599999999999999</v>
      </c>
      <c r="D76">
        <v>0.32479999999999998</v>
      </c>
      <c r="E76">
        <v>0.3634</v>
      </c>
      <c r="F76">
        <v>12584992</v>
      </c>
      <c r="G76">
        <v>0.3634</v>
      </c>
      <c r="L76" t="s">
        <v>8</v>
      </c>
      <c r="M76" t="s">
        <v>8</v>
      </c>
      <c r="N76" t="s">
        <v>8</v>
      </c>
      <c r="P76">
        <f t="shared" ref="P76" si="355">IF(C76=D76,0,((E76-D76)-(C76-E76))/(C76-D76))</f>
        <v>0.87378640776699079</v>
      </c>
      <c r="Q76">
        <f t="shared" ref="Q76" si="356">F76*P76</f>
        <v>10996594.951456318</v>
      </c>
      <c r="R76">
        <f t="shared" ref="R76" si="357">R77+Q76</f>
        <v>-64863531.097941272</v>
      </c>
      <c r="S76">
        <f t="shared" ref="S76" si="358">R76/100000</f>
        <v>-648.63531097941268</v>
      </c>
      <c r="T76">
        <f t="shared" ref="T76" si="359">S76/1000</f>
        <v>-0.64863531097941263</v>
      </c>
    </row>
    <row r="77" spans="1:20" x14ac:dyDescent="0.25">
      <c r="A77" s="5">
        <v>44516</v>
      </c>
      <c r="B77">
        <v>0.34029999999999999</v>
      </c>
      <c r="C77">
        <v>0.35170000000000001</v>
      </c>
      <c r="D77">
        <v>0.30630000000000002</v>
      </c>
      <c r="E77">
        <v>0.34429999999999999</v>
      </c>
      <c r="F77">
        <v>21098742</v>
      </c>
      <c r="G77">
        <v>0.34429999999999999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0.67400881057268647</v>
      </c>
      <c r="Q77">
        <f t="shared" ref="Q77" si="361">F77*P77</f>
        <v>14220737.999999983</v>
      </c>
      <c r="R77">
        <f t="shared" ref="R77" si="362">R78+Q77</f>
        <v>-75860126.049397588</v>
      </c>
      <c r="S77">
        <f t="shared" ref="S77" si="363">R77/100000</f>
        <v>-758.60126049397593</v>
      </c>
      <c r="T77">
        <f t="shared" ref="T77" si="364">S77/1000</f>
        <v>-0.75860126049397592</v>
      </c>
    </row>
    <row r="78" spans="1:20" x14ac:dyDescent="0.25">
      <c r="A78" s="5">
        <v>44515</v>
      </c>
      <c r="B78">
        <v>0.3266</v>
      </c>
      <c r="C78">
        <v>0.35199999999999998</v>
      </c>
      <c r="D78">
        <v>0.32100000000000001</v>
      </c>
      <c r="E78">
        <v>0.3392</v>
      </c>
      <c r="F78">
        <v>14280071</v>
      </c>
      <c r="G78">
        <v>0.3392</v>
      </c>
      <c r="L78" t="s">
        <v>8</v>
      </c>
      <c r="M78" t="s">
        <v>7</v>
      </c>
      <c r="N78" t="s">
        <v>8</v>
      </c>
      <c r="P78">
        <f t="shared" ref="P78" si="365">IF(C78=D78,0,((E78-D78)-(C78-E78))/(C78-D78))</f>
        <v>0.17419354838709744</v>
      </c>
      <c r="Q78">
        <f t="shared" ref="Q78" si="366">F78*P78</f>
        <v>2487496.2387096868</v>
      </c>
      <c r="R78">
        <f t="shared" ref="R78" si="367">R79+Q78</f>
        <v>-90080864.049397573</v>
      </c>
      <c r="S78">
        <f t="shared" ref="S78" si="368">R78/100000</f>
        <v>-900.80864049397576</v>
      </c>
      <c r="T78">
        <f t="shared" ref="T78" si="369">S78/1000</f>
        <v>-0.9008086404939758</v>
      </c>
    </row>
    <row r="79" spans="1:20" x14ac:dyDescent="0.25">
      <c r="A79" s="5">
        <v>44514</v>
      </c>
      <c r="B79">
        <v>0.32400000000000001</v>
      </c>
      <c r="C79">
        <v>0.34539999999999998</v>
      </c>
      <c r="D79">
        <v>0.31769999999999998</v>
      </c>
      <c r="E79">
        <v>0.32550000000000001</v>
      </c>
      <c r="F79">
        <v>11192348</v>
      </c>
      <c r="G79">
        <v>0.32550000000000001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-0.43682310469313873</v>
      </c>
      <c r="Q79">
        <f t="shared" ref="Q79" si="371">F79*P79</f>
        <v>-4889076.2021660423</v>
      </c>
      <c r="R79">
        <f t="shared" ref="R79" si="372">R80+Q79</f>
        <v>-92568360.288107261</v>
      </c>
      <c r="S79">
        <f t="shared" ref="S79" si="373">R79/100000</f>
        <v>-925.6836028810726</v>
      </c>
      <c r="T79">
        <f t="shared" ref="T79" si="374">S79/1000</f>
        <v>-0.92568360288107265</v>
      </c>
    </row>
    <row r="80" spans="1:20" x14ac:dyDescent="0.25">
      <c r="A80" s="5">
        <v>44513</v>
      </c>
      <c r="B80">
        <v>0.31640000000000001</v>
      </c>
      <c r="C80">
        <v>0.33289999999999997</v>
      </c>
      <c r="D80">
        <v>0.31530000000000002</v>
      </c>
      <c r="E80">
        <v>0.3236</v>
      </c>
      <c r="F80">
        <v>2549635</v>
      </c>
      <c r="G80">
        <v>0.3236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-5.6818181818182031E-2</v>
      </c>
      <c r="Q80">
        <f t="shared" ref="Q80" si="376">F80*P80</f>
        <v>-144865.62500000055</v>
      </c>
      <c r="R80">
        <f t="shared" ref="R80" si="377">R81+Q80</f>
        <v>-87679284.085941225</v>
      </c>
      <c r="S80">
        <f t="shared" ref="S80" si="378">R80/100000</f>
        <v>-876.79284085941231</v>
      </c>
      <c r="T80">
        <f t="shared" ref="T80" si="379">S80/1000</f>
        <v>-0.87679284085941234</v>
      </c>
    </row>
    <row r="81" spans="1:20" x14ac:dyDescent="0.25">
      <c r="A81" s="5">
        <v>44512</v>
      </c>
      <c r="B81">
        <v>0.32540000000000002</v>
      </c>
      <c r="C81">
        <v>0.32619999999999999</v>
      </c>
      <c r="D81">
        <v>0.30830000000000002</v>
      </c>
      <c r="E81">
        <v>0.31640000000000001</v>
      </c>
      <c r="F81">
        <v>3437391</v>
      </c>
      <c r="G81">
        <v>0.31640000000000001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-9.4972067039105143E-2</v>
      </c>
      <c r="Q81">
        <f t="shared" ref="Q81" si="381">F81*P81</f>
        <v>-326456.12849161669</v>
      </c>
      <c r="R81">
        <f t="shared" ref="R81" si="382">R82+Q81</f>
        <v>-87534418.460941225</v>
      </c>
      <c r="S81">
        <f t="shared" ref="S81" si="383">R81/100000</f>
        <v>-875.34418460941231</v>
      </c>
      <c r="T81">
        <f t="shared" ref="T81" si="384">S81/1000</f>
        <v>-0.87534418460941232</v>
      </c>
    </row>
    <row r="82" spans="1:20" x14ac:dyDescent="0.25">
      <c r="A82" s="5">
        <v>44511</v>
      </c>
      <c r="B82">
        <v>0.316</v>
      </c>
      <c r="C82">
        <v>0.33200000000000002</v>
      </c>
      <c r="D82">
        <v>0.3115</v>
      </c>
      <c r="E82">
        <v>0.32579999999999998</v>
      </c>
      <c r="F82">
        <v>6558703</v>
      </c>
      <c r="G82">
        <v>0.32579999999999998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0.39512195121950894</v>
      </c>
      <c r="Q82">
        <f t="shared" ref="Q82" si="386">F82*P82</f>
        <v>2591487.5268292469</v>
      </c>
      <c r="R82">
        <f t="shared" ref="R82" si="387">R83+Q82</f>
        <v>-87207962.332449615</v>
      </c>
      <c r="S82">
        <f t="shared" ref="S82" si="388">R82/100000</f>
        <v>-872.0796233244962</v>
      </c>
      <c r="T82">
        <f t="shared" ref="T82" si="389">S82/1000</f>
        <v>-0.87207962332449618</v>
      </c>
    </row>
    <row r="83" spans="1:20" x14ac:dyDescent="0.25">
      <c r="A83" s="5">
        <v>44510</v>
      </c>
      <c r="B83">
        <v>0.3332</v>
      </c>
      <c r="C83">
        <v>0.3352</v>
      </c>
      <c r="D83">
        <v>0.30830000000000002</v>
      </c>
      <c r="E83">
        <v>0.316</v>
      </c>
      <c r="F83">
        <v>7288401</v>
      </c>
      <c r="G83">
        <v>0.316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-0.42750929368029811</v>
      </c>
      <c r="Q83">
        <f t="shared" ref="Q83" si="391">F83*P83</f>
        <v>-3115859.1635687784</v>
      </c>
      <c r="R83">
        <f t="shared" ref="R83" si="392">R84+Q83</f>
        <v>-89799449.859278858</v>
      </c>
      <c r="S83">
        <f t="shared" ref="S83" si="393">R83/100000</f>
        <v>-897.99449859278855</v>
      </c>
      <c r="T83">
        <f t="shared" ref="T83" si="394">S83/1000</f>
        <v>-0.89799449859278857</v>
      </c>
    </row>
    <row r="84" spans="1:20" x14ac:dyDescent="0.25">
      <c r="A84" s="5">
        <v>44509</v>
      </c>
      <c r="B84">
        <v>0.3347</v>
      </c>
      <c r="C84">
        <v>0.34200000000000003</v>
      </c>
      <c r="D84">
        <v>0.32900000000000001</v>
      </c>
      <c r="E84">
        <v>0.33379999999999999</v>
      </c>
      <c r="F84">
        <v>5186419</v>
      </c>
      <c r="G84">
        <v>0.33379999999999999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-0.26153846153846666</v>
      </c>
      <c r="Q84">
        <f t="shared" ref="Q84" si="396">F84*P84</f>
        <v>-1356448.0461538727</v>
      </c>
      <c r="R84">
        <f t="shared" ref="R84" si="397">R85+Q84</f>
        <v>-86683590.695710078</v>
      </c>
      <c r="S84">
        <f t="shared" ref="S84" si="398">R84/100000</f>
        <v>-866.83590695710075</v>
      </c>
      <c r="T84">
        <f t="shared" ref="T84" si="399">S84/1000</f>
        <v>-0.86683590695710078</v>
      </c>
    </row>
    <row r="85" spans="1:20" x14ac:dyDescent="0.25">
      <c r="A85" s="5">
        <v>44508</v>
      </c>
      <c r="B85">
        <v>0.34289999999999998</v>
      </c>
      <c r="C85">
        <v>0.34320000000000001</v>
      </c>
      <c r="D85">
        <v>0.32729999999999998</v>
      </c>
      <c r="E85">
        <v>0.3342</v>
      </c>
      <c r="F85">
        <v>6102133</v>
      </c>
      <c r="G85">
        <v>0.3342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-0.13207547169811243</v>
      </c>
      <c r="Q85">
        <f t="shared" ref="Q85" si="401">F85*P85</f>
        <v>-805942.09433961788</v>
      </c>
      <c r="R85">
        <f t="shared" ref="R85" si="402">R86+Q85</f>
        <v>-85327142.649556205</v>
      </c>
      <c r="S85">
        <f t="shared" ref="S85" si="403">R85/100000</f>
        <v>-853.27142649556208</v>
      </c>
      <c r="T85">
        <f t="shared" ref="T85" si="404">S85/1000</f>
        <v>-0.85327142649556209</v>
      </c>
    </row>
    <row r="86" spans="1:20" x14ac:dyDescent="0.25">
      <c r="A86" s="5">
        <v>44507</v>
      </c>
      <c r="B86">
        <v>0.35670000000000002</v>
      </c>
      <c r="C86">
        <v>0.3569</v>
      </c>
      <c r="D86">
        <v>0.33989999999999998</v>
      </c>
      <c r="E86">
        <v>0.34289999999999998</v>
      </c>
      <c r="F86">
        <v>4663622</v>
      </c>
      <c r="G86">
        <v>0.34289999999999998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-0.6470588235294118</v>
      </c>
      <c r="Q86">
        <f t="shared" ref="Q86" si="406">F86*P86</f>
        <v>-3017637.7647058824</v>
      </c>
      <c r="R86">
        <f t="shared" ref="R86" si="407">R87+Q86</f>
        <v>-84521200.555216581</v>
      </c>
      <c r="S86">
        <f t="shared" ref="S86" si="408">R86/100000</f>
        <v>-845.21200555216581</v>
      </c>
      <c r="T86">
        <f t="shared" ref="T86" si="409">S86/1000</f>
        <v>-0.8452120055521658</v>
      </c>
    </row>
    <row r="87" spans="1:20" x14ac:dyDescent="0.25">
      <c r="A87" s="5">
        <v>44506</v>
      </c>
      <c r="B87">
        <v>0.3382</v>
      </c>
      <c r="C87">
        <v>0.41849999999999998</v>
      </c>
      <c r="D87">
        <v>0.3382</v>
      </c>
      <c r="E87">
        <v>0.35699999999999998</v>
      </c>
      <c r="F87">
        <v>20272467</v>
      </c>
      <c r="G87">
        <v>0.35699999999999998</v>
      </c>
      <c r="L87" t="s">
        <v>8</v>
      </c>
      <c r="M87" t="s">
        <v>8</v>
      </c>
      <c r="N87" t="s">
        <v>8</v>
      </c>
      <c r="P87">
        <f t="shared" ref="P87" si="410">IF(C87=D87,0,((E87-D87)-(C87-E87))/(C87-D87))</f>
        <v>-0.5317559153175595</v>
      </c>
      <c r="Q87">
        <f t="shared" ref="Q87" si="411">F87*P87</f>
        <v>-10780004.245330019</v>
      </c>
      <c r="R87">
        <f t="shared" ref="R87" si="412">R88+Q87</f>
        <v>-81503562.790510699</v>
      </c>
      <c r="S87">
        <f t="shared" ref="S87" si="413">R87/100000</f>
        <v>-815.03562790510694</v>
      </c>
      <c r="T87">
        <f t="shared" ref="T87" si="414">S87/1000</f>
        <v>-0.81503562790510697</v>
      </c>
    </row>
    <row r="88" spans="1:20" x14ac:dyDescent="0.25">
      <c r="A88" s="5">
        <v>44505</v>
      </c>
      <c r="B88">
        <v>0.34429999999999999</v>
      </c>
      <c r="C88">
        <v>0.36499999999999999</v>
      </c>
      <c r="D88">
        <v>0.33279999999999998</v>
      </c>
      <c r="E88">
        <v>0.3367</v>
      </c>
      <c r="F88">
        <v>4183653</v>
      </c>
      <c r="G88">
        <v>0.3367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-0.7577639751552786</v>
      </c>
      <c r="Q88">
        <f t="shared" ref="Q88" si="416">F88*P88</f>
        <v>-3170221.5279503069</v>
      </c>
      <c r="R88">
        <f t="shared" ref="R88" si="417">R89+Q88</f>
        <v>-70723558.545180678</v>
      </c>
      <c r="S88">
        <f t="shared" ref="S88" si="418">R88/100000</f>
        <v>-707.23558545180674</v>
      </c>
      <c r="T88">
        <f t="shared" ref="T88" si="419">S88/1000</f>
        <v>-0.70723558545180676</v>
      </c>
    </row>
    <row r="89" spans="1:20" x14ac:dyDescent="0.25">
      <c r="A89" s="5">
        <v>44504</v>
      </c>
      <c r="B89">
        <v>0.3397</v>
      </c>
      <c r="C89">
        <v>0.35260000000000002</v>
      </c>
      <c r="D89">
        <v>0.33410000000000001</v>
      </c>
      <c r="E89">
        <v>0.34460000000000002</v>
      </c>
      <c r="F89">
        <v>6162846</v>
      </c>
      <c r="G89">
        <v>0.34460000000000002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0.13513513513513514</v>
      </c>
      <c r="Q89">
        <f t="shared" ref="Q89" si="421">F89*P89</f>
        <v>832817.0270270271</v>
      </c>
      <c r="R89">
        <f t="shared" ref="R89" si="422">R90+Q89</f>
        <v>-67553337.017230377</v>
      </c>
      <c r="S89">
        <f t="shared" ref="S89" si="423">R89/100000</f>
        <v>-675.53337017230376</v>
      </c>
      <c r="T89">
        <f t="shared" ref="T89" si="424">S89/1000</f>
        <v>-0.67553337017230375</v>
      </c>
    </row>
    <row r="90" spans="1:20" x14ac:dyDescent="0.25">
      <c r="A90" s="5">
        <v>44503</v>
      </c>
      <c r="B90">
        <v>0.3468</v>
      </c>
      <c r="C90">
        <v>0.35099999999999998</v>
      </c>
      <c r="D90">
        <v>0.32669999999999999</v>
      </c>
      <c r="E90">
        <v>0.33960000000000001</v>
      </c>
      <c r="F90">
        <v>4298033</v>
      </c>
      <c r="G90">
        <v>0.33960000000000001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6.1728395061730765E-2</v>
      </c>
      <c r="Q90">
        <f t="shared" ref="Q90" si="426">F90*P90</f>
        <v>265310.67901235586</v>
      </c>
      <c r="R90">
        <f t="shared" ref="R90" si="427">R91+Q90</f>
        <v>-68386154.044257402</v>
      </c>
      <c r="S90">
        <f t="shared" ref="S90" si="428">R90/100000</f>
        <v>-683.86154044257398</v>
      </c>
      <c r="T90">
        <f t="shared" ref="T90" si="429">S90/1000</f>
        <v>-0.68386154044257397</v>
      </c>
    </row>
    <row r="91" spans="1:20" x14ac:dyDescent="0.25">
      <c r="A91" s="5">
        <v>44502</v>
      </c>
      <c r="B91">
        <v>0.34150000000000003</v>
      </c>
      <c r="C91">
        <v>0.34749999999999998</v>
      </c>
      <c r="D91">
        <v>0.33229999999999998</v>
      </c>
      <c r="E91">
        <v>0.3473</v>
      </c>
      <c r="F91">
        <v>3016921</v>
      </c>
      <c r="G91">
        <v>0.3473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0.97368421052631871</v>
      </c>
      <c r="Q91">
        <f t="shared" ref="Q91" si="431">F91*P91</f>
        <v>2937528.3421052718</v>
      </c>
      <c r="R91">
        <f t="shared" ref="R91" si="432">R92+Q91</f>
        <v>-68651464.723269761</v>
      </c>
      <c r="S91">
        <f t="shared" ref="S91" si="433">R91/100000</f>
        <v>-686.5146472326976</v>
      </c>
      <c r="T91">
        <f t="shared" ref="T91" si="434">S91/1000</f>
        <v>-0.68651464723269762</v>
      </c>
    </row>
    <row r="92" spans="1:20" x14ac:dyDescent="0.25">
      <c r="A92" s="5">
        <v>44501</v>
      </c>
      <c r="B92">
        <v>0.34150000000000003</v>
      </c>
      <c r="C92">
        <v>0.34749999999999998</v>
      </c>
      <c r="D92">
        <v>0.31879999999999997</v>
      </c>
      <c r="E92">
        <v>0.34100000000000003</v>
      </c>
      <c r="F92">
        <v>5929605</v>
      </c>
      <c r="G92">
        <v>0.34100000000000003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0.5470383275261359</v>
      </c>
      <c r="Q92">
        <f t="shared" ref="Q92" si="436">F92*P92</f>
        <v>3243721.2020906131</v>
      </c>
      <c r="R92">
        <f t="shared" ref="R92" si="437">R93+Q92</f>
        <v>-71588993.06537503</v>
      </c>
      <c r="S92">
        <f t="shared" ref="S92" si="438">R92/100000</f>
        <v>-715.8899306537503</v>
      </c>
      <c r="T92">
        <f t="shared" ref="T92" si="439">S92/1000</f>
        <v>-0.71588993065375028</v>
      </c>
    </row>
    <row r="93" spans="1:20" x14ac:dyDescent="0.25">
      <c r="A93" s="5">
        <v>44500</v>
      </c>
      <c r="B93">
        <v>0.32569999999999999</v>
      </c>
      <c r="C93">
        <v>0.34300000000000003</v>
      </c>
      <c r="D93">
        <v>0.31340000000000001</v>
      </c>
      <c r="E93">
        <v>0.34150000000000003</v>
      </c>
      <c r="F93">
        <v>6573932</v>
      </c>
      <c r="G93">
        <v>0.34150000000000003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0.89864864864864857</v>
      </c>
      <c r="Q93">
        <f t="shared" ref="Q93" si="441">F93*P93</f>
        <v>5907655.1081081079</v>
      </c>
      <c r="R93">
        <f t="shared" ref="R93" si="442">R94+Q93</f>
        <v>-74832714.267465636</v>
      </c>
      <c r="S93">
        <f t="shared" ref="S93" si="443">R93/100000</f>
        <v>-748.32714267465633</v>
      </c>
      <c r="T93">
        <f t="shared" ref="T93" si="444">S93/1000</f>
        <v>-0.74832714267465628</v>
      </c>
    </row>
    <row r="94" spans="1:20" x14ac:dyDescent="0.25">
      <c r="A94" s="5">
        <v>44499</v>
      </c>
      <c r="B94">
        <v>0.31369999999999998</v>
      </c>
      <c r="C94">
        <v>0.32869999999999999</v>
      </c>
      <c r="D94">
        <v>0.30940000000000001</v>
      </c>
      <c r="E94">
        <v>0.32519999999999999</v>
      </c>
      <c r="F94">
        <v>5125540</v>
      </c>
      <c r="G94">
        <v>0.32519999999999999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0.63730569948186466</v>
      </c>
      <c r="Q94">
        <f t="shared" ref="Q94" si="446">F94*P94</f>
        <v>3266535.8549222765</v>
      </c>
      <c r="R94">
        <f t="shared" ref="R94" si="447">R95+Q94</f>
        <v>-80740369.375573739</v>
      </c>
      <c r="S94">
        <f t="shared" ref="S94" si="448">R94/100000</f>
        <v>-807.40369375573744</v>
      </c>
      <c r="T94">
        <f t="shared" ref="T94" si="449">S94/1000</f>
        <v>-0.80740369375573739</v>
      </c>
    </row>
    <row r="95" spans="1:20" x14ac:dyDescent="0.25">
      <c r="A95" s="5">
        <v>44498</v>
      </c>
      <c r="B95">
        <v>0.30259999999999998</v>
      </c>
      <c r="C95">
        <v>0.31480000000000002</v>
      </c>
      <c r="D95">
        <v>0.29799999999999999</v>
      </c>
      <c r="E95">
        <v>0.3135</v>
      </c>
      <c r="F95">
        <v>2901569</v>
      </c>
      <c r="G95">
        <v>0.3135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0.84523809523809279</v>
      </c>
      <c r="Q95">
        <f t="shared" ref="Q95" si="451">F95*P95</f>
        <v>2452516.6547618979</v>
      </c>
      <c r="R95">
        <f t="shared" ref="R95" si="452">R96+Q95</f>
        <v>-84006905.230496019</v>
      </c>
      <c r="S95">
        <f t="shared" ref="S95" si="453">R95/100000</f>
        <v>-840.06905230496022</v>
      </c>
      <c r="T95">
        <f t="shared" ref="T95" si="454">S95/1000</f>
        <v>-0.84006905230496021</v>
      </c>
    </row>
    <row r="96" spans="1:20" x14ac:dyDescent="0.25">
      <c r="A96" s="5">
        <v>44497</v>
      </c>
      <c r="B96">
        <v>0.28739999999999999</v>
      </c>
      <c r="C96">
        <v>0.3029</v>
      </c>
      <c r="D96">
        <v>0.27589999999999998</v>
      </c>
      <c r="E96">
        <v>0.30259999999999998</v>
      </c>
      <c r="F96">
        <v>3251244</v>
      </c>
      <c r="G96">
        <v>0.30259999999999998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0.97777777777777608</v>
      </c>
      <c r="Q96">
        <f t="shared" ref="Q96" si="456">F96*P96</f>
        <v>3178994.1333333277</v>
      </c>
      <c r="R96">
        <f t="shared" ref="R96" si="457">R97+Q96</f>
        <v>-86459421.885257915</v>
      </c>
      <c r="S96">
        <f t="shared" ref="S96" si="458">R96/100000</f>
        <v>-864.59421885257916</v>
      </c>
      <c r="T96">
        <f t="shared" ref="T96" si="459">S96/1000</f>
        <v>-0.86459421885257914</v>
      </c>
    </row>
    <row r="97" spans="1:20" x14ac:dyDescent="0.25">
      <c r="A97" s="5">
        <v>44496</v>
      </c>
      <c r="B97">
        <v>0.32579999999999998</v>
      </c>
      <c r="C97">
        <v>0.32579999999999998</v>
      </c>
      <c r="D97">
        <v>0.27300000000000002</v>
      </c>
      <c r="E97">
        <v>0.28820000000000001</v>
      </c>
      <c r="F97">
        <v>7058811</v>
      </c>
      <c r="G97">
        <v>0.28820000000000001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-0.42424242424242409</v>
      </c>
      <c r="Q97">
        <f t="shared" ref="Q97" si="461">F97*P97</f>
        <v>-2994647.0909090899</v>
      </c>
      <c r="R97">
        <f t="shared" ref="R97" si="462">R98+Q97</f>
        <v>-89638416.01859124</v>
      </c>
      <c r="S97">
        <f t="shared" ref="S97" si="463">R97/100000</f>
        <v>-896.38416018591238</v>
      </c>
      <c r="T97">
        <f t="shared" ref="T97" si="464">S97/1000</f>
        <v>-0.89638416018591238</v>
      </c>
    </row>
    <row r="98" spans="1:20" x14ac:dyDescent="0.25">
      <c r="A98" s="5">
        <v>44495</v>
      </c>
      <c r="B98">
        <v>0.32629999999999998</v>
      </c>
      <c r="C98">
        <v>0.35</v>
      </c>
      <c r="D98">
        <v>0.32079999999999997</v>
      </c>
      <c r="E98">
        <v>0.32479999999999998</v>
      </c>
      <c r="F98">
        <v>7896992</v>
      </c>
      <c r="G98">
        <v>0.32479999999999998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-0.72602739726027377</v>
      </c>
      <c r="Q98">
        <f t="shared" ref="Q98" si="466">F98*P98</f>
        <v>-5733432.5479452042</v>
      </c>
      <c r="R98">
        <f t="shared" ref="R98" si="467">R99+Q98</f>
        <v>-86643768.927682146</v>
      </c>
      <c r="S98">
        <f t="shared" ref="S98" si="468">R98/100000</f>
        <v>-866.43768927682152</v>
      </c>
      <c r="T98">
        <f t="shared" ref="T98" si="469">S98/1000</f>
        <v>-0.86643768927682152</v>
      </c>
    </row>
    <row r="99" spans="1:20" x14ac:dyDescent="0.25">
      <c r="A99" s="5">
        <v>44494</v>
      </c>
      <c r="B99">
        <v>0.31830000000000003</v>
      </c>
      <c r="C99">
        <v>0.32769999999999999</v>
      </c>
      <c r="D99">
        <v>0.31830000000000003</v>
      </c>
      <c r="E99">
        <v>0.32579999999999998</v>
      </c>
      <c r="F99">
        <v>12137529</v>
      </c>
      <c r="G99">
        <v>0.32579999999999998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0.59574468085105958</v>
      </c>
      <c r="Q99">
        <f t="shared" ref="Q99" si="471">F99*P99</f>
        <v>7230868.3404254802</v>
      </c>
      <c r="R99">
        <f t="shared" ref="R99" si="472">R100+Q99</f>
        <v>-80910336.379736945</v>
      </c>
      <c r="S99">
        <f t="shared" ref="S99" si="473">R99/100000</f>
        <v>-809.10336379736941</v>
      </c>
      <c r="T99">
        <f t="shared" ref="T99" si="474">S99/1000</f>
        <v>-0.80910336379736936</v>
      </c>
    </row>
    <row r="100" spans="1:20" x14ac:dyDescent="0.25">
      <c r="A100" s="5">
        <v>44493</v>
      </c>
      <c r="B100">
        <v>0.3281</v>
      </c>
      <c r="C100">
        <v>0.33300000000000002</v>
      </c>
      <c r="D100">
        <v>0.3125</v>
      </c>
      <c r="E100">
        <v>0.31929999999999997</v>
      </c>
      <c r="F100">
        <v>41457945</v>
      </c>
      <c r="G100">
        <v>0.31929999999999997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-0.33658536585366178</v>
      </c>
      <c r="Q100">
        <f t="shared" ref="Q100" si="476">F100*P100</f>
        <v>-13954137.585365988</v>
      </c>
      <c r="R100">
        <f t="shared" ref="R100" si="477">R101+Q100</f>
        <v>-88141204.720162421</v>
      </c>
      <c r="S100">
        <f t="shared" ref="S100" si="478">R100/100000</f>
        <v>-881.4120472016242</v>
      </c>
      <c r="T100">
        <f t="shared" ref="T100" si="479">S100/1000</f>
        <v>-0.88141204720162425</v>
      </c>
    </row>
    <row r="101" spans="1:20" x14ac:dyDescent="0.25">
      <c r="A101" s="5">
        <v>44492</v>
      </c>
      <c r="B101">
        <v>0.32940000000000003</v>
      </c>
      <c r="C101">
        <v>0.33400000000000002</v>
      </c>
      <c r="D101">
        <v>0.32019999999999998</v>
      </c>
      <c r="E101">
        <v>0.32829999999999998</v>
      </c>
      <c r="F101">
        <v>10067434</v>
      </c>
      <c r="G101">
        <v>0.32829999999999998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0.17391304347825737</v>
      </c>
      <c r="Q101">
        <f t="shared" ref="Q101" si="481">F101*P101</f>
        <v>1750858.0869564866</v>
      </c>
      <c r="R101">
        <f t="shared" ref="R101" si="482">R102+Q101</f>
        <v>-74187067.134796441</v>
      </c>
      <c r="S101">
        <f t="shared" ref="S101" si="483">R101/100000</f>
        <v>-741.87067134796439</v>
      </c>
      <c r="T101">
        <f t="shared" ref="T101" si="484">S101/1000</f>
        <v>-0.74187067134796436</v>
      </c>
    </row>
    <row r="102" spans="1:20" x14ac:dyDescent="0.25">
      <c r="A102" s="5">
        <v>44491</v>
      </c>
      <c r="B102">
        <v>0.31280000000000002</v>
      </c>
      <c r="C102">
        <v>0.3483</v>
      </c>
      <c r="D102">
        <v>0.31190000000000001</v>
      </c>
      <c r="E102">
        <v>0.32940000000000003</v>
      </c>
      <c r="F102">
        <v>38334221</v>
      </c>
      <c r="G102">
        <v>0.32940000000000003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-3.8461538461537291E-2</v>
      </c>
      <c r="Q102">
        <f t="shared" ref="Q102" si="486">F102*P102</f>
        <v>-1474393.1153845706</v>
      </c>
      <c r="R102">
        <f t="shared" ref="R102" si="487">R103+Q102</f>
        <v>-75937925.221752927</v>
      </c>
      <c r="S102">
        <f t="shared" ref="S102" si="488">R102/100000</f>
        <v>-759.37925221752926</v>
      </c>
      <c r="T102">
        <f t="shared" ref="T102" si="489">S102/1000</f>
        <v>-0.75937925221752922</v>
      </c>
    </row>
    <row r="103" spans="1:20" x14ac:dyDescent="0.25">
      <c r="A103" s="5">
        <v>44490</v>
      </c>
      <c r="B103">
        <v>0.32650000000000001</v>
      </c>
      <c r="C103">
        <v>0.32990000000000003</v>
      </c>
      <c r="D103">
        <v>0.30819999999999997</v>
      </c>
      <c r="E103">
        <v>0.31309999999999999</v>
      </c>
      <c r="F103">
        <v>8728048</v>
      </c>
      <c r="G103">
        <v>0.31309999999999999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-0.54838709677419317</v>
      </c>
      <c r="Q103">
        <f t="shared" ref="Q103" si="491">F103*P103</f>
        <v>-4786348.9032258028</v>
      </c>
      <c r="R103">
        <f t="shared" ref="R103" si="492">R104+Q103</f>
        <v>-74463532.106368363</v>
      </c>
      <c r="S103">
        <f t="shared" ref="S103" si="493">R103/100000</f>
        <v>-744.63532106368359</v>
      </c>
      <c r="T103">
        <f t="shared" ref="T103" si="494">S103/1000</f>
        <v>-0.74463532106368358</v>
      </c>
    </row>
    <row r="104" spans="1:20" x14ac:dyDescent="0.25">
      <c r="A104" s="5">
        <v>44489</v>
      </c>
      <c r="B104">
        <v>0.31940000000000002</v>
      </c>
      <c r="C104">
        <v>0.32679999999999998</v>
      </c>
      <c r="D104">
        <v>0.30859999999999999</v>
      </c>
      <c r="E104">
        <v>0.32650000000000001</v>
      </c>
      <c r="F104">
        <v>29184326</v>
      </c>
      <c r="G104">
        <v>0.32650000000000001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0.9670329670329707</v>
      </c>
      <c r="Q104">
        <f t="shared" ref="Q104" si="496">F104*P104</f>
        <v>28222205.362637471</v>
      </c>
      <c r="R104">
        <f t="shared" ref="R104" si="497">R105+Q104</f>
        <v>-69677183.203142554</v>
      </c>
      <c r="S104">
        <f t="shared" ref="S104" si="498">R104/100000</f>
        <v>-696.77183203142556</v>
      </c>
      <c r="T104">
        <f t="shared" ref="T104" si="499">S104/1000</f>
        <v>-0.69677183203142556</v>
      </c>
    </row>
    <row r="105" spans="1:20" x14ac:dyDescent="0.25">
      <c r="A105" s="5">
        <v>44488</v>
      </c>
      <c r="B105">
        <v>0.31190000000000001</v>
      </c>
      <c r="C105">
        <v>0.32500000000000001</v>
      </c>
      <c r="D105">
        <v>0.30840000000000001</v>
      </c>
      <c r="E105">
        <v>0.31929999999999997</v>
      </c>
      <c r="F105">
        <v>4356425</v>
      </c>
      <c r="G105">
        <v>0.31929999999999997</v>
      </c>
      <c r="L105" t="s">
        <v>8</v>
      </c>
      <c r="M105" t="s">
        <v>7</v>
      </c>
      <c r="N105" t="s">
        <v>7</v>
      </c>
      <c r="P105">
        <f t="shared" ref="P105" si="500">IF(C105=D105,0,((E105-D105)-(C105-E105))/(C105-D105))</f>
        <v>0.31325301204818828</v>
      </c>
      <c r="Q105">
        <f t="shared" ref="Q105" si="501">F105*P105</f>
        <v>1364663.2530120288</v>
      </c>
      <c r="R105">
        <f t="shared" ref="R105" si="502">R106+Q105</f>
        <v>-97899388.565780029</v>
      </c>
      <c r="S105">
        <f t="shared" ref="S105" si="503">R105/100000</f>
        <v>-978.99388565780032</v>
      </c>
      <c r="T105">
        <f t="shared" ref="T105" si="504">S105/1000</f>
        <v>-0.97899388565780032</v>
      </c>
    </row>
    <row r="106" spans="1:20" x14ac:dyDescent="0.25">
      <c r="A106" s="5">
        <v>44487</v>
      </c>
      <c r="B106">
        <v>0.31850000000000001</v>
      </c>
      <c r="C106">
        <v>0.31879999999999997</v>
      </c>
      <c r="D106">
        <v>0.30120000000000002</v>
      </c>
      <c r="E106">
        <v>0.3115</v>
      </c>
      <c r="F106">
        <v>3813480</v>
      </c>
      <c r="G106">
        <v>0.3115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0.17045454545454611</v>
      </c>
      <c r="Q106">
        <f t="shared" ref="Q106" si="506">F106*P106</f>
        <v>650025.00000000244</v>
      </c>
      <c r="R106">
        <f t="shared" ref="R106" si="507">R107+Q106</f>
        <v>-99264051.81879206</v>
      </c>
      <c r="S106">
        <f t="shared" ref="S106" si="508">R106/100000</f>
        <v>-992.64051818792063</v>
      </c>
      <c r="T106">
        <f t="shared" ref="T106" si="509">S106/1000</f>
        <v>-0.99264051818792065</v>
      </c>
    </row>
    <row r="107" spans="1:20" x14ac:dyDescent="0.25">
      <c r="A107" s="5">
        <v>44486</v>
      </c>
      <c r="B107">
        <v>0.32250000000000001</v>
      </c>
      <c r="C107">
        <v>0.32819999999999999</v>
      </c>
      <c r="D107">
        <v>0.31259999999999999</v>
      </c>
      <c r="E107">
        <v>0.31850000000000001</v>
      </c>
      <c r="F107">
        <v>4891424</v>
      </c>
      <c r="G107">
        <v>0.31850000000000001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-0.24358974358974164</v>
      </c>
      <c r="Q107">
        <f t="shared" ref="Q107" si="511">F107*P107</f>
        <v>-1191500.7179487085</v>
      </c>
      <c r="R107">
        <f t="shared" ref="R107" si="512">R108+Q107</f>
        <v>-99914076.81879206</v>
      </c>
      <c r="S107">
        <f t="shared" ref="S107" si="513">R107/100000</f>
        <v>-999.14076818792057</v>
      </c>
      <c r="T107">
        <f t="shared" ref="T107" si="514">S107/1000</f>
        <v>-0.99914076818792052</v>
      </c>
    </row>
    <row r="108" spans="1:20" x14ac:dyDescent="0.25">
      <c r="A108" s="5">
        <v>44485</v>
      </c>
      <c r="B108">
        <v>0.32469999999999999</v>
      </c>
      <c r="C108">
        <v>0.33279999999999998</v>
      </c>
      <c r="D108">
        <v>0.31609999999999999</v>
      </c>
      <c r="E108">
        <v>0.32229999999999998</v>
      </c>
      <c r="F108">
        <v>6976314</v>
      </c>
      <c r="G108">
        <v>0.32229999999999998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-0.25748502994012146</v>
      </c>
      <c r="Q108">
        <f t="shared" ref="Q108" si="516">F108*P108</f>
        <v>-1796296.4191616885</v>
      </c>
      <c r="R108">
        <f t="shared" ref="R108" si="517">R109+Q108</f>
        <v>-98722576.100843355</v>
      </c>
      <c r="S108">
        <f t="shared" ref="S108" si="518">R108/100000</f>
        <v>-987.22576100843355</v>
      </c>
      <c r="T108">
        <f t="shared" ref="T108" si="519">S108/1000</f>
        <v>-0.98722576100843351</v>
      </c>
    </row>
    <row r="109" spans="1:20" x14ac:dyDescent="0.25">
      <c r="A109" s="5">
        <v>44484</v>
      </c>
      <c r="B109">
        <v>0.34970000000000001</v>
      </c>
      <c r="C109">
        <v>0.38090000000000002</v>
      </c>
      <c r="D109">
        <v>0.31609999999999999</v>
      </c>
      <c r="E109">
        <v>0.32469999999999999</v>
      </c>
      <c r="F109">
        <v>14042167</v>
      </c>
      <c r="G109">
        <v>0.32469999999999999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-0.73456790123456805</v>
      </c>
      <c r="Q109">
        <f t="shared" ref="Q109" si="521">F109*P109</f>
        <v>-10314925.141975312</v>
      </c>
      <c r="R109">
        <f t="shared" ref="R109" si="522">R110+Q109</f>
        <v>-96926279.681681663</v>
      </c>
      <c r="S109">
        <f t="shared" ref="S109" si="523">R109/100000</f>
        <v>-969.2627968168166</v>
      </c>
      <c r="T109">
        <f t="shared" ref="T109" si="524">S109/1000</f>
        <v>-0.9692627968168166</v>
      </c>
    </row>
    <row r="110" spans="1:20" x14ac:dyDescent="0.25">
      <c r="A110" s="5">
        <v>44483</v>
      </c>
      <c r="B110">
        <v>0.34620000000000001</v>
      </c>
      <c r="C110">
        <v>0.3523</v>
      </c>
      <c r="D110">
        <v>0.3427</v>
      </c>
      <c r="E110">
        <v>0.35089999999999999</v>
      </c>
      <c r="F110">
        <v>2324353</v>
      </c>
      <c r="G110">
        <v>0.35089999999999999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0.70833333333333071</v>
      </c>
      <c r="Q110">
        <f t="shared" ref="Q110" si="526">F110*P110</f>
        <v>1646416.7083333272</v>
      </c>
      <c r="R110">
        <f t="shared" ref="R110" si="527">R111+Q110</f>
        <v>-86611354.539706349</v>
      </c>
      <c r="S110">
        <f t="shared" ref="S110" si="528">R110/100000</f>
        <v>-866.11354539706349</v>
      </c>
      <c r="T110">
        <f t="shared" ref="T110" si="529">S110/1000</f>
        <v>-0.86611354539706353</v>
      </c>
    </row>
    <row r="111" spans="1:20" x14ac:dyDescent="0.25">
      <c r="A111" s="5">
        <v>44482</v>
      </c>
      <c r="B111">
        <v>0.33539999999999998</v>
      </c>
      <c r="C111">
        <v>0.34899999999999998</v>
      </c>
      <c r="D111">
        <v>0.32769999999999999</v>
      </c>
      <c r="E111">
        <v>0.34799999999999998</v>
      </c>
      <c r="F111">
        <v>4306453</v>
      </c>
      <c r="G111">
        <v>0.34799999999999998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0.90610328638497639</v>
      </c>
      <c r="Q111">
        <f t="shared" ref="Q111" si="531">F111*P111</f>
        <v>3902091.2159624407</v>
      </c>
      <c r="R111">
        <f t="shared" ref="R111" si="532">R112+Q111</f>
        <v>-88257771.248039678</v>
      </c>
      <c r="S111">
        <f t="shared" ref="S111" si="533">R111/100000</f>
        <v>-882.57771248039683</v>
      </c>
      <c r="T111">
        <f t="shared" ref="T111" si="534">S111/1000</f>
        <v>-0.88257771248039685</v>
      </c>
    </row>
    <row r="112" spans="1:20" x14ac:dyDescent="0.25">
      <c r="A112" s="5">
        <v>44481</v>
      </c>
      <c r="B112">
        <v>0.36130000000000001</v>
      </c>
      <c r="C112">
        <v>0.36130000000000001</v>
      </c>
      <c r="D112">
        <v>0.31</v>
      </c>
      <c r="E112">
        <v>0.33539999999999998</v>
      </c>
      <c r="F112">
        <v>7107748</v>
      </c>
      <c r="G112">
        <v>0.33539999999999998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-9.7465886939582039E-3</v>
      </c>
      <c r="Q112">
        <f t="shared" ref="Q112" si="536">F112*P112</f>
        <v>-69276.296296304034</v>
      </c>
      <c r="R112">
        <f t="shared" ref="R112" si="537">R113+Q112</f>
        <v>-92159862.464002118</v>
      </c>
      <c r="S112">
        <f t="shared" ref="S112" si="538">R112/100000</f>
        <v>-921.59862464002117</v>
      </c>
      <c r="T112">
        <f t="shared" ref="T112" si="539">S112/1000</f>
        <v>-0.92159862464002118</v>
      </c>
    </row>
    <row r="113" spans="1:20" x14ac:dyDescent="0.25">
      <c r="A113" s="5">
        <v>44480</v>
      </c>
      <c r="B113">
        <v>0.38080000000000003</v>
      </c>
      <c r="C113">
        <v>0.38179999999999997</v>
      </c>
      <c r="D113">
        <v>0.3518</v>
      </c>
      <c r="E113">
        <v>0.36209999999999998</v>
      </c>
      <c r="F113">
        <v>3520186</v>
      </c>
      <c r="G113">
        <v>0.36209999999999998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-0.3133333333333343</v>
      </c>
      <c r="Q113">
        <f t="shared" ref="Q113" si="541">F113*P113</f>
        <v>-1102991.6133333368</v>
      </c>
      <c r="R113">
        <f t="shared" ref="R113" si="542">R114+Q113</f>
        <v>-92090586.167705819</v>
      </c>
      <c r="S113">
        <f t="shared" ref="S113" si="543">R113/100000</f>
        <v>-920.90586167705817</v>
      </c>
      <c r="T113">
        <f t="shared" ref="T113" si="544">S113/1000</f>
        <v>-0.92090586167705812</v>
      </c>
    </row>
    <row r="114" spans="1:20" x14ac:dyDescent="0.25">
      <c r="A114" s="5">
        <v>44479</v>
      </c>
      <c r="B114">
        <v>0.36859999999999998</v>
      </c>
      <c r="C114">
        <v>0.42359999999999998</v>
      </c>
      <c r="D114">
        <v>0.35870000000000002</v>
      </c>
      <c r="E114">
        <v>0.38190000000000002</v>
      </c>
      <c r="F114">
        <v>13033676</v>
      </c>
      <c r="G114">
        <v>0.38190000000000002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-0.28505392912172534</v>
      </c>
      <c r="Q114">
        <f t="shared" ref="Q114" si="546">F114*P114</f>
        <v>-3715300.5546995327</v>
      </c>
      <c r="R114">
        <f t="shared" ref="R114" si="547">R115+Q114</f>
        <v>-90987594.554372489</v>
      </c>
      <c r="S114">
        <f t="shared" ref="S114" si="548">R114/100000</f>
        <v>-909.87594554372492</v>
      </c>
      <c r="T114">
        <f t="shared" ref="T114" si="549">S114/1000</f>
        <v>-0.90987594554372497</v>
      </c>
    </row>
    <row r="115" spans="1:20" x14ac:dyDescent="0.25">
      <c r="A115" s="5">
        <v>44478</v>
      </c>
      <c r="B115">
        <v>0.39329999999999998</v>
      </c>
      <c r="C115">
        <v>0.41889999999999999</v>
      </c>
      <c r="D115">
        <v>0.35749999999999998</v>
      </c>
      <c r="E115">
        <v>0.36859999999999998</v>
      </c>
      <c r="F115">
        <v>11477174</v>
      </c>
      <c r="G115">
        <v>0.36859999999999998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-0.63843648208469062</v>
      </c>
      <c r="Q115">
        <f t="shared" ref="Q115" si="551">F115*P115</f>
        <v>-7327446.5928338766</v>
      </c>
      <c r="R115">
        <f t="shared" ref="R115" si="552">R116+Q115</f>
        <v>-87272293.999672964</v>
      </c>
      <c r="S115">
        <f t="shared" ref="S115" si="553">R115/100000</f>
        <v>-872.72293999672968</v>
      </c>
      <c r="T115">
        <f t="shared" ref="T115" si="554">S115/1000</f>
        <v>-0.87272293999672967</v>
      </c>
    </row>
    <row r="116" spans="1:20" x14ac:dyDescent="0.25">
      <c r="A116" s="5">
        <v>44477</v>
      </c>
      <c r="B116">
        <v>0.35759999999999997</v>
      </c>
      <c r="C116">
        <v>0.42680000000000001</v>
      </c>
      <c r="D116">
        <v>0.35249999999999998</v>
      </c>
      <c r="E116">
        <v>0.39329999999999998</v>
      </c>
      <c r="F116">
        <v>14984893</v>
      </c>
      <c r="G116">
        <v>0.39329999999999998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9.825033647375464E-2</v>
      </c>
      <c r="Q116">
        <f t="shared" ref="Q116" si="556">F116*P116</f>
        <v>1472270.7792732106</v>
      </c>
      <c r="R116">
        <f t="shared" ref="R116" si="557">R117+Q116</f>
        <v>-79944847.406839088</v>
      </c>
      <c r="S116">
        <f t="shared" ref="S116" si="558">R116/100000</f>
        <v>-799.44847406839085</v>
      </c>
      <c r="T116">
        <f t="shared" ref="T116" si="559">S116/1000</f>
        <v>-0.79944847406839081</v>
      </c>
    </row>
    <row r="117" spans="1:20" x14ac:dyDescent="0.25">
      <c r="A117" s="5">
        <v>44476</v>
      </c>
      <c r="B117">
        <v>0.36780000000000002</v>
      </c>
      <c r="C117">
        <v>0.36820000000000003</v>
      </c>
      <c r="D117">
        <v>0.3458</v>
      </c>
      <c r="E117">
        <v>0.35809999999999997</v>
      </c>
      <c r="F117">
        <v>4483999</v>
      </c>
      <c r="G117">
        <v>0.35809999999999997</v>
      </c>
      <c r="L117" t="s">
        <v>7</v>
      </c>
      <c r="M117" t="s">
        <v>7</v>
      </c>
      <c r="N117" t="s">
        <v>8</v>
      </c>
      <c r="P117">
        <f t="shared" ref="P117" si="560">IF(C117=D117,0,((E117-D117)-(C117-E117))/(C117-D117))</f>
        <v>9.8214285714282201E-2</v>
      </c>
      <c r="Q117">
        <f t="shared" ref="Q117" si="561">F117*P117</f>
        <v>440392.7589285557</v>
      </c>
      <c r="R117">
        <f t="shared" ref="R117" si="562">R118+Q117</f>
        <v>-81417118.1861123</v>
      </c>
      <c r="S117">
        <f t="shared" ref="S117" si="563">R117/100000</f>
        <v>-814.17118186112305</v>
      </c>
      <c r="T117">
        <f t="shared" ref="T117" si="564">S117/1000</f>
        <v>-0.81417118186112303</v>
      </c>
    </row>
    <row r="118" spans="1:20" x14ac:dyDescent="0.25">
      <c r="A118" s="5">
        <v>44475</v>
      </c>
      <c r="B118">
        <v>0.34870000000000001</v>
      </c>
      <c r="C118">
        <v>0.44900000000000001</v>
      </c>
      <c r="D118">
        <v>0.33739999999999998</v>
      </c>
      <c r="E118">
        <v>0.36720000000000003</v>
      </c>
      <c r="F118">
        <v>34372379</v>
      </c>
      <c r="G118">
        <v>0.36720000000000003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-0.46594982078852976</v>
      </c>
      <c r="Q118">
        <f t="shared" ref="Q118" si="566">F118*P118</f>
        <v>-16015803.835125424</v>
      </c>
      <c r="R118">
        <f t="shared" ref="R118" si="567">R119+Q118</f>
        <v>-81857510.945040852</v>
      </c>
      <c r="S118">
        <f t="shared" ref="S118" si="568">R118/100000</f>
        <v>-818.57510945040849</v>
      </c>
      <c r="T118">
        <f t="shared" ref="T118" si="569">S118/1000</f>
        <v>-0.81857510945040846</v>
      </c>
    </row>
    <row r="119" spans="1:20" x14ac:dyDescent="0.25">
      <c r="A119" s="5">
        <v>44474</v>
      </c>
      <c r="B119">
        <v>0.32469999999999999</v>
      </c>
      <c r="C119">
        <v>0.3594</v>
      </c>
      <c r="D119">
        <v>0.31280000000000002</v>
      </c>
      <c r="E119">
        <v>0.34849999999999998</v>
      </c>
      <c r="F119">
        <v>6603014</v>
      </c>
      <c r="G119">
        <v>0.34849999999999998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0.53218884120171561</v>
      </c>
      <c r="Q119">
        <f t="shared" ref="Q119" si="571">F119*P119</f>
        <v>3514050.3690987052</v>
      </c>
      <c r="R119">
        <f t="shared" ref="R119" si="572">R120+Q119</f>
        <v>-65841707.109915435</v>
      </c>
      <c r="S119">
        <f t="shared" ref="S119" si="573">R119/100000</f>
        <v>-658.41707109915433</v>
      </c>
      <c r="T119">
        <f t="shared" ref="T119" si="574">S119/1000</f>
        <v>-0.65841707109915437</v>
      </c>
    </row>
    <row r="120" spans="1:20" x14ac:dyDescent="0.25">
      <c r="A120" s="5">
        <v>44473</v>
      </c>
      <c r="B120">
        <v>0.33200000000000002</v>
      </c>
      <c r="C120">
        <v>0.3493</v>
      </c>
      <c r="D120">
        <v>0.30609999999999998</v>
      </c>
      <c r="E120">
        <v>0.3201</v>
      </c>
      <c r="F120">
        <v>6842359</v>
      </c>
      <c r="G120">
        <v>0.3201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-0.35185185185185153</v>
      </c>
      <c r="Q120">
        <f t="shared" ref="Q120" si="576">F120*P120</f>
        <v>-2407496.6851851828</v>
      </c>
      <c r="R120">
        <f t="shared" ref="R120" si="577">R121+Q120</f>
        <v>-69355757.479014143</v>
      </c>
      <c r="S120">
        <f t="shared" ref="S120" si="578">R120/100000</f>
        <v>-693.55757479014142</v>
      </c>
      <c r="T120">
        <f t="shared" ref="T120" si="579">S120/1000</f>
        <v>-0.69355757479014146</v>
      </c>
    </row>
    <row r="121" spans="1:20" x14ac:dyDescent="0.25">
      <c r="A121" s="5">
        <v>44472</v>
      </c>
      <c r="B121">
        <v>0.32379999999999998</v>
      </c>
      <c r="C121">
        <v>0.33550000000000002</v>
      </c>
      <c r="D121">
        <v>0.316</v>
      </c>
      <c r="E121">
        <v>0.33019999999999999</v>
      </c>
      <c r="F121">
        <v>3590176</v>
      </c>
      <c r="G121">
        <v>0.33019999999999999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0.45641025641025412</v>
      </c>
      <c r="Q121">
        <f t="shared" ref="Q121" si="581">F121*P121</f>
        <v>1638593.1487179406</v>
      </c>
      <c r="R121">
        <f t="shared" ref="R121" si="582">R122+Q121</f>
        <v>-66948260.793828964</v>
      </c>
      <c r="S121">
        <f t="shared" ref="S121" si="583">R121/100000</f>
        <v>-669.48260793828968</v>
      </c>
      <c r="T121">
        <f t="shared" ref="T121" si="584">S121/1000</f>
        <v>-0.66948260793828962</v>
      </c>
    </row>
    <row r="122" spans="1:20" x14ac:dyDescent="0.25">
      <c r="A122" s="5">
        <v>44471</v>
      </c>
      <c r="B122">
        <v>0.30980000000000002</v>
      </c>
      <c r="C122">
        <v>0.33379999999999999</v>
      </c>
      <c r="D122">
        <v>0.29899999999999999</v>
      </c>
      <c r="E122">
        <v>0.32419999999999999</v>
      </c>
      <c r="F122">
        <v>6278736</v>
      </c>
      <c r="G122">
        <v>0.32419999999999999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0.44827586206896564</v>
      </c>
      <c r="Q122">
        <f t="shared" ref="Q122" si="586">F122*P122</f>
        <v>2814605.793103449</v>
      </c>
      <c r="R122">
        <f t="shared" ref="R122" si="587">R123+Q122</f>
        <v>-68586853.942546904</v>
      </c>
      <c r="S122">
        <f t="shared" ref="S122" si="588">R122/100000</f>
        <v>-685.86853942546907</v>
      </c>
      <c r="T122">
        <f t="shared" ref="T122" si="589">S122/1000</f>
        <v>-0.6858685394254691</v>
      </c>
    </row>
    <row r="123" spans="1:20" x14ac:dyDescent="0.25">
      <c r="A123" s="5">
        <v>44470</v>
      </c>
      <c r="B123">
        <v>0.28070000000000001</v>
      </c>
      <c r="C123">
        <v>0.31640000000000001</v>
      </c>
      <c r="D123">
        <v>0.27560000000000001</v>
      </c>
      <c r="E123">
        <v>0.30980000000000002</v>
      </c>
      <c r="F123">
        <v>8611757</v>
      </c>
      <c r="G123">
        <v>0.30980000000000002</v>
      </c>
      <c r="L123" t="s">
        <v>7</v>
      </c>
      <c r="M123" t="s">
        <v>8</v>
      </c>
      <c r="N123" t="s">
        <v>7</v>
      </c>
      <c r="P123">
        <f t="shared" ref="P123" si="590">IF(C123=D123,0,((E123-D123)-(C123-E123))/(C123-D123))</f>
        <v>0.67647058823529438</v>
      </c>
      <c r="Q123">
        <f t="shared" ref="Q123" si="591">F123*P123</f>
        <v>5825600.3235294139</v>
      </c>
      <c r="R123">
        <f t="shared" ref="R123" si="592">R124+Q123</f>
        <v>-71401459.735650361</v>
      </c>
      <c r="S123">
        <f t="shared" ref="S123" si="593">R123/100000</f>
        <v>-714.0145973565036</v>
      </c>
      <c r="T123">
        <f t="shared" ref="T123" si="594">S123/1000</f>
        <v>-0.71401459735650363</v>
      </c>
    </row>
    <row r="124" spans="1:20" x14ac:dyDescent="0.25">
      <c r="A124" s="5">
        <v>44469</v>
      </c>
      <c r="B124">
        <v>0.25180000000000002</v>
      </c>
      <c r="C124">
        <v>0.31619999999999998</v>
      </c>
      <c r="D124">
        <v>0.25019999999999998</v>
      </c>
      <c r="E124">
        <v>0.28010000000000002</v>
      </c>
      <c r="F124">
        <v>21583674</v>
      </c>
      <c r="G124">
        <v>0.28010000000000002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-9.3939393939392837E-2</v>
      </c>
      <c r="Q124">
        <f t="shared" ref="Q124" si="596">F124*P124</f>
        <v>-2027557.2545454307</v>
      </c>
      <c r="R124">
        <f t="shared" ref="R124" si="597">R125+Q124</f>
        <v>-77227060.059179768</v>
      </c>
      <c r="S124">
        <f t="shared" ref="S124" si="598">R124/100000</f>
        <v>-772.27060059179769</v>
      </c>
      <c r="T124">
        <f t="shared" ref="T124" si="599">S124/1000</f>
        <v>-0.77227060059179764</v>
      </c>
    </row>
    <row r="125" spans="1:20" x14ac:dyDescent="0.25">
      <c r="A125" s="5">
        <v>44468</v>
      </c>
      <c r="B125">
        <v>0.25069999999999998</v>
      </c>
      <c r="C125">
        <v>0.26190000000000002</v>
      </c>
      <c r="D125">
        <v>0.2447</v>
      </c>
      <c r="E125">
        <v>0.25180000000000002</v>
      </c>
      <c r="F125">
        <v>6632980</v>
      </c>
      <c r="G125">
        <v>0.25180000000000002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-0.17441860465116113</v>
      </c>
      <c r="Q125">
        <f t="shared" ref="Q125" si="601">F125*P125</f>
        <v>-1156915.1162790589</v>
      </c>
      <c r="R125">
        <f t="shared" ref="R125" si="602">R126+Q125</f>
        <v>-75199502.804634333</v>
      </c>
      <c r="S125">
        <f t="shared" ref="S125" si="603">R125/100000</f>
        <v>-751.99502804634335</v>
      </c>
      <c r="T125">
        <f t="shared" ref="T125" si="604">S125/1000</f>
        <v>-0.75199502804634333</v>
      </c>
    </row>
    <row r="126" spans="1:20" x14ac:dyDescent="0.25">
      <c r="A126" s="5">
        <v>44467</v>
      </c>
      <c r="B126">
        <v>0.2757</v>
      </c>
      <c r="C126">
        <v>0.28489999999999999</v>
      </c>
      <c r="D126">
        <v>0.2492</v>
      </c>
      <c r="E126">
        <v>0.25030000000000002</v>
      </c>
      <c r="F126">
        <v>4808404.8</v>
      </c>
      <c r="G126">
        <v>0.25030000000000002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-0.93837535014005502</v>
      </c>
      <c r="Q126">
        <f t="shared" ref="Q126" si="606">F126*P126</f>
        <v>-4512088.537815121</v>
      </c>
      <c r="R126">
        <f t="shared" ref="R126" si="607">R127+Q126</f>
        <v>-74042587.688355267</v>
      </c>
      <c r="S126">
        <f t="shared" ref="S126" si="608">R126/100000</f>
        <v>-740.42587688355263</v>
      </c>
      <c r="T126">
        <f t="shared" ref="T126" si="609">S126/1000</f>
        <v>-0.74042587688355266</v>
      </c>
    </row>
    <row r="127" spans="1:20" x14ac:dyDescent="0.25">
      <c r="A127" s="5">
        <v>44466</v>
      </c>
      <c r="B127">
        <v>0.28639999999999999</v>
      </c>
      <c r="C127">
        <v>0.29249999999999998</v>
      </c>
      <c r="D127">
        <v>0.27450000000000002</v>
      </c>
      <c r="E127">
        <v>0.2757</v>
      </c>
      <c r="F127">
        <v>5831561</v>
      </c>
      <c r="G127">
        <v>0.2757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-0.86666666666666869</v>
      </c>
      <c r="Q127">
        <f t="shared" ref="Q127" si="611">F127*P127</f>
        <v>-5054019.5333333453</v>
      </c>
      <c r="R127">
        <f t="shared" ref="R127" si="612">R128+Q127</f>
        <v>-69530499.150540143</v>
      </c>
      <c r="S127">
        <f t="shared" ref="S127" si="613">R127/100000</f>
        <v>-695.3049915054014</v>
      </c>
      <c r="T127">
        <f t="shared" ref="T127" si="614">S127/1000</f>
        <v>-0.69530499150540137</v>
      </c>
    </row>
    <row r="128" spans="1:20" x14ac:dyDescent="0.25">
      <c r="A128" s="5">
        <v>44465</v>
      </c>
      <c r="B128">
        <v>0.2999</v>
      </c>
      <c r="C128">
        <v>0.2999</v>
      </c>
      <c r="D128">
        <v>0.2697</v>
      </c>
      <c r="E128">
        <v>0.28610000000000002</v>
      </c>
      <c r="F128">
        <v>7208502</v>
      </c>
      <c r="G128">
        <v>0.28610000000000002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8.6092715231789615E-2</v>
      </c>
      <c r="Q128">
        <f t="shared" ref="Q128" si="616">F128*P128</f>
        <v>620599.50993378588</v>
      </c>
      <c r="R128">
        <f t="shared" ref="R128" si="617">R129+Q128</f>
        <v>-64476479.617206797</v>
      </c>
      <c r="S128">
        <f t="shared" ref="S128" si="618">R128/100000</f>
        <v>-644.76479617206792</v>
      </c>
      <c r="T128">
        <f t="shared" ref="T128" si="619">S128/1000</f>
        <v>-0.64476479617206794</v>
      </c>
    </row>
    <row r="129" spans="1:20" x14ac:dyDescent="0.25">
      <c r="A129" s="5">
        <v>44464</v>
      </c>
      <c r="B129">
        <v>0.28860000000000002</v>
      </c>
      <c r="C129">
        <v>0.30509999999999998</v>
      </c>
      <c r="D129">
        <v>0.27689999999999998</v>
      </c>
      <c r="E129">
        <v>0.3</v>
      </c>
      <c r="F129">
        <v>8940489</v>
      </c>
      <c r="G129">
        <v>0.3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0.63829787234042601</v>
      </c>
      <c r="Q129">
        <f t="shared" ref="Q129" si="621">F129*P129</f>
        <v>5706695.1063829828</v>
      </c>
      <c r="R129">
        <f t="shared" ref="R129" si="622">R130+Q129</f>
        <v>-65097079.127140582</v>
      </c>
      <c r="S129">
        <f t="shared" ref="S129" si="623">R129/100000</f>
        <v>-650.9707912714058</v>
      </c>
      <c r="T129">
        <f t="shared" ref="T129" si="624">S129/1000</f>
        <v>-0.65097079127140578</v>
      </c>
    </row>
    <row r="130" spans="1:20" x14ac:dyDescent="0.25">
      <c r="A130" s="5">
        <v>44463</v>
      </c>
      <c r="B130">
        <v>0.31509999999999999</v>
      </c>
      <c r="C130">
        <v>0.31690000000000002</v>
      </c>
      <c r="D130">
        <v>0.26719999999999999</v>
      </c>
      <c r="E130">
        <v>0.28920000000000001</v>
      </c>
      <c r="F130">
        <v>9039825</v>
      </c>
      <c r="G130">
        <v>0.28920000000000001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-0.11468812877263541</v>
      </c>
      <c r="Q130">
        <f t="shared" ref="Q130" si="626">F130*P130</f>
        <v>-1036760.6136820889</v>
      </c>
      <c r="R130">
        <f t="shared" ref="R130" si="627">R131+Q130</f>
        <v>-70803774.233523563</v>
      </c>
      <c r="S130">
        <f t="shared" ref="S130" si="628">R130/100000</f>
        <v>-708.03774233523563</v>
      </c>
      <c r="T130">
        <f t="shared" ref="T130" si="629">S130/1000</f>
        <v>-0.70803774233523564</v>
      </c>
    </row>
    <row r="131" spans="1:20" x14ac:dyDescent="0.25">
      <c r="A131" s="5">
        <v>44462</v>
      </c>
      <c r="B131">
        <v>0.30530000000000002</v>
      </c>
      <c r="C131">
        <v>0.31780000000000003</v>
      </c>
      <c r="D131">
        <v>0.28989999999999999</v>
      </c>
      <c r="E131">
        <v>0.31619999999999998</v>
      </c>
      <c r="F131">
        <v>9292427</v>
      </c>
      <c r="G131">
        <v>0.31619999999999998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0.88530465949820469</v>
      </c>
      <c r="Q131">
        <f t="shared" ref="Q131" si="631">F131*P131</f>
        <v>8226628.9211469237</v>
      </c>
      <c r="R131">
        <f t="shared" ref="R131" si="632">R132+Q131</f>
        <v>-69767013.619841471</v>
      </c>
      <c r="S131">
        <f t="shared" ref="S131" si="633">R131/100000</f>
        <v>-697.67013619841475</v>
      </c>
      <c r="T131">
        <f t="shared" ref="T131" si="634">S131/1000</f>
        <v>-0.69767013619841478</v>
      </c>
    </row>
    <row r="132" spans="1:20" x14ac:dyDescent="0.25">
      <c r="A132" s="5">
        <v>44461</v>
      </c>
      <c r="B132">
        <v>0.2742</v>
      </c>
      <c r="C132">
        <v>0.30780000000000002</v>
      </c>
      <c r="D132">
        <v>0.27110000000000001</v>
      </c>
      <c r="E132">
        <v>0.30609999999999998</v>
      </c>
      <c r="F132">
        <v>8495937</v>
      </c>
      <c r="G132">
        <v>0.30609999999999998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0.90735694822888091</v>
      </c>
      <c r="Q132">
        <f t="shared" ref="Q132" si="636">F132*P132</f>
        <v>7708847.4686648333</v>
      </c>
      <c r="R132">
        <f t="shared" ref="R132" si="637">R133+Q132</f>
        <v>-77993642.540988401</v>
      </c>
      <c r="S132">
        <f t="shared" ref="S132" si="638">R132/100000</f>
        <v>-779.93642540988401</v>
      </c>
      <c r="T132">
        <f t="shared" ref="T132" si="639">S132/1000</f>
        <v>-0.77993642540988406</v>
      </c>
    </row>
    <row r="133" spans="1:20" x14ac:dyDescent="0.25">
      <c r="A133" s="5">
        <v>44460</v>
      </c>
      <c r="B133">
        <v>0.309</v>
      </c>
      <c r="C133">
        <v>0.31009999999999999</v>
      </c>
      <c r="D133">
        <v>0.26719999999999999</v>
      </c>
      <c r="E133">
        <v>0.27389999999999998</v>
      </c>
      <c r="F133">
        <v>7502496.2000000002</v>
      </c>
      <c r="G133">
        <v>0.27389999999999998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-0.68764568764568834</v>
      </c>
      <c r="Q133">
        <f t="shared" ref="Q133" si="641">F133*P133</f>
        <v>-5159059.1585081639</v>
      </c>
      <c r="R133">
        <f t="shared" ref="R133" si="642">R134+Q133</f>
        <v>-85702490.00965324</v>
      </c>
      <c r="S133">
        <f t="shared" ref="S133" si="643">R133/100000</f>
        <v>-857.02490009653241</v>
      </c>
      <c r="T133">
        <f t="shared" ref="T133" si="644">S133/1000</f>
        <v>-0.85702490009653243</v>
      </c>
    </row>
    <row r="134" spans="1:20" x14ac:dyDescent="0.25">
      <c r="A134" s="5">
        <v>44459</v>
      </c>
      <c r="B134">
        <v>0.37640000000000001</v>
      </c>
      <c r="C134">
        <v>0.3775</v>
      </c>
      <c r="D134">
        <v>0.3241</v>
      </c>
      <c r="E134">
        <v>0.3281</v>
      </c>
      <c r="F134">
        <v>4004406</v>
      </c>
      <c r="G134">
        <v>0.3281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-0.85018726591760285</v>
      </c>
      <c r="Q134">
        <f t="shared" ref="Q134" si="646">F134*P134</f>
        <v>-3404494.9887640444</v>
      </c>
      <c r="R134">
        <f t="shared" ref="R134" si="647">R135+Q134</f>
        <v>-80543430.851145074</v>
      </c>
      <c r="S134">
        <f t="shared" ref="S134" si="648">R134/100000</f>
        <v>-805.43430851145069</v>
      </c>
      <c r="T134">
        <f t="shared" ref="T134" si="649">S134/1000</f>
        <v>-0.8054343085114507</v>
      </c>
    </row>
    <row r="135" spans="1:20" x14ac:dyDescent="0.25">
      <c r="A135" s="5">
        <v>44458</v>
      </c>
      <c r="B135">
        <v>0.37830000000000003</v>
      </c>
      <c r="C135">
        <v>0.39290000000000003</v>
      </c>
      <c r="D135">
        <v>0.37090000000000001</v>
      </c>
      <c r="E135">
        <v>0.37740000000000001</v>
      </c>
      <c r="F135">
        <v>6811043</v>
      </c>
      <c r="G135">
        <v>0.37740000000000001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-0.40909090909090912</v>
      </c>
      <c r="Q135">
        <f t="shared" ref="Q135" si="651">F135*P135</f>
        <v>-2786335.7727272729</v>
      </c>
      <c r="R135">
        <f t="shared" ref="R135" si="652">R136+Q135</f>
        <v>-77138935.862381026</v>
      </c>
      <c r="S135">
        <f t="shared" ref="S135" si="653">R135/100000</f>
        <v>-771.38935862381027</v>
      </c>
      <c r="T135">
        <f t="shared" ref="T135" si="654">S135/1000</f>
        <v>-0.77138935862381031</v>
      </c>
    </row>
    <row r="136" spans="1:20" x14ac:dyDescent="0.25">
      <c r="A136" s="5">
        <v>44457</v>
      </c>
      <c r="B136">
        <v>0.37380000000000002</v>
      </c>
      <c r="C136">
        <v>0.39119999999999999</v>
      </c>
      <c r="D136">
        <v>0.36759999999999998</v>
      </c>
      <c r="E136">
        <v>0.3785</v>
      </c>
      <c r="F136">
        <v>4938222</v>
      </c>
      <c r="G136">
        <v>0.3785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-7.6271186440676597E-2</v>
      </c>
      <c r="Q136">
        <f t="shared" ref="Q136" si="656">F136*P136</f>
        <v>-376644.05084745085</v>
      </c>
      <c r="R136">
        <f t="shared" ref="R136" si="657">R137+Q136</f>
        <v>-74352600.08965376</v>
      </c>
      <c r="S136">
        <f t="shared" ref="S136" si="658">R136/100000</f>
        <v>-743.52600089653765</v>
      </c>
      <c r="T136">
        <f t="shared" ref="T136" si="659">S136/1000</f>
        <v>-0.74352600089653764</v>
      </c>
    </row>
    <row r="137" spans="1:20" x14ac:dyDescent="0.25">
      <c r="A137" s="5">
        <v>44456</v>
      </c>
      <c r="B137">
        <v>0.41160000000000002</v>
      </c>
      <c r="C137">
        <v>0.41289999999999999</v>
      </c>
      <c r="D137">
        <v>0.36609999999999998</v>
      </c>
      <c r="E137">
        <v>0.373</v>
      </c>
      <c r="F137">
        <v>12286353</v>
      </c>
      <c r="G137">
        <v>0.373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-0.7051282051282044</v>
      </c>
      <c r="Q137">
        <f t="shared" ref="Q137" si="661">F137*P137</f>
        <v>-8663454.0384615287</v>
      </c>
      <c r="R137">
        <f t="shared" ref="R137" si="662">R138+Q137</f>
        <v>-73975956.038806304</v>
      </c>
      <c r="S137">
        <f t="shared" ref="S137" si="663">R137/100000</f>
        <v>-739.75956038806305</v>
      </c>
      <c r="T137">
        <f t="shared" ref="T137" si="664">S137/1000</f>
        <v>-0.73975956038806301</v>
      </c>
    </row>
    <row r="138" spans="1:20" x14ac:dyDescent="0.25">
      <c r="A138" s="5">
        <v>44455</v>
      </c>
      <c r="B138">
        <v>0.3589</v>
      </c>
      <c r="C138">
        <v>0.41370000000000001</v>
      </c>
      <c r="D138">
        <v>0.34710000000000002</v>
      </c>
      <c r="E138">
        <v>0.41160000000000002</v>
      </c>
      <c r="F138">
        <v>27748186</v>
      </c>
      <c r="G138">
        <v>0.41160000000000002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0.93693693693693725</v>
      </c>
      <c r="Q138">
        <f t="shared" ref="Q138" si="666">F138*P138</f>
        <v>25998300.396396406</v>
      </c>
      <c r="R138">
        <f t="shared" ref="R138" si="667">R139+Q138</f>
        <v>-65312502.000344776</v>
      </c>
      <c r="S138">
        <f t="shared" ref="S138" si="668">R138/100000</f>
        <v>-653.12502000344773</v>
      </c>
      <c r="T138">
        <f t="shared" ref="T138" si="669">S138/1000</f>
        <v>-0.65312502000344774</v>
      </c>
    </row>
    <row r="139" spans="1:20" x14ac:dyDescent="0.25">
      <c r="A139" s="5">
        <v>44454</v>
      </c>
      <c r="B139">
        <v>0.34279999999999999</v>
      </c>
      <c r="C139">
        <v>0.3589</v>
      </c>
      <c r="D139">
        <v>0.33389999999999997</v>
      </c>
      <c r="E139">
        <v>0.3589</v>
      </c>
      <c r="F139">
        <v>5956713</v>
      </c>
      <c r="G139">
        <v>0.3589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1</v>
      </c>
      <c r="Q139">
        <f t="shared" ref="Q139" si="671">F139*P139</f>
        <v>5956713</v>
      </c>
      <c r="R139">
        <f t="shared" ref="R139" si="672">R140+Q139</f>
        <v>-91310802.396741182</v>
      </c>
      <c r="S139">
        <f t="shared" ref="S139" si="673">R139/100000</f>
        <v>-913.10802396741178</v>
      </c>
      <c r="T139">
        <f t="shared" ref="T139" si="674">S139/1000</f>
        <v>-0.91310802396741175</v>
      </c>
    </row>
    <row r="140" spans="1:20" x14ac:dyDescent="0.25">
      <c r="A140" s="5">
        <v>44453</v>
      </c>
      <c r="B140">
        <v>0.33019999999999999</v>
      </c>
      <c r="C140">
        <v>0.34350000000000003</v>
      </c>
      <c r="D140">
        <v>0.32629999999999998</v>
      </c>
      <c r="E140">
        <v>0.34239999999999998</v>
      </c>
      <c r="F140">
        <v>5722106</v>
      </c>
      <c r="G140">
        <v>0.34239999999999998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0.87209302325580906</v>
      </c>
      <c r="Q140">
        <f t="shared" ref="Q140" si="676">F140*P140</f>
        <v>4990208.7209302047</v>
      </c>
      <c r="R140">
        <f t="shared" ref="R140" si="677">R141+Q140</f>
        <v>-97267515.396741182</v>
      </c>
      <c r="S140">
        <f t="shared" ref="S140" si="678">R140/100000</f>
        <v>-972.6751539674118</v>
      </c>
      <c r="T140">
        <f t="shared" ref="T140" si="679">S140/1000</f>
        <v>-0.97267515396741178</v>
      </c>
    </row>
    <row r="141" spans="1:20" x14ac:dyDescent="0.25">
      <c r="A141" s="5">
        <v>44452</v>
      </c>
      <c r="B141">
        <v>0.3412</v>
      </c>
      <c r="C141">
        <v>0.3543</v>
      </c>
      <c r="D141">
        <v>0.31</v>
      </c>
      <c r="E141">
        <v>0.33019999999999999</v>
      </c>
      <c r="F141">
        <v>10768137</v>
      </c>
      <c r="G141">
        <v>0.33019999999999999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-8.8036117381490156E-2</v>
      </c>
      <c r="Q141">
        <f t="shared" ref="Q141" si="681">F141*P141</f>
        <v>-947984.97291196731</v>
      </c>
      <c r="R141">
        <f t="shared" ref="R141" si="682">R142+Q141</f>
        <v>-102257724.11767139</v>
      </c>
      <c r="S141">
        <f t="shared" ref="S141" si="683">R141/100000</f>
        <v>-1022.5772411767139</v>
      </c>
      <c r="T141">
        <f t="shared" ref="T141" si="684">S141/1000</f>
        <v>-1.0225772411767138</v>
      </c>
    </row>
    <row r="142" spans="1:20" x14ac:dyDescent="0.25">
      <c r="A142" s="5">
        <v>44451</v>
      </c>
      <c r="B142">
        <v>0.3397</v>
      </c>
      <c r="C142">
        <v>0.34549999999999997</v>
      </c>
      <c r="D142">
        <v>0.32629999999999998</v>
      </c>
      <c r="E142">
        <v>0.34150000000000003</v>
      </c>
      <c r="F142">
        <v>4302642</v>
      </c>
      <c r="G142">
        <v>0.34150000000000003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0.58333333333333859</v>
      </c>
      <c r="Q142">
        <f t="shared" ref="Q142" si="686">F142*P142</f>
        <v>2509874.5000000228</v>
      </c>
      <c r="R142">
        <f t="shared" ref="R142" si="687">R143+Q142</f>
        <v>-101309739.14475942</v>
      </c>
      <c r="S142">
        <f t="shared" ref="S142" si="688">R142/100000</f>
        <v>-1013.0973914475942</v>
      </c>
      <c r="T142">
        <f t="shared" ref="T142" si="689">S142/1000</f>
        <v>-1.0130973914475943</v>
      </c>
    </row>
    <row r="143" spans="1:20" x14ac:dyDescent="0.25">
      <c r="A143" s="5">
        <v>44450</v>
      </c>
      <c r="B143">
        <v>0.34539999999999998</v>
      </c>
      <c r="C143">
        <v>0.34720000000000001</v>
      </c>
      <c r="D143">
        <v>0.32600000000000001</v>
      </c>
      <c r="E143">
        <v>0.3397</v>
      </c>
      <c r="F143">
        <v>12542118</v>
      </c>
      <c r="G143">
        <v>0.3397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0.29245283018867851</v>
      </c>
      <c r="Q143">
        <f t="shared" ref="Q143" si="691">F143*P143</f>
        <v>3667977.905660368</v>
      </c>
      <c r="R143">
        <f t="shared" ref="R143" si="692">R144+Q143</f>
        <v>-103819613.64475945</v>
      </c>
      <c r="S143">
        <f t="shared" ref="S143" si="693">R143/100000</f>
        <v>-1038.1961364475944</v>
      </c>
      <c r="T143">
        <f t="shared" ref="T143" si="694">S143/1000</f>
        <v>-1.0381961364475945</v>
      </c>
    </row>
    <row r="144" spans="1:20" x14ac:dyDescent="0.25">
      <c r="A144" s="5">
        <v>44449</v>
      </c>
      <c r="B144">
        <v>0.37890000000000001</v>
      </c>
      <c r="C144">
        <v>0.38019999999999998</v>
      </c>
      <c r="D144">
        <v>0.3337</v>
      </c>
      <c r="E144">
        <v>0.34449999999999997</v>
      </c>
      <c r="F144">
        <v>6929397</v>
      </c>
      <c r="G144">
        <v>0.34449999999999997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-0.53548387096774286</v>
      </c>
      <c r="Q144">
        <f t="shared" ref="Q144" si="696">F144*P144</f>
        <v>-3710580.3290322646</v>
      </c>
      <c r="R144">
        <f t="shared" ref="R144" si="697">R145+Q144</f>
        <v>-107487591.55041981</v>
      </c>
      <c r="S144">
        <f t="shared" ref="S144" si="698">R144/100000</f>
        <v>-1074.875915504198</v>
      </c>
      <c r="T144">
        <f t="shared" ref="T144" si="699">S144/1000</f>
        <v>-1.074875915504198</v>
      </c>
    </row>
    <row r="145" spans="1:20" x14ac:dyDescent="0.25">
      <c r="A145" s="5">
        <v>44448</v>
      </c>
      <c r="B145">
        <v>0.3478</v>
      </c>
      <c r="C145">
        <v>0.38379999999999997</v>
      </c>
      <c r="D145">
        <v>0.3422</v>
      </c>
      <c r="E145">
        <v>0.38040000000000002</v>
      </c>
      <c r="F145">
        <v>10989012</v>
      </c>
      <c r="G145">
        <v>0.38040000000000002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0.83653846153846345</v>
      </c>
      <c r="Q145">
        <f t="shared" ref="Q145" si="701">F145*P145</f>
        <v>9192731.1923077125</v>
      </c>
      <c r="R145">
        <f t="shared" ref="R145" si="702">R146+Q145</f>
        <v>-103777011.22138755</v>
      </c>
      <c r="S145">
        <f t="shared" ref="S145" si="703">R145/100000</f>
        <v>-1037.7701122138756</v>
      </c>
      <c r="T145">
        <f t="shared" ref="T145" si="704">S145/1000</f>
        <v>-1.0377701122138756</v>
      </c>
    </row>
    <row r="146" spans="1:20" x14ac:dyDescent="0.25">
      <c r="A146" s="5">
        <v>44447</v>
      </c>
      <c r="B146">
        <v>0.33529999999999999</v>
      </c>
      <c r="C146">
        <v>0.36899999999999999</v>
      </c>
      <c r="D146">
        <v>0.3054</v>
      </c>
      <c r="E146">
        <v>0.35</v>
      </c>
      <c r="F146">
        <v>10904688</v>
      </c>
      <c r="G146">
        <v>0.35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0.40251572327043961</v>
      </c>
      <c r="Q146">
        <f t="shared" ref="Q146" si="706">F146*P146</f>
        <v>4389308.3773584832</v>
      </c>
      <c r="R146">
        <f t="shared" ref="R146" si="707">R147+Q146</f>
        <v>-112969742.41369526</v>
      </c>
      <c r="S146">
        <f t="shared" ref="S146" si="708">R146/100000</f>
        <v>-1129.6974241369526</v>
      </c>
      <c r="T146">
        <f t="shared" ref="T146" si="709">S146/1000</f>
        <v>-1.1296974241369526</v>
      </c>
    </row>
    <row r="147" spans="1:20" x14ac:dyDescent="0.25">
      <c r="A147" s="5">
        <v>44446</v>
      </c>
      <c r="B147">
        <v>0.40870000000000001</v>
      </c>
      <c r="C147">
        <v>0.43559999999999999</v>
      </c>
      <c r="D147">
        <v>0.30020000000000002</v>
      </c>
      <c r="E147">
        <v>0.33529999999999999</v>
      </c>
      <c r="F147">
        <v>22173409</v>
      </c>
      <c r="G147">
        <v>0.33529999999999999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-0.4815361890694243</v>
      </c>
      <c r="Q147">
        <f t="shared" ref="Q147" si="711">F147*P147</f>
        <v>-10677298.868537674</v>
      </c>
      <c r="R147">
        <f t="shared" ref="R147" si="712">R148+Q147</f>
        <v>-117359050.79105374</v>
      </c>
      <c r="S147">
        <f t="shared" ref="S147" si="713">R147/100000</f>
        <v>-1173.5905079105373</v>
      </c>
      <c r="T147">
        <f t="shared" ref="T147" si="714">S147/1000</f>
        <v>-1.1735905079105373</v>
      </c>
    </row>
    <row r="148" spans="1:20" x14ac:dyDescent="0.25">
      <c r="A148" s="5">
        <v>44445</v>
      </c>
      <c r="B148">
        <v>0.4032</v>
      </c>
      <c r="C148">
        <v>0.41849999999999998</v>
      </c>
      <c r="D148">
        <v>0.38879999999999998</v>
      </c>
      <c r="E148">
        <v>0.40939999999999999</v>
      </c>
      <c r="F148">
        <v>40166758</v>
      </c>
      <c r="G148">
        <v>0.40939999999999999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0.3872053872053875</v>
      </c>
      <c r="Q148">
        <f t="shared" ref="Q148" si="716">F148*P148</f>
        <v>15552785.084175095</v>
      </c>
      <c r="R148">
        <f t="shared" ref="R148" si="717">R149+Q148</f>
        <v>-106681751.92251606</v>
      </c>
      <c r="S148">
        <f t="shared" ref="S148" si="718">R148/100000</f>
        <v>-1066.8175192251606</v>
      </c>
      <c r="T148">
        <f t="shared" ref="T148" si="719">S148/1000</f>
        <v>-1.0668175192251605</v>
      </c>
    </row>
    <row r="149" spans="1:20" x14ac:dyDescent="0.25">
      <c r="A149" s="5">
        <v>44444</v>
      </c>
      <c r="B149">
        <v>0.4451</v>
      </c>
      <c r="C149">
        <v>0.71599999999999997</v>
      </c>
      <c r="D149">
        <v>0.3977</v>
      </c>
      <c r="E149">
        <v>0.40279999999999999</v>
      </c>
      <c r="F149">
        <v>121464912.59999999</v>
      </c>
      <c r="G149">
        <v>0.40279999999999999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-0.96795475966069744</v>
      </c>
      <c r="Q149">
        <f t="shared" ref="Q149" si="721">F149*P149</f>
        <v>-117572540.28294061</v>
      </c>
      <c r="R149">
        <f t="shared" ref="R149" si="722">R150+Q149</f>
        <v>-122234537.00669116</v>
      </c>
      <c r="S149">
        <f t="shared" ref="S149" si="723">R149/100000</f>
        <v>-1222.3453700669115</v>
      </c>
      <c r="T149">
        <f t="shared" ref="T149" si="724">S149/1000</f>
        <v>-1.2223453700669116</v>
      </c>
    </row>
    <row r="150" spans="1:20" x14ac:dyDescent="0.25">
      <c r="A150" s="5">
        <v>44443</v>
      </c>
      <c r="B150">
        <v>0.32740000000000002</v>
      </c>
      <c r="C150">
        <v>0.48299999999999998</v>
      </c>
      <c r="D150">
        <v>0.32740000000000002</v>
      </c>
      <c r="E150">
        <v>0.44400000000000001</v>
      </c>
      <c r="F150">
        <v>84119365.599999994</v>
      </c>
      <c r="G150">
        <v>0.44400000000000001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0.49871465295629835</v>
      </c>
      <c r="Q150">
        <f t="shared" ref="Q150" si="726">F150*P150</f>
        <v>41951560.222107977</v>
      </c>
      <c r="R150">
        <f t="shared" ref="R150" si="727">R151+Q150</f>
        <v>-4661996.7237505466</v>
      </c>
      <c r="S150">
        <f t="shared" ref="S150" si="728">R150/100000</f>
        <v>-46.619967237505463</v>
      </c>
      <c r="T150">
        <f t="shared" ref="T150" si="729">S150/1000</f>
        <v>-4.6619967237505465E-2</v>
      </c>
    </row>
    <row r="151" spans="1:20" x14ac:dyDescent="0.25">
      <c r="A151" s="5">
        <v>44442</v>
      </c>
      <c r="B151">
        <v>0.3024</v>
      </c>
      <c r="C151">
        <v>0.34499999999999997</v>
      </c>
      <c r="D151">
        <v>0.29430000000000001</v>
      </c>
      <c r="E151">
        <v>0.32800000000000001</v>
      </c>
      <c r="F151">
        <v>18112286.399999999</v>
      </c>
      <c r="G151">
        <v>0.32800000000000001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0.32938856015779211</v>
      </c>
      <c r="Q151">
        <f t="shared" ref="Q151" si="731">F151*P151</f>
        <v>5965979.9384615598</v>
      </c>
      <c r="R151">
        <f t="shared" ref="R151" si="732">R152+Q151</f>
        <v>-46613556.945858523</v>
      </c>
      <c r="S151">
        <f t="shared" ref="S151" si="733">R151/100000</f>
        <v>-466.13556945858522</v>
      </c>
      <c r="T151">
        <f t="shared" ref="T151" si="734">S151/1000</f>
        <v>-0.4661355694585852</v>
      </c>
    </row>
    <row r="152" spans="1:20" x14ac:dyDescent="0.25">
      <c r="A152" s="5">
        <v>44441</v>
      </c>
      <c r="B152">
        <v>0.30199999999999999</v>
      </c>
      <c r="C152">
        <v>0.3085</v>
      </c>
      <c r="D152">
        <v>0.29570000000000002</v>
      </c>
      <c r="E152">
        <v>0.30249999999999999</v>
      </c>
      <c r="F152">
        <v>5135456</v>
      </c>
      <c r="G152">
        <v>0.30249999999999999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6.2499999999997558E-2</v>
      </c>
      <c r="Q152">
        <f t="shared" ref="Q152" si="736">F152*P152</f>
        <v>320965.99999998749</v>
      </c>
      <c r="R152">
        <f t="shared" ref="R152" si="737">R153+Q152</f>
        <v>-52579536.88432008</v>
      </c>
      <c r="S152">
        <f t="shared" ref="S152" si="738">R152/100000</f>
        <v>-525.79536884320078</v>
      </c>
      <c r="T152">
        <f t="shared" ref="T152" si="739">S152/1000</f>
        <v>-0.52579536884320077</v>
      </c>
    </row>
    <row r="153" spans="1:20" x14ac:dyDescent="0.25">
      <c r="A153" s="5">
        <v>44440</v>
      </c>
      <c r="B153">
        <v>0.29149999999999998</v>
      </c>
      <c r="C153">
        <v>0.3039</v>
      </c>
      <c r="D153">
        <v>0.27989999999999998</v>
      </c>
      <c r="E153">
        <v>0.30120000000000002</v>
      </c>
      <c r="F153">
        <v>7159732.7000000002</v>
      </c>
      <c r="G153">
        <v>0.30120000000000002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0.7750000000000018</v>
      </c>
      <c r="Q153">
        <f t="shared" ref="Q153" si="741">F153*P153</f>
        <v>5548792.8425000133</v>
      </c>
      <c r="R153">
        <f t="shared" ref="R153" si="742">R154+Q153</f>
        <v>-52900502.884320065</v>
      </c>
      <c r="S153">
        <f t="shared" ref="S153" si="743">R153/100000</f>
        <v>-529.00502884320065</v>
      </c>
      <c r="T153">
        <f t="shared" ref="T153" si="744">S153/1000</f>
        <v>-0.52900502884320066</v>
      </c>
    </row>
    <row r="154" spans="1:20" x14ac:dyDescent="0.25">
      <c r="A154" s="5">
        <v>44439</v>
      </c>
      <c r="B154">
        <v>0.27810000000000001</v>
      </c>
      <c r="C154">
        <v>0.3</v>
      </c>
      <c r="D154">
        <v>0.2747</v>
      </c>
      <c r="E154">
        <v>0.29199999999999998</v>
      </c>
      <c r="F154">
        <v>7014452.9000000004</v>
      </c>
      <c r="G154">
        <v>0.29199999999999998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0.36758893280632327</v>
      </c>
      <c r="Q154">
        <f t="shared" ref="Q154" si="746">F154*P154</f>
        <v>2578435.2557312194</v>
      </c>
      <c r="R154">
        <f t="shared" ref="R154" si="747">R155+Q154</f>
        <v>-58449295.726820081</v>
      </c>
      <c r="S154">
        <f t="shared" ref="S154" si="748">R154/100000</f>
        <v>-584.49295726820083</v>
      </c>
      <c r="T154">
        <f t="shared" ref="T154" si="749">S154/1000</f>
        <v>-0.58449295726820083</v>
      </c>
    </row>
    <row r="155" spans="1:20" x14ac:dyDescent="0.25">
      <c r="A155" s="5">
        <v>44438</v>
      </c>
      <c r="B155">
        <v>0.2863</v>
      </c>
      <c r="C155">
        <v>0.2863</v>
      </c>
      <c r="D155">
        <v>0.27550000000000002</v>
      </c>
      <c r="E155">
        <v>0.27800000000000002</v>
      </c>
      <c r="F155">
        <v>4279050</v>
      </c>
      <c r="G155">
        <v>0.27800000000000002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-0.53703703703703565</v>
      </c>
      <c r="Q155">
        <f t="shared" ref="Q155" si="751">F155*P155</f>
        <v>-2298008.3333333274</v>
      </c>
      <c r="R155">
        <f t="shared" ref="R155" si="752">R156+Q155</f>
        <v>-61027730.982551299</v>
      </c>
      <c r="S155">
        <f t="shared" ref="S155" si="753">R155/100000</f>
        <v>-610.27730982551304</v>
      </c>
      <c r="T155">
        <f t="shared" ref="T155" si="754">S155/1000</f>
        <v>-0.61027730982551309</v>
      </c>
    </row>
    <row r="156" spans="1:20" x14ac:dyDescent="0.25">
      <c r="A156" s="5">
        <v>44437</v>
      </c>
      <c r="B156">
        <v>0.2888</v>
      </c>
      <c r="C156">
        <v>0.28939999999999999</v>
      </c>
      <c r="D156">
        <v>0.2737</v>
      </c>
      <c r="E156">
        <v>0.28599999999999998</v>
      </c>
      <c r="F156">
        <v>6680310.2000000002</v>
      </c>
      <c r="G156">
        <v>0.28599999999999998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0.56687898089171773</v>
      </c>
      <c r="Q156">
        <f t="shared" ref="Q156" si="756">F156*P156</f>
        <v>3786927.438216547</v>
      </c>
      <c r="R156">
        <f t="shared" ref="R156" si="757">R157+Q156</f>
        <v>-58729722.649217971</v>
      </c>
      <c r="S156">
        <f t="shared" ref="S156" si="758">R156/100000</f>
        <v>-587.29722649217968</v>
      </c>
      <c r="T156">
        <f t="shared" ref="T156" si="759">S156/1000</f>
        <v>-0.58729722649217964</v>
      </c>
    </row>
    <row r="157" spans="1:20" x14ac:dyDescent="0.25">
      <c r="A157" s="5">
        <v>44436</v>
      </c>
      <c r="B157">
        <v>0.29699999999999999</v>
      </c>
      <c r="C157">
        <v>0.2979</v>
      </c>
      <c r="D157">
        <v>0.28439999999999999</v>
      </c>
      <c r="E157">
        <v>0.2893</v>
      </c>
      <c r="F157">
        <v>3748505</v>
      </c>
      <c r="G157">
        <v>0.2893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-0.27407407407407242</v>
      </c>
      <c r="Q157">
        <f t="shared" ref="Q157" si="761">F157*P157</f>
        <v>-1027368.0370370308</v>
      </c>
      <c r="R157">
        <f t="shared" ref="R157" si="762">R158+Q157</f>
        <v>-62516650.087434515</v>
      </c>
      <c r="S157">
        <f t="shared" ref="S157" si="763">R157/100000</f>
        <v>-625.16650087434516</v>
      </c>
      <c r="T157">
        <f t="shared" ref="T157" si="764">S157/1000</f>
        <v>-0.62516650087434511</v>
      </c>
    </row>
    <row r="158" spans="1:20" x14ac:dyDescent="0.25">
      <c r="A158" s="5">
        <v>44435</v>
      </c>
      <c r="B158">
        <v>0.28349999999999997</v>
      </c>
      <c r="C158">
        <v>0.2979</v>
      </c>
      <c r="D158">
        <v>0.27579999999999999</v>
      </c>
      <c r="E158">
        <v>0.2979</v>
      </c>
      <c r="F158">
        <v>6966422.7000000002</v>
      </c>
      <c r="G158">
        <v>0.2979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1</v>
      </c>
      <c r="Q158">
        <f t="shared" ref="Q158" si="766">F158*P158</f>
        <v>6966422.7000000002</v>
      </c>
      <c r="R158">
        <f t="shared" ref="R158" si="767">R159+Q158</f>
        <v>-61489282.050397485</v>
      </c>
      <c r="S158">
        <f t="shared" ref="S158" si="768">R158/100000</f>
        <v>-614.8928205039748</v>
      </c>
      <c r="T158">
        <f t="shared" ref="T158" si="769">S158/1000</f>
        <v>-0.61489282050397476</v>
      </c>
    </row>
    <row r="159" spans="1:20" x14ac:dyDescent="0.25">
      <c r="A159" s="5">
        <v>44434</v>
      </c>
      <c r="B159">
        <v>0.30837999999999999</v>
      </c>
      <c r="C159">
        <v>0.30852000000000002</v>
      </c>
      <c r="D159">
        <v>0.27689999999999998</v>
      </c>
      <c r="E159">
        <v>0.28499999999999998</v>
      </c>
      <c r="F159">
        <v>6103334.2000000002</v>
      </c>
      <c r="G159">
        <v>0.28499999999999998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-0.48766603415559856</v>
      </c>
      <c r="Q159">
        <f t="shared" ref="Q159" si="771">F159*P159</f>
        <v>-2976388.7844402329</v>
      </c>
      <c r="R159">
        <f t="shared" ref="R159" si="772">R160+Q159</f>
        <v>-68455704.750397488</v>
      </c>
      <c r="S159">
        <f t="shared" ref="S159" si="773">R159/100000</f>
        <v>-684.5570475039749</v>
      </c>
      <c r="T159">
        <f t="shared" ref="T159" si="774">S159/1000</f>
        <v>-0.68455704750397495</v>
      </c>
    </row>
    <row r="160" spans="1:20" x14ac:dyDescent="0.25">
      <c r="A160" s="5">
        <v>44433</v>
      </c>
      <c r="B160">
        <v>0.30789</v>
      </c>
      <c r="C160">
        <v>0.30920999999999998</v>
      </c>
      <c r="D160">
        <v>0.27568999999999999</v>
      </c>
      <c r="E160">
        <v>0.30837999999999999</v>
      </c>
      <c r="F160">
        <v>11317974.199999999</v>
      </c>
      <c r="G160">
        <v>0.30837999999999999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0.95047732696897391</v>
      </c>
      <c r="Q160">
        <f t="shared" ref="Q160" si="776">F160*P160</f>
        <v>10757477.864319811</v>
      </c>
      <c r="R160">
        <f t="shared" ref="R160" si="777">R161+Q160</f>
        <v>-65479315.965957262</v>
      </c>
      <c r="S160">
        <f t="shared" ref="S160" si="778">R160/100000</f>
        <v>-654.79315965957267</v>
      </c>
      <c r="T160">
        <f t="shared" ref="T160" si="779">S160/1000</f>
        <v>-0.65479315965957263</v>
      </c>
    </row>
    <row r="161" spans="1:20" x14ac:dyDescent="0.25">
      <c r="A161" s="5">
        <v>44432</v>
      </c>
      <c r="B161">
        <v>0.28858</v>
      </c>
      <c r="C161">
        <v>0.32608999999999999</v>
      </c>
      <c r="D161">
        <v>0.27165</v>
      </c>
      <c r="E161">
        <v>0.30847999999999998</v>
      </c>
      <c r="F161">
        <v>24567059.800000001</v>
      </c>
      <c r="G161">
        <v>0.30847999999999998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0.353049228508449</v>
      </c>
      <c r="Q161">
        <f t="shared" ref="Q161" si="781">F161*P161</f>
        <v>8673381.5091109313</v>
      </c>
      <c r="R161">
        <f t="shared" ref="R161" si="782">R162+Q161</f>
        <v>-76236793.83027707</v>
      </c>
      <c r="S161">
        <f t="shared" ref="S161" si="783">R161/100000</f>
        <v>-762.36793830277065</v>
      </c>
      <c r="T161">
        <f t="shared" ref="T161" si="784">S161/1000</f>
        <v>-0.76236793830277061</v>
      </c>
    </row>
    <row r="162" spans="1:20" x14ac:dyDescent="0.25">
      <c r="A162" s="5">
        <v>44431</v>
      </c>
      <c r="B162">
        <v>0.26669999999999999</v>
      </c>
      <c r="C162">
        <v>0.31498999999999999</v>
      </c>
      <c r="D162">
        <v>0.26352999999999999</v>
      </c>
      <c r="E162">
        <v>0.28765000000000002</v>
      </c>
      <c r="F162">
        <v>25434503.399999999</v>
      </c>
      <c r="G162">
        <v>0.28765000000000002</v>
      </c>
      <c r="L162" t="s">
        <v>7</v>
      </c>
      <c r="M162" t="s">
        <v>8</v>
      </c>
      <c r="N162" t="s">
        <v>7</v>
      </c>
      <c r="P162">
        <f t="shared" ref="P162" si="785">IF(C162=D162,0,((E162-D162)-(C162-E162))/(C162-D162))</f>
        <v>-6.2572872133695001E-2</v>
      </c>
      <c r="Q162">
        <f t="shared" ref="Q162" si="786">F162*P162</f>
        <v>-1591509.9290322307</v>
      </c>
      <c r="R162">
        <f t="shared" ref="R162" si="787">R163+Q162</f>
        <v>-84910175.339387998</v>
      </c>
      <c r="S162">
        <f t="shared" ref="S162" si="788">R162/100000</f>
        <v>-849.10175339388002</v>
      </c>
      <c r="T162">
        <f t="shared" ref="T162" si="789">S162/1000</f>
        <v>-0.84910175339388005</v>
      </c>
    </row>
    <row r="163" spans="1:20" x14ac:dyDescent="0.25">
      <c r="A163" s="5">
        <v>44430</v>
      </c>
      <c r="B163">
        <v>0.27057999999999999</v>
      </c>
      <c r="C163">
        <v>0.27177000000000001</v>
      </c>
      <c r="D163">
        <v>0.26595000000000002</v>
      </c>
      <c r="E163">
        <v>0.26894000000000001</v>
      </c>
      <c r="F163">
        <v>1128865</v>
      </c>
      <c r="G163">
        <v>0.26894000000000001</v>
      </c>
      <c r="L163" t="s">
        <v>7</v>
      </c>
      <c r="M163" t="s">
        <v>8</v>
      </c>
      <c r="N163" t="s">
        <v>7</v>
      </c>
      <c r="P163">
        <f t="shared" ref="P163" si="790">IF(C163=D163,0,((E163-D163)-(C163-E163))/(C163-D163))</f>
        <v>2.7491408934706821E-2</v>
      </c>
      <c r="Q163">
        <f t="shared" ref="Q163" si="791">F163*P163</f>
        <v>31034.089347077814</v>
      </c>
      <c r="R163">
        <f t="shared" ref="R163" si="792">R164+Q163</f>
        <v>-83318665.410355762</v>
      </c>
      <c r="S163">
        <f t="shared" ref="S163" si="793">R163/100000</f>
        <v>-833.18665410355766</v>
      </c>
      <c r="T163">
        <f t="shared" ref="T163" si="794">S163/1000</f>
        <v>-0.83318665410355763</v>
      </c>
    </row>
    <row r="164" spans="1:20" x14ac:dyDescent="0.25">
      <c r="A164" s="5">
        <v>44429</v>
      </c>
      <c r="B164">
        <v>0.27356000000000003</v>
      </c>
      <c r="C164">
        <v>0.27356999999999998</v>
      </c>
      <c r="D164">
        <v>0.26534999999999997</v>
      </c>
      <c r="E164">
        <v>0.2702</v>
      </c>
      <c r="F164">
        <v>7749035.0999999996</v>
      </c>
      <c r="G164">
        <v>0.2702</v>
      </c>
      <c r="L164" t="s">
        <v>7</v>
      </c>
      <c r="M164" t="s">
        <v>8</v>
      </c>
      <c r="N164" t="s">
        <v>7</v>
      </c>
      <c r="P164">
        <f t="shared" ref="P164" si="795">IF(C164=D164,0,((E164-D164)-(C164-E164))/(C164-D164))</f>
        <v>0.18004866180049098</v>
      </c>
      <c r="Q164">
        <f t="shared" ref="Q164" si="796">F164*P164</f>
        <v>1395203.4000000337</v>
      </c>
      <c r="R164">
        <f t="shared" ref="R164" si="797">R165+Q164</f>
        <v>-83349699.499702841</v>
      </c>
      <c r="S164">
        <f t="shared" ref="S164" si="798">R164/100000</f>
        <v>-833.49699499702842</v>
      </c>
      <c r="T164">
        <f t="shared" ref="T164" si="799">S164/1000</f>
        <v>-0.83349699499702845</v>
      </c>
    </row>
    <row r="165" spans="1:20" x14ac:dyDescent="0.25">
      <c r="A165" s="5">
        <v>44428</v>
      </c>
      <c r="B165">
        <v>0.26233000000000001</v>
      </c>
      <c r="C165">
        <v>0.28999999999999998</v>
      </c>
      <c r="D165">
        <v>0.25823000000000002</v>
      </c>
      <c r="E165">
        <v>0.27356000000000003</v>
      </c>
      <c r="F165">
        <v>29682273.199999999</v>
      </c>
      <c r="G165">
        <v>0.27356000000000003</v>
      </c>
      <c r="L165" t="s">
        <v>8</v>
      </c>
      <c r="M165" t="s">
        <v>8</v>
      </c>
      <c r="N165" t="s">
        <v>7</v>
      </c>
      <c r="P165">
        <f t="shared" ref="P165" si="800">IF(C165=D165,0,((E165-D165)-(C165-E165))/(C165-D165))</f>
        <v>-3.493862134088592E-2</v>
      </c>
      <c r="Q165">
        <f t="shared" ref="Q165" si="801">F165*P165</f>
        <v>-1037057.7038715262</v>
      </c>
      <c r="R165">
        <f t="shared" ref="R165" si="802">R166+Q165</f>
        <v>-84744902.899702877</v>
      </c>
      <c r="S165">
        <f t="shared" ref="S165" si="803">R165/100000</f>
        <v>-847.44902899702879</v>
      </c>
      <c r="T165">
        <f t="shared" ref="T165" si="804">S165/1000</f>
        <v>-0.84744902899702879</v>
      </c>
    </row>
    <row r="166" spans="1:20" x14ac:dyDescent="0.25">
      <c r="A166" s="5">
        <v>44427</v>
      </c>
      <c r="B166">
        <v>0.25040000000000001</v>
      </c>
      <c r="C166">
        <v>0.26632</v>
      </c>
      <c r="D166">
        <v>0.2427</v>
      </c>
      <c r="E166">
        <v>0.26233000000000001</v>
      </c>
      <c r="F166">
        <v>8391433.3000000007</v>
      </c>
      <c r="G166">
        <v>0.26233000000000001</v>
      </c>
      <c r="L166" t="s">
        <v>8</v>
      </c>
      <c r="M166" t="s">
        <v>7</v>
      </c>
      <c r="N166" t="s">
        <v>7</v>
      </c>
      <c r="P166">
        <f t="shared" ref="P166" si="805">IF(C166=D166,0,((E166-D166)-(C166-E166))/(C166-D166))</f>
        <v>0.66215071972904371</v>
      </c>
      <c r="Q166">
        <f t="shared" ref="Q166" si="806">F166*P166</f>
        <v>5556393.5991532644</v>
      </c>
      <c r="R166">
        <f t="shared" ref="R166" si="807">R167+Q166</f>
        <v>-83707845.195831344</v>
      </c>
      <c r="S166">
        <f t="shared" ref="S166" si="808">R166/100000</f>
        <v>-837.07845195831339</v>
      </c>
      <c r="T166">
        <f t="shared" ref="T166" si="809">S166/1000</f>
        <v>-0.83707845195831343</v>
      </c>
    </row>
    <row r="167" spans="1:20" x14ac:dyDescent="0.25">
      <c r="A167" s="5">
        <v>44426</v>
      </c>
      <c r="B167">
        <v>0.26051000000000002</v>
      </c>
      <c r="C167">
        <v>0.26422000000000001</v>
      </c>
      <c r="D167">
        <v>0.24179</v>
      </c>
      <c r="E167">
        <v>0.24979999999999999</v>
      </c>
      <c r="F167">
        <v>9680371.5</v>
      </c>
      <c r="G167">
        <v>0.24979999999999999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-0.28577797592510146</v>
      </c>
      <c r="Q167">
        <f t="shared" ref="Q167" si="811">F167*P167</f>
        <v>-2766436.9734730381</v>
      </c>
      <c r="R167">
        <f t="shared" ref="R167" si="812">R168+Q167</f>
        <v>-89264238.794984609</v>
      </c>
      <c r="S167">
        <f t="shared" ref="S167" si="813">R167/100000</f>
        <v>-892.64238794984612</v>
      </c>
      <c r="T167">
        <f t="shared" ref="T167" si="814">S167/1000</f>
        <v>-0.89264238794984607</v>
      </c>
    </row>
    <row r="168" spans="1:20" x14ac:dyDescent="0.25">
      <c r="A168" s="5">
        <v>44425</v>
      </c>
      <c r="B168">
        <v>0.28167999999999999</v>
      </c>
      <c r="C168">
        <v>0.28438000000000002</v>
      </c>
      <c r="D168">
        <v>0.25889000000000001</v>
      </c>
      <c r="E168">
        <v>0.26051000000000002</v>
      </c>
      <c r="F168">
        <v>8334216.2000000002</v>
      </c>
      <c r="G168">
        <v>0.26051000000000002</v>
      </c>
      <c r="L168" t="s">
        <v>7</v>
      </c>
      <c r="M168" t="s">
        <v>8</v>
      </c>
      <c r="N168" t="s">
        <v>7</v>
      </c>
      <c r="P168">
        <f t="shared" ref="P168" si="815">IF(C168=D168,0,((E168-D168)-(C168-E168))/(C168-D168))</f>
        <v>-0.87289132993330643</v>
      </c>
      <c r="Q168">
        <f t="shared" ref="Q168" si="816">F168*P168</f>
        <v>-7274865.0627697073</v>
      </c>
      <c r="R168">
        <f t="shared" ref="R168" si="817">R169+Q168</f>
        <v>-86497801.821511567</v>
      </c>
      <c r="S168">
        <f t="shared" ref="S168" si="818">R168/100000</f>
        <v>-864.97801821511564</v>
      </c>
      <c r="T168">
        <f t="shared" ref="T168" si="819">S168/1000</f>
        <v>-0.86497801821511566</v>
      </c>
    </row>
    <row r="169" spans="1:20" x14ac:dyDescent="0.25">
      <c r="A169" s="5">
        <v>44424</v>
      </c>
      <c r="B169">
        <v>0.28310000000000002</v>
      </c>
      <c r="C169">
        <v>0.29003000000000001</v>
      </c>
      <c r="D169">
        <v>0.26694000000000001</v>
      </c>
      <c r="E169">
        <v>0.28162999999999999</v>
      </c>
      <c r="F169">
        <v>17483159</v>
      </c>
      <c r="G169">
        <v>0.28162999999999999</v>
      </c>
      <c r="L169" t="s">
        <v>7</v>
      </c>
      <c r="M169" t="s">
        <v>8</v>
      </c>
      <c r="N169" t="s">
        <v>7</v>
      </c>
      <c r="P169">
        <f t="shared" ref="P169" si="820">IF(C169=D169,0,((E169-D169)-(C169-E169))/(C169-D169))</f>
        <v>0.27241229969683683</v>
      </c>
      <c r="Q169">
        <f t="shared" ref="Q169" si="821">F169*P169</f>
        <v>4762627.5491554504</v>
      </c>
      <c r="R169">
        <f t="shared" ref="R169" si="822">R170+Q169</f>
        <v>-79222936.758741856</v>
      </c>
      <c r="S169">
        <f t="shared" ref="S169" si="823">R169/100000</f>
        <v>-792.22936758741855</v>
      </c>
      <c r="T169">
        <f t="shared" ref="T169" si="824">S169/1000</f>
        <v>-0.79222936758741858</v>
      </c>
    </row>
    <row r="170" spans="1:20" x14ac:dyDescent="0.25">
      <c r="A170" s="5">
        <v>44423</v>
      </c>
      <c r="B170">
        <v>0.28170000000000001</v>
      </c>
      <c r="C170">
        <v>0.29499999999999998</v>
      </c>
      <c r="D170">
        <v>0.26504</v>
      </c>
      <c r="E170">
        <v>0.28310000000000002</v>
      </c>
      <c r="F170">
        <v>27551944.199999999</v>
      </c>
      <c r="G170">
        <v>0.28310000000000002</v>
      </c>
      <c r="L170" t="s">
        <v>8</v>
      </c>
      <c r="M170" t="s">
        <v>8</v>
      </c>
      <c r="N170" t="s">
        <v>7</v>
      </c>
      <c r="P170">
        <f t="shared" ref="P170" si="825">IF(C170=D170,0,((E170-D170)-(C170-E170))/(C170-D170))</f>
        <v>0.20560747663551593</v>
      </c>
      <c r="Q170">
        <f t="shared" ref="Q170" si="826">F170*P170</f>
        <v>5664885.7233645385</v>
      </c>
      <c r="R170">
        <f t="shared" ref="R170" si="827">R171+Q170</f>
        <v>-83985564.3078973</v>
      </c>
      <c r="S170">
        <f t="shared" ref="S170" si="828">R170/100000</f>
        <v>-839.855643078973</v>
      </c>
      <c r="T170">
        <f t="shared" ref="T170" si="829">S170/1000</f>
        <v>-0.83985564307897298</v>
      </c>
    </row>
    <row r="171" spans="1:20" x14ac:dyDescent="0.25">
      <c r="A171" s="5">
        <v>44422</v>
      </c>
      <c r="B171">
        <v>0.27609</v>
      </c>
      <c r="C171">
        <v>0.2843</v>
      </c>
      <c r="D171">
        <v>0.26169999999999999</v>
      </c>
      <c r="E171">
        <v>0.28298000000000001</v>
      </c>
      <c r="F171">
        <v>20613530.300000001</v>
      </c>
      <c r="G171">
        <v>0.28298000000000001</v>
      </c>
      <c r="L171" t="s">
        <v>7</v>
      </c>
      <c r="M171" t="s">
        <v>8</v>
      </c>
      <c r="N171" t="s">
        <v>7</v>
      </c>
      <c r="P171">
        <f t="shared" ref="P171" si="830">IF(C171=D171,0,((E171-D171)-(C171-E171))/(C171-D171))</f>
        <v>0.88318584070796569</v>
      </c>
      <c r="Q171">
        <f t="shared" ref="Q171" si="831">F171*P171</f>
        <v>18205578.087964624</v>
      </c>
      <c r="R171">
        <f t="shared" ref="R171" si="832">R172+Q171</f>
        <v>-89650450.031261832</v>
      </c>
      <c r="S171">
        <f t="shared" ref="S171" si="833">R171/100000</f>
        <v>-896.50450031261835</v>
      </c>
      <c r="T171">
        <f t="shared" ref="T171" si="834">S171/1000</f>
        <v>-0.8965045003126183</v>
      </c>
    </row>
    <row r="172" spans="1:20" x14ac:dyDescent="0.25">
      <c r="A172" s="5">
        <v>44421</v>
      </c>
      <c r="B172">
        <v>0.25878000000000001</v>
      </c>
      <c r="C172">
        <v>0.28885</v>
      </c>
      <c r="D172">
        <v>0.25431999999999999</v>
      </c>
      <c r="E172">
        <v>0.27609</v>
      </c>
      <c r="F172">
        <v>25873727.100000001</v>
      </c>
      <c r="G172">
        <v>0.27609</v>
      </c>
      <c r="L172" t="s">
        <v>8</v>
      </c>
      <c r="M172" t="s">
        <v>8</v>
      </c>
      <c r="N172" t="s">
        <v>7</v>
      </c>
      <c r="P172">
        <f t="shared" ref="P172" si="835">IF(C172=D172,0,((E172-D172)-(C172-E172))/(C172-D172))</f>
        <v>0.26093252244425186</v>
      </c>
      <c r="Q172">
        <f t="shared" ref="Q172" si="836">F172*P172</f>
        <v>6751296.8772371979</v>
      </c>
      <c r="R172">
        <f t="shared" ref="R172" si="837">R173+Q172</f>
        <v>-107856028.11922646</v>
      </c>
      <c r="S172">
        <f t="shared" ref="S172" si="838">R172/100000</f>
        <v>-1078.5602811922645</v>
      </c>
      <c r="T172">
        <f t="shared" ref="T172" si="839">S172/1000</f>
        <v>-1.0785602811922645</v>
      </c>
    </row>
    <row r="173" spans="1:20" x14ac:dyDescent="0.25">
      <c r="A173" s="5">
        <v>44420</v>
      </c>
      <c r="B173">
        <v>0.26896999999999999</v>
      </c>
      <c r="C173">
        <v>0.27876000000000001</v>
      </c>
      <c r="D173">
        <v>0.2495</v>
      </c>
      <c r="E173">
        <v>0.25878000000000001</v>
      </c>
      <c r="F173">
        <v>7337491.9000000004</v>
      </c>
      <c r="G173">
        <v>0.25878000000000001</v>
      </c>
      <c r="L173" t="s">
        <v>7</v>
      </c>
      <c r="M173" t="s">
        <v>8</v>
      </c>
      <c r="N173" t="s">
        <v>7</v>
      </c>
      <c r="P173">
        <f t="shared" ref="P173" si="840">IF(C173=D173,0,((E173-D173)-(C173-E173))/(C173-D173))</f>
        <v>-0.36568694463431251</v>
      </c>
      <c r="Q173">
        <f t="shared" ref="Q173" si="841">F173*P173</f>
        <v>-2683224.9941900168</v>
      </c>
      <c r="R173">
        <f t="shared" ref="R173" si="842">R174+Q173</f>
        <v>-114607324.99646366</v>
      </c>
      <c r="S173">
        <f t="shared" ref="S173" si="843">R173/100000</f>
        <v>-1146.0732499646365</v>
      </c>
      <c r="T173">
        <f t="shared" ref="T173" si="844">S173/1000</f>
        <v>-1.1460732499646364</v>
      </c>
    </row>
    <row r="174" spans="1:20" x14ac:dyDescent="0.25">
      <c r="A174" s="5">
        <v>44419</v>
      </c>
      <c r="B174">
        <v>0.26690999999999998</v>
      </c>
      <c r="C174">
        <v>0.27865000000000001</v>
      </c>
      <c r="D174">
        <v>0.26068000000000002</v>
      </c>
      <c r="E174">
        <v>0.27073000000000003</v>
      </c>
      <c r="F174">
        <v>12862055.300000001</v>
      </c>
      <c r="G174">
        <v>0.27073000000000003</v>
      </c>
      <c r="L174" t="s">
        <v>8</v>
      </c>
      <c r="M174" t="s">
        <v>8</v>
      </c>
      <c r="N174" t="s">
        <v>7</v>
      </c>
      <c r="P174">
        <f t="shared" ref="P174" si="845">IF(C174=D174,0,((E174-D174)-(C174-E174))/(C174-D174))</f>
        <v>0.1185308848080146</v>
      </c>
      <c r="Q174">
        <f t="shared" ref="Q174" si="846">F174*P174</f>
        <v>1524550.7951586137</v>
      </c>
      <c r="R174">
        <f t="shared" ref="R174" si="847">R175+Q174</f>
        <v>-111924100.00227363</v>
      </c>
      <c r="S174">
        <f t="shared" ref="S174" si="848">R174/100000</f>
        <v>-1119.2410000227364</v>
      </c>
      <c r="T174">
        <f t="shared" ref="T174" si="849">S174/1000</f>
        <v>-1.1192410000227364</v>
      </c>
    </row>
    <row r="175" spans="1:20" x14ac:dyDescent="0.25">
      <c r="A175" s="5">
        <v>44418</v>
      </c>
      <c r="B175">
        <v>0.25575999999999999</v>
      </c>
      <c r="C175">
        <v>0.26880999999999999</v>
      </c>
      <c r="D175">
        <v>0.25058000000000002</v>
      </c>
      <c r="E175">
        <v>0.2681</v>
      </c>
      <c r="F175">
        <v>10679847.9</v>
      </c>
      <c r="G175">
        <v>0.2681</v>
      </c>
      <c r="L175" t="s">
        <v>8</v>
      </c>
      <c r="M175" t="s">
        <v>8</v>
      </c>
      <c r="N175" t="s">
        <v>7</v>
      </c>
      <c r="P175">
        <f t="shared" ref="P175" si="850">IF(C175=D175,0,((E175-D175)-(C175-E175))/(C175-D175))</f>
        <v>0.92210641799232151</v>
      </c>
      <c r="Q175">
        <f t="shared" ref="Q175" si="851">F175*P175</f>
        <v>9847956.291771818</v>
      </c>
      <c r="R175">
        <f t="shared" ref="R175" si="852">R176+Q175</f>
        <v>-113448650.79743224</v>
      </c>
      <c r="S175">
        <f t="shared" ref="S175" si="853">R175/100000</f>
        <v>-1134.4865079743224</v>
      </c>
      <c r="T175">
        <f t="shared" ref="T175" si="854">S175/1000</f>
        <v>-1.1344865079743225</v>
      </c>
    </row>
    <row r="176" spans="1:20" x14ac:dyDescent="0.25">
      <c r="A176" s="5">
        <v>44417</v>
      </c>
      <c r="B176">
        <v>0.24948000000000001</v>
      </c>
      <c r="C176">
        <v>0.25664999999999999</v>
      </c>
      <c r="D176">
        <v>0.23674999999999999</v>
      </c>
      <c r="E176">
        <v>0.25575999999999999</v>
      </c>
      <c r="F176">
        <v>6354350.0999999996</v>
      </c>
      <c r="G176">
        <v>0.25575999999999999</v>
      </c>
      <c r="L176" t="s">
        <v>7</v>
      </c>
      <c r="M176" t="s">
        <v>7</v>
      </c>
      <c r="N176" t="s">
        <v>7</v>
      </c>
      <c r="P176">
        <f t="shared" ref="P176" si="855">IF(C176=D176,0,((E176-D176)-(C176-E176))/(C176-D176))</f>
        <v>0.91055276381909533</v>
      </c>
      <c r="Q176">
        <f t="shared" ref="Q176" si="856">F176*P176</f>
        <v>5785971.0458291443</v>
      </c>
      <c r="R176">
        <f t="shared" ref="R176" si="857">R177+Q176</f>
        <v>-123296607.08920406</v>
      </c>
      <c r="S176">
        <f t="shared" ref="S176" si="858">R176/100000</f>
        <v>-1232.9660708920405</v>
      </c>
      <c r="T176">
        <f t="shared" ref="T176" si="859">S176/1000</f>
        <v>-1.2329660708920405</v>
      </c>
    </row>
    <row r="177" spans="1:20" x14ac:dyDescent="0.25">
      <c r="A177" s="5">
        <v>44416</v>
      </c>
      <c r="B177">
        <v>0.25609999999999999</v>
      </c>
      <c r="C177">
        <v>0.25656000000000001</v>
      </c>
      <c r="D177">
        <v>0.24152000000000001</v>
      </c>
      <c r="E177">
        <v>0.24948000000000001</v>
      </c>
      <c r="F177">
        <v>5809828</v>
      </c>
      <c r="G177">
        <v>0.24948000000000001</v>
      </c>
      <c r="L177" t="s">
        <v>7</v>
      </c>
      <c r="M177" t="s">
        <v>7</v>
      </c>
      <c r="N177" t="s">
        <v>7</v>
      </c>
      <c r="P177">
        <f t="shared" ref="P177" si="860">IF(C177=D177,0,((E177-D177)-(C177-E177))/(C177-D177))</f>
        <v>5.8510638297871807E-2</v>
      </c>
      <c r="Q177">
        <f t="shared" ref="Q177" si="861">F177*P177</f>
        <v>339936.74468084797</v>
      </c>
      <c r="R177">
        <f t="shared" ref="R177" si="862">R178+Q177</f>
        <v>-129082578.13503321</v>
      </c>
      <c r="S177">
        <f t="shared" ref="S177" si="863">R177/100000</f>
        <v>-1290.8257813503321</v>
      </c>
      <c r="T177">
        <f t="shared" ref="T177" si="864">S177/1000</f>
        <v>-1.2908257813503321</v>
      </c>
    </row>
    <row r="178" spans="1:20" x14ac:dyDescent="0.25">
      <c r="A178" s="5">
        <v>44415</v>
      </c>
      <c r="B178">
        <v>0.25174000000000002</v>
      </c>
      <c r="C178">
        <v>0.25777</v>
      </c>
      <c r="D178">
        <v>0.24725</v>
      </c>
      <c r="E178">
        <v>0.25563000000000002</v>
      </c>
      <c r="F178">
        <v>18654199.600000001</v>
      </c>
      <c r="G178">
        <v>0.25563000000000002</v>
      </c>
      <c r="L178" t="s">
        <v>7</v>
      </c>
      <c r="M178" t="s">
        <v>7</v>
      </c>
      <c r="N178" t="s">
        <v>7</v>
      </c>
      <c r="P178">
        <f t="shared" ref="P178" si="865">IF(C178=D178,0,((E178-D178)-(C178-E178))/(C178-D178))</f>
        <v>0.59315589353612641</v>
      </c>
      <c r="Q178">
        <f t="shared" ref="Q178" si="866">F178*P178</f>
        <v>11064848.431939254</v>
      </c>
      <c r="R178">
        <f t="shared" ref="R178" si="867">R179+Q178</f>
        <v>-129422514.87971406</v>
      </c>
      <c r="S178">
        <f t="shared" ref="S178" si="868">R178/100000</f>
        <v>-1294.2251487971405</v>
      </c>
      <c r="T178">
        <f t="shared" ref="T178" si="869">S178/1000</f>
        <v>-1.2942251487971406</v>
      </c>
    </row>
    <row r="179" spans="1:20" x14ac:dyDescent="0.25">
      <c r="A179" s="5">
        <v>44414</v>
      </c>
      <c r="B179">
        <v>0.24848000000000001</v>
      </c>
      <c r="C179">
        <v>0.25280000000000002</v>
      </c>
      <c r="D179">
        <v>0.24049999999999999</v>
      </c>
      <c r="E179">
        <v>0.25174999999999997</v>
      </c>
      <c r="F179">
        <v>10549491.4</v>
      </c>
      <c r="G179">
        <v>0.25174999999999997</v>
      </c>
      <c r="L179" t="s">
        <v>7</v>
      </c>
      <c r="M179" t="s">
        <v>7</v>
      </c>
      <c r="N179" t="s">
        <v>7</v>
      </c>
      <c r="P179">
        <f t="shared" ref="P179" si="870">IF(C179=D179,0,((E179-D179)-(C179-E179))/(C179-D179))</f>
        <v>0.82926829268291902</v>
      </c>
      <c r="Q179">
        <f t="shared" ref="Q179" si="871">F179*P179</f>
        <v>8748358.7219511382</v>
      </c>
      <c r="R179">
        <f t="shared" ref="R179" si="872">R180+Q179</f>
        <v>-140487363.31165332</v>
      </c>
      <c r="S179">
        <f t="shared" ref="S179" si="873">R179/100000</f>
        <v>-1404.8736331165333</v>
      </c>
      <c r="T179">
        <f t="shared" ref="T179" si="874">S179/1000</f>
        <v>-1.4048736331165332</v>
      </c>
    </row>
    <row r="180" spans="1:20" x14ac:dyDescent="0.25">
      <c r="A180" s="5">
        <v>44413</v>
      </c>
      <c r="B180">
        <v>0.24540000000000001</v>
      </c>
      <c r="C180">
        <v>0.26449</v>
      </c>
      <c r="D180">
        <v>0.23108999999999999</v>
      </c>
      <c r="E180">
        <v>0.24851000000000001</v>
      </c>
      <c r="F180">
        <v>23360023.300000001</v>
      </c>
      <c r="G180">
        <v>0.24851000000000001</v>
      </c>
      <c r="L180" t="s">
        <v>8</v>
      </c>
      <c r="M180" t="s">
        <v>7</v>
      </c>
      <c r="N180" t="s">
        <v>7</v>
      </c>
      <c r="P180">
        <f t="shared" ref="P180" si="875">IF(C180=D180,0,((E180-D180)-(C180-E180))/(C180-D180))</f>
        <v>4.3113772455090543E-2</v>
      </c>
      <c r="Q180">
        <f t="shared" ref="Q180" si="876">F180*P180</f>
        <v>1007138.7291018133</v>
      </c>
      <c r="R180">
        <f t="shared" ref="R180" si="877">R181+Q180</f>
        <v>-149235722.03360444</v>
      </c>
      <c r="S180">
        <f t="shared" ref="S180" si="878">R180/100000</f>
        <v>-1492.3572203360445</v>
      </c>
      <c r="T180">
        <f t="shared" ref="T180" si="879">S180/1000</f>
        <v>-1.4923572203360445</v>
      </c>
    </row>
    <row r="181" spans="1:20" x14ac:dyDescent="0.25">
      <c r="A181" s="5">
        <v>44412</v>
      </c>
      <c r="B181">
        <v>0.24093000000000001</v>
      </c>
      <c r="C181">
        <v>0.24761</v>
      </c>
      <c r="D181">
        <v>0.2266</v>
      </c>
      <c r="E181">
        <v>0.24549000000000001</v>
      </c>
      <c r="F181">
        <v>10954397.800000001</v>
      </c>
      <c r="G181">
        <v>0.24549000000000001</v>
      </c>
      <c r="L181" t="s">
        <v>7</v>
      </c>
      <c r="M181" t="s">
        <v>7</v>
      </c>
      <c r="N181" t="s">
        <v>7</v>
      </c>
      <c r="P181">
        <f t="shared" ref="P181" si="880">IF(C181=D181,0,((E181-D181)-(C181-E181))/(C181-D181))</f>
        <v>0.7981913374583548</v>
      </c>
      <c r="Q181">
        <f t="shared" ref="Q181" si="881">F181*P181</f>
        <v>8743705.4310328607</v>
      </c>
      <c r="R181">
        <f t="shared" ref="R181" si="882">R182+Q181</f>
        <v>-150242860.76270625</v>
      </c>
      <c r="S181">
        <f t="shared" ref="S181" si="883">R181/100000</f>
        <v>-1502.4286076270625</v>
      </c>
      <c r="T181">
        <f t="shared" ref="T181" si="884">S181/1000</f>
        <v>-1.5024286076270625</v>
      </c>
    </row>
    <row r="182" spans="1:20" x14ac:dyDescent="0.25">
      <c r="A182" s="5">
        <v>44411</v>
      </c>
      <c r="B182">
        <v>0.25380000000000003</v>
      </c>
      <c r="C182">
        <v>0.25380000000000003</v>
      </c>
      <c r="D182">
        <v>0.23069000000000001</v>
      </c>
      <c r="E182">
        <v>0.24063000000000001</v>
      </c>
      <c r="F182">
        <v>17367827.399999999</v>
      </c>
      <c r="G182">
        <v>0.24063000000000001</v>
      </c>
      <c r="L182" t="s">
        <v>8</v>
      </c>
      <c r="M182" t="s">
        <v>7</v>
      </c>
      <c r="N182" t="s">
        <v>7</v>
      </c>
      <c r="P182">
        <f t="shared" ref="P182" si="885">IF(C182=D182,0,((E182-D182)-(C182-E182))/(C182-D182))</f>
        <v>-0.13976633491994842</v>
      </c>
      <c r="Q182">
        <f t="shared" ref="Q182" si="886">F182*P182</f>
        <v>-2427437.5812202566</v>
      </c>
      <c r="R182">
        <f t="shared" ref="R182" si="887">R183+Q182</f>
        <v>-158986566.19373912</v>
      </c>
      <c r="S182">
        <f t="shared" ref="S182" si="888">R182/100000</f>
        <v>-1589.8656619373912</v>
      </c>
      <c r="T182">
        <f t="shared" ref="T182" si="889">S182/1000</f>
        <v>-1.5898656619373912</v>
      </c>
    </row>
    <row r="183" spans="1:20" x14ac:dyDescent="0.25">
      <c r="A183" s="5">
        <v>44410</v>
      </c>
      <c r="B183">
        <v>0.24660000000000001</v>
      </c>
      <c r="C183">
        <v>0.25600000000000001</v>
      </c>
      <c r="D183">
        <v>0.22336</v>
      </c>
      <c r="E183">
        <v>0.25369999999999998</v>
      </c>
      <c r="F183">
        <v>35693152.600000001</v>
      </c>
      <c r="G183">
        <v>0.25369999999999998</v>
      </c>
      <c r="L183" t="s">
        <v>7</v>
      </c>
      <c r="M183" t="s">
        <v>7</v>
      </c>
      <c r="N183" t="s">
        <v>7</v>
      </c>
      <c r="P183">
        <f t="shared" ref="P183" si="890">IF(C183=D183,0,((E183-D183)-(C183-E183))/(C183-D183))</f>
        <v>0.85906862745097889</v>
      </c>
      <c r="Q183">
        <f t="shared" ref="Q183" si="891">F183*P183</f>
        <v>30662867.613480341</v>
      </c>
      <c r="R183">
        <f t="shared" ref="R183" si="892">R184+Q183</f>
        <v>-156559128.61251885</v>
      </c>
      <c r="S183">
        <f t="shared" ref="S183" si="893">R183/100000</f>
        <v>-1565.5912861251884</v>
      </c>
      <c r="T183">
        <f t="shared" ref="T183" si="894">S183/1000</f>
        <v>-1.5655912861251884</v>
      </c>
    </row>
    <row r="184" spans="1:20" x14ac:dyDescent="0.25">
      <c r="A184" s="5">
        <v>44409</v>
      </c>
      <c r="B184">
        <v>0.30580000000000002</v>
      </c>
      <c r="C184">
        <v>0.30957000000000001</v>
      </c>
      <c r="D184">
        <v>0.24392</v>
      </c>
      <c r="E184">
        <v>0.24698000000000001</v>
      </c>
      <c r="F184">
        <v>52490645.799999997</v>
      </c>
      <c r="G184">
        <v>0.24698000000000001</v>
      </c>
      <c r="L184" t="s">
        <v>7</v>
      </c>
      <c r="M184" t="s">
        <v>7</v>
      </c>
      <c r="N184" t="s">
        <v>7</v>
      </c>
      <c r="P184">
        <f t="shared" ref="P184" si="895">IF(C184=D184,0,((E184-D184)-(C184-E184))/(C184-D184))</f>
        <v>-0.90677837014470652</v>
      </c>
      <c r="Q184">
        <f t="shared" ref="Q184" si="896">F184*P184</f>
        <v>-47597382.246367082</v>
      </c>
      <c r="R184">
        <f t="shared" ref="R184" si="897">R185+Q184</f>
        <v>-187221996.22599918</v>
      </c>
      <c r="S184">
        <f t="shared" ref="S184" si="898">R184/100000</f>
        <v>-1872.2199622599917</v>
      </c>
      <c r="T184">
        <f t="shared" ref="T184" si="899">S184/1000</f>
        <v>-1.8722199622599918</v>
      </c>
    </row>
    <row r="185" spans="1:20" x14ac:dyDescent="0.25">
      <c r="A185" s="5">
        <v>44408</v>
      </c>
      <c r="B185">
        <v>0.19581000000000001</v>
      </c>
      <c r="C185">
        <v>0.37797999999999998</v>
      </c>
      <c r="D185">
        <v>0.19581000000000001</v>
      </c>
      <c r="E185">
        <v>0.30593999999999999</v>
      </c>
      <c r="F185">
        <v>188236044.30000001</v>
      </c>
      <c r="G185">
        <v>0.30593999999999999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0.20909041005654055</v>
      </c>
      <c r="Q185">
        <f t="shared" ref="Q185" si="901">F185*P185</f>
        <v>39358351.690108135</v>
      </c>
      <c r="R185">
        <f t="shared" ref="R185" si="902">R186+Q185</f>
        <v>-139624613.97963208</v>
      </c>
      <c r="S185">
        <f t="shared" ref="S185" si="903">R185/100000</f>
        <v>-1396.2461397963209</v>
      </c>
      <c r="T185">
        <f t="shared" ref="T185" si="904">S185/1000</f>
        <v>-1.3962461397963208</v>
      </c>
    </row>
    <row r="186" spans="1:20" x14ac:dyDescent="0.25">
      <c r="A186" s="5">
        <v>44407</v>
      </c>
      <c r="B186">
        <v>0.19158</v>
      </c>
      <c r="C186">
        <v>0.20097999999999999</v>
      </c>
      <c r="D186">
        <v>0.17677000000000001</v>
      </c>
      <c r="E186">
        <v>0.19581000000000001</v>
      </c>
      <c r="F186">
        <v>15954951.1</v>
      </c>
      <c r="G186">
        <v>0.19581000000000001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0.57290375877736599</v>
      </c>
      <c r="Q186">
        <f t="shared" ref="Q186" si="906">F186*P186</f>
        <v>9140651.4562990703</v>
      </c>
      <c r="R186">
        <f t="shared" ref="R186" si="907">R187+Q186</f>
        <v>-178982965.6697402</v>
      </c>
      <c r="S186">
        <f t="shared" ref="S186" si="908">R186/100000</f>
        <v>-1789.829656697402</v>
      </c>
      <c r="T186">
        <f t="shared" ref="T186" si="909">S186/1000</f>
        <v>-1.7898296566974019</v>
      </c>
    </row>
    <row r="187" spans="1:20" x14ac:dyDescent="0.25">
      <c r="A187" s="5">
        <v>44406</v>
      </c>
      <c r="B187">
        <v>0.16558999999999999</v>
      </c>
      <c r="C187">
        <v>0.20300000000000001</v>
      </c>
      <c r="D187">
        <v>0.16089000000000001</v>
      </c>
      <c r="E187">
        <v>0.19178999999999999</v>
      </c>
      <c r="F187">
        <v>28861466</v>
      </c>
      <c r="G187">
        <v>0.19178999999999999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0.46758489669912023</v>
      </c>
      <c r="Q187">
        <f t="shared" ref="Q187" si="911">F187*P187</f>
        <v>13495185.598195171</v>
      </c>
      <c r="R187">
        <f t="shared" ref="R187" si="912">R188+Q187</f>
        <v>-188123617.12603927</v>
      </c>
      <c r="S187">
        <f t="shared" ref="S187" si="913">R187/100000</f>
        <v>-1881.2361712603927</v>
      </c>
      <c r="T187">
        <f t="shared" ref="T187" si="914">S187/1000</f>
        <v>-1.8812361712603927</v>
      </c>
    </row>
    <row r="188" spans="1:20" x14ac:dyDescent="0.25">
      <c r="A188" s="5">
        <v>44405</v>
      </c>
      <c r="B188">
        <v>0.16199</v>
      </c>
      <c r="C188">
        <v>0.16589999999999999</v>
      </c>
      <c r="D188">
        <v>0.15620999999999999</v>
      </c>
      <c r="E188">
        <v>0.1656</v>
      </c>
      <c r="F188">
        <v>5198116.8</v>
      </c>
      <c r="G188">
        <v>0.1656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0.93808049535603832</v>
      </c>
      <c r="Q188">
        <f t="shared" ref="Q188" si="916">F188*P188</f>
        <v>4876251.9826625446</v>
      </c>
      <c r="R188">
        <f t="shared" ref="R188" si="917">R189+Q188</f>
        <v>-201618802.72423443</v>
      </c>
      <c r="S188">
        <f t="shared" ref="S188" si="918">R188/100000</f>
        <v>-2016.1880272423443</v>
      </c>
      <c r="T188">
        <f t="shared" ref="T188" si="919">S188/1000</f>
        <v>-2.0161880272423445</v>
      </c>
    </row>
    <row r="189" spans="1:20" x14ac:dyDescent="0.25">
      <c r="A189" s="5">
        <v>44404</v>
      </c>
      <c r="B189">
        <v>0.1512</v>
      </c>
      <c r="C189">
        <v>0.16547000000000001</v>
      </c>
      <c r="D189">
        <v>0.14928</v>
      </c>
      <c r="E189">
        <v>0.16200000000000001</v>
      </c>
      <c r="F189">
        <v>11531016.4</v>
      </c>
      <c r="G189">
        <v>0.16200000000000001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0.57134033353922187</v>
      </c>
      <c r="Q189">
        <f t="shared" ref="Q189" si="921">F189*P189</f>
        <v>6588134.7560222372</v>
      </c>
      <c r="R189">
        <f t="shared" ref="R189" si="922">R190+Q189</f>
        <v>-206495054.70689699</v>
      </c>
      <c r="S189">
        <f t="shared" ref="S189" si="923">R189/100000</f>
        <v>-2064.9505470689701</v>
      </c>
      <c r="T189">
        <f t="shared" ref="T189" si="924">S189/1000</f>
        <v>-2.0649505470689702</v>
      </c>
    </row>
    <row r="190" spans="1:20" x14ac:dyDescent="0.25">
      <c r="A190" s="5">
        <v>44403</v>
      </c>
      <c r="B190">
        <v>0.14581</v>
      </c>
      <c r="C190">
        <v>0.15733</v>
      </c>
      <c r="D190">
        <v>0.14473</v>
      </c>
      <c r="E190">
        <v>0.15129999999999999</v>
      </c>
      <c r="F190">
        <v>8171926</v>
      </c>
      <c r="G190">
        <v>0.15129999999999999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4.2857142857141664E-2</v>
      </c>
      <c r="Q190">
        <f t="shared" ref="Q190" si="926">F190*P190</f>
        <v>350225.39999999024</v>
      </c>
      <c r="R190">
        <f t="shared" ref="R190" si="927">R191+Q190</f>
        <v>-213083189.46291924</v>
      </c>
      <c r="S190">
        <f t="shared" ref="S190" si="928">R190/100000</f>
        <v>-2130.8318946291924</v>
      </c>
      <c r="T190">
        <f t="shared" ref="T190" si="929">S190/1000</f>
        <v>-2.1308318946291926</v>
      </c>
    </row>
    <row r="191" spans="1:20" x14ac:dyDescent="0.25">
      <c r="A191" s="5">
        <v>44402</v>
      </c>
      <c r="B191">
        <v>0.14504</v>
      </c>
      <c r="C191">
        <v>0.14759</v>
      </c>
      <c r="D191">
        <v>0.13980000000000001</v>
      </c>
      <c r="E191">
        <v>0.14651</v>
      </c>
      <c r="F191">
        <v>2514603.7999999998</v>
      </c>
      <c r="G191">
        <v>0.14651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0.72272143774069353</v>
      </c>
      <c r="Q191">
        <f t="shared" ref="Q191" si="931">F191*P191</f>
        <v>1817358.0736842111</v>
      </c>
      <c r="R191">
        <f t="shared" ref="R191" si="932">R192+Q191</f>
        <v>-213433414.86291921</v>
      </c>
      <c r="S191">
        <f t="shared" ref="S191" si="933">R191/100000</f>
        <v>-2134.334148629192</v>
      </c>
      <c r="T191">
        <f t="shared" ref="T191:T197" si="934">S191/1000</f>
        <v>-2.134334148629192</v>
      </c>
    </row>
    <row r="192" spans="1:20" x14ac:dyDescent="0.25">
      <c r="A192" s="5">
        <v>44401</v>
      </c>
      <c r="B192">
        <v>0.14232</v>
      </c>
      <c r="C192">
        <v>0.15062999999999999</v>
      </c>
      <c r="D192">
        <v>0.14096</v>
      </c>
      <c r="E192">
        <v>0.14432</v>
      </c>
      <c r="F192">
        <v>4874072.5</v>
      </c>
      <c r="G192">
        <v>0.14432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-0.30506721820061894</v>
      </c>
      <c r="Q192">
        <f t="shared" ref="Q192" si="936">F192*P192</f>
        <v>-1486919.7388831363</v>
      </c>
      <c r="R192">
        <f t="shared" ref="R192" si="937">R193+Q192</f>
        <v>-215250772.93660343</v>
      </c>
      <c r="S192">
        <f t="shared" ref="S192" si="938">R192/100000</f>
        <v>-2152.5077293660343</v>
      </c>
      <c r="T192">
        <f t="shared" si="934"/>
        <v>-2.1525077293660342</v>
      </c>
    </row>
    <row r="193" spans="1:20" x14ac:dyDescent="0.25">
      <c r="A193" s="5">
        <v>44400</v>
      </c>
      <c r="B193">
        <v>0.13980000000000001</v>
      </c>
      <c r="C193">
        <v>0.14679</v>
      </c>
      <c r="D193">
        <v>0.13356999999999999</v>
      </c>
      <c r="E193">
        <v>0.14158999999999999</v>
      </c>
      <c r="F193">
        <v>10307145.4</v>
      </c>
      <c r="G193">
        <v>0.14158999999999999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0.21331316187594457</v>
      </c>
      <c r="Q193">
        <f t="shared" ref="Q193" si="940">F193*P193</f>
        <v>2198649.7751890975</v>
      </c>
      <c r="R193">
        <f t="shared" ref="R193" si="941">R194+Q193</f>
        <v>-213763853.19772029</v>
      </c>
      <c r="S193">
        <f t="shared" ref="S193" si="942">R193/100000</f>
        <v>-2137.638531977203</v>
      </c>
      <c r="T193">
        <f t="shared" si="934"/>
        <v>-2.1376385319772031</v>
      </c>
    </row>
    <row r="194" spans="1:20" x14ac:dyDescent="0.25">
      <c r="A194" s="5">
        <v>44399</v>
      </c>
      <c r="B194">
        <v>0.13369</v>
      </c>
      <c r="C194">
        <v>0.14183000000000001</v>
      </c>
      <c r="D194">
        <v>0.13052</v>
      </c>
      <c r="E194">
        <v>0.14011999999999999</v>
      </c>
      <c r="F194">
        <v>4287653.2</v>
      </c>
      <c r="G194">
        <v>0.14011999999999999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0.69761273209548813</v>
      </c>
      <c r="Q194">
        <f t="shared" ref="Q194" si="944">F194*P194</f>
        <v>2991121.4631299623</v>
      </c>
      <c r="R194">
        <f t="shared" ref="R194" si="945">R195+Q194</f>
        <v>-215962502.97290939</v>
      </c>
      <c r="S194">
        <f t="shared" ref="S194" si="946">R194/100000</f>
        <v>-2159.625029729094</v>
      </c>
      <c r="T194">
        <f t="shared" si="934"/>
        <v>-2.159625029729094</v>
      </c>
    </row>
    <row r="195" spans="1:20" x14ac:dyDescent="0.25">
      <c r="A195" s="5">
        <v>44398</v>
      </c>
      <c r="B195">
        <v>0.12418999999999999</v>
      </c>
      <c r="C195">
        <v>0.13517000000000001</v>
      </c>
      <c r="D195">
        <v>0.11945</v>
      </c>
      <c r="E195">
        <v>0.13422000000000001</v>
      </c>
      <c r="F195">
        <v>5933139.7000000002</v>
      </c>
      <c r="G195">
        <v>0.13422000000000001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0.87913486005088981</v>
      </c>
      <c r="Q195">
        <f t="shared" ref="Q195" si="948">F195*P195</f>
        <v>5216029.9398218784</v>
      </c>
      <c r="R195">
        <f t="shared" ref="R195" si="949">R196+Q195</f>
        <v>-218953624.43603936</v>
      </c>
      <c r="S195">
        <f t="shared" ref="S195" si="950">R195/100000</f>
        <v>-2189.5362443603935</v>
      </c>
      <c r="T195">
        <f t="shared" si="934"/>
        <v>-2.1895362443603936</v>
      </c>
    </row>
    <row r="196" spans="1:20" x14ac:dyDescent="0.25">
      <c r="A196" s="5">
        <v>44397</v>
      </c>
      <c r="B196">
        <v>0.13458000000000001</v>
      </c>
      <c r="C196">
        <v>0.14141000000000001</v>
      </c>
      <c r="D196">
        <v>0.11677999999999999</v>
      </c>
      <c r="E196">
        <v>0.12418999999999999</v>
      </c>
      <c r="F196">
        <v>11729891.1</v>
      </c>
      <c r="G196">
        <v>0.12418999999999999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-0.39829476248477497</v>
      </c>
      <c r="Q196">
        <f t="shared" ref="Q196" si="952">F196*P196</f>
        <v>-4671954.1896467758</v>
      </c>
      <c r="R196">
        <f t="shared" ref="R196" si="953">R197+Q196</f>
        <v>-224169654.37586123</v>
      </c>
      <c r="S196">
        <f t="shared" ref="S196" si="954">R196/100000</f>
        <v>-2241.6965437586123</v>
      </c>
      <c r="T196">
        <f t="shared" si="934"/>
        <v>-2.2416965437586125</v>
      </c>
    </row>
    <row r="197" spans="1:20" x14ac:dyDescent="0.25">
      <c r="A197" s="5">
        <v>44396</v>
      </c>
      <c r="B197">
        <v>0.14799999999999999</v>
      </c>
      <c r="C197">
        <v>0.14990000000000001</v>
      </c>
      <c r="D197">
        <v>0.13228999999999999</v>
      </c>
      <c r="E197">
        <v>0.13425000000000001</v>
      </c>
      <c r="F197">
        <v>2323166.7999999998</v>
      </c>
      <c r="G197">
        <v>-9.2899999999999991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-0.77739920499715898</v>
      </c>
      <c r="Q197">
        <f t="shared" ref="Q197" si="956">F197*P197</f>
        <v>-1806028.0233957937</v>
      </c>
      <c r="R197">
        <f t="shared" ref="R197" si="957">R198+Q197</f>
        <v>-219497700.18621445</v>
      </c>
      <c r="S197">
        <f t="shared" ref="S197" si="958">R197/100000</f>
        <v>-2194.9770018621443</v>
      </c>
      <c r="T197">
        <f t="shared" si="934"/>
        <v>-2.1949770018621444</v>
      </c>
    </row>
    <row r="198" spans="1:20" x14ac:dyDescent="0.25">
      <c r="A198" s="5">
        <v>44395</v>
      </c>
      <c r="B198">
        <v>0.14768999999999999</v>
      </c>
      <c r="C198">
        <v>0.15048</v>
      </c>
      <c r="D198">
        <v>0.14396999999999999</v>
      </c>
      <c r="E198">
        <v>0.14799999999999999</v>
      </c>
      <c r="F198">
        <v>1958251.4</v>
      </c>
      <c r="G198">
        <v>0.21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0.23809523809523689</v>
      </c>
      <c r="Q198">
        <f t="shared" ref="Q198:Q261" si="960">F198*P198</f>
        <v>466250.33333333093</v>
      </c>
      <c r="R198">
        <f t="shared" ref="R198:R261" si="961">R199+Q198</f>
        <v>-217691672.16281864</v>
      </c>
      <c r="S198">
        <f t="shared" ref="S198:S261" si="962">R198/100000</f>
        <v>-2176.9167216281862</v>
      </c>
      <c r="T198">
        <f t="shared" ref="T198:T261" si="963">S198/1000</f>
        <v>-2.1769167216281864</v>
      </c>
    </row>
    <row r="199" spans="1:20" x14ac:dyDescent="0.25">
      <c r="A199" s="5">
        <v>44394</v>
      </c>
      <c r="B199">
        <v>0.14502999999999999</v>
      </c>
      <c r="C199">
        <v>0.15004000000000001</v>
      </c>
      <c r="D199">
        <v>0.14324000000000001</v>
      </c>
      <c r="E199">
        <v>0.14751</v>
      </c>
      <c r="F199">
        <v>2211114.9</v>
      </c>
      <c r="G199">
        <v>1.71</v>
      </c>
      <c r="L199" t="s">
        <v>7</v>
      </c>
      <c r="M199" t="s">
        <v>7</v>
      </c>
      <c r="N199" t="s">
        <v>7</v>
      </c>
      <c r="P199">
        <f t="shared" si="959"/>
        <v>0.25588235294117523</v>
      </c>
      <c r="Q199">
        <f t="shared" si="960"/>
        <v>565785.28323529137</v>
      </c>
      <c r="R199">
        <f t="shared" si="961"/>
        <v>-218157922.49615198</v>
      </c>
      <c r="S199">
        <f t="shared" si="962"/>
        <v>-2181.5792249615197</v>
      </c>
      <c r="T199">
        <f t="shared" si="963"/>
        <v>-2.1815792249615198</v>
      </c>
    </row>
    <row r="200" spans="1:20" x14ac:dyDescent="0.25">
      <c r="A200" s="5">
        <v>44393</v>
      </c>
      <c r="B200">
        <v>0.16192000000000001</v>
      </c>
      <c r="C200">
        <v>0.16239000000000001</v>
      </c>
      <c r="D200">
        <v>0.14196</v>
      </c>
      <c r="E200">
        <v>0.14504</v>
      </c>
      <c r="F200">
        <v>4436041.8</v>
      </c>
      <c r="G200">
        <v>-10.42</v>
      </c>
      <c r="L200" t="s">
        <v>7</v>
      </c>
      <c r="M200" t="s">
        <v>7</v>
      </c>
      <c r="N200" t="s">
        <v>7</v>
      </c>
      <c r="P200">
        <f t="shared" si="959"/>
        <v>-0.69848262359275581</v>
      </c>
      <c r="Q200">
        <f t="shared" si="960"/>
        <v>-3098498.114831131</v>
      </c>
      <c r="R200">
        <f t="shared" si="961"/>
        <v>-218723707.77938727</v>
      </c>
      <c r="S200">
        <f t="shared" si="962"/>
        <v>-2187.2370777938727</v>
      </c>
      <c r="T200">
        <f t="shared" si="963"/>
        <v>-2.1872370777938728</v>
      </c>
    </row>
    <row r="201" spans="1:20" x14ac:dyDescent="0.25">
      <c r="A201" s="5">
        <v>44392</v>
      </c>
      <c r="B201">
        <v>0.16014999999999999</v>
      </c>
      <c r="C201">
        <v>0.16625999999999999</v>
      </c>
      <c r="D201">
        <v>0.15396000000000001</v>
      </c>
      <c r="E201">
        <v>0.16192999999999999</v>
      </c>
      <c r="F201">
        <v>6310126.2000000002</v>
      </c>
      <c r="G201">
        <v>1.1100000000000001</v>
      </c>
      <c r="L201" t="s">
        <v>8</v>
      </c>
      <c r="M201" t="s">
        <v>7</v>
      </c>
      <c r="N201" t="s">
        <v>7</v>
      </c>
      <c r="P201">
        <f t="shared" si="959"/>
        <v>0.29593495934959213</v>
      </c>
      <c r="Q201">
        <f t="shared" si="960"/>
        <v>1867386.9404877962</v>
      </c>
      <c r="R201">
        <f t="shared" si="961"/>
        <v>-215625209.66455615</v>
      </c>
      <c r="S201">
        <f t="shared" si="962"/>
        <v>-2156.2520966455613</v>
      </c>
      <c r="T201">
        <f t="shared" si="963"/>
        <v>-2.1562520966455612</v>
      </c>
    </row>
    <row r="202" spans="1:20" x14ac:dyDescent="0.25">
      <c r="A202" s="5">
        <v>44391</v>
      </c>
      <c r="B202">
        <v>0.16508999999999999</v>
      </c>
      <c r="C202">
        <v>0.16567999999999999</v>
      </c>
      <c r="D202">
        <v>0.15007999999999999</v>
      </c>
      <c r="E202">
        <v>0.16064999999999999</v>
      </c>
      <c r="F202">
        <v>5866210.7999999998</v>
      </c>
      <c r="G202">
        <v>-2.69</v>
      </c>
      <c r="L202" t="s">
        <v>7</v>
      </c>
      <c r="M202" t="s">
        <v>7</v>
      </c>
      <c r="N202" t="s">
        <v>7</v>
      </c>
      <c r="P202">
        <f t="shared" si="959"/>
        <v>0.35512820512820437</v>
      </c>
      <c r="Q202">
        <f t="shared" si="960"/>
        <v>2083256.9123076878</v>
      </c>
      <c r="R202">
        <f t="shared" si="961"/>
        <v>-217492596.60504395</v>
      </c>
      <c r="S202">
        <f t="shared" si="962"/>
        <v>-2174.9259660504395</v>
      </c>
      <c r="T202">
        <f t="shared" si="963"/>
        <v>-2.1749259660504396</v>
      </c>
    </row>
    <row r="203" spans="1:20" x14ac:dyDescent="0.25">
      <c r="A203" s="5">
        <v>44390</v>
      </c>
      <c r="B203">
        <v>0.16500000000000001</v>
      </c>
      <c r="C203">
        <v>0.17394000000000001</v>
      </c>
      <c r="D203">
        <v>0.15717</v>
      </c>
      <c r="E203">
        <v>0.16544</v>
      </c>
      <c r="F203">
        <v>8120890.9000000004</v>
      </c>
      <c r="G203">
        <v>0.27</v>
      </c>
      <c r="L203" t="s">
        <v>7</v>
      </c>
      <c r="M203" t="s">
        <v>7</v>
      </c>
      <c r="N203" t="s">
        <v>7</v>
      </c>
      <c r="P203">
        <f t="shared" si="959"/>
        <v>-1.3714967203339767E-2</v>
      </c>
      <c r="Q203">
        <f t="shared" si="960"/>
        <v>-111377.75235540037</v>
      </c>
      <c r="R203">
        <f t="shared" si="961"/>
        <v>-219575853.51735163</v>
      </c>
      <c r="S203">
        <f t="shared" si="962"/>
        <v>-2195.7585351735161</v>
      </c>
      <c r="T203">
        <f t="shared" si="963"/>
        <v>-2.1957585351735163</v>
      </c>
    </row>
    <row r="204" spans="1:20" x14ac:dyDescent="0.25">
      <c r="A204" s="5">
        <v>44389</v>
      </c>
      <c r="B204">
        <v>0.16550000000000001</v>
      </c>
      <c r="C204">
        <v>0.17896999999999999</v>
      </c>
      <c r="D204">
        <v>0.15920999999999999</v>
      </c>
      <c r="E204">
        <v>0.16553000000000001</v>
      </c>
      <c r="F204">
        <v>8243489.0999999996</v>
      </c>
      <c r="G204">
        <v>0.02</v>
      </c>
      <c r="L204" t="s">
        <v>8</v>
      </c>
      <c r="M204" t="s">
        <v>7</v>
      </c>
      <c r="N204" t="s">
        <v>7</v>
      </c>
      <c r="P204">
        <f t="shared" si="959"/>
        <v>-0.36032388663967407</v>
      </c>
      <c r="Q204">
        <f t="shared" si="960"/>
        <v>-2970326.0319837886</v>
      </c>
      <c r="R204">
        <f t="shared" si="961"/>
        <v>-219464475.76499623</v>
      </c>
      <c r="S204">
        <f t="shared" si="962"/>
        <v>-2194.6447576499622</v>
      </c>
      <c r="T204">
        <f t="shared" si="963"/>
        <v>-2.1946447576499621</v>
      </c>
    </row>
    <row r="205" spans="1:20" x14ac:dyDescent="0.25">
      <c r="A205" s="5">
        <v>44388</v>
      </c>
      <c r="B205">
        <v>0.16142999999999999</v>
      </c>
      <c r="C205">
        <v>0.16708000000000001</v>
      </c>
      <c r="D205">
        <v>0.15495999999999999</v>
      </c>
      <c r="E205">
        <v>0.16550000000000001</v>
      </c>
      <c r="F205">
        <v>7584875.9000000004</v>
      </c>
      <c r="G205">
        <v>2.52</v>
      </c>
      <c r="L205" t="s">
        <v>7</v>
      </c>
      <c r="M205" t="s">
        <v>7</v>
      </c>
      <c r="N205" t="s">
        <v>7</v>
      </c>
      <c r="P205">
        <f t="shared" si="959"/>
        <v>0.73927392739274</v>
      </c>
      <c r="Q205">
        <f t="shared" si="960"/>
        <v>5607300.9953795439</v>
      </c>
      <c r="R205">
        <f t="shared" si="961"/>
        <v>-216494149.73301244</v>
      </c>
      <c r="S205">
        <f t="shared" si="962"/>
        <v>-2164.9414973301245</v>
      </c>
      <c r="T205">
        <f t="shared" si="963"/>
        <v>-2.1649414973301244</v>
      </c>
    </row>
    <row r="206" spans="1:20" x14ac:dyDescent="0.25">
      <c r="A206" s="5">
        <v>44387</v>
      </c>
      <c r="B206">
        <v>0.16374</v>
      </c>
      <c r="C206">
        <v>0.16938</v>
      </c>
      <c r="D206">
        <v>0.15617</v>
      </c>
      <c r="E206">
        <v>0.16108</v>
      </c>
      <c r="F206">
        <v>5582946.5</v>
      </c>
      <c r="G206">
        <v>-1.62</v>
      </c>
      <c r="L206" t="s">
        <v>7</v>
      </c>
      <c r="M206" t="s">
        <v>7</v>
      </c>
      <c r="N206" t="s">
        <v>7</v>
      </c>
      <c r="P206">
        <f t="shared" si="959"/>
        <v>-0.25662376987130991</v>
      </c>
      <c r="Q206">
        <f t="shared" si="960"/>
        <v>-1432716.7778198351</v>
      </c>
      <c r="R206">
        <f t="shared" si="961"/>
        <v>-222101450.72839198</v>
      </c>
      <c r="S206">
        <f t="shared" si="962"/>
        <v>-2221.0145072839196</v>
      </c>
      <c r="T206">
        <f t="shared" si="963"/>
        <v>-2.2210145072839196</v>
      </c>
    </row>
    <row r="207" spans="1:20" x14ac:dyDescent="0.25">
      <c r="A207" s="5">
        <v>44386</v>
      </c>
      <c r="B207">
        <v>0.15747</v>
      </c>
      <c r="C207">
        <v>0.18038999999999999</v>
      </c>
      <c r="D207">
        <v>0.15548999999999999</v>
      </c>
      <c r="E207">
        <v>0.16364999999999999</v>
      </c>
      <c r="F207">
        <v>11834949.4</v>
      </c>
      <c r="G207">
        <v>3.92</v>
      </c>
      <c r="L207" t="s">
        <v>8</v>
      </c>
      <c r="M207" t="s">
        <v>7</v>
      </c>
      <c r="N207" t="s">
        <v>7</v>
      </c>
      <c r="P207">
        <f t="shared" si="959"/>
        <v>-0.34457831325301214</v>
      </c>
      <c r="Q207">
        <f t="shared" si="960"/>
        <v>-4078066.901686748</v>
      </c>
      <c r="R207">
        <f t="shared" si="961"/>
        <v>-220668733.95057213</v>
      </c>
      <c r="S207">
        <f t="shared" si="962"/>
        <v>-2206.6873395057214</v>
      </c>
      <c r="T207">
        <f t="shared" si="963"/>
        <v>-2.2066873395057214</v>
      </c>
    </row>
    <row r="208" spans="1:20" x14ac:dyDescent="0.25">
      <c r="A208" s="5">
        <v>44385</v>
      </c>
      <c r="B208">
        <v>0.17688000000000001</v>
      </c>
      <c r="C208">
        <v>0.17693</v>
      </c>
      <c r="D208">
        <v>0.15223</v>
      </c>
      <c r="E208">
        <v>0.15698999999999999</v>
      </c>
      <c r="F208">
        <v>10652045.9</v>
      </c>
      <c r="G208">
        <v>-11.24</v>
      </c>
      <c r="L208" t="s">
        <v>7</v>
      </c>
      <c r="M208" t="s">
        <v>7</v>
      </c>
      <c r="N208" t="s">
        <v>7</v>
      </c>
      <c r="P208">
        <f t="shared" si="959"/>
        <v>-0.61457489878542615</v>
      </c>
      <c r="Q208">
        <f t="shared" si="960"/>
        <v>-6546480.030850214</v>
      </c>
      <c r="R208">
        <f t="shared" si="961"/>
        <v>-216590667.04888538</v>
      </c>
      <c r="S208">
        <f t="shared" si="962"/>
        <v>-2165.9066704888537</v>
      </c>
      <c r="T208">
        <f t="shared" si="963"/>
        <v>-2.1659066704888539</v>
      </c>
    </row>
    <row r="209" spans="1:20" x14ac:dyDescent="0.25">
      <c r="A209" s="5">
        <v>44384</v>
      </c>
      <c r="B209">
        <v>0.17881</v>
      </c>
      <c r="C209">
        <v>0.17951</v>
      </c>
      <c r="D209">
        <v>0.17213000000000001</v>
      </c>
      <c r="E209">
        <v>0.17685000000000001</v>
      </c>
      <c r="F209">
        <v>5976074.2999999998</v>
      </c>
      <c r="G209">
        <v>-1.1000000000000001</v>
      </c>
      <c r="L209" t="s">
        <v>8</v>
      </c>
      <c r="M209" t="s">
        <v>7</v>
      </c>
      <c r="N209" t="s">
        <v>8</v>
      </c>
      <c r="P209">
        <f t="shared" si="959"/>
        <v>0.27913279132791424</v>
      </c>
      <c r="Q209">
        <f t="shared" si="960"/>
        <v>1668118.3005420112</v>
      </c>
      <c r="R209">
        <f t="shared" si="961"/>
        <v>-210044187.01803517</v>
      </c>
      <c r="S209">
        <f t="shared" si="962"/>
        <v>-2100.4418701803515</v>
      </c>
      <c r="T209">
        <f t="shared" si="963"/>
        <v>-2.1004418701803513</v>
      </c>
    </row>
    <row r="210" spans="1:20" x14ac:dyDescent="0.25">
      <c r="A210" s="5">
        <v>44383</v>
      </c>
      <c r="B210">
        <v>0.1774</v>
      </c>
      <c r="C210">
        <v>0.18245</v>
      </c>
      <c r="D210">
        <v>0.17144000000000001</v>
      </c>
      <c r="E210">
        <v>0.17882999999999999</v>
      </c>
      <c r="F210">
        <v>10257260.1</v>
      </c>
      <c r="G210">
        <v>0.81</v>
      </c>
      <c r="L210" t="s">
        <v>8</v>
      </c>
      <c r="M210" t="s">
        <v>7</v>
      </c>
      <c r="N210" t="s">
        <v>8</v>
      </c>
      <c r="P210">
        <f t="shared" si="959"/>
        <v>0.34241598546775392</v>
      </c>
      <c r="Q210">
        <f t="shared" si="960"/>
        <v>3512249.8253405718</v>
      </c>
      <c r="R210">
        <f t="shared" si="961"/>
        <v>-211712305.31857717</v>
      </c>
      <c r="S210">
        <f t="shared" si="962"/>
        <v>-2117.1230531857718</v>
      </c>
      <c r="T210">
        <f t="shared" si="963"/>
        <v>-2.1171230531857717</v>
      </c>
    </row>
    <row r="211" spans="1:20" x14ac:dyDescent="0.25">
      <c r="A211" s="5">
        <v>44382</v>
      </c>
      <c r="B211">
        <v>0.18404999999999999</v>
      </c>
      <c r="C211">
        <v>0.19189999999999999</v>
      </c>
      <c r="D211">
        <v>0.16836999999999999</v>
      </c>
      <c r="E211">
        <v>0.17777999999999999</v>
      </c>
      <c r="F211">
        <v>15304604.300000001</v>
      </c>
      <c r="G211">
        <v>-3.41</v>
      </c>
      <c r="L211" t="s">
        <v>7</v>
      </c>
      <c r="M211" t="s">
        <v>7</v>
      </c>
      <c r="N211" t="s">
        <v>8</v>
      </c>
      <c r="P211">
        <f t="shared" si="959"/>
        <v>-0.20016999575010594</v>
      </c>
      <c r="Q211">
        <f t="shared" si="960"/>
        <v>-3063522.5776880533</v>
      </c>
      <c r="R211">
        <f t="shared" si="961"/>
        <v>-215224555.14391774</v>
      </c>
      <c r="S211">
        <f t="shared" si="962"/>
        <v>-2152.2455514391772</v>
      </c>
      <c r="T211">
        <f t="shared" si="963"/>
        <v>-2.1522455514391772</v>
      </c>
    </row>
    <row r="212" spans="1:20" x14ac:dyDescent="0.25">
      <c r="A212" s="5">
        <v>44381</v>
      </c>
      <c r="B212">
        <v>0.17002</v>
      </c>
      <c r="C212">
        <v>0.23779</v>
      </c>
      <c r="D212">
        <v>0.17000999999999999</v>
      </c>
      <c r="E212">
        <v>0.18443000000000001</v>
      </c>
      <c r="F212">
        <v>53360727.200000003</v>
      </c>
      <c r="G212">
        <v>8.48</v>
      </c>
      <c r="L212" t="s">
        <v>8</v>
      </c>
      <c r="M212" t="s">
        <v>8</v>
      </c>
      <c r="N212" t="s">
        <v>8</v>
      </c>
      <c r="P212">
        <f t="shared" si="959"/>
        <v>-0.57450575390970748</v>
      </c>
      <c r="Q212">
        <f t="shared" si="960"/>
        <v>-30656044.809206236</v>
      </c>
      <c r="R212">
        <f t="shared" si="961"/>
        <v>-212161032.5662297</v>
      </c>
      <c r="S212">
        <f t="shared" si="962"/>
        <v>-2121.6103256622969</v>
      </c>
      <c r="T212">
        <f t="shared" si="963"/>
        <v>-2.1216103256622967</v>
      </c>
    </row>
    <row r="213" spans="1:20" x14ac:dyDescent="0.25">
      <c r="A213" s="5">
        <v>44380</v>
      </c>
      <c r="B213">
        <v>0.16242000000000001</v>
      </c>
      <c r="C213">
        <v>0.17097000000000001</v>
      </c>
      <c r="D213">
        <v>0.15762999999999999</v>
      </c>
      <c r="E213">
        <v>0.16972999999999999</v>
      </c>
      <c r="F213">
        <v>18145213.600000001</v>
      </c>
      <c r="G213">
        <v>4.5</v>
      </c>
      <c r="L213" t="s">
        <v>8</v>
      </c>
      <c r="M213" t="s">
        <v>7</v>
      </c>
      <c r="N213" t="s">
        <v>8</v>
      </c>
      <c r="P213">
        <f t="shared" si="959"/>
        <v>0.81409295352323585</v>
      </c>
      <c r="Q213">
        <f t="shared" si="960"/>
        <v>14771890.531933988</v>
      </c>
      <c r="R213">
        <f t="shared" si="961"/>
        <v>-181504987.75702345</v>
      </c>
      <c r="S213">
        <f t="shared" si="962"/>
        <v>-1815.0498775702345</v>
      </c>
      <c r="T213">
        <f t="shared" si="963"/>
        <v>-1.8150498775702344</v>
      </c>
    </row>
    <row r="214" spans="1:20" x14ac:dyDescent="0.25">
      <c r="A214" s="5">
        <v>44379</v>
      </c>
      <c r="B214">
        <v>0.18357000000000001</v>
      </c>
      <c r="C214">
        <v>0.18357000000000001</v>
      </c>
      <c r="D214">
        <v>0.15035999999999999</v>
      </c>
      <c r="E214">
        <v>0.16242000000000001</v>
      </c>
      <c r="F214">
        <v>35592936.5</v>
      </c>
      <c r="G214">
        <v>-11.52</v>
      </c>
      <c r="L214" t="s">
        <v>7</v>
      </c>
      <c r="M214" t="s">
        <v>7</v>
      </c>
      <c r="N214" t="s">
        <v>8</v>
      </c>
      <c r="P214">
        <f t="shared" si="959"/>
        <v>-0.27371273712737076</v>
      </c>
      <c r="Q214">
        <f t="shared" si="960"/>
        <v>-9742240.0718156993</v>
      </c>
      <c r="R214">
        <f t="shared" si="961"/>
        <v>-196276878.28895745</v>
      </c>
      <c r="S214">
        <f t="shared" si="962"/>
        <v>-1962.7687828895744</v>
      </c>
      <c r="T214">
        <f t="shared" si="963"/>
        <v>-1.9627687828895743</v>
      </c>
    </row>
    <row r="215" spans="1:20" x14ac:dyDescent="0.25">
      <c r="A215" s="5">
        <v>44378</v>
      </c>
      <c r="B215">
        <v>0.15495</v>
      </c>
      <c r="C215">
        <v>0.19703999999999999</v>
      </c>
      <c r="D215">
        <v>0.14756</v>
      </c>
      <c r="E215">
        <v>0.18432999999999999</v>
      </c>
      <c r="F215">
        <v>84672458.5</v>
      </c>
      <c r="G215">
        <v>18.96</v>
      </c>
      <c r="L215" t="s">
        <v>8</v>
      </c>
      <c r="M215" t="s">
        <v>8</v>
      </c>
      <c r="N215" t="s">
        <v>8</v>
      </c>
      <c r="P215">
        <f t="shared" si="959"/>
        <v>0.4862570735650768</v>
      </c>
      <c r="Q215">
        <f t="shared" si="960"/>
        <v>41172581.88177041</v>
      </c>
      <c r="R215">
        <f t="shared" si="961"/>
        <v>-186534638.21714175</v>
      </c>
      <c r="S215">
        <f t="shared" si="962"/>
        <v>-1865.3463821714174</v>
      </c>
      <c r="T215">
        <f t="shared" si="963"/>
        <v>-1.8653463821714173</v>
      </c>
    </row>
    <row r="216" spans="1:20" x14ac:dyDescent="0.25">
      <c r="A216" s="5">
        <v>44377</v>
      </c>
      <c r="B216">
        <v>0.13267999999999999</v>
      </c>
      <c r="C216">
        <v>0.17682999999999999</v>
      </c>
      <c r="D216">
        <v>0.13017999999999999</v>
      </c>
      <c r="E216">
        <v>0.15536</v>
      </c>
      <c r="F216">
        <v>66524921.200000003</v>
      </c>
      <c r="G216">
        <v>17.09</v>
      </c>
      <c r="L216" t="s">
        <v>8</v>
      </c>
      <c r="M216" t="s">
        <v>8</v>
      </c>
      <c r="N216" t="s">
        <v>8</v>
      </c>
      <c r="P216">
        <f t="shared" si="959"/>
        <v>7.9528403001072223E-2</v>
      </c>
      <c r="Q216">
        <f t="shared" si="960"/>
        <v>5290620.7428081734</v>
      </c>
      <c r="R216">
        <f t="shared" si="961"/>
        <v>-227707220.09891215</v>
      </c>
      <c r="S216">
        <f t="shared" si="962"/>
        <v>-2277.0722009891215</v>
      </c>
      <c r="T216">
        <f t="shared" si="963"/>
        <v>-2.2770722009891213</v>
      </c>
    </row>
    <row r="217" spans="1:20" x14ac:dyDescent="0.25">
      <c r="A217" s="5">
        <v>44376</v>
      </c>
      <c r="B217">
        <v>0.1203</v>
      </c>
      <c r="C217">
        <v>0.13788</v>
      </c>
      <c r="D217">
        <v>0.12021999999999999</v>
      </c>
      <c r="E217">
        <v>0.13256000000000001</v>
      </c>
      <c r="F217">
        <v>14980038.6</v>
      </c>
      <c r="G217">
        <v>10.19</v>
      </c>
      <c r="L217" t="s">
        <v>8</v>
      </c>
      <c r="M217" t="s">
        <v>8</v>
      </c>
      <c r="N217" t="s">
        <v>8</v>
      </c>
      <c r="P217">
        <f t="shared" si="959"/>
        <v>0.3975084937712357</v>
      </c>
      <c r="Q217">
        <f t="shared" si="960"/>
        <v>5954692.5805209698</v>
      </c>
      <c r="R217">
        <f t="shared" si="961"/>
        <v>-232997840.84172031</v>
      </c>
      <c r="S217">
        <f t="shared" si="962"/>
        <v>-2329.9784084172034</v>
      </c>
      <c r="T217">
        <f t="shared" si="963"/>
        <v>-2.3299784084172033</v>
      </c>
    </row>
    <row r="218" spans="1:20" x14ac:dyDescent="0.25">
      <c r="A218" s="5">
        <v>44375</v>
      </c>
      <c r="B218">
        <v>0.10989</v>
      </c>
      <c r="C218">
        <v>0.12171</v>
      </c>
      <c r="D218">
        <v>0.10593</v>
      </c>
      <c r="E218">
        <v>0.12073</v>
      </c>
      <c r="F218">
        <v>11761330</v>
      </c>
      <c r="G218">
        <v>9.86</v>
      </c>
      <c r="L218" t="s">
        <v>8</v>
      </c>
      <c r="M218" t="s">
        <v>8</v>
      </c>
      <c r="N218" t="s">
        <v>7</v>
      </c>
      <c r="P218">
        <f t="shared" si="959"/>
        <v>0.87579214195183841</v>
      </c>
      <c r="Q218">
        <f t="shared" si="960"/>
        <v>10300480.392902415</v>
      </c>
      <c r="R218">
        <f t="shared" si="961"/>
        <v>-238952533.42224127</v>
      </c>
      <c r="S218">
        <f t="shared" si="962"/>
        <v>-2389.5253342224128</v>
      </c>
      <c r="T218">
        <f t="shared" si="963"/>
        <v>-2.3895253342224128</v>
      </c>
    </row>
    <row r="219" spans="1:20" x14ac:dyDescent="0.25">
      <c r="A219" s="5">
        <v>44374</v>
      </c>
      <c r="B219">
        <v>0.1069</v>
      </c>
      <c r="C219">
        <v>0.10999</v>
      </c>
      <c r="D219">
        <v>0.10299999999999999</v>
      </c>
      <c r="E219">
        <v>0.10989</v>
      </c>
      <c r="F219">
        <v>7457002.9000000004</v>
      </c>
      <c r="G219">
        <v>2.8</v>
      </c>
      <c r="L219" t="s">
        <v>8</v>
      </c>
      <c r="M219" t="s">
        <v>7</v>
      </c>
      <c r="N219" t="s">
        <v>7</v>
      </c>
      <c r="P219">
        <f t="shared" si="959"/>
        <v>0.97138769670958436</v>
      </c>
      <c r="Q219">
        <f t="shared" si="960"/>
        <v>7243640.8713876912</v>
      </c>
      <c r="R219">
        <f t="shared" si="961"/>
        <v>-249253013.81514367</v>
      </c>
      <c r="S219">
        <f t="shared" si="962"/>
        <v>-2492.5301381514369</v>
      </c>
      <c r="T219">
        <f t="shared" si="963"/>
        <v>-2.4925301381514369</v>
      </c>
    </row>
    <row r="220" spans="1:20" x14ac:dyDescent="0.25">
      <c r="A220" s="5">
        <v>44373</v>
      </c>
      <c r="B220">
        <v>0.10432</v>
      </c>
      <c r="C220">
        <v>0.10838</v>
      </c>
      <c r="D220">
        <v>9.7009999999999999E-2</v>
      </c>
      <c r="E220">
        <v>0.10677</v>
      </c>
      <c r="F220">
        <v>6350025.7999999998</v>
      </c>
      <c r="G220">
        <v>2.35</v>
      </c>
      <c r="L220" t="s">
        <v>7</v>
      </c>
      <c r="M220" t="s">
        <v>7</v>
      </c>
      <c r="N220" t="s">
        <v>7</v>
      </c>
      <c r="P220">
        <f t="shared" si="959"/>
        <v>0.71679859278803881</v>
      </c>
      <c r="Q220">
        <f t="shared" si="960"/>
        <v>4551689.5576077402</v>
      </c>
      <c r="R220">
        <f t="shared" si="961"/>
        <v>-256496654.68653136</v>
      </c>
      <c r="S220">
        <f t="shared" si="962"/>
        <v>-2564.9665468653138</v>
      </c>
      <c r="T220">
        <f t="shared" si="963"/>
        <v>-2.564966546865314</v>
      </c>
    </row>
    <row r="221" spans="1:20" x14ac:dyDescent="0.25">
      <c r="A221" s="5">
        <v>44372</v>
      </c>
      <c r="B221">
        <v>0.11679</v>
      </c>
      <c r="C221">
        <v>0.11885999999999999</v>
      </c>
      <c r="D221">
        <v>0.10271</v>
      </c>
      <c r="E221">
        <v>0.10506</v>
      </c>
      <c r="F221">
        <v>7229712.5</v>
      </c>
      <c r="G221">
        <v>-10.039999999999999</v>
      </c>
      <c r="L221" t="s">
        <v>8</v>
      </c>
      <c r="M221" t="s">
        <v>8</v>
      </c>
      <c r="N221" t="s">
        <v>7</v>
      </c>
      <c r="P221">
        <f t="shared" si="959"/>
        <v>-0.70897832817337392</v>
      </c>
      <c r="Q221">
        <f t="shared" si="960"/>
        <v>-5125709.4814241435</v>
      </c>
      <c r="R221">
        <f t="shared" si="961"/>
        <v>-261048344.24413911</v>
      </c>
      <c r="S221">
        <f t="shared" si="962"/>
        <v>-2610.4834424413912</v>
      </c>
      <c r="T221">
        <f t="shared" si="963"/>
        <v>-2.610483442441391</v>
      </c>
    </row>
    <row r="222" spans="1:20" x14ac:dyDescent="0.25">
      <c r="A222" s="5">
        <v>44371</v>
      </c>
      <c r="B222">
        <v>0.10886999999999999</v>
      </c>
      <c r="C222">
        <v>0.1168</v>
      </c>
      <c r="D222">
        <v>0.10342</v>
      </c>
      <c r="E222">
        <v>0.11618000000000001</v>
      </c>
      <c r="F222">
        <v>6619677.2000000002</v>
      </c>
      <c r="G222">
        <v>6.71</v>
      </c>
      <c r="L222" t="s">
        <v>8</v>
      </c>
      <c r="M222" t="s">
        <v>8</v>
      </c>
      <c r="N222" t="s">
        <v>7</v>
      </c>
      <c r="P222">
        <f t="shared" si="959"/>
        <v>0.90732436472346856</v>
      </c>
      <c r="Q222">
        <f t="shared" si="960"/>
        <v>6006194.4101644289</v>
      </c>
      <c r="R222">
        <f t="shared" si="961"/>
        <v>-255922634.76271495</v>
      </c>
      <c r="S222">
        <f t="shared" si="962"/>
        <v>-2559.2263476271496</v>
      </c>
      <c r="T222">
        <f t="shared" si="963"/>
        <v>-2.5592263476271495</v>
      </c>
    </row>
    <row r="223" spans="1:20" x14ac:dyDescent="0.25">
      <c r="A223" s="5">
        <v>44370</v>
      </c>
      <c r="B223">
        <v>0.10145</v>
      </c>
      <c r="C223">
        <v>0.11386</v>
      </c>
      <c r="D223">
        <v>9.7900000000000001E-2</v>
      </c>
      <c r="E223">
        <v>0.10865</v>
      </c>
      <c r="F223">
        <v>11139816.5</v>
      </c>
      <c r="G223">
        <v>7.1</v>
      </c>
      <c r="L223" t="s">
        <v>8</v>
      </c>
      <c r="M223" t="s">
        <v>8</v>
      </c>
      <c r="N223" t="s">
        <v>7</v>
      </c>
      <c r="P223">
        <f t="shared" si="959"/>
        <v>0.34711779448621483</v>
      </c>
      <c r="Q223">
        <f t="shared" si="960"/>
        <v>3866828.5344611448</v>
      </c>
      <c r="R223">
        <f t="shared" si="961"/>
        <v>-261928829.17287937</v>
      </c>
      <c r="S223">
        <f t="shared" si="962"/>
        <v>-2619.2882917287939</v>
      </c>
      <c r="T223">
        <f t="shared" si="963"/>
        <v>-2.6192882917287941</v>
      </c>
    </row>
    <row r="224" spans="1:20" x14ac:dyDescent="0.25">
      <c r="A224" s="5">
        <v>44369</v>
      </c>
      <c r="B224">
        <v>0.11076</v>
      </c>
      <c r="C224">
        <v>0.11967</v>
      </c>
      <c r="D224">
        <v>8.7129999999999999E-2</v>
      </c>
      <c r="E224">
        <v>0.10145999999999999</v>
      </c>
      <c r="F224">
        <v>14990486.9</v>
      </c>
      <c r="G224">
        <v>-8.4</v>
      </c>
      <c r="L224" t="s">
        <v>7</v>
      </c>
      <c r="M224" t="s">
        <v>7</v>
      </c>
      <c r="N224" t="s">
        <v>7</v>
      </c>
      <c r="P224">
        <f t="shared" si="959"/>
        <v>-0.11923786109403837</v>
      </c>
      <c r="Q224">
        <f t="shared" si="960"/>
        <v>-1787433.594714202</v>
      </c>
      <c r="R224">
        <f t="shared" si="961"/>
        <v>-265795657.70734051</v>
      </c>
      <c r="S224">
        <f t="shared" si="962"/>
        <v>-2657.9565770734052</v>
      </c>
      <c r="T224">
        <f t="shared" si="963"/>
        <v>-2.657956577073405</v>
      </c>
    </row>
    <row r="225" spans="1:20" x14ac:dyDescent="0.25">
      <c r="A225" s="5">
        <v>44368</v>
      </c>
      <c r="B225">
        <v>0.15042</v>
      </c>
      <c r="C225">
        <v>0.16317999999999999</v>
      </c>
      <c r="D225">
        <v>0.11045000000000001</v>
      </c>
      <c r="E225">
        <v>0.11137</v>
      </c>
      <c r="F225">
        <v>15186409.4</v>
      </c>
      <c r="G225">
        <v>-25.96</v>
      </c>
      <c r="L225" t="s">
        <v>7</v>
      </c>
      <c r="M225" t="s">
        <v>7</v>
      </c>
      <c r="N225" t="s">
        <v>7</v>
      </c>
      <c r="P225">
        <f t="shared" si="959"/>
        <v>-0.96510525317656015</v>
      </c>
      <c r="Q225">
        <f t="shared" si="960"/>
        <v>-14656483.488829894</v>
      </c>
      <c r="R225">
        <f t="shared" si="961"/>
        <v>-264008224.11262631</v>
      </c>
      <c r="S225">
        <f t="shared" si="962"/>
        <v>-2640.0822411262629</v>
      </c>
      <c r="T225">
        <f t="shared" si="963"/>
        <v>-2.640082241126263</v>
      </c>
    </row>
    <row r="226" spans="1:20" x14ac:dyDescent="0.25">
      <c r="A226" s="5">
        <v>44367</v>
      </c>
      <c r="B226">
        <v>0.15110999999999999</v>
      </c>
      <c r="C226">
        <v>0.15648000000000001</v>
      </c>
      <c r="D226">
        <v>0.13419</v>
      </c>
      <c r="E226">
        <v>0.15042</v>
      </c>
      <c r="F226">
        <v>15487049.800000001</v>
      </c>
      <c r="G226">
        <v>-0.46</v>
      </c>
      <c r="L226" t="s">
        <v>7</v>
      </c>
      <c r="M226" t="s">
        <v>7</v>
      </c>
      <c r="N226" t="s">
        <v>7</v>
      </c>
      <c r="P226">
        <f t="shared" si="959"/>
        <v>0.45625841184387539</v>
      </c>
      <c r="Q226">
        <f t="shared" si="960"/>
        <v>7066096.7458950086</v>
      </c>
      <c r="R226">
        <f t="shared" si="961"/>
        <v>-249351740.62379643</v>
      </c>
      <c r="S226">
        <f t="shared" si="962"/>
        <v>-2493.5174062379642</v>
      </c>
      <c r="T226">
        <f t="shared" si="963"/>
        <v>-2.4935174062379644</v>
      </c>
    </row>
    <row r="227" spans="1:20" x14ac:dyDescent="0.25">
      <c r="A227" s="5">
        <v>44366</v>
      </c>
      <c r="B227">
        <v>0.15847</v>
      </c>
      <c r="C227">
        <v>0.16005</v>
      </c>
      <c r="D227">
        <v>0.151</v>
      </c>
      <c r="E227">
        <v>0.15132999999999999</v>
      </c>
      <c r="F227">
        <v>2914823.4</v>
      </c>
      <c r="G227">
        <v>-4.51</v>
      </c>
      <c r="L227" t="s">
        <v>7</v>
      </c>
      <c r="M227" t="s">
        <v>7</v>
      </c>
      <c r="N227" t="s">
        <v>7</v>
      </c>
      <c r="P227">
        <f t="shared" si="959"/>
        <v>-0.92707182320442061</v>
      </c>
      <c r="Q227">
        <f t="shared" si="960"/>
        <v>-2702250.6437569079</v>
      </c>
      <c r="R227">
        <f t="shared" si="961"/>
        <v>-256417837.36969143</v>
      </c>
      <c r="S227">
        <f t="shared" si="962"/>
        <v>-2564.1783736969142</v>
      </c>
      <c r="T227">
        <f t="shared" si="963"/>
        <v>-2.5641783736969144</v>
      </c>
    </row>
    <row r="228" spans="1:20" x14ac:dyDescent="0.25">
      <c r="A228" s="5">
        <v>44365</v>
      </c>
      <c r="B228">
        <v>0.16461999999999999</v>
      </c>
      <c r="C228">
        <v>0.17484</v>
      </c>
      <c r="D228">
        <v>0.151</v>
      </c>
      <c r="E228">
        <v>0.15825</v>
      </c>
      <c r="F228">
        <v>5215235.8</v>
      </c>
      <c r="G228">
        <v>-3.87</v>
      </c>
      <c r="L228" t="s">
        <v>7</v>
      </c>
      <c r="M228" t="s">
        <v>7</v>
      </c>
      <c r="N228" t="s">
        <v>7</v>
      </c>
      <c r="P228">
        <f t="shared" si="959"/>
        <v>-0.39177852348993236</v>
      </c>
      <c r="Q228">
        <f t="shared" si="960"/>
        <v>-2043217.3813758362</v>
      </c>
      <c r="R228">
        <f t="shared" si="961"/>
        <v>-253715586.72593454</v>
      </c>
      <c r="S228">
        <f t="shared" si="962"/>
        <v>-2537.1558672593455</v>
      </c>
      <c r="T228">
        <f t="shared" si="963"/>
        <v>-2.5371558672593455</v>
      </c>
    </row>
    <row r="229" spans="1:20" x14ac:dyDescent="0.25">
      <c r="A229" s="5">
        <v>44364</v>
      </c>
      <c r="B229">
        <v>0.16536000000000001</v>
      </c>
      <c r="C229">
        <v>0.17033999999999999</v>
      </c>
      <c r="D229">
        <v>0.15909999999999999</v>
      </c>
      <c r="E229">
        <v>0.16477</v>
      </c>
      <c r="F229">
        <v>3463310.5</v>
      </c>
      <c r="G229">
        <v>-0.36</v>
      </c>
      <c r="L229" t="s">
        <v>7</v>
      </c>
      <c r="M229" t="s">
        <v>7</v>
      </c>
      <c r="N229" t="s">
        <v>7</v>
      </c>
      <c r="P229">
        <f t="shared" si="959"/>
        <v>8.8967971530264003E-3</v>
      </c>
      <c r="Q229">
        <f t="shared" si="960"/>
        <v>30812.37099644644</v>
      </c>
      <c r="R229">
        <f t="shared" si="961"/>
        <v>-251672369.34455869</v>
      </c>
      <c r="S229">
        <f t="shared" si="962"/>
        <v>-2516.7236934455868</v>
      </c>
      <c r="T229">
        <f t="shared" si="963"/>
        <v>-2.516723693445587</v>
      </c>
    </row>
    <row r="230" spans="1:20" x14ac:dyDescent="0.25">
      <c r="A230" s="5">
        <v>44363</v>
      </c>
      <c r="B230">
        <v>0.17854999999999999</v>
      </c>
      <c r="C230">
        <v>0.17982000000000001</v>
      </c>
      <c r="D230">
        <v>0.16363</v>
      </c>
      <c r="E230">
        <v>0.16536000000000001</v>
      </c>
      <c r="F230">
        <v>6028638.2000000002</v>
      </c>
      <c r="G230">
        <v>-7.39</v>
      </c>
      <c r="L230" t="s">
        <v>7</v>
      </c>
      <c r="M230" t="s">
        <v>7</v>
      </c>
      <c r="N230" t="s">
        <v>7</v>
      </c>
      <c r="P230">
        <f t="shared" si="959"/>
        <v>-0.7862878319950577</v>
      </c>
      <c r="Q230">
        <f t="shared" si="960"/>
        <v>-4740244.8601605874</v>
      </c>
      <c r="R230">
        <f t="shared" si="961"/>
        <v>-251703181.71555513</v>
      </c>
      <c r="S230">
        <f t="shared" si="962"/>
        <v>-2517.0318171555514</v>
      </c>
      <c r="T230">
        <f t="shared" si="963"/>
        <v>-2.5170318171555515</v>
      </c>
    </row>
    <row r="231" spans="1:20" x14ac:dyDescent="0.25">
      <c r="A231" s="5">
        <v>44362</v>
      </c>
      <c r="B231">
        <v>0.18346000000000001</v>
      </c>
      <c r="C231">
        <v>0.18443000000000001</v>
      </c>
      <c r="D231">
        <v>0.17554</v>
      </c>
      <c r="E231">
        <v>0.17892</v>
      </c>
      <c r="F231">
        <v>5788687.2000000002</v>
      </c>
      <c r="G231">
        <v>-2.4700000000000002</v>
      </c>
      <c r="L231" t="s">
        <v>8</v>
      </c>
      <c r="M231" t="s">
        <v>7</v>
      </c>
      <c r="N231" t="s">
        <v>7</v>
      </c>
      <c r="P231">
        <f t="shared" si="959"/>
        <v>-0.23959505061867475</v>
      </c>
      <c r="Q231">
        <f t="shared" si="960"/>
        <v>-1386940.8026996746</v>
      </c>
      <c r="R231">
        <f t="shared" si="961"/>
        <v>-246962936.85539454</v>
      </c>
      <c r="S231">
        <f t="shared" si="962"/>
        <v>-2469.6293685539454</v>
      </c>
      <c r="T231">
        <f t="shared" si="963"/>
        <v>-2.4696293685539454</v>
      </c>
    </row>
    <row r="232" spans="1:20" x14ac:dyDescent="0.25">
      <c r="A232" s="5">
        <v>44361</v>
      </c>
      <c r="B232">
        <v>0.17630999999999999</v>
      </c>
      <c r="C232">
        <v>0.18679000000000001</v>
      </c>
      <c r="D232">
        <v>0.17474999999999999</v>
      </c>
      <c r="E232">
        <v>0.18274000000000001</v>
      </c>
      <c r="F232">
        <v>11517989.4</v>
      </c>
      <c r="G232">
        <v>3.65</v>
      </c>
      <c r="L232" t="s">
        <v>8</v>
      </c>
      <c r="M232" t="s">
        <v>7</v>
      </c>
      <c r="N232" t="s">
        <v>7</v>
      </c>
      <c r="P232">
        <f t="shared" si="959"/>
        <v>0.32724252491694511</v>
      </c>
      <c r="Q232">
        <f t="shared" si="960"/>
        <v>3769175.9332226096</v>
      </c>
      <c r="R232">
        <f t="shared" si="961"/>
        <v>-245575996.05269486</v>
      </c>
      <c r="S232">
        <f t="shared" si="962"/>
        <v>-2455.7599605269484</v>
      </c>
      <c r="T232">
        <f t="shared" si="963"/>
        <v>-2.4557599605269482</v>
      </c>
    </row>
    <row r="233" spans="1:20" x14ac:dyDescent="0.25">
      <c r="A233" s="5">
        <v>44360</v>
      </c>
      <c r="B233">
        <v>0.16325999999999999</v>
      </c>
      <c r="C233">
        <v>0.1772</v>
      </c>
      <c r="D233">
        <v>0.15709999999999999</v>
      </c>
      <c r="E233">
        <v>0.17599999999999999</v>
      </c>
      <c r="F233">
        <v>8487515.5999999996</v>
      </c>
      <c r="G233">
        <v>7.8</v>
      </c>
      <c r="L233" t="s">
        <v>8</v>
      </c>
      <c r="M233" t="s">
        <v>7</v>
      </c>
      <c r="N233" t="s">
        <v>7</v>
      </c>
      <c r="P233">
        <f t="shared" si="959"/>
        <v>0.88059701492537257</v>
      </c>
      <c r="Q233">
        <f t="shared" si="960"/>
        <v>7474080.9014925323</v>
      </c>
      <c r="R233">
        <f t="shared" si="961"/>
        <v>-249345171.98591748</v>
      </c>
      <c r="S233">
        <f t="shared" si="962"/>
        <v>-2493.4517198591748</v>
      </c>
      <c r="T233">
        <f t="shared" si="963"/>
        <v>-2.4934517198591748</v>
      </c>
    </row>
    <row r="234" spans="1:20" x14ac:dyDescent="0.25">
      <c r="A234" s="5">
        <v>44359</v>
      </c>
      <c r="B234">
        <v>0.18240999999999999</v>
      </c>
      <c r="C234">
        <v>0.18642</v>
      </c>
      <c r="D234">
        <v>0.15740000000000001</v>
      </c>
      <c r="E234">
        <v>0.16319</v>
      </c>
      <c r="F234">
        <v>16448261.4</v>
      </c>
      <c r="G234">
        <v>-10.54</v>
      </c>
      <c r="L234" t="s">
        <v>7</v>
      </c>
      <c r="M234" t="s">
        <v>7</v>
      </c>
      <c r="N234" t="s">
        <v>7</v>
      </c>
      <c r="P234">
        <f t="shared" si="959"/>
        <v>-0.60096485182632731</v>
      </c>
      <c r="Q234">
        <f t="shared" si="960"/>
        <v>-9884826.9750516992</v>
      </c>
      <c r="R234">
        <f t="shared" si="961"/>
        <v>-256819252.88741001</v>
      </c>
      <c r="S234">
        <f t="shared" si="962"/>
        <v>-2568.1925288740999</v>
      </c>
      <c r="T234">
        <f t="shared" si="963"/>
        <v>-2.5681925288740999</v>
      </c>
    </row>
    <row r="235" spans="1:20" x14ac:dyDescent="0.25">
      <c r="A235" s="5">
        <v>44358</v>
      </c>
      <c r="B235">
        <v>0.20616999999999999</v>
      </c>
      <c r="C235">
        <v>0.2167</v>
      </c>
      <c r="D235">
        <v>0.17956</v>
      </c>
      <c r="E235">
        <v>0.18242</v>
      </c>
      <c r="F235">
        <v>10727510.199999999</v>
      </c>
      <c r="G235">
        <v>-11.52</v>
      </c>
      <c r="L235" t="s">
        <v>7</v>
      </c>
      <c r="M235" t="s">
        <v>7</v>
      </c>
      <c r="N235" t="s">
        <v>7</v>
      </c>
      <c r="P235">
        <f t="shared" si="959"/>
        <v>-0.84598815293484109</v>
      </c>
      <c r="Q235">
        <f t="shared" si="960"/>
        <v>-9075346.539687667</v>
      </c>
      <c r="R235">
        <f t="shared" si="961"/>
        <v>-246934425.91235831</v>
      </c>
      <c r="S235">
        <f t="shared" si="962"/>
        <v>-2469.344259123583</v>
      </c>
      <c r="T235">
        <f t="shared" si="963"/>
        <v>-2.469344259123583</v>
      </c>
    </row>
    <row r="236" spans="1:20" x14ac:dyDescent="0.25">
      <c r="A236" s="5">
        <v>44357</v>
      </c>
      <c r="B236">
        <v>0.19969000000000001</v>
      </c>
      <c r="C236">
        <v>0.22253999999999999</v>
      </c>
      <c r="D236">
        <v>0.19650999999999999</v>
      </c>
      <c r="E236">
        <v>0.20469000000000001</v>
      </c>
      <c r="F236">
        <v>23185928.5</v>
      </c>
      <c r="G236">
        <v>2.5</v>
      </c>
      <c r="L236" t="s">
        <v>8</v>
      </c>
      <c r="M236" t="s">
        <v>8</v>
      </c>
      <c r="N236" t="s">
        <v>7</v>
      </c>
      <c r="P236">
        <f t="shared" si="959"/>
        <v>-0.37149442950441636</v>
      </c>
      <c r="Q236">
        <f t="shared" si="960"/>
        <v>-8613443.2806376889</v>
      </c>
      <c r="R236">
        <f t="shared" si="961"/>
        <v>-237859079.37267065</v>
      </c>
      <c r="S236">
        <f t="shared" si="962"/>
        <v>-2378.5907937267066</v>
      </c>
      <c r="T236">
        <f t="shared" si="963"/>
        <v>-2.3785907937267066</v>
      </c>
    </row>
    <row r="237" spans="1:20" x14ac:dyDescent="0.25">
      <c r="A237" s="5">
        <v>44356</v>
      </c>
      <c r="B237">
        <v>0.19535</v>
      </c>
      <c r="C237">
        <v>0.20329</v>
      </c>
      <c r="D237">
        <v>0.18303</v>
      </c>
      <c r="E237">
        <v>0.19969000000000001</v>
      </c>
      <c r="F237">
        <v>7107223.0999999996</v>
      </c>
      <c r="G237">
        <v>2.2200000000000002</v>
      </c>
      <c r="L237" t="s">
        <v>8</v>
      </c>
      <c r="M237" t="s">
        <v>7</v>
      </c>
      <c r="N237" t="s">
        <v>7</v>
      </c>
      <c r="P237">
        <f t="shared" si="959"/>
        <v>0.64461994076999096</v>
      </c>
      <c r="Q237">
        <f t="shared" si="960"/>
        <v>4581457.7337611113</v>
      </c>
      <c r="R237">
        <f t="shared" si="961"/>
        <v>-229245636.09203297</v>
      </c>
      <c r="S237">
        <f t="shared" si="962"/>
        <v>-2292.4563609203296</v>
      </c>
      <c r="T237">
        <f t="shared" si="963"/>
        <v>-2.2924563609203297</v>
      </c>
    </row>
    <row r="238" spans="1:20" x14ac:dyDescent="0.25">
      <c r="A238" s="5">
        <v>44355</v>
      </c>
      <c r="B238">
        <v>0.20735999999999999</v>
      </c>
      <c r="C238">
        <v>0.21032000000000001</v>
      </c>
      <c r="D238">
        <v>0.18</v>
      </c>
      <c r="E238">
        <v>0.19622000000000001</v>
      </c>
      <c r="F238">
        <v>7167287.7000000002</v>
      </c>
      <c r="G238">
        <v>-5.37</v>
      </c>
      <c r="L238" t="s">
        <v>7</v>
      </c>
      <c r="M238" t="s">
        <v>7</v>
      </c>
      <c r="N238" t="s">
        <v>7</v>
      </c>
      <c r="P238">
        <f t="shared" si="959"/>
        <v>6.9920844327177101E-2</v>
      </c>
      <c r="Q238">
        <f t="shared" si="960"/>
        <v>501142.80751979124</v>
      </c>
      <c r="R238">
        <f t="shared" si="961"/>
        <v>-233827093.82579407</v>
      </c>
      <c r="S238">
        <f t="shared" si="962"/>
        <v>-2338.2709382579405</v>
      </c>
      <c r="T238">
        <f t="shared" si="963"/>
        <v>-2.3382709382579407</v>
      </c>
    </row>
    <row r="239" spans="1:20" x14ac:dyDescent="0.25">
      <c r="A239" s="5">
        <v>44354</v>
      </c>
      <c r="B239">
        <v>0.22039</v>
      </c>
      <c r="C239">
        <v>0.23855999999999999</v>
      </c>
      <c r="D239">
        <v>0.20601</v>
      </c>
      <c r="E239">
        <v>0.20927999999999999</v>
      </c>
      <c r="F239">
        <v>9215862.5</v>
      </c>
      <c r="G239">
        <v>-5.04</v>
      </c>
      <c r="L239" t="s">
        <v>8</v>
      </c>
      <c r="M239" t="s">
        <v>7</v>
      </c>
      <c r="N239" t="s">
        <v>8</v>
      </c>
      <c r="P239">
        <f t="shared" si="959"/>
        <v>-0.79907834101382513</v>
      </c>
      <c r="Q239">
        <f t="shared" si="960"/>
        <v>-7364196.117511523</v>
      </c>
      <c r="R239">
        <f t="shared" si="961"/>
        <v>-234328236.63331386</v>
      </c>
      <c r="S239">
        <f t="shared" si="962"/>
        <v>-2343.2823663331387</v>
      </c>
      <c r="T239">
        <f t="shared" si="963"/>
        <v>-2.3432823663331388</v>
      </c>
    </row>
    <row r="240" spans="1:20" x14ac:dyDescent="0.25">
      <c r="A240" s="5">
        <v>44353</v>
      </c>
      <c r="B240">
        <v>0.21343999999999999</v>
      </c>
      <c r="C240">
        <v>0.23324</v>
      </c>
      <c r="D240">
        <v>0.21078</v>
      </c>
      <c r="E240">
        <v>0.22045000000000001</v>
      </c>
      <c r="F240">
        <v>5908310.4000000004</v>
      </c>
      <c r="G240">
        <v>3.28</v>
      </c>
      <c r="L240" t="s">
        <v>8</v>
      </c>
      <c r="M240" t="s">
        <v>7</v>
      </c>
      <c r="N240" t="s">
        <v>8</v>
      </c>
      <c r="P240">
        <f t="shared" si="959"/>
        <v>-0.13891362422083628</v>
      </c>
      <c r="Q240">
        <f t="shared" si="960"/>
        <v>-820744.81068565894</v>
      </c>
      <c r="R240">
        <f t="shared" si="961"/>
        <v>-226964040.51580235</v>
      </c>
      <c r="S240">
        <f t="shared" si="962"/>
        <v>-2269.6404051580234</v>
      </c>
      <c r="T240">
        <f t="shared" si="963"/>
        <v>-2.2696404051580235</v>
      </c>
    </row>
    <row r="241" spans="1:20" x14ac:dyDescent="0.25">
      <c r="A241" s="5">
        <v>44352</v>
      </c>
      <c r="B241">
        <v>0.2208</v>
      </c>
      <c r="C241">
        <v>0.22997000000000001</v>
      </c>
      <c r="D241">
        <v>0.20613000000000001</v>
      </c>
      <c r="E241">
        <v>0.21498</v>
      </c>
      <c r="F241">
        <v>2446939.2000000002</v>
      </c>
      <c r="G241">
        <v>-2.64</v>
      </c>
      <c r="L241" t="s">
        <v>7</v>
      </c>
      <c r="M241" t="s">
        <v>7</v>
      </c>
      <c r="N241" t="s">
        <v>8</v>
      </c>
      <c r="P241">
        <f t="shared" si="959"/>
        <v>-0.25755033557047008</v>
      </c>
      <c r="Q241">
        <f t="shared" si="960"/>
        <v>-630210.01208053762</v>
      </c>
      <c r="R241">
        <f t="shared" si="961"/>
        <v>-226143295.70511669</v>
      </c>
      <c r="S241">
        <f t="shared" si="962"/>
        <v>-2261.4329570511668</v>
      </c>
      <c r="T241">
        <f t="shared" si="963"/>
        <v>-2.2614329570511669</v>
      </c>
    </row>
    <row r="242" spans="1:20" x14ac:dyDescent="0.25">
      <c r="A242" s="5">
        <v>44351</v>
      </c>
      <c r="B242">
        <v>0.23952000000000001</v>
      </c>
      <c r="C242">
        <v>0.23952000000000001</v>
      </c>
      <c r="D242">
        <v>0.20974000000000001</v>
      </c>
      <c r="E242">
        <v>0.22245999999999999</v>
      </c>
      <c r="F242">
        <v>4411353.7</v>
      </c>
      <c r="G242">
        <v>-7.12</v>
      </c>
      <c r="L242" t="s">
        <v>7</v>
      </c>
      <c r="M242" t="s">
        <v>7</v>
      </c>
      <c r="N242" t="s">
        <v>8</v>
      </c>
      <c r="P242">
        <f t="shared" si="959"/>
        <v>-0.14573539288112955</v>
      </c>
      <c r="Q242">
        <f t="shared" si="960"/>
        <v>-642890.36460712447</v>
      </c>
      <c r="R242">
        <f t="shared" si="961"/>
        <v>-225513085.69303614</v>
      </c>
      <c r="S242">
        <f t="shared" si="962"/>
        <v>-2255.1308569303615</v>
      </c>
      <c r="T242">
        <f t="shared" si="963"/>
        <v>-2.2551308569303616</v>
      </c>
    </row>
    <row r="243" spans="1:20" x14ac:dyDescent="0.25">
      <c r="A243" s="5">
        <v>44350</v>
      </c>
      <c r="B243">
        <v>0.23558000000000001</v>
      </c>
      <c r="C243">
        <v>0.24298</v>
      </c>
      <c r="D243">
        <v>0.22778000000000001</v>
      </c>
      <c r="E243">
        <v>0.23937</v>
      </c>
      <c r="F243">
        <v>3517468.4</v>
      </c>
      <c r="G243">
        <v>1.61</v>
      </c>
      <c r="L243" t="s">
        <v>8</v>
      </c>
      <c r="M243" t="s">
        <v>8</v>
      </c>
      <c r="N243" t="s">
        <v>8</v>
      </c>
      <c r="P243">
        <f t="shared" si="959"/>
        <v>0.52499999999999947</v>
      </c>
      <c r="Q243">
        <f t="shared" si="960"/>
        <v>1846670.9099999981</v>
      </c>
      <c r="R243">
        <f t="shared" si="961"/>
        <v>-224870195.32842901</v>
      </c>
      <c r="S243">
        <f t="shared" si="962"/>
        <v>-2248.7019532842901</v>
      </c>
      <c r="T243">
        <f t="shared" si="963"/>
        <v>-2.2487019532842902</v>
      </c>
    </row>
    <row r="244" spans="1:20" x14ac:dyDescent="0.25">
      <c r="A244" s="5">
        <v>44349</v>
      </c>
      <c r="B244">
        <v>0.21909999999999999</v>
      </c>
      <c r="C244">
        <v>0.23759</v>
      </c>
      <c r="D244">
        <v>0.21390000000000001</v>
      </c>
      <c r="E244">
        <v>0.23646</v>
      </c>
      <c r="F244">
        <v>6127359.9000000004</v>
      </c>
      <c r="G244">
        <v>7.92</v>
      </c>
      <c r="L244" t="s">
        <v>8</v>
      </c>
      <c r="M244" t="s">
        <v>8</v>
      </c>
      <c r="N244" t="s">
        <v>8</v>
      </c>
      <c r="P244">
        <f t="shared" si="959"/>
        <v>0.90460109750949835</v>
      </c>
      <c r="Q244">
        <f t="shared" si="960"/>
        <v>5542816.4903756902</v>
      </c>
      <c r="R244">
        <f t="shared" si="961"/>
        <v>-226716866.23842901</v>
      </c>
      <c r="S244">
        <f t="shared" si="962"/>
        <v>-2267.1686623842902</v>
      </c>
      <c r="T244">
        <f t="shared" si="963"/>
        <v>-2.2671686623842904</v>
      </c>
    </row>
    <row r="245" spans="1:20" x14ac:dyDescent="0.25">
      <c r="A245" s="5">
        <v>44348</v>
      </c>
      <c r="B245">
        <v>0.22202</v>
      </c>
      <c r="C245">
        <v>0.23</v>
      </c>
      <c r="D245">
        <v>0.20780999999999999</v>
      </c>
      <c r="E245">
        <v>0.22084999999999999</v>
      </c>
      <c r="F245">
        <v>7842815.0999999996</v>
      </c>
      <c r="G245">
        <v>-0.53</v>
      </c>
      <c r="L245" t="s">
        <v>8</v>
      </c>
      <c r="M245" t="s">
        <v>7</v>
      </c>
      <c r="N245" t="s">
        <v>8</v>
      </c>
      <c r="P245">
        <f t="shared" si="959"/>
        <v>0.17530419107706058</v>
      </c>
      <c r="Q245">
        <f t="shared" si="960"/>
        <v>1374878.3568724559</v>
      </c>
      <c r="R245">
        <f t="shared" si="961"/>
        <v>-232259682.72880471</v>
      </c>
      <c r="S245">
        <f t="shared" si="962"/>
        <v>-2322.5968272880473</v>
      </c>
      <c r="T245">
        <f t="shared" si="963"/>
        <v>-2.3225968272880473</v>
      </c>
    </row>
    <row r="246" spans="1:20" x14ac:dyDescent="0.25">
      <c r="A246" s="5">
        <v>44347</v>
      </c>
      <c r="B246">
        <v>0.21385000000000001</v>
      </c>
      <c r="C246">
        <v>0.22344</v>
      </c>
      <c r="D246">
        <v>0.20197999999999999</v>
      </c>
      <c r="E246">
        <v>0.22202</v>
      </c>
      <c r="F246">
        <v>3120467.3</v>
      </c>
      <c r="G246">
        <v>3.82</v>
      </c>
      <c r="L246" t="s">
        <v>8</v>
      </c>
      <c r="M246" t="s">
        <v>7</v>
      </c>
      <c r="N246" t="s">
        <v>8</v>
      </c>
      <c r="P246">
        <f t="shared" si="959"/>
        <v>0.86766076421248794</v>
      </c>
      <c r="Q246">
        <f t="shared" si="960"/>
        <v>2707507.0422180789</v>
      </c>
      <c r="R246">
        <f t="shared" si="961"/>
        <v>-233634561.08567718</v>
      </c>
      <c r="S246">
        <f t="shared" si="962"/>
        <v>-2336.3456108567716</v>
      </c>
      <c r="T246">
        <f t="shared" si="963"/>
        <v>-2.3363456108567715</v>
      </c>
    </row>
    <row r="247" spans="1:20" x14ac:dyDescent="0.25">
      <c r="A247" s="5">
        <v>44346</v>
      </c>
      <c r="B247">
        <v>0.21235000000000001</v>
      </c>
      <c r="C247">
        <v>0.22181999999999999</v>
      </c>
      <c r="D247">
        <v>0.19900000000000001</v>
      </c>
      <c r="E247">
        <v>0.21467</v>
      </c>
      <c r="F247">
        <v>5815939.2000000002</v>
      </c>
      <c r="G247">
        <v>1.0900000000000001</v>
      </c>
      <c r="L247" t="s">
        <v>8</v>
      </c>
      <c r="M247" t="s">
        <v>7</v>
      </c>
      <c r="N247" t="s">
        <v>8</v>
      </c>
      <c r="P247">
        <f t="shared" si="959"/>
        <v>0.37335670464504855</v>
      </c>
      <c r="Q247">
        <f t="shared" si="960"/>
        <v>2171419.8941279599</v>
      </c>
      <c r="R247">
        <f t="shared" si="961"/>
        <v>-236342068.12789527</v>
      </c>
      <c r="S247">
        <f t="shared" si="962"/>
        <v>-2363.4206812789525</v>
      </c>
      <c r="T247">
        <f t="shared" si="963"/>
        <v>-2.3634206812789524</v>
      </c>
    </row>
    <row r="248" spans="1:20" x14ac:dyDescent="0.25">
      <c r="A248" s="5">
        <v>44345</v>
      </c>
      <c r="B248">
        <v>0.22259999999999999</v>
      </c>
      <c r="C248">
        <v>0.24818999999999999</v>
      </c>
      <c r="D248">
        <v>0.19802</v>
      </c>
      <c r="E248">
        <v>0.2102</v>
      </c>
      <c r="F248">
        <v>5245112.5999999996</v>
      </c>
      <c r="G248">
        <v>-5.57</v>
      </c>
      <c r="L248" t="s">
        <v>7</v>
      </c>
      <c r="M248" t="s">
        <v>7</v>
      </c>
      <c r="N248" t="s">
        <v>8</v>
      </c>
      <c r="P248">
        <f t="shared" si="959"/>
        <v>-0.51445086705202314</v>
      </c>
      <c r="Q248">
        <f t="shared" si="960"/>
        <v>-2698352.7248554914</v>
      </c>
      <c r="R248">
        <f t="shared" si="961"/>
        <v>-238513488.02202323</v>
      </c>
      <c r="S248">
        <f t="shared" si="962"/>
        <v>-2385.1348802202324</v>
      </c>
      <c r="T248">
        <f t="shared" si="963"/>
        <v>-2.3851348802202326</v>
      </c>
    </row>
    <row r="249" spans="1:20" x14ac:dyDescent="0.25">
      <c r="A249" s="5">
        <v>44344</v>
      </c>
      <c r="B249">
        <v>0.25090000000000001</v>
      </c>
      <c r="C249">
        <v>0.25670999999999999</v>
      </c>
      <c r="D249">
        <v>0.20660000000000001</v>
      </c>
      <c r="E249">
        <v>0.22273000000000001</v>
      </c>
      <c r="F249">
        <v>7053421.9000000004</v>
      </c>
      <c r="G249">
        <v>-11.23</v>
      </c>
      <c r="L249" t="s">
        <v>7</v>
      </c>
      <c r="M249" t="s">
        <v>7</v>
      </c>
      <c r="N249" t="s">
        <v>8</v>
      </c>
      <c r="P249">
        <f t="shared" si="959"/>
        <v>-0.35621632408700821</v>
      </c>
      <c r="Q249">
        <f t="shared" si="960"/>
        <v>-2512544.0214528013</v>
      </c>
      <c r="R249">
        <f t="shared" si="961"/>
        <v>-235815135.29716775</v>
      </c>
      <c r="S249">
        <f t="shared" si="962"/>
        <v>-2358.1513529716776</v>
      </c>
      <c r="T249">
        <f t="shared" si="963"/>
        <v>-2.3581513529716776</v>
      </c>
    </row>
    <row r="250" spans="1:20" x14ac:dyDescent="0.25">
      <c r="A250" s="5">
        <v>44343</v>
      </c>
      <c r="B250">
        <v>0.24287</v>
      </c>
      <c r="C250">
        <v>0.26573000000000002</v>
      </c>
      <c r="D250">
        <v>0.22339000000000001</v>
      </c>
      <c r="E250">
        <v>0.24876000000000001</v>
      </c>
      <c r="F250">
        <v>10515774.699999999</v>
      </c>
      <c r="G250">
        <v>2.4300000000000002</v>
      </c>
      <c r="L250" t="s">
        <v>8</v>
      </c>
      <c r="M250" t="s">
        <v>8</v>
      </c>
      <c r="N250" t="s">
        <v>8</v>
      </c>
      <c r="P250">
        <f t="shared" si="959"/>
        <v>0.19839395370807716</v>
      </c>
      <c r="Q250">
        <f t="shared" si="960"/>
        <v>2086266.1190363688</v>
      </c>
      <c r="R250">
        <f t="shared" si="961"/>
        <v>-233302591.27571493</v>
      </c>
      <c r="S250">
        <f t="shared" si="962"/>
        <v>-2333.0259127571494</v>
      </c>
      <c r="T250">
        <f t="shared" si="963"/>
        <v>-2.3330259127571495</v>
      </c>
    </row>
    <row r="251" spans="1:20" x14ac:dyDescent="0.25">
      <c r="A251" s="5">
        <v>44342</v>
      </c>
      <c r="B251">
        <v>0.22541</v>
      </c>
      <c r="C251">
        <v>0.24487999999999999</v>
      </c>
      <c r="D251">
        <v>0.22023000000000001</v>
      </c>
      <c r="E251">
        <v>0.24242</v>
      </c>
      <c r="F251">
        <v>11913548.6</v>
      </c>
      <c r="G251">
        <v>7.55</v>
      </c>
      <c r="L251" t="s">
        <v>7</v>
      </c>
      <c r="M251" t="s">
        <v>8</v>
      </c>
      <c r="N251" t="s">
        <v>8</v>
      </c>
      <c r="P251">
        <f t="shared" si="959"/>
        <v>0.8004056795131852</v>
      </c>
      <c r="Q251">
        <f t="shared" si="960"/>
        <v>9535671.962596355</v>
      </c>
      <c r="R251">
        <f t="shared" si="961"/>
        <v>-235388857.39475131</v>
      </c>
      <c r="S251">
        <f t="shared" si="962"/>
        <v>-2353.8885739475131</v>
      </c>
      <c r="T251">
        <f t="shared" si="963"/>
        <v>-2.3538885739475131</v>
      </c>
    </row>
    <row r="252" spans="1:20" x14ac:dyDescent="0.25">
      <c r="A252" s="5">
        <v>44341</v>
      </c>
      <c r="B252">
        <v>0.23788000000000001</v>
      </c>
      <c r="C252">
        <v>0.25</v>
      </c>
      <c r="D252">
        <v>0.20161000000000001</v>
      </c>
      <c r="E252">
        <v>0.22663</v>
      </c>
      <c r="F252">
        <v>12898363.1</v>
      </c>
      <c r="G252">
        <v>-4.7300000000000004</v>
      </c>
      <c r="L252" t="s">
        <v>8</v>
      </c>
      <c r="M252" t="s">
        <v>8</v>
      </c>
      <c r="N252" t="s">
        <v>8</v>
      </c>
      <c r="P252">
        <f t="shared" si="959"/>
        <v>3.4097954122752329E-2</v>
      </c>
      <c r="Q252">
        <f t="shared" si="960"/>
        <v>439807.7932424015</v>
      </c>
      <c r="R252">
        <f t="shared" si="961"/>
        <v>-244924529.35734767</v>
      </c>
      <c r="S252">
        <f t="shared" si="962"/>
        <v>-2449.2452935734768</v>
      </c>
      <c r="T252">
        <f t="shared" si="963"/>
        <v>-2.449245293573477</v>
      </c>
    </row>
    <row r="253" spans="1:20" x14ac:dyDescent="0.25">
      <c r="A253" s="5">
        <v>44340</v>
      </c>
      <c r="B253">
        <v>0.21948000000000001</v>
      </c>
      <c r="C253">
        <v>0.24099999999999999</v>
      </c>
      <c r="D253">
        <v>0.19109999999999999</v>
      </c>
      <c r="E253">
        <v>0.23788000000000001</v>
      </c>
      <c r="F253">
        <v>18379958.100000001</v>
      </c>
      <c r="G253">
        <v>8.3800000000000008</v>
      </c>
      <c r="L253" t="s">
        <v>8</v>
      </c>
      <c r="M253" t="s">
        <v>8</v>
      </c>
      <c r="N253" t="s">
        <v>8</v>
      </c>
      <c r="P253">
        <f t="shared" si="959"/>
        <v>0.87494989979959981</v>
      </c>
      <c r="Q253">
        <f t="shared" si="960"/>
        <v>16081542.497915844</v>
      </c>
      <c r="R253">
        <f t="shared" si="961"/>
        <v>-245364337.15059006</v>
      </c>
      <c r="S253">
        <f t="shared" si="962"/>
        <v>-2453.6433715059006</v>
      </c>
      <c r="T253">
        <f t="shared" si="963"/>
        <v>-2.4536433715059007</v>
      </c>
    </row>
    <row r="254" spans="1:20" x14ac:dyDescent="0.25">
      <c r="A254" s="5">
        <v>44339</v>
      </c>
      <c r="B254">
        <v>0.26948</v>
      </c>
      <c r="C254">
        <v>0.27101999999999998</v>
      </c>
      <c r="D254">
        <v>0.17197000000000001</v>
      </c>
      <c r="E254">
        <v>0.21795999999999999</v>
      </c>
      <c r="F254">
        <v>22094512</v>
      </c>
      <c r="G254">
        <v>-19.12</v>
      </c>
      <c r="L254" t="s">
        <v>7</v>
      </c>
      <c r="M254" t="s">
        <v>7</v>
      </c>
      <c r="N254" t="s">
        <v>7</v>
      </c>
      <c r="P254">
        <f t="shared" si="959"/>
        <v>-7.1378091872791746E-2</v>
      </c>
      <c r="Q254">
        <f t="shared" si="960"/>
        <v>-1577064.1074204997</v>
      </c>
      <c r="R254">
        <f t="shared" si="961"/>
        <v>-261445879.6485059</v>
      </c>
      <c r="S254">
        <f t="shared" si="962"/>
        <v>-2614.4587964850589</v>
      </c>
      <c r="T254">
        <f t="shared" si="963"/>
        <v>-2.6144587964850587</v>
      </c>
    </row>
    <row r="255" spans="1:20" x14ac:dyDescent="0.25">
      <c r="A255" s="5">
        <v>44338</v>
      </c>
      <c r="B255">
        <v>0.25774000000000002</v>
      </c>
      <c r="C255">
        <v>0.34125</v>
      </c>
      <c r="D255">
        <v>0.22977</v>
      </c>
      <c r="E255">
        <v>0.26857999999999999</v>
      </c>
      <c r="F255">
        <v>60514082.299999997</v>
      </c>
      <c r="G255">
        <v>4.21</v>
      </c>
      <c r="L255" t="s">
        <v>8</v>
      </c>
      <c r="M255" t="s">
        <v>8</v>
      </c>
      <c r="N255" t="s">
        <v>8</v>
      </c>
      <c r="P255">
        <f t="shared" si="959"/>
        <v>-0.30373161105130991</v>
      </c>
      <c r="Q255">
        <f t="shared" si="960"/>
        <v>-18380039.708270557</v>
      </c>
      <c r="R255">
        <f t="shared" si="961"/>
        <v>-259868815.54108539</v>
      </c>
      <c r="S255">
        <f t="shared" si="962"/>
        <v>-2598.6881554108541</v>
      </c>
      <c r="T255">
        <f t="shared" si="963"/>
        <v>-2.5986881554108541</v>
      </c>
    </row>
    <row r="256" spans="1:20" x14ac:dyDescent="0.25">
      <c r="A256" s="5">
        <v>44337</v>
      </c>
      <c r="B256">
        <v>0.2515</v>
      </c>
      <c r="C256">
        <v>0.30245</v>
      </c>
      <c r="D256">
        <v>0.20272999999999999</v>
      </c>
      <c r="E256">
        <v>0.25773000000000001</v>
      </c>
      <c r="F256">
        <v>38442856.200000003</v>
      </c>
      <c r="G256">
        <v>2.48</v>
      </c>
      <c r="L256" t="s">
        <v>8</v>
      </c>
      <c r="M256" t="s">
        <v>8</v>
      </c>
      <c r="N256" t="s">
        <v>8</v>
      </c>
      <c r="P256">
        <f t="shared" si="959"/>
        <v>0.1030886482150024</v>
      </c>
      <c r="Q256">
        <f t="shared" si="960"/>
        <v>3963022.0791817242</v>
      </c>
      <c r="R256">
        <f t="shared" si="961"/>
        <v>-241488775.83281484</v>
      </c>
      <c r="S256">
        <f t="shared" si="962"/>
        <v>-2414.8877583281483</v>
      </c>
      <c r="T256">
        <f t="shared" si="963"/>
        <v>-2.4148877583281481</v>
      </c>
    </row>
    <row r="257" spans="1:20" x14ac:dyDescent="0.25">
      <c r="A257" s="5">
        <v>44336</v>
      </c>
      <c r="B257">
        <v>0.20763000000000001</v>
      </c>
      <c r="C257">
        <v>0.253</v>
      </c>
      <c r="D257">
        <v>0.18212</v>
      </c>
      <c r="E257">
        <v>0.25161</v>
      </c>
      <c r="F257">
        <v>11210769.6</v>
      </c>
      <c r="G257">
        <v>21.18</v>
      </c>
      <c r="L257" t="s">
        <v>8</v>
      </c>
      <c r="M257" t="s">
        <v>8</v>
      </c>
      <c r="N257" t="s">
        <v>8</v>
      </c>
      <c r="P257">
        <f t="shared" si="959"/>
        <v>0.96077878103837466</v>
      </c>
      <c r="Q257">
        <f t="shared" si="960"/>
        <v>10771069.550790066</v>
      </c>
      <c r="R257">
        <f t="shared" si="961"/>
        <v>-245451797.91199657</v>
      </c>
      <c r="S257">
        <f t="shared" si="962"/>
        <v>-2454.5179791199657</v>
      </c>
      <c r="T257">
        <f t="shared" si="963"/>
        <v>-2.4545179791199656</v>
      </c>
    </row>
    <row r="258" spans="1:20" x14ac:dyDescent="0.25">
      <c r="A258" s="5">
        <v>44335</v>
      </c>
      <c r="B258">
        <v>0.30969000000000002</v>
      </c>
      <c r="C258">
        <v>0.31580999999999998</v>
      </c>
      <c r="D258">
        <v>0.15187999999999999</v>
      </c>
      <c r="E258">
        <v>0.20763999999999999</v>
      </c>
      <c r="F258">
        <v>22400450.399999999</v>
      </c>
      <c r="G258">
        <v>-32.950000000000003</v>
      </c>
      <c r="L258" t="s">
        <v>7</v>
      </c>
      <c r="M258" t="s">
        <v>7</v>
      </c>
      <c r="N258" t="s">
        <v>7</v>
      </c>
      <c r="P258">
        <f t="shared" si="959"/>
        <v>-0.31970963216006826</v>
      </c>
      <c r="Q258">
        <f t="shared" si="960"/>
        <v>-7161639.757603853</v>
      </c>
      <c r="R258">
        <f t="shared" si="961"/>
        <v>-256222867.46278664</v>
      </c>
      <c r="S258">
        <f t="shared" si="962"/>
        <v>-2562.2286746278664</v>
      </c>
      <c r="T258">
        <f t="shared" si="963"/>
        <v>-2.5622286746278666</v>
      </c>
    </row>
    <row r="259" spans="1:20" x14ac:dyDescent="0.25">
      <c r="A259" s="5">
        <v>44334</v>
      </c>
      <c r="B259">
        <v>0.30262</v>
      </c>
      <c r="C259">
        <v>0.32590000000000002</v>
      </c>
      <c r="D259">
        <v>0.29214000000000001</v>
      </c>
      <c r="E259">
        <v>0.31092999999999998</v>
      </c>
      <c r="F259">
        <v>18951485.399999999</v>
      </c>
      <c r="G259">
        <v>2.75</v>
      </c>
      <c r="L259" t="s">
        <v>8</v>
      </c>
      <c r="M259" t="s">
        <v>8</v>
      </c>
      <c r="N259" t="s">
        <v>7</v>
      </c>
      <c r="P259">
        <f t="shared" si="959"/>
        <v>0.11315165876777053</v>
      </c>
      <c r="Q259">
        <f t="shared" si="960"/>
        <v>2144392.0091231852</v>
      </c>
      <c r="R259">
        <f t="shared" si="961"/>
        <v>-249061227.70518279</v>
      </c>
      <c r="S259">
        <f t="shared" si="962"/>
        <v>-2490.6122770518277</v>
      </c>
      <c r="T259">
        <f t="shared" si="963"/>
        <v>-2.4906122770518277</v>
      </c>
    </row>
    <row r="260" spans="1:20" x14ac:dyDescent="0.25">
      <c r="A260" s="5">
        <v>44333</v>
      </c>
      <c r="B260">
        <v>0.31579000000000002</v>
      </c>
      <c r="C260">
        <v>0.37001000000000001</v>
      </c>
      <c r="D260">
        <v>0.27160000000000001</v>
      </c>
      <c r="E260">
        <v>0.30208000000000002</v>
      </c>
      <c r="F260">
        <v>33111510.399999999</v>
      </c>
      <c r="G260">
        <v>-4.34</v>
      </c>
      <c r="L260" t="s">
        <v>7</v>
      </c>
      <c r="M260" t="s">
        <v>7</v>
      </c>
      <c r="N260" t="s">
        <v>7</v>
      </c>
      <c r="P260">
        <f t="shared" si="959"/>
        <v>-0.38055075703688634</v>
      </c>
      <c r="Q260">
        <f t="shared" si="960"/>
        <v>-12600610.349354735</v>
      </c>
      <c r="R260">
        <f t="shared" si="961"/>
        <v>-251205619.71430597</v>
      </c>
      <c r="S260">
        <f t="shared" si="962"/>
        <v>-2512.0561971430598</v>
      </c>
      <c r="T260">
        <f t="shared" si="963"/>
        <v>-2.5120561971430599</v>
      </c>
    </row>
    <row r="261" spans="1:20" x14ac:dyDescent="0.25">
      <c r="A261" s="5">
        <v>44332</v>
      </c>
      <c r="B261">
        <v>0.31707999999999997</v>
      </c>
      <c r="C261">
        <v>0.34700999999999999</v>
      </c>
      <c r="D261">
        <v>0.29199999999999998</v>
      </c>
      <c r="E261">
        <v>0.31507000000000002</v>
      </c>
      <c r="F261">
        <v>8134400.2999999998</v>
      </c>
      <c r="G261">
        <v>-0.63</v>
      </c>
      <c r="L261" t="s">
        <v>7</v>
      </c>
      <c r="M261" t="s">
        <v>7</v>
      </c>
      <c r="N261" t="s">
        <v>7</v>
      </c>
      <c r="P261">
        <f t="shared" si="959"/>
        <v>-0.16124341028903713</v>
      </c>
      <c r="Q261">
        <f t="shared" si="960"/>
        <v>-1311618.4450281668</v>
      </c>
      <c r="R261">
        <f t="shared" si="961"/>
        <v>-238605009.36495122</v>
      </c>
      <c r="S261">
        <f t="shared" si="962"/>
        <v>-2386.0500936495123</v>
      </c>
      <c r="T261">
        <f t="shared" si="963"/>
        <v>-2.3860500936495121</v>
      </c>
    </row>
    <row r="262" spans="1:20" x14ac:dyDescent="0.25">
      <c r="A262" s="5">
        <v>44331</v>
      </c>
      <c r="B262">
        <v>0.34100000000000003</v>
      </c>
      <c r="C262">
        <v>0.34899999999999998</v>
      </c>
      <c r="D262">
        <v>0.31178</v>
      </c>
      <c r="E262">
        <v>0.31753999999999999</v>
      </c>
      <c r="F262">
        <v>5438426.4000000004</v>
      </c>
      <c r="G262">
        <v>-6.88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-0.69048898441698059</v>
      </c>
      <c r="Q262">
        <f t="shared" ref="Q262:Q325" si="965">F262*P262</f>
        <v>-3755173.5217624963</v>
      </c>
      <c r="R262">
        <f t="shared" ref="R262:R325" si="966">R263+Q262</f>
        <v>-237293390.91992307</v>
      </c>
      <c r="S262">
        <f t="shared" ref="S262:S325" si="967">R262/100000</f>
        <v>-2372.9339091992306</v>
      </c>
      <c r="T262">
        <f t="shared" ref="T262:T325" si="968">S262/1000</f>
        <v>-2.3729339091992308</v>
      </c>
    </row>
    <row r="263" spans="1:20" x14ac:dyDescent="0.25">
      <c r="A263" s="5">
        <v>44330</v>
      </c>
      <c r="B263">
        <v>0.31996999999999998</v>
      </c>
      <c r="C263">
        <v>0.3503</v>
      </c>
      <c r="D263">
        <v>0.31462000000000001</v>
      </c>
      <c r="E263">
        <v>0.34039999999999998</v>
      </c>
      <c r="F263">
        <v>10072971.800000001</v>
      </c>
      <c r="G263">
        <v>6.38</v>
      </c>
      <c r="L263" t="s">
        <v>8</v>
      </c>
      <c r="M263" t="s">
        <v>8</v>
      </c>
      <c r="N263" t="s">
        <v>7</v>
      </c>
      <c r="P263">
        <f t="shared" si="964"/>
        <v>0.44506726457398976</v>
      </c>
      <c r="Q263">
        <f t="shared" si="965"/>
        <v>4483150.005156938</v>
      </c>
      <c r="R263">
        <f t="shared" si="966"/>
        <v>-233538217.39816058</v>
      </c>
      <c r="S263">
        <f t="shared" si="967"/>
        <v>-2335.3821739816058</v>
      </c>
      <c r="T263">
        <f t="shared" si="968"/>
        <v>-2.3353821739816056</v>
      </c>
    </row>
    <row r="264" spans="1:20" x14ac:dyDescent="0.25">
      <c r="A264" s="5">
        <v>44329</v>
      </c>
      <c r="B264">
        <v>0.31735999999999998</v>
      </c>
      <c r="C264">
        <v>0.33854000000000001</v>
      </c>
      <c r="D264">
        <v>0.29410999999999998</v>
      </c>
      <c r="E264">
        <v>0.32006000000000001</v>
      </c>
      <c r="F264">
        <v>11819070.699999999</v>
      </c>
      <c r="G264">
        <v>0.85</v>
      </c>
      <c r="L264" t="s">
        <v>7</v>
      </c>
      <c r="M264" t="s">
        <v>7</v>
      </c>
      <c r="N264" t="s">
        <v>7</v>
      </c>
      <c r="P264">
        <f t="shared" si="964"/>
        <v>0.16812964213369408</v>
      </c>
      <c r="Q264">
        <f t="shared" si="965"/>
        <v>1987136.1271438291</v>
      </c>
      <c r="R264">
        <f t="shared" si="966"/>
        <v>-238021367.40331751</v>
      </c>
      <c r="S264">
        <f t="shared" si="967"/>
        <v>-2380.2136740331753</v>
      </c>
      <c r="T264">
        <f t="shared" si="968"/>
        <v>-2.3802136740331754</v>
      </c>
    </row>
    <row r="265" spans="1:20" x14ac:dyDescent="0.25">
      <c r="A265" s="5">
        <v>44328</v>
      </c>
      <c r="B265">
        <v>0.38218999999999997</v>
      </c>
      <c r="C265">
        <v>0.39611000000000002</v>
      </c>
      <c r="D265">
        <v>0.31711</v>
      </c>
      <c r="E265">
        <v>0.31818999999999997</v>
      </c>
      <c r="F265">
        <v>8981782.9000000004</v>
      </c>
      <c r="G265">
        <v>-16.75</v>
      </c>
      <c r="L265" t="s">
        <v>7</v>
      </c>
      <c r="M265" t="s">
        <v>7</v>
      </c>
      <c r="N265" t="s">
        <v>7</v>
      </c>
      <c r="P265">
        <f t="shared" si="964"/>
        <v>-0.97265822784810207</v>
      </c>
      <c r="Q265">
        <f t="shared" si="965"/>
        <v>-8736205.0384303872</v>
      </c>
      <c r="R265">
        <f t="shared" si="966"/>
        <v>-240008503.53046134</v>
      </c>
      <c r="S265">
        <f t="shared" si="967"/>
        <v>-2400.0850353046135</v>
      </c>
      <c r="T265">
        <f t="shared" si="968"/>
        <v>-2.4000850353046137</v>
      </c>
    </row>
    <row r="266" spans="1:20" x14ac:dyDescent="0.25">
      <c r="A266" s="5">
        <v>44327</v>
      </c>
      <c r="B266">
        <v>0.36088999999999999</v>
      </c>
      <c r="C266">
        <v>0.38886999999999999</v>
      </c>
      <c r="D266">
        <v>0.34111000000000002</v>
      </c>
      <c r="E266">
        <v>0.38218999999999997</v>
      </c>
      <c r="F266">
        <v>12707493.5</v>
      </c>
      <c r="G266">
        <v>5.9</v>
      </c>
      <c r="L266" t="s">
        <v>7</v>
      </c>
      <c r="M266" t="s">
        <v>7</v>
      </c>
      <c r="N266" t="s">
        <v>7</v>
      </c>
      <c r="P266">
        <f t="shared" si="964"/>
        <v>0.72026800670016655</v>
      </c>
      <c r="Q266">
        <f t="shared" si="965"/>
        <v>9152801.0134003237</v>
      </c>
      <c r="R266">
        <f t="shared" si="966"/>
        <v>-231272298.49203095</v>
      </c>
      <c r="S266">
        <f t="shared" si="967"/>
        <v>-2312.7229849203095</v>
      </c>
      <c r="T266">
        <f t="shared" si="968"/>
        <v>-2.3127229849203097</v>
      </c>
    </row>
    <row r="267" spans="1:20" x14ac:dyDescent="0.25">
      <c r="A267" s="5">
        <v>44326</v>
      </c>
      <c r="B267">
        <v>0.42473</v>
      </c>
      <c r="C267">
        <v>0.42544999999999999</v>
      </c>
      <c r="D267">
        <v>0.35526000000000002</v>
      </c>
      <c r="E267">
        <v>0.36281999999999998</v>
      </c>
      <c r="F267">
        <v>10529195.4</v>
      </c>
      <c r="G267">
        <v>-14.58</v>
      </c>
      <c r="L267" t="s">
        <v>7</v>
      </c>
      <c r="M267" t="s">
        <v>7</v>
      </c>
      <c r="N267" t="s">
        <v>7</v>
      </c>
      <c r="P267">
        <f t="shared" si="964"/>
        <v>-0.78458469867502612</v>
      </c>
      <c r="Q267">
        <f t="shared" si="965"/>
        <v>-8261045.6001994712</v>
      </c>
      <c r="R267">
        <f t="shared" si="966"/>
        <v>-240425099.50543126</v>
      </c>
      <c r="S267">
        <f t="shared" si="967"/>
        <v>-2404.2509950543126</v>
      </c>
      <c r="T267">
        <f t="shared" si="968"/>
        <v>-2.4042509950543125</v>
      </c>
    </row>
    <row r="268" spans="1:20" x14ac:dyDescent="0.25">
      <c r="A268" s="5">
        <v>44325</v>
      </c>
      <c r="B268">
        <v>0.43430999999999997</v>
      </c>
      <c r="C268">
        <v>0.45954</v>
      </c>
      <c r="D268">
        <v>0.40155000000000002</v>
      </c>
      <c r="E268">
        <v>0.42473</v>
      </c>
      <c r="F268">
        <v>14961194.4</v>
      </c>
      <c r="G268">
        <v>-2.21</v>
      </c>
      <c r="L268" t="s">
        <v>7</v>
      </c>
      <c r="M268" t="s">
        <v>7</v>
      </c>
      <c r="N268" t="s">
        <v>7</v>
      </c>
      <c r="P268">
        <f t="shared" si="964"/>
        <v>-0.20055181927918661</v>
      </c>
      <c r="Q268">
        <f t="shared" si="965"/>
        <v>-3000494.7555095786</v>
      </c>
      <c r="R268">
        <f t="shared" si="966"/>
        <v>-232164053.9052318</v>
      </c>
      <c r="S268">
        <f t="shared" si="967"/>
        <v>-2321.6405390523182</v>
      </c>
      <c r="T268">
        <f t="shared" si="968"/>
        <v>-2.3216405390523183</v>
      </c>
    </row>
    <row r="269" spans="1:20" x14ac:dyDescent="0.25">
      <c r="A269" s="5">
        <v>44324</v>
      </c>
      <c r="B269">
        <v>0.42941000000000001</v>
      </c>
      <c r="C269">
        <v>0.46039000000000002</v>
      </c>
      <c r="D269">
        <v>0.41</v>
      </c>
      <c r="E269">
        <v>0.43231999999999998</v>
      </c>
      <c r="F269">
        <v>45889521.700000003</v>
      </c>
      <c r="G269">
        <v>0.68</v>
      </c>
      <c r="L269" t="s">
        <v>7</v>
      </c>
      <c r="M269" t="s">
        <v>7</v>
      </c>
      <c r="N269" t="s">
        <v>7</v>
      </c>
      <c r="P269">
        <f t="shared" si="964"/>
        <v>-0.11410994244889915</v>
      </c>
      <c r="Q269">
        <f t="shared" si="965"/>
        <v>-5236450.6801945092</v>
      </c>
      <c r="R269">
        <f t="shared" si="966"/>
        <v>-229163559.14972222</v>
      </c>
      <c r="S269">
        <f t="shared" si="967"/>
        <v>-2291.6355914972223</v>
      </c>
      <c r="T269">
        <f t="shared" si="968"/>
        <v>-2.2916355914972222</v>
      </c>
    </row>
    <row r="270" spans="1:20" x14ac:dyDescent="0.25">
      <c r="A270" s="5">
        <v>44323</v>
      </c>
      <c r="B270">
        <v>0.40851999999999999</v>
      </c>
      <c r="C270">
        <v>0.63449999999999995</v>
      </c>
      <c r="D270">
        <v>0.377</v>
      </c>
      <c r="E270">
        <v>0.42914000000000002</v>
      </c>
      <c r="F270">
        <v>143209324</v>
      </c>
      <c r="G270">
        <v>5.05</v>
      </c>
      <c r="L270" t="s">
        <v>8</v>
      </c>
      <c r="M270" t="s">
        <v>8</v>
      </c>
      <c r="N270" t="s">
        <v>8</v>
      </c>
      <c r="P270">
        <f t="shared" si="964"/>
        <v>-0.59502912621359205</v>
      </c>
      <c r="Q270">
        <f t="shared" si="965"/>
        <v>-85213718.925359204</v>
      </c>
      <c r="R270">
        <f t="shared" si="966"/>
        <v>-223927108.46952772</v>
      </c>
      <c r="S270">
        <f t="shared" si="967"/>
        <v>-2239.2710846952773</v>
      </c>
      <c r="T270">
        <f t="shared" si="968"/>
        <v>-2.2392710846952775</v>
      </c>
    </row>
    <row r="271" spans="1:20" x14ac:dyDescent="0.25">
      <c r="A271" s="5">
        <v>44322</v>
      </c>
      <c r="B271">
        <v>0.38558999999999999</v>
      </c>
      <c r="C271">
        <v>0.40939999999999999</v>
      </c>
      <c r="D271">
        <v>0.36958000000000002</v>
      </c>
      <c r="E271">
        <v>0.40848000000000001</v>
      </c>
      <c r="F271">
        <v>12220511.699999999</v>
      </c>
      <c r="G271">
        <v>5.94</v>
      </c>
      <c r="L271" t="s">
        <v>8</v>
      </c>
      <c r="M271" t="s">
        <v>8</v>
      </c>
      <c r="N271" t="s">
        <v>8</v>
      </c>
      <c r="P271">
        <f t="shared" si="964"/>
        <v>0.95379206428930297</v>
      </c>
      <c r="Q271">
        <f t="shared" si="965"/>
        <v>11655827.081014579</v>
      </c>
      <c r="R271">
        <f t="shared" si="966"/>
        <v>-138713389.5441685</v>
      </c>
      <c r="S271">
        <f t="shared" si="967"/>
        <v>-1387.1338954416851</v>
      </c>
      <c r="T271">
        <f t="shared" si="968"/>
        <v>-1.3871338954416852</v>
      </c>
    </row>
    <row r="272" spans="1:20" x14ac:dyDescent="0.25">
      <c r="A272" s="5">
        <v>44321</v>
      </c>
      <c r="B272">
        <v>0.35703000000000001</v>
      </c>
      <c r="C272">
        <v>0.38779999999999998</v>
      </c>
      <c r="D272">
        <v>0.34</v>
      </c>
      <c r="E272">
        <v>0.38416</v>
      </c>
      <c r="F272">
        <v>10571101.199999999</v>
      </c>
      <c r="G272">
        <v>7.6</v>
      </c>
      <c r="L272" t="s">
        <v>7</v>
      </c>
      <c r="M272" t="s">
        <v>7</v>
      </c>
      <c r="N272" t="s">
        <v>8</v>
      </c>
      <c r="P272">
        <f t="shared" si="964"/>
        <v>0.84769874476987528</v>
      </c>
      <c r="Q272">
        <f t="shared" si="965"/>
        <v>8961109.218075322</v>
      </c>
      <c r="R272">
        <f t="shared" si="966"/>
        <v>-150369216.62518308</v>
      </c>
      <c r="S272">
        <f t="shared" si="967"/>
        <v>-1503.6921662518307</v>
      </c>
      <c r="T272">
        <f t="shared" si="968"/>
        <v>-1.5036921662518308</v>
      </c>
    </row>
    <row r="273" spans="1:20" x14ac:dyDescent="0.25">
      <c r="A273" s="5">
        <v>44320</v>
      </c>
      <c r="B273">
        <v>0.39711000000000002</v>
      </c>
      <c r="C273">
        <v>0.44</v>
      </c>
      <c r="D273">
        <v>0.33700000000000002</v>
      </c>
      <c r="E273">
        <v>0.35629</v>
      </c>
      <c r="F273">
        <v>19400343</v>
      </c>
      <c r="G273">
        <v>-10.28</v>
      </c>
      <c r="L273" t="s">
        <v>8</v>
      </c>
      <c r="M273" t="s">
        <v>8</v>
      </c>
      <c r="N273" t="s">
        <v>8</v>
      </c>
      <c r="P273">
        <f t="shared" si="964"/>
        <v>-0.62543689320388396</v>
      </c>
      <c r="Q273">
        <f t="shared" si="965"/>
        <v>-12133690.253009718</v>
      </c>
      <c r="R273">
        <f t="shared" si="966"/>
        <v>-159330325.84325841</v>
      </c>
      <c r="S273">
        <f t="shared" si="967"/>
        <v>-1593.303258432584</v>
      </c>
      <c r="T273">
        <f t="shared" si="968"/>
        <v>-1.5933032584325839</v>
      </c>
    </row>
    <row r="274" spans="1:20" x14ac:dyDescent="0.25">
      <c r="A274" s="5">
        <v>44319</v>
      </c>
      <c r="B274">
        <v>0.39474999999999999</v>
      </c>
      <c r="C274">
        <v>0.40948000000000001</v>
      </c>
      <c r="D274">
        <v>0.38611000000000001</v>
      </c>
      <c r="E274">
        <v>0.39711000000000002</v>
      </c>
      <c r="F274">
        <v>8008214.7999999998</v>
      </c>
      <c r="G274">
        <v>0.6</v>
      </c>
      <c r="L274" t="s">
        <v>8</v>
      </c>
      <c r="M274" t="s">
        <v>8</v>
      </c>
      <c r="N274" t="s">
        <v>8</v>
      </c>
      <c r="P274">
        <f t="shared" si="964"/>
        <v>-5.8622165169019351E-2</v>
      </c>
      <c r="Q274">
        <f t="shared" si="965"/>
        <v>-469458.89071458526</v>
      </c>
      <c r="R274">
        <f t="shared" si="966"/>
        <v>-147196635.5902487</v>
      </c>
      <c r="S274">
        <f t="shared" si="967"/>
        <v>-1471.9663559024871</v>
      </c>
      <c r="T274">
        <f t="shared" si="968"/>
        <v>-1.4719663559024871</v>
      </c>
    </row>
    <row r="275" spans="1:20" x14ac:dyDescent="0.25">
      <c r="A275" s="5">
        <v>44318</v>
      </c>
      <c r="B275">
        <v>0.40271000000000001</v>
      </c>
      <c r="C275">
        <v>0.40271000000000001</v>
      </c>
      <c r="D275">
        <v>0.37364000000000003</v>
      </c>
      <c r="E275">
        <v>0.39474999999999999</v>
      </c>
      <c r="F275">
        <v>4769977.5999999996</v>
      </c>
      <c r="G275">
        <v>-1.98</v>
      </c>
      <c r="L275" t="s">
        <v>7</v>
      </c>
      <c r="M275" t="s">
        <v>8</v>
      </c>
      <c r="N275" t="s">
        <v>8</v>
      </c>
      <c r="P275">
        <f t="shared" si="964"/>
        <v>0.45235638114894894</v>
      </c>
      <c r="Q275">
        <f t="shared" si="965"/>
        <v>2157729.8052975484</v>
      </c>
      <c r="R275">
        <f t="shared" si="966"/>
        <v>-146727176.69953412</v>
      </c>
      <c r="S275">
        <f t="shared" si="967"/>
        <v>-1467.2717669953413</v>
      </c>
      <c r="T275">
        <f t="shared" si="968"/>
        <v>-1.4672717669953412</v>
      </c>
    </row>
    <row r="276" spans="1:20" x14ac:dyDescent="0.25">
      <c r="A276" s="5">
        <v>44317</v>
      </c>
      <c r="B276">
        <v>0.41299999999999998</v>
      </c>
      <c r="C276">
        <v>0.41300999999999999</v>
      </c>
      <c r="D276">
        <v>0.3851</v>
      </c>
      <c r="E276">
        <v>0.4027</v>
      </c>
      <c r="F276">
        <v>7829844.4000000004</v>
      </c>
      <c r="G276">
        <v>-2.4900000000000002</v>
      </c>
      <c r="L276" t="s">
        <v>7</v>
      </c>
      <c r="M276" t="s">
        <v>8</v>
      </c>
      <c r="N276" t="s">
        <v>8</v>
      </c>
      <c r="P276">
        <f t="shared" si="964"/>
        <v>0.2611967036904343</v>
      </c>
      <c r="Q276">
        <f t="shared" si="965"/>
        <v>2045129.5476890064</v>
      </c>
      <c r="R276">
        <f t="shared" si="966"/>
        <v>-148884906.50483167</v>
      </c>
      <c r="S276">
        <f t="shared" si="967"/>
        <v>-1488.8490650483168</v>
      </c>
      <c r="T276">
        <f t="shared" si="968"/>
        <v>-1.4888490650483168</v>
      </c>
    </row>
    <row r="277" spans="1:20" x14ac:dyDescent="0.25">
      <c r="A277" s="5">
        <v>44316</v>
      </c>
      <c r="B277">
        <v>0.39012999999999998</v>
      </c>
      <c r="C277">
        <v>0.42699999999999999</v>
      </c>
      <c r="D277">
        <v>0.36668000000000001</v>
      </c>
      <c r="E277">
        <v>0.41297</v>
      </c>
      <c r="F277">
        <v>12755629.699999999</v>
      </c>
      <c r="G277">
        <v>5.85</v>
      </c>
      <c r="L277" t="s">
        <v>8</v>
      </c>
      <c r="M277" t="s">
        <v>8</v>
      </c>
      <c r="N277" t="s">
        <v>8</v>
      </c>
      <c r="P277">
        <f t="shared" si="964"/>
        <v>0.53481432360742742</v>
      </c>
      <c r="Q277">
        <f t="shared" si="965"/>
        <v>6821893.4701923123</v>
      </c>
      <c r="R277">
        <f t="shared" si="966"/>
        <v>-150930036.05252069</v>
      </c>
      <c r="S277">
        <f t="shared" si="967"/>
        <v>-1509.300360525207</v>
      </c>
      <c r="T277">
        <f t="shared" si="968"/>
        <v>-1.5093003605252071</v>
      </c>
    </row>
    <row r="278" spans="1:20" x14ac:dyDescent="0.25">
      <c r="A278" s="5">
        <v>44315</v>
      </c>
      <c r="B278">
        <v>0.38435000000000002</v>
      </c>
      <c r="C278">
        <v>0.42864000000000002</v>
      </c>
      <c r="D278">
        <v>0.35860999999999998</v>
      </c>
      <c r="E278">
        <v>0.39032</v>
      </c>
      <c r="F278">
        <v>10471825.4</v>
      </c>
      <c r="G278">
        <v>1.55</v>
      </c>
      <c r="L278" t="s">
        <v>7</v>
      </c>
      <c r="M278" t="s">
        <v>7</v>
      </c>
      <c r="N278" t="s">
        <v>8</v>
      </c>
      <c r="P278">
        <f t="shared" si="964"/>
        <v>-9.4388119377409693E-2</v>
      </c>
      <c r="Q278">
        <f t="shared" si="965"/>
        <v>-988415.905954591</v>
      </c>
      <c r="R278">
        <f t="shared" si="966"/>
        <v>-157751929.52271301</v>
      </c>
      <c r="S278">
        <f t="shared" si="967"/>
        <v>-1577.51929522713</v>
      </c>
      <c r="T278">
        <f t="shared" si="968"/>
        <v>-1.57751929522713</v>
      </c>
    </row>
    <row r="279" spans="1:20" x14ac:dyDescent="0.25">
      <c r="A279" s="5">
        <v>44314</v>
      </c>
      <c r="B279">
        <v>0.39973999999999998</v>
      </c>
      <c r="C279">
        <v>0.44180000000000003</v>
      </c>
      <c r="D279">
        <v>0.34727000000000002</v>
      </c>
      <c r="E279">
        <v>0.38364999999999999</v>
      </c>
      <c r="F279">
        <v>14213485.4</v>
      </c>
      <c r="G279">
        <v>-4.03</v>
      </c>
      <c r="L279" t="s">
        <v>8</v>
      </c>
      <c r="M279" t="s">
        <v>8</v>
      </c>
      <c r="N279" t="s">
        <v>8</v>
      </c>
      <c r="P279">
        <f t="shared" si="964"/>
        <v>-0.23029726012906027</v>
      </c>
      <c r="Q279">
        <f t="shared" si="965"/>
        <v>-3273326.7445044001</v>
      </c>
      <c r="R279">
        <f t="shared" si="966"/>
        <v>-156763513.61675841</v>
      </c>
      <c r="S279">
        <f t="shared" si="967"/>
        <v>-1567.6351361675841</v>
      </c>
      <c r="T279">
        <f t="shared" si="968"/>
        <v>-1.567635136167584</v>
      </c>
    </row>
    <row r="280" spans="1:20" x14ac:dyDescent="0.25">
      <c r="A280" s="5">
        <v>44313</v>
      </c>
      <c r="B280">
        <v>0.35661999999999999</v>
      </c>
      <c r="C280">
        <v>0.40322000000000002</v>
      </c>
      <c r="D280">
        <v>0.34438000000000002</v>
      </c>
      <c r="E280">
        <v>0.39811999999999997</v>
      </c>
      <c r="F280">
        <v>11248989.800000001</v>
      </c>
      <c r="G280">
        <v>11.64</v>
      </c>
      <c r="L280" t="s">
        <v>8</v>
      </c>
      <c r="M280" t="s">
        <v>8</v>
      </c>
      <c r="N280" t="s">
        <v>8</v>
      </c>
      <c r="P280">
        <f t="shared" si="964"/>
        <v>0.82664853840924379</v>
      </c>
      <c r="Q280">
        <f t="shared" si="965"/>
        <v>9298960.976750493</v>
      </c>
      <c r="R280">
        <f t="shared" si="966"/>
        <v>-153490186.87225401</v>
      </c>
      <c r="S280">
        <f t="shared" si="967"/>
        <v>-1534.90186872254</v>
      </c>
      <c r="T280">
        <f t="shared" si="968"/>
        <v>-1.53490186872254</v>
      </c>
    </row>
    <row r="281" spans="1:20" x14ac:dyDescent="0.25">
      <c r="A281" s="5">
        <v>44312</v>
      </c>
      <c r="B281">
        <v>0.30786999999999998</v>
      </c>
      <c r="C281">
        <v>0.35893999999999998</v>
      </c>
      <c r="D281">
        <v>0.29458000000000001</v>
      </c>
      <c r="E281">
        <v>0.35794999999999999</v>
      </c>
      <c r="F281">
        <v>10889174.800000001</v>
      </c>
      <c r="G281">
        <v>16.27</v>
      </c>
      <c r="L281" t="s">
        <v>8</v>
      </c>
      <c r="M281" t="s">
        <v>8</v>
      </c>
      <c r="N281" t="s">
        <v>8</v>
      </c>
      <c r="P281">
        <f t="shared" si="964"/>
        <v>0.96923555003107542</v>
      </c>
      <c r="Q281">
        <f t="shared" si="965"/>
        <v>10554175.326662526</v>
      </c>
      <c r="R281">
        <f t="shared" si="966"/>
        <v>-162789147.84900451</v>
      </c>
      <c r="S281">
        <f t="shared" si="967"/>
        <v>-1627.8914784900451</v>
      </c>
      <c r="T281">
        <f t="shared" si="968"/>
        <v>-1.6278914784900451</v>
      </c>
    </row>
    <row r="282" spans="1:20" x14ac:dyDescent="0.25">
      <c r="A282" s="5">
        <v>44311</v>
      </c>
      <c r="B282">
        <v>0.30146000000000001</v>
      </c>
      <c r="C282">
        <v>0.32812999999999998</v>
      </c>
      <c r="D282">
        <v>0.27400999999999998</v>
      </c>
      <c r="E282">
        <v>0.30792999999999998</v>
      </c>
      <c r="F282">
        <v>10708454.199999999</v>
      </c>
      <c r="G282">
        <v>2.15</v>
      </c>
      <c r="L282" t="s">
        <v>7</v>
      </c>
      <c r="M282" t="s">
        <v>7</v>
      </c>
      <c r="N282" t="s">
        <v>7</v>
      </c>
      <c r="P282">
        <f t="shared" si="964"/>
        <v>0.25351071692535126</v>
      </c>
      <c r="Q282">
        <f t="shared" si="965"/>
        <v>2714707.9014042886</v>
      </c>
      <c r="R282">
        <f t="shared" si="966"/>
        <v>-173343323.17566702</v>
      </c>
      <c r="S282">
        <f t="shared" si="967"/>
        <v>-1733.4332317566702</v>
      </c>
      <c r="T282">
        <f t="shared" si="968"/>
        <v>-1.7334332317566703</v>
      </c>
    </row>
    <row r="283" spans="1:20" x14ac:dyDescent="0.25">
      <c r="A283" s="5">
        <v>44310</v>
      </c>
      <c r="B283">
        <v>0.30135000000000001</v>
      </c>
      <c r="C283">
        <v>0.33204</v>
      </c>
      <c r="D283">
        <v>0.28798000000000001</v>
      </c>
      <c r="E283">
        <v>0.30146000000000001</v>
      </c>
      <c r="F283">
        <v>18832426.100000001</v>
      </c>
      <c r="G283">
        <v>0.04</v>
      </c>
      <c r="L283" t="s">
        <v>8</v>
      </c>
      <c r="M283" t="s">
        <v>8</v>
      </c>
      <c r="N283" t="s">
        <v>7</v>
      </c>
      <c r="P283">
        <f t="shared" si="964"/>
        <v>-0.38810712664548364</v>
      </c>
      <c r="Q283">
        <f t="shared" si="965"/>
        <v>-7308998.7814344121</v>
      </c>
      <c r="R283">
        <f t="shared" si="966"/>
        <v>-176058031.07707131</v>
      </c>
      <c r="S283">
        <f t="shared" si="967"/>
        <v>-1760.5803107707131</v>
      </c>
      <c r="T283">
        <f t="shared" si="968"/>
        <v>-1.7605803107707132</v>
      </c>
    </row>
    <row r="284" spans="1:20" x14ac:dyDescent="0.25">
      <c r="A284" s="5">
        <v>44309</v>
      </c>
      <c r="B284">
        <v>0.32058999999999999</v>
      </c>
      <c r="C284">
        <v>0.33400000000000002</v>
      </c>
      <c r="D284">
        <v>0.24399999999999999</v>
      </c>
      <c r="E284">
        <v>0.30137000000000003</v>
      </c>
      <c r="F284">
        <v>25024476.300000001</v>
      </c>
      <c r="G284">
        <v>-6</v>
      </c>
      <c r="L284" t="s">
        <v>7</v>
      </c>
      <c r="M284" t="s">
        <v>7</v>
      </c>
      <c r="N284" t="s">
        <v>7</v>
      </c>
      <c r="P284">
        <f t="shared" si="964"/>
        <v>0.27488888888888924</v>
      </c>
      <c r="Q284">
        <f t="shared" si="965"/>
        <v>6878950.4851333424</v>
      </c>
      <c r="R284">
        <f t="shared" si="966"/>
        <v>-168749032.29563689</v>
      </c>
      <c r="S284">
        <f t="shared" si="967"/>
        <v>-1687.490322956369</v>
      </c>
      <c r="T284">
        <f t="shared" si="968"/>
        <v>-1.6874903229563691</v>
      </c>
    </row>
    <row r="285" spans="1:20" x14ac:dyDescent="0.25">
      <c r="A285" s="5">
        <v>44308</v>
      </c>
      <c r="B285">
        <v>0.39790999999999999</v>
      </c>
      <c r="C285">
        <v>0.40425</v>
      </c>
      <c r="D285">
        <v>0.31888</v>
      </c>
      <c r="E285">
        <v>0.32138</v>
      </c>
      <c r="F285">
        <v>13981945.5</v>
      </c>
      <c r="G285">
        <v>-19.23</v>
      </c>
      <c r="L285" t="s">
        <v>7</v>
      </c>
      <c r="M285" t="s">
        <v>7</v>
      </c>
      <c r="N285" t="s">
        <v>8</v>
      </c>
      <c r="P285">
        <f t="shared" si="964"/>
        <v>-0.94143141618835646</v>
      </c>
      <c r="Q285">
        <f t="shared" si="965"/>
        <v>-13163042.753133418</v>
      </c>
      <c r="R285">
        <f t="shared" si="966"/>
        <v>-175627982.78077024</v>
      </c>
      <c r="S285">
        <f t="shared" si="967"/>
        <v>-1756.2798278077025</v>
      </c>
      <c r="T285">
        <f t="shared" si="968"/>
        <v>-1.7562798278077025</v>
      </c>
    </row>
    <row r="286" spans="1:20" x14ac:dyDescent="0.25">
      <c r="A286" s="5">
        <v>44307</v>
      </c>
      <c r="B286">
        <v>0.45600000000000002</v>
      </c>
      <c r="C286">
        <v>0.46200000000000002</v>
      </c>
      <c r="D286">
        <v>0.39226</v>
      </c>
      <c r="E286">
        <v>0.39812999999999998</v>
      </c>
      <c r="F286">
        <v>26055669.800000001</v>
      </c>
      <c r="G286">
        <v>-12.69</v>
      </c>
      <c r="L286" t="s">
        <v>7</v>
      </c>
      <c r="M286" t="s">
        <v>7</v>
      </c>
      <c r="N286" t="s">
        <v>8</v>
      </c>
      <c r="P286">
        <f t="shared" si="964"/>
        <v>-0.83166045311155767</v>
      </c>
      <c r="Q286">
        <f t="shared" si="965"/>
        <v>-21669470.151993129</v>
      </c>
      <c r="R286">
        <f t="shared" si="966"/>
        <v>-162464940.02763683</v>
      </c>
      <c r="S286">
        <f t="shared" si="967"/>
        <v>-1624.6494002763682</v>
      </c>
      <c r="T286">
        <f t="shared" si="968"/>
        <v>-1.6246494002763681</v>
      </c>
    </row>
    <row r="287" spans="1:20" x14ac:dyDescent="0.25">
      <c r="A287" s="5">
        <v>44306</v>
      </c>
      <c r="B287">
        <v>0.35872999999999999</v>
      </c>
      <c r="C287">
        <v>0.50956000000000001</v>
      </c>
      <c r="D287">
        <v>0.31276999999999999</v>
      </c>
      <c r="E287">
        <v>0.45601000000000003</v>
      </c>
      <c r="F287">
        <v>90087196.799999997</v>
      </c>
      <c r="G287">
        <v>27.12</v>
      </c>
      <c r="L287" t="s">
        <v>8</v>
      </c>
      <c r="M287" t="s">
        <v>8</v>
      </c>
      <c r="N287" t="s">
        <v>7</v>
      </c>
      <c r="P287">
        <f t="shared" si="964"/>
        <v>0.45576502871080865</v>
      </c>
      <c r="Q287">
        <f t="shared" si="965"/>
        <v>41058593.83602827</v>
      </c>
      <c r="R287">
        <f t="shared" si="966"/>
        <v>-140795469.8756437</v>
      </c>
      <c r="S287">
        <f t="shared" si="967"/>
        <v>-1407.954698756437</v>
      </c>
      <c r="T287">
        <f t="shared" si="968"/>
        <v>-1.4079546987564371</v>
      </c>
    </row>
    <row r="288" spans="1:20" x14ac:dyDescent="0.25">
      <c r="A288" s="5">
        <v>44305</v>
      </c>
      <c r="B288">
        <v>0.38250000000000001</v>
      </c>
      <c r="C288">
        <v>0.40716000000000002</v>
      </c>
      <c r="D288">
        <v>0.34594999999999998</v>
      </c>
      <c r="E288">
        <v>0.35872999999999999</v>
      </c>
      <c r="F288">
        <v>11394545</v>
      </c>
      <c r="G288">
        <v>-6.21</v>
      </c>
      <c r="L288" t="s">
        <v>8</v>
      </c>
      <c r="M288" t="s">
        <v>8</v>
      </c>
      <c r="N288" t="s">
        <v>7</v>
      </c>
      <c r="P288">
        <f t="shared" si="964"/>
        <v>-0.58242117301094576</v>
      </c>
      <c r="Q288">
        <f t="shared" si="965"/>
        <v>-6636424.2648260072</v>
      </c>
      <c r="R288">
        <f t="shared" si="966"/>
        <v>-181854063.71167198</v>
      </c>
      <c r="S288">
        <f t="shared" si="967"/>
        <v>-1818.5406371167198</v>
      </c>
      <c r="T288">
        <f t="shared" si="968"/>
        <v>-1.8185406371167199</v>
      </c>
    </row>
    <row r="289" spans="1:20" x14ac:dyDescent="0.25">
      <c r="A289" s="5">
        <v>44304</v>
      </c>
      <c r="B289">
        <v>0.43944</v>
      </c>
      <c r="C289">
        <v>0.44098999999999999</v>
      </c>
      <c r="D289">
        <v>0.33834999999999998</v>
      </c>
      <c r="E289">
        <v>0.38241999999999998</v>
      </c>
      <c r="F289">
        <v>14369408.800000001</v>
      </c>
      <c r="G289">
        <v>-12.98</v>
      </c>
      <c r="L289" t="s">
        <v>7</v>
      </c>
      <c r="M289" t="s">
        <v>7</v>
      </c>
      <c r="N289" t="s">
        <v>7</v>
      </c>
      <c r="P289">
        <f t="shared" si="964"/>
        <v>-0.14127045985970393</v>
      </c>
      <c r="Q289">
        <f t="shared" si="965"/>
        <v>-2029972.9890880766</v>
      </c>
      <c r="R289">
        <f t="shared" si="966"/>
        <v>-175217639.44684598</v>
      </c>
      <c r="S289">
        <f t="shared" si="967"/>
        <v>-1752.1763944684599</v>
      </c>
      <c r="T289">
        <f t="shared" si="968"/>
        <v>-1.7521763944684599</v>
      </c>
    </row>
    <row r="290" spans="1:20" x14ac:dyDescent="0.25">
      <c r="A290" s="5">
        <v>44303</v>
      </c>
      <c r="B290">
        <v>0.44402999999999998</v>
      </c>
      <c r="C290">
        <v>0.46096999999999999</v>
      </c>
      <c r="D290">
        <v>0.42283999999999999</v>
      </c>
      <c r="E290">
        <v>0.44098999999999999</v>
      </c>
      <c r="F290">
        <v>13071685.300000001</v>
      </c>
      <c r="G290">
        <v>-0.68</v>
      </c>
      <c r="L290" t="s">
        <v>8</v>
      </c>
      <c r="M290" t="s">
        <v>7</v>
      </c>
      <c r="N290" t="s">
        <v>7</v>
      </c>
      <c r="P290">
        <f t="shared" si="964"/>
        <v>-4.7993705743509009E-2</v>
      </c>
      <c r="Q290">
        <f t="shared" si="965"/>
        <v>-627358.61785995227</v>
      </c>
      <c r="R290">
        <f t="shared" si="966"/>
        <v>-173187666.45775789</v>
      </c>
      <c r="S290">
        <f t="shared" si="967"/>
        <v>-1731.8766645775788</v>
      </c>
      <c r="T290">
        <f t="shared" si="968"/>
        <v>-1.7318766645775787</v>
      </c>
    </row>
    <row r="291" spans="1:20" x14ac:dyDescent="0.25">
      <c r="A291" s="5">
        <v>44302</v>
      </c>
      <c r="B291">
        <v>0.48837999999999998</v>
      </c>
      <c r="C291">
        <v>0.48838999999999999</v>
      </c>
      <c r="D291">
        <v>0.42010999999999998</v>
      </c>
      <c r="E291">
        <v>0.44406000000000001</v>
      </c>
      <c r="F291">
        <v>15194180.199999999</v>
      </c>
      <c r="G291">
        <v>-9.07</v>
      </c>
      <c r="L291" t="s">
        <v>7</v>
      </c>
      <c r="M291" t="s">
        <v>7</v>
      </c>
      <c r="N291" t="s">
        <v>7</v>
      </c>
      <c r="P291">
        <f t="shared" si="964"/>
        <v>-0.29847685998828283</v>
      </c>
      <c r="Q291">
        <f t="shared" si="965"/>
        <v>-4535111.1961921388</v>
      </c>
      <c r="R291">
        <f t="shared" si="966"/>
        <v>-172560307.83989793</v>
      </c>
      <c r="S291">
        <f t="shared" si="967"/>
        <v>-1725.6030783989793</v>
      </c>
      <c r="T291">
        <f t="shared" si="968"/>
        <v>-1.7256030783989793</v>
      </c>
    </row>
    <row r="292" spans="1:20" x14ac:dyDescent="0.25">
      <c r="A292" s="5">
        <v>44301</v>
      </c>
      <c r="B292">
        <v>0.46578000000000003</v>
      </c>
      <c r="C292">
        <v>0.48854999999999998</v>
      </c>
      <c r="D292">
        <v>0.44514999999999999</v>
      </c>
      <c r="E292">
        <v>0.48849999999999999</v>
      </c>
      <c r="F292">
        <v>12799691.5</v>
      </c>
      <c r="G292">
        <v>4.88</v>
      </c>
      <c r="L292" t="s">
        <v>8</v>
      </c>
      <c r="M292" t="s">
        <v>7</v>
      </c>
      <c r="N292" t="s">
        <v>7</v>
      </c>
      <c r="P292">
        <f t="shared" si="964"/>
        <v>0.9976958525345625</v>
      </c>
      <c r="Q292">
        <f t="shared" si="965"/>
        <v>12770199.123271894</v>
      </c>
      <c r="R292">
        <f t="shared" si="966"/>
        <v>-168025196.64370579</v>
      </c>
      <c r="S292">
        <f t="shared" si="967"/>
        <v>-1680.2519664370579</v>
      </c>
      <c r="T292">
        <f t="shared" si="968"/>
        <v>-1.6802519664370579</v>
      </c>
    </row>
    <row r="293" spans="1:20" x14ac:dyDescent="0.25">
      <c r="A293" s="5">
        <v>44300</v>
      </c>
      <c r="B293">
        <v>0.50136000000000003</v>
      </c>
      <c r="C293">
        <v>0.50295000000000001</v>
      </c>
      <c r="D293">
        <v>0.43217</v>
      </c>
      <c r="E293">
        <v>0.46577000000000002</v>
      </c>
      <c r="F293">
        <v>22806240.899999999</v>
      </c>
      <c r="G293">
        <v>-7.1</v>
      </c>
      <c r="L293" t="s">
        <v>7</v>
      </c>
      <c r="M293" t="s">
        <v>7</v>
      </c>
      <c r="N293" t="s">
        <v>7</v>
      </c>
      <c r="P293">
        <f t="shared" si="964"/>
        <v>-5.0579259677874702E-2</v>
      </c>
      <c r="Q293">
        <f t="shared" si="965"/>
        <v>-1153522.7807572668</v>
      </c>
      <c r="R293">
        <f t="shared" si="966"/>
        <v>-180795395.76697767</v>
      </c>
      <c r="S293">
        <f t="shared" si="967"/>
        <v>-1807.9539576697766</v>
      </c>
      <c r="T293">
        <f t="shared" si="968"/>
        <v>-1.8079539576697767</v>
      </c>
    </row>
    <row r="294" spans="1:20" x14ac:dyDescent="0.25">
      <c r="A294" s="5">
        <v>44299</v>
      </c>
      <c r="B294">
        <v>0.48401</v>
      </c>
      <c r="C294">
        <v>0.5575</v>
      </c>
      <c r="D294">
        <v>0.46621000000000001</v>
      </c>
      <c r="E294">
        <v>0.50146000000000002</v>
      </c>
      <c r="F294">
        <v>33737577.200000003</v>
      </c>
      <c r="G294">
        <v>3.61</v>
      </c>
      <c r="L294" t="s">
        <v>8</v>
      </c>
      <c r="M294" t="s">
        <v>8</v>
      </c>
      <c r="N294" t="s">
        <v>7</v>
      </c>
      <c r="P294">
        <f t="shared" si="964"/>
        <v>-0.22773578705225084</v>
      </c>
      <c r="Q294">
        <f t="shared" si="965"/>
        <v>-7683253.6968780737</v>
      </c>
      <c r="R294">
        <f t="shared" si="966"/>
        <v>-179641872.98622039</v>
      </c>
      <c r="S294">
        <f t="shared" si="967"/>
        <v>-1796.4187298622039</v>
      </c>
      <c r="T294">
        <f t="shared" si="968"/>
        <v>-1.7964187298622039</v>
      </c>
    </row>
    <row r="295" spans="1:20" x14ac:dyDescent="0.25">
      <c r="A295" s="5">
        <v>44298</v>
      </c>
      <c r="B295">
        <v>0.51576</v>
      </c>
      <c r="C295">
        <v>0.51722999999999997</v>
      </c>
      <c r="D295">
        <v>0.46861999999999998</v>
      </c>
      <c r="E295">
        <v>0.48216999999999999</v>
      </c>
      <c r="F295">
        <v>17172389.699999999</v>
      </c>
      <c r="G295">
        <v>-6.51</v>
      </c>
      <c r="L295" t="s">
        <v>8</v>
      </c>
      <c r="M295" t="s">
        <v>7</v>
      </c>
      <c r="N295" t="s">
        <v>7</v>
      </c>
      <c r="P295">
        <f t="shared" si="964"/>
        <v>-0.44250154289240856</v>
      </c>
      <c r="Q295">
        <f t="shared" si="965"/>
        <v>-7598808.9373997049</v>
      </c>
      <c r="R295">
        <f t="shared" si="966"/>
        <v>-171958619.28934231</v>
      </c>
      <c r="S295">
        <f t="shared" si="967"/>
        <v>-1719.5861928934232</v>
      </c>
      <c r="T295">
        <f t="shared" si="968"/>
        <v>-1.7195861928934233</v>
      </c>
    </row>
    <row r="296" spans="1:20" x14ac:dyDescent="0.25">
      <c r="A296" s="5">
        <v>44297</v>
      </c>
      <c r="B296">
        <v>0.53149999999999997</v>
      </c>
      <c r="C296">
        <v>0.53452</v>
      </c>
      <c r="D296">
        <v>0.46500000000000002</v>
      </c>
      <c r="E296">
        <v>0.51795000000000002</v>
      </c>
      <c r="F296">
        <v>68884219.299999997</v>
      </c>
      <c r="G296">
        <v>-2.5499999999999998</v>
      </c>
      <c r="L296" t="s">
        <v>7</v>
      </c>
      <c r="M296" t="s">
        <v>7</v>
      </c>
      <c r="N296" t="s">
        <v>7</v>
      </c>
      <c r="P296">
        <f t="shared" si="964"/>
        <v>0.52330264672036875</v>
      </c>
      <c r="Q296">
        <f t="shared" si="965"/>
        <v>36047294.276956305</v>
      </c>
      <c r="R296">
        <f t="shared" si="966"/>
        <v>-164359810.3519426</v>
      </c>
      <c r="S296">
        <f t="shared" si="967"/>
        <v>-1643.5981035194259</v>
      </c>
      <c r="T296">
        <f t="shared" si="968"/>
        <v>-1.6435981035194258</v>
      </c>
    </row>
    <row r="297" spans="1:20" x14ac:dyDescent="0.25">
      <c r="A297" s="5">
        <v>44296</v>
      </c>
      <c r="B297">
        <v>0.49896000000000001</v>
      </c>
      <c r="C297">
        <v>0.79</v>
      </c>
      <c r="D297">
        <v>0.49717</v>
      </c>
      <c r="E297">
        <v>0.53149000000000002</v>
      </c>
      <c r="F297">
        <v>459862836.30000001</v>
      </c>
      <c r="G297">
        <v>6.52</v>
      </c>
      <c r="L297" t="s">
        <v>8</v>
      </c>
      <c r="M297" t="s">
        <v>8</v>
      </c>
      <c r="N297" t="s">
        <v>8</v>
      </c>
      <c r="P297">
        <f t="shared" si="964"/>
        <v>-0.76559778711197612</v>
      </c>
      <c r="Q297">
        <f t="shared" si="965"/>
        <v>-352069969.84631693</v>
      </c>
      <c r="R297">
        <f t="shared" si="966"/>
        <v>-200407104.62889889</v>
      </c>
      <c r="S297">
        <f t="shared" si="967"/>
        <v>-2004.0710462889888</v>
      </c>
      <c r="T297">
        <f t="shared" si="968"/>
        <v>-2.0040710462889888</v>
      </c>
    </row>
    <row r="298" spans="1:20" x14ac:dyDescent="0.25">
      <c r="A298" s="5">
        <v>44295</v>
      </c>
      <c r="B298">
        <v>0.33990999999999999</v>
      </c>
      <c r="C298">
        <v>0.5454</v>
      </c>
      <c r="D298">
        <v>0.33278000000000002</v>
      </c>
      <c r="E298">
        <v>0.49897999999999998</v>
      </c>
      <c r="F298">
        <v>125804152.40000001</v>
      </c>
      <c r="G298">
        <v>46.8</v>
      </c>
      <c r="L298" t="s">
        <v>8</v>
      </c>
      <c r="M298" t="s">
        <v>8</v>
      </c>
      <c r="N298" t="s">
        <v>8</v>
      </c>
      <c r="P298">
        <f t="shared" si="964"/>
        <v>0.56335245978741399</v>
      </c>
      <c r="Q298">
        <f t="shared" si="965"/>
        <v>70872078.706010699</v>
      </c>
      <c r="R298">
        <f t="shared" si="966"/>
        <v>151662865.21741804</v>
      </c>
      <c r="S298">
        <f t="shared" si="967"/>
        <v>1516.6286521741804</v>
      </c>
      <c r="T298">
        <f t="shared" si="968"/>
        <v>1.5166286521741803</v>
      </c>
    </row>
    <row r="299" spans="1:20" x14ac:dyDescent="0.25">
      <c r="A299" s="5">
        <v>44294</v>
      </c>
      <c r="B299">
        <v>0.30286000000000002</v>
      </c>
      <c r="C299">
        <v>0.34182000000000001</v>
      </c>
      <c r="D299">
        <v>0.29283999999999999</v>
      </c>
      <c r="E299">
        <v>0.34064</v>
      </c>
      <c r="F299">
        <v>10831155.699999999</v>
      </c>
      <c r="G299">
        <v>12.47</v>
      </c>
      <c r="L299" t="s">
        <v>8</v>
      </c>
      <c r="M299" t="s">
        <v>8</v>
      </c>
      <c r="N299" t="s">
        <v>7</v>
      </c>
      <c r="P299">
        <f t="shared" si="964"/>
        <v>0.95181706819109779</v>
      </c>
      <c r="Q299">
        <f t="shared" si="965"/>
        <v>10309278.863495298</v>
      </c>
      <c r="R299">
        <f t="shared" si="966"/>
        <v>80790786.511407346</v>
      </c>
      <c r="S299">
        <f t="shared" si="967"/>
        <v>807.9078651140735</v>
      </c>
      <c r="T299">
        <f t="shared" si="968"/>
        <v>0.80790786511407353</v>
      </c>
    </row>
    <row r="300" spans="1:20" x14ac:dyDescent="0.25">
      <c r="A300" s="5">
        <v>44293</v>
      </c>
      <c r="B300">
        <v>0.35765999999999998</v>
      </c>
      <c r="C300">
        <v>0.35770999999999997</v>
      </c>
      <c r="D300">
        <v>0.26185000000000003</v>
      </c>
      <c r="E300">
        <v>0.30380000000000001</v>
      </c>
      <c r="F300">
        <v>18147818</v>
      </c>
      <c r="G300">
        <v>-15.06</v>
      </c>
      <c r="L300" t="s">
        <v>7</v>
      </c>
      <c r="M300" t="s">
        <v>7</v>
      </c>
      <c r="N300" t="s">
        <v>7</v>
      </c>
      <c r="P300">
        <f t="shared" si="964"/>
        <v>-0.12476528270394302</v>
      </c>
      <c r="Q300">
        <f t="shared" si="965"/>
        <v>-2264217.6432297057</v>
      </c>
      <c r="R300">
        <f t="shared" si="966"/>
        <v>70481507.64791204</v>
      </c>
      <c r="S300">
        <f t="shared" si="967"/>
        <v>704.81507647912042</v>
      </c>
      <c r="T300">
        <f t="shared" si="968"/>
        <v>0.70481507647912045</v>
      </c>
    </row>
    <row r="301" spans="1:20" x14ac:dyDescent="0.25">
      <c r="A301" s="5">
        <v>44292</v>
      </c>
      <c r="B301">
        <v>0.37502000000000002</v>
      </c>
      <c r="C301">
        <v>0.38129999999999997</v>
      </c>
      <c r="D301">
        <v>0.33729999999999999</v>
      </c>
      <c r="E301">
        <v>0.35765000000000002</v>
      </c>
      <c r="F301">
        <v>9479329.8000000007</v>
      </c>
      <c r="G301">
        <v>-4.63</v>
      </c>
      <c r="L301" t="s">
        <v>7</v>
      </c>
      <c r="M301" t="s">
        <v>7</v>
      </c>
      <c r="N301" t="s">
        <v>8</v>
      </c>
      <c r="P301">
        <f t="shared" si="964"/>
        <v>-7.4999999999998082E-2</v>
      </c>
      <c r="Q301">
        <f t="shared" si="965"/>
        <v>-710949.73499998183</v>
      </c>
      <c r="R301">
        <f t="shared" si="966"/>
        <v>72745725.291141748</v>
      </c>
      <c r="S301">
        <f t="shared" si="967"/>
        <v>727.45725291141753</v>
      </c>
      <c r="T301">
        <f t="shared" si="968"/>
        <v>0.7274572529114175</v>
      </c>
    </row>
    <row r="302" spans="1:20" x14ac:dyDescent="0.25">
      <c r="A302" s="5">
        <v>44291</v>
      </c>
      <c r="B302">
        <v>0.41596</v>
      </c>
      <c r="C302">
        <v>0.41969000000000001</v>
      </c>
      <c r="D302">
        <v>0.37087999999999999</v>
      </c>
      <c r="E302">
        <v>0.37511</v>
      </c>
      <c r="F302">
        <v>11707107.800000001</v>
      </c>
      <c r="G302">
        <v>-9.82</v>
      </c>
      <c r="L302" t="s">
        <v>7</v>
      </c>
      <c r="M302" t="s">
        <v>8</v>
      </c>
      <c r="N302" t="s">
        <v>8</v>
      </c>
      <c r="P302">
        <f t="shared" si="964"/>
        <v>-0.82667486170866589</v>
      </c>
      <c r="Q302">
        <f t="shared" si="965"/>
        <v>-9677971.7215734441</v>
      </c>
      <c r="R302">
        <f t="shared" si="966"/>
        <v>73456675.026141733</v>
      </c>
      <c r="S302">
        <f t="shared" si="967"/>
        <v>734.56675026141738</v>
      </c>
      <c r="T302">
        <f t="shared" si="968"/>
        <v>0.73456675026141738</v>
      </c>
    </row>
    <row r="303" spans="1:20" x14ac:dyDescent="0.25">
      <c r="A303" s="5">
        <v>44290</v>
      </c>
      <c r="B303">
        <v>0.36420000000000002</v>
      </c>
      <c r="C303">
        <v>0.43380999999999997</v>
      </c>
      <c r="D303">
        <v>0.36420000000000002</v>
      </c>
      <c r="E303">
        <v>0.41749999999999998</v>
      </c>
      <c r="F303">
        <v>26351692.5</v>
      </c>
      <c r="G303">
        <v>14.63</v>
      </c>
      <c r="L303" t="s">
        <v>8</v>
      </c>
      <c r="M303" t="s">
        <v>8</v>
      </c>
      <c r="N303" t="s">
        <v>8</v>
      </c>
      <c r="P303">
        <f t="shared" si="964"/>
        <v>0.53138916822295634</v>
      </c>
      <c r="Q303">
        <f t="shared" si="965"/>
        <v>14003003.958842117</v>
      </c>
      <c r="R303">
        <f t="shared" si="966"/>
        <v>83134646.747715175</v>
      </c>
      <c r="S303">
        <f t="shared" si="967"/>
        <v>831.3464674771518</v>
      </c>
      <c r="T303">
        <f t="shared" si="968"/>
        <v>0.8313464674771518</v>
      </c>
    </row>
    <row r="304" spans="1:20" x14ac:dyDescent="0.25">
      <c r="A304" s="5">
        <v>44289</v>
      </c>
      <c r="B304">
        <v>0.40638000000000002</v>
      </c>
      <c r="C304">
        <v>0.41308</v>
      </c>
      <c r="D304">
        <v>0.35499999999999998</v>
      </c>
      <c r="E304">
        <v>0.36273</v>
      </c>
      <c r="F304">
        <v>7426855.4000000004</v>
      </c>
      <c r="G304">
        <v>-10.74</v>
      </c>
      <c r="L304" t="s">
        <v>7</v>
      </c>
      <c r="M304" t="s">
        <v>7</v>
      </c>
      <c r="N304" t="s">
        <v>8</v>
      </c>
      <c r="P304">
        <f t="shared" si="964"/>
        <v>-0.73381542699724478</v>
      </c>
      <c r="Q304">
        <f t="shared" si="965"/>
        <v>-5449941.0665977933</v>
      </c>
      <c r="R304">
        <f t="shared" si="966"/>
        <v>69131642.788873062</v>
      </c>
      <c r="S304">
        <f t="shared" si="967"/>
        <v>691.31642788873057</v>
      </c>
      <c r="T304">
        <f t="shared" si="968"/>
        <v>0.6913164278887306</v>
      </c>
    </row>
    <row r="305" spans="1:20" x14ac:dyDescent="0.25">
      <c r="A305" s="5">
        <v>44288</v>
      </c>
      <c r="B305">
        <v>0.40381</v>
      </c>
      <c r="C305">
        <v>0.42509000000000002</v>
      </c>
      <c r="D305">
        <v>0.38294</v>
      </c>
      <c r="E305">
        <v>0.40634999999999999</v>
      </c>
      <c r="F305">
        <v>6716767.2000000002</v>
      </c>
      <c r="G305">
        <v>0.63</v>
      </c>
      <c r="L305" t="s">
        <v>7</v>
      </c>
      <c r="M305" t="s">
        <v>8</v>
      </c>
      <c r="N305" t="s">
        <v>8</v>
      </c>
      <c r="P305">
        <f t="shared" si="964"/>
        <v>0.11079478054566903</v>
      </c>
      <c r="Q305">
        <f t="shared" si="965"/>
        <v>744182.74790034792</v>
      </c>
      <c r="R305">
        <f t="shared" si="966"/>
        <v>74581583.855470851</v>
      </c>
      <c r="S305">
        <f t="shared" si="967"/>
        <v>745.81583855470853</v>
      </c>
      <c r="T305">
        <f t="shared" si="968"/>
        <v>0.74581583855470857</v>
      </c>
    </row>
    <row r="306" spans="1:20" x14ac:dyDescent="0.25">
      <c r="A306" s="5">
        <v>44287</v>
      </c>
      <c r="B306">
        <v>0.38119999999999998</v>
      </c>
      <c r="C306">
        <v>0.43</v>
      </c>
      <c r="D306">
        <v>0.38105</v>
      </c>
      <c r="E306">
        <v>0.40364</v>
      </c>
      <c r="F306">
        <v>13539592.699999999</v>
      </c>
      <c r="G306">
        <v>5.89</v>
      </c>
      <c r="L306" t="s">
        <v>8</v>
      </c>
      <c r="M306" t="s">
        <v>8</v>
      </c>
      <c r="N306" t="s">
        <v>8</v>
      </c>
      <c r="P306">
        <f t="shared" si="964"/>
        <v>-7.7017364657814016E-2</v>
      </c>
      <c r="Q306">
        <f t="shared" si="965"/>
        <v>-1042783.7482941767</v>
      </c>
      <c r="R306">
        <f t="shared" si="966"/>
        <v>73837401.107570499</v>
      </c>
      <c r="S306">
        <f t="shared" si="967"/>
        <v>738.37401107570497</v>
      </c>
      <c r="T306">
        <f t="shared" si="968"/>
        <v>0.73837401107570499</v>
      </c>
    </row>
    <row r="307" spans="1:20" x14ac:dyDescent="0.25">
      <c r="A307" s="5">
        <v>44286</v>
      </c>
      <c r="B307">
        <v>0.39876</v>
      </c>
      <c r="C307">
        <v>0.42681999999999998</v>
      </c>
      <c r="D307">
        <v>0.35471999999999998</v>
      </c>
      <c r="E307">
        <v>0.38241000000000003</v>
      </c>
      <c r="F307">
        <v>19614255.5</v>
      </c>
      <c r="G307">
        <v>-4.0999999999999996</v>
      </c>
      <c r="L307" t="s">
        <v>7</v>
      </c>
      <c r="M307" t="s">
        <v>7</v>
      </c>
      <c r="N307" t="s">
        <v>8</v>
      </c>
      <c r="P307">
        <f t="shared" si="964"/>
        <v>-0.23190013869625384</v>
      </c>
      <c r="Q307">
        <f t="shared" si="965"/>
        <v>-4548548.5708737597</v>
      </c>
      <c r="R307">
        <f t="shared" si="966"/>
        <v>74880184.855864674</v>
      </c>
      <c r="S307">
        <f t="shared" si="967"/>
        <v>748.80184855864672</v>
      </c>
      <c r="T307">
        <f t="shared" si="968"/>
        <v>0.74880184855864673</v>
      </c>
    </row>
    <row r="308" spans="1:20" x14ac:dyDescent="0.25">
      <c r="A308" s="5">
        <v>44285</v>
      </c>
      <c r="B308">
        <v>0.35404999999999998</v>
      </c>
      <c r="C308">
        <v>0.43837999999999999</v>
      </c>
      <c r="D308">
        <v>0.33868999999999999</v>
      </c>
      <c r="E308">
        <v>0.39928999999999998</v>
      </c>
      <c r="F308">
        <v>37345307</v>
      </c>
      <c r="G308">
        <v>12.78</v>
      </c>
      <c r="L308" t="s">
        <v>8</v>
      </c>
      <c r="M308" t="s">
        <v>8</v>
      </c>
      <c r="N308" t="s">
        <v>8</v>
      </c>
      <c r="P308">
        <f t="shared" si="964"/>
        <v>0.21576888353897053</v>
      </c>
      <c r="Q308">
        <f t="shared" si="965"/>
        <v>8057955.1968101012</v>
      </c>
      <c r="R308">
        <f t="shared" si="966"/>
        <v>79428733.426738441</v>
      </c>
      <c r="S308">
        <f t="shared" si="967"/>
        <v>794.28733426738438</v>
      </c>
      <c r="T308">
        <f t="shared" si="968"/>
        <v>0.7942873342673844</v>
      </c>
    </row>
    <row r="309" spans="1:20" x14ac:dyDescent="0.25">
      <c r="A309" s="5">
        <v>44284</v>
      </c>
      <c r="B309">
        <v>0.30963000000000002</v>
      </c>
      <c r="C309">
        <v>0.3715</v>
      </c>
      <c r="D309">
        <v>0.29601</v>
      </c>
      <c r="E309">
        <v>0.35311999999999999</v>
      </c>
      <c r="F309">
        <v>25785461.100000001</v>
      </c>
      <c r="G309">
        <v>14.05</v>
      </c>
      <c r="L309" t="s">
        <v>8</v>
      </c>
      <c r="M309" t="s">
        <v>8</v>
      </c>
      <c r="N309" t="s">
        <v>8</v>
      </c>
      <c r="P309">
        <f t="shared" si="964"/>
        <v>0.51304808583918382</v>
      </c>
      <c r="Q309">
        <f t="shared" si="965"/>
        <v>13229181.459835736</v>
      </c>
      <c r="R309">
        <f t="shared" si="966"/>
        <v>71370778.229928344</v>
      </c>
      <c r="S309">
        <f t="shared" si="967"/>
        <v>713.70778229928339</v>
      </c>
      <c r="T309">
        <f t="shared" si="968"/>
        <v>0.71370778229928344</v>
      </c>
    </row>
    <row r="310" spans="1:20" x14ac:dyDescent="0.25">
      <c r="A310" s="5">
        <v>44283</v>
      </c>
      <c r="B310">
        <v>0.29132999999999998</v>
      </c>
      <c r="C310">
        <v>0.32554</v>
      </c>
      <c r="D310">
        <v>0.28755999999999998</v>
      </c>
      <c r="E310">
        <v>0.30953000000000003</v>
      </c>
      <c r="F310">
        <v>17702290.800000001</v>
      </c>
      <c r="G310">
        <v>6.25</v>
      </c>
      <c r="L310" t="s">
        <v>8</v>
      </c>
      <c r="M310" t="s">
        <v>8</v>
      </c>
      <c r="N310" t="s">
        <v>8</v>
      </c>
      <c r="P310">
        <f t="shared" si="964"/>
        <v>0.15692469720905936</v>
      </c>
      <c r="Q310">
        <f t="shared" si="965"/>
        <v>2777926.6236967174</v>
      </c>
      <c r="R310">
        <f t="shared" si="966"/>
        <v>58141596.770092614</v>
      </c>
      <c r="S310">
        <f t="shared" si="967"/>
        <v>581.4159677009261</v>
      </c>
      <c r="T310">
        <f t="shared" si="968"/>
        <v>0.58141596770092607</v>
      </c>
    </row>
    <row r="311" spans="1:20" x14ac:dyDescent="0.25">
      <c r="A311" s="5">
        <v>44282</v>
      </c>
      <c r="B311">
        <v>0.26778999999999997</v>
      </c>
      <c r="C311">
        <v>0.29399999999999998</v>
      </c>
      <c r="D311">
        <v>0.26090999999999998</v>
      </c>
      <c r="E311">
        <v>0.29196</v>
      </c>
      <c r="F311">
        <v>12077015.699999999</v>
      </c>
      <c r="G311">
        <v>9.0299999999999994</v>
      </c>
      <c r="L311" t="s">
        <v>8</v>
      </c>
      <c r="M311" t="s">
        <v>8</v>
      </c>
      <c r="N311" t="s">
        <v>8</v>
      </c>
      <c r="P311">
        <f t="shared" si="964"/>
        <v>0.87669990933816955</v>
      </c>
      <c r="Q311">
        <f t="shared" si="965"/>
        <v>10587918.569265649</v>
      </c>
      <c r="R311">
        <f t="shared" si="966"/>
        <v>55363670.146395899</v>
      </c>
      <c r="S311">
        <f t="shared" si="967"/>
        <v>553.63670146395896</v>
      </c>
      <c r="T311">
        <f t="shared" si="968"/>
        <v>0.55363670146395894</v>
      </c>
    </row>
    <row r="312" spans="1:20" x14ac:dyDescent="0.25">
      <c r="A312" s="5">
        <v>44281</v>
      </c>
      <c r="B312">
        <v>0.24632000000000001</v>
      </c>
      <c r="C312">
        <v>0.26805000000000001</v>
      </c>
      <c r="D312">
        <v>0.245</v>
      </c>
      <c r="E312">
        <v>0.26634000000000002</v>
      </c>
      <c r="F312">
        <v>3432690.4</v>
      </c>
      <c r="G312">
        <v>8.1300000000000008</v>
      </c>
      <c r="L312" t="s">
        <v>8</v>
      </c>
      <c r="M312" t="s">
        <v>7</v>
      </c>
      <c r="N312" t="s">
        <v>8</v>
      </c>
      <c r="P312">
        <f t="shared" si="964"/>
        <v>0.8516268980477234</v>
      </c>
      <c r="Q312">
        <f t="shared" si="965"/>
        <v>2923371.4773101988</v>
      </c>
      <c r="R312">
        <f t="shared" si="966"/>
        <v>44775751.577130251</v>
      </c>
      <c r="S312">
        <f t="shared" si="967"/>
        <v>447.75751577130251</v>
      </c>
      <c r="T312">
        <f t="shared" si="968"/>
        <v>0.44775751577130252</v>
      </c>
    </row>
    <row r="313" spans="1:20" x14ac:dyDescent="0.25">
      <c r="A313" s="5">
        <v>44280</v>
      </c>
      <c r="B313">
        <v>0.25921</v>
      </c>
      <c r="C313">
        <v>0.26474999999999999</v>
      </c>
      <c r="D313">
        <v>0.23241000000000001</v>
      </c>
      <c r="E313">
        <v>0.24812999999999999</v>
      </c>
      <c r="F313">
        <v>6968103.7000000002</v>
      </c>
      <c r="G313">
        <v>-4.2699999999999996</v>
      </c>
      <c r="L313" t="s">
        <v>7</v>
      </c>
      <c r="M313" t="s">
        <v>7</v>
      </c>
      <c r="N313" t="s">
        <v>8</v>
      </c>
      <c r="P313">
        <f t="shared" si="964"/>
        <v>-2.7829313543599642E-2</v>
      </c>
      <c r="Q313">
        <f t="shared" si="965"/>
        <v>-193917.54267161677</v>
      </c>
      <c r="R313">
        <f t="shared" si="966"/>
        <v>41852380.099820055</v>
      </c>
      <c r="S313">
        <f t="shared" si="967"/>
        <v>418.52380099820056</v>
      </c>
      <c r="T313">
        <f t="shared" si="968"/>
        <v>0.41852380099820058</v>
      </c>
    </row>
    <row r="314" spans="1:20" x14ac:dyDescent="0.25">
      <c r="A314" s="5">
        <v>44279</v>
      </c>
      <c r="B314">
        <v>0.29526999999999998</v>
      </c>
      <c r="C314">
        <v>0.30367</v>
      </c>
      <c r="D314">
        <v>0.25302999999999998</v>
      </c>
      <c r="E314">
        <v>0.26038</v>
      </c>
      <c r="F314">
        <v>6386165.0999999996</v>
      </c>
      <c r="G314">
        <v>-11.82</v>
      </c>
      <c r="L314" t="s">
        <v>8</v>
      </c>
      <c r="M314" t="s">
        <v>8</v>
      </c>
      <c r="N314" t="s">
        <v>8</v>
      </c>
      <c r="P314">
        <f t="shared" si="964"/>
        <v>-0.70971563981042574</v>
      </c>
      <c r="Q314">
        <f t="shared" si="965"/>
        <v>-4532361.2498815116</v>
      </c>
      <c r="R314">
        <f t="shared" si="966"/>
        <v>42046297.642491668</v>
      </c>
      <c r="S314">
        <f t="shared" si="967"/>
        <v>420.46297642491669</v>
      </c>
      <c r="T314">
        <f t="shared" si="968"/>
        <v>0.4204629764249167</v>
      </c>
    </row>
    <row r="315" spans="1:20" x14ac:dyDescent="0.25">
      <c r="A315" s="5">
        <v>44278</v>
      </c>
      <c r="B315">
        <v>0.28127000000000002</v>
      </c>
      <c r="C315">
        <v>0.29546</v>
      </c>
      <c r="D315">
        <v>0.25469999999999998</v>
      </c>
      <c r="E315">
        <v>0.29536000000000001</v>
      </c>
      <c r="F315">
        <v>7557255</v>
      </c>
      <c r="G315">
        <v>5.01</v>
      </c>
      <c r="L315" t="s">
        <v>7</v>
      </c>
      <c r="M315" t="s">
        <v>7</v>
      </c>
      <c r="N315" t="s">
        <v>8</v>
      </c>
      <c r="P315">
        <f t="shared" si="964"/>
        <v>0.99509322865554517</v>
      </c>
      <c r="Q315">
        <f t="shared" si="965"/>
        <v>7520173.2777232621</v>
      </c>
      <c r="R315">
        <f t="shared" si="966"/>
        <v>46578658.892373182</v>
      </c>
      <c r="S315">
        <f t="shared" si="967"/>
        <v>465.78658892373181</v>
      </c>
      <c r="T315">
        <f t="shared" si="968"/>
        <v>0.46578658892373181</v>
      </c>
    </row>
    <row r="316" spans="1:20" x14ac:dyDescent="0.25">
      <c r="A316" s="5">
        <v>44277</v>
      </c>
      <c r="B316">
        <v>0.27755999999999997</v>
      </c>
      <c r="C316">
        <v>0.30499999999999999</v>
      </c>
      <c r="D316">
        <v>0.26497999999999999</v>
      </c>
      <c r="E316">
        <v>0.28000999999999998</v>
      </c>
      <c r="F316">
        <v>9596219.5</v>
      </c>
      <c r="G316">
        <v>0.88</v>
      </c>
      <c r="L316" t="s">
        <v>8</v>
      </c>
      <c r="M316" t="s">
        <v>7</v>
      </c>
      <c r="N316" t="s">
        <v>8</v>
      </c>
      <c r="P316">
        <f t="shared" si="964"/>
        <v>-0.24887556221889118</v>
      </c>
      <c r="Q316">
        <f t="shared" si="965"/>
        <v>-2388264.523238387</v>
      </c>
      <c r="R316">
        <f t="shared" si="966"/>
        <v>39058485.614649922</v>
      </c>
      <c r="S316">
        <f t="shared" si="967"/>
        <v>390.58485614649919</v>
      </c>
      <c r="T316">
        <f t="shared" si="968"/>
        <v>0.39058485614649918</v>
      </c>
    </row>
    <row r="317" spans="1:20" x14ac:dyDescent="0.25">
      <c r="A317" s="5">
        <v>44276</v>
      </c>
      <c r="B317">
        <v>0.26732</v>
      </c>
      <c r="C317">
        <v>0.28998000000000002</v>
      </c>
      <c r="D317">
        <v>0.26097999999999999</v>
      </c>
      <c r="E317">
        <v>0.27789000000000003</v>
      </c>
      <c r="F317">
        <v>7629350.7000000002</v>
      </c>
      <c r="G317">
        <v>3.95</v>
      </c>
      <c r="L317" t="s">
        <v>7</v>
      </c>
      <c r="M317" t="s">
        <v>7</v>
      </c>
      <c r="N317" t="s">
        <v>8</v>
      </c>
      <c r="P317">
        <f t="shared" si="964"/>
        <v>0.1662068965517256</v>
      </c>
      <c r="Q317">
        <f t="shared" si="965"/>
        <v>1268050.7025517353</v>
      </c>
      <c r="R317">
        <f t="shared" si="966"/>
        <v>41446750.137888312</v>
      </c>
      <c r="S317">
        <f t="shared" si="967"/>
        <v>414.46750137888313</v>
      </c>
      <c r="T317">
        <f t="shared" si="968"/>
        <v>0.41446750137888311</v>
      </c>
    </row>
    <row r="318" spans="1:20" x14ac:dyDescent="0.25">
      <c r="A318" s="5">
        <v>44275</v>
      </c>
      <c r="B318">
        <v>0.27786</v>
      </c>
      <c r="C318">
        <v>0.315</v>
      </c>
      <c r="D318">
        <v>0.26545000000000002</v>
      </c>
      <c r="E318">
        <v>0.26751000000000003</v>
      </c>
      <c r="F318">
        <v>31998112.600000001</v>
      </c>
      <c r="G318">
        <v>-3.72</v>
      </c>
      <c r="L318" t="s">
        <v>8</v>
      </c>
      <c r="M318" t="s">
        <v>8</v>
      </c>
      <c r="N318" t="s">
        <v>8</v>
      </c>
      <c r="P318">
        <f t="shared" si="964"/>
        <v>-0.91685166498486348</v>
      </c>
      <c r="Q318">
        <f t="shared" si="965"/>
        <v>-29337522.813683141</v>
      </c>
      <c r="R318">
        <f t="shared" si="966"/>
        <v>40178699.435336575</v>
      </c>
      <c r="S318">
        <f t="shared" si="967"/>
        <v>401.78699435336574</v>
      </c>
      <c r="T318">
        <f t="shared" si="968"/>
        <v>0.40178699435336573</v>
      </c>
    </row>
    <row r="319" spans="1:20" x14ac:dyDescent="0.25">
      <c r="A319" s="5">
        <v>44274</v>
      </c>
      <c r="B319">
        <v>0.27109</v>
      </c>
      <c r="C319">
        <v>0.28221000000000002</v>
      </c>
      <c r="D319">
        <v>0.25691000000000003</v>
      </c>
      <c r="E319">
        <v>0.27796999999999999</v>
      </c>
      <c r="F319">
        <v>6684477.7999999998</v>
      </c>
      <c r="G319">
        <v>2.54</v>
      </c>
      <c r="L319" t="s">
        <v>8</v>
      </c>
      <c r="M319" t="s">
        <v>8</v>
      </c>
      <c r="N319" t="s">
        <v>8</v>
      </c>
      <c r="P319">
        <f t="shared" si="964"/>
        <v>0.66482213438734994</v>
      </c>
      <c r="Q319">
        <f t="shared" si="965"/>
        <v>4443988.7982608574</v>
      </c>
      <c r="R319">
        <f t="shared" si="966"/>
        <v>69516222.249019712</v>
      </c>
      <c r="S319">
        <f t="shared" si="967"/>
        <v>695.16222249019711</v>
      </c>
      <c r="T319">
        <f t="shared" si="968"/>
        <v>0.6951622224901971</v>
      </c>
    </row>
    <row r="320" spans="1:20" x14ac:dyDescent="0.25">
      <c r="A320" s="5">
        <v>44273</v>
      </c>
      <c r="B320">
        <v>0.26390999999999998</v>
      </c>
      <c r="C320">
        <v>0.27922000000000002</v>
      </c>
      <c r="D320">
        <v>0.25584000000000001</v>
      </c>
      <c r="E320">
        <v>0.27109</v>
      </c>
      <c r="F320">
        <v>10628302.1</v>
      </c>
      <c r="G320">
        <v>2.72</v>
      </c>
      <c r="L320" t="s">
        <v>7</v>
      </c>
      <c r="M320" t="s">
        <v>8</v>
      </c>
      <c r="N320" t="s">
        <v>8</v>
      </c>
      <c r="P320">
        <f t="shared" si="964"/>
        <v>0.30453378956372779</v>
      </c>
      <c r="Q320">
        <f t="shared" si="965"/>
        <v>3236677.1151411259</v>
      </c>
      <c r="R320">
        <f t="shared" si="966"/>
        <v>65072233.450758852</v>
      </c>
      <c r="S320">
        <f t="shared" si="967"/>
        <v>650.72233450758847</v>
      </c>
      <c r="T320">
        <f t="shared" si="968"/>
        <v>0.65072233450758843</v>
      </c>
    </row>
    <row r="321" spans="1:20" x14ac:dyDescent="0.25">
      <c r="A321" s="5">
        <v>44272</v>
      </c>
      <c r="B321">
        <v>0.24787000000000001</v>
      </c>
      <c r="C321">
        <v>0.28799999999999998</v>
      </c>
      <c r="D321">
        <v>0.24371999999999999</v>
      </c>
      <c r="E321">
        <v>0.26394000000000001</v>
      </c>
      <c r="F321">
        <v>22563472.199999999</v>
      </c>
      <c r="G321">
        <v>6.48</v>
      </c>
      <c r="L321" t="s">
        <v>8</v>
      </c>
      <c r="M321" t="s">
        <v>8</v>
      </c>
      <c r="N321" t="s">
        <v>8</v>
      </c>
      <c r="P321">
        <f t="shared" si="964"/>
        <v>-8.6720867208671087E-2</v>
      </c>
      <c r="Q321">
        <f t="shared" si="965"/>
        <v>-1956723.8764227417</v>
      </c>
      <c r="R321">
        <f t="shared" si="966"/>
        <v>61835556.335617729</v>
      </c>
      <c r="S321">
        <f t="shared" si="967"/>
        <v>618.3555633561773</v>
      </c>
      <c r="T321">
        <f t="shared" si="968"/>
        <v>0.61835556335617725</v>
      </c>
    </row>
    <row r="322" spans="1:20" x14ac:dyDescent="0.25">
      <c r="A322" s="5">
        <v>44271</v>
      </c>
      <c r="B322">
        <v>0.24367</v>
      </c>
      <c r="C322">
        <v>0.24998999999999999</v>
      </c>
      <c r="D322">
        <v>0.22591</v>
      </c>
      <c r="E322">
        <v>0.24787000000000001</v>
      </c>
      <c r="F322">
        <v>6045006.2999999998</v>
      </c>
      <c r="G322">
        <v>1.72</v>
      </c>
      <c r="L322" t="s">
        <v>8</v>
      </c>
      <c r="M322" t="s">
        <v>7</v>
      </c>
      <c r="N322" t="s">
        <v>8</v>
      </c>
      <c r="P322">
        <f t="shared" si="964"/>
        <v>0.82392026578073219</v>
      </c>
      <c r="Q322">
        <f t="shared" si="965"/>
        <v>4980603.1973422002</v>
      </c>
      <c r="R322">
        <f t="shared" si="966"/>
        <v>63792280.212040469</v>
      </c>
      <c r="S322">
        <f t="shared" si="967"/>
        <v>637.92280212040464</v>
      </c>
      <c r="T322">
        <f t="shared" si="968"/>
        <v>0.63792280212040464</v>
      </c>
    </row>
    <row r="323" spans="1:20" x14ac:dyDescent="0.25">
      <c r="A323" s="5">
        <v>44270</v>
      </c>
      <c r="B323">
        <v>0.25176999999999999</v>
      </c>
      <c r="C323">
        <v>0.26473999999999998</v>
      </c>
      <c r="D323">
        <v>0.22606999999999999</v>
      </c>
      <c r="E323">
        <v>0.24315000000000001</v>
      </c>
      <c r="F323">
        <v>7381601.7999999998</v>
      </c>
      <c r="G323">
        <v>-3.42</v>
      </c>
      <c r="L323" t="s">
        <v>7</v>
      </c>
      <c r="M323" t="s">
        <v>7</v>
      </c>
      <c r="N323" t="s">
        <v>8</v>
      </c>
      <c r="P323">
        <f t="shared" si="964"/>
        <v>-0.11662787690716216</v>
      </c>
      <c r="Q323">
        <f t="shared" si="965"/>
        <v>-860900.54610808659</v>
      </c>
      <c r="R323">
        <f t="shared" si="966"/>
        <v>58811677.014698267</v>
      </c>
      <c r="S323">
        <f t="shared" si="967"/>
        <v>588.11677014698262</v>
      </c>
      <c r="T323">
        <f t="shared" si="968"/>
        <v>0.5881167701469826</v>
      </c>
    </row>
    <row r="324" spans="1:20" x14ac:dyDescent="0.25">
      <c r="A324" s="5">
        <v>44269</v>
      </c>
      <c r="B324">
        <v>0.23250000000000001</v>
      </c>
      <c r="C324">
        <v>0.28410000000000002</v>
      </c>
      <c r="D324">
        <v>0.23003000000000001</v>
      </c>
      <c r="E324">
        <v>0.25248999999999999</v>
      </c>
      <c r="F324">
        <v>16548457.4</v>
      </c>
      <c r="G324">
        <v>8.6</v>
      </c>
      <c r="L324" t="s">
        <v>8</v>
      </c>
      <c r="M324" t="s">
        <v>8</v>
      </c>
      <c r="N324" t="s">
        <v>8</v>
      </c>
      <c r="P324">
        <f t="shared" si="964"/>
        <v>-0.16922507860181332</v>
      </c>
      <c r="Q324">
        <f t="shared" si="965"/>
        <v>-2800414.0042537595</v>
      </c>
      <c r="R324">
        <f t="shared" si="966"/>
        <v>59672577.560806356</v>
      </c>
      <c r="S324">
        <f t="shared" si="967"/>
        <v>596.7257756080636</v>
      </c>
      <c r="T324">
        <f t="shared" si="968"/>
        <v>0.59672577560806361</v>
      </c>
    </row>
    <row r="325" spans="1:20" x14ac:dyDescent="0.25">
      <c r="A325" s="5">
        <v>44268</v>
      </c>
      <c r="B325">
        <v>0.22797000000000001</v>
      </c>
      <c r="C325">
        <v>0.24765000000000001</v>
      </c>
      <c r="D325">
        <v>0.214</v>
      </c>
      <c r="E325">
        <v>0.23177</v>
      </c>
      <c r="F325">
        <v>12021082.800000001</v>
      </c>
      <c r="G325">
        <v>1.67</v>
      </c>
      <c r="L325" t="s">
        <v>8</v>
      </c>
      <c r="M325" t="s">
        <v>8</v>
      </c>
      <c r="N325" t="s">
        <v>8</v>
      </c>
      <c r="P325">
        <f t="shared" si="964"/>
        <v>5.6166419019316557E-2</v>
      </c>
      <c r="Q325">
        <f t="shared" si="965"/>
        <v>675181.17361069913</v>
      </c>
      <c r="R325">
        <f t="shared" si="966"/>
        <v>62472991.565060116</v>
      </c>
      <c r="S325">
        <f t="shared" si="967"/>
        <v>624.72991565060113</v>
      </c>
      <c r="T325">
        <f t="shared" si="968"/>
        <v>0.6247299156506011</v>
      </c>
    </row>
    <row r="326" spans="1:20" x14ac:dyDescent="0.25">
      <c r="A326" s="5">
        <v>44267</v>
      </c>
      <c r="B326">
        <v>0.21708</v>
      </c>
      <c r="C326">
        <v>0.23871000000000001</v>
      </c>
      <c r="D326">
        <v>0.21</v>
      </c>
      <c r="E326">
        <v>0.22738</v>
      </c>
      <c r="F326">
        <v>8954374.9000000004</v>
      </c>
      <c r="G326">
        <v>4.74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0.21072796934865889</v>
      </c>
      <c r="Q326">
        <f t="shared" ref="Q326:Q389" si="970">F326*P326</f>
        <v>1886937.2394636006</v>
      </c>
      <c r="R326">
        <f t="shared" ref="R326:R389" si="971">R327+Q326</f>
        <v>61797810.391449414</v>
      </c>
      <c r="S326">
        <f t="shared" ref="S326:S389" si="972">R326/100000</f>
        <v>617.97810391449411</v>
      </c>
      <c r="T326">
        <f t="shared" ref="T326:T389" si="973">S326/1000</f>
        <v>0.61797810391449415</v>
      </c>
    </row>
    <row r="327" spans="1:20" x14ac:dyDescent="0.25">
      <c r="A327" s="5">
        <v>44266</v>
      </c>
      <c r="B327">
        <v>0.21523999999999999</v>
      </c>
      <c r="C327">
        <v>0.21884999999999999</v>
      </c>
      <c r="D327">
        <v>0.20280999999999999</v>
      </c>
      <c r="E327">
        <v>0.21708</v>
      </c>
      <c r="F327">
        <v>4508889.3</v>
      </c>
      <c r="G327">
        <v>0.85</v>
      </c>
      <c r="L327" t="s">
        <v>7</v>
      </c>
      <c r="M327" t="s">
        <v>8</v>
      </c>
      <c r="N327" t="s">
        <v>8</v>
      </c>
      <c r="P327">
        <f t="shared" si="969"/>
        <v>0.77930174563591093</v>
      </c>
      <c r="Q327">
        <f t="shared" si="970"/>
        <v>3513785.3023690805</v>
      </c>
      <c r="R327">
        <f t="shared" si="971"/>
        <v>59910873.151985817</v>
      </c>
      <c r="S327">
        <f t="shared" si="972"/>
        <v>599.10873151985811</v>
      </c>
      <c r="T327">
        <f t="shared" si="973"/>
        <v>0.59910873151985811</v>
      </c>
    </row>
    <row r="328" spans="1:20" x14ac:dyDescent="0.25">
      <c r="A328" s="5">
        <v>44265</v>
      </c>
      <c r="B328">
        <v>0.22747999999999999</v>
      </c>
      <c r="C328">
        <v>0.22997000000000001</v>
      </c>
      <c r="D328">
        <v>0.20763000000000001</v>
      </c>
      <c r="E328">
        <v>0.21539</v>
      </c>
      <c r="F328">
        <v>7581565</v>
      </c>
      <c r="G328">
        <v>-5.31</v>
      </c>
      <c r="L328" t="s">
        <v>7</v>
      </c>
      <c r="M328" t="s">
        <v>8</v>
      </c>
      <c r="N328" t="s">
        <v>8</v>
      </c>
      <c r="P328">
        <f t="shared" si="969"/>
        <v>-0.30528200537153183</v>
      </c>
      <c r="Q328">
        <f t="shared" si="970"/>
        <v>-2314515.3670546175</v>
      </c>
      <c r="R328">
        <f t="shared" si="971"/>
        <v>56397087.849616736</v>
      </c>
      <c r="S328">
        <f t="shared" si="972"/>
        <v>563.97087849616742</v>
      </c>
      <c r="T328">
        <f t="shared" si="973"/>
        <v>0.56397087849616745</v>
      </c>
    </row>
    <row r="329" spans="1:20" x14ac:dyDescent="0.25">
      <c r="A329" s="5">
        <v>44264</v>
      </c>
      <c r="B329">
        <v>0.20630999999999999</v>
      </c>
      <c r="C329">
        <v>0.24207000000000001</v>
      </c>
      <c r="D329">
        <v>0.19853000000000001</v>
      </c>
      <c r="E329">
        <v>0.22661999999999999</v>
      </c>
      <c r="F329">
        <v>12175888.300000001</v>
      </c>
      <c r="G329">
        <v>9.84</v>
      </c>
      <c r="L329" t="s">
        <v>8</v>
      </c>
      <c r="M329" t="s">
        <v>8</v>
      </c>
      <c r="N329" t="s">
        <v>8</v>
      </c>
      <c r="P329">
        <f t="shared" si="969"/>
        <v>0.29030776297657229</v>
      </c>
      <c r="Q329">
        <f t="shared" si="970"/>
        <v>3534754.89462562</v>
      </c>
      <c r="R329">
        <f t="shared" si="971"/>
        <v>58711603.216671355</v>
      </c>
      <c r="S329">
        <f t="shared" si="972"/>
        <v>587.11603216671358</v>
      </c>
      <c r="T329">
        <f t="shared" si="973"/>
        <v>0.5871160321667136</v>
      </c>
    </row>
    <row r="330" spans="1:20" x14ac:dyDescent="0.25">
      <c r="A330" s="5">
        <v>44263</v>
      </c>
      <c r="B330">
        <v>0.20666000000000001</v>
      </c>
      <c r="C330">
        <v>0.20705000000000001</v>
      </c>
      <c r="D330">
        <v>0.19195999999999999</v>
      </c>
      <c r="E330">
        <v>0.20630999999999999</v>
      </c>
      <c r="F330">
        <v>4453633.5999999996</v>
      </c>
      <c r="G330">
        <v>-0.17</v>
      </c>
      <c r="L330" t="s">
        <v>7</v>
      </c>
      <c r="M330" t="s">
        <v>8</v>
      </c>
      <c r="N330" t="s">
        <v>8</v>
      </c>
      <c r="P330">
        <f t="shared" si="969"/>
        <v>0.90192180251822163</v>
      </c>
      <c r="Q330">
        <f t="shared" si="970"/>
        <v>4016829.2442677161</v>
      </c>
      <c r="R330">
        <f t="shared" si="971"/>
        <v>55176848.322045736</v>
      </c>
      <c r="S330">
        <f t="shared" si="972"/>
        <v>551.76848322045737</v>
      </c>
      <c r="T330">
        <f t="shared" si="973"/>
        <v>0.55176848322045735</v>
      </c>
    </row>
    <row r="331" spans="1:20" x14ac:dyDescent="0.25">
      <c r="A331" s="5">
        <v>44262</v>
      </c>
      <c r="B331">
        <v>0.20663000000000001</v>
      </c>
      <c r="C331">
        <v>0.21067</v>
      </c>
      <c r="D331">
        <v>0.19699</v>
      </c>
      <c r="E331">
        <v>0.20594999999999999</v>
      </c>
      <c r="F331">
        <v>4360990.5</v>
      </c>
      <c r="G331">
        <v>-0.33</v>
      </c>
      <c r="L331" t="s">
        <v>8</v>
      </c>
      <c r="M331" t="s">
        <v>8</v>
      </c>
      <c r="N331" t="s">
        <v>8</v>
      </c>
      <c r="P331">
        <f t="shared" si="969"/>
        <v>0.30994152046783585</v>
      </c>
      <c r="Q331">
        <f t="shared" si="970"/>
        <v>1351652.0263157878</v>
      </c>
      <c r="R331">
        <f t="shared" si="971"/>
        <v>51160019.077778019</v>
      </c>
      <c r="S331">
        <f t="shared" si="972"/>
        <v>511.6001907777802</v>
      </c>
      <c r="T331">
        <f t="shared" si="973"/>
        <v>0.51160019077778018</v>
      </c>
    </row>
    <row r="332" spans="1:20" x14ac:dyDescent="0.25">
      <c r="A332" s="5">
        <v>44261</v>
      </c>
      <c r="B332">
        <v>0.21324000000000001</v>
      </c>
      <c r="C332">
        <v>0.21429999999999999</v>
      </c>
      <c r="D332">
        <v>0.19039</v>
      </c>
      <c r="E332">
        <v>0.20644000000000001</v>
      </c>
      <c r="F332">
        <v>8692338.5999999996</v>
      </c>
      <c r="G332">
        <v>-3.19</v>
      </c>
      <c r="L332" t="s">
        <v>7</v>
      </c>
      <c r="M332" t="s">
        <v>8</v>
      </c>
      <c r="N332" t="s">
        <v>8</v>
      </c>
      <c r="P332">
        <f t="shared" si="969"/>
        <v>0.34253450439146949</v>
      </c>
      <c r="Q332">
        <f t="shared" si="970"/>
        <v>2977425.8943538396</v>
      </c>
      <c r="R332">
        <f t="shared" si="971"/>
        <v>49808367.051462233</v>
      </c>
      <c r="S332">
        <f t="shared" si="972"/>
        <v>498.08367051462233</v>
      </c>
      <c r="T332">
        <f t="shared" si="973"/>
        <v>0.49808367051462232</v>
      </c>
    </row>
    <row r="333" spans="1:20" x14ac:dyDescent="0.25">
      <c r="A333" s="5">
        <v>44260</v>
      </c>
      <c r="B333">
        <v>0.18715999999999999</v>
      </c>
      <c r="C333">
        <v>0.21631</v>
      </c>
      <c r="D333">
        <v>0.17258000000000001</v>
      </c>
      <c r="E333">
        <v>0.21326999999999999</v>
      </c>
      <c r="F333">
        <v>11966468.9</v>
      </c>
      <c r="G333">
        <v>13.95</v>
      </c>
      <c r="L333" t="s">
        <v>8</v>
      </c>
      <c r="M333" t="s">
        <v>8</v>
      </c>
      <c r="N333" t="s">
        <v>8</v>
      </c>
      <c r="P333">
        <f t="shared" si="969"/>
        <v>0.86096501257717739</v>
      </c>
      <c r="Q333">
        <f t="shared" si="970"/>
        <v>10302711.046992902</v>
      </c>
      <c r="R333">
        <f t="shared" si="971"/>
        <v>46830941.157108396</v>
      </c>
      <c r="S333">
        <f t="shared" si="972"/>
        <v>468.30941157108396</v>
      </c>
      <c r="T333">
        <f t="shared" si="973"/>
        <v>0.46830941157108397</v>
      </c>
    </row>
    <row r="334" spans="1:20" x14ac:dyDescent="0.25">
      <c r="A334" s="5">
        <v>44259</v>
      </c>
      <c r="B334">
        <v>0.18243000000000001</v>
      </c>
      <c r="C334">
        <v>0.19270000000000001</v>
      </c>
      <c r="D334">
        <v>0.17299</v>
      </c>
      <c r="E334">
        <v>0.18758</v>
      </c>
      <c r="F334">
        <v>8362394</v>
      </c>
      <c r="G334">
        <v>2.82</v>
      </c>
      <c r="L334" t="s">
        <v>7</v>
      </c>
      <c r="M334" t="s">
        <v>8</v>
      </c>
      <c r="N334" t="s">
        <v>8</v>
      </c>
      <c r="P334">
        <f t="shared" si="969"/>
        <v>0.48046676813799977</v>
      </c>
      <c r="Q334">
        <f t="shared" si="970"/>
        <v>4017852.4190766006</v>
      </c>
      <c r="R334">
        <f t="shared" si="971"/>
        <v>36528230.110115491</v>
      </c>
      <c r="S334">
        <f t="shared" si="972"/>
        <v>365.28230110115493</v>
      </c>
      <c r="T334">
        <f t="shared" si="973"/>
        <v>0.36528230110115495</v>
      </c>
    </row>
    <row r="335" spans="1:20" x14ac:dyDescent="0.25">
      <c r="A335" s="5">
        <v>44258</v>
      </c>
      <c r="B335">
        <v>0.17163999999999999</v>
      </c>
      <c r="C335">
        <v>0.19089999999999999</v>
      </c>
      <c r="D335">
        <v>0.16819999999999999</v>
      </c>
      <c r="E335">
        <v>0.18262</v>
      </c>
      <c r="F335">
        <v>12613245.1</v>
      </c>
      <c r="G335">
        <v>6.4</v>
      </c>
      <c r="L335" t="s">
        <v>8</v>
      </c>
      <c r="M335" t="s">
        <v>8</v>
      </c>
      <c r="N335" t="s">
        <v>8</v>
      </c>
      <c r="P335">
        <f t="shared" si="969"/>
        <v>0.27048458149779891</v>
      </c>
      <c r="Q335">
        <f t="shared" si="970"/>
        <v>3411688.3222026629</v>
      </c>
      <c r="R335">
        <f t="shared" si="971"/>
        <v>32510377.691038892</v>
      </c>
      <c r="S335">
        <f t="shared" si="972"/>
        <v>325.10377691038894</v>
      </c>
      <c r="T335">
        <f t="shared" si="973"/>
        <v>0.32510377691038894</v>
      </c>
    </row>
    <row r="336" spans="1:20" x14ac:dyDescent="0.25">
      <c r="A336" s="5">
        <v>44257</v>
      </c>
      <c r="B336">
        <v>0.1759</v>
      </c>
      <c r="C336">
        <v>0.17731</v>
      </c>
      <c r="D336">
        <v>0.16331999999999999</v>
      </c>
      <c r="E336">
        <v>0.17158999999999999</v>
      </c>
      <c r="F336">
        <v>5237383</v>
      </c>
      <c r="G336">
        <v>-2.4500000000000002</v>
      </c>
      <c r="L336" t="s">
        <v>7</v>
      </c>
      <c r="M336" t="s">
        <v>7</v>
      </c>
      <c r="N336" t="s">
        <v>8</v>
      </c>
      <c r="P336">
        <f t="shared" si="969"/>
        <v>0.1822730521801284</v>
      </c>
      <c r="Q336">
        <f t="shared" si="970"/>
        <v>954633.78484631749</v>
      </c>
      <c r="R336">
        <f t="shared" si="971"/>
        <v>29098689.368836228</v>
      </c>
      <c r="S336">
        <f t="shared" si="972"/>
        <v>290.98689368836227</v>
      </c>
      <c r="T336">
        <f t="shared" si="973"/>
        <v>0.29098689368836228</v>
      </c>
    </row>
    <row r="337" spans="1:20" x14ac:dyDescent="0.25">
      <c r="A337" s="5">
        <v>44256</v>
      </c>
      <c r="B337">
        <v>0.15675</v>
      </c>
      <c r="C337">
        <v>0.20547000000000001</v>
      </c>
      <c r="D337">
        <v>0.15658</v>
      </c>
      <c r="E337">
        <v>0.17494000000000001</v>
      </c>
      <c r="F337">
        <v>20902331.300000001</v>
      </c>
      <c r="G337">
        <v>11.6</v>
      </c>
      <c r="L337" t="s">
        <v>8</v>
      </c>
      <c r="M337" t="s">
        <v>8</v>
      </c>
      <c r="N337" t="s">
        <v>8</v>
      </c>
      <c r="P337">
        <f t="shared" si="969"/>
        <v>-0.24892616076907306</v>
      </c>
      <c r="Q337">
        <f t="shared" si="970"/>
        <v>-5203137.0816322286</v>
      </c>
      <c r="R337">
        <f t="shared" si="971"/>
        <v>28144055.583989911</v>
      </c>
      <c r="S337">
        <f t="shared" si="972"/>
        <v>281.4405558398991</v>
      </c>
      <c r="T337">
        <f t="shared" si="973"/>
        <v>0.28144055583989913</v>
      </c>
    </row>
    <row r="338" spans="1:20" x14ac:dyDescent="0.25">
      <c r="A338" s="5">
        <v>44255</v>
      </c>
      <c r="B338">
        <v>0.16397999999999999</v>
      </c>
      <c r="C338">
        <v>0.17488000000000001</v>
      </c>
      <c r="D338">
        <v>0.14021</v>
      </c>
      <c r="E338">
        <v>0.15629000000000001</v>
      </c>
      <c r="F338">
        <v>7305490.5</v>
      </c>
      <c r="G338">
        <v>-4.6900000000000004</v>
      </c>
      <c r="L338" t="s">
        <v>8</v>
      </c>
      <c r="M338" t="s">
        <v>8</v>
      </c>
      <c r="N338" t="s">
        <v>8</v>
      </c>
      <c r="P338">
        <f t="shared" si="969"/>
        <v>-7.2396884914911572E-2</v>
      </c>
      <c r="Q338">
        <f t="shared" si="970"/>
        <v>-528894.75497547979</v>
      </c>
      <c r="R338">
        <f t="shared" si="971"/>
        <v>33347192.665622141</v>
      </c>
      <c r="S338">
        <f t="shared" si="972"/>
        <v>333.4719266562214</v>
      </c>
      <c r="T338">
        <f t="shared" si="973"/>
        <v>0.33347192665622138</v>
      </c>
    </row>
    <row r="339" spans="1:20" x14ac:dyDescent="0.25">
      <c r="A339" s="5">
        <v>44254</v>
      </c>
      <c r="B339">
        <v>0.15312000000000001</v>
      </c>
      <c r="C339">
        <v>0.17150000000000001</v>
      </c>
      <c r="D339">
        <v>0.15201000000000001</v>
      </c>
      <c r="E339">
        <v>0.16506000000000001</v>
      </c>
      <c r="F339">
        <v>6186741.9000000004</v>
      </c>
      <c r="G339">
        <v>7.8</v>
      </c>
      <c r="L339" t="s">
        <v>8</v>
      </c>
      <c r="M339" t="s">
        <v>8</v>
      </c>
      <c r="N339" t="s">
        <v>8</v>
      </c>
      <c r="P339">
        <f t="shared" si="969"/>
        <v>0.33914828116983081</v>
      </c>
      <c r="Q339">
        <f t="shared" si="970"/>
        <v>2098222.8814263735</v>
      </c>
      <c r="R339">
        <f t="shared" si="971"/>
        <v>33876087.42059762</v>
      </c>
      <c r="S339">
        <f t="shared" si="972"/>
        <v>338.76087420597622</v>
      </c>
      <c r="T339">
        <f t="shared" si="973"/>
        <v>0.33876087420597623</v>
      </c>
    </row>
    <row r="340" spans="1:20" x14ac:dyDescent="0.25">
      <c r="A340" s="5">
        <v>44253</v>
      </c>
      <c r="B340">
        <v>0.15348999999999999</v>
      </c>
      <c r="C340">
        <v>0.15931999999999999</v>
      </c>
      <c r="D340">
        <v>0.13800000000000001</v>
      </c>
      <c r="E340">
        <v>0.15368000000000001</v>
      </c>
      <c r="F340">
        <v>4312635.5999999996</v>
      </c>
      <c r="G340">
        <v>0.12</v>
      </c>
      <c r="L340" t="s">
        <v>7</v>
      </c>
      <c r="M340" t="s">
        <v>7</v>
      </c>
      <c r="N340" t="s">
        <v>8</v>
      </c>
      <c r="P340">
        <f t="shared" si="969"/>
        <v>0.47091932457786262</v>
      </c>
      <c r="Q340">
        <f t="shared" si="970"/>
        <v>2030903.443902445</v>
      </c>
      <c r="R340">
        <f t="shared" si="971"/>
        <v>31777864.539171249</v>
      </c>
      <c r="S340">
        <f t="shared" si="972"/>
        <v>317.77864539171247</v>
      </c>
      <c r="T340">
        <f t="shared" si="973"/>
        <v>0.31777864539171247</v>
      </c>
    </row>
    <row r="341" spans="1:20" x14ac:dyDescent="0.25">
      <c r="A341" s="5">
        <v>44252</v>
      </c>
      <c r="B341">
        <v>0.15140000000000001</v>
      </c>
      <c r="C341">
        <v>0.17867</v>
      </c>
      <c r="D341">
        <v>0.15140000000000001</v>
      </c>
      <c r="E341">
        <v>0.15314</v>
      </c>
      <c r="F341">
        <v>9125986</v>
      </c>
      <c r="G341">
        <v>1.1499999999999999</v>
      </c>
      <c r="L341" t="s">
        <v>7</v>
      </c>
      <c r="M341" t="s">
        <v>7</v>
      </c>
      <c r="N341" t="s">
        <v>8</v>
      </c>
      <c r="P341">
        <f t="shared" si="969"/>
        <v>-0.87238723872387292</v>
      </c>
      <c r="Q341">
        <f t="shared" si="970"/>
        <v>-7961393.7271727221</v>
      </c>
      <c r="R341">
        <f t="shared" si="971"/>
        <v>29746961.095268805</v>
      </c>
      <c r="S341">
        <f t="shared" si="972"/>
        <v>297.46961095268807</v>
      </c>
      <c r="T341">
        <f t="shared" si="973"/>
        <v>0.29746961095268809</v>
      </c>
    </row>
    <row r="342" spans="1:20" x14ac:dyDescent="0.25">
      <c r="A342" s="5">
        <v>44251</v>
      </c>
      <c r="B342">
        <v>0.14330000000000001</v>
      </c>
      <c r="C342">
        <v>0.18265999999999999</v>
      </c>
      <c r="D342">
        <v>0.13052</v>
      </c>
      <c r="E342">
        <v>0.15018999999999999</v>
      </c>
      <c r="F342">
        <v>16968612.600000001</v>
      </c>
      <c r="G342">
        <v>4.8099999999999996</v>
      </c>
      <c r="L342" t="s">
        <v>8</v>
      </c>
      <c r="M342" t="s">
        <v>8</v>
      </c>
      <c r="N342" t="s">
        <v>8</v>
      </c>
      <c r="P342">
        <f t="shared" si="969"/>
        <v>-0.24549290372075197</v>
      </c>
      <c r="Q342">
        <f t="shared" si="970"/>
        <v>-4165673.9792865389</v>
      </c>
      <c r="R342">
        <f t="shared" si="971"/>
        <v>37708354.822441526</v>
      </c>
      <c r="S342">
        <f t="shared" si="972"/>
        <v>377.08354822441527</v>
      </c>
      <c r="T342">
        <f t="shared" si="973"/>
        <v>0.37708354822441525</v>
      </c>
    </row>
    <row r="343" spans="1:20" x14ac:dyDescent="0.25">
      <c r="A343" s="5">
        <v>44250</v>
      </c>
      <c r="B343">
        <v>0.18603</v>
      </c>
      <c r="C343">
        <v>0.18706</v>
      </c>
      <c r="D343">
        <v>0.12131</v>
      </c>
      <c r="E343">
        <v>0.14329</v>
      </c>
      <c r="F343">
        <v>12797484.6</v>
      </c>
      <c r="G343">
        <v>-22.97</v>
      </c>
      <c r="L343" t="s">
        <v>7</v>
      </c>
      <c r="M343" t="s">
        <v>7</v>
      </c>
      <c r="N343" t="s">
        <v>7</v>
      </c>
      <c r="P343">
        <f t="shared" si="969"/>
        <v>-0.33140684410646393</v>
      </c>
      <c r="Q343">
        <f t="shared" si="970"/>
        <v>-4241173.9837870728</v>
      </c>
      <c r="R343">
        <f t="shared" si="971"/>
        <v>41874028.801728062</v>
      </c>
      <c r="S343">
        <f t="shared" si="972"/>
        <v>418.74028801728065</v>
      </c>
      <c r="T343">
        <f t="shared" si="973"/>
        <v>0.41874028801728064</v>
      </c>
    </row>
    <row r="344" spans="1:20" x14ac:dyDescent="0.25">
      <c r="A344" s="5">
        <v>44249</v>
      </c>
      <c r="B344">
        <v>0.20555999999999999</v>
      </c>
      <c r="C344">
        <v>0.21</v>
      </c>
      <c r="D344">
        <v>0.15387999999999999</v>
      </c>
      <c r="E344">
        <v>0.18576000000000001</v>
      </c>
      <c r="F344">
        <v>11599895.699999999</v>
      </c>
      <c r="G344">
        <v>-9.6300000000000008</v>
      </c>
      <c r="L344" t="s">
        <v>7</v>
      </c>
      <c r="M344" t="s">
        <v>7</v>
      </c>
      <c r="N344" t="s">
        <v>7</v>
      </c>
      <c r="P344">
        <f t="shared" si="969"/>
        <v>0.13613684960798353</v>
      </c>
      <c r="Q344">
        <f t="shared" si="970"/>
        <v>1579173.2563791948</v>
      </c>
      <c r="R344">
        <f t="shared" si="971"/>
        <v>46115202.785515137</v>
      </c>
      <c r="S344">
        <f t="shared" si="972"/>
        <v>461.15202785515135</v>
      </c>
      <c r="T344">
        <f t="shared" si="973"/>
        <v>0.46115202785515136</v>
      </c>
    </row>
    <row r="345" spans="1:20" x14ac:dyDescent="0.25">
      <c r="A345" s="5">
        <v>44248</v>
      </c>
      <c r="B345">
        <v>0.18958</v>
      </c>
      <c r="C345">
        <v>0.23699000000000001</v>
      </c>
      <c r="D345">
        <v>0.18762000000000001</v>
      </c>
      <c r="E345">
        <v>0.20721999999999999</v>
      </c>
      <c r="F345">
        <v>19686433.899999999</v>
      </c>
      <c r="G345">
        <v>9.3000000000000007</v>
      </c>
      <c r="L345" t="s">
        <v>8</v>
      </c>
      <c r="M345" t="s">
        <v>8</v>
      </c>
      <c r="N345" t="s">
        <v>8</v>
      </c>
      <c r="P345">
        <f t="shared" si="969"/>
        <v>-0.20599554385254285</v>
      </c>
      <c r="Q345">
        <f t="shared" si="970"/>
        <v>-4055317.6577476356</v>
      </c>
      <c r="R345">
        <f t="shared" si="971"/>
        <v>44536029.529135942</v>
      </c>
      <c r="S345">
        <f t="shared" si="972"/>
        <v>445.36029529135942</v>
      </c>
      <c r="T345">
        <f t="shared" si="973"/>
        <v>0.4453602952913594</v>
      </c>
    </row>
    <row r="346" spans="1:20" x14ac:dyDescent="0.25">
      <c r="A346" s="5">
        <v>44247</v>
      </c>
      <c r="B346">
        <v>0.20211999999999999</v>
      </c>
      <c r="C346">
        <v>0.20587</v>
      </c>
      <c r="D346">
        <v>0.18026</v>
      </c>
      <c r="E346">
        <v>0.18842</v>
      </c>
      <c r="F346">
        <v>11749993.800000001</v>
      </c>
      <c r="G346">
        <v>-6.78</v>
      </c>
      <c r="L346" t="s">
        <v>7</v>
      </c>
      <c r="M346" t="s">
        <v>7</v>
      </c>
      <c r="N346" t="s">
        <v>8</v>
      </c>
      <c r="P346">
        <f t="shared" si="969"/>
        <v>-0.36274892620070265</v>
      </c>
      <c r="Q346">
        <f t="shared" si="970"/>
        <v>-4262297.6338149142</v>
      </c>
      <c r="R346">
        <f t="shared" si="971"/>
        <v>48591347.186883576</v>
      </c>
      <c r="S346">
        <f t="shared" si="972"/>
        <v>485.91347186883576</v>
      </c>
      <c r="T346">
        <f t="shared" si="973"/>
        <v>0.48591347186883577</v>
      </c>
    </row>
    <row r="347" spans="1:20" x14ac:dyDescent="0.25">
      <c r="A347" s="5">
        <v>44246</v>
      </c>
      <c r="B347">
        <v>0.20194999999999999</v>
      </c>
      <c r="C347">
        <v>0.21798999999999999</v>
      </c>
      <c r="D347">
        <v>0.18029999999999999</v>
      </c>
      <c r="E347">
        <v>0.20211000000000001</v>
      </c>
      <c r="F347">
        <v>21346047</v>
      </c>
      <c r="G347">
        <v>0.08</v>
      </c>
      <c r="L347" t="s">
        <v>8</v>
      </c>
      <c r="M347" t="s">
        <v>8</v>
      </c>
      <c r="N347" t="s">
        <v>8</v>
      </c>
      <c r="P347">
        <f t="shared" si="969"/>
        <v>0.15733616343857909</v>
      </c>
      <c r="Q347">
        <f t="shared" si="970"/>
        <v>3358505.1395595907</v>
      </c>
      <c r="R347">
        <f t="shared" si="971"/>
        <v>52853644.820698492</v>
      </c>
      <c r="S347">
        <f t="shared" si="972"/>
        <v>528.53644820698491</v>
      </c>
      <c r="T347">
        <f t="shared" si="973"/>
        <v>0.52853644820698487</v>
      </c>
    </row>
    <row r="348" spans="1:20" x14ac:dyDescent="0.25">
      <c r="A348" s="5">
        <v>44245</v>
      </c>
      <c r="B348">
        <v>0.16838</v>
      </c>
      <c r="C348">
        <v>0.20497000000000001</v>
      </c>
      <c r="D348">
        <v>0.16771</v>
      </c>
      <c r="E348">
        <v>0.20272999999999999</v>
      </c>
      <c r="F348">
        <v>20995529.800000001</v>
      </c>
      <c r="G348">
        <v>20.399999999999999</v>
      </c>
      <c r="L348" t="s">
        <v>8</v>
      </c>
      <c r="M348" t="s">
        <v>8</v>
      </c>
      <c r="N348" t="s">
        <v>7</v>
      </c>
      <c r="P348">
        <f t="shared" si="969"/>
        <v>0.87976382179280632</v>
      </c>
      <c r="Q348">
        <f t="shared" si="970"/>
        <v>18471107.537412755</v>
      </c>
      <c r="R348">
        <f t="shared" si="971"/>
        <v>49495139.681138903</v>
      </c>
      <c r="S348">
        <f t="shared" si="972"/>
        <v>494.95139681138903</v>
      </c>
      <c r="T348">
        <f t="shared" si="973"/>
        <v>0.49495139681138905</v>
      </c>
    </row>
    <row r="349" spans="1:20" x14ac:dyDescent="0.25">
      <c r="A349" s="5">
        <v>44244</v>
      </c>
      <c r="B349">
        <v>0.17369999999999999</v>
      </c>
      <c r="C349">
        <v>0.17518</v>
      </c>
      <c r="D349">
        <v>0.15432999999999999</v>
      </c>
      <c r="E349">
        <v>0.16833999999999999</v>
      </c>
      <c r="F349">
        <v>9552731.8000000007</v>
      </c>
      <c r="G349">
        <v>-3.09</v>
      </c>
      <c r="L349" t="s">
        <v>7</v>
      </c>
      <c r="M349" t="s">
        <v>7</v>
      </c>
      <c r="N349" t="s">
        <v>7</v>
      </c>
      <c r="P349">
        <f t="shared" si="969"/>
        <v>0.34388489208632994</v>
      </c>
      <c r="Q349">
        <f t="shared" si="970"/>
        <v>3285040.1441726526</v>
      </c>
      <c r="R349">
        <f t="shared" si="971"/>
        <v>31024032.143726144</v>
      </c>
      <c r="S349">
        <f t="shared" si="972"/>
        <v>310.24032143726146</v>
      </c>
      <c r="T349">
        <f t="shared" si="973"/>
        <v>0.31024032143726143</v>
      </c>
    </row>
    <row r="350" spans="1:20" x14ac:dyDescent="0.25">
      <c r="A350" s="5">
        <v>44243</v>
      </c>
      <c r="B350">
        <v>0.18748999999999999</v>
      </c>
      <c r="C350">
        <v>0.18941</v>
      </c>
      <c r="D350">
        <v>0.16619</v>
      </c>
      <c r="E350">
        <v>0.17302999999999999</v>
      </c>
      <c r="F350">
        <v>24269890.399999999</v>
      </c>
      <c r="G350">
        <v>-7.71</v>
      </c>
      <c r="L350" t="s">
        <v>7</v>
      </c>
      <c r="M350" t="s">
        <v>7</v>
      </c>
      <c r="N350" t="s">
        <v>8</v>
      </c>
      <c r="P350">
        <f t="shared" si="969"/>
        <v>-0.41085271317829564</v>
      </c>
      <c r="Q350">
        <f t="shared" si="970"/>
        <v>-9971350.3193798698</v>
      </c>
      <c r="R350">
        <f t="shared" si="971"/>
        <v>27738991.99955349</v>
      </c>
      <c r="S350">
        <f t="shared" si="972"/>
        <v>277.38991999553491</v>
      </c>
      <c r="T350">
        <f t="shared" si="973"/>
        <v>0.27738991999553492</v>
      </c>
    </row>
    <row r="351" spans="1:20" x14ac:dyDescent="0.25">
      <c r="A351" s="5">
        <v>44242</v>
      </c>
      <c r="B351">
        <v>0.13422999999999999</v>
      </c>
      <c r="C351">
        <v>0.22</v>
      </c>
      <c r="D351">
        <v>0.13300000000000001</v>
      </c>
      <c r="E351">
        <v>0.18748999999999999</v>
      </c>
      <c r="F351">
        <v>189768949.5</v>
      </c>
      <c r="G351">
        <v>39.68</v>
      </c>
      <c r="L351" t="s">
        <v>8</v>
      </c>
      <c r="M351" t="s">
        <v>8</v>
      </c>
      <c r="N351" t="s">
        <v>8</v>
      </c>
      <c r="P351">
        <f t="shared" si="969"/>
        <v>0.25264367816091926</v>
      </c>
      <c r="Q351">
        <f t="shared" si="970"/>
        <v>47943925.402413741</v>
      </c>
      <c r="R351">
        <f t="shared" si="971"/>
        <v>37710342.31893336</v>
      </c>
      <c r="S351">
        <f t="shared" si="972"/>
        <v>377.10342318933363</v>
      </c>
      <c r="T351">
        <f t="shared" si="973"/>
        <v>0.37710342318933365</v>
      </c>
    </row>
    <row r="352" spans="1:20" x14ac:dyDescent="0.25">
      <c r="A352" s="5">
        <v>44241</v>
      </c>
      <c r="B352">
        <v>0.14061999999999999</v>
      </c>
      <c r="C352">
        <v>0.14548</v>
      </c>
      <c r="D352">
        <v>0.12814</v>
      </c>
      <c r="E352">
        <v>0.13424</v>
      </c>
      <c r="F352">
        <v>10218380.9</v>
      </c>
      <c r="G352">
        <v>-4.54</v>
      </c>
      <c r="L352" t="s">
        <v>7</v>
      </c>
      <c r="M352" t="s">
        <v>7</v>
      </c>
      <c r="N352" t="s">
        <v>8</v>
      </c>
      <c r="P352">
        <f t="shared" si="969"/>
        <v>-0.29642445213379515</v>
      </c>
      <c r="Q352">
        <f t="shared" si="970"/>
        <v>-3028977.9599769367</v>
      </c>
      <c r="R352">
        <f t="shared" si="971"/>
        <v>-10233583.08348038</v>
      </c>
      <c r="S352">
        <f t="shared" si="972"/>
        <v>-102.3358308348038</v>
      </c>
      <c r="T352">
        <f t="shared" si="973"/>
        <v>-0.1023358308348038</v>
      </c>
    </row>
    <row r="353" spans="1:20" x14ac:dyDescent="0.25">
      <c r="A353" s="5">
        <v>44240</v>
      </c>
      <c r="B353">
        <v>0.13197999999999999</v>
      </c>
      <c r="C353">
        <v>0.14990000000000001</v>
      </c>
      <c r="D353">
        <v>0.1226</v>
      </c>
      <c r="E353">
        <v>0.14047999999999999</v>
      </c>
      <c r="F353">
        <v>20685114</v>
      </c>
      <c r="G353">
        <v>6.44</v>
      </c>
      <c r="L353" t="s">
        <v>8</v>
      </c>
      <c r="M353" t="s">
        <v>8</v>
      </c>
      <c r="N353" t="s">
        <v>8</v>
      </c>
      <c r="P353">
        <f t="shared" si="969"/>
        <v>0.30989010989010918</v>
      </c>
      <c r="Q353">
        <f t="shared" si="970"/>
        <v>6410112.2505494356</v>
      </c>
      <c r="R353">
        <f t="shared" si="971"/>
        <v>-7204605.1235034447</v>
      </c>
      <c r="S353">
        <f t="shared" si="972"/>
        <v>-72.04605123503444</v>
      </c>
      <c r="T353">
        <f t="shared" si="973"/>
        <v>-7.2046051235034436E-2</v>
      </c>
    </row>
    <row r="354" spans="1:20" x14ac:dyDescent="0.25">
      <c r="A354" s="5">
        <v>44239</v>
      </c>
      <c r="B354">
        <v>0.12698000000000001</v>
      </c>
      <c r="C354">
        <v>0.13550000000000001</v>
      </c>
      <c r="D354">
        <v>0.12141</v>
      </c>
      <c r="E354">
        <v>0.13247999999999999</v>
      </c>
      <c r="F354">
        <v>12891405.1</v>
      </c>
      <c r="G354">
        <v>4.33</v>
      </c>
      <c r="L354" t="s">
        <v>8</v>
      </c>
      <c r="M354" t="s">
        <v>8</v>
      </c>
      <c r="N354" t="s">
        <v>8</v>
      </c>
      <c r="P354">
        <f t="shared" si="969"/>
        <v>0.57132718239886138</v>
      </c>
      <c r="Q354">
        <f t="shared" si="970"/>
        <v>7365210.1529453117</v>
      </c>
      <c r="R354">
        <f t="shared" si="971"/>
        <v>-13614717.37405288</v>
      </c>
      <c r="S354">
        <f t="shared" si="972"/>
        <v>-136.14717374052881</v>
      </c>
      <c r="T354">
        <f t="shared" si="973"/>
        <v>-0.13614717374052882</v>
      </c>
    </row>
    <row r="355" spans="1:20" x14ac:dyDescent="0.25">
      <c r="A355" s="5">
        <v>44238</v>
      </c>
      <c r="B355">
        <v>0.11249000000000001</v>
      </c>
      <c r="C355">
        <v>0.13</v>
      </c>
      <c r="D355">
        <v>0.11057</v>
      </c>
      <c r="E355">
        <v>0.12676000000000001</v>
      </c>
      <c r="F355">
        <v>14439055.800000001</v>
      </c>
      <c r="G355">
        <v>12.69</v>
      </c>
      <c r="L355" t="s">
        <v>8</v>
      </c>
      <c r="M355" t="s">
        <v>8</v>
      </c>
      <c r="N355" t="s">
        <v>8</v>
      </c>
      <c r="P355">
        <f t="shared" si="969"/>
        <v>0.66649511065362921</v>
      </c>
      <c r="Q355">
        <f t="shared" si="970"/>
        <v>9623560.0931549277</v>
      </c>
      <c r="R355">
        <f t="shared" si="971"/>
        <v>-20979927.526998192</v>
      </c>
      <c r="S355">
        <f t="shared" si="972"/>
        <v>-209.79927526998193</v>
      </c>
      <c r="T355">
        <f t="shared" si="973"/>
        <v>-0.20979927526998193</v>
      </c>
    </row>
    <row r="356" spans="1:20" x14ac:dyDescent="0.25">
      <c r="A356" s="5">
        <v>44237</v>
      </c>
      <c r="B356">
        <v>0.10834000000000001</v>
      </c>
      <c r="C356">
        <v>0.12365</v>
      </c>
      <c r="D356">
        <v>0.10131</v>
      </c>
      <c r="E356">
        <v>0.11111</v>
      </c>
      <c r="F356">
        <v>10660422.6</v>
      </c>
      <c r="G356">
        <v>2.56</v>
      </c>
      <c r="L356" t="s">
        <v>8</v>
      </c>
      <c r="M356" t="s">
        <v>8</v>
      </c>
      <c r="N356" t="s">
        <v>8</v>
      </c>
      <c r="P356">
        <f t="shared" si="969"/>
        <v>-0.12264995523724229</v>
      </c>
      <c r="Q356">
        <f t="shared" si="970"/>
        <v>-1307500.3547000859</v>
      </c>
      <c r="R356">
        <f t="shared" si="971"/>
        <v>-30603487.620153118</v>
      </c>
      <c r="S356">
        <f t="shared" si="972"/>
        <v>-306.03487620153118</v>
      </c>
      <c r="T356">
        <f t="shared" si="973"/>
        <v>-0.30603487620153119</v>
      </c>
    </row>
    <row r="357" spans="1:20" x14ac:dyDescent="0.25">
      <c r="A357" s="5">
        <v>44236</v>
      </c>
      <c r="B357">
        <v>0.10136000000000001</v>
      </c>
      <c r="C357">
        <v>0.11753</v>
      </c>
      <c r="D357">
        <v>0.10111000000000001</v>
      </c>
      <c r="E357">
        <v>0.10772</v>
      </c>
      <c r="F357">
        <v>17348766.699999999</v>
      </c>
      <c r="G357">
        <v>6.27</v>
      </c>
      <c r="L357" t="s">
        <v>8</v>
      </c>
      <c r="M357" t="s">
        <v>8</v>
      </c>
      <c r="N357" t="s">
        <v>8</v>
      </c>
      <c r="P357">
        <f t="shared" si="969"/>
        <v>-0.19488428745432462</v>
      </c>
      <c r="Q357">
        <f t="shared" si="970"/>
        <v>-3381002.0365408147</v>
      </c>
      <c r="R357">
        <f t="shared" si="971"/>
        <v>-29295987.265453033</v>
      </c>
      <c r="S357">
        <f t="shared" si="972"/>
        <v>-292.95987265453033</v>
      </c>
      <c r="T357">
        <f t="shared" si="973"/>
        <v>-0.29295987265453033</v>
      </c>
    </row>
    <row r="358" spans="1:20" x14ac:dyDescent="0.25">
      <c r="A358" s="5">
        <v>44235</v>
      </c>
      <c r="B358">
        <v>9.6500000000000002E-2</v>
      </c>
      <c r="C358">
        <v>0.11341</v>
      </c>
      <c r="D358">
        <v>9.3160000000000007E-2</v>
      </c>
      <c r="E358">
        <v>0.10136000000000001</v>
      </c>
      <c r="F358">
        <v>13969534.699999999</v>
      </c>
      <c r="G358">
        <v>5.04</v>
      </c>
      <c r="L358" t="s">
        <v>8</v>
      </c>
      <c r="M358" t="s">
        <v>8</v>
      </c>
      <c r="N358" t="s">
        <v>8</v>
      </c>
      <c r="P358">
        <f t="shared" si="969"/>
        <v>-0.19012345679012316</v>
      </c>
      <c r="Q358">
        <f t="shared" si="970"/>
        <v>-2655936.226913576</v>
      </c>
      <c r="R358">
        <f t="shared" si="971"/>
        <v>-25914985.228912219</v>
      </c>
      <c r="S358">
        <f t="shared" si="972"/>
        <v>-259.14985228912218</v>
      </c>
      <c r="T358">
        <f t="shared" si="973"/>
        <v>-0.25914985228912218</v>
      </c>
    </row>
    <row r="359" spans="1:20" x14ac:dyDescent="0.25">
      <c r="A359" s="5">
        <v>44234</v>
      </c>
      <c r="B359">
        <v>0.10532999999999999</v>
      </c>
      <c r="C359">
        <v>0.10566</v>
      </c>
      <c r="D359">
        <v>9.103E-2</v>
      </c>
      <c r="E359">
        <v>9.6500000000000002E-2</v>
      </c>
      <c r="F359">
        <v>9132370.9000000004</v>
      </c>
      <c r="G359">
        <v>-8.3800000000000008</v>
      </c>
      <c r="L359" t="s">
        <v>7</v>
      </c>
      <c r="M359" t="s">
        <v>7</v>
      </c>
      <c r="N359" t="s">
        <v>8</v>
      </c>
      <c r="P359">
        <f t="shared" si="969"/>
        <v>-0.2522214627477784</v>
      </c>
      <c r="Q359">
        <f t="shared" si="970"/>
        <v>-2303379.9467532458</v>
      </c>
      <c r="R359">
        <f t="shared" si="971"/>
        <v>-23259049.001998644</v>
      </c>
      <c r="S359">
        <f t="shared" si="972"/>
        <v>-232.59049001998645</v>
      </c>
      <c r="T359">
        <f t="shared" si="973"/>
        <v>-0.23259049001998644</v>
      </c>
    </row>
    <row r="360" spans="1:20" x14ac:dyDescent="0.25">
      <c r="A360" s="5">
        <v>44233</v>
      </c>
      <c r="B360">
        <v>9.6379999999999993E-2</v>
      </c>
      <c r="C360">
        <v>0.1152</v>
      </c>
      <c r="D360">
        <v>9.1160000000000005E-2</v>
      </c>
      <c r="E360">
        <v>0.10591</v>
      </c>
      <c r="F360">
        <v>25589723.300000001</v>
      </c>
      <c r="G360">
        <v>9.89</v>
      </c>
      <c r="L360" t="s">
        <v>8</v>
      </c>
      <c r="M360" t="s">
        <v>8</v>
      </c>
      <c r="N360" t="s">
        <v>8</v>
      </c>
      <c r="P360">
        <f t="shared" si="969"/>
        <v>0.22712146422628987</v>
      </c>
      <c r="Q360">
        <f t="shared" si="970"/>
        <v>5811975.4250416066</v>
      </c>
      <c r="R360">
        <f t="shared" si="971"/>
        <v>-20955669.055245399</v>
      </c>
      <c r="S360">
        <f t="shared" si="972"/>
        <v>-209.556690552454</v>
      </c>
      <c r="T360">
        <f t="shared" si="973"/>
        <v>-0.20955669055245399</v>
      </c>
    </row>
    <row r="361" spans="1:20" x14ac:dyDescent="0.25">
      <c r="A361" s="5">
        <v>44232</v>
      </c>
      <c r="B361">
        <v>8.6199999999999999E-2</v>
      </c>
      <c r="C361">
        <v>9.715E-2</v>
      </c>
      <c r="D361">
        <v>8.523E-2</v>
      </c>
      <c r="E361">
        <v>9.6379999999999993E-2</v>
      </c>
      <c r="F361">
        <v>11965938.1</v>
      </c>
      <c r="G361">
        <v>11.81</v>
      </c>
      <c r="L361" t="s">
        <v>8</v>
      </c>
      <c r="M361" t="s">
        <v>8</v>
      </c>
      <c r="N361" t="s">
        <v>8</v>
      </c>
      <c r="P361">
        <f t="shared" si="969"/>
        <v>0.8708053691275156</v>
      </c>
      <c r="Q361">
        <f t="shared" si="970"/>
        <v>10420003.144127503</v>
      </c>
      <c r="R361">
        <f t="shared" si="971"/>
        <v>-26767644.480287008</v>
      </c>
      <c r="S361">
        <f t="shared" si="972"/>
        <v>-267.67644480287009</v>
      </c>
      <c r="T361">
        <f t="shared" si="973"/>
        <v>-0.26767644480287012</v>
      </c>
    </row>
    <row r="362" spans="1:20" x14ac:dyDescent="0.25">
      <c r="A362" s="5">
        <v>44231</v>
      </c>
      <c r="B362">
        <v>8.9050000000000004E-2</v>
      </c>
      <c r="C362">
        <v>8.9700000000000002E-2</v>
      </c>
      <c r="D362">
        <v>8.3309999999999995E-2</v>
      </c>
      <c r="E362">
        <v>8.6190000000000003E-2</v>
      </c>
      <c r="F362">
        <v>6227571.0999999996</v>
      </c>
      <c r="G362">
        <v>-3.21</v>
      </c>
      <c r="L362" t="s">
        <v>7</v>
      </c>
      <c r="M362" t="s">
        <v>8</v>
      </c>
      <c r="N362" t="s">
        <v>8</v>
      </c>
      <c r="P362">
        <f t="shared" si="969"/>
        <v>-9.859154929577324E-2</v>
      </c>
      <c r="Q362">
        <f t="shared" si="970"/>
        <v>-613985.88309858274</v>
      </c>
      <c r="R362">
        <f t="shared" si="971"/>
        <v>-37187647.624414511</v>
      </c>
      <c r="S362">
        <f t="shared" si="972"/>
        <v>-371.87647624414512</v>
      </c>
      <c r="T362">
        <f t="shared" si="973"/>
        <v>-0.3718764762441451</v>
      </c>
    </row>
    <row r="363" spans="1:20" x14ac:dyDescent="0.25">
      <c r="A363" s="5">
        <v>44230</v>
      </c>
      <c r="B363">
        <v>8.337E-2</v>
      </c>
      <c r="C363">
        <v>9.1770000000000004E-2</v>
      </c>
      <c r="D363">
        <v>8.3119999999999999E-2</v>
      </c>
      <c r="E363">
        <v>8.9109999999999995E-2</v>
      </c>
      <c r="F363">
        <v>8496307</v>
      </c>
      <c r="G363">
        <v>6.88</v>
      </c>
      <c r="L363" t="s">
        <v>8</v>
      </c>
      <c r="M363" t="s">
        <v>8</v>
      </c>
      <c r="N363" t="s">
        <v>8</v>
      </c>
      <c r="P363">
        <f t="shared" si="969"/>
        <v>0.3849710982658941</v>
      </c>
      <c r="Q363">
        <f t="shared" si="970"/>
        <v>3270832.636994204</v>
      </c>
      <c r="R363">
        <f t="shared" si="971"/>
        <v>-36573661.741315931</v>
      </c>
      <c r="S363">
        <f t="shared" si="972"/>
        <v>-365.73661741315931</v>
      </c>
      <c r="T363">
        <f t="shared" si="973"/>
        <v>-0.36573661741315933</v>
      </c>
    </row>
    <row r="364" spans="1:20" x14ac:dyDescent="0.25">
      <c r="A364" s="5">
        <v>44229</v>
      </c>
      <c r="B364">
        <v>8.0799999999999997E-2</v>
      </c>
      <c r="C364">
        <v>8.5750000000000007E-2</v>
      </c>
      <c r="D364">
        <v>8.0390000000000003E-2</v>
      </c>
      <c r="E364">
        <v>8.3040000000000003E-2</v>
      </c>
      <c r="F364">
        <v>5830996</v>
      </c>
      <c r="G364">
        <v>2.77</v>
      </c>
      <c r="L364" t="s">
        <v>8</v>
      </c>
      <c r="M364" t="s">
        <v>7</v>
      </c>
      <c r="N364" t="s">
        <v>8</v>
      </c>
      <c r="P364">
        <f t="shared" si="969"/>
        <v>-1.1194029850747099E-2</v>
      </c>
      <c r="Q364">
        <f t="shared" si="970"/>
        <v>-65272.343283586932</v>
      </c>
      <c r="R364">
        <f t="shared" si="971"/>
        <v>-39844494.378310136</v>
      </c>
      <c r="S364">
        <f t="shared" si="972"/>
        <v>-398.44494378310134</v>
      </c>
      <c r="T364">
        <f t="shared" si="973"/>
        <v>-0.39844494378310136</v>
      </c>
    </row>
    <row r="365" spans="1:20" x14ac:dyDescent="0.25">
      <c r="A365" s="5">
        <v>44228</v>
      </c>
      <c r="B365">
        <v>7.9189999999999997E-2</v>
      </c>
      <c r="C365">
        <v>8.1509999999999999E-2</v>
      </c>
      <c r="D365">
        <v>7.6249999999999998E-2</v>
      </c>
      <c r="E365">
        <v>8.0979999999999996E-2</v>
      </c>
      <c r="F365">
        <v>4731347.8</v>
      </c>
      <c r="G365">
        <v>2.2599999999999998</v>
      </c>
      <c r="L365" t="s">
        <v>8</v>
      </c>
      <c r="M365" t="s">
        <v>7</v>
      </c>
      <c r="N365" t="s">
        <v>8</v>
      </c>
      <c r="P365">
        <f t="shared" si="969"/>
        <v>0.79847908745247054</v>
      </c>
      <c r="Q365">
        <f t="shared" si="970"/>
        <v>3777882.2737642541</v>
      </c>
      <c r="R365">
        <f t="shared" si="971"/>
        <v>-39779222.03502655</v>
      </c>
      <c r="S365">
        <f t="shared" si="972"/>
        <v>-397.7922203502655</v>
      </c>
      <c r="T365">
        <f t="shared" si="973"/>
        <v>-0.39779222035026551</v>
      </c>
    </row>
    <row r="366" spans="1:20" x14ac:dyDescent="0.25">
      <c r="A366" s="5">
        <v>44227</v>
      </c>
      <c r="B366">
        <v>7.9259999999999997E-2</v>
      </c>
      <c r="C366">
        <v>8.1100000000000005E-2</v>
      </c>
      <c r="D366">
        <v>7.5209999999999999E-2</v>
      </c>
      <c r="E366">
        <v>7.9000000000000001E-2</v>
      </c>
      <c r="F366">
        <v>3763150.7</v>
      </c>
      <c r="G366">
        <v>-0.33</v>
      </c>
      <c r="L366" t="s">
        <v>8</v>
      </c>
      <c r="M366" t="s">
        <v>7</v>
      </c>
      <c r="N366" t="s">
        <v>8</v>
      </c>
      <c r="P366">
        <f t="shared" si="969"/>
        <v>0.2869269949066206</v>
      </c>
      <c r="Q366">
        <f t="shared" si="970"/>
        <v>1079749.5217317459</v>
      </c>
      <c r="R366">
        <f t="shared" si="971"/>
        <v>-43557104.308790803</v>
      </c>
      <c r="S366">
        <f t="shared" si="972"/>
        <v>-435.57104308790804</v>
      </c>
      <c r="T366">
        <f t="shared" si="973"/>
        <v>-0.43557104308790806</v>
      </c>
    </row>
    <row r="367" spans="1:20" x14ac:dyDescent="0.25">
      <c r="A367" s="5">
        <v>44226</v>
      </c>
      <c r="B367">
        <v>8.0320000000000003E-2</v>
      </c>
      <c r="C367">
        <v>8.0729999999999996E-2</v>
      </c>
      <c r="D367">
        <v>7.3760000000000006E-2</v>
      </c>
      <c r="E367">
        <v>7.9320000000000002E-2</v>
      </c>
      <c r="F367">
        <v>6792097.5</v>
      </c>
      <c r="G367">
        <v>-1.25</v>
      </c>
      <c r="L367" t="s">
        <v>7</v>
      </c>
      <c r="M367" t="s">
        <v>7</v>
      </c>
      <c r="N367" t="s">
        <v>8</v>
      </c>
      <c r="P367">
        <f t="shared" si="969"/>
        <v>0.59540889526542418</v>
      </c>
      <c r="Q367">
        <f t="shared" si="970"/>
        <v>4044075.2690100493</v>
      </c>
      <c r="R367">
        <f t="shared" si="971"/>
        <v>-44636853.830522552</v>
      </c>
      <c r="S367">
        <f t="shared" si="972"/>
        <v>-446.36853830522551</v>
      </c>
      <c r="T367">
        <f t="shared" si="973"/>
        <v>-0.44636853830522549</v>
      </c>
    </row>
    <row r="368" spans="1:20" x14ac:dyDescent="0.25">
      <c r="A368" s="5">
        <v>44225</v>
      </c>
      <c r="B368">
        <v>7.8079999999999997E-2</v>
      </c>
      <c r="C368">
        <v>9.6000000000000002E-2</v>
      </c>
      <c r="D368">
        <v>7.4579999999999994E-2</v>
      </c>
      <c r="E368">
        <v>8.0259999999999998E-2</v>
      </c>
      <c r="F368">
        <v>17221454.199999999</v>
      </c>
      <c r="G368">
        <v>2.79</v>
      </c>
      <c r="L368" t="s">
        <v>8</v>
      </c>
      <c r="M368" t="s">
        <v>8</v>
      </c>
      <c r="N368" t="s">
        <v>8</v>
      </c>
      <c r="P368">
        <f t="shared" si="969"/>
        <v>-0.46965452847805766</v>
      </c>
      <c r="Q368">
        <f t="shared" si="970"/>
        <v>-8088133.9520074651</v>
      </c>
      <c r="R368">
        <f t="shared" si="971"/>
        <v>-48680929.099532604</v>
      </c>
      <c r="S368">
        <f t="shared" si="972"/>
        <v>-486.80929099532602</v>
      </c>
      <c r="T368">
        <f t="shared" si="973"/>
        <v>-0.48680929099532605</v>
      </c>
    </row>
    <row r="369" spans="1:20" x14ac:dyDescent="0.25">
      <c r="A369" s="5">
        <v>44224</v>
      </c>
      <c r="B369">
        <v>7.2529999999999997E-2</v>
      </c>
      <c r="C369">
        <v>7.9479999999999995E-2</v>
      </c>
      <c r="D369">
        <v>7.1309999999999998E-2</v>
      </c>
      <c r="E369">
        <v>7.8079999999999997E-2</v>
      </c>
      <c r="F369">
        <v>3956832.4</v>
      </c>
      <c r="G369">
        <v>7.65</v>
      </c>
      <c r="L369" t="s">
        <v>8</v>
      </c>
      <c r="M369" t="s">
        <v>7</v>
      </c>
      <c r="N369" t="s">
        <v>8</v>
      </c>
      <c r="P369">
        <f t="shared" si="969"/>
        <v>0.65728274173806633</v>
      </c>
      <c r="Q369">
        <f t="shared" si="970"/>
        <v>2600757.6484700129</v>
      </c>
      <c r="R369">
        <f t="shared" si="971"/>
        <v>-40592795.147525139</v>
      </c>
      <c r="S369">
        <f t="shared" si="972"/>
        <v>-405.9279514752514</v>
      </c>
      <c r="T369">
        <f t="shared" si="973"/>
        <v>-0.4059279514752514</v>
      </c>
    </row>
    <row r="370" spans="1:20" x14ac:dyDescent="0.25">
      <c r="A370" s="5">
        <v>44223</v>
      </c>
      <c r="B370">
        <v>8.0790000000000001E-2</v>
      </c>
      <c r="C370">
        <v>8.1019999999999995E-2</v>
      </c>
      <c r="D370">
        <v>7.0559999999999998E-2</v>
      </c>
      <c r="E370">
        <v>7.2520000000000001E-2</v>
      </c>
      <c r="F370">
        <v>2575302.6</v>
      </c>
      <c r="G370">
        <v>-10.24</v>
      </c>
      <c r="L370" t="s">
        <v>7</v>
      </c>
      <c r="M370" t="s">
        <v>7</v>
      </c>
      <c r="N370" t="s">
        <v>8</v>
      </c>
      <c r="P370">
        <f t="shared" si="969"/>
        <v>-0.62523900573613689</v>
      </c>
      <c r="Q370">
        <f t="shared" si="970"/>
        <v>-1610179.6370936884</v>
      </c>
      <c r="R370">
        <f t="shared" si="971"/>
        <v>-43193552.795995153</v>
      </c>
      <c r="S370">
        <f t="shared" si="972"/>
        <v>-431.93552795995151</v>
      </c>
      <c r="T370">
        <f t="shared" si="973"/>
        <v>-0.43193552795995149</v>
      </c>
    </row>
    <row r="371" spans="1:20" x14ac:dyDescent="0.25">
      <c r="A371" s="5">
        <v>44222</v>
      </c>
      <c r="B371">
        <v>8.0850000000000005E-2</v>
      </c>
      <c r="C371">
        <v>8.3000000000000004E-2</v>
      </c>
      <c r="D371">
        <v>7.6700000000000004E-2</v>
      </c>
      <c r="E371">
        <v>8.0790000000000001E-2</v>
      </c>
      <c r="F371">
        <v>2418941.5</v>
      </c>
      <c r="G371">
        <v>-7.0000000000000007E-2</v>
      </c>
      <c r="L371" t="s">
        <v>7</v>
      </c>
      <c r="M371" t="s">
        <v>7</v>
      </c>
      <c r="N371" t="s">
        <v>8</v>
      </c>
      <c r="P371">
        <f t="shared" si="969"/>
        <v>0.29841269841269724</v>
      </c>
      <c r="Q371">
        <f t="shared" si="970"/>
        <v>721842.86031745747</v>
      </c>
      <c r="R371">
        <f t="shared" si="971"/>
        <v>-41583373.158901468</v>
      </c>
      <c r="S371">
        <f t="shared" si="972"/>
        <v>-415.83373158901469</v>
      </c>
      <c r="T371">
        <f t="shared" si="973"/>
        <v>-0.41583373158901471</v>
      </c>
    </row>
    <row r="372" spans="1:20" x14ac:dyDescent="0.25">
      <c r="A372" s="5">
        <v>44221</v>
      </c>
      <c r="B372">
        <v>8.3379999999999996E-2</v>
      </c>
      <c r="C372">
        <v>8.3809999999999996E-2</v>
      </c>
      <c r="D372">
        <v>7.9799999999999996E-2</v>
      </c>
      <c r="E372">
        <v>8.09E-2</v>
      </c>
      <c r="F372">
        <v>2095230</v>
      </c>
      <c r="G372">
        <v>-2.97</v>
      </c>
      <c r="L372" t="s">
        <v>7</v>
      </c>
      <c r="M372" t="s">
        <v>7</v>
      </c>
      <c r="N372" t="s">
        <v>8</v>
      </c>
      <c r="P372">
        <f t="shared" si="969"/>
        <v>-0.45137157107231729</v>
      </c>
      <c r="Q372">
        <f t="shared" si="970"/>
        <v>-945727.2568578514</v>
      </c>
      <c r="R372">
        <f t="shared" si="971"/>
        <v>-42305216.019218922</v>
      </c>
      <c r="S372">
        <f t="shared" si="972"/>
        <v>-423.05216019218921</v>
      </c>
      <c r="T372">
        <f t="shared" si="973"/>
        <v>-0.42305216019218922</v>
      </c>
    </row>
    <row r="373" spans="1:20" x14ac:dyDescent="0.25">
      <c r="A373" s="5">
        <v>44220</v>
      </c>
      <c r="B373">
        <v>8.2619999999999999E-2</v>
      </c>
      <c r="C373">
        <v>8.4919999999999995E-2</v>
      </c>
      <c r="D373">
        <v>8.047E-2</v>
      </c>
      <c r="E373">
        <v>8.3379999999999996E-2</v>
      </c>
      <c r="F373">
        <v>2196844.5</v>
      </c>
      <c r="G373">
        <v>0.92</v>
      </c>
      <c r="L373" t="s">
        <v>7</v>
      </c>
      <c r="M373" t="s">
        <v>7</v>
      </c>
      <c r="N373" t="s">
        <v>8</v>
      </c>
      <c r="P373">
        <f t="shared" si="969"/>
        <v>0.30786516853932527</v>
      </c>
      <c r="Q373">
        <f t="shared" si="970"/>
        <v>676331.90224718978</v>
      </c>
      <c r="R373">
        <f t="shared" si="971"/>
        <v>-41359488.762361072</v>
      </c>
      <c r="S373">
        <f t="shared" si="972"/>
        <v>-413.5948876236107</v>
      </c>
      <c r="T373">
        <f t="shared" si="973"/>
        <v>-0.41359488762361069</v>
      </c>
    </row>
    <row r="374" spans="1:20" x14ac:dyDescent="0.25">
      <c r="A374" s="5">
        <v>44219</v>
      </c>
      <c r="B374">
        <v>8.2629999999999995E-2</v>
      </c>
      <c r="C374">
        <v>8.6449999999999999E-2</v>
      </c>
      <c r="D374">
        <v>7.8960000000000002E-2</v>
      </c>
      <c r="E374">
        <v>8.2530000000000006E-2</v>
      </c>
      <c r="F374">
        <v>6224920</v>
      </c>
      <c r="G374">
        <v>-0.12</v>
      </c>
      <c r="L374" t="s">
        <v>8</v>
      </c>
      <c r="M374" t="s">
        <v>7</v>
      </c>
      <c r="N374" t="s">
        <v>8</v>
      </c>
      <c r="P374">
        <f t="shared" si="969"/>
        <v>-4.6728971962615405E-2</v>
      </c>
      <c r="Q374">
        <f t="shared" si="970"/>
        <v>-290884.11214952386</v>
      </c>
      <c r="R374">
        <f t="shared" si="971"/>
        <v>-42035820.664608262</v>
      </c>
      <c r="S374">
        <f t="shared" si="972"/>
        <v>-420.35820664608264</v>
      </c>
      <c r="T374">
        <f t="shared" si="973"/>
        <v>-0.42035820664608264</v>
      </c>
    </row>
    <row r="375" spans="1:20" x14ac:dyDescent="0.25">
      <c r="A375" s="5">
        <v>44218</v>
      </c>
      <c r="B375">
        <v>7.6420000000000002E-2</v>
      </c>
      <c r="C375">
        <v>8.5500000000000007E-2</v>
      </c>
      <c r="D375">
        <v>7.2450000000000001E-2</v>
      </c>
      <c r="E375">
        <v>8.2629999999999995E-2</v>
      </c>
      <c r="F375">
        <v>5989411.7000000002</v>
      </c>
      <c r="G375">
        <v>8.1300000000000008</v>
      </c>
      <c r="L375" t="s">
        <v>7</v>
      </c>
      <c r="M375" t="s">
        <v>7</v>
      </c>
      <c r="N375" t="s">
        <v>8</v>
      </c>
      <c r="P375">
        <f t="shared" si="969"/>
        <v>0.56015325670497929</v>
      </c>
      <c r="Q375">
        <f t="shared" si="970"/>
        <v>3354988.4695019065</v>
      </c>
      <c r="R375">
        <f t="shared" si="971"/>
        <v>-41744936.552458741</v>
      </c>
      <c r="S375">
        <f t="shared" si="972"/>
        <v>-417.44936552458739</v>
      </c>
      <c r="T375">
        <f t="shared" si="973"/>
        <v>-0.41744936552458739</v>
      </c>
    </row>
    <row r="376" spans="1:20" x14ac:dyDescent="0.25">
      <c r="A376" s="5">
        <v>44217</v>
      </c>
      <c r="B376">
        <v>8.6169999999999997E-2</v>
      </c>
      <c r="C376">
        <v>0.09</v>
      </c>
      <c r="D376">
        <v>7.6069999999999999E-2</v>
      </c>
      <c r="E376">
        <v>7.6499999999999999E-2</v>
      </c>
      <c r="F376">
        <v>4475418.5</v>
      </c>
      <c r="G376">
        <v>-11.22</v>
      </c>
      <c r="L376" t="s">
        <v>7</v>
      </c>
      <c r="M376" t="s">
        <v>7</v>
      </c>
      <c r="N376" t="s">
        <v>8</v>
      </c>
      <c r="P376">
        <f t="shared" si="969"/>
        <v>-0.93826274228284279</v>
      </c>
      <c r="Q376">
        <f t="shared" si="970"/>
        <v>-4199118.4346733671</v>
      </c>
      <c r="R376">
        <f t="shared" si="971"/>
        <v>-45099925.021960646</v>
      </c>
      <c r="S376">
        <f t="shared" si="972"/>
        <v>-450.99925021960644</v>
      </c>
      <c r="T376">
        <f t="shared" si="973"/>
        <v>-0.45099925021960646</v>
      </c>
    </row>
    <row r="377" spans="1:20" x14ac:dyDescent="0.25">
      <c r="A377" s="5">
        <v>44216</v>
      </c>
      <c r="B377">
        <v>8.7859999999999994E-2</v>
      </c>
      <c r="C377">
        <v>8.8690000000000005E-2</v>
      </c>
      <c r="D377">
        <v>7.9490000000000005E-2</v>
      </c>
      <c r="E377">
        <v>8.6209999999999995E-2</v>
      </c>
      <c r="F377">
        <v>4415842.2</v>
      </c>
      <c r="G377">
        <v>-1.88</v>
      </c>
      <c r="L377" t="s">
        <v>7</v>
      </c>
      <c r="M377" t="s">
        <v>8</v>
      </c>
      <c r="N377" t="s">
        <v>8</v>
      </c>
      <c r="P377">
        <f t="shared" si="969"/>
        <v>0.46086956521738914</v>
      </c>
      <c r="Q377">
        <f t="shared" si="970"/>
        <v>2035127.2747825992</v>
      </c>
      <c r="R377">
        <f t="shared" si="971"/>
        <v>-40900806.587287277</v>
      </c>
      <c r="S377">
        <f t="shared" si="972"/>
        <v>-409.00806587287275</v>
      </c>
      <c r="T377">
        <f t="shared" si="973"/>
        <v>-0.40900806587287275</v>
      </c>
    </row>
    <row r="378" spans="1:20" x14ac:dyDescent="0.25">
      <c r="A378" s="5">
        <v>44215</v>
      </c>
      <c r="B378">
        <v>8.6260000000000003E-2</v>
      </c>
      <c r="C378">
        <v>9.1800000000000007E-2</v>
      </c>
      <c r="D378">
        <v>8.4940000000000002E-2</v>
      </c>
      <c r="E378">
        <v>8.7859999999999994E-2</v>
      </c>
      <c r="F378">
        <v>7616572.7999999998</v>
      </c>
      <c r="G378">
        <v>1.85</v>
      </c>
      <c r="L378" t="s">
        <v>8</v>
      </c>
      <c r="M378" t="s">
        <v>8</v>
      </c>
      <c r="N378" t="s">
        <v>8</v>
      </c>
      <c r="P378">
        <f t="shared" si="969"/>
        <v>-0.14868804664723326</v>
      </c>
      <c r="Q378">
        <f t="shared" si="970"/>
        <v>-1132493.3317784481</v>
      </c>
      <c r="R378">
        <f t="shared" si="971"/>
        <v>-42935933.862069875</v>
      </c>
      <c r="S378">
        <f t="shared" si="972"/>
        <v>-429.35933862069874</v>
      </c>
      <c r="T378">
        <f t="shared" si="973"/>
        <v>-0.42935933862069875</v>
      </c>
    </row>
    <row r="379" spans="1:20" x14ac:dyDescent="0.25">
      <c r="A379" s="5">
        <v>44214</v>
      </c>
      <c r="B379">
        <v>8.4370000000000001E-2</v>
      </c>
      <c r="C379">
        <v>8.6489999999999997E-2</v>
      </c>
      <c r="D379">
        <v>7.9960000000000003E-2</v>
      </c>
      <c r="E379">
        <v>8.6249999999999993E-2</v>
      </c>
      <c r="F379">
        <v>4573041.5</v>
      </c>
      <c r="G379">
        <v>2.23</v>
      </c>
      <c r="L379" t="s">
        <v>7</v>
      </c>
      <c r="M379" t="s">
        <v>8</v>
      </c>
      <c r="N379" t="s">
        <v>8</v>
      </c>
      <c r="P379">
        <f t="shared" si="969"/>
        <v>0.92649310872894197</v>
      </c>
      <c r="Q379">
        <f t="shared" si="970"/>
        <v>4236891.4356814642</v>
      </c>
      <c r="R379">
        <f t="shared" si="971"/>
        <v>-41803440.530291423</v>
      </c>
      <c r="S379">
        <f t="shared" si="972"/>
        <v>-418.03440530291425</v>
      </c>
      <c r="T379">
        <f t="shared" si="973"/>
        <v>-0.41803440530291425</v>
      </c>
    </row>
    <row r="380" spans="1:20" x14ac:dyDescent="0.25">
      <c r="A380" s="5">
        <v>44213</v>
      </c>
      <c r="B380">
        <v>8.2220000000000001E-2</v>
      </c>
      <c r="C380">
        <v>8.9289999999999994E-2</v>
      </c>
      <c r="D380">
        <v>7.8E-2</v>
      </c>
      <c r="E380">
        <v>8.448E-2</v>
      </c>
      <c r="F380">
        <v>5790910</v>
      </c>
      <c r="G380">
        <v>2.75</v>
      </c>
      <c r="L380" t="s">
        <v>8</v>
      </c>
      <c r="M380" t="s">
        <v>8</v>
      </c>
      <c r="N380" t="s">
        <v>8</v>
      </c>
      <c r="P380">
        <f t="shared" si="969"/>
        <v>0.14791851195748501</v>
      </c>
      <c r="Q380">
        <f t="shared" si="970"/>
        <v>856582.7900797195</v>
      </c>
      <c r="R380">
        <f t="shared" si="971"/>
        <v>-46040331.965972885</v>
      </c>
      <c r="S380">
        <f t="shared" si="972"/>
        <v>-460.40331965972888</v>
      </c>
      <c r="T380">
        <f t="shared" si="973"/>
        <v>-0.46040331965972886</v>
      </c>
    </row>
    <row r="381" spans="1:20" x14ac:dyDescent="0.25">
      <c r="A381" s="5">
        <v>44212</v>
      </c>
      <c r="B381">
        <v>7.8270000000000006E-2</v>
      </c>
      <c r="C381">
        <v>8.4320000000000006E-2</v>
      </c>
      <c r="D381">
        <v>7.825E-2</v>
      </c>
      <c r="E381">
        <v>8.2879999999999995E-2</v>
      </c>
      <c r="F381">
        <v>2917651.7</v>
      </c>
      <c r="G381">
        <v>5.89</v>
      </c>
      <c r="L381" t="s">
        <v>8</v>
      </c>
      <c r="M381" t="s">
        <v>7</v>
      </c>
      <c r="N381" t="s">
        <v>8</v>
      </c>
      <c r="P381">
        <f t="shared" si="969"/>
        <v>0.52553542009884369</v>
      </c>
      <c r="Q381">
        <f t="shared" si="970"/>
        <v>1533329.3118616056</v>
      </c>
      <c r="R381">
        <f t="shared" si="971"/>
        <v>-46896914.756052606</v>
      </c>
      <c r="S381">
        <f t="shared" si="972"/>
        <v>-468.96914756052604</v>
      </c>
      <c r="T381">
        <f t="shared" si="973"/>
        <v>-0.46896914756052605</v>
      </c>
    </row>
    <row r="382" spans="1:20" x14ac:dyDescent="0.25">
      <c r="A382" s="5">
        <v>44211</v>
      </c>
      <c r="B382">
        <v>8.2379999999999995E-2</v>
      </c>
      <c r="C382">
        <v>8.5900000000000004E-2</v>
      </c>
      <c r="D382">
        <v>7.2270000000000001E-2</v>
      </c>
      <c r="E382">
        <v>7.8399999999999997E-2</v>
      </c>
      <c r="F382">
        <v>3984553.7</v>
      </c>
      <c r="G382">
        <v>-4.83</v>
      </c>
      <c r="L382" t="s">
        <v>7</v>
      </c>
      <c r="M382" t="s">
        <v>7</v>
      </c>
      <c r="N382" t="s">
        <v>8</v>
      </c>
      <c r="P382">
        <f t="shared" si="969"/>
        <v>-0.10051357300073439</v>
      </c>
      <c r="Q382">
        <f t="shared" si="970"/>
        <v>-400501.72920029634</v>
      </c>
      <c r="R382">
        <f t="shared" si="971"/>
        <v>-48430244.06791421</v>
      </c>
      <c r="S382">
        <f t="shared" si="972"/>
        <v>-484.30244067914208</v>
      </c>
      <c r="T382">
        <f t="shared" si="973"/>
        <v>-0.48430244067914208</v>
      </c>
    </row>
    <row r="383" spans="1:20" x14ac:dyDescent="0.25">
      <c r="A383" s="5">
        <v>44210</v>
      </c>
      <c r="B383">
        <v>7.8159999999999993E-2</v>
      </c>
      <c r="C383">
        <v>9.1999999999999998E-2</v>
      </c>
      <c r="D383">
        <v>7.5829999999999995E-2</v>
      </c>
      <c r="E383">
        <v>8.1839999999999996E-2</v>
      </c>
      <c r="F383">
        <v>9264058.9000000004</v>
      </c>
      <c r="G383">
        <v>4.71</v>
      </c>
      <c r="L383" t="s">
        <v>8</v>
      </c>
      <c r="M383" t="s">
        <v>8</v>
      </c>
      <c r="N383" t="s">
        <v>8</v>
      </c>
      <c r="P383">
        <f t="shared" si="969"/>
        <v>-0.25664811379097091</v>
      </c>
      <c r="Q383">
        <f t="shared" si="970"/>
        <v>-2377603.2427334571</v>
      </c>
      <c r="R383">
        <f t="shared" si="971"/>
        <v>-48029742.338713914</v>
      </c>
      <c r="S383">
        <f t="shared" si="972"/>
        <v>-480.29742338713913</v>
      </c>
      <c r="T383">
        <f t="shared" si="973"/>
        <v>-0.48029742338713916</v>
      </c>
    </row>
    <row r="384" spans="1:20" x14ac:dyDescent="0.25">
      <c r="A384" s="5">
        <v>44209</v>
      </c>
      <c r="B384">
        <v>7.0970000000000005E-2</v>
      </c>
      <c r="C384">
        <v>7.9689999999999997E-2</v>
      </c>
      <c r="D384">
        <v>6.9209999999999994E-2</v>
      </c>
      <c r="E384">
        <v>7.7950000000000005E-2</v>
      </c>
      <c r="F384">
        <v>3472482.5</v>
      </c>
      <c r="G384">
        <v>9.84</v>
      </c>
      <c r="L384" t="s">
        <v>8</v>
      </c>
      <c r="M384" t="s">
        <v>8</v>
      </c>
      <c r="N384" t="s">
        <v>7</v>
      </c>
      <c r="P384">
        <f t="shared" si="969"/>
        <v>0.66793893129771165</v>
      </c>
      <c r="Q384">
        <f t="shared" si="970"/>
        <v>2319406.2500000061</v>
      </c>
      <c r="R384">
        <f t="shared" si="971"/>
        <v>-45652139.095980458</v>
      </c>
      <c r="S384">
        <f t="shared" si="972"/>
        <v>-456.52139095980459</v>
      </c>
      <c r="T384">
        <f t="shared" si="973"/>
        <v>-0.4565213909598046</v>
      </c>
    </row>
    <row r="385" spans="1:20" x14ac:dyDescent="0.25">
      <c r="A385" s="5">
        <v>44208</v>
      </c>
      <c r="B385">
        <v>7.2480000000000003E-2</v>
      </c>
      <c r="C385">
        <v>7.5480000000000005E-2</v>
      </c>
      <c r="D385">
        <v>6.7599999999999993E-2</v>
      </c>
      <c r="E385">
        <v>7.1059999999999998E-2</v>
      </c>
      <c r="F385">
        <v>2231781.2999999998</v>
      </c>
      <c r="G385">
        <v>-1.96</v>
      </c>
      <c r="L385" t="s">
        <v>8</v>
      </c>
      <c r="M385" t="s">
        <v>8</v>
      </c>
      <c r="N385" t="s">
        <v>7</v>
      </c>
      <c r="P385">
        <f t="shared" si="969"/>
        <v>-0.12182741116751282</v>
      </c>
      <c r="Q385">
        <f t="shared" si="970"/>
        <v>-271892.13807106623</v>
      </c>
      <c r="R385">
        <f t="shared" si="971"/>
        <v>-47971545.345980465</v>
      </c>
      <c r="S385">
        <f t="shared" si="972"/>
        <v>-479.71545345980468</v>
      </c>
      <c r="T385">
        <f t="shared" si="973"/>
        <v>-0.47971545345980465</v>
      </c>
    </row>
    <row r="386" spans="1:20" x14ac:dyDescent="0.25">
      <c r="A386" s="5">
        <v>44207</v>
      </c>
      <c r="B386">
        <v>8.4209999999999993E-2</v>
      </c>
      <c r="C386">
        <v>8.6449999999999999E-2</v>
      </c>
      <c r="D386">
        <v>6.2080000000000003E-2</v>
      </c>
      <c r="E386">
        <v>7.2470000000000007E-2</v>
      </c>
      <c r="F386">
        <v>3941694.5</v>
      </c>
      <c r="G386">
        <v>-13.94</v>
      </c>
      <c r="L386" t="s">
        <v>7</v>
      </c>
      <c r="M386" t="s">
        <v>7</v>
      </c>
      <c r="N386" t="s">
        <v>7</v>
      </c>
      <c r="P386">
        <f t="shared" si="969"/>
        <v>-0.14731226918342183</v>
      </c>
      <c r="Q386">
        <f t="shared" si="970"/>
        <v>-580659.96122281335</v>
      </c>
      <c r="R386">
        <f t="shared" si="971"/>
        <v>-47699653.207909398</v>
      </c>
      <c r="S386">
        <f t="shared" si="972"/>
        <v>-476.99653207909398</v>
      </c>
      <c r="T386">
        <f t="shared" si="973"/>
        <v>-0.47699653207909398</v>
      </c>
    </row>
    <row r="387" spans="1:20" x14ac:dyDescent="0.25">
      <c r="A387" s="5">
        <v>44206</v>
      </c>
      <c r="B387">
        <v>8.7980000000000003E-2</v>
      </c>
      <c r="C387">
        <v>9.0050000000000005E-2</v>
      </c>
      <c r="D387">
        <v>7.9509999999999997E-2</v>
      </c>
      <c r="E387">
        <v>8.3900000000000002E-2</v>
      </c>
      <c r="F387">
        <v>5223747.9000000004</v>
      </c>
      <c r="G387">
        <v>-4.6399999999999997</v>
      </c>
      <c r="L387" t="s">
        <v>7</v>
      </c>
      <c r="M387" t="s">
        <v>7</v>
      </c>
      <c r="N387" t="s">
        <v>8</v>
      </c>
      <c r="P387">
        <f t="shared" si="969"/>
        <v>-0.16698292220113817</v>
      </c>
      <c r="Q387">
        <f t="shared" si="970"/>
        <v>-872276.68918405892</v>
      </c>
      <c r="R387">
        <f t="shared" si="971"/>
        <v>-47118993.246686585</v>
      </c>
      <c r="S387">
        <f t="shared" si="972"/>
        <v>-471.18993246686586</v>
      </c>
      <c r="T387">
        <f t="shared" si="973"/>
        <v>-0.47118993246686586</v>
      </c>
    </row>
    <row r="388" spans="1:20" x14ac:dyDescent="0.25">
      <c r="A388" s="5">
        <v>44205</v>
      </c>
      <c r="B388">
        <v>8.3449999999999996E-2</v>
      </c>
      <c r="C388">
        <v>9.0120000000000006E-2</v>
      </c>
      <c r="D388">
        <v>7.9000000000000001E-2</v>
      </c>
      <c r="E388">
        <v>8.8499999999999995E-2</v>
      </c>
      <c r="F388">
        <v>7649449.2000000002</v>
      </c>
      <c r="G388">
        <v>6.05</v>
      </c>
      <c r="L388" t="s">
        <v>8</v>
      </c>
      <c r="M388" t="s">
        <v>7</v>
      </c>
      <c r="N388" t="s">
        <v>8</v>
      </c>
      <c r="P388">
        <f t="shared" si="969"/>
        <v>0.70863309352517811</v>
      </c>
      <c r="Q388">
        <f t="shared" si="970"/>
        <v>5420652.8503596988</v>
      </c>
      <c r="R388">
        <f t="shared" si="971"/>
        <v>-46246716.557502523</v>
      </c>
      <c r="S388">
        <f t="shared" si="972"/>
        <v>-462.46716557502521</v>
      </c>
      <c r="T388">
        <f t="shared" si="973"/>
        <v>-0.46246716557502521</v>
      </c>
    </row>
    <row r="389" spans="1:20" x14ac:dyDescent="0.25">
      <c r="A389" s="5">
        <v>44204</v>
      </c>
      <c r="B389">
        <v>9.0179999999999996E-2</v>
      </c>
      <c r="C389">
        <v>9.0520000000000003E-2</v>
      </c>
      <c r="D389">
        <v>7.6369999999999993E-2</v>
      </c>
      <c r="E389">
        <v>8.344E-2</v>
      </c>
      <c r="F389">
        <v>5143886.7</v>
      </c>
      <c r="G389">
        <v>-7.47</v>
      </c>
      <c r="L389" t="s">
        <v>7</v>
      </c>
      <c r="M389" t="s">
        <v>7</v>
      </c>
      <c r="N389" t="s">
        <v>8</v>
      </c>
      <c r="P389">
        <f t="shared" si="969"/>
        <v>-7.0671378091845347E-4</v>
      </c>
      <c r="Q389">
        <f t="shared" si="970"/>
        <v>-3635.2556183731467</v>
      </c>
      <c r="R389">
        <f t="shared" si="971"/>
        <v>-51667369.407862224</v>
      </c>
      <c r="S389">
        <f t="shared" si="972"/>
        <v>-516.67369407862225</v>
      </c>
      <c r="T389">
        <f t="shared" si="973"/>
        <v>-0.51667369407862229</v>
      </c>
    </row>
    <row r="390" spans="1:20" x14ac:dyDescent="0.25">
      <c r="A390" s="5">
        <v>44203</v>
      </c>
      <c r="B390">
        <v>7.8560000000000005E-2</v>
      </c>
      <c r="C390">
        <v>9.6180000000000002E-2</v>
      </c>
      <c r="D390">
        <v>7.7399999999999997E-2</v>
      </c>
      <c r="E390">
        <v>9.0179999999999996E-2</v>
      </c>
      <c r="F390">
        <v>9697177.1999999993</v>
      </c>
      <c r="G390">
        <v>14.79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0.36102236421725198</v>
      </c>
      <c r="Q390">
        <f t="shared" ref="Q390:Q453" si="975">F390*P390</f>
        <v>3500897.8389776316</v>
      </c>
      <c r="R390">
        <f t="shared" ref="R390:R453" si="976">R391+Q390</f>
        <v>-51663734.152243853</v>
      </c>
      <c r="S390">
        <f t="shared" ref="S390:S453" si="977">R390/100000</f>
        <v>-516.63734152243853</v>
      </c>
      <c r="T390">
        <f t="shared" ref="T390:T453" si="978">S390/1000</f>
        <v>-0.51663734152243856</v>
      </c>
    </row>
    <row r="391" spans="1:20" x14ac:dyDescent="0.25">
      <c r="A391" s="5">
        <v>44202</v>
      </c>
      <c r="B391">
        <v>7.3050000000000004E-2</v>
      </c>
      <c r="C391">
        <v>7.9000000000000001E-2</v>
      </c>
      <c r="D391">
        <v>7.1669999999999998E-2</v>
      </c>
      <c r="E391">
        <v>7.8570000000000001E-2</v>
      </c>
      <c r="F391">
        <v>3946198.3</v>
      </c>
      <c r="G391">
        <v>7.56</v>
      </c>
      <c r="L391" t="s">
        <v>8</v>
      </c>
      <c r="M391" t="s">
        <v>7</v>
      </c>
      <c r="N391" t="s">
        <v>7</v>
      </c>
      <c r="P391">
        <f t="shared" si="974"/>
        <v>0.8826739427012279</v>
      </c>
      <c r="Q391">
        <f t="shared" si="975"/>
        <v>3483206.4121418828</v>
      </c>
      <c r="R391">
        <f t="shared" si="976"/>
        <v>-55164631.991221488</v>
      </c>
      <c r="S391">
        <f t="shared" si="977"/>
        <v>-551.64631991221484</v>
      </c>
      <c r="T391">
        <f t="shared" si="978"/>
        <v>-0.5516463199122148</v>
      </c>
    </row>
    <row r="392" spans="1:20" x14ac:dyDescent="0.25">
      <c r="A392" s="5">
        <v>44201</v>
      </c>
      <c r="B392">
        <v>7.1720000000000006E-2</v>
      </c>
      <c r="C392">
        <v>7.3889999999999997E-2</v>
      </c>
      <c r="D392">
        <v>6.837E-2</v>
      </c>
      <c r="E392">
        <v>7.3050000000000004E-2</v>
      </c>
      <c r="F392">
        <v>2769340.5</v>
      </c>
      <c r="G392">
        <v>1.85</v>
      </c>
      <c r="L392" t="s">
        <v>8</v>
      </c>
      <c r="M392" t="s">
        <v>7</v>
      </c>
      <c r="N392" t="s">
        <v>7</v>
      </c>
      <c r="P392">
        <f t="shared" si="974"/>
        <v>0.69565217391304568</v>
      </c>
      <c r="Q392">
        <f t="shared" si="975"/>
        <v>1926497.7391304409</v>
      </c>
      <c r="R392">
        <f t="shared" si="976"/>
        <v>-58647838.403363369</v>
      </c>
      <c r="S392">
        <f t="shared" si="977"/>
        <v>-586.47838403363369</v>
      </c>
      <c r="T392">
        <f t="shared" si="978"/>
        <v>-0.58647838403363373</v>
      </c>
    </row>
    <row r="393" spans="1:20" x14ac:dyDescent="0.25">
      <c r="A393" s="5">
        <v>44200</v>
      </c>
      <c r="B393">
        <v>7.6969999999999997E-2</v>
      </c>
      <c r="C393">
        <v>0.08</v>
      </c>
      <c r="D393">
        <v>6.5869999999999998E-2</v>
      </c>
      <c r="E393">
        <v>7.1379999999999999E-2</v>
      </c>
      <c r="F393">
        <v>5381433.0999999996</v>
      </c>
      <c r="G393">
        <v>-7.26</v>
      </c>
      <c r="L393" t="s">
        <v>7</v>
      </c>
      <c r="M393" t="s">
        <v>7</v>
      </c>
      <c r="N393" t="s">
        <v>7</v>
      </c>
      <c r="P393">
        <f t="shared" si="974"/>
        <v>-0.22009907997169151</v>
      </c>
      <c r="Q393">
        <f t="shared" si="975"/>
        <v>-1184448.4742392076</v>
      </c>
      <c r="R393">
        <f t="shared" si="976"/>
        <v>-60574336.142493807</v>
      </c>
      <c r="S393">
        <f t="shared" si="977"/>
        <v>-605.74336142493803</v>
      </c>
      <c r="T393">
        <f t="shared" si="978"/>
        <v>-0.60574336142493801</v>
      </c>
    </row>
    <row r="394" spans="1:20" x14ac:dyDescent="0.25">
      <c r="A394" s="5">
        <v>44199</v>
      </c>
      <c r="B394">
        <v>7.6829999999999996E-2</v>
      </c>
      <c r="C394">
        <v>7.9799999999999996E-2</v>
      </c>
      <c r="D394">
        <v>7.3499999999999996E-2</v>
      </c>
      <c r="E394">
        <v>7.6969999999999997E-2</v>
      </c>
      <c r="F394">
        <v>6354133.5999999996</v>
      </c>
      <c r="G394">
        <v>0.18</v>
      </c>
      <c r="L394" t="s">
        <v>8</v>
      </c>
      <c r="M394" t="s">
        <v>7</v>
      </c>
      <c r="N394" t="s">
        <v>8</v>
      </c>
      <c r="P394">
        <f t="shared" si="974"/>
        <v>0.10158730158730185</v>
      </c>
      <c r="Q394">
        <f t="shared" si="975"/>
        <v>645499.28634920798</v>
      </c>
      <c r="R394">
        <f t="shared" si="976"/>
        <v>-59389887.668254599</v>
      </c>
      <c r="S394">
        <f t="shared" si="977"/>
        <v>-593.89887668254596</v>
      </c>
      <c r="T394">
        <f t="shared" si="978"/>
        <v>-0.59389887668254593</v>
      </c>
    </row>
    <row r="395" spans="1:20" x14ac:dyDescent="0.25">
      <c r="A395" s="5">
        <v>44198</v>
      </c>
      <c r="B395">
        <v>8.2909999999999998E-2</v>
      </c>
      <c r="C395">
        <v>8.9080000000000006E-2</v>
      </c>
      <c r="D395">
        <v>7.3200000000000001E-2</v>
      </c>
      <c r="E395">
        <v>7.6850000000000002E-2</v>
      </c>
      <c r="F395">
        <v>7491679.7999999998</v>
      </c>
      <c r="G395">
        <v>-7.31</v>
      </c>
      <c r="L395" t="s">
        <v>7</v>
      </c>
      <c r="M395" t="s">
        <v>7</v>
      </c>
      <c r="N395" t="s">
        <v>8</v>
      </c>
      <c r="P395">
        <f t="shared" si="974"/>
        <v>-0.54030226700251893</v>
      </c>
      <c r="Q395">
        <f t="shared" si="975"/>
        <v>-4047771.5795969777</v>
      </c>
      <c r="R395">
        <f t="shared" si="976"/>
        <v>-60035386.954603806</v>
      </c>
      <c r="S395">
        <f t="shared" si="977"/>
        <v>-600.35386954603803</v>
      </c>
      <c r="T395">
        <f t="shared" si="978"/>
        <v>-0.60035386954603798</v>
      </c>
    </row>
    <row r="396" spans="1:20" x14ac:dyDescent="0.25">
      <c r="A396" s="5">
        <v>44197</v>
      </c>
      <c r="B396">
        <v>7.1540000000000006E-2</v>
      </c>
      <c r="C396">
        <v>9.4089999999999993E-2</v>
      </c>
      <c r="D396">
        <v>7.0849999999999996E-2</v>
      </c>
      <c r="E396">
        <v>8.2830000000000001E-2</v>
      </c>
      <c r="F396">
        <v>14887840.699999999</v>
      </c>
      <c r="G396">
        <v>15.78</v>
      </c>
      <c r="L396" t="s">
        <v>8</v>
      </c>
      <c r="M396" t="s">
        <v>8</v>
      </c>
      <c r="N396" t="s">
        <v>8</v>
      </c>
      <c r="P396">
        <f t="shared" si="974"/>
        <v>3.0981067125645974E-2</v>
      </c>
      <c r="Q396">
        <f t="shared" si="975"/>
        <v>461241.19208262413</v>
      </c>
      <c r="R396">
        <f t="shared" si="976"/>
        <v>-55987615.375006825</v>
      </c>
      <c r="S396">
        <f t="shared" si="977"/>
        <v>-559.87615375006828</v>
      </c>
      <c r="T396">
        <f t="shared" si="978"/>
        <v>-0.55987615375006827</v>
      </c>
    </row>
    <row r="397" spans="1:20" x14ac:dyDescent="0.25">
      <c r="A397" s="5">
        <v>44196</v>
      </c>
      <c r="B397">
        <v>7.0999999999999994E-2</v>
      </c>
      <c r="C397">
        <v>7.4079999999999993E-2</v>
      </c>
      <c r="D397">
        <v>6.8279999999999993E-2</v>
      </c>
      <c r="E397">
        <v>7.1620000000000003E-2</v>
      </c>
      <c r="F397">
        <v>2816458.3</v>
      </c>
      <c r="G397">
        <v>0.87</v>
      </c>
      <c r="L397" t="s">
        <v>7</v>
      </c>
      <c r="M397" t="s">
        <v>7</v>
      </c>
      <c r="N397" t="s">
        <v>7</v>
      </c>
      <c r="P397">
        <f t="shared" si="974"/>
        <v>0.15172413793103789</v>
      </c>
      <c r="Q397">
        <f t="shared" si="975"/>
        <v>427324.70758621645</v>
      </c>
      <c r="R397">
        <f t="shared" si="976"/>
        <v>-56448856.567089446</v>
      </c>
      <c r="S397">
        <f t="shared" si="977"/>
        <v>-564.48856567089445</v>
      </c>
      <c r="T397">
        <f t="shared" si="978"/>
        <v>-0.56448856567089445</v>
      </c>
    </row>
    <row r="398" spans="1:20" x14ac:dyDescent="0.25">
      <c r="A398" s="5">
        <v>44195</v>
      </c>
      <c r="B398">
        <v>6.4619999999999997E-2</v>
      </c>
      <c r="C398">
        <v>7.911E-2</v>
      </c>
      <c r="D398">
        <v>6.3780000000000003E-2</v>
      </c>
      <c r="E398">
        <v>7.0889999999999995E-2</v>
      </c>
      <c r="F398">
        <v>7169753.2999999998</v>
      </c>
      <c r="G398">
        <v>9.6999999999999993</v>
      </c>
      <c r="L398" t="s">
        <v>8</v>
      </c>
      <c r="M398" t="s">
        <v>8</v>
      </c>
      <c r="N398" t="s">
        <v>7</v>
      </c>
      <c r="P398">
        <f t="shared" si="974"/>
        <v>-7.2407045009785648E-2</v>
      </c>
      <c r="Q398">
        <f t="shared" si="975"/>
        <v>-519140.64990215917</v>
      </c>
      <c r="R398">
        <f t="shared" si="976"/>
        <v>-56876181.27467566</v>
      </c>
      <c r="S398">
        <f t="shared" si="977"/>
        <v>-568.76181274675662</v>
      </c>
      <c r="T398">
        <f t="shared" si="978"/>
        <v>-0.56876181274675663</v>
      </c>
    </row>
    <row r="399" spans="1:20" x14ac:dyDescent="0.25">
      <c r="A399" s="5">
        <v>44194</v>
      </c>
      <c r="B399">
        <v>6.7790000000000003E-2</v>
      </c>
      <c r="C399">
        <v>6.7790000000000003E-2</v>
      </c>
      <c r="D399">
        <v>6.2E-2</v>
      </c>
      <c r="E399">
        <v>6.4850000000000005E-2</v>
      </c>
      <c r="F399">
        <v>2554158.1</v>
      </c>
      <c r="G399">
        <v>-4.34</v>
      </c>
      <c r="L399" t="s">
        <v>7</v>
      </c>
      <c r="M399" t="s">
        <v>8</v>
      </c>
      <c r="N399" t="s">
        <v>7</v>
      </c>
      <c r="P399">
        <f t="shared" si="974"/>
        <v>-1.554404145077596E-2</v>
      </c>
      <c r="Q399">
        <f t="shared" si="975"/>
        <v>-39701.939378235169</v>
      </c>
      <c r="R399">
        <f t="shared" si="976"/>
        <v>-56357040.624773502</v>
      </c>
      <c r="S399">
        <f t="shared" si="977"/>
        <v>-563.57040624773504</v>
      </c>
      <c r="T399">
        <f t="shared" si="978"/>
        <v>-0.56357040624773502</v>
      </c>
    </row>
    <row r="400" spans="1:20" x14ac:dyDescent="0.25">
      <c r="A400" s="5">
        <v>44193</v>
      </c>
      <c r="B400">
        <v>6.6229999999999997E-2</v>
      </c>
      <c r="C400">
        <v>7.2080000000000005E-2</v>
      </c>
      <c r="D400">
        <v>6.6229999999999997E-2</v>
      </c>
      <c r="E400">
        <v>6.7809999999999995E-2</v>
      </c>
      <c r="F400">
        <v>2388460.1</v>
      </c>
      <c r="G400">
        <v>2.39</v>
      </c>
      <c r="L400" t="s">
        <v>7</v>
      </c>
      <c r="M400" t="s">
        <v>8</v>
      </c>
      <c r="N400" t="s">
        <v>7</v>
      </c>
      <c r="P400">
        <f t="shared" si="974"/>
        <v>-0.45982905982906125</v>
      </c>
      <c r="Q400">
        <f t="shared" si="975"/>
        <v>-1098283.3622222256</v>
      </c>
      <c r="R400">
        <f t="shared" si="976"/>
        <v>-56317338.685395271</v>
      </c>
      <c r="S400">
        <f t="shared" si="977"/>
        <v>-563.17338685395271</v>
      </c>
      <c r="T400">
        <f t="shared" si="978"/>
        <v>-0.56317338685395268</v>
      </c>
    </row>
    <row r="401" spans="1:20" x14ac:dyDescent="0.25">
      <c r="A401" s="5">
        <v>44192</v>
      </c>
      <c r="B401">
        <v>6.547E-2</v>
      </c>
      <c r="C401">
        <v>7.3800000000000004E-2</v>
      </c>
      <c r="D401">
        <v>6.4479999999999996E-2</v>
      </c>
      <c r="E401">
        <v>6.6229999999999997E-2</v>
      </c>
      <c r="F401">
        <v>2864409.2</v>
      </c>
      <c r="G401">
        <v>1.1599999999999999</v>
      </c>
      <c r="L401" t="s">
        <v>8</v>
      </c>
      <c r="M401" t="s">
        <v>8</v>
      </c>
      <c r="N401" t="s">
        <v>7</v>
      </c>
      <c r="P401">
        <f t="shared" si="974"/>
        <v>-0.62446351931330479</v>
      </c>
      <c r="Q401">
        <f t="shared" si="975"/>
        <v>-1788719.049785408</v>
      </c>
      <c r="R401">
        <f t="shared" si="976"/>
        <v>-55219055.323173046</v>
      </c>
      <c r="S401">
        <f t="shared" si="977"/>
        <v>-552.19055323173041</v>
      </c>
      <c r="T401">
        <f t="shared" si="978"/>
        <v>-0.55219055323173039</v>
      </c>
    </row>
    <row r="402" spans="1:20" x14ac:dyDescent="0.25">
      <c r="A402" s="5">
        <v>44191</v>
      </c>
      <c r="B402">
        <v>6.7159999999999997E-2</v>
      </c>
      <c r="C402">
        <v>6.7320000000000005E-2</v>
      </c>
      <c r="D402">
        <v>6.0080000000000001E-2</v>
      </c>
      <c r="E402">
        <v>6.5629999999999994E-2</v>
      </c>
      <c r="F402">
        <v>1502439.4</v>
      </c>
      <c r="G402">
        <v>-2.2799999999999998</v>
      </c>
      <c r="L402" t="s">
        <v>7</v>
      </c>
      <c r="M402" t="s">
        <v>7</v>
      </c>
      <c r="N402" t="s">
        <v>7</v>
      </c>
      <c r="P402">
        <f t="shared" si="974"/>
        <v>0.53314917127071548</v>
      </c>
      <c r="Q402">
        <f t="shared" si="975"/>
        <v>801024.32099447097</v>
      </c>
      <c r="R402">
        <f t="shared" si="976"/>
        <v>-53430336.273387641</v>
      </c>
      <c r="S402">
        <f t="shared" si="977"/>
        <v>-534.30336273387638</v>
      </c>
      <c r="T402">
        <f t="shared" si="978"/>
        <v>-0.53430336273387635</v>
      </c>
    </row>
    <row r="403" spans="1:20" x14ac:dyDescent="0.25">
      <c r="A403" s="5">
        <v>44190</v>
      </c>
      <c r="B403">
        <v>6.7699999999999996E-2</v>
      </c>
      <c r="C403">
        <v>7.2169999999999998E-2</v>
      </c>
      <c r="D403">
        <v>6.4780000000000004E-2</v>
      </c>
      <c r="E403">
        <v>6.7349999999999993E-2</v>
      </c>
      <c r="F403">
        <v>1636252.4</v>
      </c>
      <c r="G403">
        <v>-0.52</v>
      </c>
      <c r="L403" t="s">
        <v>8</v>
      </c>
      <c r="M403" t="s">
        <v>8</v>
      </c>
      <c r="N403" t="s">
        <v>7</v>
      </c>
      <c r="P403">
        <f t="shared" si="974"/>
        <v>-0.30446549391069255</v>
      </c>
      <c r="Q403">
        <f t="shared" si="975"/>
        <v>-498182.39512855606</v>
      </c>
      <c r="R403">
        <f t="shared" si="976"/>
        <v>-54231360.594382115</v>
      </c>
      <c r="S403">
        <f t="shared" si="977"/>
        <v>-542.31360594382113</v>
      </c>
      <c r="T403">
        <f t="shared" si="978"/>
        <v>-0.54231360594382116</v>
      </c>
    </row>
    <row r="404" spans="1:20" x14ac:dyDescent="0.25">
      <c r="A404" s="5">
        <v>44189</v>
      </c>
      <c r="B404">
        <v>6.1310000000000003E-2</v>
      </c>
      <c r="C404">
        <v>6.7699999999999996E-2</v>
      </c>
      <c r="D404">
        <v>5.8999999999999997E-2</v>
      </c>
      <c r="E404">
        <v>6.7699999999999996E-2</v>
      </c>
      <c r="F404">
        <v>2778867.6</v>
      </c>
      <c r="G404">
        <v>10.42</v>
      </c>
      <c r="L404" t="s">
        <v>8</v>
      </c>
      <c r="M404" t="s">
        <v>7</v>
      </c>
      <c r="N404" t="s">
        <v>7</v>
      </c>
      <c r="P404">
        <f t="shared" si="974"/>
        <v>1</v>
      </c>
      <c r="Q404">
        <f t="shared" si="975"/>
        <v>2778867.6</v>
      </c>
      <c r="R404">
        <f t="shared" si="976"/>
        <v>-53733178.199253559</v>
      </c>
      <c r="S404">
        <f t="shared" si="977"/>
        <v>-537.33178199253564</v>
      </c>
      <c r="T404">
        <f t="shared" si="978"/>
        <v>-0.53733178199253562</v>
      </c>
    </row>
    <row r="405" spans="1:20" x14ac:dyDescent="0.25">
      <c r="A405" s="5">
        <v>44188</v>
      </c>
      <c r="B405">
        <v>6.8419999999999995E-2</v>
      </c>
      <c r="C405">
        <v>6.9800000000000001E-2</v>
      </c>
      <c r="D405">
        <v>5.944E-2</v>
      </c>
      <c r="E405">
        <v>6.0990000000000003E-2</v>
      </c>
      <c r="F405">
        <v>2362612.2000000002</v>
      </c>
      <c r="G405">
        <v>-10.86</v>
      </c>
      <c r="L405" t="s">
        <v>7</v>
      </c>
      <c r="M405" t="s">
        <v>7</v>
      </c>
      <c r="N405" t="s">
        <v>7</v>
      </c>
      <c r="P405">
        <f t="shared" si="974"/>
        <v>-0.70077220077220026</v>
      </c>
      <c r="Q405">
        <f t="shared" si="975"/>
        <v>-1655652.9509652499</v>
      </c>
      <c r="R405">
        <f t="shared" si="976"/>
        <v>-56512045.799253561</v>
      </c>
      <c r="S405">
        <f t="shared" si="977"/>
        <v>-565.12045799253565</v>
      </c>
      <c r="T405">
        <f t="shared" si="978"/>
        <v>-0.56512045799253563</v>
      </c>
    </row>
    <row r="406" spans="1:20" x14ac:dyDescent="0.25">
      <c r="A406" s="5">
        <v>44187</v>
      </c>
      <c r="B406">
        <v>6.8779999999999994E-2</v>
      </c>
      <c r="C406">
        <v>6.9449999999999998E-2</v>
      </c>
      <c r="D406">
        <v>6.5540000000000001E-2</v>
      </c>
      <c r="E406">
        <v>6.855E-2</v>
      </c>
      <c r="F406">
        <v>1482534</v>
      </c>
      <c r="G406">
        <v>-0.33</v>
      </c>
      <c r="L406" t="s">
        <v>7</v>
      </c>
      <c r="M406" t="s">
        <v>7</v>
      </c>
      <c r="N406" t="s">
        <v>8</v>
      </c>
      <c r="P406">
        <f t="shared" si="974"/>
        <v>0.53964194373401597</v>
      </c>
      <c r="Q406">
        <f t="shared" si="975"/>
        <v>800037.52941176563</v>
      </c>
      <c r="R406">
        <f t="shared" si="976"/>
        <v>-54856392.848288313</v>
      </c>
      <c r="S406">
        <f t="shared" si="977"/>
        <v>-548.56392848288317</v>
      </c>
      <c r="T406">
        <f t="shared" si="978"/>
        <v>-0.54856392848288316</v>
      </c>
    </row>
    <row r="407" spans="1:20" x14ac:dyDescent="0.25">
      <c r="A407" s="5">
        <v>44186</v>
      </c>
      <c r="B407">
        <v>7.3209999999999997E-2</v>
      </c>
      <c r="C407">
        <v>7.6310000000000003E-2</v>
      </c>
      <c r="D407">
        <v>6.5519999999999995E-2</v>
      </c>
      <c r="E407">
        <v>6.8970000000000004E-2</v>
      </c>
      <c r="F407">
        <v>4121866</v>
      </c>
      <c r="G407">
        <v>-5.79</v>
      </c>
      <c r="L407" t="s">
        <v>7</v>
      </c>
      <c r="M407" t="s">
        <v>7</v>
      </c>
      <c r="N407" t="s">
        <v>8</v>
      </c>
      <c r="P407">
        <f t="shared" si="974"/>
        <v>-0.36051899907321483</v>
      </c>
      <c r="Q407">
        <f t="shared" si="975"/>
        <v>-1486011.0046339156</v>
      </c>
      <c r="R407">
        <f t="shared" si="976"/>
        <v>-55656430.377700076</v>
      </c>
      <c r="S407">
        <f t="shared" si="977"/>
        <v>-556.56430377700076</v>
      </c>
      <c r="T407">
        <f t="shared" si="978"/>
        <v>-0.55656430377700072</v>
      </c>
    </row>
    <row r="408" spans="1:20" x14ac:dyDescent="0.25">
      <c r="A408" s="5">
        <v>44185</v>
      </c>
      <c r="B408">
        <v>7.4749999999999997E-2</v>
      </c>
      <c r="C408">
        <v>8.8690000000000005E-2</v>
      </c>
      <c r="D408">
        <v>7.1169999999999997E-2</v>
      </c>
      <c r="E408">
        <v>7.3639999999999997E-2</v>
      </c>
      <c r="F408">
        <v>14562041.4</v>
      </c>
      <c r="G408">
        <v>-1.48</v>
      </c>
      <c r="L408" t="s">
        <v>8</v>
      </c>
      <c r="M408" t="s">
        <v>8</v>
      </c>
      <c r="N408" t="s">
        <v>8</v>
      </c>
      <c r="P408">
        <f t="shared" si="974"/>
        <v>-0.71803652968036547</v>
      </c>
      <c r="Q408">
        <f t="shared" si="975"/>
        <v>-10456077.671917811</v>
      </c>
      <c r="R408">
        <f t="shared" si="976"/>
        <v>-54170419.373066157</v>
      </c>
      <c r="S408">
        <f t="shared" si="977"/>
        <v>-541.70419373066159</v>
      </c>
      <c r="T408">
        <f t="shared" si="978"/>
        <v>-0.54170419373066159</v>
      </c>
    </row>
    <row r="409" spans="1:20" x14ac:dyDescent="0.25">
      <c r="A409" s="5">
        <v>44184</v>
      </c>
      <c r="B409">
        <v>7.1059999999999998E-2</v>
      </c>
      <c r="C409">
        <v>7.9560000000000006E-2</v>
      </c>
      <c r="D409">
        <v>7.1059999999999998E-2</v>
      </c>
      <c r="E409">
        <v>7.4520000000000003E-2</v>
      </c>
      <c r="F409">
        <v>6627493.4000000004</v>
      </c>
      <c r="G409">
        <v>4.87</v>
      </c>
      <c r="L409" t="s">
        <v>8</v>
      </c>
      <c r="M409" t="s">
        <v>8</v>
      </c>
      <c r="N409" t="s">
        <v>7</v>
      </c>
      <c r="P409">
        <f t="shared" si="974"/>
        <v>-0.18588235294117608</v>
      </c>
      <c r="Q409">
        <f t="shared" si="975"/>
        <v>-1231934.0672941152</v>
      </c>
      <c r="R409">
        <f t="shared" si="976"/>
        <v>-43714341.701148346</v>
      </c>
      <c r="S409">
        <f t="shared" si="977"/>
        <v>-437.14341701148345</v>
      </c>
      <c r="T409">
        <f t="shared" si="978"/>
        <v>-0.43714341701148346</v>
      </c>
    </row>
    <row r="410" spans="1:20" x14ac:dyDescent="0.25">
      <c r="A410" s="5">
        <v>44183</v>
      </c>
      <c r="B410">
        <v>6.8169999999999994E-2</v>
      </c>
      <c r="C410">
        <v>7.4870000000000006E-2</v>
      </c>
      <c r="D410">
        <v>6.6500000000000004E-2</v>
      </c>
      <c r="E410">
        <v>7.1059999999999998E-2</v>
      </c>
      <c r="F410">
        <v>4828161.5</v>
      </c>
      <c r="G410">
        <v>4.24</v>
      </c>
      <c r="L410" t="s">
        <v>8</v>
      </c>
      <c r="M410" t="s">
        <v>8</v>
      </c>
      <c r="N410" t="s">
        <v>7</v>
      </c>
      <c r="P410">
        <f t="shared" si="974"/>
        <v>8.9605734767023479E-2</v>
      </c>
      <c r="Q410">
        <f t="shared" si="975"/>
        <v>432630.95878135425</v>
      </c>
      <c r="R410">
        <f t="shared" si="976"/>
        <v>-42482407.633854233</v>
      </c>
      <c r="S410">
        <f t="shared" si="977"/>
        <v>-424.82407633854234</v>
      </c>
      <c r="T410">
        <f t="shared" si="978"/>
        <v>-0.42482407633854236</v>
      </c>
    </row>
    <row r="411" spans="1:20" x14ac:dyDescent="0.25">
      <c r="A411" s="5">
        <v>44182</v>
      </c>
      <c r="B411">
        <v>6.8690000000000001E-2</v>
      </c>
      <c r="C411">
        <v>7.3569999999999997E-2</v>
      </c>
      <c r="D411">
        <v>6.6299999999999998E-2</v>
      </c>
      <c r="E411">
        <v>6.8110000000000004E-2</v>
      </c>
      <c r="F411">
        <v>4858802.2</v>
      </c>
      <c r="G411">
        <v>-0.84</v>
      </c>
      <c r="L411" t="s">
        <v>8</v>
      </c>
      <c r="M411" t="s">
        <v>8</v>
      </c>
      <c r="N411" t="s">
        <v>7</v>
      </c>
      <c r="P411">
        <f t="shared" si="974"/>
        <v>-0.50206327372764614</v>
      </c>
      <c r="Q411">
        <f t="shared" si="975"/>
        <v>-2439426.1389270895</v>
      </c>
      <c r="R411">
        <f t="shared" si="976"/>
        <v>-42915038.592635587</v>
      </c>
      <c r="S411">
        <f t="shared" si="977"/>
        <v>-429.15038592635585</v>
      </c>
      <c r="T411">
        <f t="shared" si="978"/>
        <v>-0.42915038592635585</v>
      </c>
    </row>
    <row r="412" spans="1:20" x14ac:dyDescent="0.25">
      <c r="A412" s="5">
        <v>44181</v>
      </c>
      <c r="B412">
        <v>6.7780000000000007E-2</v>
      </c>
      <c r="C412">
        <v>6.9419999999999996E-2</v>
      </c>
      <c r="D412">
        <v>6.5250000000000002E-2</v>
      </c>
      <c r="E412">
        <v>6.9019999999999998E-2</v>
      </c>
      <c r="F412">
        <v>3484968.3</v>
      </c>
      <c r="G412">
        <v>1.83</v>
      </c>
      <c r="L412" t="s">
        <v>7</v>
      </c>
      <c r="M412" t="s">
        <v>8</v>
      </c>
      <c r="N412" t="s">
        <v>7</v>
      </c>
      <c r="P412">
        <f t="shared" si="974"/>
        <v>0.80815347721822628</v>
      </c>
      <c r="Q412">
        <f t="shared" si="975"/>
        <v>2816389.2496402906</v>
      </c>
      <c r="R412">
        <f t="shared" si="976"/>
        <v>-40475612.4537085</v>
      </c>
      <c r="S412">
        <f t="shared" si="977"/>
        <v>-404.75612453708499</v>
      </c>
      <c r="T412">
        <f t="shared" si="978"/>
        <v>-0.40475612453708498</v>
      </c>
    </row>
    <row r="413" spans="1:20" x14ac:dyDescent="0.25">
      <c r="A413" s="5">
        <v>44180</v>
      </c>
      <c r="B413">
        <v>6.6489999999999994E-2</v>
      </c>
      <c r="C413">
        <v>7.8789999999999999E-2</v>
      </c>
      <c r="D413">
        <v>6.3909999999999995E-2</v>
      </c>
      <c r="E413">
        <v>6.8129999999999996E-2</v>
      </c>
      <c r="F413">
        <v>8546203.4000000004</v>
      </c>
      <c r="G413">
        <v>2.4700000000000002</v>
      </c>
      <c r="L413" t="s">
        <v>8</v>
      </c>
      <c r="M413" t="s">
        <v>8</v>
      </c>
      <c r="N413" t="s">
        <v>7</v>
      </c>
      <c r="P413">
        <f t="shared" si="974"/>
        <v>-0.43279569892473113</v>
      </c>
      <c r="Q413">
        <f t="shared" si="975"/>
        <v>-3698760.0736559136</v>
      </c>
      <c r="R413">
        <f t="shared" si="976"/>
        <v>-43292001.703348793</v>
      </c>
      <c r="S413">
        <f t="shared" si="977"/>
        <v>-432.92001703348791</v>
      </c>
      <c r="T413">
        <f t="shared" si="978"/>
        <v>-0.43292001703348792</v>
      </c>
    </row>
    <row r="414" spans="1:20" x14ac:dyDescent="0.25">
      <c r="A414" s="5">
        <v>44179</v>
      </c>
      <c r="B414">
        <v>6.5189999999999998E-2</v>
      </c>
      <c r="C414">
        <v>6.7290000000000003E-2</v>
      </c>
      <c r="D414">
        <v>6.4240000000000005E-2</v>
      </c>
      <c r="E414">
        <v>6.6680000000000003E-2</v>
      </c>
      <c r="F414">
        <v>1428364.7</v>
      </c>
      <c r="G414">
        <v>2.29</v>
      </c>
      <c r="L414" t="s">
        <v>8</v>
      </c>
      <c r="M414" t="s">
        <v>8</v>
      </c>
      <c r="N414" t="s">
        <v>7</v>
      </c>
      <c r="P414">
        <f t="shared" si="974"/>
        <v>0.6</v>
      </c>
      <c r="Q414">
        <f t="shared" si="975"/>
        <v>857018.82</v>
      </c>
      <c r="R414">
        <f t="shared" si="976"/>
        <v>-39593241.629692882</v>
      </c>
      <c r="S414">
        <f t="shared" si="977"/>
        <v>-395.93241629692881</v>
      </c>
      <c r="T414">
        <f t="shared" si="978"/>
        <v>-0.39593241629692882</v>
      </c>
    </row>
    <row r="415" spans="1:20" x14ac:dyDescent="0.25">
      <c r="A415" s="5">
        <v>44178</v>
      </c>
      <c r="B415">
        <v>6.2039999999999998E-2</v>
      </c>
      <c r="C415">
        <v>6.6299999999999998E-2</v>
      </c>
      <c r="D415">
        <v>6.2039999999999998E-2</v>
      </c>
      <c r="E415">
        <v>6.5250000000000002E-2</v>
      </c>
      <c r="F415">
        <v>2794063.1</v>
      </c>
      <c r="G415">
        <v>5.17</v>
      </c>
      <c r="L415" t="s">
        <v>7</v>
      </c>
      <c r="M415" t="s">
        <v>8</v>
      </c>
      <c r="N415" t="s">
        <v>7</v>
      </c>
      <c r="P415">
        <f t="shared" si="974"/>
        <v>0.50704225352112897</v>
      </c>
      <c r="Q415">
        <f t="shared" si="975"/>
        <v>1416708.0507042315</v>
      </c>
      <c r="R415">
        <f t="shared" si="976"/>
        <v>-40450260.449692883</v>
      </c>
      <c r="S415">
        <f t="shared" si="977"/>
        <v>-404.50260449692883</v>
      </c>
      <c r="T415">
        <f t="shared" si="978"/>
        <v>-0.40450260449692882</v>
      </c>
    </row>
    <row r="416" spans="1:20" x14ac:dyDescent="0.25">
      <c r="A416" s="5">
        <v>44177</v>
      </c>
      <c r="B416">
        <v>5.9209999999999999E-2</v>
      </c>
      <c r="C416">
        <v>7.0000000000000007E-2</v>
      </c>
      <c r="D416">
        <v>5.9180000000000003E-2</v>
      </c>
      <c r="E416">
        <v>6.2120000000000002E-2</v>
      </c>
      <c r="F416">
        <v>7837902.5999999996</v>
      </c>
      <c r="G416">
        <v>4.91</v>
      </c>
      <c r="L416" t="s">
        <v>8</v>
      </c>
      <c r="M416" t="s">
        <v>8</v>
      </c>
      <c r="N416" t="s">
        <v>7</v>
      </c>
      <c r="P416">
        <f t="shared" si="974"/>
        <v>-0.45656192236598941</v>
      </c>
      <c r="Q416">
        <f t="shared" si="975"/>
        <v>-3578487.8783733863</v>
      </c>
      <c r="R416">
        <f t="shared" si="976"/>
        <v>-41866968.500397116</v>
      </c>
      <c r="S416">
        <f t="shared" si="977"/>
        <v>-418.66968500397115</v>
      </c>
      <c r="T416">
        <f t="shared" si="978"/>
        <v>-0.41866968500397117</v>
      </c>
    </row>
    <row r="417" spans="1:20" x14ac:dyDescent="0.25">
      <c r="A417" s="5">
        <v>44176</v>
      </c>
      <c r="B417">
        <v>6.2239999999999997E-2</v>
      </c>
      <c r="C417">
        <v>6.3089999999999993E-2</v>
      </c>
      <c r="D417">
        <v>5.8770000000000003E-2</v>
      </c>
      <c r="E417">
        <v>5.951E-2</v>
      </c>
      <c r="F417">
        <v>2869218.5</v>
      </c>
      <c r="G417">
        <v>-4.3899999999999997</v>
      </c>
      <c r="L417" t="s">
        <v>7</v>
      </c>
      <c r="M417" t="s">
        <v>7</v>
      </c>
      <c r="N417" t="s">
        <v>7</v>
      </c>
      <c r="P417">
        <f t="shared" si="974"/>
        <v>-0.65740740740740777</v>
      </c>
      <c r="Q417">
        <f t="shared" si="975"/>
        <v>-1886245.4953703715</v>
      </c>
      <c r="R417">
        <f t="shared" si="976"/>
        <v>-38288480.622023731</v>
      </c>
      <c r="S417">
        <f t="shared" si="977"/>
        <v>-382.88480622023729</v>
      </c>
      <c r="T417">
        <f t="shared" si="978"/>
        <v>-0.38288480622023729</v>
      </c>
    </row>
    <row r="418" spans="1:20" x14ac:dyDescent="0.25">
      <c r="A418" s="5">
        <v>44175</v>
      </c>
      <c r="B418">
        <v>6.5049999999999997E-2</v>
      </c>
      <c r="C418">
        <v>6.5110000000000001E-2</v>
      </c>
      <c r="D418">
        <v>6.0670000000000002E-2</v>
      </c>
      <c r="E418">
        <v>6.1600000000000002E-2</v>
      </c>
      <c r="F418">
        <v>1370570.3</v>
      </c>
      <c r="G418">
        <v>-5.3</v>
      </c>
      <c r="L418" t="s">
        <v>8</v>
      </c>
      <c r="M418" t="s">
        <v>7</v>
      </c>
      <c r="N418" t="s">
        <v>7</v>
      </c>
      <c r="P418">
        <f t="shared" si="974"/>
        <v>-0.58108108108108092</v>
      </c>
      <c r="Q418">
        <f t="shared" si="975"/>
        <v>-796412.4716216214</v>
      </c>
      <c r="R418">
        <f t="shared" si="976"/>
        <v>-36402235.126653358</v>
      </c>
      <c r="S418">
        <f t="shared" si="977"/>
        <v>-364.02235126653358</v>
      </c>
      <c r="T418">
        <f t="shared" si="978"/>
        <v>-0.36402235126653359</v>
      </c>
    </row>
    <row r="419" spans="1:20" x14ac:dyDescent="0.25">
      <c r="A419" s="5">
        <v>44174</v>
      </c>
      <c r="B419">
        <v>6.3270000000000007E-2</v>
      </c>
      <c r="C419">
        <v>6.8029999999999993E-2</v>
      </c>
      <c r="D419">
        <v>5.8840000000000003E-2</v>
      </c>
      <c r="E419">
        <v>6.54E-2</v>
      </c>
      <c r="F419">
        <v>1926885.4</v>
      </c>
      <c r="G419">
        <v>3.37</v>
      </c>
      <c r="L419" t="s">
        <v>7</v>
      </c>
      <c r="M419" t="s">
        <v>7</v>
      </c>
      <c r="N419" t="s">
        <v>7</v>
      </c>
      <c r="P419">
        <f t="shared" si="974"/>
        <v>0.42763873775843386</v>
      </c>
      <c r="Q419">
        <f t="shared" si="975"/>
        <v>824010.84026115492</v>
      </c>
      <c r="R419">
        <f t="shared" si="976"/>
        <v>-35605822.655031741</v>
      </c>
      <c r="S419">
        <f t="shared" si="977"/>
        <v>-356.05822655031739</v>
      </c>
      <c r="T419">
        <f t="shared" si="978"/>
        <v>-0.35605822655031738</v>
      </c>
    </row>
    <row r="420" spans="1:20" x14ac:dyDescent="0.25">
      <c r="A420" s="5">
        <v>44173</v>
      </c>
      <c r="B420">
        <v>6.8919999999999995E-2</v>
      </c>
      <c r="C420">
        <v>7.0239999999999997E-2</v>
      </c>
      <c r="D420">
        <v>6.2880000000000005E-2</v>
      </c>
      <c r="E420">
        <v>6.2990000000000004E-2</v>
      </c>
      <c r="F420">
        <v>1353204.4</v>
      </c>
      <c r="G420">
        <v>-8.6</v>
      </c>
      <c r="L420" t="s">
        <v>7</v>
      </c>
      <c r="M420" t="s">
        <v>7</v>
      </c>
      <c r="N420" t="s">
        <v>7</v>
      </c>
      <c r="P420">
        <f t="shared" si="974"/>
        <v>-0.97010869565217417</v>
      </c>
      <c r="Q420">
        <f t="shared" si="975"/>
        <v>-1312755.3554347828</v>
      </c>
      <c r="R420">
        <f t="shared" si="976"/>
        <v>-36429833.495292895</v>
      </c>
      <c r="S420">
        <f t="shared" si="977"/>
        <v>-364.29833495292894</v>
      </c>
      <c r="T420">
        <f t="shared" si="978"/>
        <v>-0.36429833495292896</v>
      </c>
    </row>
    <row r="421" spans="1:20" x14ac:dyDescent="0.25">
      <c r="A421" s="5">
        <v>44172</v>
      </c>
      <c r="B421">
        <v>6.9720000000000004E-2</v>
      </c>
      <c r="C421">
        <v>7.1989999999999998E-2</v>
      </c>
      <c r="D421">
        <v>6.762E-2</v>
      </c>
      <c r="E421">
        <v>6.8919999999999995E-2</v>
      </c>
      <c r="F421">
        <v>8433598</v>
      </c>
      <c r="G421">
        <v>-1.1499999999999999</v>
      </c>
      <c r="L421" t="s">
        <v>7</v>
      </c>
      <c r="M421" t="s">
        <v>7</v>
      </c>
      <c r="N421" t="s">
        <v>8</v>
      </c>
      <c r="P421">
        <f t="shared" si="974"/>
        <v>-0.40503432494279362</v>
      </c>
      <c r="Q421">
        <f t="shared" si="975"/>
        <v>-3415896.6727688946</v>
      </c>
      <c r="R421">
        <f t="shared" si="976"/>
        <v>-35117078.139858112</v>
      </c>
      <c r="S421">
        <f t="shared" si="977"/>
        <v>-351.17078139858114</v>
      </c>
      <c r="T421">
        <f t="shared" si="978"/>
        <v>-0.35117078139858116</v>
      </c>
    </row>
    <row r="422" spans="1:20" x14ac:dyDescent="0.25">
      <c r="A422" s="5">
        <v>44171</v>
      </c>
      <c r="B422">
        <v>6.8640000000000007E-2</v>
      </c>
      <c r="C422">
        <v>7.1999999999999995E-2</v>
      </c>
      <c r="D422">
        <v>6.7879999999999996E-2</v>
      </c>
      <c r="E422">
        <v>7.0279999999999995E-2</v>
      </c>
      <c r="F422">
        <v>1302970.8999999999</v>
      </c>
      <c r="G422">
        <v>2.39</v>
      </c>
      <c r="L422" t="s">
        <v>8</v>
      </c>
      <c r="M422" t="s">
        <v>7</v>
      </c>
      <c r="N422" t="s">
        <v>8</v>
      </c>
      <c r="P422">
        <f t="shared" si="974"/>
        <v>0.16504854368932045</v>
      </c>
      <c r="Q422">
        <f t="shared" si="975"/>
        <v>215053.44951456317</v>
      </c>
      <c r="R422">
        <f t="shared" si="976"/>
        <v>-31701181.467089221</v>
      </c>
      <c r="S422">
        <f t="shared" si="977"/>
        <v>-317.01181467089219</v>
      </c>
      <c r="T422">
        <f t="shared" si="978"/>
        <v>-0.31701181467089218</v>
      </c>
    </row>
    <row r="423" spans="1:20" x14ac:dyDescent="0.25">
      <c r="A423" s="5">
        <v>44170</v>
      </c>
      <c r="B423">
        <v>6.5299999999999997E-2</v>
      </c>
      <c r="C423">
        <v>6.8970000000000004E-2</v>
      </c>
      <c r="D423">
        <v>6.4519999999999994E-2</v>
      </c>
      <c r="E423">
        <v>6.8440000000000001E-2</v>
      </c>
      <c r="F423">
        <v>1709442.1</v>
      </c>
      <c r="G423">
        <v>4.8099999999999996</v>
      </c>
      <c r="L423" t="s">
        <v>7</v>
      </c>
      <c r="M423" t="s">
        <v>7</v>
      </c>
      <c r="N423" t="s">
        <v>8</v>
      </c>
      <c r="P423">
        <f t="shared" si="974"/>
        <v>0.76179775280898809</v>
      </c>
      <c r="Q423">
        <f t="shared" si="975"/>
        <v>1302249.1503370777</v>
      </c>
      <c r="R423">
        <f t="shared" si="976"/>
        <v>-31916234.916603785</v>
      </c>
      <c r="S423">
        <f t="shared" si="977"/>
        <v>-319.16234916603787</v>
      </c>
      <c r="T423">
        <f t="shared" si="978"/>
        <v>-0.31916234916603786</v>
      </c>
    </row>
    <row r="424" spans="1:20" x14ac:dyDescent="0.25">
      <c r="A424" s="5">
        <v>44169</v>
      </c>
      <c r="B424">
        <v>7.3569999999999997E-2</v>
      </c>
      <c r="C424">
        <v>7.3999999999999996E-2</v>
      </c>
      <c r="D424">
        <v>6.5000000000000002E-2</v>
      </c>
      <c r="E424">
        <v>6.5490000000000007E-2</v>
      </c>
      <c r="F424">
        <v>2461765.2999999998</v>
      </c>
      <c r="G424">
        <v>-10.98</v>
      </c>
      <c r="L424" t="s">
        <v>7</v>
      </c>
      <c r="M424" t="s">
        <v>7</v>
      </c>
      <c r="N424" t="s">
        <v>8</v>
      </c>
      <c r="P424">
        <f t="shared" si="974"/>
        <v>-0.89111111111111008</v>
      </c>
      <c r="Q424">
        <f t="shared" si="975"/>
        <v>-2193706.4117777753</v>
      </c>
      <c r="R424">
        <f t="shared" si="976"/>
        <v>-33218484.066940863</v>
      </c>
      <c r="S424">
        <f t="shared" si="977"/>
        <v>-332.18484066940863</v>
      </c>
      <c r="T424">
        <f t="shared" si="978"/>
        <v>-0.33218484066940862</v>
      </c>
    </row>
    <row r="425" spans="1:20" x14ac:dyDescent="0.25">
      <c r="A425" s="5">
        <v>44168</v>
      </c>
      <c r="B425">
        <v>7.3499999999999996E-2</v>
      </c>
      <c r="C425">
        <v>7.6530000000000001E-2</v>
      </c>
      <c r="D425">
        <v>7.0749999999999993E-2</v>
      </c>
      <c r="E425">
        <v>7.3569999999999997E-2</v>
      </c>
      <c r="F425">
        <v>2279829.2000000002</v>
      </c>
      <c r="G425">
        <v>0.1</v>
      </c>
      <c r="L425" t="s">
        <v>8</v>
      </c>
      <c r="M425" t="s">
        <v>7</v>
      </c>
      <c r="N425" t="s">
        <v>8</v>
      </c>
      <c r="P425">
        <f t="shared" si="974"/>
        <v>-2.4221453287197416E-2</v>
      </c>
      <c r="Q425">
        <f t="shared" si="975"/>
        <v>-55220.776470588658</v>
      </c>
      <c r="R425">
        <f t="shared" si="976"/>
        <v>-31024777.655163087</v>
      </c>
      <c r="S425">
        <f t="shared" si="977"/>
        <v>-310.24777655163086</v>
      </c>
      <c r="T425">
        <f t="shared" si="978"/>
        <v>-0.31024777655163088</v>
      </c>
    </row>
    <row r="426" spans="1:20" x14ac:dyDescent="0.25">
      <c r="A426" s="5">
        <v>44167</v>
      </c>
      <c r="B426">
        <v>7.1379999999999999E-2</v>
      </c>
      <c r="C426">
        <v>7.3810000000000001E-2</v>
      </c>
      <c r="D426">
        <v>6.7979999999999999E-2</v>
      </c>
      <c r="E426">
        <v>7.3400000000000007E-2</v>
      </c>
      <c r="F426">
        <v>2138084</v>
      </c>
      <c r="G426">
        <v>2.83</v>
      </c>
      <c r="L426" t="s">
        <v>8</v>
      </c>
      <c r="M426" t="s">
        <v>7</v>
      </c>
      <c r="N426" t="s">
        <v>8</v>
      </c>
      <c r="P426">
        <f t="shared" si="974"/>
        <v>0.85934819897084269</v>
      </c>
      <c r="Q426">
        <f t="shared" si="975"/>
        <v>1837358.6346483752</v>
      </c>
      <c r="R426">
        <f t="shared" si="976"/>
        <v>-30969556.878692497</v>
      </c>
      <c r="S426">
        <f t="shared" si="977"/>
        <v>-309.69556878692498</v>
      </c>
      <c r="T426">
        <f t="shared" si="978"/>
        <v>-0.309695568786925</v>
      </c>
    </row>
    <row r="427" spans="1:20" x14ac:dyDescent="0.25">
      <c r="A427" s="5">
        <v>44166</v>
      </c>
      <c r="B427">
        <v>7.3669999999999999E-2</v>
      </c>
      <c r="C427">
        <v>7.9000000000000001E-2</v>
      </c>
      <c r="D427">
        <v>6.6669999999999993E-2</v>
      </c>
      <c r="E427">
        <v>7.0949999999999999E-2</v>
      </c>
      <c r="F427">
        <v>7773577.5</v>
      </c>
      <c r="G427">
        <v>-3.69</v>
      </c>
      <c r="L427" t="s">
        <v>7</v>
      </c>
      <c r="M427" t="s">
        <v>7</v>
      </c>
      <c r="N427" t="s">
        <v>8</v>
      </c>
      <c r="P427">
        <f t="shared" si="974"/>
        <v>-0.30575831305758261</v>
      </c>
      <c r="Q427">
        <f t="shared" si="975"/>
        <v>-2376835.9428223805</v>
      </c>
      <c r="R427">
        <f t="shared" si="976"/>
        <v>-32806915.513340872</v>
      </c>
      <c r="S427">
        <f t="shared" si="977"/>
        <v>-328.06915513340874</v>
      </c>
      <c r="T427">
        <f t="shared" si="978"/>
        <v>-0.32806915513340873</v>
      </c>
    </row>
    <row r="428" spans="1:20" x14ac:dyDescent="0.25">
      <c r="A428" s="5">
        <v>44165</v>
      </c>
      <c r="B428">
        <v>6.7729999999999999E-2</v>
      </c>
      <c r="C428">
        <v>8.3979999999999999E-2</v>
      </c>
      <c r="D428">
        <v>6.769E-2</v>
      </c>
      <c r="E428">
        <v>7.399E-2</v>
      </c>
      <c r="F428">
        <v>11225671.9</v>
      </c>
      <c r="G428">
        <v>9.24</v>
      </c>
      <c r="L428" t="s">
        <v>8</v>
      </c>
      <c r="M428" t="s">
        <v>8</v>
      </c>
      <c r="N428" t="s">
        <v>8</v>
      </c>
      <c r="P428">
        <f t="shared" si="974"/>
        <v>-0.22651933701657453</v>
      </c>
      <c r="Q428">
        <f t="shared" si="975"/>
        <v>-2542831.7563535906</v>
      </c>
      <c r="R428">
        <f t="shared" si="976"/>
        <v>-30430079.57051849</v>
      </c>
      <c r="S428">
        <f t="shared" si="977"/>
        <v>-304.3007957051849</v>
      </c>
      <c r="T428">
        <f t="shared" si="978"/>
        <v>-0.30430079570518492</v>
      </c>
    </row>
    <row r="429" spans="1:20" x14ac:dyDescent="0.25">
      <c r="A429" s="5">
        <v>44164</v>
      </c>
      <c r="B429">
        <v>6.8720000000000003E-2</v>
      </c>
      <c r="C429">
        <v>7.1999999999999995E-2</v>
      </c>
      <c r="D429">
        <v>6.5460000000000004E-2</v>
      </c>
      <c r="E429">
        <v>6.7729999999999999E-2</v>
      </c>
      <c r="F429">
        <v>3029989.2</v>
      </c>
      <c r="G429">
        <v>-1.44</v>
      </c>
      <c r="L429" t="s">
        <v>8</v>
      </c>
      <c r="M429" t="s">
        <v>8</v>
      </c>
      <c r="N429" t="s">
        <v>7</v>
      </c>
      <c r="P429">
        <f t="shared" si="974"/>
        <v>-0.30581039755351752</v>
      </c>
      <c r="Q429">
        <f t="shared" si="975"/>
        <v>-926602.20183486457</v>
      </c>
      <c r="R429">
        <f t="shared" si="976"/>
        <v>-27887247.814164899</v>
      </c>
      <c r="S429">
        <f t="shared" si="977"/>
        <v>-278.87247814164897</v>
      </c>
      <c r="T429">
        <f t="shared" si="978"/>
        <v>-0.27887247814164895</v>
      </c>
    </row>
    <row r="430" spans="1:20" x14ac:dyDescent="0.25">
      <c r="A430" s="5">
        <v>44163</v>
      </c>
      <c r="B430">
        <v>6.3829999999999998E-2</v>
      </c>
      <c r="C430">
        <v>7.0519999999999999E-2</v>
      </c>
      <c r="D430">
        <v>6.3740000000000005E-2</v>
      </c>
      <c r="E430">
        <v>6.8720000000000003E-2</v>
      </c>
      <c r="F430">
        <v>6955018.4000000004</v>
      </c>
      <c r="G430">
        <v>7.66</v>
      </c>
      <c r="L430" t="s">
        <v>8</v>
      </c>
      <c r="M430" t="s">
        <v>8</v>
      </c>
      <c r="N430" t="s">
        <v>7</v>
      </c>
      <c r="P430">
        <f t="shared" si="974"/>
        <v>0.4690265486725671</v>
      </c>
      <c r="Q430">
        <f t="shared" si="975"/>
        <v>3262088.2761061997</v>
      </c>
      <c r="R430">
        <f t="shared" si="976"/>
        <v>-26960645.612330034</v>
      </c>
      <c r="S430">
        <f t="shared" si="977"/>
        <v>-269.60645612330035</v>
      </c>
      <c r="T430">
        <f t="shared" si="978"/>
        <v>-0.26960645612330036</v>
      </c>
    </row>
    <row r="431" spans="1:20" x14ac:dyDescent="0.25">
      <c r="A431" s="5">
        <v>44162</v>
      </c>
      <c r="B431">
        <v>6.6369999999999998E-2</v>
      </c>
      <c r="C431">
        <v>6.8080000000000002E-2</v>
      </c>
      <c r="D431">
        <v>5.8389999999999997E-2</v>
      </c>
      <c r="E431">
        <v>6.3969999999999999E-2</v>
      </c>
      <c r="F431">
        <v>8970544.9000000004</v>
      </c>
      <c r="G431">
        <v>-3.62</v>
      </c>
      <c r="L431" t="s">
        <v>7</v>
      </c>
      <c r="M431" t="s">
        <v>7</v>
      </c>
      <c r="N431" t="s">
        <v>7</v>
      </c>
      <c r="P431">
        <f t="shared" si="974"/>
        <v>0.15170278637770881</v>
      </c>
      <c r="Q431">
        <f t="shared" si="975"/>
        <v>1360856.6566563454</v>
      </c>
      <c r="R431">
        <f t="shared" si="976"/>
        <v>-30222733.888436235</v>
      </c>
      <c r="S431">
        <f t="shared" si="977"/>
        <v>-302.22733888436238</v>
      </c>
      <c r="T431">
        <f t="shared" si="978"/>
        <v>-0.30222733888436237</v>
      </c>
    </row>
    <row r="432" spans="1:20" x14ac:dyDescent="0.25">
      <c r="A432" s="5">
        <v>44161</v>
      </c>
      <c r="B432">
        <v>7.0910000000000001E-2</v>
      </c>
      <c r="C432">
        <v>9.3140000000000001E-2</v>
      </c>
      <c r="D432">
        <v>6.0359999999999997E-2</v>
      </c>
      <c r="E432">
        <v>6.6570000000000004E-2</v>
      </c>
      <c r="F432">
        <v>36367909.799999997</v>
      </c>
      <c r="G432">
        <v>-6.12</v>
      </c>
      <c r="L432" t="s">
        <v>8</v>
      </c>
      <c r="M432" t="s">
        <v>8</v>
      </c>
      <c r="N432" t="s">
        <v>8</v>
      </c>
      <c r="P432">
        <f t="shared" si="974"/>
        <v>-0.6211104331909697</v>
      </c>
      <c r="Q432">
        <f t="shared" si="975"/>
        <v>-22588488.21012811</v>
      </c>
      <c r="R432">
        <f t="shared" si="976"/>
        <v>-31583590.545092583</v>
      </c>
      <c r="S432">
        <f t="shared" si="977"/>
        <v>-315.83590545092585</v>
      </c>
      <c r="T432">
        <f t="shared" si="978"/>
        <v>-0.31583590545092582</v>
      </c>
    </row>
    <row r="433" spans="1:20" x14ac:dyDescent="0.25">
      <c r="A433" s="5">
        <v>44160</v>
      </c>
      <c r="B433">
        <v>6.6449999999999995E-2</v>
      </c>
      <c r="C433">
        <v>7.8950000000000006E-2</v>
      </c>
      <c r="D433">
        <v>6.4339999999999994E-2</v>
      </c>
      <c r="E433">
        <v>7.0910000000000001E-2</v>
      </c>
      <c r="F433">
        <v>9141076.1999999993</v>
      </c>
      <c r="G433">
        <v>6.71</v>
      </c>
      <c r="L433" t="s">
        <v>8</v>
      </c>
      <c r="M433" t="s">
        <v>8</v>
      </c>
      <c r="N433" t="s">
        <v>8</v>
      </c>
      <c r="P433">
        <f t="shared" si="974"/>
        <v>-0.10061601642710458</v>
      </c>
      <c r="Q433">
        <f t="shared" si="975"/>
        <v>-919738.67310061457</v>
      </c>
      <c r="R433">
        <f t="shared" si="976"/>
        <v>-8995102.3349644728</v>
      </c>
      <c r="S433">
        <f t="shared" si="977"/>
        <v>-89.951023349644728</v>
      </c>
      <c r="T433">
        <f t="shared" si="978"/>
        <v>-8.9951023349644735E-2</v>
      </c>
    </row>
    <row r="434" spans="1:20" x14ac:dyDescent="0.25">
      <c r="A434" s="5">
        <v>44159</v>
      </c>
      <c r="B434">
        <v>6.0319999999999999E-2</v>
      </c>
      <c r="C434">
        <v>6.7669999999999994E-2</v>
      </c>
      <c r="D434">
        <v>5.935E-2</v>
      </c>
      <c r="E434">
        <v>6.6449999999999995E-2</v>
      </c>
      <c r="F434">
        <v>5703173.5</v>
      </c>
      <c r="G434">
        <v>10.16</v>
      </c>
      <c r="L434" t="s">
        <v>8</v>
      </c>
      <c r="M434" t="s">
        <v>8</v>
      </c>
      <c r="N434" t="s">
        <v>8</v>
      </c>
      <c r="P434">
        <f t="shared" si="974"/>
        <v>0.70673076923076927</v>
      </c>
      <c r="Q434">
        <f t="shared" si="975"/>
        <v>4030608.1947115385</v>
      </c>
      <c r="R434">
        <f t="shared" si="976"/>
        <v>-8075363.6618638579</v>
      </c>
      <c r="S434">
        <f t="shared" si="977"/>
        <v>-80.753636618638581</v>
      </c>
      <c r="T434">
        <f t="shared" si="978"/>
        <v>-8.0753636618638575E-2</v>
      </c>
    </row>
    <row r="435" spans="1:20" x14ac:dyDescent="0.25">
      <c r="A435" s="5">
        <v>44158</v>
      </c>
      <c r="B435">
        <v>5.8700000000000002E-2</v>
      </c>
      <c r="C435">
        <v>6.0879999999999997E-2</v>
      </c>
      <c r="D435">
        <v>5.595E-2</v>
      </c>
      <c r="E435">
        <v>6.087E-2</v>
      </c>
      <c r="F435">
        <v>3589290.3</v>
      </c>
      <c r="G435">
        <v>3.7</v>
      </c>
      <c r="L435" t="s">
        <v>7</v>
      </c>
      <c r="M435" t="s">
        <v>8</v>
      </c>
      <c r="N435" t="s">
        <v>7</v>
      </c>
      <c r="P435">
        <f t="shared" si="974"/>
        <v>0.99594320486815568</v>
      </c>
      <c r="Q435">
        <f t="shared" si="975"/>
        <v>3574729.2845841837</v>
      </c>
      <c r="R435">
        <f t="shared" si="976"/>
        <v>-12105971.856575396</v>
      </c>
      <c r="S435">
        <f t="shared" si="977"/>
        <v>-121.05971856575395</v>
      </c>
      <c r="T435">
        <f t="shared" si="978"/>
        <v>-0.12105971856575395</v>
      </c>
    </row>
    <row r="436" spans="1:20" x14ac:dyDescent="0.25">
      <c r="A436" s="5">
        <v>44157</v>
      </c>
      <c r="B436">
        <v>5.6610000000000001E-2</v>
      </c>
      <c r="C436">
        <v>6.2509999999999996E-2</v>
      </c>
      <c r="D436">
        <v>5.3710000000000001E-2</v>
      </c>
      <c r="E436">
        <v>5.8549999999999998E-2</v>
      </c>
      <c r="F436">
        <v>5847332.7999999998</v>
      </c>
      <c r="G436">
        <v>3.43</v>
      </c>
      <c r="L436" t="s">
        <v>8</v>
      </c>
      <c r="M436" t="s">
        <v>8</v>
      </c>
      <c r="N436" t="s">
        <v>7</v>
      </c>
      <c r="P436">
        <f t="shared" si="974"/>
        <v>9.9999999999999922E-2</v>
      </c>
      <c r="Q436">
        <f t="shared" si="975"/>
        <v>584733.27999999956</v>
      </c>
      <c r="R436">
        <f t="shared" si="976"/>
        <v>-15680701.141159579</v>
      </c>
      <c r="S436">
        <f t="shared" si="977"/>
        <v>-156.80701141159579</v>
      </c>
      <c r="T436">
        <f t="shared" si="978"/>
        <v>-0.15680701141159578</v>
      </c>
    </row>
    <row r="437" spans="1:20" x14ac:dyDescent="0.25">
      <c r="A437" s="5">
        <v>44156</v>
      </c>
      <c r="B437">
        <v>5.3379999999999997E-2</v>
      </c>
      <c r="C437">
        <v>5.8459999999999998E-2</v>
      </c>
      <c r="D437">
        <v>5.1569999999999998E-2</v>
      </c>
      <c r="E437">
        <v>5.6770000000000001E-2</v>
      </c>
      <c r="F437">
        <v>4811273.5</v>
      </c>
      <c r="G437">
        <v>6.35</v>
      </c>
      <c r="L437" t="s">
        <v>8</v>
      </c>
      <c r="M437" t="s">
        <v>7</v>
      </c>
      <c r="N437" t="s">
        <v>7</v>
      </c>
      <c r="P437">
        <f t="shared" si="974"/>
        <v>0.50943396226415183</v>
      </c>
      <c r="Q437">
        <f t="shared" si="975"/>
        <v>2451026.1226415136</v>
      </c>
      <c r="R437">
        <f t="shared" si="976"/>
        <v>-16265434.421159578</v>
      </c>
      <c r="S437">
        <f t="shared" si="977"/>
        <v>-162.6543442115958</v>
      </c>
      <c r="T437">
        <f t="shared" si="978"/>
        <v>-0.1626543442115958</v>
      </c>
    </row>
    <row r="438" spans="1:20" x14ac:dyDescent="0.25">
      <c r="A438" s="5">
        <v>44155</v>
      </c>
      <c r="B438">
        <v>5.2839999999999998E-2</v>
      </c>
      <c r="C438">
        <v>5.4059999999999997E-2</v>
      </c>
      <c r="D438">
        <v>5.21E-2</v>
      </c>
      <c r="E438">
        <v>5.3379999999999997E-2</v>
      </c>
      <c r="F438">
        <v>2166544.2999999998</v>
      </c>
      <c r="G438">
        <v>1.02</v>
      </c>
      <c r="L438" t="s">
        <v>7</v>
      </c>
      <c r="M438" t="s">
        <v>7</v>
      </c>
      <c r="N438" t="s">
        <v>7</v>
      </c>
      <c r="P438">
        <f t="shared" si="974"/>
        <v>0.30612244897959051</v>
      </c>
      <c r="Q438">
        <f t="shared" si="975"/>
        <v>663227.84693877259</v>
      </c>
      <c r="R438">
        <f t="shared" si="976"/>
        <v>-18716460.543801092</v>
      </c>
      <c r="S438">
        <f t="shared" si="977"/>
        <v>-187.16460543801091</v>
      </c>
      <c r="T438">
        <f t="shared" si="978"/>
        <v>-0.18716460543801092</v>
      </c>
    </row>
    <row r="439" spans="1:20" x14ac:dyDescent="0.25">
      <c r="A439" s="5">
        <v>44154</v>
      </c>
      <c r="B439">
        <v>5.237E-2</v>
      </c>
      <c r="C439">
        <v>5.3400000000000003E-2</v>
      </c>
      <c r="D439">
        <v>5.076E-2</v>
      </c>
      <c r="E439">
        <v>5.3069999999999999E-2</v>
      </c>
      <c r="F439">
        <v>1612476.6</v>
      </c>
      <c r="G439">
        <v>1.34</v>
      </c>
      <c r="L439" t="s">
        <v>7</v>
      </c>
      <c r="M439" t="s">
        <v>7</v>
      </c>
      <c r="N439" t="s">
        <v>7</v>
      </c>
      <c r="P439">
        <f t="shared" si="974"/>
        <v>0.74999999999999734</v>
      </c>
      <c r="Q439">
        <f t="shared" si="975"/>
        <v>1209357.4499999958</v>
      </c>
      <c r="R439">
        <f t="shared" si="976"/>
        <v>-19379688.390739866</v>
      </c>
      <c r="S439">
        <f t="shared" si="977"/>
        <v>-193.79688390739867</v>
      </c>
      <c r="T439">
        <f t="shared" si="978"/>
        <v>-0.19379688390739866</v>
      </c>
    </row>
    <row r="440" spans="1:20" x14ac:dyDescent="0.25">
      <c r="A440" s="5">
        <v>44153</v>
      </c>
      <c r="B440">
        <v>5.5210000000000002E-2</v>
      </c>
      <c r="C440">
        <v>5.5230000000000001E-2</v>
      </c>
      <c r="D440">
        <v>5.0999999999999997E-2</v>
      </c>
      <c r="E440">
        <v>5.2420000000000001E-2</v>
      </c>
      <c r="F440">
        <v>1793458.5</v>
      </c>
      <c r="G440">
        <v>-5.05</v>
      </c>
      <c r="L440" t="s">
        <v>7</v>
      </c>
      <c r="M440" t="s">
        <v>8</v>
      </c>
      <c r="N440" t="s">
        <v>7</v>
      </c>
      <c r="P440">
        <f t="shared" si="974"/>
        <v>-0.32860520094562501</v>
      </c>
      <c r="Q440">
        <f t="shared" si="975"/>
        <v>-589339.79078013916</v>
      </c>
      <c r="R440">
        <f t="shared" si="976"/>
        <v>-20589045.840739861</v>
      </c>
      <c r="S440">
        <f t="shared" si="977"/>
        <v>-205.8904584073986</v>
      </c>
      <c r="T440">
        <f t="shared" si="978"/>
        <v>-0.20589045840739859</v>
      </c>
    </row>
    <row r="441" spans="1:20" x14ac:dyDescent="0.25">
      <c r="A441" s="5">
        <v>44152</v>
      </c>
      <c r="B441">
        <v>5.493E-2</v>
      </c>
      <c r="C441">
        <v>5.7639999999999997E-2</v>
      </c>
      <c r="D441">
        <v>5.4109999999999998E-2</v>
      </c>
      <c r="E441">
        <v>5.5210000000000002E-2</v>
      </c>
      <c r="F441">
        <v>1754422.8</v>
      </c>
      <c r="G441">
        <v>0.51</v>
      </c>
      <c r="L441" t="s">
        <v>7</v>
      </c>
      <c r="M441" t="s">
        <v>8</v>
      </c>
      <c r="N441" t="s">
        <v>7</v>
      </c>
      <c r="P441">
        <f t="shared" si="974"/>
        <v>-0.37677053824362366</v>
      </c>
      <c r="Q441">
        <f t="shared" si="975"/>
        <v>-661014.8226628853</v>
      </c>
      <c r="R441">
        <f t="shared" si="976"/>
        <v>-19999706.049959723</v>
      </c>
      <c r="S441">
        <f t="shared" si="977"/>
        <v>-199.99706049959724</v>
      </c>
      <c r="T441">
        <f t="shared" si="978"/>
        <v>-0.19999706049959723</v>
      </c>
    </row>
    <row r="442" spans="1:20" x14ac:dyDescent="0.25">
      <c r="A442" s="5">
        <v>44151</v>
      </c>
      <c r="B442">
        <v>5.475E-2</v>
      </c>
      <c r="C442">
        <v>5.5620000000000003E-2</v>
      </c>
      <c r="D442">
        <v>5.3670000000000002E-2</v>
      </c>
      <c r="E442">
        <v>5.4919999999999997E-2</v>
      </c>
      <c r="F442">
        <v>768271.5</v>
      </c>
      <c r="G442">
        <v>0.31</v>
      </c>
      <c r="L442" t="s">
        <v>7</v>
      </c>
      <c r="M442" t="s">
        <v>8</v>
      </c>
      <c r="N442" t="s">
        <v>7</v>
      </c>
      <c r="P442">
        <f t="shared" si="974"/>
        <v>0.28205128205127583</v>
      </c>
      <c r="Q442">
        <f t="shared" si="975"/>
        <v>216691.96153845676</v>
      </c>
      <c r="R442">
        <f t="shared" si="976"/>
        <v>-19338691.227296837</v>
      </c>
      <c r="S442">
        <f t="shared" si="977"/>
        <v>-193.38691227296837</v>
      </c>
      <c r="T442">
        <f t="shared" si="978"/>
        <v>-0.19338691227296836</v>
      </c>
    </row>
    <row r="443" spans="1:20" x14ac:dyDescent="0.25">
      <c r="A443" s="5">
        <v>44150</v>
      </c>
      <c r="B443">
        <v>5.6750000000000002E-2</v>
      </c>
      <c r="C443">
        <v>5.8610000000000002E-2</v>
      </c>
      <c r="D443">
        <v>5.3499999999999999E-2</v>
      </c>
      <c r="E443">
        <v>5.459E-2</v>
      </c>
      <c r="F443">
        <v>2542108.7000000002</v>
      </c>
      <c r="G443">
        <v>-3.81</v>
      </c>
      <c r="L443" t="s">
        <v>7</v>
      </c>
      <c r="M443" t="s">
        <v>8</v>
      </c>
      <c r="N443" t="s">
        <v>7</v>
      </c>
      <c r="P443">
        <f t="shared" si="974"/>
        <v>-0.57338551859099807</v>
      </c>
      <c r="Q443">
        <f t="shared" si="975"/>
        <v>-1457608.315264188</v>
      </c>
      <c r="R443">
        <f t="shared" si="976"/>
        <v>-19555383.188835293</v>
      </c>
      <c r="S443">
        <f t="shared" si="977"/>
        <v>-195.55383188835293</v>
      </c>
      <c r="T443">
        <f t="shared" si="978"/>
        <v>-0.19555383188835293</v>
      </c>
    </row>
    <row r="444" spans="1:20" x14ac:dyDescent="0.25">
      <c r="A444" s="5">
        <v>44149</v>
      </c>
      <c r="B444">
        <v>5.4690000000000003E-2</v>
      </c>
      <c r="C444">
        <v>5.8790000000000002E-2</v>
      </c>
      <c r="D444">
        <v>5.4600000000000003E-2</v>
      </c>
      <c r="E444">
        <v>5.6660000000000002E-2</v>
      </c>
      <c r="F444">
        <v>2003996.6</v>
      </c>
      <c r="G444">
        <v>3.6</v>
      </c>
      <c r="L444" t="s">
        <v>8</v>
      </c>
      <c r="M444" t="s">
        <v>8</v>
      </c>
      <c r="N444" t="s">
        <v>7</v>
      </c>
      <c r="P444">
        <f t="shared" si="974"/>
        <v>-1.6706443914081295E-2</v>
      </c>
      <c r="Q444">
        <f t="shared" si="975"/>
        <v>-33479.656801909608</v>
      </c>
      <c r="R444">
        <f t="shared" si="976"/>
        <v>-18097774.873571105</v>
      </c>
      <c r="S444">
        <f t="shared" si="977"/>
        <v>-180.97774873571106</v>
      </c>
      <c r="T444">
        <f t="shared" si="978"/>
        <v>-0.18097774873571107</v>
      </c>
    </row>
    <row r="445" spans="1:20" x14ac:dyDescent="0.25">
      <c r="A445" s="5">
        <v>44148</v>
      </c>
      <c r="B445">
        <v>5.3400000000000003E-2</v>
      </c>
      <c r="C445">
        <v>5.5140000000000002E-2</v>
      </c>
      <c r="D445">
        <v>5.3199999999999997E-2</v>
      </c>
      <c r="E445">
        <v>5.4649999999999997E-2</v>
      </c>
      <c r="F445">
        <v>5343665.3</v>
      </c>
      <c r="G445">
        <v>2.34</v>
      </c>
      <c r="L445" t="s">
        <v>7</v>
      </c>
      <c r="M445" t="s">
        <v>8</v>
      </c>
      <c r="N445" t="s">
        <v>7</v>
      </c>
      <c r="P445">
        <f t="shared" si="974"/>
        <v>0.4948453608247389</v>
      </c>
      <c r="Q445">
        <f t="shared" si="975"/>
        <v>2644287.9835051363</v>
      </c>
      <c r="R445">
        <f t="shared" si="976"/>
        <v>-18064295.216769196</v>
      </c>
      <c r="S445">
        <f t="shared" si="977"/>
        <v>-180.64295216769196</v>
      </c>
      <c r="T445">
        <f t="shared" si="978"/>
        <v>-0.18064295216769197</v>
      </c>
    </row>
    <row r="446" spans="1:20" x14ac:dyDescent="0.25">
      <c r="A446" s="5">
        <v>44147</v>
      </c>
      <c r="B446">
        <v>5.5219999999999998E-2</v>
      </c>
      <c r="C446">
        <v>5.6390000000000003E-2</v>
      </c>
      <c r="D446">
        <v>5.2819999999999999E-2</v>
      </c>
      <c r="E446">
        <v>5.3429999999999998E-2</v>
      </c>
      <c r="F446">
        <v>1740066.2</v>
      </c>
      <c r="G446">
        <v>-3.24</v>
      </c>
      <c r="L446" t="s">
        <v>7</v>
      </c>
      <c r="M446" t="s">
        <v>8</v>
      </c>
      <c r="N446" t="s">
        <v>7</v>
      </c>
      <c r="P446">
        <f t="shared" si="974"/>
        <v>-0.65826330532212951</v>
      </c>
      <c r="Q446">
        <f t="shared" si="975"/>
        <v>-1145421.7282913176</v>
      </c>
      <c r="R446">
        <f t="shared" si="976"/>
        <v>-20708583.200274333</v>
      </c>
      <c r="S446">
        <f t="shared" si="977"/>
        <v>-207.08583200274333</v>
      </c>
      <c r="T446">
        <f t="shared" si="978"/>
        <v>-0.20708583200274333</v>
      </c>
    </row>
    <row r="447" spans="1:20" x14ac:dyDescent="0.25">
      <c r="A447" s="5">
        <v>44146</v>
      </c>
      <c r="B447">
        <v>5.6370000000000003E-2</v>
      </c>
      <c r="C447">
        <v>5.7619999999999998E-2</v>
      </c>
      <c r="D447">
        <v>5.4489999999999997E-2</v>
      </c>
      <c r="E447">
        <v>5.5169999999999997E-2</v>
      </c>
      <c r="F447">
        <v>2199305.4</v>
      </c>
      <c r="G447">
        <v>-2.13</v>
      </c>
      <c r="L447" t="s">
        <v>7</v>
      </c>
      <c r="M447" t="s">
        <v>8</v>
      </c>
      <c r="N447" t="s">
        <v>7</v>
      </c>
      <c r="P447">
        <f t="shared" si="974"/>
        <v>-0.56549520766773176</v>
      </c>
      <c r="Q447">
        <f t="shared" si="975"/>
        <v>-1243696.6638977637</v>
      </c>
      <c r="R447">
        <f t="shared" si="976"/>
        <v>-19563161.471983016</v>
      </c>
      <c r="S447">
        <f t="shared" si="977"/>
        <v>-195.63161471983017</v>
      </c>
      <c r="T447">
        <f t="shared" si="978"/>
        <v>-0.19563161471983018</v>
      </c>
    </row>
    <row r="448" spans="1:20" x14ac:dyDescent="0.25">
      <c r="A448" s="5">
        <v>44145</v>
      </c>
      <c r="B448">
        <v>5.6599999999999998E-2</v>
      </c>
      <c r="C448">
        <v>5.8819999999999997E-2</v>
      </c>
      <c r="D448">
        <v>5.4629999999999998E-2</v>
      </c>
      <c r="E448">
        <v>5.6649999999999999E-2</v>
      </c>
      <c r="F448">
        <v>4251716.5</v>
      </c>
      <c r="G448">
        <v>0.09</v>
      </c>
      <c r="L448" t="s">
        <v>7</v>
      </c>
      <c r="M448" t="s">
        <v>8</v>
      </c>
      <c r="N448" t="s">
        <v>7</v>
      </c>
      <c r="P448">
        <f t="shared" si="974"/>
        <v>-3.5799522673030403E-2</v>
      </c>
      <c r="Q448">
        <f t="shared" si="975"/>
        <v>-152209.42124104747</v>
      </c>
      <c r="R448">
        <f t="shared" si="976"/>
        <v>-18319464.808085252</v>
      </c>
      <c r="S448">
        <f t="shared" si="977"/>
        <v>-183.19464808085252</v>
      </c>
      <c r="T448">
        <f t="shared" si="978"/>
        <v>-0.18319464808085251</v>
      </c>
    </row>
    <row r="449" spans="1:20" x14ac:dyDescent="0.25">
      <c r="A449" s="5">
        <v>44144</v>
      </c>
      <c r="B449">
        <v>5.1970000000000002E-2</v>
      </c>
      <c r="C449">
        <v>5.9970000000000002E-2</v>
      </c>
      <c r="D449">
        <v>5.11E-2</v>
      </c>
      <c r="E449">
        <v>5.7079999999999999E-2</v>
      </c>
      <c r="F449">
        <v>8187274.9000000004</v>
      </c>
      <c r="G449">
        <v>9.83</v>
      </c>
      <c r="L449" t="s">
        <v>8</v>
      </c>
      <c r="M449" t="s">
        <v>8</v>
      </c>
      <c r="N449" t="s">
        <v>7</v>
      </c>
      <c r="P449">
        <f t="shared" si="974"/>
        <v>0.34836527621194979</v>
      </c>
      <c r="Q449">
        <f t="shared" si="975"/>
        <v>2852162.2819616636</v>
      </c>
      <c r="R449">
        <f t="shared" si="976"/>
        <v>-18167255.386844203</v>
      </c>
      <c r="S449">
        <f t="shared" si="977"/>
        <v>-181.67255386844204</v>
      </c>
      <c r="T449">
        <f t="shared" si="978"/>
        <v>-0.18167255386844203</v>
      </c>
    </row>
    <row r="450" spans="1:20" x14ac:dyDescent="0.25">
      <c r="A450" s="5">
        <v>44143</v>
      </c>
      <c r="B450">
        <v>5.0049999999999997E-2</v>
      </c>
      <c r="C450">
        <v>5.228E-2</v>
      </c>
      <c r="D450">
        <v>4.9860000000000002E-2</v>
      </c>
      <c r="E450">
        <v>5.1799999999999999E-2</v>
      </c>
      <c r="F450">
        <v>1081116.8999999999</v>
      </c>
      <c r="G450">
        <v>3.5</v>
      </c>
      <c r="L450" t="s">
        <v>7</v>
      </c>
      <c r="M450" t="s">
        <v>8</v>
      </c>
      <c r="N450" t="s">
        <v>7</v>
      </c>
      <c r="P450">
        <f t="shared" si="974"/>
        <v>0.60330578512396571</v>
      </c>
      <c r="Q450">
        <f t="shared" si="975"/>
        <v>652244.08016528783</v>
      </c>
      <c r="R450">
        <f t="shared" si="976"/>
        <v>-21019417.668805867</v>
      </c>
      <c r="S450">
        <f t="shared" si="977"/>
        <v>-210.19417668805866</v>
      </c>
      <c r="T450">
        <f t="shared" si="978"/>
        <v>-0.21019417668805865</v>
      </c>
    </row>
    <row r="451" spans="1:20" x14ac:dyDescent="0.25">
      <c r="A451" s="5">
        <v>44142</v>
      </c>
      <c r="B451">
        <v>5.2479999999999999E-2</v>
      </c>
      <c r="C451">
        <v>5.4289999999999998E-2</v>
      </c>
      <c r="D451">
        <v>4.8759999999999998E-2</v>
      </c>
      <c r="E451">
        <v>4.99E-2</v>
      </c>
      <c r="F451">
        <v>2255505.5</v>
      </c>
      <c r="G451">
        <v>-4.92</v>
      </c>
      <c r="L451" t="s">
        <v>7</v>
      </c>
      <c r="M451" t="s">
        <v>8</v>
      </c>
      <c r="N451" t="s">
        <v>7</v>
      </c>
      <c r="P451">
        <f t="shared" si="974"/>
        <v>-0.58770343580470086</v>
      </c>
      <c r="Q451">
        <f t="shared" si="975"/>
        <v>-1325568.3318263998</v>
      </c>
      <c r="R451">
        <f t="shared" si="976"/>
        <v>-21671661.748971157</v>
      </c>
      <c r="S451">
        <f t="shared" si="977"/>
        <v>-216.71661748971158</v>
      </c>
      <c r="T451">
        <f t="shared" si="978"/>
        <v>-0.21671661748971158</v>
      </c>
    </row>
    <row r="452" spans="1:20" x14ac:dyDescent="0.25">
      <c r="A452" s="5">
        <v>44141</v>
      </c>
      <c r="B452">
        <v>4.8800000000000003E-2</v>
      </c>
      <c r="C452">
        <v>5.602E-2</v>
      </c>
      <c r="D452">
        <v>4.8189999999999997E-2</v>
      </c>
      <c r="E452">
        <v>5.2429999999999997E-2</v>
      </c>
      <c r="F452">
        <v>6822504.7999999998</v>
      </c>
      <c r="G452">
        <v>7.44</v>
      </c>
      <c r="L452" t="s">
        <v>8</v>
      </c>
      <c r="M452" t="s">
        <v>8</v>
      </c>
      <c r="N452" t="s">
        <v>7</v>
      </c>
      <c r="P452">
        <f t="shared" si="974"/>
        <v>8.3014048531289589E-2</v>
      </c>
      <c r="Q452">
        <f t="shared" si="975"/>
        <v>566363.74457215611</v>
      </c>
      <c r="R452">
        <f t="shared" si="976"/>
        <v>-20346093.417144757</v>
      </c>
      <c r="S452">
        <f t="shared" si="977"/>
        <v>-203.46093417144758</v>
      </c>
      <c r="T452">
        <f t="shared" si="978"/>
        <v>-0.20346093417144759</v>
      </c>
    </row>
    <row r="453" spans="1:20" x14ac:dyDescent="0.25">
      <c r="A453" s="5">
        <v>44140</v>
      </c>
      <c r="B453">
        <v>4.7100000000000003E-2</v>
      </c>
      <c r="C453">
        <v>4.9160000000000002E-2</v>
      </c>
      <c r="D453">
        <v>4.6600000000000003E-2</v>
      </c>
      <c r="E453">
        <v>4.854E-2</v>
      </c>
      <c r="F453">
        <v>2280245.1</v>
      </c>
      <c r="G453">
        <v>3.06</v>
      </c>
      <c r="L453" t="s">
        <v>8</v>
      </c>
      <c r="M453" t="s">
        <v>7</v>
      </c>
      <c r="N453" t="s">
        <v>7</v>
      </c>
      <c r="P453">
        <f t="shared" si="974"/>
        <v>0.515624999999998</v>
      </c>
      <c r="Q453">
        <f t="shared" si="975"/>
        <v>1175751.3796874955</v>
      </c>
      <c r="R453">
        <f t="shared" si="976"/>
        <v>-20912457.161716912</v>
      </c>
      <c r="S453">
        <f t="shared" si="977"/>
        <v>-209.12457161716912</v>
      </c>
      <c r="T453">
        <f t="shared" si="978"/>
        <v>-0.20912457161716913</v>
      </c>
    </row>
    <row r="454" spans="1:20" x14ac:dyDescent="0.25">
      <c r="A454" s="5">
        <v>44139</v>
      </c>
      <c r="B454">
        <v>4.6929999999999999E-2</v>
      </c>
      <c r="C454">
        <v>4.7600000000000003E-2</v>
      </c>
      <c r="D454">
        <v>4.5069999999999999E-2</v>
      </c>
      <c r="E454">
        <v>4.7160000000000001E-2</v>
      </c>
      <c r="F454">
        <v>1626617.8</v>
      </c>
      <c r="G454">
        <v>0.49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0.65217391304347661</v>
      </c>
      <c r="Q454">
        <f t="shared" ref="Q454:Q517" si="980">F454*P454</f>
        <v>1060837.6956521713</v>
      </c>
      <c r="R454">
        <f t="shared" ref="R454:R517" si="981">R455+Q454</f>
        <v>-22088208.541404407</v>
      </c>
      <c r="S454">
        <f t="shared" ref="S454:S517" si="982">R454/100000</f>
        <v>-220.88208541404407</v>
      </c>
      <c r="T454">
        <f t="shared" ref="T454:T517" si="983">S454/1000</f>
        <v>-0.22088208541404408</v>
      </c>
    </row>
    <row r="455" spans="1:20" x14ac:dyDescent="0.25">
      <c r="A455" s="5">
        <v>44138</v>
      </c>
      <c r="B455">
        <v>5.0680000000000003E-2</v>
      </c>
      <c r="C455">
        <v>5.0880000000000002E-2</v>
      </c>
      <c r="D455">
        <v>4.4519999999999997E-2</v>
      </c>
      <c r="E455">
        <v>4.7239999999999997E-2</v>
      </c>
      <c r="F455">
        <v>4898660.5</v>
      </c>
      <c r="G455">
        <v>-6.79</v>
      </c>
      <c r="L455" t="s">
        <v>7</v>
      </c>
      <c r="M455" t="s">
        <v>7</v>
      </c>
      <c r="N455" t="s">
        <v>7</v>
      </c>
      <c r="P455">
        <f t="shared" si="979"/>
        <v>-0.14465408805031502</v>
      </c>
      <c r="Q455">
        <f t="shared" si="980"/>
        <v>-708611.26729560015</v>
      </c>
      <c r="R455">
        <f t="shared" si="981"/>
        <v>-23149046.237056579</v>
      </c>
      <c r="S455">
        <f t="shared" si="982"/>
        <v>-231.49046237056581</v>
      </c>
      <c r="T455">
        <f t="shared" si="983"/>
        <v>-0.23149046237056581</v>
      </c>
    </row>
    <row r="456" spans="1:20" x14ac:dyDescent="0.25">
      <c r="A456" s="5">
        <v>44137</v>
      </c>
      <c r="B456">
        <v>4.7719999999999999E-2</v>
      </c>
      <c r="C456">
        <v>8.4000000000000005E-2</v>
      </c>
      <c r="D456">
        <v>4.6820000000000001E-2</v>
      </c>
      <c r="E456">
        <v>5.0630000000000001E-2</v>
      </c>
      <c r="F456">
        <v>30259152.600000001</v>
      </c>
      <c r="G456">
        <v>6.1</v>
      </c>
      <c r="L456" t="s">
        <v>8</v>
      </c>
      <c r="M456" t="s">
        <v>8</v>
      </c>
      <c r="N456" t="s">
        <v>8</v>
      </c>
      <c r="P456">
        <f t="shared" si="979"/>
        <v>-0.7950511027434104</v>
      </c>
      <c r="Q456">
        <f t="shared" si="980"/>
        <v>-24057572.642711136</v>
      </c>
      <c r="R456">
        <f t="shared" si="981"/>
        <v>-22440434.96976098</v>
      </c>
      <c r="S456">
        <f t="shared" si="982"/>
        <v>-224.4043496976098</v>
      </c>
      <c r="T456">
        <f t="shared" si="983"/>
        <v>-0.22440434969760981</v>
      </c>
    </row>
    <row r="457" spans="1:20" x14ac:dyDescent="0.25">
      <c r="A457" s="5">
        <v>44136</v>
      </c>
      <c r="B457">
        <v>4.7140000000000001E-2</v>
      </c>
      <c r="C457">
        <v>4.7980000000000002E-2</v>
      </c>
      <c r="D457">
        <v>4.614E-2</v>
      </c>
      <c r="E457">
        <v>4.759E-2</v>
      </c>
      <c r="F457">
        <v>584576.69999999995</v>
      </c>
      <c r="G457">
        <v>0.95</v>
      </c>
      <c r="L457" t="s">
        <v>7</v>
      </c>
      <c r="M457" t="s">
        <v>7</v>
      </c>
      <c r="N457" t="s">
        <v>7</v>
      </c>
      <c r="P457">
        <f t="shared" si="979"/>
        <v>0.57608695652173791</v>
      </c>
      <c r="Q457">
        <f t="shared" si="980"/>
        <v>336767.01195652102</v>
      </c>
      <c r="R457">
        <f t="shared" si="981"/>
        <v>1617137.672950157</v>
      </c>
      <c r="S457">
        <f t="shared" si="982"/>
        <v>16.171376729501571</v>
      </c>
      <c r="T457">
        <f t="shared" si="983"/>
        <v>1.6171376729501571E-2</v>
      </c>
    </row>
    <row r="458" spans="1:20" x14ac:dyDescent="0.25">
      <c r="A458" s="5">
        <v>44135</v>
      </c>
      <c r="B458">
        <v>4.709E-2</v>
      </c>
      <c r="C458">
        <v>4.8759999999999998E-2</v>
      </c>
      <c r="D458">
        <v>4.6289999999999998E-2</v>
      </c>
      <c r="E458">
        <v>4.7280000000000003E-2</v>
      </c>
      <c r="F458">
        <v>889582.6</v>
      </c>
      <c r="G458">
        <v>0.4</v>
      </c>
      <c r="L458" t="s">
        <v>7</v>
      </c>
      <c r="M458" t="s">
        <v>7</v>
      </c>
      <c r="N458" t="s">
        <v>7</v>
      </c>
      <c r="P458">
        <f t="shared" si="979"/>
        <v>-0.19838056680161556</v>
      </c>
      <c r="Q458">
        <f t="shared" si="980"/>
        <v>-176475.90040485485</v>
      </c>
      <c r="R458">
        <f t="shared" si="981"/>
        <v>1280370.6609936359</v>
      </c>
      <c r="S458">
        <f t="shared" si="982"/>
        <v>12.803706609936359</v>
      </c>
      <c r="T458">
        <f t="shared" si="983"/>
        <v>1.280370660993636E-2</v>
      </c>
    </row>
    <row r="459" spans="1:20" x14ac:dyDescent="0.25">
      <c r="A459" s="5">
        <v>44134</v>
      </c>
      <c r="B459">
        <v>4.8800000000000003E-2</v>
      </c>
      <c r="C459">
        <v>4.9180000000000001E-2</v>
      </c>
      <c r="D459">
        <v>4.6600000000000003E-2</v>
      </c>
      <c r="E459">
        <v>4.7140000000000001E-2</v>
      </c>
      <c r="F459">
        <v>1105844.7</v>
      </c>
      <c r="G459">
        <v>-3.4</v>
      </c>
      <c r="L459" t="s">
        <v>7</v>
      </c>
      <c r="M459" t="s">
        <v>7</v>
      </c>
      <c r="N459" t="s">
        <v>7</v>
      </c>
      <c r="P459">
        <f t="shared" si="979"/>
        <v>-0.58139534883721</v>
      </c>
      <c r="Q459">
        <f t="shared" si="980"/>
        <v>-642932.96511627978</v>
      </c>
      <c r="R459">
        <f t="shared" si="981"/>
        <v>1456846.5613984908</v>
      </c>
      <c r="S459">
        <f t="shared" si="982"/>
        <v>14.568465613984907</v>
      </c>
      <c r="T459">
        <f t="shared" si="983"/>
        <v>1.4568465613984907E-2</v>
      </c>
    </row>
    <row r="460" spans="1:20" x14ac:dyDescent="0.25">
      <c r="A460" s="5">
        <v>44133</v>
      </c>
      <c r="B460">
        <v>5.0090000000000003E-2</v>
      </c>
      <c r="C460">
        <v>5.0779999999999999E-2</v>
      </c>
      <c r="D460">
        <v>4.8439999999999997E-2</v>
      </c>
      <c r="E460">
        <v>4.8770000000000001E-2</v>
      </c>
      <c r="F460">
        <v>770470.6</v>
      </c>
      <c r="G460">
        <v>-2.64</v>
      </c>
      <c r="L460" t="s">
        <v>7</v>
      </c>
      <c r="M460" t="s">
        <v>7</v>
      </c>
      <c r="N460" t="s">
        <v>7</v>
      </c>
      <c r="P460">
        <f t="shared" si="979"/>
        <v>-0.71794871794871484</v>
      </c>
      <c r="Q460">
        <f t="shared" si="980"/>
        <v>-553158.37948717712</v>
      </c>
      <c r="R460">
        <f t="shared" si="981"/>
        <v>2099779.5265147705</v>
      </c>
      <c r="S460">
        <f t="shared" si="982"/>
        <v>20.997795265147705</v>
      </c>
      <c r="T460">
        <f t="shared" si="983"/>
        <v>2.0997795265147706E-2</v>
      </c>
    </row>
    <row r="461" spans="1:20" x14ac:dyDescent="0.25">
      <c r="A461" s="5">
        <v>44132</v>
      </c>
      <c r="B461">
        <v>5.2940000000000001E-2</v>
      </c>
      <c r="C461">
        <v>5.4030000000000002E-2</v>
      </c>
      <c r="D461">
        <v>4.9360000000000001E-2</v>
      </c>
      <c r="E461">
        <v>5.0259999999999999E-2</v>
      </c>
      <c r="F461">
        <v>1316596</v>
      </c>
      <c r="G461">
        <v>-5.0599999999999996</v>
      </c>
      <c r="L461" t="s">
        <v>7</v>
      </c>
      <c r="M461" t="s">
        <v>8</v>
      </c>
      <c r="N461" t="s">
        <v>7</v>
      </c>
      <c r="P461">
        <f t="shared" si="979"/>
        <v>-0.61456102783725997</v>
      </c>
      <c r="Q461">
        <f t="shared" si="980"/>
        <v>-809128.59100642509</v>
      </c>
      <c r="R461">
        <f t="shared" si="981"/>
        <v>2652937.9060019478</v>
      </c>
      <c r="S461">
        <f t="shared" si="982"/>
        <v>26.52937906001948</v>
      </c>
      <c r="T461">
        <f t="shared" si="983"/>
        <v>2.6529379060019481E-2</v>
      </c>
    </row>
    <row r="462" spans="1:20" x14ac:dyDescent="0.25">
      <c r="A462" s="5">
        <v>44131</v>
      </c>
      <c r="B462">
        <v>5.1470000000000002E-2</v>
      </c>
      <c r="C462">
        <v>5.7610000000000001E-2</v>
      </c>
      <c r="D462">
        <v>5.0380000000000001E-2</v>
      </c>
      <c r="E462">
        <v>5.3159999999999999E-2</v>
      </c>
      <c r="F462">
        <v>2624113.4</v>
      </c>
      <c r="G462">
        <v>3.28</v>
      </c>
      <c r="L462" t="s">
        <v>8</v>
      </c>
      <c r="M462" t="s">
        <v>8</v>
      </c>
      <c r="N462" t="s">
        <v>7</v>
      </c>
      <c r="P462">
        <f t="shared" si="979"/>
        <v>-0.23098201936376275</v>
      </c>
      <c r="Q462">
        <f t="shared" si="980"/>
        <v>-606123.01217150933</v>
      </c>
      <c r="R462">
        <f t="shared" si="981"/>
        <v>3462066.497008373</v>
      </c>
      <c r="S462">
        <f t="shared" si="982"/>
        <v>34.62066497008373</v>
      </c>
      <c r="T462">
        <f t="shared" si="983"/>
        <v>3.4620664970083731E-2</v>
      </c>
    </row>
    <row r="463" spans="1:20" x14ac:dyDescent="0.25">
      <c r="A463" s="5">
        <v>44130</v>
      </c>
      <c r="B463">
        <v>5.212E-2</v>
      </c>
      <c r="C463">
        <v>5.3589999999999999E-2</v>
      </c>
      <c r="D463">
        <v>5.0220000000000001E-2</v>
      </c>
      <c r="E463">
        <v>5.176E-2</v>
      </c>
      <c r="F463">
        <v>886944.4</v>
      </c>
      <c r="G463">
        <v>-0.69</v>
      </c>
      <c r="L463" t="s">
        <v>7</v>
      </c>
      <c r="M463" t="s">
        <v>8</v>
      </c>
      <c r="N463" t="s">
        <v>7</v>
      </c>
      <c r="P463">
        <f t="shared" si="979"/>
        <v>-8.6053412462907639E-2</v>
      </c>
      <c r="Q463">
        <f t="shared" si="980"/>
        <v>-76324.592284866143</v>
      </c>
      <c r="R463">
        <f t="shared" si="981"/>
        <v>4068189.5091798822</v>
      </c>
      <c r="S463">
        <f t="shared" si="982"/>
        <v>40.681895091798822</v>
      </c>
      <c r="T463">
        <f t="shared" si="983"/>
        <v>4.0681895091798821E-2</v>
      </c>
    </row>
    <row r="464" spans="1:20" x14ac:dyDescent="0.25">
      <c r="A464" s="5">
        <v>44129</v>
      </c>
      <c r="B464">
        <v>5.4800000000000001E-2</v>
      </c>
      <c r="C464">
        <v>5.525E-2</v>
      </c>
      <c r="D464">
        <v>5.0999999999999997E-2</v>
      </c>
      <c r="E464">
        <v>5.1979999999999998E-2</v>
      </c>
      <c r="F464">
        <v>892041.2</v>
      </c>
      <c r="G464">
        <v>-5.15</v>
      </c>
      <c r="L464" t="s">
        <v>7</v>
      </c>
      <c r="M464" t="s">
        <v>8</v>
      </c>
      <c r="N464" t="s">
        <v>7</v>
      </c>
      <c r="P464">
        <f t="shared" si="979"/>
        <v>-0.53882352941176437</v>
      </c>
      <c r="Q464">
        <f t="shared" si="980"/>
        <v>-480652.78776470554</v>
      </c>
      <c r="R464">
        <f t="shared" si="981"/>
        <v>4144514.1014647484</v>
      </c>
      <c r="S464">
        <f t="shared" si="982"/>
        <v>41.445141014647483</v>
      </c>
      <c r="T464">
        <f t="shared" si="983"/>
        <v>4.1445141014647482E-2</v>
      </c>
    </row>
    <row r="465" spans="1:20" x14ac:dyDescent="0.25">
      <c r="A465" s="5">
        <v>44128</v>
      </c>
      <c r="B465">
        <v>5.2760000000000001E-2</v>
      </c>
      <c r="C465">
        <v>5.6890000000000003E-2</v>
      </c>
      <c r="D465">
        <v>5.2580000000000002E-2</v>
      </c>
      <c r="E465">
        <v>5.4789999999999998E-2</v>
      </c>
      <c r="F465">
        <v>2061756.1</v>
      </c>
      <c r="G465">
        <v>3.85</v>
      </c>
      <c r="L465" t="s">
        <v>7</v>
      </c>
      <c r="M465" t="s">
        <v>8</v>
      </c>
      <c r="N465" t="s">
        <v>7</v>
      </c>
      <c r="P465">
        <f t="shared" si="979"/>
        <v>2.5522041763339214E-2</v>
      </c>
      <c r="Q465">
        <f t="shared" si="980"/>
        <v>52620.225290019385</v>
      </c>
      <c r="R465">
        <f t="shared" si="981"/>
        <v>4625166.8892294541</v>
      </c>
      <c r="S465">
        <f t="shared" si="982"/>
        <v>46.251668892294539</v>
      </c>
      <c r="T465">
        <f t="shared" si="983"/>
        <v>4.625166889229454E-2</v>
      </c>
    </row>
    <row r="466" spans="1:20" x14ac:dyDescent="0.25">
      <c r="A466" s="5">
        <v>44127</v>
      </c>
      <c r="B466">
        <v>5.1560000000000002E-2</v>
      </c>
      <c r="C466">
        <v>5.8000000000000003E-2</v>
      </c>
      <c r="D466">
        <v>5.0990000000000001E-2</v>
      </c>
      <c r="E466">
        <v>5.2690000000000001E-2</v>
      </c>
      <c r="F466">
        <v>3210300.4</v>
      </c>
      <c r="G466">
        <v>2.19</v>
      </c>
      <c r="L466" t="s">
        <v>8</v>
      </c>
      <c r="M466" t="s">
        <v>8</v>
      </c>
      <c r="N466" t="s">
        <v>7</v>
      </c>
      <c r="P466">
        <f t="shared" si="979"/>
        <v>-0.51497860199714707</v>
      </c>
      <c r="Q466">
        <f t="shared" si="980"/>
        <v>-1653236.0119828819</v>
      </c>
      <c r="R466">
        <f t="shared" si="981"/>
        <v>4572546.663939435</v>
      </c>
      <c r="S466">
        <f t="shared" si="982"/>
        <v>45.725466639394348</v>
      </c>
      <c r="T466">
        <f t="shared" si="983"/>
        <v>4.5725466639394349E-2</v>
      </c>
    </row>
    <row r="467" spans="1:20" x14ac:dyDescent="0.25">
      <c r="A467" s="5">
        <v>44126</v>
      </c>
      <c r="B467">
        <v>5.0900000000000001E-2</v>
      </c>
      <c r="C467">
        <v>5.253E-2</v>
      </c>
      <c r="D467">
        <v>5.0110000000000002E-2</v>
      </c>
      <c r="E467">
        <v>5.1580000000000001E-2</v>
      </c>
      <c r="F467">
        <v>653462.69999999995</v>
      </c>
      <c r="G467">
        <v>1.34</v>
      </c>
      <c r="L467" t="s">
        <v>8</v>
      </c>
      <c r="M467" t="s">
        <v>8</v>
      </c>
      <c r="N467" t="s">
        <v>7</v>
      </c>
      <c r="P467">
        <f t="shared" si="979"/>
        <v>0.21487603305785122</v>
      </c>
      <c r="Q467">
        <f t="shared" si="980"/>
        <v>140413.47272727269</v>
      </c>
      <c r="R467">
        <f t="shared" si="981"/>
        <v>6225782.6759223174</v>
      </c>
      <c r="S467">
        <f t="shared" si="982"/>
        <v>62.257826759223171</v>
      </c>
      <c r="T467">
        <f t="shared" si="983"/>
        <v>6.2257826759223173E-2</v>
      </c>
    </row>
    <row r="468" spans="1:20" x14ac:dyDescent="0.25">
      <c r="A468" s="5">
        <v>44125</v>
      </c>
      <c r="B468">
        <v>4.811E-2</v>
      </c>
      <c r="C468">
        <v>5.21E-2</v>
      </c>
      <c r="D468">
        <v>4.811E-2</v>
      </c>
      <c r="E468">
        <v>5.0939999999999999E-2</v>
      </c>
      <c r="F468">
        <v>1839072.8</v>
      </c>
      <c r="G468">
        <v>5.88</v>
      </c>
      <c r="L468" t="s">
        <v>8</v>
      </c>
      <c r="M468" t="s">
        <v>8</v>
      </c>
      <c r="N468" t="s">
        <v>7</v>
      </c>
      <c r="P468">
        <f t="shared" si="979"/>
        <v>0.41854636591478639</v>
      </c>
      <c r="Q468">
        <f t="shared" si="980"/>
        <v>769737.23709273082</v>
      </c>
      <c r="R468">
        <f t="shared" si="981"/>
        <v>6085369.2031950448</v>
      </c>
      <c r="S468">
        <f t="shared" si="982"/>
        <v>60.853692031950445</v>
      </c>
      <c r="T468">
        <f t="shared" si="983"/>
        <v>6.0853692031950443E-2</v>
      </c>
    </row>
    <row r="469" spans="1:20" x14ac:dyDescent="0.25">
      <c r="A469" s="5">
        <v>44124</v>
      </c>
      <c r="B469">
        <v>4.8680000000000001E-2</v>
      </c>
      <c r="C469">
        <v>4.938E-2</v>
      </c>
      <c r="D469">
        <v>4.7849999999999997E-2</v>
      </c>
      <c r="E469">
        <v>4.8009999999999997E-2</v>
      </c>
      <c r="F469">
        <v>569215.9</v>
      </c>
      <c r="G469">
        <v>-1.38</v>
      </c>
      <c r="L469" t="s">
        <v>7</v>
      </c>
      <c r="M469" t="s">
        <v>8</v>
      </c>
      <c r="N469" t="s">
        <v>7</v>
      </c>
      <c r="P469">
        <f t="shared" si="979"/>
        <v>-0.79084967320261434</v>
      </c>
      <c r="Q469">
        <f t="shared" si="980"/>
        <v>-450164.208496732</v>
      </c>
      <c r="R469">
        <f t="shared" si="981"/>
        <v>5315631.9661023142</v>
      </c>
      <c r="S469">
        <f t="shared" si="982"/>
        <v>53.15631966102314</v>
      </c>
      <c r="T469">
        <f t="shared" si="983"/>
        <v>5.3156319661023139E-2</v>
      </c>
    </row>
    <row r="470" spans="1:20" x14ac:dyDescent="0.25">
      <c r="A470" s="5">
        <v>44123</v>
      </c>
      <c r="B470">
        <v>4.8550000000000003E-2</v>
      </c>
      <c r="C470">
        <v>4.9599999999999998E-2</v>
      </c>
      <c r="D470">
        <v>4.691E-2</v>
      </c>
      <c r="E470">
        <v>4.8669999999999998E-2</v>
      </c>
      <c r="F470">
        <v>1118136.3</v>
      </c>
      <c r="G470">
        <v>0.25</v>
      </c>
      <c r="L470" t="s">
        <v>7</v>
      </c>
      <c r="M470" t="s">
        <v>8</v>
      </c>
      <c r="N470" t="s">
        <v>7</v>
      </c>
      <c r="P470">
        <f t="shared" si="979"/>
        <v>0.30855018587360522</v>
      </c>
      <c r="Q470">
        <f t="shared" si="980"/>
        <v>345001.16319702525</v>
      </c>
      <c r="R470">
        <f t="shared" si="981"/>
        <v>5765796.1745990459</v>
      </c>
      <c r="S470">
        <f t="shared" si="982"/>
        <v>57.657961745990455</v>
      </c>
      <c r="T470">
        <f t="shared" si="983"/>
        <v>5.7657961745990458E-2</v>
      </c>
    </row>
    <row r="471" spans="1:20" x14ac:dyDescent="0.25">
      <c r="A471" s="5">
        <v>44122</v>
      </c>
      <c r="B471">
        <v>4.8009999999999997E-2</v>
      </c>
      <c r="C471">
        <v>5.4449999999999998E-2</v>
      </c>
      <c r="D471">
        <v>4.7469999999999998E-2</v>
      </c>
      <c r="E471">
        <v>4.8509999999999998E-2</v>
      </c>
      <c r="F471">
        <v>3990243</v>
      </c>
      <c r="G471">
        <v>1.04</v>
      </c>
      <c r="L471" t="s">
        <v>8</v>
      </c>
      <c r="M471" t="s">
        <v>8</v>
      </c>
      <c r="N471" t="s">
        <v>7</v>
      </c>
      <c r="P471">
        <f t="shared" si="979"/>
        <v>-0.70200573065902605</v>
      </c>
      <c r="Q471">
        <f t="shared" si="980"/>
        <v>-2801173.4527220642</v>
      </c>
      <c r="R471">
        <f t="shared" si="981"/>
        <v>5420795.0114020202</v>
      </c>
      <c r="S471">
        <f t="shared" si="982"/>
        <v>54.2079501140202</v>
      </c>
      <c r="T471">
        <f t="shared" si="983"/>
        <v>5.4207950114020201E-2</v>
      </c>
    </row>
    <row r="472" spans="1:20" x14ac:dyDescent="0.25">
      <c r="A472" s="5">
        <v>44121</v>
      </c>
      <c r="B472">
        <v>4.7059999999999998E-2</v>
      </c>
      <c r="C472">
        <v>4.8050000000000002E-2</v>
      </c>
      <c r="D472">
        <v>4.6769999999999999E-2</v>
      </c>
      <c r="E472">
        <v>4.8039999999999999E-2</v>
      </c>
      <c r="F472">
        <v>488507.9</v>
      </c>
      <c r="G472">
        <v>2.08</v>
      </c>
      <c r="L472" t="s">
        <v>7</v>
      </c>
      <c r="M472" t="s">
        <v>7</v>
      </c>
      <c r="N472" t="s">
        <v>7</v>
      </c>
      <c r="P472">
        <f t="shared" si="979"/>
        <v>0.98437499999999523</v>
      </c>
      <c r="Q472">
        <f t="shared" si="980"/>
        <v>480874.96406249772</v>
      </c>
      <c r="R472">
        <f t="shared" si="981"/>
        <v>8221968.4641240845</v>
      </c>
      <c r="S472">
        <f t="shared" si="982"/>
        <v>82.219684641240846</v>
      </c>
      <c r="T472">
        <f t="shared" si="983"/>
        <v>8.2219684641240839E-2</v>
      </c>
    </row>
    <row r="473" spans="1:20" x14ac:dyDescent="0.25">
      <c r="A473" s="5">
        <v>44120</v>
      </c>
      <c r="B473">
        <v>4.8820000000000002E-2</v>
      </c>
      <c r="C473">
        <v>4.9299999999999997E-2</v>
      </c>
      <c r="D473">
        <v>4.6109999999999998E-2</v>
      </c>
      <c r="E473">
        <v>4.6829999999999997E-2</v>
      </c>
      <c r="F473">
        <v>1134462.2</v>
      </c>
      <c r="G473">
        <v>-4.08</v>
      </c>
      <c r="L473" t="s">
        <v>7</v>
      </c>
      <c r="M473" t="s">
        <v>7</v>
      </c>
      <c r="N473" t="s">
        <v>7</v>
      </c>
      <c r="P473">
        <f t="shared" si="979"/>
        <v>-0.54858934169279072</v>
      </c>
      <c r="Q473">
        <f t="shared" si="980"/>
        <v>-622353.8714733551</v>
      </c>
      <c r="R473">
        <f t="shared" si="981"/>
        <v>7741093.5000615865</v>
      </c>
      <c r="S473">
        <f t="shared" si="982"/>
        <v>77.410935000615865</v>
      </c>
      <c r="T473">
        <f t="shared" si="983"/>
        <v>7.7410935000615869E-2</v>
      </c>
    </row>
    <row r="474" spans="1:20" x14ac:dyDescent="0.25">
      <c r="A474" s="5">
        <v>44119</v>
      </c>
      <c r="B474">
        <v>5.0290000000000001E-2</v>
      </c>
      <c r="C474">
        <v>5.0319999999999997E-2</v>
      </c>
      <c r="D474">
        <v>4.8009999999999997E-2</v>
      </c>
      <c r="E474">
        <v>4.8989999999999999E-2</v>
      </c>
      <c r="F474">
        <v>512857.8</v>
      </c>
      <c r="G474">
        <v>-2.59</v>
      </c>
      <c r="L474" t="s">
        <v>7</v>
      </c>
      <c r="M474" t="s">
        <v>7</v>
      </c>
      <c r="N474" t="s">
        <v>8</v>
      </c>
      <c r="P474">
        <f t="shared" si="979"/>
        <v>-0.15151515151514988</v>
      </c>
      <c r="Q474">
        <f t="shared" si="980"/>
        <v>-77705.727272726435</v>
      </c>
      <c r="R474">
        <f t="shared" si="981"/>
        <v>8363447.3715349417</v>
      </c>
      <c r="S474">
        <f t="shared" si="982"/>
        <v>83.634473715349415</v>
      </c>
      <c r="T474">
        <f t="shared" si="983"/>
        <v>8.3634473715349419E-2</v>
      </c>
    </row>
    <row r="475" spans="1:20" x14ac:dyDescent="0.25">
      <c r="A475" s="5">
        <v>44118</v>
      </c>
      <c r="B475">
        <v>5.1709999999999999E-2</v>
      </c>
      <c r="C475">
        <v>5.2749999999999998E-2</v>
      </c>
      <c r="D475">
        <v>4.9320000000000003E-2</v>
      </c>
      <c r="E475">
        <v>5.0290000000000001E-2</v>
      </c>
      <c r="F475">
        <v>729967.3</v>
      </c>
      <c r="G475">
        <v>-2.75</v>
      </c>
      <c r="L475" t="s">
        <v>7</v>
      </c>
      <c r="M475" t="s">
        <v>7</v>
      </c>
      <c r="N475" t="s">
        <v>8</v>
      </c>
      <c r="P475">
        <f t="shared" si="979"/>
        <v>-0.4344023323615161</v>
      </c>
      <c r="Q475">
        <f t="shared" si="980"/>
        <v>-317099.49766763853</v>
      </c>
      <c r="R475">
        <f t="shared" si="981"/>
        <v>8441153.0988076683</v>
      </c>
      <c r="S475">
        <f t="shared" si="982"/>
        <v>84.411530988076677</v>
      </c>
      <c r="T475">
        <f t="shared" si="983"/>
        <v>8.4411530988076675E-2</v>
      </c>
    </row>
    <row r="476" spans="1:20" x14ac:dyDescent="0.25">
      <c r="A476" s="5">
        <v>44117</v>
      </c>
      <c r="B476">
        <v>5.2749999999999998E-2</v>
      </c>
      <c r="C476">
        <v>5.3469999999999997E-2</v>
      </c>
      <c r="D476">
        <v>5.1029999999999999E-2</v>
      </c>
      <c r="E476">
        <v>5.1720000000000002E-2</v>
      </c>
      <c r="F476">
        <v>481217.1</v>
      </c>
      <c r="G476">
        <v>-1.95</v>
      </c>
      <c r="L476" t="s">
        <v>7</v>
      </c>
      <c r="M476" t="s">
        <v>7</v>
      </c>
      <c r="N476" t="s">
        <v>8</v>
      </c>
      <c r="P476">
        <f t="shared" si="979"/>
        <v>-0.43442622950819365</v>
      </c>
      <c r="Q476">
        <f t="shared" si="980"/>
        <v>-209053.33032786736</v>
      </c>
      <c r="R476">
        <f t="shared" si="981"/>
        <v>8758252.5964753069</v>
      </c>
      <c r="S476">
        <f t="shared" si="982"/>
        <v>87.582525964753074</v>
      </c>
      <c r="T476">
        <f t="shared" si="983"/>
        <v>8.7582525964753077E-2</v>
      </c>
    </row>
    <row r="477" spans="1:20" x14ac:dyDescent="0.25">
      <c r="A477" s="5">
        <v>44116</v>
      </c>
      <c r="B477">
        <v>5.3760000000000002E-2</v>
      </c>
      <c r="C477">
        <v>5.4530000000000002E-2</v>
      </c>
      <c r="D477">
        <v>5.169E-2</v>
      </c>
      <c r="E477">
        <v>5.2940000000000001E-2</v>
      </c>
      <c r="F477">
        <v>2091400.7</v>
      </c>
      <c r="G477">
        <v>-1.53</v>
      </c>
      <c r="L477" t="s">
        <v>7</v>
      </c>
      <c r="M477" t="s">
        <v>7</v>
      </c>
      <c r="N477" t="s">
        <v>8</v>
      </c>
      <c r="P477">
        <f t="shared" si="979"/>
        <v>-0.11971830985915484</v>
      </c>
      <c r="Q477">
        <f t="shared" si="980"/>
        <v>-250378.95704225331</v>
      </c>
      <c r="R477">
        <f t="shared" si="981"/>
        <v>8967305.9268031735</v>
      </c>
      <c r="S477">
        <f t="shared" si="982"/>
        <v>89.673059268031736</v>
      </c>
      <c r="T477">
        <f t="shared" si="983"/>
        <v>8.9673059268031735E-2</v>
      </c>
    </row>
    <row r="478" spans="1:20" x14ac:dyDescent="0.25">
      <c r="A478" s="5">
        <v>44115</v>
      </c>
      <c r="B478">
        <v>5.2900000000000003E-2</v>
      </c>
      <c r="C478">
        <v>6.5530000000000005E-2</v>
      </c>
      <c r="D478">
        <v>5.1130000000000002E-2</v>
      </c>
      <c r="E478">
        <v>5.3760000000000002E-2</v>
      </c>
      <c r="F478">
        <v>8663365</v>
      </c>
      <c r="G478">
        <v>1.63</v>
      </c>
      <c r="L478" t="s">
        <v>8</v>
      </c>
      <c r="M478" t="s">
        <v>8</v>
      </c>
      <c r="N478" t="s">
        <v>8</v>
      </c>
      <c r="P478">
        <f t="shared" si="979"/>
        <v>-0.6347222222222223</v>
      </c>
      <c r="Q478">
        <f t="shared" si="980"/>
        <v>-5498830.2847222229</v>
      </c>
      <c r="R478">
        <f t="shared" si="981"/>
        <v>9217684.8838454261</v>
      </c>
      <c r="S478">
        <f t="shared" si="982"/>
        <v>92.176848838454262</v>
      </c>
      <c r="T478">
        <f t="shared" si="983"/>
        <v>9.2176848838454256E-2</v>
      </c>
    </row>
    <row r="479" spans="1:20" x14ac:dyDescent="0.25">
      <c r="A479" s="5">
        <v>44114</v>
      </c>
      <c r="B479">
        <v>5.1060000000000001E-2</v>
      </c>
      <c r="C479">
        <v>5.459E-2</v>
      </c>
      <c r="D479">
        <v>5.0909999999999997E-2</v>
      </c>
      <c r="E479">
        <v>5.2940000000000001E-2</v>
      </c>
      <c r="F479">
        <v>1665630.3</v>
      </c>
      <c r="G479">
        <v>3.68</v>
      </c>
      <c r="L479" t="s">
        <v>8</v>
      </c>
      <c r="M479" t="s">
        <v>8</v>
      </c>
      <c r="N479" t="s">
        <v>7</v>
      </c>
      <c r="P479">
        <f t="shared" si="979"/>
        <v>0.10326086956521877</v>
      </c>
      <c r="Q479">
        <f t="shared" si="980"/>
        <v>171994.43315217621</v>
      </c>
      <c r="R479">
        <f t="shared" si="981"/>
        <v>14716515.16856765</v>
      </c>
      <c r="S479">
        <f t="shared" si="982"/>
        <v>147.16515168567651</v>
      </c>
      <c r="T479">
        <f t="shared" si="983"/>
        <v>0.14716515168567651</v>
      </c>
    </row>
    <row r="480" spans="1:20" x14ac:dyDescent="0.25">
      <c r="A480" s="5">
        <v>44113</v>
      </c>
      <c r="B480">
        <v>4.7039999999999998E-2</v>
      </c>
      <c r="C480">
        <v>5.169E-2</v>
      </c>
      <c r="D480">
        <v>4.5330000000000002E-2</v>
      </c>
      <c r="E480">
        <v>5.1139999999999998E-2</v>
      </c>
      <c r="F480">
        <v>1778202.5</v>
      </c>
      <c r="G480">
        <v>8.7200000000000006</v>
      </c>
      <c r="L480" t="s">
        <v>8</v>
      </c>
      <c r="M480" t="s">
        <v>8</v>
      </c>
      <c r="N480" t="s">
        <v>7</v>
      </c>
      <c r="P480">
        <f t="shared" si="979"/>
        <v>0.82704402515723208</v>
      </c>
      <c r="Q480">
        <f t="shared" si="980"/>
        <v>1470651.753144653</v>
      </c>
      <c r="R480">
        <f t="shared" si="981"/>
        <v>14544520.735415474</v>
      </c>
      <c r="S480">
        <f t="shared" si="982"/>
        <v>145.44520735415475</v>
      </c>
      <c r="T480">
        <f t="shared" si="983"/>
        <v>0.14544520735415475</v>
      </c>
    </row>
    <row r="481" spans="1:20" x14ac:dyDescent="0.25">
      <c r="A481" s="5">
        <v>44112</v>
      </c>
      <c r="B481">
        <v>4.496E-2</v>
      </c>
      <c r="C481">
        <v>4.8000000000000001E-2</v>
      </c>
      <c r="D481">
        <v>4.4760000000000001E-2</v>
      </c>
      <c r="E481">
        <v>4.6899999999999997E-2</v>
      </c>
      <c r="F481">
        <v>1412841.8</v>
      </c>
      <c r="G481">
        <v>4.3099999999999996</v>
      </c>
      <c r="L481" t="s">
        <v>8</v>
      </c>
      <c r="M481" t="s">
        <v>7</v>
      </c>
      <c r="N481" t="s">
        <v>7</v>
      </c>
      <c r="P481">
        <f t="shared" si="979"/>
        <v>0.32098765432098531</v>
      </c>
      <c r="Q481">
        <f t="shared" si="980"/>
        <v>453504.77530863869</v>
      </c>
      <c r="R481">
        <f t="shared" si="981"/>
        <v>13073868.98227082</v>
      </c>
      <c r="S481">
        <f t="shared" si="982"/>
        <v>130.73868982270821</v>
      </c>
      <c r="T481">
        <f t="shared" si="983"/>
        <v>0.1307386898227082</v>
      </c>
    </row>
    <row r="482" spans="1:20" x14ac:dyDescent="0.25">
      <c r="A482" s="5">
        <v>44111</v>
      </c>
      <c r="B482">
        <v>4.582E-2</v>
      </c>
      <c r="C482">
        <v>4.6739999999999997E-2</v>
      </c>
      <c r="D482">
        <v>4.367E-2</v>
      </c>
      <c r="E482">
        <v>4.48E-2</v>
      </c>
      <c r="F482">
        <v>1538007.3</v>
      </c>
      <c r="G482">
        <v>-2.23</v>
      </c>
      <c r="L482" t="s">
        <v>7</v>
      </c>
      <c r="M482" t="s">
        <v>7</v>
      </c>
      <c r="N482" t="s">
        <v>7</v>
      </c>
      <c r="P482">
        <f t="shared" si="979"/>
        <v>-0.26384364820846878</v>
      </c>
      <c r="Q482">
        <f t="shared" si="980"/>
        <v>-405793.45700325695</v>
      </c>
      <c r="R482">
        <f t="shared" si="981"/>
        <v>12620364.206962181</v>
      </c>
      <c r="S482">
        <f t="shared" si="982"/>
        <v>126.20364206962181</v>
      </c>
      <c r="T482">
        <f t="shared" si="983"/>
        <v>0.12620364206962181</v>
      </c>
    </row>
    <row r="483" spans="1:20" x14ac:dyDescent="0.25">
      <c r="A483" s="5">
        <v>44110</v>
      </c>
      <c r="B483">
        <v>4.7980000000000002E-2</v>
      </c>
      <c r="C483">
        <v>4.8800000000000003E-2</v>
      </c>
      <c r="D483">
        <v>4.5580000000000002E-2</v>
      </c>
      <c r="E483">
        <v>4.5740000000000003E-2</v>
      </c>
      <c r="F483">
        <v>907601.6</v>
      </c>
      <c r="G483">
        <v>-4.67</v>
      </c>
      <c r="L483" t="s">
        <v>7</v>
      </c>
      <c r="M483" t="s">
        <v>7</v>
      </c>
      <c r="N483" t="s">
        <v>7</v>
      </c>
      <c r="P483">
        <f t="shared" si="979"/>
        <v>-0.90062111801242217</v>
      </c>
      <c r="Q483">
        <f t="shared" si="980"/>
        <v>-817405.16770186322</v>
      </c>
      <c r="R483">
        <f t="shared" si="981"/>
        <v>13026157.663965438</v>
      </c>
      <c r="S483">
        <f t="shared" si="982"/>
        <v>130.26157663965438</v>
      </c>
      <c r="T483">
        <f t="shared" si="983"/>
        <v>0.13026157663965438</v>
      </c>
    </row>
    <row r="484" spans="1:20" x14ac:dyDescent="0.25">
      <c r="A484" s="5">
        <v>44109</v>
      </c>
      <c r="B484">
        <v>4.6949999999999999E-2</v>
      </c>
      <c r="C484">
        <v>5.0950000000000002E-2</v>
      </c>
      <c r="D484">
        <v>4.6829999999999997E-2</v>
      </c>
      <c r="E484">
        <v>4.8090000000000001E-2</v>
      </c>
      <c r="F484">
        <v>1079591.8</v>
      </c>
      <c r="G484">
        <v>2.4300000000000002</v>
      </c>
      <c r="L484" t="s">
        <v>8</v>
      </c>
      <c r="M484" t="s">
        <v>7</v>
      </c>
      <c r="N484" t="s">
        <v>7</v>
      </c>
      <c r="P484">
        <f t="shared" si="979"/>
        <v>-0.38834951456310562</v>
      </c>
      <c r="Q484">
        <f t="shared" si="980"/>
        <v>-419258.95145630941</v>
      </c>
      <c r="R484">
        <f t="shared" si="981"/>
        <v>13843562.8316673</v>
      </c>
      <c r="S484">
        <f t="shared" si="982"/>
        <v>138.43562831667299</v>
      </c>
      <c r="T484">
        <f t="shared" si="983"/>
        <v>0.138435628316673</v>
      </c>
    </row>
    <row r="485" spans="1:20" x14ac:dyDescent="0.25">
      <c r="A485" s="5">
        <v>44108</v>
      </c>
      <c r="B485">
        <v>4.7059999999999998E-2</v>
      </c>
      <c r="C485">
        <v>4.7629999999999999E-2</v>
      </c>
      <c r="D485">
        <v>4.6100000000000002E-2</v>
      </c>
      <c r="E485">
        <v>4.6960000000000002E-2</v>
      </c>
      <c r="F485">
        <v>688383.2</v>
      </c>
      <c r="G485">
        <v>-0.21</v>
      </c>
      <c r="L485" t="s">
        <v>8</v>
      </c>
      <c r="M485" t="s">
        <v>7</v>
      </c>
      <c r="N485" t="s">
        <v>7</v>
      </c>
      <c r="P485">
        <f t="shared" si="979"/>
        <v>0.12418300653594973</v>
      </c>
      <c r="Q485">
        <f t="shared" si="980"/>
        <v>85485.49542483798</v>
      </c>
      <c r="R485">
        <f t="shared" si="981"/>
        <v>14262821.783123611</v>
      </c>
      <c r="S485">
        <f t="shared" si="982"/>
        <v>142.6282178312361</v>
      </c>
      <c r="T485">
        <f t="shared" si="983"/>
        <v>0.14262821783123611</v>
      </c>
    </row>
    <row r="486" spans="1:20" x14ac:dyDescent="0.25">
      <c r="A486" s="5">
        <v>44107</v>
      </c>
      <c r="B486">
        <v>4.7050000000000002E-2</v>
      </c>
      <c r="C486">
        <v>4.8919999999999998E-2</v>
      </c>
      <c r="D486">
        <v>4.6800000000000001E-2</v>
      </c>
      <c r="E486">
        <v>4.7120000000000002E-2</v>
      </c>
      <c r="F486">
        <v>885735.3</v>
      </c>
      <c r="G486">
        <v>0.15</v>
      </c>
      <c r="L486" t="s">
        <v>8</v>
      </c>
      <c r="M486" t="s">
        <v>7</v>
      </c>
      <c r="N486" t="s">
        <v>7</v>
      </c>
      <c r="P486">
        <f t="shared" si="979"/>
        <v>-0.69811320754716855</v>
      </c>
      <c r="Q486">
        <f t="shared" si="980"/>
        <v>-618343.51132075361</v>
      </c>
      <c r="R486">
        <f t="shared" si="981"/>
        <v>14177336.287698772</v>
      </c>
      <c r="S486">
        <f t="shared" si="982"/>
        <v>141.7733628769877</v>
      </c>
      <c r="T486">
        <f t="shared" si="983"/>
        <v>0.14177336287698769</v>
      </c>
    </row>
    <row r="487" spans="1:20" x14ac:dyDescent="0.25">
      <c r="A487" s="5">
        <v>44106</v>
      </c>
      <c r="B487">
        <v>4.8869999999999997E-2</v>
      </c>
      <c r="C487">
        <v>4.9279999999999997E-2</v>
      </c>
      <c r="D487">
        <v>4.5220000000000003E-2</v>
      </c>
      <c r="E487">
        <v>4.7019999999999999E-2</v>
      </c>
      <c r="F487">
        <v>1286539.3</v>
      </c>
      <c r="G487">
        <v>-3.79</v>
      </c>
      <c r="L487" t="s">
        <v>7</v>
      </c>
      <c r="M487" t="s">
        <v>7</v>
      </c>
      <c r="N487" t="s">
        <v>7</v>
      </c>
      <c r="P487">
        <f t="shared" si="979"/>
        <v>-0.11330049261083812</v>
      </c>
      <c r="Q487">
        <f t="shared" si="980"/>
        <v>-145765.53645320286</v>
      </c>
      <c r="R487">
        <f t="shared" si="981"/>
        <v>14795679.799019525</v>
      </c>
      <c r="S487">
        <f t="shared" si="982"/>
        <v>147.95679799019524</v>
      </c>
      <c r="T487">
        <f t="shared" si="983"/>
        <v>0.14795679799019523</v>
      </c>
    </row>
    <row r="488" spans="1:20" x14ac:dyDescent="0.25">
      <c r="A488" s="5">
        <v>44105</v>
      </c>
      <c r="B488">
        <v>5.1049999999999998E-2</v>
      </c>
      <c r="C488">
        <v>5.2580000000000002E-2</v>
      </c>
      <c r="D488">
        <v>4.7480000000000001E-2</v>
      </c>
      <c r="E488">
        <v>4.8739999999999999E-2</v>
      </c>
      <c r="F488">
        <v>1693631</v>
      </c>
      <c r="G488">
        <v>-4.5199999999999996</v>
      </c>
      <c r="L488" t="s">
        <v>7</v>
      </c>
      <c r="M488" t="s">
        <v>7</v>
      </c>
      <c r="N488" t="s">
        <v>7</v>
      </c>
      <c r="P488">
        <f t="shared" si="979"/>
        <v>-0.50588235294117756</v>
      </c>
      <c r="Q488">
        <f t="shared" si="980"/>
        <v>-856778.0352941195</v>
      </c>
      <c r="R488">
        <f t="shared" si="981"/>
        <v>14941445.335472727</v>
      </c>
      <c r="S488">
        <f t="shared" si="982"/>
        <v>149.41445335472727</v>
      </c>
      <c r="T488">
        <f t="shared" si="983"/>
        <v>0.14941445335472728</v>
      </c>
    </row>
    <row r="489" spans="1:20" x14ac:dyDescent="0.25">
      <c r="A489" s="5">
        <v>44104</v>
      </c>
      <c r="B489">
        <v>5.2440000000000001E-2</v>
      </c>
      <c r="C489">
        <v>5.2600000000000001E-2</v>
      </c>
      <c r="D489">
        <v>4.9700000000000001E-2</v>
      </c>
      <c r="E489">
        <v>5.0880000000000002E-2</v>
      </c>
      <c r="F489">
        <v>1628456.7</v>
      </c>
      <c r="G489">
        <v>-2.97</v>
      </c>
      <c r="L489" t="s">
        <v>7</v>
      </c>
      <c r="M489" t="s">
        <v>7</v>
      </c>
      <c r="N489" t="s">
        <v>7</v>
      </c>
      <c r="P489">
        <f t="shared" si="979"/>
        <v>-0.18620689655172373</v>
      </c>
      <c r="Q489">
        <f t="shared" si="980"/>
        <v>-303229.86827586137</v>
      </c>
      <c r="R489">
        <f t="shared" si="981"/>
        <v>15798223.370766846</v>
      </c>
      <c r="S489">
        <f t="shared" si="982"/>
        <v>157.98223370766846</v>
      </c>
      <c r="T489">
        <f t="shared" si="983"/>
        <v>0.15798223370766845</v>
      </c>
    </row>
    <row r="490" spans="1:20" x14ac:dyDescent="0.25">
      <c r="A490" s="5">
        <v>44103</v>
      </c>
      <c r="B490">
        <v>5.2650000000000002E-2</v>
      </c>
      <c r="C490">
        <v>5.3319999999999999E-2</v>
      </c>
      <c r="D490">
        <v>5.0939999999999999E-2</v>
      </c>
      <c r="E490">
        <v>5.2440000000000001E-2</v>
      </c>
      <c r="F490">
        <v>1626454.6</v>
      </c>
      <c r="G490">
        <v>-0.4</v>
      </c>
      <c r="L490" t="s">
        <v>7</v>
      </c>
      <c r="M490" t="s">
        <v>7</v>
      </c>
      <c r="N490" t="s">
        <v>7</v>
      </c>
      <c r="P490">
        <f t="shared" si="979"/>
        <v>0.26050420168067329</v>
      </c>
      <c r="Q490">
        <f t="shared" si="980"/>
        <v>423698.25714285881</v>
      </c>
      <c r="R490">
        <f t="shared" si="981"/>
        <v>16101453.239042709</v>
      </c>
      <c r="S490">
        <f t="shared" si="982"/>
        <v>161.01453239042709</v>
      </c>
      <c r="T490">
        <f t="shared" si="983"/>
        <v>0.1610145323904271</v>
      </c>
    </row>
    <row r="491" spans="1:20" x14ac:dyDescent="0.25">
      <c r="A491" s="5">
        <v>44102</v>
      </c>
      <c r="B491">
        <v>5.2449999999999997E-2</v>
      </c>
      <c r="C491">
        <v>6.0499999999999998E-2</v>
      </c>
      <c r="D491">
        <v>5.1630000000000002E-2</v>
      </c>
      <c r="E491">
        <v>5.2880000000000003E-2</v>
      </c>
      <c r="F491">
        <v>4938616.5</v>
      </c>
      <c r="G491">
        <v>0.82</v>
      </c>
      <c r="L491" t="s">
        <v>8</v>
      </c>
      <c r="M491" t="s">
        <v>8</v>
      </c>
      <c r="N491" t="s">
        <v>7</v>
      </c>
      <c r="P491">
        <f t="shared" si="979"/>
        <v>-0.71815107102592968</v>
      </c>
      <c r="Q491">
        <f t="shared" si="980"/>
        <v>-3546672.7288613282</v>
      </c>
      <c r="R491">
        <f t="shared" si="981"/>
        <v>15677754.98189985</v>
      </c>
      <c r="S491">
        <f t="shared" si="982"/>
        <v>156.77754981899849</v>
      </c>
      <c r="T491">
        <f t="shared" si="983"/>
        <v>0.1567775498189985</v>
      </c>
    </row>
    <row r="492" spans="1:20" x14ac:dyDescent="0.25">
      <c r="A492" s="5">
        <v>44101</v>
      </c>
      <c r="B492">
        <v>5.398E-2</v>
      </c>
      <c r="C492">
        <v>5.425E-2</v>
      </c>
      <c r="D492">
        <v>5.0750000000000003E-2</v>
      </c>
      <c r="E492">
        <v>5.2260000000000001E-2</v>
      </c>
      <c r="F492">
        <v>1464700.5</v>
      </c>
      <c r="G492">
        <v>-3.19</v>
      </c>
      <c r="L492" t="s">
        <v>7</v>
      </c>
      <c r="M492" t="s">
        <v>7</v>
      </c>
      <c r="N492" t="s">
        <v>7</v>
      </c>
      <c r="P492">
        <f t="shared" si="979"/>
        <v>-0.13714285714285765</v>
      </c>
      <c r="Q492">
        <f t="shared" si="980"/>
        <v>-200873.21142857216</v>
      </c>
      <c r="R492">
        <f t="shared" si="981"/>
        <v>19224427.710761178</v>
      </c>
      <c r="S492">
        <f t="shared" si="982"/>
        <v>192.24427710761179</v>
      </c>
      <c r="T492">
        <f t="shared" si="983"/>
        <v>0.1922442771076118</v>
      </c>
    </row>
    <row r="493" spans="1:20" x14ac:dyDescent="0.25">
      <c r="A493" s="5">
        <v>44100</v>
      </c>
      <c r="B493">
        <v>5.3940000000000002E-2</v>
      </c>
      <c r="C493">
        <v>5.457E-2</v>
      </c>
      <c r="D493">
        <v>5.2600000000000001E-2</v>
      </c>
      <c r="E493">
        <v>5.3740000000000003E-2</v>
      </c>
      <c r="F493">
        <v>2804889.4</v>
      </c>
      <c r="G493">
        <v>-0.37</v>
      </c>
      <c r="L493" t="s">
        <v>8</v>
      </c>
      <c r="M493" t="s">
        <v>7</v>
      </c>
      <c r="N493" t="s">
        <v>7</v>
      </c>
      <c r="P493">
        <f t="shared" si="979"/>
        <v>0.157360406091373</v>
      </c>
      <c r="Q493">
        <f t="shared" si="980"/>
        <v>441378.53502538754</v>
      </c>
      <c r="R493">
        <f t="shared" si="981"/>
        <v>19425300.92218975</v>
      </c>
      <c r="S493">
        <f t="shared" si="982"/>
        <v>194.25300922189749</v>
      </c>
      <c r="T493">
        <f t="shared" si="983"/>
        <v>0.19425300922189748</v>
      </c>
    </row>
    <row r="494" spans="1:20" x14ac:dyDescent="0.25">
      <c r="A494" s="5">
        <v>44099</v>
      </c>
      <c r="B494">
        <v>5.3600000000000002E-2</v>
      </c>
      <c r="C494">
        <v>5.432E-2</v>
      </c>
      <c r="D494">
        <v>5.1150000000000001E-2</v>
      </c>
      <c r="E494">
        <v>5.3670000000000002E-2</v>
      </c>
      <c r="F494">
        <v>1978474</v>
      </c>
      <c r="G494">
        <v>0.13</v>
      </c>
      <c r="L494" t="s">
        <v>8</v>
      </c>
      <c r="M494" t="s">
        <v>7</v>
      </c>
      <c r="N494" t="s">
        <v>7</v>
      </c>
      <c r="P494">
        <f t="shared" si="979"/>
        <v>0.58990536277602657</v>
      </c>
      <c r="Q494">
        <f t="shared" si="980"/>
        <v>1167112.4227129363</v>
      </c>
      <c r="R494">
        <f t="shared" si="981"/>
        <v>18983922.387164362</v>
      </c>
      <c r="S494">
        <f t="shared" si="982"/>
        <v>189.83922387164361</v>
      </c>
      <c r="T494">
        <f t="shared" si="983"/>
        <v>0.18983922387164362</v>
      </c>
    </row>
    <row r="495" spans="1:20" x14ac:dyDescent="0.25">
      <c r="A495" s="5">
        <v>44098</v>
      </c>
      <c r="B495">
        <v>5.0160000000000003E-2</v>
      </c>
      <c r="C495">
        <v>5.4039999999999998E-2</v>
      </c>
      <c r="D495">
        <v>4.9000000000000002E-2</v>
      </c>
      <c r="E495">
        <v>5.4039999999999998E-2</v>
      </c>
      <c r="F495">
        <v>1410247.9</v>
      </c>
      <c r="G495">
        <v>7.74</v>
      </c>
      <c r="L495" t="s">
        <v>7</v>
      </c>
      <c r="M495" t="s">
        <v>7</v>
      </c>
      <c r="N495" t="s">
        <v>7</v>
      </c>
      <c r="P495">
        <f t="shared" si="979"/>
        <v>1</v>
      </c>
      <c r="Q495">
        <f t="shared" si="980"/>
        <v>1410247.9</v>
      </c>
      <c r="R495">
        <f t="shared" si="981"/>
        <v>17816809.964451425</v>
      </c>
      <c r="S495">
        <f t="shared" si="982"/>
        <v>178.16809964451426</v>
      </c>
      <c r="T495">
        <f t="shared" si="983"/>
        <v>0.17816809964451424</v>
      </c>
    </row>
    <row r="496" spans="1:20" x14ac:dyDescent="0.25">
      <c r="A496" s="5">
        <v>44097</v>
      </c>
      <c r="B496">
        <v>5.4429999999999999E-2</v>
      </c>
      <c r="C496">
        <v>5.5449999999999999E-2</v>
      </c>
      <c r="D496">
        <v>4.9419999999999999E-2</v>
      </c>
      <c r="E496">
        <v>5.0360000000000002E-2</v>
      </c>
      <c r="F496">
        <v>4250300.9000000004</v>
      </c>
      <c r="G496">
        <v>-7.48</v>
      </c>
      <c r="L496" t="s">
        <v>7</v>
      </c>
      <c r="M496" t="s">
        <v>7</v>
      </c>
      <c r="N496" t="s">
        <v>7</v>
      </c>
      <c r="P496">
        <f t="shared" si="979"/>
        <v>-0.68822553897180661</v>
      </c>
      <c r="Q496">
        <f t="shared" si="980"/>
        <v>-2925165.627694855</v>
      </c>
      <c r="R496">
        <f t="shared" si="981"/>
        <v>16406562.064451424</v>
      </c>
      <c r="S496">
        <f t="shared" si="982"/>
        <v>164.06562064451424</v>
      </c>
      <c r="T496">
        <f t="shared" si="983"/>
        <v>0.16406562064451424</v>
      </c>
    </row>
    <row r="497" spans="1:20" x14ac:dyDescent="0.25">
      <c r="A497" s="5">
        <v>44096</v>
      </c>
      <c r="B497">
        <v>5.534E-2</v>
      </c>
      <c r="C497">
        <v>5.6910000000000002E-2</v>
      </c>
      <c r="D497">
        <v>5.3789999999999998E-2</v>
      </c>
      <c r="E497">
        <v>5.441E-2</v>
      </c>
      <c r="F497">
        <v>3785396.9</v>
      </c>
      <c r="G497">
        <v>-1.68</v>
      </c>
      <c r="L497" t="s">
        <v>7</v>
      </c>
      <c r="M497" t="s">
        <v>7</v>
      </c>
      <c r="N497" t="s">
        <v>8</v>
      </c>
      <c r="P497">
        <f t="shared" si="979"/>
        <v>-0.60256410256410153</v>
      </c>
      <c r="Q497">
        <f t="shared" si="980"/>
        <v>-2280944.2858974319</v>
      </c>
      <c r="R497">
        <f t="shared" si="981"/>
        <v>19331727.692146279</v>
      </c>
      <c r="S497">
        <f t="shared" si="982"/>
        <v>193.31727692146279</v>
      </c>
      <c r="T497">
        <f t="shared" si="983"/>
        <v>0.19331727692146281</v>
      </c>
    </row>
    <row r="498" spans="1:20" x14ac:dyDescent="0.25">
      <c r="A498" s="5">
        <v>44095</v>
      </c>
      <c r="B498">
        <v>6.5579999999999999E-2</v>
      </c>
      <c r="C498">
        <v>6.6170000000000007E-2</v>
      </c>
      <c r="D498">
        <v>5.398E-2</v>
      </c>
      <c r="E498">
        <v>5.5169999999999997E-2</v>
      </c>
      <c r="F498">
        <v>2898067.6</v>
      </c>
      <c r="G498">
        <v>-15.87</v>
      </c>
      <c r="L498" t="s">
        <v>7</v>
      </c>
      <c r="M498" t="s">
        <v>7</v>
      </c>
      <c r="N498" t="s">
        <v>8</v>
      </c>
      <c r="P498">
        <f t="shared" si="979"/>
        <v>-0.80475799835931161</v>
      </c>
      <c r="Q498">
        <f t="shared" si="980"/>
        <v>-2332243.0808859742</v>
      </c>
      <c r="R498">
        <f t="shared" si="981"/>
        <v>21612671.978043709</v>
      </c>
      <c r="S498">
        <f t="shared" si="982"/>
        <v>216.1267197804371</v>
      </c>
      <c r="T498">
        <f t="shared" si="983"/>
        <v>0.2161267197804371</v>
      </c>
    </row>
    <row r="499" spans="1:20" x14ac:dyDescent="0.25">
      <c r="A499" s="5">
        <v>44094</v>
      </c>
      <c r="B499">
        <v>6.6699999999999995E-2</v>
      </c>
      <c r="C499">
        <v>6.9000000000000006E-2</v>
      </c>
      <c r="D499">
        <v>6.3789999999999999E-2</v>
      </c>
      <c r="E499">
        <v>6.5449999999999994E-2</v>
      </c>
      <c r="F499">
        <v>6330390.5999999996</v>
      </c>
      <c r="G499">
        <v>-1.87</v>
      </c>
      <c r="L499" t="s">
        <v>7</v>
      </c>
      <c r="M499" t="s">
        <v>8</v>
      </c>
      <c r="N499" t="s">
        <v>8</v>
      </c>
      <c r="P499">
        <f t="shared" si="979"/>
        <v>-0.36276391554702769</v>
      </c>
      <c r="Q499">
        <f t="shared" si="980"/>
        <v>-2296437.2809980977</v>
      </c>
      <c r="R499">
        <f t="shared" si="981"/>
        <v>23944915.058929682</v>
      </c>
      <c r="S499">
        <f t="shared" si="982"/>
        <v>239.44915058929681</v>
      </c>
      <c r="T499">
        <f t="shared" si="983"/>
        <v>0.23944915058929681</v>
      </c>
    </row>
    <row r="500" spans="1:20" x14ac:dyDescent="0.25">
      <c r="A500" s="5">
        <v>44093</v>
      </c>
      <c r="B500">
        <v>6.5610000000000002E-2</v>
      </c>
      <c r="C500">
        <v>6.9129999999999997E-2</v>
      </c>
      <c r="D500">
        <v>6.5110000000000001E-2</v>
      </c>
      <c r="E500">
        <v>6.6699999999999995E-2</v>
      </c>
      <c r="F500">
        <v>2025096</v>
      </c>
      <c r="G500">
        <v>1.66</v>
      </c>
      <c r="L500" t="s">
        <v>8</v>
      </c>
      <c r="M500" t="s">
        <v>8</v>
      </c>
      <c r="N500" t="s">
        <v>8</v>
      </c>
      <c r="P500">
        <f t="shared" si="979"/>
        <v>-0.20895522388059909</v>
      </c>
      <c r="Q500">
        <f t="shared" si="980"/>
        <v>-423154.38805970567</v>
      </c>
      <c r="R500">
        <f t="shared" si="981"/>
        <v>26241352.339927778</v>
      </c>
      <c r="S500">
        <f t="shared" si="982"/>
        <v>262.41352339927778</v>
      </c>
      <c r="T500">
        <f t="shared" si="983"/>
        <v>0.26241352339927776</v>
      </c>
    </row>
    <row r="501" spans="1:20" x14ac:dyDescent="0.25">
      <c r="A501" s="5">
        <v>44092</v>
      </c>
      <c r="B501">
        <v>6.5759999999999999E-2</v>
      </c>
      <c r="C501">
        <v>7.0000000000000007E-2</v>
      </c>
      <c r="D501">
        <v>6.3530000000000003E-2</v>
      </c>
      <c r="E501">
        <v>6.5409999999999996E-2</v>
      </c>
      <c r="F501">
        <v>4865649.3</v>
      </c>
      <c r="G501">
        <v>-0.53</v>
      </c>
      <c r="L501" t="s">
        <v>8</v>
      </c>
      <c r="M501" t="s">
        <v>8</v>
      </c>
      <c r="N501" t="s">
        <v>8</v>
      </c>
      <c r="P501">
        <f t="shared" si="979"/>
        <v>-0.41885625965997164</v>
      </c>
      <c r="Q501">
        <f t="shared" si="980"/>
        <v>-2038007.6666151593</v>
      </c>
      <c r="R501">
        <f t="shared" si="981"/>
        <v>26664506.727987483</v>
      </c>
      <c r="S501">
        <f t="shared" si="982"/>
        <v>266.64506727987481</v>
      </c>
      <c r="T501">
        <f t="shared" si="983"/>
        <v>0.2666450672798748</v>
      </c>
    </row>
    <row r="502" spans="1:20" x14ac:dyDescent="0.25">
      <c r="A502" s="5">
        <v>44091</v>
      </c>
      <c r="B502">
        <v>6.0679999999999998E-2</v>
      </c>
      <c r="C502">
        <v>6.6799999999999998E-2</v>
      </c>
      <c r="D502">
        <v>6.0150000000000002E-2</v>
      </c>
      <c r="E502">
        <v>6.5790000000000001E-2</v>
      </c>
      <c r="F502">
        <v>4978577.3</v>
      </c>
      <c r="G502">
        <v>8.42</v>
      </c>
      <c r="L502" t="s">
        <v>8</v>
      </c>
      <c r="M502" t="s">
        <v>7</v>
      </c>
      <c r="N502" t="s">
        <v>8</v>
      </c>
      <c r="P502">
        <f t="shared" si="979"/>
        <v>0.6962406015037601</v>
      </c>
      <c r="Q502">
        <f t="shared" si="980"/>
        <v>3466287.6539849658</v>
      </c>
      <c r="R502">
        <f t="shared" si="981"/>
        <v>28702514.394602641</v>
      </c>
      <c r="S502">
        <f t="shared" si="982"/>
        <v>287.02514394602639</v>
      </c>
      <c r="T502">
        <f t="shared" si="983"/>
        <v>0.28702514394602641</v>
      </c>
    </row>
    <row r="503" spans="1:20" x14ac:dyDescent="0.25">
      <c r="A503" s="5">
        <v>44090</v>
      </c>
      <c r="B503">
        <v>6.1179999999999998E-2</v>
      </c>
      <c r="C503">
        <v>6.2530000000000002E-2</v>
      </c>
      <c r="D503">
        <v>5.8720000000000001E-2</v>
      </c>
      <c r="E503">
        <v>6.0780000000000001E-2</v>
      </c>
      <c r="F503">
        <v>1440834.3</v>
      </c>
      <c r="G503">
        <v>-0.65</v>
      </c>
      <c r="L503" t="s">
        <v>7</v>
      </c>
      <c r="M503" t="s">
        <v>7</v>
      </c>
      <c r="N503" t="s">
        <v>8</v>
      </c>
      <c r="P503">
        <f t="shared" si="979"/>
        <v>8.1364829396324861E-2</v>
      </c>
      <c r="Q503">
        <f t="shared" si="980"/>
        <v>117233.23700787316</v>
      </c>
      <c r="R503">
        <f t="shared" si="981"/>
        <v>25236226.740617678</v>
      </c>
      <c r="S503">
        <f t="shared" si="982"/>
        <v>252.36226740617678</v>
      </c>
      <c r="T503">
        <f t="shared" si="983"/>
        <v>0.25236226740617679</v>
      </c>
    </row>
    <row r="504" spans="1:20" x14ac:dyDescent="0.25">
      <c r="A504" s="5">
        <v>44089</v>
      </c>
      <c r="B504">
        <v>6.4860000000000001E-2</v>
      </c>
      <c r="C504">
        <v>6.6089999999999996E-2</v>
      </c>
      <c r="D504">
        <v>6.037E-2</v>
      </c>
      <c r="E504">
        <v>6.1089999999999998E-2</v>
      </c>
      <c r="F504">
        <v>4455890</v>
      </c>
      <c r="G504">
        <v>-5.81</v>
      </c>
      <c r="L504" t="s">
        <v>7</v>
      </c>
      <c r="M504" t="s">
        <v>8</v>
      </c>
      <c r="N504" t="s">
        <v>8</v>
      </c>
      <c r="P504">
        <f t="shared" si="979"/>
        <v>-0.74825174825174867</v>
      </c>
      <c r="Q504">
        <f t="shared" si="980"/>
        <v>-3334127.4825174846</v>
      </c>
      <c r="R504">
        <f t="shared" si="981"/>
        <v>25118993.503609803</v>
      </c>
      <c r="S504">
        <f t="shared" si="982"/>
        <v>251.18993503609803</v>
      </c>
      <c r="T504">
        <f t="shared" si="983"/>
        <v>0.25118993503609804</v>
      </c>
    </row>
    <row r="505" spans="1:20" x14ac:dyDescent="0.25">
      <c r="A505" s="5">
        <v>44088</v>
      </c>
      <c r="B505">
        <v>6.2969999999999998E-2</v>
      </c>
      <c r="C505">
        <v>6.5509999999999999E-2</v>
      </c>
      <c r="D505">
        <v>6.1809999999999997E-2</v>
      </c>
      <c r="E505">
        <v>6.4519999999999994E-2</v>
      </c>
      <c r="F505">
        <v>2034446</v>
      </c>
      <c r="G505">
        <v>2.46</v>
      </c>
      <c r="L505" t="s">
        <v>8</v>
      </c>
      <c r="M505" t="s">
        <v>8</v>
      </c>
      <c r="N505" t="s">
        <v>8</v>
      </c>
      <c r="P505">
        <f t="shared" si="979"/>
        <v>0.46486486486486256</v>
      </c>
      <c r="Q505">
        <f t="shared" si="980"/>
        <v>945742.46486486017</v>
      </c>
      <c r="R505">
        <f t="shared" si="981"/>
        <v>28453120.986127287</v>
      </c>
      <c r="S505">
        <f t="shared" si="982"/>
        <v>284.53120986127288</v>
      </c>
      <c r="T505">
        <f t="shared" si="983"/>
        <v>0.28453120986127289</v>
      </c>
    </row>
    <row r="506" spans="1:20" x14ac:dyDescent="0.25">
      <c r="A506" s="5">
        <v>44087</v>
      </c>
      <c r="B506">
        <v>6.8080000000000002E-2</v>
      </c>
      <c r="C506">
        <v>7.0000000000000007E-2</v>
      </c>
      <c r="D506">
        <v>6.0019999999999997E-2</v>
      </c>
      <c r="E506">
        <v>6.2909999999999994E-2</v>
      </c>
      <c r="F506">
        <v>3226171.5</v>
      </c>
      <c r="G506">
        <v>-7.59</v>
      </c>
      <c r="L506" t="s">
        <v>7</v>
      </c>
      <c r="M506" t="s">
        <v>8</v>
      </c>
      <c r="N506" t="s">
        <v>8</v>
      </c>
      <c r="P506">
        <f t="shared" si="979"/>
        <v>-0.42084168336673466</v>
      </c>
      <c r="Q506">
        <f t="shared" si="980"/>
        <v>-1357707.4448897834</v>
      </c>
      <c r="R506">
        <f t="shared" si="981"/>
        <v>27507378.521262426</v>
      </c>
      <c r="S506">
        <f t="shared" si="982"/>
        <v>275.07378521262427</v>
      </c>
      <c r="T506">
        <f t="shared" si="983"/>
        <v>0.27507378521262427</v>
      </c>
    </row>
    <row r="507" spans="1:20" x14ac:dyDescent="0.25">
      <c r="A507" s="5">
        <v>44086</v>
      </c>
      <c r="B507">
        <v>6.676E-2</v>
      </c>
      <c r="C507">
        <v>6.9699999999999998E-2</v>
      </c>
      <c r="D507">
        <v>6.6379999999999995E-2</v>
      </c>
      <c r="E507">
        <v>6.8080000000000002E-2</v>
      </c>
      <c r="F507">
        <v>3650324.4</v>
      </c>
      <c r="G507">
        <v>1.98</v>
      </c>
      <c r="L507" t="s">
        <v>8</v>
      </c>
      <c r="M507" t="s">
        <v>8</v>
      </c>
      <c r="N507" t="s">
        <v>8</v>
      </c>
      <c r="P507">
        <f t="shared" si="979"/>
        <v>2.4096385542171847E-2</v>
      </c>
      <c r="Q507">
        <f t="shared" si="980"/>
        <v>87959.624096397121</v>
      </c>
      <c r="R507">
        <f t="shared" si="981"/>
        <v>28865085.96615221</v>
      </c>
      <c r="S507">
        <f t="shared" si="982"/>
        <v>288.65085966152208</v>
      </c>
      <c r="T507">
        <f t="shared" si="983"/>
        <v>0.2886508596615221</v>
      </c>
    </row>
    <row r="508" spans="1:20" x14ac:dyDescent="0.25">
      <c r="A508" s="5">
        <v>44085</v>
      </c>
      <c r="B508">
        <v>6.608E-2</v>
      </c>
      <c r="C508">
        <v>6.8390000000000006E-2</v>
      </c>
      <c r="D508">
        <v>2.1190000000000001E-2</v>
      </c>
      <c r="E508">
        <v>6.6769999999999996E-2</v>
      </c>
      <c r="F508">
        <v>7840596.5999999996</v>
      </c>
      <c r="G508">
        <v>1.04</v>
      </c>
      <c r="L508" t="s">
        <v>8</v>
      </c>
      <c r="M508" t="s">
        <v>8</v>
      </c>
      <c r="N508" t="s">
        <v>7</v>
      </c>
      <c r="P508">
        <f t="shared" si="979"/>
        <v>0.93135593220338941</v>
      </c>
      <c r="Q508">
        <f t="shared" si="980"/>
        <v>7302386.155423725</v>
      </c>
      <c r="R508">
        <f t="shared" si="981"/>
        <v>28777126.342055812</v>
      </c>
      <c r="S508">
        <f t="shared" si="982"/>
        <v>287.77126342055811</v>
      </c>
      <c r="T508">
        <f t="shared" si="983"/>
        <v>0.28777126342055809</v>
      </c>
    </row>
    <row r="509" spans="1:20" x14ac:dyDescent="0.25">
      <c r="A509" s="5">
        <v>44084</v>
      </c>
      <c r="B509">
        <v>5.8900000000000001E-2</v>
      </c>
      <c r="C509">
        <v>6.7000000000000004E-2</v>
      </c>
      <c r="D509">
        <v>5.8900000000000001E-2</v>
      </c>
      <c r="E509">
        <v>6.6009999999999999E-2</v>
      </c>
      <c r="F509">
        <v>10088300</v>
      </c>
      <c r="G509">
        <v>12.07</v>
      </c>
      <c r="L509" t="s">
        <v>8</v>
      </c>
      <c r="M509" t="s">
        <v>8</v>
      </c>
      <c r="N509" t="s">
        <v>7</v>
      </c>
      <c r="P509">
        <f t="shared" si="979"/>
        <v>0.75555555555555443</v>
      </c>
      <c r="Q509">
        <f t="shared" si="980"/>
        <v>7622271.1111110998</v>
      </c>
      <c r="R509">
        <f t="shared" si="981"/>
        <v>21474740.186632089</v>
      </c>
      <c r="S509">
        <f t="shared" si="982"/>
        <v>214.7474018663209</v>
      </c>
      <c r="T509">
        <f t="shared" si="983"/>
        <v>0.21474740186632091</v>
      </c>
    </row>
    <row r="510" spans="1:20" x14ac:dyDescent="0.25">
      <c r="A510" s="5">
        <v>44083</v>
      </c>
      <c r="B510">
        <v>5.5669999999999997E-2</v>
      </c>
      <c r="C510">
        <v>5.9959999999999999E-2</v>
      </c>
      <c r="D510">
        <v>5.4870000000000002E-2</v>
      </c>
      <c r="E510">
        <v>5.8729999999999997E-2</v>
      </c>
      <c r="F510">
        <v>7272589.9000000004</v>
      </c>
      <c r="G510">
        <v>5.5</v>
      </c>
      <c r="L510" t="s">
        <v>7</v>
      </c>
      <c r="M510" t="s">
        <v>8</v>
      </c>
      <c r="N510" t="s">
        <v>7</v>
      </c>
      <c r="P510">
        <f t="shared" si="979"/>
        <v>0.51669941060903635</v>
      </c>
      <c r="Q510">
        <f t="shared" si="980"/>
        <v>3757742.9149312307</v>
      </c>
      <c r="R510">
        <f t="shared" si="981"/>
        <v>13852469.075520989</v>
      </c>
      <c r="S510">
        <f t="shared" si="982"/>
        <v>138.52469075520989</v>
      </c>
      <c r="T510">
        <f t="shared" si="983"/>
        <v>0.1385246907552099</v>
      </c>
    </row>
    <row r="511" spans="1:20" x14ac:dyDescent="0.25">
      <c r="A511" s="5">
        <v>44082</v>
      </c>
      <c r="B511">
        <v>5.6669999999999998E-2</v>
      </c>
      <c r="C511">
        <v>6.3850000000000004E-2</v>
      </c>
      <c r="D511">
        <v>5.2510000000000001E-2</v>
      </c>
      <c r="E511">
        <v>5.5500000000000001E-2</v>
      </c>
      <c r="F511">
        <v>9324491.5</v>
      </c>
      <c r="G511">
        <v>-2.06</v>
      </c>
      <c r="L511" t="s">
        <v>8</v>
      </c>
      <c r="M511" t="s">
        <v>8</v>
      </c>
      <c r="N511" t="s">
        <v>7</v>
      </c>
      <c r="P511">
        <f t="shared" si="979"/>
        <v>-0.47266313932980619</v>
      </c>
      <c r="Q511">
        <f t="shared" si="980"/>
        <v>-4407343.4250440933</v>
      </c>
      <c r="R511">
        <f t="shared" si="981"/>
        <v>10094726.160589758</v>
      </c>
      <c r="S511">
        <f t="shared" si="982"/>
        <v>100.94726160589758</v>
      </c>
      <c r="T511">
        <f t="shared" si="983"/>
        <v>0.10094726160589758</v>
      </c>
    </row>
    <row r="512" spans="1:20" x14ac:dyDescent="0.25">
      <c r="A512" s="5">
        <v>44081</v>
      </c>
      <c r="B512">
        <v>5.5849999999999997E-2</v>
      </c>
      <c r="C512">
        <v>5.7500000000000002E-2</v>
      </c>
      <c r="D512">
        <v>5.0999999999999997E-2</v>
      </c>
      <c r="E512">
        <v>5.6570000000000002E-2</v>
      </c>
      <c r="F512">
        <v>3332354.3</v>
      </c>
      <c r="G512">
        <v>1.29</v>
      </c>
      <c r="L512" t="s">
        <v>7</v>
      </c>
      <c r="M512" t="s">
        <v>7</v>
      </c>
      <c r="N512" t="s">
        <v>7</v>
      </c>
      <c r="P512">
        <f t="shared" si="979"/>
        <v>0.71384615384615402</v>
      </c>
      <c r="Q512">
        <f t="shared" si="980"/>
        <v>2378788.300307693</v>
      </c>
      <c r="R512">
        <f t="shared" si="981"/>
        <v>14502069.585633852</v>
      </c>
      <c r="S512">
        <f t="shared" si="982"/>
        <v>145.02069585633851</v>
      </c>
      <c r="T512">
        <f t="shared" si="983"/>
        <v>0.14502069585633851</v>
      </c>
    </row>
    <row r="513" spans="1:20" x14ac:dyDescent="0.25">
      <c r="A513" s="5">
        <v>44080</v>
      </c>
      <c r="B513">
        <v>5.4829999999999997E-2</v>
      </c>
      <c r="C513">
        <v>5.6890000000000003E-2</v>
      </c>
      <c r="D513">
        <v>5.04E-2</v>
      </c>
      <c r="E513">
        <v>5.586E-2</v>
      </c>
      <c r="F513">
        <v>4275918.4000000004</v>
      </c>
      <c r="G513">
        <v>1.88</v>
      </c>
      <c r="L513" t="s">
        <v>8</v>
      </c>
      <c r="M513" t="s">
        <v>7</v>
      </c>
      <c r="N513" t="s">
        <v>7</v>
      </c>
      <c r="P513">
        <f t="shared" si="979"/>
        <v>0.68258859784283432</v>
      </c>
      <c r="Q513">
        <f t="shared" si="980"/>
        <v>2918693.145146376</v>
      </c>
      <c r="R513">
        <f t="shared" si="981"/>
        <v>12123281.285326159</v>
      </c>
      <c r="S513">
        <f t="shared" si="982"/>
        <v>121.23281285326159</v>
      </c>
      <c r="T513">
        <f t="shared" si="983"/>
        <v>0.1212328128532616</v>
      </c>
    </row>
    <row r="514" spans="1:20" x14ac:dyDescent="0.25">
      <c r="A514" s="5">
        <v>44079</v>
      </c>
      <c r="B514">
        <v>6.1809999999999997E-2</v>
      </c>
      <c r="C514">
        <v>6.232E-2</v>
      </c>
      <c r="D514">
        <v>5.0999999999999997E-2</v>
      </c>
      <c r="E514">
        <v>5.4859999999999999E-2</v>
      </c>
      <c r="F514">
        <v>3263540.9</v>
      </c>
      <c r="G514">
        <v>-11.24</v>
      </c>
      <c r="L514" t="s">
        <v>7</v>
      </c>
      <c r="M514" t="s">
        <v>7</v>
      </c>
      <c r="N514" t="s">
        <v>7</v>
      </c>
      <c r="P514">
        <f t="shared" si="979"/>
        <v>-0.31802120141342738</v>
      </c>
      <c r="Q514">
        <f t="shared" si="980"/>
        <v>-1037875.1978798581</v>
      </c>
      <c r="R514">
        <f t="shared" si="981"/>
        <v>9204588.1401797831</v>
      </c>
      <c r="S514">
        <f t="shared" si="982"/>
        <v>92.045881401797828</v>
      </c>
      <c r="T514">
        <f t="shared" si="983"/>
        <v>9.2045881401797827E-2</v>
      </c>
    </row>
    <row r="515" spans="1:20" x14ac:dyDescent="0.25">
      <c r="A515" s="5">
        <v>44078</v>
      </c>
      <c r="B515">
        <v>5.8029999999999998E-2</v>
      </c>
      <c r="C515">
        <v>6.3240000000000005E-2</v>
      </c>
      <c r="D515">
        <v>5.6980000000000003E-2</v>
      </c>
      <c r="E515">
        <v>6.182E-2</v>
      </c>
      <c r="F515">
        <v>3637171.9</v>
      </c>
      <c r="G515">
        <v>6.53</v>
      </c>
      <c r="L515" t="s">
        <v>8</v>
      </c>
      <c r="M515" t="s">
        <v>7</v>
      </c>
      <c r="N515" t="s">
        <v>7</v>
      </c>
      <c r="P515">
        <f t="shared" si="979"/>
        <v>0.54632587859424786</v>
      </c>
      <c r="Q515">
        <f t="shared" si="980"/>
        <v>1987081.1338658098</v>
      </c>
      <c r="R515">
        <f t="shared" si="981"/>
        <v>10242463.338059641</v>
      </c>
      <c r="S515">
        <f t="shared" si="982"/>
        <v>102.42463338059642</v>
      </c>
      <c r="T515">
        <f t="shared" si="983"/>
        <v>0.10242463338059642</v>
      </c>
    </row>
    <row r="516" spans="1:20" x14ac:dyDescent="0.25">
      <c r="A516" s="5">
        <v>44077</v>
      </c>
      <c r="B516">
        <v>7.6170000000000002E-2</v>
      </c>
      <c r="C516">
        <v>7.6539999999999997E-2</v>
      </c>
      <c r="D516">
        <v>5.5969999999999999E-2</v>
      </c>
      <c r="E516">
        <v>5.7889999999999997E-2</v>
      </c>
      <c r="F516">
        <v>5908313.5</v>
      </c>
      <c r="G516">
        <v>-24</v>
      </c>
      <c r="L516" t="s">
        <v>7</v>
      </c>
      <c r="M516" t="s">
        <v>7</v>
      </c>
      <c r="N516" t="s">
        <v>7</v>
      </c>
      <c r="P516">
        <f t="shared" si="979"/>
        <v>-0.81332036947010222</v>
      </c>
      <c r="Q516">
        <f t="shared" si="980"/>
        <v>-4805351.7187651927</v>
      </c>
      <c r="R516">
        <f t="shared" si="981"/>
        <v>8255382.2041938314</v>
      </c>
      <c r="S516">
        <f t="shared" si="982"/>
        <v>82.553822041938318</v>
      </c>
      <c r="T516">
        <f t="shared" si="983"/>
        <v>8.2553822041938313E-2</v>
      </c>
    </row>
    <row r="517" spans="1:20" x14ac:dyDescent="0.25">
      <c r="A517" s="5">
        <v>44076</v>
      </c>
      <c r="B517">
        <v>8.1680000000000003E-2</v>
      </c>
      <c r="C517">
        <v>8.2830000000000001E-2</v>
      </c>
      <c r="D517">
        <v>7.263E-2</v>
      </c>
      <c r="E517">
        <v>7.6399999999999996E-2</v>
      </c>
      <c r="F517">
        <v>3651755.7</v>
      </c>
      <c r="G517">
        <v>-6.46</v>
      </c>
      <c r="L517" t="s">
        <v>7</v>
      </c>
      <c r="M517" t="s">
        <v>7</v>
      </c>
      <c r="N517" t="s">
        <v>8</v>
      </c>
      <c r="P517">
        <f t="shared" si="979"/>
        <v>-0.2607843137254911</v>
      </c>
      <c r="Q517">
        <f t="shared" si="980"/>
        <v>-952320.60411765042</v>
      </c>
      <c r="R517">
        <f t="shared" si="981"/>
        <v>13060733.922959024</v>
      </c>
      <c r="S517">
        <f t="shared" si="982"/>
        <v>130.60733922959025</v>
      </c>
      <c r="T517">
        <f t="shared" si="983"/>
        <v>0.13060733922959025</v>
      </c>
    </row>
    <row r="518" spans="1:20" x14ac:dyDescent="0.25">
      <c r="A518" s="5">
        <v>44075</v>
      </c>
      <c r="B518">
        <v>8.584E-2</v>
      </c>
      <c r="C518">
        <v>8.6400000000000005E-2</v>
      </c>
      <c r="D518">
        <v>7.9850000000000004E-2</v>
      </c>
      <c r="E518">
        <v>8.1670000000000006E-2</v>
      </c>
      <c r="F518">
        <v>5174575.3</v>
      </c>
      <c r="G518">
        <v>-4.8600000000000003</v>
      </c>
      <c r="L518" t="s">
        <v>7</v>
      </c>
      <c r="M518" t="s">
        <v>8</v>
      </c>
      <c r="N518" t="s">
        <v>8</v>
      </c>
      <c r="P518">
        <f t="shared" ref="P518:P581" si="984">IF(C518=D518,0,((E518-D518)-(C518-E518))/(C518-D518))</f>
        <v>-0.44427480916030471</v>
      </c>
      <c r="Q518">
        <f t="shared" ref="Q518:Q581" si="985">F518*P518</f>
        <v>-2298933.4538931265</v>
      </c>
      <c r="R518">
        <f t="shared" ref="R518:R581" si="986">R519+Q518</f>
        <v>14013054.527076675</v>
      </c>
      <c r="S518">
        <f t="shared" ref="S518:S581" si="987">R518/100000</f>
        <v>140.13054527076676</v>
      </c>
      <c r="T518">
        <f t="shared" ref="T518:T581" si="988">S518/1000</f>
        <v>0.14013054527076677</v>
      </c>
    </row>
    <row r="519" spans="1:20" x14ac:dyDescent="0.25">
      <c r="A519" s="5">
        <v>44074</v>
      </c>
      <c r="B519">
        <v>8.5680000000000006E-2</v>
      </c>
      <c r="C519">
        <v>9.1109999999999997E-2</v>
      </c>
      <c r="D519">
        <v>8.2089999999999996E-2</v>
      </c>
      <c r="E519">
        <v>8.5949999999999999E-2</v>
      </c>
      <c r="F519">
        <v>8622097.5</v>
      </c>
      <c r="G519">
        <v>0.32</v>
      </c>
      <c r="L519" t="s">
        <v>8</v>
      </c>
      <c r="M519" t="s">
        <v>8</v>
      </c>
      <c r="N519" t="s">
        <v>8</v>
      </c>
      <c r="P519">
        <f t="shared" si="984"/>
        <v>-0.14412416851441193</v>
      </c>
      <c r="Q519">
        <f t="shared" si="985"/>
        <v>-1242652.6330376898</v>
      </c>
      <c r="R519">
        <f t="shared" si="986"/>
        <v>16311987.980969802</v>
      </c>
      <c r="S519">
        <f t="shared" si="987"/>
        <v>163.11987980969801</v>
      </c>
      <c r="T519">
        <f t="shared" si="988"/>
        <v>0.163119879809698</v>
      </c>
    </row>
    <row r="520" spans="1:20" x14ac:dyDescent="0.25">
      <c r="A520" s="5">
        <v>44073</v>
      </c>
      <c r="B520">
        <v>8.0379999999999993E-2</v>
      </c>
      <c r="C520">
        <v>8.7400000000000005E-2</v>
      </c>
      <c r="D520">
        <v>8.029E-2</v>
      </c>
      <c r="E520">
        <v>8.5620000000000002E-2</v>
      </c>
      <c r="F520">
        <v>6463104.7000000002</v>
      </c>
      <c r="G520">
        <v>6.52</v>
      </c>
      <c r="L520" t="s">
        <v>8</v>
      </c>
      <c r="M520" t="s">
        <v>8</v>
      </c>
      <c r="N520" t="s">
        <v>8</v>
      </c>
      <c r="P520">
        <f t="shared" si="984"/>
        <v>0.49929676511954924</v>
      </c>
      <c r="Q520">
        <f t="shared" si="985"/>
        <v>3227007.2693389547</v>
      </c>
      <c r="R520">
        <f t="shared" si="986"/>
        <v>17554640.614007492</v>
      </c>
      <c r="S520">
        <f t="shared" si="987"/>
        <v>175.54640614007491</v>
      </c>
      <c r="T520">
        <f t="shared" si="988"/>
        <v>0.17554640614007491</v>
      </c>
    </row>
    <row r="521" spans="1:20" x14ac:dyDescent="0.25">
      <c r="A521" s="5">
        <v>44072</v>
      </c>
      <c r="B521">
        <v>7.7679999999999999E-2</v>
      </c>
      <c r="C521">
        <v>8.1430000000000002E-2</v>
      </c>
      <c r="D521">
        <v>7.5859999999999997E-2</v>
      </c>
      <c r="E521">
        <v>8.0920000000000006E-2</v>
      </c>
      <c r="F521">
        <v>5852960.5</v>
      </c>
      <c r="G521">
        <v>4.17</v>
      </c>
      <c r="L521" t="s">
        <v>7</v>
      </c>
      <c r="M521" t="s">
        <v>7</v>
      </c>
      <c r="N521" t="s">
        <v>8</v>
      </c>
      <c r="P521">
        <f t="shared" si="984"/>
        <v>0.81687612208258664</v>
      </c>
      <c r="Q521">
        <f t="shared" si="985"/>
        <v>4781143.6759425569</v>
      </c>
      <c r="R521">
        <f t="shared" si="986"/>
        <v>14327633.344668536</v>
      </c>
      <c r="S521">
        <f t="shared" si="987"/>
        <v>143.27633344668536</v>
      </c>
      <c r="T521">
        <f t="shared" si="988"/>
        <v>0.14327633344668536</v>
      </c>
    </row>
    <row r="522" spans="1:20" x14ac:dyDescent="0.25">
      <c r="A522" s="5">
        <v>44071</v>
      </c>
      <c r="B522">
        <v>8.0409999999999995E-2</v>
      </c>
      <c r="C522">
        <v>8.3129999999999996E-2</v>
      </c>
      <c r="D522">
        <v>7.5060000000000002E-2</v>
      </c>
      <c r="E522">
        <v>7.7429999999999999E-2</v>
      </c>
      <c r="F522">
        <v>7897625.5</v>
      </c>
      <c r="G522">
        <v>-3.71</v>
      </c>
      <c r="L522" t="s">
        <v>8</v>
      </c>
      <c r="M522" t="s">
        <v>7</v>
      </c>
      <c r="N522" t="s">
        <v>8</v>
      </c>
      <c r="P522">
        <f t="shared" si="984"/>
        <v>-0.41263940520446124</v>
      </c>
      <c r="Q522">
        <f t="shared" si="985"/>
        <v>-3258871.4888475859</v>
      </c>
      <c r="R522">
        <f t="shared" si="986"/>
        <v>9546489.6687259786</v>
      </c>
      <c r="S522">
        <f t="shared" si="987"/>
        <v>95.464896687259781</v>
      </c>
      <c r="T522">
        <f t="shared" si="988"/>
        <v>9.5464896687259784E-2</v>
      </c>
    </row>
    <row r="523" spans="1:20" x14ac:dyDescent="0.25">
      <c r="A523" s="5">
        <v>44070</v>
      </c>
      <c r="B523">
        <v>8.8830000000000006E-2</v>
      </c>
      <c r="C523">
        <v>8.8900000000000007E-2</v>
      </c>
      <c r="D523">
        <v>7.4829999999999994E-2</v>
      </c>
      <c r="E523">
        <v>8.0420000000000005E-2</v>
      </c>
      <c r="F523">
        <v>11298687.699999999</v>
      </c>
      <c r="G523">
        <v>-9.4700000000000006</v>
      </c>
      <c r="L523" t="s">
        <v>7</v>
      </c>
      <c r="M523" t="s">
        <v>7</v>
      </c>
      <c r="N523" t="s">
        <v>8</v>
      </c>
      <c r="P523">
        <f t="shared" si="984"/>
        <v>-0.20540156361051792</v>
      </c>
      <c r="Q523">
        <f t="shared" si="985"/>
        <v>-2320768.1203269265</v>
      </c>
      <c r="R523">
        <f t="shared" si="986"/>
        <v>12805361.157573564</v>
      </c>
      <c r="S523">
        <f t="shared" si="987"/>
        <v>128.05361157573563</v>
      </c>
      <c r="T523">
        <f t="shared" si="988"/>
        <v>0.12805361157573564</v>
      </c>
    </row>
    <row r="524" spans="1:20" x14ac:dyDescent="0.25">
      <c r="A524" s="5">
        <v>44069</v>
      </c>
      <c r="B524">
        <v>8.1309999999999993E-2</v>
      </c>
      <c r="C524">
        <v>9.0399999999999994E-2</v>
      </c>
      <c r="D524">
        <v>7.7880000000000005E-2</v>
      </c>
      <c r="E524">
        <v>8.8900000000000007E-2</v>
      </c>
      <c r="F524">
        <v>19162679.300000001</v>
      </c>
      <c r="G524">
        <v>9.33</v>
      </c>
      <c r="L524" t="s">
        <v>8</v>
      </c>
      <c r="M524" t="s">
        <v>8</v>
      </c>
      <c r="N524" t="s">
        <v>8</v>
      </c>
      <c r="P524">
        <f t="shared" si="984"/>
        <v>0.76038338658147142</v>
      </c>
      <c r="Q524">
        <f t="shared" si="985"/>
        <v>14570982.98210866</v>
      </c>
      <c r="R524">
        <f t="shared" si="986"/>
        <v>15126129.277900491</v>
      </c>
      <c r="S524">
        <f t="shared" si="987"/>
        <v>151.26129277900492</v>
      </c>
      <c r="T524">
        <f t="shared" si="988"/>
        <v>0.15126129277900491</v>
      </c>
    </row>
    <row r="525" spans="1:20" x14ac:dyDescent="0.25">
      <c r="A525" s="5">
        <v>44068</v>
      </c>
      <c r="B525">
        <v>7.8710000000000002E-2</v>
      </c>
      <c r="C525">
        <v>8.3000000000000004E-2</v>
      </c>
      <c r="D525">
        <v>7.281E-2</v>
      </c>
      <c r="E525">
        <v>8.1309999999999993E-2</v>
      </c>
      <c r="F525">
        <v>14380813.9</v>
      </c>
      <c r="G525">
        <v>3.3</v>
      </c>
      <c r="L525" t="s">
        <v>8</v>
      </c>
      <c r="M525" t="s">
        <v>8</v>
      </c>
      <c r="N525" t="s">
        <v>8</v>
      </c>
      <c r="P525">
        <f t="shared" si="984"/>
        <v>0.6683022571148165</v>
      </c>
      <c r="Q525">
        <f t="shared" si="985"/>
        <v>9610730.3885181267</v>
      </c>
      <c r="R525">
        <f t="shared" si="986"/>
        <v>555146.29579183087</v>
      </c>
      <c r="S525">
        <f t="shared" si="987"/>
        <v>5.551462957918309</v>
      </c>
      <c r="T525">
        <f t="shared" si="988"/>
        <v>5.551462957918309E-3</v>
      </c>
    </row>
    <row r="526" spans="1:20" x14ac:dyDescent="0.25">
      <c r="A526" s="5">
        <v>44067</v>
      </c>
      <c r="B526">
        <v>7.7049999999999993E-2</v>
      </c>
      <c r="C526">
        <v>8.0600000000000005E-2</v>
      </c>
      <c r="D526">
        <v>7.3469999999999994E-2</v>
      </c>
      <c r="E526">
        <v>7.8670000000000004E-2</v>
      </c>
      <c r="F526">
        <v>8046715.7000000002</v>
      </c>
      <c r="G526">
        <v>2.1</v>
      </c>
      <c r="L526" t="s">
        <v>8</v>
      </c>
      <c r="M526" t="s">
        <v>8</v>
      </c>
      <c r="N526" t="s">
        <v>8</v>
      </c>
      <c r="P526">
        <f t="shared" si="984"/>
        <v>0.45862552594670458</v>
      </c>
      <c r="Q526">
        <f t="shared" si="985"/>
        <v>3690429.2200561054</v>
      </c>
      <c r="R526">
        <f t="shared" si="986"/>
        <v>-9055584.0927262958</v>
      </c>
      <c r="S526">
        <f t="shared" si="987"/>
        <v>-90.555840927262963</v>
      </c>
      <c r="T526">
        <f t="shared" si="988"/>
        <v>-9.0555840927262959E-2</v>
      </c>
    </row>
    <row r="527" spans="1:20" x14ac:dyDescent="0.25">
      <c r="A527" s="5">
        <v>44066</v>
      </c>
      <c r="B527">
        <v>7.7619999999999995E-2</v>
      </c>
      <c r="C527">
        <v>7.9280000000000003E-2</v>
      </c>
      <c r="D527">
        <v>7.2249999999999995E-2</v>
      </c>
      <c r="E527">
        <v>7.6850000000000002E-2</v>
      </c>
      <c r="F527">
        <v>9663125.3000000007</v>
      </c>
      <c r="G527">
        <v>-0.99</v>
      </c>
      <c r="L527" t="s">
        <v>7</v>
      </c>
      <c r="M527" t="s">
        <v>8</v>
      </c>
      <c r="N527" t="s">
        <v>8</v>
      </c>
      <c r="P527">
        <f t="shared" si="984"/>
        <v>0.30867709815078276</v>
      </c>
      <c r="Q527">
        <f t="shared" si="985"/>
        <v>2982785.4766714121</v>
      </c>
      <c r="R527">
        <f t="shared" si="986"/>
        <v>-12746013.312782401</v>
      </c>
      <c r="S527">
        <f t="shared" si="987"/>
        <v>-127.46013312782401</v>
      </c>
      <c r="T527">
        <f t="shared" si="988"/>
        <v>-0.127460133127824</v>
      </c>
    </row>
    <row r="528" spans="1:20" x14ac:dyDescent="0.25">
      <c r="A528" s="5">
        <v>44065</v>
      </c>
      <c r="B528">
        <v>6.8390000000000006E-2</v>
      </c>
      <c r="C528">
        <v>7.7909999999999993E-2</v>
      </c>
      <c r="D528">
        <v>6.6280000000000006E-2</v>
      </c>
      <c r="E528">
        <v>7.7600000000000002E-2</v>
      </c>
      <c r="F528">
        <v>11221217.4</v>
      </c>
      <c r="G528">
        <v>13.47</v>
      </c>
      <c r="L528" t="s">
        <v>8</v>
      </c>
      <c r="M528" t="s">
        <v>8</v>
      </c>
      <c r="N528" t="s">
        <v>8</v>
      </c>
      <c r="P528">
        <f t="shared" si="984"/>
        <v>0.94668959587274437</v>
      </c>
      <c r="Q528">
        <f t="shared" si="985"/>
        <v>10623009.765606208</v>
      </c>
      <c r="R528">
        <f t="shared" si="986"/>
        <v>-15728798.789453814</v>
      </c>
      <c r="S528">
        <f t="shared" si="987"/>
        <v>-157.28798789453813</v>
      </c>
      <c r="T528">
        <f t="shared" si="988"/>
        <v>-0.15728798789453813</v>
      </c>
    </row>
    <row r="529" spans="1:20" x14ac:dyDescent="0.25">
      <c r="A529" s="5">
        <v>44064</v>
      </c>
      <c r="B529">
        <v>7.3209999999999997E-2</v>
      </c>
      <c r="C529">
        <v>7.5450000000000003E-2</v>
      </c>
      <c r="D529">
        <v>6.7280000000000006E-2</v>
      </c>
      <c r="E529">
        <v>6.8330000000000002E-2</v>
      </c>
      <c r="F529">
        <v>8051136.2000000002</v>
      </c>
      <c r="G529">
        <v>-6.67</v>
      </c>
      <c r="L529" t="s">
        <v>8</v>
      </c>
      <c r="M529" t="s">
        <v>8</v>
      </c>
      <c r="N529" t="s">
        <v>8</v>
      </c>
      <c r="P529">
        <f t="shared" si="984"/>
        <v>-0.74296205630355061</v>
      </c>
      <c r="Q529">
        <f t="shared" si="985"/>
        <v>-5981688.7067319546</v>
      </c>
      <c r="R529">
        <f t="shared" si="986"/>
        <v>-26351808.555060022</v>
      </c>
      <c r="S529">
        <f t="shared" si="987"/>
        <v>-263.51808555060023</v>
      </c>
      <c r="T529">
        <f t="shared" si="988"/>
        <v>-0.26351808555060025</v>
      </c>
    </row>
    <row r="530" spans="1:20" x14ac:dyDescent="0.25">
      <c r="A530" s="5">
        <v>44063</v>
      </c>
      <c r="B530">
        <v>6.7760000000000001E-2</v>
      </c>
      <c r="C530">
        <v>7.4340000000000003E-2</v>
      </c>
      <c r="D530">
        <v>6.5670000000000006E-2</v>
      </c>
      <c r="E530">
        <v>7.3209999999999997E-2</v>
      </c>
      <c r="F530">
        <v>9687983.5999999996</v>
      </c>
      <c r="G530">
        <v>8.0399999999999991</v>
      </c>
      <c r="L530" t="s">
        <v>8</v>
      </c>
      <c r="M530" t="s">
        <v>7</v>
      </c>
      <c r="N530" t="s">
        <v>8</v>
      </c>
      <c r="P530">
        <f t="shared" si="984"/>
        <v>0.73933102652825688</v>
      </c>
      <c r="Q530">
        <f t="shared" si="985"/>
        <v>7162626.8599769175</v>
      </c>
      <c r="R530">
        <f t="shared" si="986"/>
        <v>-20370119.848328065</v>
      </c>
      <c r="S530">
        <f t="shared" si="987"/>
        <v>-203.70119848328065</v>
      </c>
      <c r="T530">
        <f t="shared" si="988"/>
        <v>-0.20370119848328064</v>
      </c>
    </row>
    <row r="531" spans="1:20" x14ac:dyDescent="0.25">
      <c r="A531" s="5">
        <v>44062</v>
      </c>
      <c r="B531">
        <v>7.6319999999999999E-2</v>
      </c>
      <c r="C531">
        <v>7.671E-2</v>
      </c>
      <c r="D531">
        <v>6.3299999999999995E-2</v>
      </c>
      <c r="E531">
        <v>6.7760000000000001E-2</v>
      </c>
      <c r="F531">
        <v>12527534</v>
      </c>
      <c r="G531">
        <v>-11.22</v>
      </c>
      <c r="L531" t="s">
        <v>7</v>
      </c>
      <c r="M531" t="s">
        <v>7</v>
      </c>
      <c r="N531" t="s">
        <v>8</v>
      </c>
      <c r="P531">
        <f t="shared" si="984"/>
        <v>-0.33482475764354902</v>
      </c>
      <c r="Q531">
        <f t="shared" si="985"/>
        <v>-4194528.5354213202</v>
      </c>
      <c r="R531">
        <f t="shared" si="986"/>
        <v>-27532746.708304983</v>
      </c>
      <c r="S531">
        <f t="shared" si="987"/>
        <v>-275.32746708304984</v>
      </c>
      <c r="T531">
        <f t="shared" si="988"/>
        <v>-0.27532746708304984</v>
      </c>
    </row>
    <row r="532" spans="1:20" x14ac:dyDescent="0.25">
      <c r="A532" s="5">
        <v>44061</v>
      </c>
      <c r="B532">
        <v>7.0559999999999998E-2</v>
      </c>
      <c r="C532">
        <v>8.1490000000000007E-2</v>
      </c>
      <c r="D532">
        <v>7.0000000000000007E-2</v>
      </c>
      <c r="E532">
        <v>7.6289999999999997E-2</v>
      </c>
      <c r="F532">
        <v>30889079.300000001</v>
      </c>
      <c r="G532">
        <v>8.1199999999999992</v>
      </c>
      <c r="L532" t="s">
        <v>8</v>
      </c>
      <c r="M532" t="s">
        <v>8</v>
      </c>
      <c r="N532" t="s">
        <v>8</v>
      </c>
      <c r="P532">
        <f t="shared" si="984"/>
        <v>9.4865100087030446E-2</v>
      </c>
      <c r="Q532">
        <f t="shared" si="985"/>
        <v>2930295.5993907205</v>
      </c>
      <c r="R532">
        <f t="shared" si="986"/>
        <v>-23338218.172883663</v>
      </c>
      <c r="S532">
        <f t="shared" si="987"/>
        <v>-233.38218172883663</v>
      </c>
      <c r="T532">
        <f t="shared" si="988"/>
        <v>-0.23338218172883662</v>
      </c>
    </row>
    <row r="533" spans="1:20" x14ac:dyDescent="0.25">
      <c r="A533" s="5">
        <v>44060</v>
      </c>
      <c r="B533">
        <v>6.8089999999999998E-2</v>
      </c>
      <c r="C533">
        <v>7.4300000000000005E-2</v>
      </c>
      <c r="D533">
        <v>6.7830000000000001E-2</v>
      </c>
      <c r="E533">
        <v>7.0569999999999994E-2</v>
      </c>
      <c r="F533">
        <v>15076463.699999999</v>
      </c>
      <c r="G533">
        <v>3.64</v>
      </c>
      <c r="L533" t="s">
        <v>8</v>
      </c>
      <c r="M533" t="s">
        <v>7</v>
      </c>
      <c r="N533" t="s">
        <v>8</v>
      </c>
      <c r="P533">
        <f t="shared" si="984"/>
        <v>-0.15301391035548967</v>
      </c>
      <c r="Q533">
        <f t="shared" si="985"/>
        <v>-2306908.665069594</v>
      </c>
      <c r="R533">
        <f t="shared" si="986"/>
        <v>-26268513.772274382</v>
      </c>
      <c r="S533">
        <f t="shared" si="987"/>
        <v>-262.68513772274383</v>
      </c>
      <c r="T533">
        <f t="shared" si="988"/>
        <v>-0.26268513772274382</v>
      </c>
    </row>
    <row r="534" spans="1:20" x14ac:dyDescent="0.25">
      <c r="A534" s="5">
        <v>44059</v>
      </c>
      <c r="B534">
        <v>6.6570000000000004E-2</v>
      </c>
      <c r="C534">
        <v>6.8099999999999994E-2</v>
      </c>
      <c r="D534">
        <v>6.5030000000000004E-2</v>
      </c>
      <c r="E534">
        <v>6.8010000000000001E-2</v>
      </c>
      <c r="F534">
        <v>3238048.8</v>
      </c>
      <c r="G534">
        <v>2.16</v>
      </c>
      <c r="L534" t="s">
        <v>7</v>
      </c>
      <c r="M534" t="s">
        <v>7</v>
      </c>
      <c r="N534" t="s">
        <v>8</v>
      </c>
      <c r="P534">
        <f t="shared" si="984"/>
        <v>0.94136807817590018</v>
      </c>
      <c r="Q534">
        <f t="shared" si="985"/>
        <v>3048195.7758957795</v>
      </c>
      <c r="R534">
        <f t="shared" si="986"/>
        <v>-23961605.107204787</v>
      </c>
      <c r="S534">
        <f t="shared" si="987"/>
        <v>-239.61605107204787</v>
      </c>
      <c r="T534">
        <f t="shared" si="988"/>
        <v>-0.23961605107204786</v>
      </c>
    </row>
    <row r="535" spans="1:20" x14ac:dyDescent="0.25">
      <c r="A535" s="5">
        <v>44058</v>
      </c>
      <c r="B535">
        <v>6.8010000000000001E-2</v>
      </c>
      <c r="C535">
        <v>6.8190000000000001E-2</v>
      </c>
      <c r="D535">
        <v>6.5939999999999999E-2</v>
      </c>
      <c r="E535">
        <v>6.6790000000000002E-2</v>
      </c>
      <c r="F535">
        <v>3373479.8</v>
      </c>
      <c r="G535">
        <v>-1.79</v>
      </c>
      <c r="L535" t="s">
        <v>7</v>
      </c>
      <c r="M535" t="s">
        <v>7</v>
      </c>
      <c r="N535" t="s">
        <v>8</v>
      </c>
      <c r="P535">
        <f t="shared" si="984"/>
        <v>-0.24444444444444197</v>
      </c>
      <c r="Q535">
        <f t="shared" si="985"/>
        <v>-824628.39555554721</v>
      </c>
      <c r="R535">
        <f t="shared" si="986"/>
        <v>-27009800.883100566</v>
      </c>
      <c r="S535">
        <f t="shared" si="987"/>
        <v>-270.09800883100564</v>
      </c>
      <c r="T535">
        <f t="shared" si="988"/>
        <v>-0.27009800883100565</v>
      </c>
    </row>
    <row r="536" spans="1:20" x14ac:dyDescent="0.25">
      <c r="A536" s="5">
        <v>44057</v>
      </c>
      <c r="B536">
        <v>6.8000000000000005E-2</v>
      </c>
      <c r="C536">
        <v>7.0569999999999994E-2</v>
      </c>
      <c r="D536">
        <v>6.6909999999999997E-2</v>
      </c>
      <c r="E536">
        <v>6.8000000000000005E-2</v>
      </c>
      <c r="F536">
        <v>8159103.2000000002</v>
      </c>
      <c r="G536">
        <v>0</v>
      </c>
      <c r="L536" t="s">
        <v>8</v>
      </c>
      <c r="M536" t="s">
        <v>7</v>
      </c>
      <c r="N536" t="s">
        <v>8</v>
      </c>
      <c r="P536">
        <f t="shared" si="984"/>
        <v>-0.40437158469944884</v>
      </c>
      <c r="Q536">
        <f t="shared" si="985"/>
        <v>-3299309.4907103442</v>
      </c>
      <c r="R536">
        <f t="shared" si="986"/>
        <v>-26185172.487545017</v>
      </c>
      <c r="S536">
        <f t="shared" si="987"/>
        <v>-261.85172487545015</v>
      </c>
      <c r="T536">
        <f t="shared" si="988"/>
        <v>-0.26185172487545016</v>
      </c>
    </row>
    <row r="537" spans="1:20" x14ac:dyDescent="0.25">
      <c r="A537" s="5">
        <v>44056</v>
      </c>
      <c r="B537">
        <v>6.9629999999999997E-2</v>
      </c>
      <c r="C537">
        <v>6.9760000000000003E-2</v>
      </c>
      <c r="D537">
        <v>6.5549999999999997E-2</v>
      </c>
      <c r="E537">
        <v>6.8000000000000005E-2</v>
      </c>
      <c r="F537">
        <v>11178236.9</v>
      </c>
      <c r="G537">
        <v>-2.34</v>
      </c>
      <c r="L537" t="s">
        <v>8</v>
      </c>
      <c r="M537" t="s">
        <v>7</v>
      </c>
      <c r="N537" t="s">
        <v>8</v>
      </c>
      <c r="P537">
        <f t="shared" si="984"/>
        <v>0.16389548693586917</v>
      </c>
      <c r="Q537">
        <f t="shared" si="985"/>
        <v>1832062.5798100007</v>
      </c>
      <c r="R537">
        <f t="shared" si="986"/>
        <v>-22885862.996834673</v>
      </c>
      <c r="S537">
        <f t="shared" si="987"/>
        <v>-228.85862996834672</v>
      </c>
      <c r="T537">
        <f t="shared" si="988"/>
        <v>-0.22885862996834672</v>
      </c>
    </row>
    <row r="538" spans="1:20" x14ac:dyDescent="0.25">
      <c r="A538" s="5">
        <v>44055</v>
      </c>
      <c r="B538">
        <v>6.8169999999999994E-2</v>
      </c>
      <c r="C538">
        <v>7.0800000000000002E-2</v>
      </c>
      <c r="D538">
        <v>6.234E-2</v>
      </c>
      <c r="E538">
        <v>6.9290000000000004E-2</v>
      </c>
      <c r="F538">
        <v>18268948.399999999</v>
      </c>
      <c r="G538">
        <v>1.64</v>
      </c>
      <c r="L538" t="s">
        <v>7</v>
      </c>
      <c r="M538" t="s">
        <v>7</v>
      </c>
      <c r="N538" t="s">
        <v>8</v>
      </c>
      <c r="P538">
        <f t="shared" si="984"/>
        <v>0.64302600472813309</v>
      </c>
      <c r="Q538">
        <f t="shared" si="985"/>
        <v>11747408.900236418</v>
      </c>
      <c r="R538">
        <f t="shared" si="986"/>
        <v>-24717925.576644674</v>
      </c>
      <c r="S538">
        <f t="shared" si="987"/>
        <v>-247.17925576644674</v>
      </c>
      <c r="T538">
        <f t="shared" si="988"/>
        <v>-0.24717925576644675</v>
      </c>
    </row>
    <row r="539" spans="1:20" x14ac:dyDescent="0.25">
      <c r="A539" s="5">
        <v>44054</v>
      </c>
      <c r="B539">
        <v>7.3690000000000005E-2</v>
      </c>
      <c r="C539">
        <v>7.8E-2</v>
      </c>
      <c r="D539">
        <v>6.6199999999999995E-2</v>
      </c>
      <c r="E539">
        <v>6.8349999999999994E-2</v>
      </c>
      <c r="F539">
        <v>25222216.199999999</v>
      </c>
      <c r="G539">
        <v>-7.25</v>
      </c>
      <c r="L539" t="s">
        <v>8</v>
      </c>
      <c r="M539" t="s">
        <v>8</v>
      </c>
      <c r="N539" t="s">
        <v>8</v>
      </c>
      <c r="P539">
        <f t="shared" si="984"/>
        <v>-0.63559322033898336</v>
      </c>
      <c r="Q539">
        <f t="shared" si="985"/>
        <v>-16031069.618644075</v>
      </c>
      <c r="R539">
        <f t="shared" si="986"/>
        <v>-36465334.476881094</v>
      </c>
      <c r="S539">
        <f t="shared" si="987"/>
        <v>-364.65334476881094</v>
      </c>
      <c r="T539">
        <f t="shared" si="988"/>
        <v>-0.36465334476881095</v>
      </c>
    </row>
    <row r="540" spans="1:20" x14ac:dyDescent="0.25">
      <c r="A540" s="5">
        <v>44053</v>
      </c>
      <c r="B540">
        <v>6.8849999999999995E-2</v>
      </c>
      <c r="C540">
        <v>7.5999999999999998E-2</v>
      </c>
      <c r="D540">
        <v>6.3189999999999996E-2</v>
      </c>
      <c r="E540">
        <v>7.3830000000000007E-2</v>
      </c>
      <c r="F540">
        <v>21506485.100000001</v>
      </c>
      <c r="G540">
        <v>7.23</v>
      </c>
      <c r="L540" t="s">
        <v>7</v>
      </c>
      <c r="M540" t="s">
        <v>8</v>
      </c>
      <c r="N540" t="s">
        <v>8</v>
      </c>
      <c r="P540">
        <f t="shared" si="984"/>
        <v>0.66120218579235113</v>
      </c>
      <c r="Q540">
        <f t="shared" si="985"/>
        <v>14220134.956830632</v>
      </c>
      <c r="R540">
        <f t="shared" si="986"/>
        <v>-20434264.858237017</v>
      </c>
      <c r="S540">
        <f t="shared" si="987"/>
        <v>-204.34264858237017</v>
      </c>
      <c r="T540">
        <f t="shared" si="988"/>
        <v>-0.20434264858237017</v>
      </c>
    </row>
    <row r="541" spans="1:20" x14ac:dyDescent="0.25">
      <c r="A541" s="5">
        <v>44052</v>
      </c>
      <c r="B541">
        <v>6.8029999999999993E-2</v>
      </c>
      <c r="C541">
        <v>6.8769999999999998E-2</v>
      </c>
      <c r="D541">
        <v>6.5000000000000002E-2</v>
      </c>
      <c r="E541">
        <v>6.8690000000000001E-2</v>
      </c>
      <c r="F541">
        <v>6423836.2999999998</v>
      </c>
      <c r="G541">
        <v>0.97</v>
      </c>
      <c r="L541" t="s">
        <v>7</v>
      </c>
      <c r="M541" t="s">
        <v>8</v>
      </c>
      <c r="N541" t="s">
        <v>8</v>
      </c>
      <c r="P541">
        <f t="shared" si="984"/>
        <v>0.95755968169761441</v>
      </c>
      <c r="Q541">
        <f t="shared" si="985"/>
        <v>6151206.6427055812</v>
      </c>
      <c r="R541">
        <f t="shared" si="986"/>
        <v>-34654399.815067649</v>
      </c>
      <c r="S541">
        <f t="shared" si="987"/>
        <v>-346.54399815067649</v>
      </c>
      <c r="T541">
        <f t="shared" si="988"/>
        <v>-0.34654399815067649</v>
      </c>
    </row>
    <row r="542" spans="1:20" x14ac:dyDescent="0.25">
      <c r="A542" s="5">
        <v>44051</v>
      </c>
      <c r="B542">
        <v>6.8690000000000001E-2</v>
      </c>
      <c r="C542">
        <v>7.1010000000000004E-2</v>
      </c>
      <c r="D542">
        <v>6.7320000000000005E-2</v>
      </c>
      <c r="E542">
        <v>6.8409999999999999E-2</v>
      </c>
      <c r="F542">
        <v>7152704.5999999996</v>
      </c>
      <c r="G542">
        <v>-0.41</v>
      </c>
      <c r="L542" t="s">
        <v>8</v>
      </c>
      <c r="M542" t="s">
        <v>8</v>
      </c>
      <c r="N542" t="s">
        <v>8</v>
      </c>
      <c r="P542">
        <f t="shared" si="984"/>
        <v>-0.40921409214092463</v>
      </c>
      <c r="Q542">
        <f t="shared" si="985"/>
        <v>-2926987.5192412152</v>
      </c>
      <c r="R542">
        <f t="shared" si="986"/>
        <v>-40805606.457773231</v>
      </c>
      <c r="S542">
        <f t="shared" si="987"/>
        <v>-408.05606457773229</v>
      </c>
      <c r="T542">
        <f t="shared" si="988"/>
        <v>-0.4080560645777323</v>
      </c>
    </row>
    <row r="543" spans="1:20" x14ac:dyDescent="0.25">
      <c r="A543" s="5">
        <v>44050</v>
      </c>
      <c r="B543">
        <v>6.6540000000000002E-2</v>
      </c>
      <c r="C543">
        <v>6.9900000000000004E-2</v>
      </c>
      <c r="D543">
        <v>6.4159999999999995E-2</v>
      </c>
      <c r="E543">
        <v>6.8690000000000001E-2</v>
      </c>
      <c r="F543">
        <v>7714396.2000000002</v>
      </c>
      <c r="G543">
        <v>3.23</v>
      </c>
      <c r="L543" t="s">
        <v>8</v>
      </c>
      <c r="M543" t="s">
        <v>8</v>
      </c>
      <c r="N543" t="s">
        <v>8</v>
      </c>
      <c r="P543">
        <f t="shared" si="984"/>
        <v>0.5783972125435537</v>
      </c>
      <c r="Q543">
        <f t="shared" si="985"/>
        <v>4461985.2585365828</v>
      </c>
      <c r="R543">
        <f t="shared" si="986"/>
        <v>-37878618.938532017</v>
      </c>
      <c r="S543">
        <f t="shared" si="987"/>
        <v>-378.7861893853202</v>
      </c>
      <c r="T543">
        <f t="shared" si="988"/>
        <v>-0.37878618938532022</v>
      </c>
    </row>
    <row r="544" spans="1:20" x14ac:dyDescent="0.25">
      <c r="A544" s="5">
        <v>44049</v>
      </c>
      <c r="B544">
        <v>6.0560000000000003E-2</v>
      </c>
      <c r="C544">
        <v>6.7100000000000007E-2</v>
      </c>
      <c r="D544">
        <v>6.0240000000000002E-2</v>
      </c>
      <c r="E544">
        <v>6.6540000000000002E-2</v>
      </c>
      <c r="F544">
        <v>7638837.7000000002</v>
      </c>
      <c r="G544">
        <v>9.8699999999999992</v>
      </c>
      <c r="L544" t="s">
        <v>8</v>
      </c>
      <c r="M544" t="s">
        <v>8</v>
      </c>
      <c r="N544" t="s">
        <v>8</v>
      </c>
      <c r="P544">
        <f t="shared" si="984"/>
        <v>0.83673469387754973</v>
      </c>
      <c r="Q544">
        <f t="shared" si="985"/>
        <v>6391680.5244897865</v>
      </c>
      <c r="R544">
        <f t="shared" si="986"/>
        <v>-42340604.197068602</v>
      </c>
      <c r="S544">
        <f t="shared" si="987"/>
        <v>-423.40604197068603</v>
      </c>
      <c r="T544">
        <f t="shared" si="988"/>
        <v>-0.42340604197068604</v>
      </c>
    </row>
    <row r="545" spans="1:20" x14ac:dyDescent="0.25">
      <c r="A545" s="5">
        <v>44048</v>
      </c>
      <c r="B545">
        <v>5.815E-2</v>
      </c>
      <c r="C545">
        <v>6.1499999999999999E-2</v>
      </c>
      <c r="D545">
        <v>5.7500000000000002E-2</v>
      </c>
      <c r="E545">
        <v>6.0479999999999999E-2</v>
      </c>
      <c r="F545">
        <v>5051778.0999999996</v>
      </c>
      <c r="G545">
        <v>4.01</v>
      </c>
      <c r="L545" t="s">
        <v>8</v>
      </c>
      <c r="M545" t="s">
        <v>8</v>
      </c>
      <c r="N545" t="s">
        <v>8</v>
      </c>
      <c r="P545">
        <f t="shared" si="984"/>
        <v>0.48999999999999955</v>
      </c>
      <c r="Q545">
        <f t="shared" si="985"/>
        <v>2475371.2689999975</v>
      </c>
      <c r="R545">
        <f t="shared" si="986"/>
        <v>-48732284.721558392</v>
      </c>
      <c r="S545">
        <f t="shared" si="987"/>
        <v>-487.32284721558392</v>
      </c>
      <c r="T545">
        <f t="shared" si="988"/>
        <v>-0.48732284721558394</v>
      </c>
    </row>
    <row r="546" spans="1:20" x14ac:dyDescent="0.25">
      <c r="A546" s="5">
        <v>44047</v>
      </c>
      <c r="B546">
        <v>5.5690000000000003E-2</v>
      </c>
      <c r="C546">
        <v>5.9650000000000002E-2</v>
      </c>
      <c r="D546">
        <v>5.5329999999999997E-2</v>
      </c>
      <c r="E546">
        <v>5.7849999999999999E-2</v>
      </c>
      <c r="F546">
        <v>2671018.4</v>
      </c>
      <c r="G546">
        <v>3.88</v>
      </c>
      <c r="L546" t="s">
        <v>8</v>
      </c>
      <c r="M546" t="s">
        <v>8</v>
      </c>
      <c r="N546" t="s">
        <v>8</v>
      </c>
      <c r="P546">
        <f t="shared" si="984"/>
        <v>0.16666666666666613</v>
      </c>
      <c r="Q546">
        <f t="shared" si="985"/>
        <v>445169.73333333188</v>
      </c>
      <c r="R546">
        <f t="shared" si="986"/>
        <v>-51207655.990558386</v>
      </c>
      <c r="S546">
        <f t="shared" si="987"/>
        <v>-512.07655990558385</v>
      </c>
      <c r="T546">
        <f t="shared" si="988"/>
        <v>-0.51207655990558387</v>
      </c>
    </row>
    <row r="547" spans="1:20" x14ac:dyDescent="0.25">
      <c r="A547" s="5">
        <v>44046</v>
      </c>
      <c r="B547">
        <v>5.5469999999999998E-2</v>
      </c>
      <c r="C547">
        <v>5.7880000000000001E-2</v>
      </c>
      <c r="D547">
        <v>5.4670000000000003E-2</v>
      </c>
      <c r="E547">
        <v>5.5780000000000003E-2</v>
      </c>
      <c r="F547">
        <v>2287431.9</v>
      </c>
      <c r="G547">
        <v>0.56000000000000005</v>
      </c>
      <c r="L547" t="s">
        <v>8</v>
      </c>
      <c r="M547" t="s">
        <v>8</v>
      </c>
      <c r="N547" t="s">
        <v>8</v>
      </c>
      <c r="P547">
        <f t="shared" si="984"/>
        <v>-0.30841121495327056</v>
      </c>
      <c r="Q547">
        <f t="shared" si="985"/>
        <v>-705469.65140186809</v>
      </c>
      <c r="R547">
        <f t="shared" si="986"/>
        <v>-51652825.72389172</v>
      </c>
      <c r="S547">
        <f t="shared" si="987"/>
        <v>-516.52825723891715</v>
      </c>
      <c r="T547">
        <f t="shared" si="988"/>
        <v>-0.51652825723891715</v>
      </c>
    </row>
    <row r="548" spans="1:20" x14ac:dyDescent="0.25">
      <c r="A548" s="5">
        <v>44045</v>
      </c>
      <c r="B548">
        <v>5.6890000000000003E-2</v>
      </c>
      <c r="C548">
        <v>5.8999999999999997E-2</v>
      </c>
      <c r="D548">
        <v>4.7910000000000001E-2</v>
      </c>
      <c r="E548">
        <v>5.5469999999999998E-2</v>
      </c>
      <c r="F548">
        <v>4468182.3</v>
      </c>
      <c r="G548">
        <v>-2.5</v>
      </c>
      <c r="L548" t="s">
        <v>7</v>
      </c>
      <c r="M548" t="s">
        <v>7</v>
      </c>
      <c r="N548" t="s">
        <v>8</v>
      </c>
      <c r="P548">
        <f t="shared" si="984"/>
        <v>0.36339044183949509</v>
      </c>
      <c r="Q548">
        <f t="shared" si="985"/>
        <v>1623694.7402164114</v>
      </c>
      <c r="R548">
        <f t="shared" si="986"/>
        <v>-50947356.07248985</v>
      </c>
      <c r="S548">
        <f t="shared" si="987"/>
        <v>-509.4735607248985</v>
      </c>
      <c r="T548">
        <f t="shared" si="988"/>
        <v>-0.50947356072489847</v>
      </c>
    </row>
    <row r="549" spans="1:20" x14ac:dyDescent="0.25">
      <c r="A549" s="5">
        <v>44044</v>
      </c>
      <c r="B549">
        <v>5.6489999999999999E-2</v>
      </c>
      <c r="C549">
        <v>5.7489999999999999E-2</v>
      </c>
      <c r="D549">
        <v>5.5500000000000001E-2</v>
      </c>
      <c r="E549">
        <v>5.6809999999999999E-2</v>
      </c>
      <c r="F549">
        <v>1643899.1</v>
      </c>
      <c r="G549">
        <v>0.56999999999999995</v>
      </c>
      <c r="L549" t="s">
        <v>7</v>
      </c>
      <c r="M549" t="s">
        <v>8</v>
      </c>
      <c r="N549" t="s">
        <v>8</v>
      </c>
      <c r="P549">
        <f t="shared" si="984"/>
        <v>0.3165829145728638</v>
      </c>
      <c r="Q549">
        <f t="shared" si="985"/>
        <v>520430.36834170774</v>
      </c>
      <c r="R549">
        <f t="shared" si="986"/>
        <v>-52571050.812706262</v>
      </c>
      <c r="S549">
        <f t="shared" si="987"/>
        <v>-525.71050812706267</v>
      </c>
      <c r="T549">
        <f t="shared" si="988"/>
        <v>-0.52571050812706266</v>
      </c>
    </row>
    <row r="550" spans="1:20" x14ac:dyDescent="0.25">
      <c r="A550" s="5">
        <v>44043</v>
      </c>
      <c r="B550">
        <v>5.7680000000000002E-2</v>
      </c>
      <c r="C550">
        <v>5.7790000000000001E-2</v>
      </c>
      <c r="D550">
        <v>5.5329999999999997E-2</v>
      </c>
      <c r="E550">
        <v>5.6689999999999997E-2</v>
      </c>
      <c r="F550">
        <v>2344987.1</v>
      </c>
      <c r="G550">
        <v>-1.72</v>
      </c>
      <c r="L550" t="s">
        <v>7</v>
      </c>
      <c r="M550" t="s">
        <v>8</v>
      </c>
      <c r="N550" t="s">
        <v>8</v>
      </c>
      <c r="P550">
        <f t="shared" si="984"/>
        <v>0.10569105691056746</v>
      </c>
      <c r="Q550">
        <f t="shared" si="985"/>
        <v>247844.16504064656</v>
      </c>
      <c r="R550">
        <f t="shared" si="986"/>
        <v>-53091481.181047969</v>
      </c>
      <c r="S550">
        <f t="shared" si="987"/>
        <v>-530.9148118104797</v>
      </c>
      <c r="T550">
        <f t="shared" si="988"/>
        <v>-0.53091481181047973</v>
      </c>
    </row>
    <row r="551" spans="1:20" x14ac:dyDescent="0.25">
      <c r="A551" s="5">
        <v>44042</v>
      </c>
      <c r="B551">
        <v>5.7610000000000001E-2</v>
      </c>
      <c r="C551">
        <v>6.3549999999999995E-2</v>
      </c>
      <c r="D551">
        <v>5.6000000000000001E-2</v>
      </c>
      <c r="E551">
        <v>5.7480000000000003E-2</v>
      </c>
      <c r="F551">
        <v>4167865.9</v>
      </c>
      <c r="G551">
        <v>-0.23</v>
      </c>
      <c r="L551" t="s">
        <v>8</v>
      </c>
      <c r="M551" t="s">
        <v>8</v>
      </c>
      <c r="N551" t="s">
        <v>8</v>
      </c>
      <c r="P551">
        <f t="shared" si="984"/>
        <v>-0.60794701986754884</v>
      </c>
      <c r="Q551">
        <f t="shared" si="985"/>
        <v>-2533841.6531125791</v>
      </c>
      <c r="R551">
        <f t="shared" si="986"/>
        <v>-53339325.346088618</v>
      </c>
      <c r="S551">
        <f t="shared" si="987"/>
        <v>-533.39325346088617</v>
      </c>
      <c r="T551">
        <f t="shared" si="988"/>
        <v>-0.53339325346088617</v>
      </c>
    </row>
    <row r="552" spans="1:20" x14ac:dyDescent="0.25">
      <c r="A552" s="5">
        <v>44041</v>
      </c>
      <c r="B552">
        <v>5.4690000000000003E-2</v>
      </c>
      <c r="C552">
        <v>5.8529999999999999E-2</v>
      </c>
      <c r="D552">
        <v>5.4550000000000001E-2</v>
      </c>
      <c r="E552">
        <v>5.7610000000000001E-2</v>
      </c>
      <c r="F552">
        <v>2912738.7</v>
      </c>
      <c r="G552">
        <v>5.34</v>
      </c>
      <c r="L552" t="s">
        <v>8</v>
      </c>
      <c r="M552" t="s">
        <v>8</v>
      </c>
      <c r="N552" t="s">
        <v>8</v>
      </c>
      <c r="P552">
        <f t="shared" si="984"/>
        <v>0.53768844221105638</v>
      </c>
      <c r="Q552">
        <f t="shared" si="985"/>
        <v>1566145.9341708575</v>
      </c>
      <c r="R552">
        <f t="shared" si="986"/>
        <v>-50805483.692976035</v>
      </c>
      <c r="S552">
        <f t="shared" si="987"/>
        <v>-508.05483692976037</v>
      </c>
      <c r="T552">
        <f t="shared" si="988"/>
        <v>-0.50805483692976039</v>
      </c>
    </row>
    <row r="553" spans="1:20" x14ac:dyDescent="0.25">
      <c r="A553" s="5">
        <v>44040</v>
      </c>
      <c r="B553">
        <v>5.2569999999999999E-2</v>
      </c>
      <c r="C553">
        <v>5.7000000000000002E-2</v>
      </c>
      <c r="D553">
        <v>5.1240000000000001E-2</v>
      </c>
      <c r="E553">
        <v>5.4519999999999999E-2</v>
      </c>
      <c r="F553">
        <v>2489943.6</v>
      </c>
      <c r="G553">
        <v>3.71</v>
      </c>
      <c r="L553" t="s">
        <v>8</v>
      </c>
      <c r="M553" t="s">
        <v>8</v>
      </c>
      <c r="N553" t="s">
        <v>7</v>
      </c>
      <c r="P553">
        <f t="shared" si="984"/>
        <v>0.13888888888888801</v>
      </c>
      <c r="Q553">
        <f t="shared" si="985"/>
        <v>345825.49999999779</v>
      </c>
      <c r="R553">
        <f t="shared" si="986"/>
        <v>-52371629.627146892</v>
      </c>
      <c r="S553">
        <f t="shared" si="987"/>
        <v>-523.71629627146888</v>
      </c>
      <c r="T553">
        <f t="shared" si="988"/>
        <v>-0.52371629627146887</v>
      </c>
    </row>
    <row r="554" spans="1:20" x14ac:dyDescent="0.25">
      <c r="A554" s="5">
        <v>44039</v>
      </c>
      <c r="B554">
        <v>5.6149999999999999E-2</v>
      </c>
      <c r="C554">
        <v>6.0729999999999999E-2</v>
      </c>
      <c r="D554">
        <v>4.1430000000000002E-2</v>
      </c>
      <c r="E554">
        <v>5.2540000000000003E-2</v>
      </c>
      <c r="F554">
        <v>12944212.1</v>
      </c>
      <c r="G554">
        <v>-6.43</v>
      </c>
      <c r="L554" t="s">
        <v>7</v>
      </c>
      <c r="M554" t="s">
        <v>7</v>
      </c>
      <c r="N554" t="s">
        <v>7</v>
      </c>
      <c r="P554">
        <f t="shared" si="984"/>
        <v>0.1512953367875651</v>
      </c>
      <c r="Q554">
        <f t="shared" si="985"/>
        <v>1958398.9291191753</v>
      </c>
      <c r="R554">
        <f t="shared" si="986"/>
        <v>-52717455.127146892</v>
      </c>
      <c r="S554">
        <f t="shared" si="987"/>
        <v>-527.17455127146889</v>
      </c>
      <c r="T554">
        <f t="shared" si="988"/>
        <v>-0.52717455127146884</v>
      </c>
    </row>
    <row r="555" spans="1:20" x14ac:dyDescent="0.25">
      <c r="A555" s="5">
        <v>44038</v>
      </c>
      <c r="B555">
        <v>5.7970000000000001E-2</v>
      </c>
      <c r="C555">
        <v>5.8540000000000002E-2</v>
      </c>
      <c r="D555">
        <v>5.4170000000000003E-2</v>
      </c>
      <c r="E555">
        <v>5.6099999999999997E-2</v>
      </c>
      <c r="F555">
        <v>3038295.4</v>
      </c>
      <c r="G555">
        <v>-3.23</v>
      </c>
      <c r="L555" t="s">
        <v>7</v>
      </c>
      <c r="M555" t="s">
        <v>7</v>
      </c>
      <c r="N555" t="s">
        <v>8</v>
      </c>
      <c r="P555">
        <f t="shared" si="984"/>
        <v>-0.11670480549199326</v>
      </c>
      <c r="Q555">
        <f t="shared" si="985"/>
        <v>-354583.67368421785</v>
      </c>
      <c r="R555">
        <f t="shared" si="986"/>
        <v>-54675854.056266069</v>
      </c>
      <c r="S555">
        <f t="shared" si="987"/>
        <v>-546.75854056266064</v>
      </c>
      <c r="T555">
        <f t="shared" si="988"/>
        <v>-0.5467585405626606</v>
      </c>
    </row>
    <row r="556" spans="1:20" x14ac:dyDescent="0.25">
      <c r="A556" s="5">
        <v>44037</v>
      </c>
      <c r="B556">
        <v>5.9720000000000002E-2</v>
      </c>
      <c r="C556">
        <v>6.0659999999999999E-2</v>
      </c>
      <c r="D556">
        <v>5.5730000000000002E-2</v>
      </c>
      <c r="E556">
        <v>5.7970000000000001E-2</v>
      </c>
      <c r="F556">
        <v>4099912.1</v>
      </c>
      <c r="G556">
        <v>-2.93</v>
      </c>
      <c r="L556" t="s">
        <v>7</v>
      </c>
      <c r="M556" t="s">
        <v>7</v>
      </c>
      <c r="N556" t="s">
        <v>8</v>
      </c>
      <c r="P556">
        <f t="shared" si="984"/>
        <v>-9.12778904665313E-2</v>
      </c>
      <c r="Q556">
        <f t="shared" si="985"/>
        <v>-374231.32758620632</v>
      </c>
      <c r="R556">
        <f t="shared" si="986"/>
        <v>-54321270.382581852</v>
      </c>
      <c r="S556">
        <f t="shared" si="987"/>
        <v>-543.21270382581849</v>
      </c>
      <c r="T556">
        <f t="shared" si="988"/>
        <v>-0.54321270382581854</v>
      </c>
    </row>
    <row r="557" spans="1:20" x14ac:dyDescent="0.25">
      <c r="A557" s="5">
        <v>44036</v>
      </c>
      <c r="B557">
        <v>6.2190000000000002E-2</v>
      </c>
      <c r="C557">
        <v>6.275E-2</v>
      </c>
      <c r="D557">
        <v>5.8999999999999997E-2</v>
      </c>
      <c r="E557">
        <v>5.9950000000000003E-2</v>
      </c>
      <c r="F557">
        <v>2639889</v>
      </c>
      <c r="G557">
        <v>-3.6</v>
      </c>
      <c r="L557" t="s">
        <v>8</v>
      </c>
      <c r="M557" t="s">
        <v>7</v>
      </c>
      <c r="N557" t="s">
        <v>8</v>
      </c>
      <c r="P557">
        <f t="shared" si="984"/>
        <v>-0.49333333333333035</v>
      </c>
      <c r="Q557">
        <f t="shared" si="985"/>
        <v>-1302345.2399999921</v>
      </c>
      <c r="R557">
        <f t="shared" si="986"/>
        <v>-53947039.054995649</v>
      </c>
      <c r="S557">
        <f t="shared" si="987"/>
        <v>-539.47039054995651</v>
      </c>
      <c r="T557">
        <f t="shared" si="988"/>
        <v>-0.53947039054995649</v>
      </c>
    </row>
    <row r="558" spans="1:20" x14ac:dyDescent="0.25">
      <c r="A558" s="5">
        <v>44035</v>
      </c>
      <c r="B558">
        <v>5.9459999999999999E-2</v>
      </c>
      <c r="C558">
        <v>6.3159999999999994E-2</v>
      </c>
      <c r="D558">
        <v>5.944E-2</v>
      </c>
      <c r="E558">
        <v>6.2190000000000002E-2</v>
      </c>
      <c r="F558">
        <v>5270904.5</v>
      </c>
      <c r="G558">
        <v>4.59</v>
      </c>
      <c r="L558" t="s">
        <v>8</v>
      </c>
      <c r="M558" t="s">
        <v>7</v>
      </c>
      <c r="N558" t="s">
        <v>8</v>
      </c>
      <c r="P558">
        <f t="shared" si="984"/>
        <v>0.47849462365591761</v>
      </c>
      <c r="Q558">
        <f t="shared" si="985"/>
        <v>2522099.4650537823</v>
      </c>
      <c r="R558">
        <f t="shared" si="986"/>
        <v>-52644693.814995654</v>
      </c>
      <c r="S558">
        <f t="shared" si="987"/>
        <v>-526.44693814995651</v>
      </c>
      <c r="T558">
        <f t="shared" si="988"/>
        <v>-0.52644693814995647</v>
      </c>
    </row>
    <row r="559" spans="1:20" x14ac:dyDescent="0.25">
      <c r="A559" s="5">
        <v>44034</v>
      </c>
      <c r="B559">
        <v>5.9929999999999997E-2</v>
      </c>
      <c r="C559">
        <v>6.3009999999999997E-2</v>
      </c>
      <c r="D559">
        <v>5.7630000000000001E-2</v>
      </c>
      <c r="E559">
        <v>5.9360000000000003E-2</v>
      </c>
      <c r="F559">
        <v>6770450</v>
      </c>
      <c r="G559">
        <v>-0.95</v>
      </c>
      <c r="L559" t="s">
        <v>8</v>
      </c>
      <c r="M559" t="s">
        <v>7</v>
      </c>
      <c r="N559" t="s">
        <v>8</v>
      </c>
      <c r="P559">
        <f t="shared" si="984"/>
        <v>-0.356877323420073</v>
      </c>
      <c r="Q559">
        <f t="shared" si="985"/>
        <v>-2416220.0743494332</v>
      </c>
      <c r="R559">
        <f t="shared" si="986"/>
        <v>-55166793.280049436</v>
      </c>
      <c r="S559">
        <f t="shared" si="987"/>
        <v>-551.66793280049433</v>
      </c>
      <c r="T559">
        <f t="shared" si="988"/>
        <v>-0.55166793280049431</v>
      </c>
    </row>
    <row r="560" spans="1:20" x14ac:dyDescent="0.25">
      <c r="A560" s="5">
        <v>44033</v>
      </c>
      <c r="B560">
        <v>5.985E-2</v>
      </c>
      <c r="C560">
        <v>6.1679999999999999E-2</v>
      </c>
      <c r="D560">
        <v>5.7939999999999998E-2</v>
      </c>
      <c r="E560">
        <v>5.9929999999999997E-2</v>
      </c>
      <c r="F560">
        <v>4895474</v>
      </c>
      <c r="G560">
        <v>0.13</v>
      </c>
      <c r="L560" t="s">
        <v>8</v>
      </c>
      <c r="M560" t="s">
        <v>7</v>
      </c>
      <c r="N560" t="s">
        <v>8</v>
      </c>
      <c r="P560">
        <f t="shared" si="984"/>
        <v>6.4171122994651636E-2</v>
      </c>
      <c r="Q560">
        <f t="shared" si="985"/>
        <v>314148.06417111924</v>
      </c>
      <c r="R560">
        <f t="shared" si="986"/>
        <v>-52750573.205700003</v>
      </c>
      <c r="S560">
        <f t="shared" si="987"/>
        <v>-527.50573205700005</v>
      </c>
      <c r="T560">
        <f t="shared" si="988"/>
        <v>-0.52750573205700002</v>
      </c>
    </row>
    <row r="561" spans="1:104" x14ac:dyDescent="0.25">
      <c r="A561" s="5">
        <v>44032</v>
      </c>
      <c r="B561">
        <v>5.6259999999999998E-2</v>
      </c>
      <c r="C561">
        <v>6.1490000000000003E-2</v>
      </c>
      <c r="D561">
        <v>5.5849999999999997E-2</v>
      </c>
      <c r="E561">
        <v>5.985E-2</v>
      </c>
      <c r="F561">
        <v>8740346.4000000004</v>
      </c>
      <c r="G561">
        <v>6.38</v>
      </c>
      <c r="L561" t="s">
        <v>8</v>
      </c>
      <c r="M561" t="s">
        <v>7</v>
      </c>
      <c r="N561" t="s">
        <v>8</v>
      </c>
      <c r="P561">
        <f t="shared" si="984"/>
        <v>0.41843971631205645</v>
      </c>
      <c r="Q561">
        <f t="shared" si="985"/>
        <v>3657308.0680851042</v>
      </c>
      <c r="R561">
        <f t="shared" si="986"/>
        <v>-53064721.269871123</v>
      </c>
      <c r="S561">
        <f t="shared" si="987"/>
        <v>-530.6472126987112</v>
      </c>
      <c r="T561">
        <f t="shared" si="988"/>
        <v>-0.53064721269871118</v>
      </c>
      <c r="CZ561" t="s">
        <v>7</v>
      </c>
    </row>
    <row r="562" spans="1:104" x14ac:dyDescent="0.25">
      <c r="A562" s="5">
        <v>44031</v>
      </c>
      <c r="B562">
        <v>5.8619999999999998E-2</v>
      </c>
      <c r="C562">
        <v>5.8799999999999998E-2</v>
      </c>
      <c r="D562">
        <v>5.5100000000000003E-2</v>
      </c>
      <c r="E562">
        <v>5.6239999999999998E-2</v>
      </c>
      <c r="F562">
        <v>3801068.4</v>
      </c>
      <c r="G562">
        <v>-4.0599999999999996</v>
      </c>
      <c r="L562" t="s">
        <v>7</v>
      </c>
      <c r="M562" t="s">
        <v>7</v>
      </c>
      <c r="N562" t="s">
        <v>8</v>
      </c>
      <c r="P562">
        <f t="shared" si="984"/>
        <v>-0.38378378378378553</v>
      </c>
      <c r="Q562">
        <f t="shared" si="985"/>
        <v>-1458788.4129729795</v>
      </c>
      <c r="R562">
        <f t="shared" si="986"/>
        <v>-56722029.337956227</v>
      </c>
      <c r="S562">
        <f t="shared" si="987"/>
        <v>-567.22029337956224</v>
      </c>
      <c r="T562">
        <f t="shared" si="988"/>
        <v>-0.56722029337956226</v>
      </c>
      <c r="CZ562" t="s">
        <v>7</v>
      </c>
    </row>
    <row r="563" spans="1:104" x14ac:dyDescent="0.25">
      <c r="A563" s="5">
        <v>44030</v>
      </c>
      <c r="B563">
        <v>5.8400000000000001E-2</v>
      </c>
      <c r="C563">
        <v>5.9319999999999998E-2</v>
      </c>
      <c r="D563">
        <v>5.552E-2</v>
      </c>
      <c r="E563">
        <v>5.8569999999999997E-2</v>
      </c>
      <c r="F563">
        <v>4595293.9000000004</v>
      </c>
      <c r="G563">
        <v>0.28999999999999998</v>
      </c>
      <c r="L563" t="s">
        <v>7</v>
      </c>
      <c r="M563" t="s">
        <v>7</v>
      </c>
      <c r="N563" t="s">
        <v>8</v>
      </c>
      <c r="P563">
        <f t="shared" si="984"/>
        <v>0.60526315789473628</v>
      </c>
      <c r="Q563">
        <f t="shared" si="985"/>
        <v>2781362.0973684187</v>
      </c>
      <c r="R563">
        <f t="shared" si="986"/>
        <v>-55263240.924983248</v>
      </c>
      <c r="S563">
        <f t="shared" si="987"/>
        <v>-552.63240924983245</v>
      </c>
      <c r="T563">
        <f t="shared" si="988"/>
        <v>-0.55263240924983248</v>
      </c>
      <c r="CZ563" t="s">
        <v>7</v>
      </c>
    </row>
    <row r="564" spans="1:104" x14ac:dyDescent="0.25">
      <c r="A564" s="5">
        <v>44029</v>
      </c>
      <c r="B564">
        <v>6.1129999999999997E-2</v>
      </c>
      <c r="C564">
        <v>6.4939999999999998E-2</v>
      </c>
      <c r="D564">
        <v>5.6439999999999997E-2</v>
      </c>
      <c r="E564">
        <v>5.8430000000000003E-2</v>
      </c>
      <c r="F564">
        <v>11757787.5</v>
      </c>
      <c r="G564">
        <v>-4.42</v>
      </c>
      <c r="L564" t="s">
        <v>7</v>
      </c>
      <c r="M564" t="s">
        <v>8</v>
      </c>
      <c r="N564" t="s">
        <v>8</v>
      </c>
      <c r="P564">
        <f t="shared" si="984"/>
        <v>-0.5317647058823517</v>
      </c>
      <c r="Q564">
        <f t="shared" si="985"/>
        <v>-6252376.4117646916</v>
      </c>
      <c r="R564">
        <f t="shared" si="986"/>
        <v>-58044603.022351667</v>
      </c>
      <c r="S564">
        <f t="shared" si="987"/>
        <v>-580.44603022351669</v>
      </c>
      <c r="T564">
        <f t="shared" si="988"/>
        <v>-0.58044603022351671</v>
      </c>
    </row>
    <row r="565" spans="1:104" x14ac:dyDescent="0.25">
      <c r="A565" s="5">
        <v>44028</v>
      </c>
      <c r="B565">
        <v>5.373E-2</v>
      </c>
      <c r="C565">
        <v>6.5890000000000004E-2</v>
      </c>
      <c r="D565">
        <v>5.296E-2</v>
      </c>
      <c r="E565">
        <v>6.1129999999999997E-2</v>
      </c>
      <c r="F565">
        <v>28531601.600000001</v>
      </c>
      <c r="G565">
        <v>13.77</v>
      </c>
      <c r="L565" t="s">
        <v>8</v>
      </c>
      <c r="M565" t="s">
        <v>8</v>
      </c>
      <c r="N565" t="s">
        <v>8</v>
      </c>
      <c r="P565">
        <f t="shared" si="984"/>
        <v>0.26372776488785682</v>
      </c>
      <c r="Q565">
        <f t="shared" si="985"/>
        <v>7524575.5186387999</v>
      </c>
      <c r="R565">
        <f t="shared" si="986"/>
        <v>-51792226.610586978</v>
      </c>
      <c r="S565">
        <f t="shared" si="987"/>
        <v>-517.92226610586977</v>
      </c>
      <c r="T565">
        <f t="shared" si="988"/>
        <v>-0.51792226610586978</v>
      </c>
    </row>
    <row r="566" spans="1:104" x14ac:dyDescent="0.25">
      <c r="A566" s="5">
        <v>44027</v>
      </c>
      <c r="B566">
        <v>5.1709999999999999E-2</v>
      </c>
      <c r="C566">
        <v>5.5E-2</v>
      </c>
      <c r="D566">
        <v>5.1180000000000003E-2</v>
      </c>
      <c r="E566">
        <v>5.3539999999999997E-2</v>
      </c>
      <c r="F566">
        <v>4974313.9000000004</v>
      </c>
      <c r="G566">
        <v>3.54</v>
      </c>
      <c r="L566" t="s">
        <v>8</v>
      </c>
      <c r="M566" t="s">
        <v>7</v>
      </c>
      <c r="N566" t="s">
        <v>7</v>
      </c>
      <c r="P566">
        <f t="shared" si="984"/>
        <v>0.23560209424083556</v>
      </c>
      <c r="Q566">
        <f t="shared" si="985"/>
        <v>1171958.7722512984</v>
      </c>
      <c r="R566">
        <f t="shared" si="986"/>
        <v>-59316802.129225776</v>
      </c>
      <c r="S566">
        <f t="shared" si="987"/>
        <v>-593.16802129225778</v>
      </c>
      <c r="T566">
        <f t="shared" si="988"/>
        <v>-0.59316802129225776</v>
      </c>
    </row>
    <row r="567" spans="1:104" x14ac:dyDescent="0.25">
      <c r="A567" s="5">
        <v>44026</v>
      </c>
      <c r="B567">
        <v>5.246E-2</v>
      </c>
      <c r="C567">
        <v>5.2859999999999997E-2</v>
      </c>
      <c r="D567">
        <v>5.0229999999999997E-2</v>
      </c>
      <c r="E567">
        <v>5.1499999999999997E-2</v>
      </c>
      <c r="F567">
        <v>2698089.7</v>
      </c>
      <c r="G567">
        <v>-1.83</v>
      </c>
      <c r="L567" t="s">
        <v>7</v>
      </c>
      <c r="M567" t="s">
        <v>7</v>
      </c>
      <c r="N567" t="s">
        <v>7</v>
      </c>
      <c r="P567">
        <f t="shared" si="984"/>
        <v>-3.4220532319391553E-2</v>
      </c>
      <c r="Q567">
        <f t="shared" si="985"/>
        <v>-92330.065779467463</v>
      </c>
      <c r="R567">
        <f t="shared" si="986"/>
        <v>-60488760.901477076</v>
      </c>
      <c r="S567">
        <f t="shared" si="987"/>
        <v>-604.88760901477076</v>
      </c>
      <c r="T567">
        <f t="shared" si="988"/>
        <v>-0.60488760901477079</v>
      </c>
    </row>
    <row r="568" spans="1:104" x14ac:dyDescent="0.25">
      <c r="A568" s="5">
        <v>44025</v>
      </c>
      <c r="B568">
        <v>5.2519999999999997E-2</v>
      </c>
      <c r="C568">
        <v>5.5E-2</v>
      </c>
      <c r="D568">
        <v>5.1970000000000002E-2</v>
      </c>
      <c r="E568">
        <v>5.1970000000000002E-2</v>
      </c>
      <c r="F568">
        <v>2887570.2</v>
      </c>
      <c r="G568">
        <v>-1.05</v>
      </c>
      <c r="L568" t="s">
        <v>8</v>
      </c>
      <c r="M568" t="s">
        <v>7</v>
      </c>
      <c r="N568" t="s">
        <v>7</v>
      </c>
      <c r="P568">
        <f t="shared" si="984"/>
        <v>-1</v>
      </c>
      <c r="Q568">
        <f t="shared" si="985"/>
        <v>-2887570.2</v>
      </c>
      <c r="R568">
        <f t="shared" si="986"/>
        <v>-60396430.835697606</v>
      </c>
      <c r="S568">
        <f t="shared" si="987"/>
        <v>-603.96430835697606</v>
      </c>
      <c r="T568">
        <f t="shared" si="988"/>
        <v>-0.60396430835697601</v>
      </c>
    </row>
    <row r="569" spans="1:104" x14ac:dyDescent="0.25">
      <c r="A569" s="5">
        <v>44024</v>
      </c>
      <c r="B569">
        <v>5.3269999999999998E-2</v>
      </c>
      <c r="C569">
        <v>5.3900000000000003E-2</v>
      </c>
      <c r="D569">
        <v>5.1909999999999998E-2</v>
      </c>
      <c r="E569">
        <v>5.2499999999999998E-2</v>
      </c>
      <c r="F569">
        <v>487551.5</v>
      </c>
      <c r="G569">
        <v>-1.45</v>
      </c>
      <c r="L569" t="s">
        <v>8</v>
      </c>
      <c r="M569" t="s">
        <v>7</v>
      </c>
      <c r="N569" t="s">
        <v>7</v>
      </c>
      <c r="P569">
        <f t="shared" si="984"/>
        <v>-0.40703517587939841</v>
      </c>
      <c r="Q569">
        <f t="shared" si="985"/>
        <v>-198450.61055276453</v>
      </c>
      <c r="R569">
        <f t="shared" si="986"/>
        <v>-57508860.635697603</v>
      </c>
      <c r="S569">
        <f t="shared" si="987"/>
        <v>-575.08860635697602</v>
      </c>
      <c r="T569">
        <f t="shared" si="988"/>
        <v>-0.57508860635697601</v>
      </c>
    </row>
    <row r="570" spans="1:104" x14ac:dyDescent="0.25">
      <c r="A570" s="5">
        <v>44023</v>
      </c>
      <c r="B570">
        <v>5.2339999999999998E-2</v>
      </c>
      <c r="C570">
        <v>5.3809999999999997E-2</v>
      </c>
      <c r="D570">
        <v>5.1979999999999998E-2</v>
      </c>
      <c r="E570">
        <v>5.3280000000000001E-2</v>
      </c>
      <c r="F570">
        <v>902042.5</v>
      </c>
      <c r="G570">
        <v>1.8</v>
      </c>
      <c r="L570" t="s">
        <v>8</v>
      </c>
      <c r="M570" t="s">
        <v>7</v>
      </c>
      <c r="N570" t="s">
        <v>7</v>
      </c>
      <c r="P570">
        <f t="shared" si="984"/>
        <v>0.42076502732240845</v>
      </c>
      <c r="Q570">
        <f t="shared" si="985"/>
        <v>379547.93715847359</v>
      </c>
      <c r="R570">
        <f t="shared" si="986"/>
        <v>-57310410.025144838</v>
      </c>
      <c r="S570">
        <f t="shared" si="987"/>
        <v>-573.10410025144836</v>
      </c>
      <c r="T570">
        <f t="shared" si="988"/>
        <v>-0.57310410025144831</v>
      </c>
    </row>
    <row r="571" spans="1:104" x14ac:dyDescent="0.25">
      <c r="A571" s="5">
        <v>44022</v>
      </c>
      <c r="B571">
        <v>5.2670000000000002E-2</v>
      </c>
      <c r="C571">
        <v>5.2679999999999998E-2</v>
      </c>
      <c r="D571">
        <v>0.05</v>
      </c>
      <c r="E571">
        <v>5.2089999999999997E-2</v>
      </c>
      <c r="F571">
        <v>1426794.7</v>
      </c>
      <c r="G571">
        <v>-1.1000000000000001</v>
      </c>
      <c r="L571" t="s">
        <v>7</v>
      </c>
      <c r="M571" t="s">
        <v>7</v>
      </c>
      <c r="N571" t="s">
        <v>7</v>
      </c>
      <c r="P571">
        <f t="shared" si="984"/>
        <v>0.55970149253731238</v>
      </c>
      <c r="Q571">
        <f t="shared" si="985"/>
        <v>798579.12313432689</v>
      </c>
      <c r="R571">
        <f t="shared" si="986"/>
        <v>-57689957.962303311</v>
      </c>
      <c r="S571">
        <f t="shared" si="987"/>
        <v>-576.89957962303311</v>
      </c>
      <c r="T571">
        <f t="shared" si="988"/>
        <v>-0.57689957962303307</v>
      </c>
    </row>
    <row r="572" spans="1:104" x14ac:dyDescent="0.25">
      <c r="A572" s="5">
        <v>44021</v>
      </c>
      <c r="B572">
        <v>5.4019999999999999E-2</v>
      </c>
      <c r="C572">
        <v>5.491E-2</v>
      </c>
      <c r="D572">
        <v>5.0970000000000001E-2</v>
      </c>
      <c r="E572">
        <v>5.2699999999999997E-2</v>
      </c>
      <c r="F572">
        <v>1734989</v>
      </c>
      <c r="G572">
        <v>-2.44</v>
      </c>
      <c r="L572" t="s">
        <v>8</v>
      </c>
      <c r="M572" t="s">
        <v>7</v>
      </c>
      <c r="N572" t="s">
        <v>7</v>
      </c>
      <c r="P572">
        <f t="shared" si="984"/>
        <v>-0.1218274111675148</v>
      </c>
      <c r="Q572">
        <f t="shared" si="985"/>
        <v>-211369.21827411535</v>
      </c>
      <c r="R572">
        <f t="shared" si="986"/>
        <v>-58488537.085437641</v>
      </c>
      <c r="S572">
        <f t="shared" si="987"/>
        <v>-584.88537085437645</v>
      </c>
      <c r="T572">
        <f t="shared" si="988"/>
        <v>-0.58488537085437642</v>
      </c>
    </row>
    <row r="573" spans="1:104" x14ac:dyDescent="0.25">
      <c r="A573" s="5">
        <v>44020</v>
      </c>
      <c r="B573">
        <v>5.0509999999999999E-2</v>
      </c>
      <c r="C573">
        <v>5.4100000000000002E-2</v>
      </c>
      <c r="D573">
        <v>5.0430000000000003E-2</v>
      </c>
      <c r="E573">
        <v>5.4039999999999998E-2</v>
      </c>
      <c r="F573">
        <v>2275297</v>
      </c>
      <c r="G573">
        <v>6.99</v>
      </c>
      <c r="L573" t="s">
        <v>8</v>
      </c>
      <c r="M573" t="s">
        <v>7</v>
      </c>
      <c r="N573" t="s">
        <v>7</v>
      </c>
      <c r="P573">
        <f t="shared" si="984"/>
        <v>0.96730245231607381</v>
      </c>
      <c r="Q573">
        <f t="shared" si="985"/>
        <v>2200900.3678474058</v>
      </c>
      <c r="R573">
        <f t="shared" si="986"/>
        <v>-58277167.867163524</v>
      </c>
      <c r="S573">
        <f t="shared" si="987"/>
        <v>-582.77167867163519</v>
      </c>
      <c r="T573">
        <f t="shared" si="988"/>
        <v>-0.58277167867163515</v>
      </c>
    </row>
    <row r="574" spans="1:104" x14ac:dyDescent="0.25">
      <c r="A574" s="5">
        <v>44019</v>
      </c>
      <c r="B574">
        <v>5.2299999999999999E-2</v>
      </c>
      <c r="C574">
        <v>5.3089999999999998E-2</v>
      </c>
      <c r="D574">
        <v>4.9849999999999998E-2</v>
      </c>
      <c r="E574">
        <v>5.0689999999999999E-2</v>
      </c>
      <c r="F574">
        <v>1395785.9</v>
      </c>
      <c r="G574">
        <v>-3.08</v>
      </c>
      <c r="L574" t="s">
        <v>8</v>
      </c>
      <c r="M574" t="s">
        <v>7</v>
      </c>
      <c r="N574" t="s">
        <v>7</v>
      </c>
      <c r="P574">
        <f t="shared" si="984"/>
        <v>-0.48148148148148118</v>
      </c>
      <c r="Q574">
        <f t="shared" si="985"/>
        <v>-672045.06296296255</v>
      </c>
      <c r="R574">
        <f t="shared" si="986"/>
        <v>-60478068.235010929</v>
      </c>
      <c r="S574">
        <f t="shared" si="987"/>
        <v>-604.78068235010926</v>
      </c>
      <c r="T574">
        <f t="shared" si="988"/>
        <v>-0.60478068235010929</v>
      </c>
    </row>
    <row r="575" spans="1:104" x14ac:dyDescent="0.25">
      <c r="A575" s="5">
        <v>44018</v>
      </c>
      <c r="B575">
        <v>5.1119999999999999E-2</v>
      </c>
      <c r="C575">
        <v>5.2699999999999997E-2</v>
      </c>
      <c r="D575">
        <v>5.0209999999999998E-2</v>
      </c>
      <c r="E575">
        <v>5.1999999999999998E-2</v>
      </c>
      <c r="F575">
        <v>1576835.6</v>
      </c>
      <c r="G575">
        <v>1.72</v>
      </c>
      <c r="L575" t="s">
        <v>8</v>
      </c>
      <c r="M575" t="s">
        <v>7</v>
      </c>
      <c r="N575" t="s">
        <v>7</v>
      </c>
      <c r="P575">
        <f t="shared" si="984"/>
        <v>0.4377510040160647</v>
      </c>
      <c r="Q575">
        <f t="shared" si="985"/>
        <v>690261.36706827383</v>
      </c>
      <c r="R575">
        <f t="shared" si="986"/>
        <v>-59806023.172047965</v>
      </c>
      <c r="S575">
        <f t="shared" si="987"/>
        <v>-598.06023172047969</v>
      </c>
      <c r="T575">
        <f t="shared" si="988"/>
        <v>-0.59806023172047973</v>
      </c>
    </row>
    <row r="576" spans="1:104" x14ac:dyDescent="0.25">
      <c r="A576" s="5">
        <v>44017</v>
      </c>
      <c r="B576">
        <v>5.006E-2</v>
      </c>
      <c r="C576">
        <v>5.11E-2</v>
      </c>
      <c r="D576">
        <v>4.9000000000000002E-2</v>
      </c>
      <c r="E576">
        <v>5.1069999999999997E-2</v>
      </c>
      <c r="F576">
        <v>2201873.1</v>
      </c>
      <c r="G576">
        <v>2.02</v>
      </c>
      <c r="L576" t="s">
        <v>7</v>
      </c>
      <c r="M576" t="s">
        <v>7</v>
      </c>
      <c r="N576" t="s">
        <v>7</v>
      </c>
      <c r="P576">
        <f t="shared" si="984"/>
        <v>0.97142857142856931</v>
      </c>
      <c r="Q576">
        <f t="shared" si="985"/>
        <v>2138962.4399999953</v>
      </c>
      <c r="R576">
        <f t="shared" si="986"/>
        <v>-60496284.539116241</v>
      </c>
      <c r="S576">
        <f t="shared" si="987"/>
        <v>-604.96284539116243</v>
      </c>
      <c r="T576">
        <f t="shared" si="988"/>
        <v>-0.60496284539116241</v>
      </c>
    </row>
    <row r="577" spans="1:20" x14ac:dyDescent="0.25">
      <c r="A577" s="5">
        <v>44016</v>
      </c>
      <c r="B577">
        <v>4.9419999999999999E-2</v>
      </c>
      <c r="C577">
        <v>5.5E-2</v>
      </c>
      <c r="D577">
        <v>4.8000000000000001E-2</v>
      </c>
      <c r="E577">
        <v>4.9970000000000001E-2</v>
      </c>
      <c r="F577">
        <v>2682362.5</v>
      </c>
      <c r="G577">
        <v>1.1100000000000001</v>
      </c>
      <c r="L577" t="s">
        <v>8</v>
      </c>
      <c r="M577" t="s">
        <v>7</v>
      </c>
      <c r="N577" t="s">
        <v>7</v>
      </c>
      <c r="P577">
        <f t="shared" si="984"/>
        <v>-0.43714285714285722</v>
      </c>
      <c r="Q577">
        <f t="shared" si="985"/>
        <v>-1172575.6071428573</v>
      </c>
      <c r="R577">
        <f t="shared" si="986"/>
        <v>-62635246.979116239</v>
      </c>
      <c r="S577">
        <f t="shared" si="987"/>
        <v>-626.35246979116243</v>
      </c>
      <c r="T577">
        <f t="shared" si="988"/>
        <v>-0.62635246979116244</v>
      </c>
    </row>
    <row r="578" spans="1:20" x14ac:dyDescent="0.25">
      <c r="A578" s="5">
        <v>44015</v>
      </c>
      <c r="B578">
        <v>4.6929999999999999E-2</v>
      </c>
      <c r="C578">
        <v>4.9770000000000002E-2</v>
      </c>
      <c r="D578">
        <v>4.6899999999999997E-2</v>
      </c>
      <c r="E578">
        <v>4.9419999999999999E-2</v>
      </c>
      <c r="F578">
        <v>845826.8</v>
      </c>
      <c r="G578">
        <v>5.31</v>
      </c>
      <c r="L578" t="s">
        <v>8</v>
      </c>
      <c r="M578" t="s">
        <v>7</v>
      </c>
      <c r="N578" t="s">
        <v>7</v>
      </c>
      <c r="P578">
        <f t="shared" si="984"/>
        <v>0.75609756097560799</v>
      </c>
      <c r="Q578">
        <f t="shared" si="985"/>
        <v>639527.58048780344</v>
      </c>
      <c r="R578">
        <f t="shared" si="986"/>
        <v>-61462671.37197338</v>
      </c>
      <c r="S578">
        <f t="shared" si="987"/>
        <v>-614.62671371973386</v>
      </c>
      <c r="T578">
        <f t="shared" si="988"/>
        <v>-0.61462671371973387</v>
      </c>
    </row>
    <row r="579" spans="1:20" x14ac:dyDescent="0.25">
      <c r="A579" s="5">
        <v>44014</v>
      </c>
      <c r="B579">
        <v>4.811E-2</v>
      </c>
      <c r="C579">
        <v>4.8370000000000003E-2</v>
      </c>
      <c r="D579">
        <v>4.6420000000000003E-2</v>
      </c>
      <c r="E579">
        <v>4.7070000000000001E-2</v>
      </c>
      <c r="F579">
        <v>924334.5</v>
      </c>
      <c r="G579">
        <v>-2.16</v>
      </c>
      <c r="L579" t="s">
        <v>7</v>
      </c>
      <c r="M579" t="s">
        <v>7</v>
      </c>
      <c r="N579" t="s">
        <v>7</v>
      </c>
      <c r="P579">
        <f t="shared" si="984"/>
        <v>-0.3333333333333357</v>
      </c>
      <c r="Q579">
        <f t="shared" si="985"/>
        <v>-308111.50000000221</v>
      </c>
      <c r="R579">
        <f t="shared" si="986"/>
        <v>-62102198.952461183</v>
      </c>
      <c r="S579">
        <f t="shared" si="987"/>
        <v>-621.02198952461185</v>
      </c>
      <c r="T579">
        <f t="shared" si="988"/>
        <v>-0.62102198952461185</v>
      </c>
    </row>
    <row r="580" spans="1:20" x14ac:dyDescent="0.25">
      <c r="A580" s="5">
        <v>44013</v>
      </c>
      <c r="B580">
        <v>4.7359999999999999E-2</v>
      </c>
      <c r="C580">
        <v>4.8280000000000003E-2</v>
      </c>
      <c r="D580">
        <v>4.6850000000000003E-2</v>
      </c>
      <c r="E580">
        <v>4.759E-2</v>
      </c>
      <c r="F580">
        <v>832731.9</v>
      </c>
      <c r="G580">
        <v>0.49</v>
      </c>
      <c r="L580" t="s">
        <v>8</v>
      </c>
      <c r="M580" t="s">
        <v>7</v>
      </c>
      <c r="N580" t="s">
        <v>7</v>
      </c>
      <c r="P580">
        <f t="shared" si="984"/>
        <v>3.4965034965031096E-2</v>
      </c>
      <c r="Q580">
        <f t="shared" si="985"/>
        <v>29116.49999999678</v>
      </c>
      <c r="R580">
        <f t="shared" si="986"/>
        <v>-61794087.452461183</v>
      </c>
      <c r="S580">
        <f t="shared" si="987"/>
        <v>-617.94087452461179</v>
      </c>
      <c r="T580">
        <f t="shared" si="988"/>
        <v>-0.61794087452461177</v>
      </c>
    </row>
    <row r="581" spans="1:20" x14ac:dyDescent="0.25">
      <c r="A581" s="5">
        <v>44012</v>
      </c>
      <c r="B581">
        <v>4.8309999999999999E-2</v>
      </c>
      <c r="C581">
        <v>4.947E-2</v>
      </c>
      <c r="D581">
        <v>4.7129999999999998E-2</v>
      </c>
      <c r="E581">
        <v>4.7640000000000002E-2</v>
      </c>
      <c r="F581">
        <v>719747.8</v>
      </c>
      <c r="G581">
        <v>-1.39</v>
      </c>
      <c r="L581" t="s">
        <v>8</v>
      </c>
      <c r="M581" t="s">
        <v>7</v>
      </c>
      <c r="N581" t="s">
        <v>7</v>
      </c>
      <c r="P581">
        <f t="shared" si="984"/>
        <v>-0.56410256410256143</v>
      </c>
      <c r="Q581">
        <f t="shared" si="985"/>
        <v>-406011.5794871776</v>
      </c>
      <c r="R581">
        <f t="shared" si="986"/>
        <v>-61823203.952461183</v>
      </c>
      <c r="S581">
        <f t="shared" si="987"/>
        <v>-618.23203952461188</v>
      </c>
      <c r="T581">
        <f t="shared" si="988"/>
        <v>-0.61823203952461192</v>
      </c>
    </row>
    <row r="582" spans="1:20" x14ac:dyDescent="0.25">
      <c r="A582" s="5">
        <v>44011</v>
      </c>
      <c r="B582">
        <v>4.82E-2</v>
      </c>
      <c r="C582">
        <v>4.8910000000000002E-2</v>
      </c>
      <c r="D582">
        <v>4.7329999999999997E-2</v>
      </c>
      <c r="E582">
        <v>4.8480000000000002E-2</v>
      </c>
      <c r="F582">
        <v>421254.7</v>
      </c>
      <c r="G582">
        <v>0.57999999999999996</v>
      </c>
      <c r="L582" t="s">
        <v>7</v>
      </c>
      <c r="M582" t="s">
        <v>7</v>
      </c>
      <c r="N582" t="s">
        <v>7</v>
      </c>
      <c r="P582">
        <f t="shared" ref="P582:P645" si="989">IF(C582=D582,0,((E582-D582)-(C582-E582))/(C582-D582))</f>
        <v>0.4556962025316475</v>
      </c>
      <c r="Q582">
        <f t="shared" ref="Q582:Q645" si="990">F582*P582</f>
        <v>191964.1670886084</v>
      </c>
      <c r="R582">
        <f t="shared" ref="R582:R645" si="991">R583+Q582</f>
        <v>-61417192.372974008</v>
      </c>
      <c r="S582">
        <f t="shared" ref="S582:S645" si="992">R582/100000</f>
        <v>-614.17192372974012</v>
      </c>
      <c r="T582">
        <f t="shared" ref="T582:T645" si="993">S582/1000</f>
        <v>-0.61417192372974017</v>
      </c>
    </row>
    <row r="583" spans="1:20" x14ac:dyDescent="0.25">
      <c r="A583" s="5">
        <v>44010</v>
      </c>
      <c r="B583">
        <v>4.7899999999999998E-2</v>
      </c>
      <c r="C583">
        <v>4.9209999999999997E-2</v>
      </c>
      <c r="D583">
        <v>4.6379999999999998E-2</v>
      </c>
      <c r="E583">
        <v>4.8579999999999998E-2</v>
      </c>
      <c r="F583">
        <v>1027504.7</v>
      </c>
      <c r="G583">
        <v>1.42</v>
      </c>
      <c r="L583" t="s">
        <v>7</v>
      </c>
      <c r="M583" t="s">
        <v>7</v>
      </c>
      <c r="N583" t="s">
        <v>7</v>
      </c>
      <c r="P583">
        <f t="shared" si="989"/>
        <v>0.55477031802120225</v>
      </c>
      <c r="Q583">
        <f t="shared" si="990"/>
        <v>570029.10918727994</v>
      </c>
      <c r="R583">
        <f t="shared" si="991"/>
        <v>-61609156.540062614</v>
      </c>
      <c r="S583">
        <f t="shared" si="992"/>
        <v>-616.09156540062611</v>
      </c>
      <c r="T583">
        <f t="shared" si="993"/>
        <v>-0.61609156540062615</v>
      </c>
    </row>
    <row r="584" spans="1:20" x14ac:dyDescent="0.25">
      <c r="A584" s="5">
        <v>44009</v>
      </c>
      <c r="B584">
        <v>5.142E-2</v>
      </c>
      <c r="C584">
        <v>5.2229999999999999E-2</v>
      </c>
      <c r="D584">
        <v>4.7010000000000003E-2</v>
      </c>
      <c r="E584">
        <v>4.7719999999999999E-2</v>
      </c>
      <c r="F584">
        <v>1377774.9</v>
      </c>
      <c r="G584">
        <v>-7.2</v>
      </c>
      <c r="L584" t="s">
        <v>7</v>
      </c>
      <c r="M584" t="s">
        <v>7</v>
      </c>
      <c r="N584" t="s">
        <v>7</v>
      </c>
      <c r="P584">
        <f t="shared" si="989"/>
        <v>-0.72796934865900542</v>
      </c>
      <c r="Q584">
        <f t="shared" si="990"/>
        <v>-1002977.8965517263</v>
      </c>
      <c r="R584">
        <f t="shared" si="991"/>
        <v>-62179185.649249896</v>
      </c>
      <c r="S584">
        <f t="shared" si="992"/>
        <v>-621.79185649249894</v>
      </c>
      <c r="T584">
        <f t="shared" si="993"/>
        <v>-0.62179185649249891</v>
      </c>
    </row>
    <row r="585" spans="1:20" x14ac:dyDescent="0.25">
      <c r="A585" s="5">
        <v>44008</v>
      </c>
      <c r="B585">
        <v>4.9360000000000001E-2</v>
      </c>
      <c r="C585">
        <v>5.457E-2</v>
      </c>
      <c r="D585">
        <v>4.9189999999999998E-2</v>
      </c>
      <c r="E585">
        <v>5.1610000000000003E-2</v>
      </c>
      <c r="F585">
        <v>4366235.0999999996</v>
      </c>
      <c r="G585">
        <v>4.5599999999999996</v>
      </c>
      <c r="L585" t="s">
        <v>8</v>
      </c>
      <c r="M585" t="s">
        <v>7</v>
      </c>
      <c r="N585" t="s">
        <v>7</v>
      </c>
      <c r="P585">
        <f t="shared" si="989"/>
        <v>-0.10037174721189435</v>
      </c>
      <c r="Q585">
        <f t="shared" si="990"/>
        <v>-438246.64572490018</v>
      </c>
      <c r="R585">
        <f t="shared" si="991"/>
        <v>-61176207.752698168</v>
      </c>
      <c r="S585">
        <f t="shared" si="992"/>
        <v>-611.76207752698167</v>
      </c>
      <c r="T585">
        <f t="shared" si="993"/>
        <v>-0.61176207752698164</v>
      </c>
    </row>
    <row r="586" spans="1:20" x14ac:dyDescent="0.25">
      <c r="A586" s="5">
        <v>44007</v>
      </c>
      <c r="B586">
        <v>5.024E-2</v>
      </c>
      <c r="C586">
        <v>5.0999999999999997E-2</v>
      </c>
      <c r="D586">
        <v>4.8250000000000001E-2</v>
      </c>
      <c r="E586">
        <v>4.9169999999999998E-2</v>
      </c>
      <c r="F586">
        <v>993405.1</v>
      </c>
      <c r="G586">
        <v>-2.13</v>
      </c>
      <c r="L586" t="s">
        <v>7</v>
      </c>
      <c r="M586" t="s">
        <v>7</v>
      </c>
      <c r="N586" t="s">
        <v>7</v>
      </c>
      <c r="P586">
        <f t="shared" si="989"/>
        <v>-0.33090909090909182</v>
      </c>
      <c r="Q586">
        <f t="shared" si="990"/>
        <v>-328726.77854545543</v>
      </c>
      <c r="R586">
        <f t="shared" si="991"/>
        <v>-60737961.106973268</v>
      </c>
      <c r="S586">
        <f t="shared" si="992"/>
        <v>-607.37961106973273</v>
      </c>
      <c r="T586">
        <f t="shared" si="993"/>
        <v>-0.60737961106973271</v>
      </c>
    </row>
    <row r="587" spans="1:20" x14ac:dyDescent="0.25">
      <c r="A587" s="5">
        <v>44006</v>
      </c>
      <c r="B587">
        <v>5.3780000000000001E-2</v>
      </c>
      <c r="C587">
        <v>5.4260000000000003E-2</v>
      </c>
      <c r="D587">
        <v>4.9430000000000002E-2</v>
      </c>
      <c r="E587">
        <v>5.0229999999999997E-2</v>
      </c>
      <c r="F587">
        <v>1312434.1000000001</v>
      </c>
      <c r="G587">
        <v>-6.6</v>
      </c>
      <c r="L587" t="s">
        <v>7</v>
      </c>
      <c r="M587" t="s">
        <v>8</v>
      </c>
      <c r="N587" t="s">
        <v>7</v>
      </c>
      <c r="P587">
        <f t="shared" si="989"/>
        <v>-0.66873706004140998</v>
      </c>
      <c r="Q587">
        <f t="shared" si="990"/>
        <v>-877673.32153209392</v>
      </c>
      <c r="R587">
        <f t="shared" si="991"/>
        <v>-60409234.328427814</v>
      </c>
      <c r="S587">
        <f t="shared" si="992"/>
        <v>-604.09234328427817</v>
      </c>
      <c r="T587">
        <f t="shared" si="993"/>
        <v>-0.60409234328427819</v>
      </c>
    </row>
    <row r="588" spans="1:20" x14ac:dyDescent="0.25">
      <c r="A588" s="5">
        <v>44005</v>
      </c>
      <c r="B588">
        <v>5.5050000000000002E-2</v>
      </c>
      <c r="C588">
        <v>5.6120000000000003E-2</v>
      </c>
      <c r="D588">
        <v>5.3199999999999997E-2</v>
      </c>
      <c r="E588">
        <v>5.3350000000000002E-2</v>
      </c>
      <c r="F588">
        <v>1924521.1</v>
      </c>
      <c r="G588">
        <v>-3.09</v>
      </c>
      <c r="L588" t="s">
        <v>8</v>
      </c>
      <c r="M588" t="s">
        <v>8</v>
      </c>
      <c r="N588" t="s">
        <v>7</v>
      </c>
      <c r="P588">
        <f t="shared" si="989"/>
        <v>-0.8972602739726</v>
      </c>
      <c r="Q588">
        <f t="shared" si="990"/>
        <v>-1726796.3294520497</v>
      </c>
      <c r="R588">
        <f t="shared" si="991"/>
        <v>-59531561.006895721</v>
      </c>
      <c r="S588">
        <f t="shared" si="992"/>
        <v>-595.3156100689572</v>
      </c>
      <c r="T588">
        <f t="shared" si="993"/>
        <v>-0.59531561006895717</v>
      </c>
    </row>
    <row r="589" spans="1:20" x14ac:dyDescent="0.25">
      <c r="A589" s="5">
        <v>44004</v>
      </c>
      <c r="B589">
        <v>5.4519999999999999E-2</v>
      </c>
      <c r="C589">
        <v>5.5930000000000001E-2</v>
      </c>
      <c r="D589">
        <v>5.3530000000000001E-2</v>
      </c>
      <c r="E589">
        <v>5.5050000000000002E-2</v>
      </c>
      <c r="F589">
        <v>855946.4</v>
      </c>
      <c r="G589">
        <v>0.97</v>
      </c>
      <c r="L589" t="s">
        <v>8</v>
      </c>
      <c r="M589" t="s">
        <v>8</v>
      </c>
      <c r="N589" t="s">
        <v>7</v>
      </c>
      <c r="P589">
        <f t="shared" si="989"/>
        <v>0.26666666666666744</v>
      </c>
      <c r="Q589">
        <f t="shared" si="990"/>
        <v>228252.37333333399</v>
      </c>
      <c r="R589">
        <f t="shared" si="991"/>
        <v>-57804764.677443668</v>
      </c>
      <c r="S589">
        <f t="shared" si="992"/>
        <v>-578.04764677443666</v>
      </c>
      <c r="T589">
        <f t="shared" si="993"/>
        <v>-0.57804764677443665</v>
      </c>
    </row>
    <row r="590" spans="1:20" x14ac:dyDescent="0.25">
      <c r="A590" s="5">
        <v>44003</v>
      </c>
      <c r="B590">
        <v>5.3499999999999999E-2</v>
      </c>
      <c r="C590">
        <v>5.6489999999999999E-2</v>
      </c>
      <c r="D590">
        <v>5.3449999999999998E-2</v>
      </c>
      <c r="E590">
        <v>5.4879999999999998E-2</v>
      </c>
      <c r="F590">
        <v>1762729.6</v>
      </c>
      <c r="G590">
        <v>2.58</v>
      </c>
      <c r="L590" t="s">
        <v>8</v>
      </c>
      <c r="M590" t="s">
        <v>8</v>
      </c>
      <c r="N590" t="s">
        <v>7</v>
      </c>
      <c r="P590">
        <f t="shared" si="989"/>
        <v>-5.9210526315789325E-2</v>
      </c>
      <c r="Q590">
        <f t="shared" si="990"/>
        <v>-104372.14736842079</v>
      </c>
      <c r="R590">
        <f t="shared" si="991"/>
        <v>-58033017.050777003</v>
      </c>
      <c r="S590">
        <f t="shared" si="992"/>
        <v>-580.33017050777005</v>
      </c>
      <c r="T590">
        <f t="shared" si="993"/>
        <v>-0.58033017050777003</v>
      </c>
    </row>
    <row r="591" spans="1:20" x14ac:dyDescent="0.25">
      <c r="A591" s="5">
        <v>44002</v>
      </c>
      <c r="B591">
        <v>5.2670000000000002E-2</v>
      </c>
      <c r="C591">
        <v>5.4710000000000002E-2</v>
      </c>
      <c r="D591">
        <v>5.2229999999999999E-2</v>
      </c>
      <c r="E591">
        <v>5.3499999999999999E-2</v>
      </c>
      <c r="F591">
        <v>1188668.6000000001</v>
      </c>
      <c r="G591">
        <v>1.58</v>
      </c>
      <c r="L591" t="s">
        <v>7</v>
      </c>
      <c r="M591" t="s">
        <v>7</v>
      </c>
      <c r="N591" t="s">
        <v>7</v>
      </c>
      <c r="P591">
        <f t="shared" si="989"/>
        <v>2.419354838709576E-2</v>
      </c>
      <c r="Q591">
        <f t="shared" si="990"/>
        <v>28758.111290321376</v>
      </c>
      <c r="R591">
        <f t="shared" si="991"/>
        <v>-57928644.90340858</v>
      </c>
      <c r="S591">
        <f t="shared" si="992"/>
        <v>-579.28644903408576</v>
      </c>
      <c r="T591">
        <f t="shared" si="993"/>
        <v>-0.57928644903408577</v>
      </c>
    </row>
    <row r="592" spans="1:20" x14ac:dyDescent="0.25">
      <c r="A592" s="5">
        <v>44001</v>
      </c>
      <c r="B592">
        <v>5.2999999999999999E-2</v>
      </c>
      <c r="C592">
        <v>5.586E-2</v>
      </c>
      <c r="D592">
        <v>5.0540000000000002E-2</v>
      </c>
      <c r="E592">
        <v>5.2769999999999997E-2</v>
      </c>
      <c r="F592">
        <v>1931652</v>
      </c>
      <c r="G592">
        <v>-0.43</v>
      </c>
      <c r="L592" t="s">
        <v>8</v>
      </c>
      <c r="M592" t="s">
        <v>7</v>
      </c>
      <c r="N592" t="s">
        <v>7</v>
      </c>
      <c r="P592">
        <f t="shared" si="989"/>
        <v>-0.16165413533834716</v>
      </c>
      <c r="Q592">
        <f t="shared" si="990"/>
        <v>-312259.53383458895</v>
      </c>
      <c r="R592">
        <f t="shared" si="991"/>
        <v>-57957403.0146989</v>
      </c>
      <c r="S592">
        <f t="shared" si="992"/>
        <v>-579.574030146989</v>
      </c>
      <c r="T592">
        <f t="shared" si="993"/>
        <v>-0.57957403014698905</v>
      </c>
    </row>
    <row r="593" spans="1:20" x14ac:dyDescent="0.25">
      <c r="A593" s="5">
        <v>44000</v>
      </c>
      <c r="B593">
        <v>5.1860000000000003E-2</v>
      </c>
      <c r="C593">
        <v>5.3679999999999999E-2</v>
      </c>
      <c r="D593">
        <v>5.1470000000000002E-2</v>
      </c>
      <c r="E593">
        <v>5.2999999999999999E-2</v>
      </c>
      <c r="F593">
        <v>1938570</v>
      </c>
      <c r="G593">
        <v>2.2000000000000002</v>
      </c>
      <c r="L593" t="s">
        <v>8</v>
      </c>
      <c r="M593" t="s">
        <v>7</v>
      </c>
      <c r="N593" t="s">
        <v>7</v>
      </c>
      <c r="P593">
        <f t="shared" si="989"/>
        <v>0.38461538461538364</v>
      </c>
      <c r="Q593">
        <f t="shared" si="990"/>
        <v>745603.84615384426</v>
      </c>
      <c r="R593">
        <f t="shared" si="991"/>
        <v>-57645143.480864309</v>
      </c>
      <c r="S593">
        <f t="shared" si="992"/>
        <v>-576.45143480864306</v>
      </c>
      <c r="T593">
        <f t="shared" si="993"/>
        <v>-0.57645143480864303</v>
      </c>
    </row>
    <row r="594" spans="1:20" x14ac:dyDescent="0.25">
      <c r="A594" s="5">
        <v>43999</v>
      </c>
      <c r="B594">
        <v>5.2519999999999997E-2</v>
      </c>
      <c r="C594">
        <v>5.262E-2</v>
      </c>
      <c r="D594">
        <v>4.9489999999999999E-2</v>
      </c>
      <c r="E594">
        <v>5.1860000000000003E-2</v>
      </c>
      <c r="F594">
        <v>1504494.7</v>
      </c>
      <c r="G594">
        <v>-1.26</v>
      </c>
      <c r="L594" t="s">
        <v>7</v>
      </c>
      <c r="M594" t="s">
        <v>7</v>
      </c>
      <c r="N594" t="s">
        <v>7</v>
      </c>
      <c r="P594">
        <f t="shared" si="989"/>
        <v>0.51437699680511395</v>
      </c>
      <c r="Q594">
        <f t="shared" si="990"/>
        <v>773877.46549521084</v>
      </c>
      <c r="R594">
        <f t="shared" si="991"/>
        <v>-58390747.327018157</v>
      </c>
      <c r="S594">
        <f t="shared" si="992"/>
        <v>-583.90747327018153</v>
      </c>
      <c r="T594">
        <f t="shared" si="993"/>
        <v>-0.58390747327018155</v>
      </c>
    </row>
    <row r="595" spans="1:20" x14ac:dyDescent="0.25">
      <c r="A595" s="5">
        <v>43998</v>
      </c>
      <c r="B595">
        <v>5.416E-2</v>
      </c>
      <c r="C595">
        <v>5.4260000000000003E-2</v>
      </c>
      <c r="D595">
        <v>5.16E-2</v>
      </c>
      <c r="E595">
        <v>5.2549999999999999E-2</v>
      </c>
      <c r="F595">
        <v>1580998.7</v>
      </c>
      <c r="G595">
        <v>-2.97</v>
      </c>
      <c r="L595" t="s">
        <v>8</v>
      </c>
      <c r="M595" t="s">
        <v>7</v>
      </c>
      <c r="N595" t="s">
        <v>7</v>
      </c>
      <c r="P595">
        <f t="shared" si="989"/>
        <v>-0.28571428571428681</v>
      </c>
      <c r="Q595">
        <f t="shared" si="990"/>
        <v>-451713.91428571602</v>
      </c>
      <c r="R595">
        <f t="shared" si="991"/>
        <v>-59164624.792513371</v>
      </c>
      <c r="S595">
        <f t="shared" si="992"/>
        <v>-591.64624792513371</v>
      </c>
      <c r="T595">
        <f t="shared" si="993"/>
        <v>-0.59164624792513376</v>
      </c>
    </row>
    <row r="596" spans="1:20" x14ac:dyDescent="0.25">
      <c r="A596" s="5">
        <v>43997</v>
      </c>
      <c r="B596">
        <v>5.2609999999999997E-2</v>
      </c>
      <c r="C596">
        <v>5.5840000000000001E-2</v>
      </c>
      <c r="D596">
        <v>4.777E-2</v>
      </c>
      <c r="E596">
        <v>5.4699999999999999E-2</v>
      </c>
      <c r="F596">
        <v>2506093</v>
      </c>
      <c r="G596">
        <v>3.97</v>
      </c>
      <c r="L596" t="s">
        <v>7</v>
      </c>
      <c r="M596" t="s">
        <v>7</v>
      </c>
      <c r="N596" t="s">
        <v>7</v>
      </c>
      <c r="P596">
        <f t="shared" si="989"/>
        <v>0.71747211895910734</v>
      </c>
      <c r="Q596">
        <f t="shared" si="990"/>
        <v>1798051.8550185862</v>
      </c>
      <c r="R596">
        <f t="shared" si="991"/>
        <v>-58712910.878227651</v>
      </c>
      <c r="S596">
        <f t="shared" si="992"/>
        <v>-587.12910878227649</v>
      </c>
      <c r="T596">
        <f t="shared" si="993"/>
        <v>-0.58712910878227653</v>
      </c>
    </row>
    <row r="597" spans="1:20" x14ac:dyDescent="0.25">
      <c r="A597" s="5">
        <v>43996</v>
      </c>
      <c r="B597">
        <v>5.5100000000000003E-2</v>
      </c>
      <c r="C597">
        <v>5.8360000000000002E-2</v>
      </c>
      <c r="D597">
        <v>5.1790000000000003E-2</v>
      </c>
      <c r="E597">
        <v>5.2330000000000002E-2</v>
      </c>
      <c r="F597">
        <v>3322915.4</v>
      </c>
      <c r="G597">
        <v>-5.03</v>
      </c>
      <c r="L597" t="s">
        <v>8</v>
      </c>
      <c r="M597" t="s">
        <v>8</v>
      </c>
      <c r="N597" t="s">
        <v>7</v>
      </c>
      <c r="P597">
        <f t="shared" si="989"/>
        <v>-0.83561643835616473</v>
      </c>
      <c r="Q597">
        <f t="shared" si="990"/>
        <v>-2776682.7315068506</v>
      </c>
      <c r="R597">
        <f t="shared" si="991"/>
        <v>-60510962.733246237</v>
      </c>
      <c r="S597">
        <f t="shared" si="992"/>
        <v>-605.10962733246242</v>
      </c>
      <c r="T597">
        <f t="shared" si="993"/>
        <v>-0.60510962733246243</v>
      </c>
    </row>
    <row r="598" spans="1:20" x14ac:dyDescent="0.25">
      <c r="A598" s="5">
        <v>43995</v>
      </c>
      <c r="B598">
        <v>5.2479999999999999E-2</v>
      </c>
      <c r="C598">
        <v>5.5359999999999999E-2</v>
      </c>
      <c r="D598">
        <v>5.1339999999999997E-2</v>
      </c>
      <c r="E598">
        <v>5.509E-2</v>
      </c>
      <c r="F598">
        <v>1862386.5</v>
      </c>
      <c r="G598">
        <v>4.97</v>
      </c>
      <c r="L598" t="s">
        <v>8</v>
      </c>
      <c r="M598" t="s">
        <v>7</v>
      </c>
      <c r="N598" t="s">
        <v>7</v>
      </c>
      <c r="P598">
        <f t="shared" si="989"/>
        <v>0.86567164179104517</v>
      </c>
      <c r="Q598">
        <f t="shared" si="990"/>
        <v>1612215.1791044783</v>
      </c>
      <c r="R598">
        <f t="shared" si="991"/>
        <v>-57734280.00173939</v>
      </c>
      <c r="S598">
        <f t="shared" si="992"/>
        <v>-577.34280001739387</v>
      </c>
      <c r="T598">
        <f t="shared" si="993"/>
        <v>-0.57734280001739391</v>
      </c>
    </row>
    <row r="599" spans="1:20" x14ac:dyDescent="0.25">
      <c r="A599" s="5">
        <v>43994</v>
      </c>
      <c r="B599">
        <v>4.8059999999999999E-2</v>
      </c>
      <c r="C599">
        <v>5.2880000000000003E-2</v>
      </c>
      <c r="D599">
        <v>4.7690000000000003E-2</v>
      </c>
      <c r="E599">
        <v>5.2479999999999999E-2</v>
      </c>
      <c r="F599">
        <v>1625621.9</v>
      </c>
      <c r="G599">
        <v>9.1999999999999993</v>
      </c>
      <c r="L599" t="s">
        <v>7</v>
      </c>
      <c r="M599" t="s">
        <v>7</v>
      </c>
      <c r="N599" t="s">
        <v>7</v>
      </c>
      <c r="P599">
        <f t="shared" si="989"/>
        <v>0.84585741811175164</v>
      </c>
      <c r="Q599">
        <f t="shared" si="990"/>
        <v>1375044.3431599201</v>
      </c>
      <c r="R599">
        <f t="shared" si="991"/>
        <v>-59346495.180843867</v>
      </c>
      <c r="S599">
        <f t="shared" si="992"/>
        <v>-593.46495180843863</v>
      </c>
      <c r="T599">
        <f t="shared" si="993"/>
        <v>-0.59346495180843861</v>
      </c>
    </row>
    <row r="600" spans="1:20" x14ac:dyDescent="0.25">
      <c r="A600" s="5">
        <v>43993</v>
      </c>
      <c r="B600">
        <v>5.3269999999999998E-2</v>
      </c>
      <c r="C600">
        <v>5.67E-2</v>
      </c>
      <c r="D600">
        <v>4.8079999999999998E-2</v>
      </c>
      <c r="E600">
        <v>4.8079999999999998E-2</v>
      </c>
      <c r="F600">
        <v>4708343.4000000004</v>
      </c>
      <c r="G600">
        <v>-9.74</v>
      </c>
      <c r="L600" t="s">
        <v>8</v>
      </c>
      <c r="M600" t="s">
        <v>8</v>
      </c>
      <c r="N600" t="s">
        <v>7</v>
      </c>
      <c r="P600">
        <f t="shared" si="989"/>
        <v>-1</v>
      </c>
      <c r="Q600">
        <f t="shared" si="990"/>
        <v>-4708343.4000000004</v>
      </c>
      <c r="R600">
        <f t="shared" si="991"/>
        <v>-60721539.524003789</v>
      </c>
      <c r="S600">
        <f t="shared" si="992"/>
        <v>-607.21539524003788</v>
      </c>
      <c r="T600">
        <f t="shared" si="993"/>
        <v>-0.60721539524003787</v>
      </c>
    </row>
    <row r="601" spans="1:20" x14ac:dyDescent="0.25">
      <c r="A601" s="5">
        <v>43992</v>
      </c>
      <c r="B601">
        <v>5.0750000000000003E-2</v>
      </c>
      <c r="C601">
        <v>5.4199999999999998E-2</v>
      </c>
      <c r="D601">
        <v>5.0750000000000003E-2</v>
      </c>
      <c r="E601">
        <v>5.3199999999999997E-2</v>
      </c>
      <c r="F601">
        <v>2300099.1</v>
      </c>
      <c r="G601">
        <v>4.83</v>
      </c>
      <c r="L601" t="s">
        <v>8</v>
      </c>
      <c r="M601" t="s">
        <v>8</v>
      </c>
      <c r="N601" t="s">
        <v>7</v>
      </c>
      <c r="P601">
        <f t="shared" si="989"/>
        <v>0.42028985507246236</v>
      </c>
      <c r="Q601">
        <f t="shared" si="990"/>
        <v>966708.31739130116</v>
      </c>
      <c r="R601">
        <f t="shared" si="991"/>
        <v>-56013196.12400379</v>
      </c>
      <c r="S601">
        <f t="shared" si="992"/>
        <v>-560.13196124003787</v>
      </c>
      <c r="T601">
        <f t="shared" si="993"/>
        <v>-0.56013196124003783</v>
      </c>
    </row>
    <row r="602" spans="1:20" x14ac:dyDescent="0.25">
      <c r="A602" s="5">
        <v>43991</v>
      </c>
      <c r="B602">
        <v>5.1240000000000001E-2</v>
      </c>
      <c r="C602">
        <v>5.1490000000000001E-2</v>
      </c>
      <c r="D602">
        <v>4.9799999999999997E-2</v>
      </c>
      <c r="E602">
        <v>5.0799999999999998E-2</v>
      </c>
      <c r="F602">
        <v>1124233.7</v>
      </c>
      <c r="G602">
        <v>-0.86</v>
      </c>
      <c r="L602" t="s">
        <v>8</v>
      </c>
      <c r="M602" t="s">
        <v>7</v>
      </c>
      <c r="N602" t="s">
        <v>7</v>
      </c>
      <c r="P602">
        <f t="shared" si="989"/>
        <v>0.18343195266272014</v>
      </c>
      <c r="Q602">
        <f t="shared" si="990"/>
        <v>206220.3828402347</v>
      </c>
      <c r="R602">
        <f t="shared" si="991"/>
        <v>-56979904.441395089</v>
      </c>
      <c r="S602">
        <f t="shared" si="992"/>
        <v>-569.79904441395092</v>
      </c>
      <c r="T602">
        <f t="shared" si="993"/>
        <v>-0.56979904441395091</v>
      </c>
    </row>
    <row r="603" spans="1:20" x14ac:dyDescent="0.25">
      <c r="A603" s="5">
        <v>43990</v>
      </c>
      <c r="B603">
        <v>4.9459999999999997E-2</v>
      </c>
      <c r="C603">
        <v>5.1700000000000003E-2</v>
      </c>
      <c r="D603">
        <v>4.8169999999999998E-2</v>
      </c>
      <c r="E603">
        <v>5.1240000000000001E-2</v>
      </c>
      <c r="F603">
        <v>1903316.5</v>
      </c>
      <c r="G603">
        <v>3.6</v>
      </c>
      <c r="L603" t="s">
        <v>8</v>
      </c>
      <c r="M603" t="s">
        <v>7</v>
      </c>
      <c r="N603" t="s">
        <v>7</v>
      </c>
      <c r="P603">
        <f t="shared" si="989"/>
        <v>0.7393767705382428</v>
      </c>
      <c r="Q603">
        <f t="shared" si="990"/>
        <v>1407268.0070821515</v>
      </c>
      <c r="R603">
        <f t="shared" si="991"/>
        <v>-57186124.82423532</v>
      </c>
      <c r="S603">
        <f t="shared" si="992"/>
        <v>-571.86124824235321</v>
      </c>
      <c r="T603">
        <f t="shared" si="993"/>
        <v>-0.57186124824235318</v>
      </c>
    </row>
    <row r="604" spans="1:20" x14ac:dyDescent="0.25">
      <c r="A604" s="5">
        <v>43989</v>
      </c>
      <c r="B604">
        <v>5.0819999999999997E-2</v>
      </c>
      <c r="C604">
        <v>5.108E-2</v>
      </c>
      <c r="D604">
        <v>4.7320000000000001E-2</v>
      </c>
      <c r="E604">
        <v>4.9390000000000003E-2</v>
      </c>
      <c r="F604">
        <v>931735.7</v>
      </c>
      <c r="G604">
        <v>-2.81</v>
      </c>
      <c r="L604" t="s">
        <v>7</v>
      </c>
      <c r="M604" t="s">
        <v>7</v>
      </c>
      <c r="N604" t="s">
        <v>7</v>
      </c>
      <c r="P604">
        <f t="shared" si="989"/>
        <v>0.10106382978723548</v>
      </c>
      <c r="Q604">
        <f t="shared" si="990"/>
        <v>94164.778191490695</v>
      </c>
      <c r="R604">
        <f t="shared" si="991"/>
        <v>-58593392.831317469</v>
      </c>
      <c r="S604">
        <f t="shared" si="992"/>
        <v>-585.93392831317465</v>
      </c>
      <c r="T604">
        <f t="shared" si="993"/>
        <v>-0.5859339283131747</v>
      </c>
    </row>
    <row r="605" spans="1:20" x14ac:dyDescent="0.25">
      <c r="A605" s="5">
        <v>43988</v>
      </c>
      <c r="B605">
        <v>4.9630000000000001E-2</v>
      </c>
      <c r="C605">
        <v>5.1679999999999997E-2</v>
      </c>
      <c r="D605">
        <v>4.938E-2</v>
      </c>
      <c r="E605">
        <v>5.0950000000000002E-2</v>
      </c>
      <c r="F605">
        <v>1086865.5</v>
      </c>
      <c r="G605">
        <v>2.66</v>
      </c>
      <c r="L605" t="s">
        <v>8</v>
      </c>
      <c r="M605" t="s">
        <v>7</v>
      </c>
      <c r="N605" t="s">
        <v>7</v>
      </c>
      <c r="P605">
        <f t="shared" si="989"/>
        <v>0.3652173913043516</v>
      </c>
      <c r="Q605">
        <f t="shared" si="990"/>
        <v>396942.18260869978</v>
      </c>
      <c r="R605">
        <f t="shared" si="991"/>
        <v>-58687557.609508961</v>
      </c>
      <c r="S605">
        <f t="shared" si="992"/>
        <v>-586.87557609508963</v>
      </c>
      <c r="T605">
        <f t="shared" si="993"/>
        <v>-0.58687557609508967</v>
      </c>
    </row>
    <row r="606" spans="1:20" x14ac:dyDescent="0.25">
      <c r="A606" s="5">
        <v>43987</v>
      </c>
      <c r="B606">
        <v>5.1029999999999999E-2</v>
      </c>
      <c r="C606">
        <v>5.2970000000000003E-2</v>
      </c>
      <c r="D606">
        <v>4.9639999999999997E-2</v>
      </c>
      <c r="E606">
        <v>4.9880000000000001E-2</v>
      </c>
      <c r="F606">
        <v>1453981.5</v>
      </c>
      <c r="G606">
        <v>-2.25</v>
      </c>
      <c r="L606" t="s">
        <v>8</v>
      </c>
      <c r="M606" t="s">
        <v>7</v>
      </c>
      <c r="N606" t="s">
        <v>7</v>
      </c>
      <c r="P606">
        <f t="shared" si="989"/>
        <v>-0.85585585585585366</v>
      </c>
      <c r="Q606">
        <f t="shared" si="990"/>
        <v>-1244398.5810810779</v>
      </c>
      <c r="R606">
        <f t="shared" si="991"/>
        <v>-59084499.792117663</v>
      </c>
      <c r="S606">
        <f t="shared" si="992"/>
        <v>-590.84499792117663</v>
      </c>
      <c r="T606">
        <f t="shared" si="993"/>
        <v>-0.59084499792117662</v>
      </c>
    </row>
    <row r="607" spans="1:20" x14ac:dyDescent="0.25">
      <c r="A607" s="5">
        <v>43986</v>
      </c>
      <c r="B607">
        <v>4.9439999999999998E-2</v>
      </c>
      <c r="C607">
        <v>5.1400000000000001E-2</v>
      </c>
      <c r="D607">
        <v>4.8000000000000001E-2</v>
      </c>
      <c r="E607">
        <v>5.1029999999999999E-2</v>
      </c>
      <c r="F607">
        <v>2590180.9</v>
      </c>
      <c r="G607">
        <v>3.22</v>
      </c>
      <c r="L607" t="s">
        <v>7</v>
      </c>
      <c r="M607" t="s">
        <v>7</v>
      </c>
      <c r="N607" t="s">
        <v>7</v>
      </c>
      <c r="P607">
        <f t="shared" si="989"/>
        <v>0.78235294117646925</v>
      </c>
      <c r="Q607">
        <f t="shared" si="990"/>
        <v>2026435.645294114</v>
      </c>
      <c r="R607">
        <f t="shared" si="991"/>
        <v>-57840101.211036585</v>
      </c>
      <c r="S607">
        <f t="shared" si="992"/>
        <v>-578.40101211036585</v>
      </c>
      <c r="T607">
        <f t="shared" si="993"/>
        <v>-0.57840101211036588</v>
      </c>
    </row>
    <row r="608" spans="1:20" x14ac:dyDescent="0.25">
      <c r="A608" s="5">
        <v>43985</v>
      </c>
      <c r="B608">
        <v>4.6300000000000001E-2</v>
      </c>
      <c r="C608">
        <v>5.2990000000000002E-2</v>
      </c>
      <c r="D608">
        <v>4.5760000000000002E-2</v>
      </c>
      <c r="E608">
        <v>4.9320000000000003E-2</v>
      </c>
      <c r="F608">
        <v>6223267.7000000002</v>
      </c>
      <c r="G608">
        <v>6.52</v>
      </c>
      <c r="L608" t="s">
        <v>8</v>
      </c>
      <c r="M608" t="s">
        <v>7</v>
      </c>
      <c r="N608" t="s">
        <v>7</v>
      </c>
      <c r="P608">
        <f t="shared" si="989"/>
        <v>-1.5214384508990177E-2</v>
      </c>
      <c r="Q608">
        <f t="shared" si="990"/>
        <v>-94683.187690178936</v>
      </c>
      <c r="R608">
        <f t="shared" si="991"/>
        <v>-59866536.8563307</v>
      </c>
      <c r="S608">
        <f t="shared" si="992"/>
        <v>-598.66536856330697</v>
      </c>
      <c r="T608">
        <f t="shared" si="993"/>
        <v>-0.59866536856330699</v>
      </c>
    </row>
    <row r="609" spans="1:20" x14ac:dyDescent="0.25">
      <c r="A609" s="5">
        <v>43984</v>
      </c>
      <c r="B609">
        <v>4.8000000000000001E-2</v>
      </c>
      <c r="C609">
        <v>4.8820000000000002E-2</v>
      </c>
      <c r="D609">
        <v>4.4569999999999999E-2</v>
      </c>
      <c r="E609">
        <v>4.6080000000000003E-2</v>
      </c>
      <c r="F609">
        <v>1747944</v>
      </c>
      <c r="G609">
        <v>-4</v>
      </c>
      <c r="L609" t="s">
        <v>7</v>
      </c>
      <c r="M609" t="s">
        <v>7</v>
      </c>
      <c r="N609" t="s">
        <v>7</v>
      </c>
      <c r="P609">
        <f t="shared" si="989"/>
        <v>-0.28941176470588093</v>
      </c>
      <c r="Q609">
        <f t="shared" si="990"/>
        <v>-505875.55764705635</v>
      </c>
      <c r="R609">
        <f t="shared" si="991"/>
        <v>-59771853.668640524</v>
      </c>
      <c r="S609">
        <f t="shared" si="992"/>
        <v>-597.71853668640529</v>
      </c>
      <c r="T609">
        <f t="shared" si="993"/>
        <v>-0.59771853668640529</v>
      </c>
    </row>
    <row r="610" spans="1:20" x14ac:dyDescent="0.25">
      <c r="A610" s="5">
        <v>43983</v>
      </c>
      <c r="B610">
        <v>4.6460000000000001E-2</v>
      </c>
      <c r="C610">
        <v>4.9050000000000003E-2</v>
      </c>
      <c r="D610">
        <v>4.6399999999999997E-2</v>
      </c>
      <c r="E610">
        <v>4.836E-2</v>
      </c>
      <c r="F610">
        <v>2561131.1</v>
      </c>
      <c r="G610">
        <v>4.09</v>
      </c>
      <c r="L610" t="s">
        <v>7</v>
      </c>
      <c r="M610" t="s">
        <v>8</v>
      </c>
      <c r="N610" t="s">
        <v>7</v>
      </c>
      <c r="P610">
        <f t="shared" si="989"/>
        <v>0.47924528301886687</v>
      </c>
      <c r="Q610">
        <f t="shared" si="990"/>
        <v>1227409.998867922</v>
      </c>
      <c r="R610">
        <f t="shared" si="991"/>
        <v>-59265978.110993467</v>
      </c>
      <c r="S610">
        <f t="shared" si="992"/>
        <v>-592.65978110993467</v>
      </c>
      <c r="T610">
        <f t="shared" si="993"/>
        <v>-0.59265978110993467</v>
      </c>
    </row>
    <row r="611" spans="1:20" x14ac:dyDescent="0.25">
      <c r="A611" s="5">
        <v>43982</v>
      </c>
      <c r="B611">
        <v>4.7530000000000003E-2</v>
      </c>
      <c r="C611">
        <v>5.3879999999999997E-2</v>
      </c>
      <c r="D611">
        <v>4.5659999999999999E-2</v>
      </c>
      <c r="E611">
        <v>4.648E-2</v>
      </c>
      <c r="F611">
        <v>8518975.5</v>
      </c>
      <c r="G611">
        <v>-2.21</v>
      </c>
      <c r="L611" t="s">
        <v>8</v>
      </c>
      <c r="M611" t="s">
        <v>8</v>
      </c>
      <c r="N611" t="s">
        <v>7</v>
      </c>
      <c r="P611">
        <f t="shared" si="989"/>
        <v>-0.80048661800486587</v>
      </c>
      <c r="Q611">
        <f t="shared" si="990"/>
        <v>-6819325.8868613113</v>
      </c>
      <c r="R611">
        <f t="shared" si="991"/>
        <v>-60493388.109861389</v>
      </c>
      <c r="S611">
        <f t="shared" si="992"/>
        <v>-604.93388109861394</v>
      </c>
      <c r="T611">
        <f t="shared" si="993"/>
        <v>-0.6049338810986139</v>
      </c>
    </row>
    <row r="612" spans="1:20" x14ac:dyDescent="0.25">
      <c r="A612" s="5">
        <v>43981</v>
      </c>
      <c r="B612">
        <v>4.7350000000000003E-2</v>
      </c>
      <c r="C612">
        <v>4.777E-2</v>
      </c>
      <c r="D612">
        <v>4.6120000000000001E-2</v>
      </c>
      <c r="E612">
        <v>4.7190000000000003E-2</v>
      </c>
      <c r="F612">
        <v>1167743.5</v>
      </c>
      <c r="G612">
        <v>-0.34</v>
      </c>
      <c r="L612" t="s">
        <v>7</v>
      </c>
      <c r="M612" t="s">
        <v>7</v>
      </c>
      <c r="N612" t="s">
        <v>7</v>
      </c>
      <c r="P612">
        <f t="shared" si="989"/>
        <v>0.29696969696969983</v>
      </c>
      <c r="Q612">
        <f t="shared" si="990"/>
        <v>346784.43333333667</v>
      </c>
      <c r="R612">
        <f t="shared" si="991"/>
        <v>-53674062.223000079</v>
      </c>
      <c r="S612">
        <f t="shared" si="992"/>
        <v>-536.74062223000078</v>
      </c>
      <c r="T612">
        <f t="shared" si="993"/>
        <v>-0.53674062223000074</v>
      </c>
    </row>
    <row r="613" spans="1:20" x14ac:dyDescent="0.25">
      <c r="A613" s="5">
        <v>43980</v>
      </c>
      <c r="B613">
        <v>4.5780000000000001E-2</v>
      </c>
      <c r="C613">
        <v>4.793E-2</v>
      </c>
      <c r="D613">
        <v>4.573E-2</v>
      </c>
      <c r="E613">
        <v>4.7350000000000003E-2</v>
      </c>
      <c r="F613">
        <v>2087266</v>
      </c>
      <c r="G613">
        <v>3.43</v>
      </c>
      <c r="L613" t="s">
        <v>7</v>
      </c>
      <c r="M613" t="s">
        <v>7</v>
      </c>
      <c r="N613" t="s">
        <v>7</v>
      </c>
      <c r="P613">
        <f t="shared" si="989"/>
        <v>0.47272727272727544</v>
      </c>
      <c r="Q613">
        <f t="shared" si="990"/>
        <v>986707.5636363693</v>
      </c>
      <c r="R613">
        <f t="shared" si="991"/>
        <v>-54020846.656333417</v>
      </c>
      <c r="S613">
        <f t="shared" si="992"/>
        <v>-540.20846656333413</v>
      </c>
      <c r="T613">
        <f t="shared" si="993"/>
        <v>-0.5402084665633341</v>
      </c>
    </row>
    <row r="614" spans="1:20" x14ac:dyDescent="0.25">
      <c r="A614" s="5">
        <v>43979</v>
      </c>
      <c r="B614">
        <v>4.5870000000000001E-2</v>
      </c>
      <c r="C614">
        <v>4.7010000000000003E-2</v>
      </c>
      <c r="D614">
        <v>4.505E-2</v>
      </c>
      <c r="E614">
        <v>4.5789999999999997E-2</v>
      </c>
      <c r="F614">
        <v>1580132.9</v>
      </c>
      <c r="G614">
        <v>-0.17</v>
      </c>
      <c r="L614" t="s">
        <v>7</v>
      </c>
      <c r="M614" t="s">
        <v>7</v>
      </c>
      <c r="N614" t="s">
        <v>7</v>
      </c>
      <c r="P614">
        <f t="shared" si="989"/>
        <v>-0.24489795918367724</v>
      </c>
      <c r="Q614">
        <f t="shared" si="990"/>
        <v>-386971.32244898553</v>
      </c>
      <c r="R614">
        <f t="shared" si="991"/>
        <v>-55007554.219969787</v>
      </c>
      <c r="S614">
        <f t="shared" si="992"/>
        <v>-550.07554219969791</v>
      </c>
      <c r="T614">
        <f t="shared" si="993"/>
        <v>-0.5500755421996979</v>
      </c>
    </row>
    <row r="615" spans="1:20" x14ac:dyDescent="0.25">
      <c r="A615" s="5">
        <v>43978</v>
      </c>
      <c r="B615">
        <v>4.8050000000000002E-2</v>
      </c>
      <c r="C615">
        <v>4.8149999999999998E-2</v>
      </c>
      <c r="D615">
        <v>4.521E-2</v>
      </c>
      <c r="E615">
        <v>4.5710000000000001E-2</v>
      </c>
      <c r="F615">
        <v>2972403.4</v>
      </c>
      <c r="G615">
        <v>-4.87</v>
      </c>
      <c r="L615" t="s">
        <v>7</v>
      </c>
      <c r="M615" t="s">
        <v>7</v>
      </c>
      <c r="N615" t="s">
        <v>7</v>
      </c>
      <c r="P615">
        <f t="shared" si="989"/>
        <v>-0.6598639455782308</v>
      </c>
      <c r="Q615">
        <f t="shared" si="990"/>
        <v>-1961381.8353741481</v>
      </c>
      <c r="R615">
        <f t="shared" si="991"/>
        <v>-54620582.897520803</v>
      </c>
      <c r="S615">
        <f t="shared" si="992"/>
        <v>-546.20582897520808</v>
      </c>
      <c r="T615">
        <f t="shared" si="993"/>
        <v>-0.54620582897520809</v>
      </c>
    </row>
    <row r="616" spans="1:20" x14ac:dyDescent="0.25">
      <c r="A616" s="5">
        <v>43977</v>
      </c>
      <c r="B616">
        <v>4.9739999999999999E-2</v>
      </c>
      <c r="C616">
        <v>5.1889999999999999E-2</v>
      </c>
      <c r="D616">
        <v>4.6080000000000003E-2</v>
      </c>
      <c r="E616">
        <v>4.7579999999999997E-2</v>
      </c>
      <c r="F616">
        <v>3338237.6</v>
      </c>
      <c r="G616">
        <v>-4.34</v>
      </c>
      <c r="L616" t="s">
        <v>8</v>
      </c>
      <c r="M616" t="s">
        <v>7</v>
      </c>
      <c r="N616" t="s">
        <v>7</v>
      </c>
      <c r="P616">
        <f t="shared" si="989"/>
        <v>-0.48364888123924421</v>
      </c>
      <c r="Q616">
        <f t="shared" si="990"/>
        <v>-1614534.8805507796</v>
      </c>
      <c r="R616">
        <f t="shared" si="991"/>
        <v>-52659201.062146656</v>
      </c>
      <c r="S616">
        <f t="shared" si="992"/>
        <v>-526.59201062146656</v>
      </c>
      <c r="T616">
        <f t="shared" si="993"/>
        <v>-0.52659201062146654</v>
      </c>
    </row>
    <row r="617" spans="1:20" x14ac:dyDescent="0.25">
      <c r="A617" s="5">
        <v>43976</v>
      </c>
      <c r="B617">
        <v>4.5859999999999998E-2</v>
      </c>
      <c r="C617">
        <v>5.049E-2</v>
      </c>
      <c r="D617">
        <v>4.5499999999999999E-2</v>
      </c>
      <c r="E617">
        <v>4.9739999999999999E-2</v>
      </c>
      <c r="F617">
        <v>6805805.5999999996</v>
      </c>
      <c r="G617">
        <v>8.4600000000000009</v>
      </c>
      <c r="L617" t="s">
        <v>7</v>
      </c>
      <c r="M617" t="s">
        <v>7</v>
      </c>
      <c r="N617" t="s">
        <v>7</v>
      </c>
      <c r="P617">
        <f t="shared" si="989"/>
        <v>0.69939879759519019</v>
      </c>
      <c r="Q617">
        <f t="shared" si="990"/>
        <v>4759972.2533066114</v>
      </c>
      <c r="R617">
        <f t="shared" si="991"/>
        <v>-51044666.181595877</v>
      </c>
      <c r="S617">
        <f t="shared" si="992"/>
        <v>-510.44666181595875</v>
      </c>
      <c r="T617">
        <f t="shared" si="993"/>
        <v>-0.51044666181595877</v>
      </c>
    </row>
    <row r="618" spans="1:20" x14ac:dyDescent="0.25">
      <c r="A618" s="5">
        <v>43975</v>
      </c>
      <c r="B618">
        <v>5.0810000000000001E-2</v>
      </c>
      <c r="C618">
        <v>5.45E-2</v>
      </c>
      <c r="D618">
        <v>4.5850000000000002E-2</v>
      </c>
      <c r="E618">
        <v>4.5999999999999999E-2</v>
      </c>
      <c r="F618">
        <v>13169519.199999999</v>
      </c>
      <c r="G618">
        <v>-9.4700000000000006</v>
      </c>
      <c r="L618" t="s">
        <v>7</v>
      </c>
      <c r="M618" t="s">
        <v>7</v>
      </c>
      <c r="N618" t="s">
        <v>7</v>
      </c>
      <c r="P618">
        <f t="shared" si="989"/>
        <v>-0.96531791907514508</v>
      </c>
      <c r="Q618">
        <f t="shared" si="990"/>
        <v>-12712772.869364168</v>
      </c>
      <c r="R618">
        <f t="shared" si="991"/>
        <v>-55804638.434902489</v>
      </c>
      <c r="S618">
        <f t="shared" si="992"/>
        <v>-558.04638434902495</v>
      </c>
      <c r="T618">
        <f t="shared" si="993"/>
        <v>-0.55804638434902498</v>
      </c>
    </row>
    <row r="619" spans="1:20" x14ac:dyDescent="0.25">
      <c r="A619" s="5">
        <v>43974</v>
      </c>
      <c r="B619">
        <v>5.645E-2</v>
      </c>
      <c r="C619">
        <v>5.8680000000000003E-2</v>
      </c>
      <c r="D619">
        <v>4.9639999999999997E-2</v>
      </c>
      <c r="E619">
        <v>5.0840000000000003E-2</v>
      </c>
      <c r="F619">
        <v>28749484.399999999</v>
      </c>
      <c r="G619">
        <v>-9.94</v>
      </c>
      <c r="L619" t="s">
        <v>7</v>
      </c>
      <c r="M619" t="s">
        <v>7</v>
      </c>
      <c r="N619" t="s">
        <v>7</v>
      </c>
      <c r="P619">
        <f t="shared" si="989"/>
        <v>-0.73451327433628189</v>
      </c>
      <c r="Q619">
        <f t="shared" si="990"/>
        <v>-21116877.922123857</v>
      </c>
      <c r="R619">
        <f t="shared" si="991"/>
        <v>-43091865.565538317</v>
      </c>
      <c r="S619">
        <f t="shared" si="992"/>
        <v>-430.91865565538319</v>
      </c>
      <c r="T619">
        <f t="shared" si="993"/>
        <v>-0.43091865565538318</v>
      </c>
    </row>
    <row r="620" spans="1:20" x14ac:dyDescent="0.25">
      <c r="A620" s="5">
        <v>43973</v>
      </c>
      <c r="B620">
        <v>3.9050000000000001E-2</v>
      </c>
      <c r="C620">
        <v>8.8639999999999997E-2</v>
      </c>
      <c r="D620">
        <v>3.8760000000000003E-2</v>
      </c>
      <c r="E620">
        <v>5.6710000000000003E-2</v>
      </c>
      <c r="F620">
        <v>77971250.299999997</v>
      </c>
      <c r="G620">
        <v>45.22</v>
      </c>
      <c r="L620" t="s">
        <v>8</v>
      </c>
      <c r="M620" t="s">
        <v>8</v>
      </c>
      <c r="N620" t="s">
        <v>8</v>
      </c>
      <c r="P620">
        <f t="shared" si="989"/>
        <v>-0.28027265437048904</v>
      </c>
      <c r="Q620">
        <f t="shared" si="990"/>
        <v>-21853209.286166787</v>
      </c>
      <c r="R620">
        <f t="shared" si="991"/>
        <v>-21974987.643414464</v>
      </c>
      <c r="S620">
        <f t="shared" si="992"/>
        <v>-219.74987643414462</v>
      </c>
      <c r="T620">
        <f t="shared" si="993"/>
        <v>-0.21974987643414462</v>
      </c>
    </row>
    <row r="621" spans="1:20" x14ac:dyDescent="0.25">
      <c r="A621" s="5">
        <v>43972</v>
      </c>
      <c r="B621">
        <v>3.9469999999999998E-2</v>
      </c>
      <c r="C621">
        <v>4.0320000000000002E-2</v>
      </c>
      <c r="D621">
        <v>3.7130000000000003E-2</v>
      </c>
      <c r="E621">
        <v>3.8640000000000001E-2</v>
      </c>
      <c r="F621">
        <v>796768.9</v>
      </c>
      <c r="G621">
        <v>-2.1</v>
      </c>
      <c r="L621" t="s">
        <v>7</v>
      </c>
      <c r="M621" t="s">
        <v>7</v>
      </c>
      <c r="N621" t="s">
        <v>7</v>
      </c>
      <c r="P621">
        <f t="shared" si="989"/>
        <v>-5.3291536050157857E-2</v>
      </c>
      <c r="Q621">
        <f t="shared" si="990"/>
        <v>-42461.038557994623</v>
      </c>
      <c r="R621">
        <f t="shared" si="991"/>
        <v>-121778.35724767609</v>
      </c>
      <c r="S621">
        <f t="shared" si="992"/>
        <v>-1.2177835724767609</v>
      </c>
      <c r="T621">
        <f t="shared" si="993"/>
        <v>-1.2177835724767609E-3</v>
      </c>
    </row>
    <row r="622" spans="1:20" x14ac:dyDescent="0.25">
      <c r="A622" s="5">
        <v>43971</v>
      </c>
      <c r="B622">
        <v>4.0579999999999998E-2</v>
      </c>
      <c r="C622">
        <v>4.0820000000000002E-2</v>
      </c>
      <c r="D622">
        <v>3.8359999999999998E-2</v>
      </c>
      <c r="E622">
        <v>3.9730000000000001E-2</v>
      </c>
      <c r="F622">
        <v>917099.3</v>
      </c>
      <c r="G622">
        <v>-2.09</v>
      </c>
      <c r="L622" t="s">
        <v>7</v>
      </c>
      <c r="M622" t="s">
        <v>7</v>
      </c>
      <c r="N622" t="s">
        <v>7</v>
      </c>
      <c r="P622">
        <f t="shared" si="989"/>
        <v>0.11382113821138294</v>
      </c>
      <c r="Q622">
        <f t="shared" si="990"/>
        <v>104385.28617886256</v>
      </c>
      <c r="R622">
        <f t="shared" si="991"/>
        <v>-79317.318689681473</v>
      </c>
      <c r="S622">
        <f t="shared" si="992"/>
        <v>-0.79317318689681471</v>
      </c>
      <c r="T622">
        <f t="shared" si="993"/>
        <v>-7.9317318689681475E-4</v>
      </c>
    </row>
    <row r="623" spans="1:20" x14ac:dyDescent="0.25">
      <c r="A623" s="5">
        <v>43970</v>
      </c>
      <c r="B623">
        <v>4.036E-2</v>
      </c>
      <c r="C623">
        <v>4.0579999999999998E-2</v>
      </c>
      <c r="D623">
        <v>3.8890000000000001E-2</v>
      </c>
      <c r="E623">
        <v>4.0579999999999998E-2</v>
      </c>
      <c r="F623">
        <v>1200662.2</v>
      </c>
      <c r="G623">
        <v>0.55000000000000004</v>
      </c>
      <c r="L623" t="s">
        <v>7</v>
      </c>
      <c r="M623" t="s">
        <v>7</v>
      </c>
      <c r="N623" t="s">
        <v>7</v>
      </c>
      <c r="P623">
        <f t="shared" si="989"/>
        <v>1</v>
      </c>
      <c r="Q623">
        <f t="shared" si="990"/>
        <v>1200662.2</v>
      </c>
      <c r="R623">
        <f t="shared" si="991"/>
        <v>-183702.60486854403</v>
      </c>
      <c r="S623">
        <f t="shared" si="992"/>
        <v>-1.8370260486854404</v>
      </c>
      <c r="T623">
        <f t="shared" si="993"/>
        <v>-1.8370260486854403E-3</v>
      </c>
    </row>
    <row r="624" spans="1:20" x14ac:dyDescent="0.25">
      <c r="A624" s="5">
        <v>43969</v>
      </c>
      <c r="B624">
        <v>4.0309999999999999E-2</v>
      </c>
      <c r="C624">
        <v>4.0989999999999999E-2</v>
      </c>
      <c r="D624">
        <v>3.9710000000000002E-2</v>
      </c>
      <c r="E624">
        <v>4.0259999999999997E-2</v>
      </c>
      <c r="F624">
        <v>547431.80000000005</v>
      </c>
      <c r="G624">
        <v>-0.12</v>
      </c>
      <c r="L624" t="s">
        <v>7</v>
      </c>
      <c r="M624" t="s">
        <v>7</v>
      </c>
      <c r="N624" t="s">
        <v>7</v>
      </c>
      <c r="P624">
        <f t="shared" si="989"/>
        <v>-0.1406250000000055</v>
      </c>
      <c r="Q624">
        <f t="shared" si="990"/>
        <v>-76982.596875003015</v>
      </c>
      <c r="R624">
        <f t="shared" si="991"/>
        <v>-1384364.804868544</v>
      </c>
      <c r="S624">
        <f t="shared" si="992"/>
        <v>-13.84364804868544</v>
      </c>
      <c r="T624">
        <f t="shared" si="993"/>
        <v>-1.3843648048685439E-2</v>
      </c>
    </row>
    <row r="625" spans="1:20" x14ac:dyDescent="0.25">
      <c r="A625" s="5">
        <v>43968</v>
      </c>
      <c r="B625">
        <v>3.9669999999999997E-2</v>
      </c>
      <c r="C625">
        <v>4.0989999999999999E-2</v>
      </c>
      <c r="D625">
        <v>3.95E-2</v>
      </c>
      <c r="E625">
        <v>4.0189999999999997E-2</v>
      </c>
      <c r="F625">
        <v>855910.5</v>
      </c>
      <c r="G625">
        <v>1.31</v>
      </c>
      <c r="L625" t="s">
        <v>7</v>
      </c>
      <c r="M625" t="s">
        <v>7</v>
      </c>
      <c r="N625" t="s">
        <v>7</v>
      </c>
      <c r="P625">
        <f t="shared" si="989"/>
        <v>-7.3825503355708755E-2</v>
      </c>
      <c r="Q625">
        <f t="shared" si="990"/>
        <v>-63188.023489936357</v>
      </c>
      <c r="R625">
        <f t="shared" si="991"/>
        <v>-1307382.2079935409</v>
      </c>
      <c r="S625">
        <f t="shared" si="992"/>
        <v>-13.073822079935409</v>
      </c>
      <c r="T625">
        <f t="shared" si="993"/>
        <v>-1.307382207993541E-2</v>
      </c>
    </row>
    <row r="626" spans="1:20" x14ac:dyDescent="0.25">
      <c r="A626" s="5">
        <v>43967</v>
      </c>
      <c r="B626">
        <v>3.9109999999999999E-2</v>
      </c>
      <c r="C626">
        <v>3.9910000000000001E-2</v>
      </c>
      <c r="D626">
        <v>3.841E-2</v>
      </c>
      <c r="E626">
        <v>3.9210000000000002E-2</v>
      </c>
      <c r="F626">
        <v>382419.20000000001</v>
      </c>
      <c r="G626">
        <v>0.26</v>
      </c>
      <c r="L626" t="s">
        <v>7</v>
      </c>
      <c r="M626" t="s">
        <v>7</v>
      </c>
      <c r="N626" t="s">
        <v>7</v>
      </c>
      <c r="P626">
        <f t="shared" si="989"/>
        <v>6.6666666666668511E-2</v>
      </c>
      <c r="Q626">
        <f t="shared" si="990"/>
        <v>25494.61333333404</v>
      </c>
      <c r="R626">
        <f t="shared" si="991"/>
        <v>-1244194.1845036047</v>
      </c>
      <c r="S626">
        <f t="shared" si="992"/>
        <v>-12.441941845036046</v>
      </c>
      <c r="T626">
        <f t="shared" si="993"/>
        <v>-1.2441941845036046E-2</v>
      </c>
    </row>
    <row r="627" spans="1:20" x14ac:dyDescent="0.25">
      <c r="A627" s="5">
        <v>43966</v>
      </c>
      <c r="B627">
        <v>3.8879999999999998E-2</v>
      </c>
      <c r="C627">
        <v>4.3990000000000001E-2</v>
      </c>
      <c r="D627">
        <v>3.798E-2</v>
      </c>
      <c r="E627">
        <v>3.841E-2</v>
      </c>
      <c r="F627">
        <v>1481714.5</v>
      </c>
      <c r="G627">
        <v>-1.21</v>
      </c>
      <c r="P627">
        <f t="shared" si="989"/>
        <v>-0.85690515806988365</v>
      </c>
      <c r="Q627">
        <f t="shared" si="990"/>
        <v>-1269688.7978369386</v>
      </c>
      <c r="R627">
        <f t="shared" si="991"/>
        <v>-1269688.7978369386</v>
      </c>
      <c r="S627">
        <f t="shared" si="992"/>
        <v>-12.696887978369386</v>
      </c>
      <c r="T627">
        <f t="shared" si="993"/>
        <v>-1.2696887978369386E-2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202:D1048576 C200:D201 D1:D4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LD679" sqref="LD67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$A$678</v>
      </c>
      <c r="D111" s="1" t="str">
        <f>ADDRESS(C121-1,D121,1,1)</f>
        <v>$LD$678</v>
      </c>
      <c r="E111"/>
    </row>
    <row r="112" spans="1:5" x14ac:dyDescent="0.25">
      <c r="A112" s="7">
        <v>12164.144957890772</v>
      </c>
      <c r="C112" s="1" t="str">
        <f>ADDRESS(C121,1,1,1)</f>
        <v>$A$679</v>
      </c>
      <c r="D112" s="1" t="str">
        <f>ADDRESS(C121,D121-1,1,1)</f>
        <v>$LC$679</v>
      </c>
      <c r="E112"/>
    </row>
    <row r="113" spans="1:5" x14ac:dyDescent="0.25">
      <c r="A113" s="7">
        <v>11925.63231165762</v>
      </c>
      <c r="C113" s="1" t="str">
        <f>ADDRESS(C121+1,1,1,1)</f>
        <v>$A$680</v>
      </c>
      <c r="D113" s="1" t="str">
        <f>ADDRESS(C121-1,D121+1,1,1)</f>
        <v>$LE$678</v>
      </c>
    </row>
    <row r="114" spans="1:5" x14ac:dyDescent="0.25">
      <c r="A114" s="7">
        <v>11691.796383978059</v>
      </c>
      <c r="C114" s="1" t="str">
        <f>ADDRESS(C121,D121,1,1)</f>
        <v>$LD$679</v>
      </c>
      <c r="D114" s="1" t="str">
        <f>ADDRESS(C121+1,D121+1,1,1)</f>
        <v>$LE$680</v>
      </c>
    </row>
    <row r="115" spans="1:5" x14ac:dyDescent="0.25">
      <c r="A115" s="7">
        <v>11462.545474488292</v>
      </c>
      <c r="C115" s="1" t="str">
        <f>ADDRESS(C121+1,D121,1,1)</f>
        <v>$LD$680</v>
      </c>
    </row>
    <row r="116" spans="1:5" x14ac:dyDescent="0.25">
      <c r="A116" s="7">
        <v>11237.789680870874</v>
      </c>
      <c r="C116" s="1">
        <f>C117-1</f>
        <v>678</v>
      </c>
    </row>
    <row r="117" spans="1:5" x14ac:dyDescent="0.25">
      <c r="A117" s="7">
        <v>11017.440863598895</v>
      </c>
      <c r="C117" s="1">
        <f>C121</f>
        <v>679</v>
      </c>
      <c r="D117" s="1">
        <f>D121</f>
        <v>316</v>
      </c>
    </row>
    <row r="118" spans="1:5" x14ac:dyDescent="0.25">
      <c r="A118" s="7">
        <v>10801.412611371465</v>
      </c>
      <c r="C118" s="1">
        <f>C117+1</f>
        <v>680</v>
      </c>
      <c r="D118" s="1">
        <f>D117+1</f>
        <v>317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679</v>
      </c>
      <c r="D121" s="19">
        <v>316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R679</v>
      </c>
      <c r="D123" s="1" t="str">
        <f>"C"&amp;D121</f>
        <v>C316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0.16172762090481685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254" x14ac:dyDescent="0.25">
      <c r="A593" s="7">
        <v>0.8879713821861922</v>
      </c>
      <c r="B593"/>
      <c r="C593"/>
      <c r="D593"/>
      <c r="E593"/>
      <c r="F593" s="27" t="s">
        <v>7</v>
      </c>
    </row>
    <row r="594" spans="1:254" x14ac:dyDescent="0.25">
      <c r="A594" s="7">
        <v>0.87056017861391399</v>
      </c>
      <c r="B594"/>
      <c r="C594"/>
      <c r="D594"/>
      <c r="E594"/>
      <c r="F594" s="27" t="s">
        <v>7</v>
      </c>
    </row>
    <row r="595" spans="1:254" x14ac:dyDescent="0.25">
      <c r="A595" s="7">
        <v>0.85349037119011173</v>
      </c>
      <c r="B595"/>
      <c r="C595"/>
      <c r="D595"/>
      <c r="E595"/>
      <c r="F595" s="27" t="s">
        <v>7</v>
      </c>
    </row>
    <row r="596" spans="1:254" x14ac:dyDescent="0.25">
      <c r="A596" s="7">
        <v>0.83675526587265858</v>
      </c>
      <c r="B596"/>
      <c r="C596"/>
      <c r="D596"/>
      <c r="E596"/>
      <c r="F596" s="27" t="s">
        <v>7</v>
      </c>
    </row>
    <row r="597" spans="1:254" x14ac:dyDescent="0.25">
      <c r="A597" s="7">
        <v>0.82034829987515545</v>
      </c>
      <c r="B597"/>
      <c r="C597"/>
      <c r="D597"/>
      <c r="E597"/>
      <c r="F597" s="27" t="s">
        <v>7</v>
      </c>
    </row>
    <row r="598" spans="1:254" x14ac:dyDescent="0.25">
      <c r="A598" s="7">
        <v>0.80426303909328967</v>
      </c>
      <c r="B598"/>
      <c r="C598"/>
      <c r="D598"/>
      <c r="E598"/>
      <c r="F598" s="27" t="s">
        <v>7</v>
      </c>
    </row>
    <row r="599" spans="1:254" x14ac:dyDescent="0.25">
      <c r="A599" s="7">
        <v>0.78849317558165644</v>
      </c>
      <c r="B599"/>
      <c r="C599"/>
      <c r="D599"/>
      <c r="E599"/>
      <c r="F599" s="27" t="s">
        <v>7</v>
      </c>
      <c r="FS599" s="27" t="s">
        <v>8</v>
      </c>
    </row>
    <row r="600" spans="1:254" x14ac:dyDescent="0.25">
      <c r="A600" s="7">
        <v>0.77303252508005538</v>
      </c>
      <c r="B600"/>
      <c r="C600"/>
      <c r="D600"/>
      <c r="E600"/>
      <c r="F600" s="27" t="s">
        <v>7</v>
      </c>
      <c r="FS600" s="27" t="s">
        <v>8</v>
      </c>
      <c r="FT600" s="27" t="s">
        <v>7</v>
      </c>
    </row>
    <row r="601" spans="1:254" x14ac:dyDescent="0.25">
      <c r="A601" s="7">
        <v>0.75787502458828959</v>
      </c>
      <c r="B601"/>
      <c r="C601"/>
      <c r="D601"/>
      <c r="E601"/>
      <c r="F601" s="27" t="s">
        <v>7</v>
      </c>
      <c r="FS601" s="27" t="s">
        <v>8</v>
      </c>
      <c r="FT601" s="27" t="s">
        <v>7</v>
      </c>
    </row>
    <row r="602" spans="1:254" x14ac:dyDescent="0.25">
      <c r="A602" s="7">
        <v>0.74301472998851925</v>
      </c>
      <c r="B602"/>
      <c r="C602"/>
      <c r="D602"/>
      <c r="E602"/>
      <c r="F602" s="27" t="s">
        <v>7</v>
      </c>
      <c r="FS602" s="27" t="s">
        <v>8</v>
      </c>
      <c r="FT602" s="27" t="s">
        <v>7</v>
      </c>
    </row>
    <row r="603" spans="1:254" x14ac:dyDescent="0.25">
      <c r="A603" s="7">
        <v>0.72844581371423456</v>
      </c>
      <c r="B603"/>
      <c r="C603"/>
      <c r="D603"/>
      <c r="E603"/>
      <c r="F603" s="27" t="s">
        <v>7</v>
      </c>
      <c r="FS603" s="27" t="s">
        <v>8</v>
      </c>
      <c r="FT603" s="27" t="s">
        <v>7</v>
      </c>
    </row>
    <row r="604" spans="1:254" x14ac:dyDescent="0.25">
      <c r="A604" s="7">
        <v>0.71416256246493581</v>
      </c>
      <c r="B604"/>
      <c r="C604"/>
      <c r="D604"/>
      <c r="E604"/>
      <c r="F604" s="27" t="s">
        <v>7</v>
      </c>
      <c r="FS604" s="27" t="s">
        <v>8</v>
      </c>
      <c r="FT604" s="27" t="s">
        <v>7</v>
      </c>
      <c r="IS604" s="27" t="s">
        <v>8</v>
      </c>
    </row>
    <row r="605" spans="1:254" x14ac:dyDescent="0.25">
      <c r="A605" s="7">
        <v>0.7001593749656233</v>
      </c>
      <c r="B605"/>
      <c r="C605"/>
      <c r="D605"/>
      <c r="E605"/>
      <c r="F605" s="27" t="s">
        <v>7</v>
      </c>
      <c r="FS605" s="27" t="s">
        <v>8</v>
      </c>
      <c r="FT605" s="27" t="s">
        <v>7</v>
      </c>
      <c r="IS605" s="27" t="s">
        <v>8</v>
      </c>
      <c r="IT605" s="27" t="s">
        <v>7</v>
      </c>
    </row>
    <row r="606" spans="1:254" x14ac:dyDescent="0.25">
      <c r="A606" s="7">
        <v>0.68643075977021883</v>
      </c>
      <c r="B606"/>
      <c r="C606"/>
      <c r="D606"/>
      <c r="E606"/>
      <c r="F606" s="27" t="s">
        <v>7</v>
      </c>
      <c r="FS606" s="27" t="s">
        <v>8</v>
      </c>
      <c r="FT606" s="27" t="s">
        <v>7</v>
      </c>
      <c r="IS606" s="27" t="s">
        <v>8</v>
      </c>
      <c r="IT606" s="27" t="s">
        <v>7</v>
      </c>
    </row>
    <row r="607" spans="1:254" x14ac:dyDescent="0.25">
      <c r="A607" s="7">
        <v>0.67297133310805768</v>
      </c>
      <c r="B607"/>
      <c r="C607"/>
      <c r="D607"/>
      <c r="E607"/>
      <c r="F607" s="27" t="s">
        <v>7</v>
      </c>
      <c r="FS607" s="27" t="s">
        <v>8</v>
      </c>
      <c r="FT607" s="27" t="s">
        <v>7</v>
      </c>
      <c r="IS607" s="27" t="s">
        <v>8</v>
      </c>
      <c r="IT607" s="27" t="s">
        <v>7</v>
      </c>
    </row>
    <row r="608" spans="1:254" x14ac:dyDescent="0.25">
      <c r="A608" s="7">
        <v>0.65977581677260566</v>
      </c>
      <c r="B608"/>
      <c r="C608"/>
      <c r="D608"/>
      <c r="E608"/>
      <c r="F608" s="27" t="s">
        <v>7</v>
      </c>
      <c r="FS608" s="27" t="s">
        <v>8</v>
      </c>
      <c r="FT608" s="27" t="s">
        <v>7</v>
      </c>
      <c r="IS608" s="27" t="s">
        <v>8</v>
      </c>
      <c r="IT608" s="27" t="s">
        <v>7</v>
      </c>
    </row>
    <row r="609" spans="1:254" x14ac:dyDescent="0.25">
      <c r="A609" s="7">
        <v>0.64683903605157422</v>
      </c>
      <c r="B609"/>
      <c r="C609"/>
      <c r="D609"/>
      <c r="E609"/>
      <c r="F609" s="27" t="s">
        <v>7</v>
      </c>
      <c r="FS609" s="27" t="s">
        <v>8</v>
      </c>
      <c r="FT609" s="27" t="s">
        <v>7</v>
      </c>
      <c r="IS609" s="27" t="s">
        <v>8</v>
      </c>
      <c r="IT609" s="27" t="s">
        <v>7</v>
      </c>
    </row>
    <row r="610" spans="1:254" x14ac:dyDescent="0.25">
      <c r="A610" s="7">
        <v>0.63415591769762181</v>
      </c>
      <c r="B610"/>
      <c r="C610"/>
      <c r="D610"/>
      <c r="E610"/>
      <c r="F610" s="27" t="s">
        <v>7</v>
      </c>
      <c r="FS610" s="27" t="s">
        <v>8</v>
      </c>
      <c r="FT610" s="27" t="s">
        <v>7</v>
      </c>
      <c r="GK610" s="27" t="s">
        <v>8</v>
      </c>
      <c r="IS610" s="27" t="s">
        <v>8</v>
      </c>
      <c r="IT610" s="27" t="s">
        <v>7</v>
      </c>
    </row>
    <row r="611" spans="1:254" x14ac:dyDescent="0.25">
      <c r="A611" s="7">
        <v>0.62172148793884496</v>
      </c>
      <c r="B611"/>
      <c r="C611"/>
      <c r="D611"/>
      <c r="E611"/>
      <c r="F611" s="27" t="s">
        <v>7</v>
      </c>
      <c r="FS611" s="27" t="s">
        <v>8</v>
      </c>
      <c r="FT611" s="27" t="s">
        <v>7</v>
      </c>
      <c r="GK611" s="27" t="s">
        <v>8</v>
      </c>
      <c r="GL611" s="27" t="s">
        <v>7</v>
      </c>
      <c r="IS611" s="27" t="s">
        <v>8</v>
      </c>
      <c r="IT611" s="27" t="s">
        <v>7</v>
      </c>
    </row>
    <row r="612" spans="1:254" x14ac:dyDescent="0.25">
      <c r="A612" s="7">
        <v>0.60953087052827937</v>
      </c>
      <c r="B612"/>
      <c r="C612"/>
      <c r="D612"/>
      <c r="E612"/>
      <c r="F612" s="27" t="s">
        <v>7</v>
      </c>
      <c r="FS612" s="27" t="s">
        <v>8</v>
      </c>
      <c r="FT612" s="27" t="s">
        <v>7</v>
      </c>
      <c r="GK612" s="27" t="s">
        <v>8</v>
      </c>
      <c r="GL612" s="27" t="s">
        <v>7</v>
      </c>
      <c r="IS612" s="27" t="s">
        <v>8</v>
      </c>
      <c r="IT612" s="27" t="s">
        <v>7</v>
      </c>
    </row>
    <row r="613" spans="1:254" x14ac:dyDescent="0.25">
      <c r="A613" s="7">
        <v>0.59757928483164646</v>
      </c>
      <c r="B613"/>
      <c r="C613"/>
      <c r="D613"/>
      <c r="E613"/>
      <c r="F613" s="27" t="s">
        <v>7</v>
      </c>
      <c r="FS613" s="27" t="s">
        <v>8</v>
      </c>
      <c r="FT613" s="27" t="s">
        <v>7</v>
      </c>
      <c r="GK613" s="27" t="s">
        <v>8</v>
      </c>
      <c r="GL613" s="27" t="s">
        <v>7</v>
      </c>
      <c r="IS613" s="27" t="s">
        <v>8</v>
      </c>
      <c r="IT613" s="27" t="s">
        <v>7</v>
      </c>
    </row>
    <row r="614" spans="1:254" x14ac:dyDescent="0.25">
      <c r="A614" s="7">
        <v>0.58586204395259456</v>
      </c>
      <c r="B614"/>
      <c r="C614"/>
      <c r="D614"/>
      <c r="E614"/>
      <c r="F614" s="27" t="s">
        <v>7</v>
      </c>
      <c r="FS614" s="27" t="s">
        <v>8</v>
      </c>
      <c r="FT614" s="27" t="s">
        <v>7</v>
      </c>
      <c r="GK614" s="27" t="s">
        <v>8</v>
      </c>
      <c r="GL614" s="27" t="s">
        <v>7</v>
      </c>
      <c r="IS614" s="27" t="s">
        <v>8</v>
      </c>
      <c r="IT614" s="27" t="s">
        <v>7</v>
      </c>
    </row>
    <row r="615" spans="1:254" x14ac:dyDescent="0.25">
      <c r="A615" s="7">
        <v>0.57437455289470052</v>
      </c>
      <c r="B615"/>
      <c r="C615"/>
      <c r="D615"/>
      <c r="E615"/>
      <c r="F615" s="27" t="s">
        <v>7</v>
      </c>
      <c r="FS615" s="27" t="s">
        <v>8</v>
      </c>
      <c r="FT615" s="27" t="s">
        <v>7</v>
      </c>
      <c r="GK615" s="27" t="s">
        <v>8</v>
      </c>
      <c r="GL615" s="27" t="s">
        <v>7</v>
      </c>
      <c r="IS615" s="27" t="s">
        <v>8</v>
      </c>
      <c r="IT615" s="27" t="s">
        <v>7</v>
      </c>
    </row>
    <row r="616" spans="1:254" x14ac:dyDescent="0.25">
      <c r="A616" s="7">
        <v>0.56311230675951029</v>
      </c>
      <c r="B616"/>
      <c r="C616"/>
      <c r="D616"/>
      <c r="E616"/>
      <c r="F616" s="27" t="s">
        <v>7</v>
      </c>
      <c r="FS616" s="27" t="s">
        <v>8</v>
      </c>
      <c r="FT616" s="27" t="s">
        <v>7</v>
      </c>
      <c r="GK616" s="27" t="s">
        <v>8</v>
      </c>
      <c r="GL616" s="27" t="s">
        <v>7</v>
      </c>
      <c r="IS616" s="27" t="s">
        <v>8</v>
      </c>
      <c r="IT616" s="27" t="s">
        <v>7</v>
      </c>
    </row>
    <row r="617" spans="1:254" x14ac:dyDescent="0.25">
      <c r="A617" s="7">
        <v>0.55207088897991208</v>
      </c>
      <c r="B617"/>
      <c r="C617"/>
      <c r="D617"/>
      <c r="E617"/>
      <c r="F617" s="27" t="s">
        <v>7</v>
      </c>
      <c r="FS617" s="27" t="s">
        <v>8</v>
      </c>
      <c r="FT617" s="27" t="s">
        <v>7</v>
      </c>
      <c r="FU617" s="27" t="s">
        <v>8</v>
      </c>
      <c r="GK617" s="27" t="s">
        <v>8</v>
      </c>
      <c r="GL617" s="27" t="s">
        <v>7</v>
      </c>
      <c r="IS617" s="27" t="s">
        <v>8</v>
      </c>
      <c r="IT617" s="27" t="s">
        <v>7</v>
      </c>
    </row>
    <row r="618" spans="1:254" x14ac:dyDescent="0.25">
      <c r="A618" s="7">
        <v>0.54124596958814908</v>
      </c>
      <c r="B618"/>
      <c r="C618"/>
      <c r="D618"/>
      <c r="E618"/>
      <c r="F618" s="27" t="s">
        <v>7</v>
      </c>
      <c r="FS618" s="27" t="s">
        <v>8</v>
      </c>
      <c r="FT618" s="27" t="s">
        <v>7</v>
      </c>
      <c r="FU618" s="27" t="s">
        <v>8</v>
      </c>
      <c r="FV618" s="27" t="s">
        <v>7</v>
      </c>
      <c r="GK618" s="27" t="s">
        <v>8</v>
      </c>
      <c r="GL618" s="27" t="s">
        <v>7</v>
      </c>
      <c r="IS618" s="27" t="s">
        <v>8</v>
      </c>
      <c r="IT618" s="27" t="s">
        <v>7</v>
      </c>
    </row>
    <row r="619" spans="1:254" x14ac:dyDescent="0.25">
      <c r="A619" s="7">
        <v>0.53063330351779314</v>
      </c>
      <c r="B619"/>
      <c r="C619"/>
      <c r="D619"/>
      <c r="E619"/>
      <c r="F619" s="27" t="s">
        <v>7</v>
      </c>
      <c r="FS619" s="27" t="s">
        <v>8</v>
      </c>
      <c r="FT619" s="27" t="s">
        <v>7</v>
      </c>
      <c r="FU619" s="27" t="s">
        <v>8</v>
      </c>
      <c r="FV619" s="27" t="s">
        <v>7</v>
      </c>
      <c r="GK619" s="27" t="s">
        <v>8</v>
      </c>
      <c r="GL619" s="27" t="s">
        <v>7</v>
      </c>
      <c r="IS619" s="27" t="s">
        <v>8</v>
      </c>
      <c r="IT619" s="27" t="s">
        <v>7</v>
      </c>
    </row>
    <row r="620" spans="1:254" x14ac:dyDescent="0.25">
      <c r="A620" s="7">
        <v>0.52022872893901284</v>
      </c>
      <c r="B620"/>
      <c r="C620"/>
      <c r="D620"/>
      <c r="E620"/>
      <c r="F620" s="27" t="s">
        <v>7</v>
      </c>
      <c r="FS620" s="27" t="s">
        <v>8</v>
      </c>
      <c r="FT620" s="27" t="s">
        <v>7</v>
      </c>
      <c r="FU620" s="27" t="s">
        <v>8</v>
      </c>
      <c r="FV620" s="27" t="s">
        <v>7</v>
      </c>
      <c r="GK620" s="27" t="s">
        <v>8</v>
      </c>
      <c r="GL620" s="27" t="s">
        <v>7</v>
      </c>
      <c r="IS620" s="27" t="s">
        <v>8</v>
      </c>
      <c r="IT620" s="27" t="s">
        <v>7</v>
      </c>
    </row>
    <row r="621" spans="1:254" x14ac:dyDescent="0.25">
      <c r="A621" s="7">
        <v>0.51002816562648323</v>
      </c>
      <c r="B621"/>
      <c r="C621"/>
      <c r="D621"/>
      <c r="E621"/>
      <c r="F621" s="27" t="s">
        <v>7</v>
      </c>
      <c r="FS621" s="27" t="s">
        <v>8</v>
      </c>
      <c r="FT621" s="27" t="s">
        <v>7</v>
      </c>
      <c r="FU621" s="27" t="s">
        <v>8</v>
      </c>
      <c r="FV621" s="27" t="s">
        <v>7</v>
      </c>
      <c r="GK621" s="27" t="s">
        <v>8</v>
      </c>
      <c r="GL621" s="27" t="s">
        <v>7</v>
      </c>
      <c r="IS621" s="27" t="s">
        <v>8</v>
      </c>
      <c r="IT621" s="27" t="s">
        <v>7</v>
      </c>
    </row>
    <row r="622" spans="1:254" x14ac:dyDescent="0.25">
      <c r="A622" s="7">
        <v>0.50002761335929735</v>
      </c>
      <c r="B622"/>
      <c r="C622"/>
      <c r="D622"/>
      <c r="E622"/>
      <c r="F622" s="27" t="s">
        <v>7</v>
      </c>
      <c r="FS622" s="27" t="s">
        <v>8</v>
      </c>
      <c r="FT622" s="27" t="s">
        <v>7</v>
      </c>
      <c r="FU622" s="27" t="s">
        <v>8</v>
      </c>
      <c r="FV622" s="27" t="s">
        <v>7</v>
      </c>
      <c r="GA622" s="27" t="s">
        <v>8</v>
      </c>
      <c r="GK622" s="27" t="s">
        <v>8</v>
      </c>
      <c r="GL622" s="27" t="s">
        <v>7</v>
      </c>
      <c r="IS622" s="27" t="s">
        <v>8</v>
      </c>
      <c r="IT622" s="27" t="s">
        <v>7</v>
      </c>
    </row>
    <row r="623" spans="1:254" x14ac:dyDescent="0.25">
      <c r="A623" s="7">
        <v>0.49022315035225228</v>
      </c>
      <c r="B623"/>
      <c r="C623"/>
      <c r="D623"/>
      <c r="E623"/>
      <c r="F623" s="27" t="s">
        <v>7</v>
      </c>
      <c r="FS623" s="27" t="s">
        <v>8</v>
      </c>
      <c r="FT623" s="27" t="s">
        <v>7</v>
      </c>
      <c r="FU623" s="27" t="s">
        <v>8</v>
      </c>
      <c r="FV623" s="27" t="s">
        <v>7</v>
      </c>
      <c r="GA623" s="27" t="s">
        <v>8</v>
      </c>
      <c r="GB623" s="27" t="s">
        <v>7</v>
      </c>
      <c r="GK623" s="27" t="s">
        <v>8</v>
      </c>
      <c r="GL623" s="27" t="s">
        <v>7</v>
      </c>
      <c r="IS623" s="27" t="s">
        <v>8</v>
      </c>
      <c r="IT623" s="27" t="s">
        <v>7</v>
      </c>
    </row>
    <row r="624" spans="1:254" x14ac:dyDescent="0.25">
      <c r="A624" s="7">
        <v>0.48061093171789437</v>
      </c>
      <c r="B624"/>
      <c r="C624"/>
      <c r="D624"/>
      <c r="E624"/>
      <c r="F624" s="27" t="s">
        <v>7</v>
      </c>
      <c r="FS624" s="27" t="s">
        <v>8</v>
      </c>
      <c r="FT624" s="27" t="s">
        <v>7</v>
      </c>
      <c r="FU624" s="27" t="s">
        <v>8</v>
      </c>
      <c r="FV624" s="27" t="s">
        <v>7</v>
      </c>
      <c r="FW624" s="27" t="s">
        <v>8</v>
      </c>
      <c r="GA624" s="27" t="s">
        <v>8</v>
      </c>
      <c r="GB624" s="27" t="s">
        <v>7</v>
      </c>
      <c r="GK624" s="27" t="s">
        <v>8</v>
      </c>
      <c r="GL624" s="27" t="s">
        <v>7</v>
      </c>
      <c r="IS624" s="27" t="s">
        <v>8</v>
      </c>
      <c r="IT624" s="27" t="s">
        <v>7</v>
      </c>
    </row>
    <row r="625" spans="1:308" x14ac:dyDescent="0.25">
      <c r="A625" s="7">
        <v>0.47118718795871994</v>
      </c>
      <c r="B625"/>
      <c r="C625"/>
      <c r="D625"/>
      <c r="E625"/>
      <c r="F625" s="27" t="s">
        <v>7</v>
      </c>
      <c r="FS625" s="27" t="s">
        <v>8</v>
      </c>
      <c r="FT625" s="27" t="s">
        <v>7</v>
      </c>
      <c r="FV625" s="27" t="s">
        <v>7</v>
      </c>
      <c r="FW625" s="27" t="s">
        <v>8</v>
      </c>
      <c r="FX625" s="27" t="s">
        <v>7</v>
      </c>
      <c r="GA625" s="27" t="s">
        <v>8</v>
      </c>
      <c r="GB625" s="27" t="s">
        <v>7</v>
      </c>
      <c r="GK625" s="27" t="s">
        <v>8</v>
      </c>
      <c r="GL625" s="27" t="s">
        <v>7</v>
      </c>
      <c r="IS625" s="27" t="s">
        <v>8</v>
      </c>
      <c r="IT625" s="27" t="s">
        <v>7</v>
      </c>
    </row>
    <row r="626" spans="1:308" x14ac:dyDescent="0.25">
      <c r="A626" s="7">
        <v>0.46194822348894116</v>
      </c>
      <c r="B626"/>
      <c r="C626"/>
      <c r="D626"/>
      <c r="E626"/>
      <c r="F626" s="27" t="s">
        <v>7</v>
      </c>
      <c r="FS626" s="27" t="s">
        <v>8</v>
      </c>
      <c r="FV626" s="27" t="s">
        <v>7</v>
      </c>
      <c r="FW626" s="27" t="s">
        <v>8</v>
      </c>
      <c r="FX626" s="27" t="s">
        <v>7</v>
      </c>
      <c r="GA626" s="27" t="s">
        <v>8</v>
      </c>
      <c r="GB626" s="27" t="s">
        <v>7</v>
      </c>
      <c r="GK626" s="27" t="s">
        <v>8</v>
      </c>
      <c r="GL626" s="27" t="s">
        <v>7</v>
      </c>
      <c r="IS626" s="27" t="s">
        <v>8</v>
      </c>
      <c r="IT626" s="27" t="s">
        <v>7</v>
      </c>
    </row>
    <row r="627" spans="1:308" x14ac:dyDescent="0.25">
      <c r="A627" s="7">
        <v>0.45289041518523643</v>
      </c>
      <c r="B627"/>
      <c r="C627"/>
      <c r="D627"/>
      <c r="E627"/>
      <c r="F627" s="27" t="s">
        <v>7</v>
      </c>
      <c r="FS627" s="27" t="s">
        <v>8</v>
      </c>
      <c r="FV627" s="27" t="s">
        <v>7</v>
      </c>
      <c r="FW627" s="27" t="s">
        <v>8</v>
      </c>
      <c r="FX627" s="27" t="s">
        <v>7</v>
      </c>
      <c r="FY627" s="27" t="s">
        <v>8</v>
      </c>
      <c r="GA627" s="27" t="s">
        <v>8</v>
      </c>
      <c r="GB627" s="27" t="s">
        <v>7</v>
      </c>
      <c r="GK627" s="27" t="s">
        <v>8</v>
      </c>
      <c r="GL627" s="27" t="s">
        <v>7</v>
      </c>
      <c r="IS627" s="27" t="s">
        <v>8</v>
      </c>
      <c r="IT627" s="27" t="s">
        <v>7</v>
      </c>
    </row>
    <row r="628" spans="1:308" x14ac:dyDescent="0.25">
      <c r="A628" s="7">
        <v>0.44401021096591808</v>
      </c>
      <c r="B628"/>
      <c r="C628"/>
      <c r="D628"/>
      <c r="E628"/>
      <c r="F628" s="27" t="s">
        <v>7</v>
      </c>
      <c r="FS628" s="27" t="s">
        <v>8</v>
      </c>
      <c r="FV628" s="27" t="s">
        <v>7</v>
      </c>
      <c r="FW628" s="27" t="s">
        <v>8</v>
      </c>
      <c r="FX628" s="27" t="s">
        <v>7</v>
      </c>
      <c r="FY628" s="27" t="s">
        <v>8</v>
      </c>
      <c r="FZ628" s="27" t="s">
        <v>7</v>
      </c>
      <c r="GA628" s="27" t="s">
        <v>8</v>
      </c>
      <c r="GB628" s="27" t="s">
        <v>7</v>
      </c>
      <c r="GK628" s="27" t="s">
        <v>8</v>
      </c>
      <c r="GL628" s="27" t="s">
        <v>7</v>
      </c>
      <c r="IS628" s="27" t="s">
        <v>8</v>
      </c>
      <c r="IT628" s="27" t="s">
        <v>7</v>
      </c>
      <c r="JG628" s="27" t="s">
        <v>8</v>
      </c>
    </row>
    <row r="629" spans="1:308" x14ac:dyDescent="0.25">
      <c r="A629" s="7">
        <v>0.4353041283979589</v>
      </c>
      <c r="B629"/>
      <c r="C629"/>
      <c r="D629"/>
      <c r="E629"/>
      <c r="F629" s="27" t="s">
        <v>7</v>
      </c>
      <c r="FM629" s="27" t="s">
        <v>8</v>
      </c>
      <c r="FS629" s="27" t="s">
        <v>8</v>
      </c>
      <c r="FV629" s="27" t="s">
        <v>7</v>
      </c>
      <c r="FX629" s="27" t="s">
        <v>7</v>
      </c>
      <c r="FY629" s="27" t="s">
        <v>8</v>
      </c>
      <c r="FZ629" s="27" t="s">
        <v>7</v>
      </c>
      <c r="GA629" s="27" t="s">
        <v>8</v>
      </c>
      <c r="GB629" s="27" t="s">
        <v>7</v>
      </c>
      <c r="GE629" s="27" t="s">
        <v>8</v>
      </c>
      <c r="GI629" s="27" t="s">
        <v>8</v>
      </c>
      <c r="GK629" s="27" t="s">
        <v>8</v>
      </c>
      <c r="GL629" s="27" t="s">
        <v>7</v>
      </c>
      <c r="IS629" s="27" t="s">
        <v>8</v>
      </c>
      <c r="IT629" s="27" t="s">
        <v>7</v>
      </c>
      <c r="JG629" s="27" t="s">
        <v>8</v>
      </c>
      <c r="JH629" s="27" t="s">
        <v>7</v>
      </c>
    </row>
    <row r="630" spans="1:308" x14ac:dyDescent="0.25">
      <c r="A630" s="7">
        <v>0.4267687533313323</v>
      </c>
      <c r="B630"/>
      <c r="C630"/>
      <c r="D630"/>
      <c r="E630"/>
      <c r="F630" s="27" t="s">
        <v>7</v>
      </c>
      <c r="FM630" s="27" t="s">
        <v>8</v>
      </c>
      <c r="FN630" s="27" t="s">
        <v>7</v>
      </c>
      <c r="FO630" s="27" t="s">
        <v>8</v>
      </c>
      <c r="FQ630" s="27" t="s">
        <v>8</v>
      </c>
      <c r="FS630" s="27" t="s">
        <v>8</v>
      </c>
      <c r="FX630" s="27" t="s">
        <v>7</v>
      </c>
      <c r="FZ630" s="27" t="s">
        <v>7</v>
      </c>
      <c r="GA630" s="27" t="s">
        <v>8</v>
      </c>
      <c r="GB630" s="27" t="s">
        <v>7</v>
      </c>
      <c r="GE630" s="27" t="s">
        <v>8</v>
      </c>
      <c r="GF630" s="27" t="s">
        <v>7</v>
      </c>
      <c r="GG630" s="27" t="s">
        <v>8</v>
      </c>
      <c r="GI630" s="27" t="s">
        <v>8</v>
      </c>
      <c r="GJ630" s="27" t="s">
        <v>7</v>
      </c>
      <c r="GK630" s="27" t="s">
        <v>8</v>
      </c>
      <c r="GL630" s="27" t="s">
        <v>7</v>
      </c>
      <c r="IS630" s="27" t="s">
        <v>8</v>
      </c>
      <c r="IT630" s="27" t="s">
        <v>7</v>
      </c>
      <c r="JG630" s="27" t="s">
        <v>8</v>
      </c>
      <c r="JH630" s="27" t="s">
        <v>7</v>
      </c>
      <c r="JI630" s="27" t="s">
        <v>8</v>
      </c>
    </row>
    <row r="631" spans="1:308" x14ac:dyDescent="0.25">
      <c r="A631" s="7">
        <v>0.41840073856012971</v>
      </c>
      <c r="B631"/>
      <c r="C631"/>
      <c r="D631"/>
      <c r="E631"/>
      <c r="F631" s="27" t="s">
        <v>7</v>
      </c>
      <c r="FM631" s="27" t="s">
        <v>8</v>
      </c>
      <c r="FN631" s="27" t="s">
        <v>7</v>
      </c>
      <c r="FO631" s="27" t="s">
        <v>8</v>
      </c>
      <c r="FP631" s="27" t="s">
        <v>7</v>
      </c>
      <c r="FQ631" s="27" t="s">
        <v>8</v>
      </c>
      <c r="FR631" s="27" t="s">
        <v>7</v>
      </c>
      <c r="FS631" s="27" t="s">
        <v>8</v>
      </c>
      <c r="FZ631" s="27" t="s">
        <v>7</v>
      </c>
      <c r="GA631" s="27" t="s">
        <v>8</v>
      </c>
      <c r="GB631" s="27" t="s">
        <v>7</v>
      </c>
      <c r="GE631" s="27" t="s">
        <v>8</v>
      </c>
      <c r="GF631" s="27" t="s">
        <v>7</v>
      </c>
      <c r="GG631" s="27" t="s">
        <v>8</v>
      </c>
      <c r="GH631" s="27" t="s">
        <v>7</v>
      </c>
      <c r="GI631" s="27" t="s">
        <v>8</v>
      </c>
      <c r="GJ631" s="27" t="s">
        <v>7</v>
      </c>
      <c r="GK631" s="27" t="s">
        <v>8</v>
      </c>
      <c r="GL631" s="27" t="s">
        <v>7</v>
      </c>
      <c r="IS631" s="27" t="s">
        <v>8</v>
      </c>
      <c r="IT631" s="27" t="s">
        <v>7</v>
      </c>
      <c r="JG631" s="27" t="s">
        <v>8</v>
      </c>
      <c r="JH631" s="27" t="s">
        <v>7</v>
      </c>
      <c r="JI631" s="27" t="s">
        <v>8</v>
      </c>
      <c r="JJ631" s="27" t="s">
        <v>7</v>
      </c>
      <c r="JK631" s="27" t="s">
        <v>8</v>
      </c>
      <c r="JS631" s="27" t="s">
        <v>8</v>
      </c>
    </row>
    <row r="632" spans="1:308" x14ac:dyDescent="0.25">
      <c r="A632" s="7">
        <v>0.41019680250993112</v>
      </c>
      <c r="B632"/>
      <c r="C632"/>
      <c r="D632"/>
      <c r="E632"/>
      <c r="F632" s="27" t="s">
        <v>7</v>
      </c>
      <c r="FM632" s="27" t="s">
        <v>8</v>
      </c>
      <c r="FN632" s="27" t="s">
        <v>7</v>
      </c>
      <c r="FO632" s="27" t="s">
        <v>8</v>
      </c>
      <c r="FP632" s="27" t="s">
        <v>7</v>
      </c>
      <c r="FQ632" s="27" t="s">
        <v>8</v>
      </c>
      <c r="FR632" s="27" t="s">
        <v>7</v>
      </c>
      <c r="FS632" s="27" t="s">
        <v>8</v>
      </c>
      <c r="FZ632" s="27" t="s">
        <v>7</v>
      </c>
      <c r="GA632" s="27" t="s">
        <v>8</v>
      </c>
      <c r="GB632" s="27" t="s">
        <v>7</v>
      </c>
      <c r="GE632" s="27" t="s">
        <v>8</v>
      </c>
      <c r="GF632" s="27" t="s">
        <v>7</v>
      </c>
      <c r="GG632" s="27" t="s">
        <v>8</v>
      </c>
      <c r="GH632" s="27" t="s">
        <v>7</v>
      </c>
      <c r="GI632" s="27" t="s">
        <v>8</v>
      </c>
      <c r="GJ632" s="27" t="s">
        <v>7</v>
      </c>
      <c r="GK632" s="27" t="s">
        <v>8</v>
      </c>
      <c r="GL632" s="27" t="s">
        <v>7</v>
      </c>
      <c r="IS632" s="27" t="s">
        <v>8</v>
      </c>
      <c r="IT632" s="27" t="s">
        <v>7</v>
      </c>
      <c r="IW632" s="27" t="s">
        <v>8</v>
      </c>
      <c r="JG632" s="27" t="s">
        <v>8</v>
      </c>
      <c r="JH632" s="27" t="s">
        <v>7</v>
      </c>
      <c r="JI632" s="27" t="s">
        <v>8</v>
      </c>
      <c r="JJ632" s="27" t="s">
        <v>7</v>
      </c>
      <c r="JK632" s="27" t="s">
        <v>8</v>
      </c>
      <c r="JL632" s="27" t="s">
        <v>7</v>
      </c>
      <c r="JS632" s="27" t="s">
        <v>8</v>
      </c>
      <c r="JT632" s="27" t="s">
        <v>7</v>
      </c>
    </row>
    <row r="633" spans="1:308" x14ac:dyDescent="0.25">
      <c r="A633" s="7">
        <v>0.40215372795091286</v>
      </c>
      <c r="B633"/>
      <c r="C633"/>
      <c r="D633"/>
      <c r="E633"/>
      <c r="F633" s="27" t="s">
        <v>7</v>
      </c>
      <c r="FM633" s="27" t="s">
        <v>8</v>
      </c>
      <c r="FN633" s="27" t="s">
        <v>7</v>
      </c>
      <c r="FO633" s="27" t="s">
        <v>8</v>
      </c>
      <c r="FP633" s="27" t="s">
        <v>7</v>
      </c>
      <c r="FQ633" s="27" t="s">
        <v>8</v>
      </c>
      <c r="FR633" s="27" t="s">
        <v>7</v>
      </c>
      <c r="FS633" s="27" t="s">
        <v>8</v>
      </c>
      <c r="FZ633" s="27" t="s">
        <v>7</v>
      </c>
      <c r="GA633" s="27" t="s">
        <v>8</v>
      </c>
      <c r="GB633" s="27" t="s">
        <v>7</v>
      </c>
      <c r="GE633" s="27" t="s">
        <v>8</v>
      </c>
      <c r="GF633" s="27" t="s">
        <v>7</v>
      </c>
      <c r="GG633" s="27" t="s">
        <v>8</v>
      </c>
      <c r="GH633" s="27" t="s">
        <v>7</v>
      </c>
      <c r="GI633" s="27" t="s">
        <v>8</v>
      </c>
      <c r="GJ633" s="27" t="s">
        <v>7</v>
      </c>
      <c r="GK633" s="27" t="s">
        <v>8</v>
      </c>
      <c r="GL633" s="27" t="s">
        <v>7</v>
      </c>
      <c r="IS633" s="27" t="s">
        <v>8</v>
      </c>
      <c r="IT633" s="27" t="s">
        <v>7</v>
      </c>
      <c r="IW633" s="27" t="s">
        <v>8</v>
      </c>
      <c r="IX633" s="27" t="s">
        <v>7</v>
      </c>
      <c r="JG633" s="27" t="s">
        <v>8</v>
      </c>
      <c r="JH633" s="27" t="s">
        <v>7</v>
      </c>
      <c r="JI633" s="27" t="s">
        <v>8</v>
      </c>
      <c r="JJ633" s="27" t="s">
        <v>7</v>
      </c>
      <c r="JK633" s="27" t="s">
        <v>8</v>
      </c>
      <c r="JL633" s="27" t="s">
        <v>7</v>
      </c>
      <c r="JS633" s="27" t="s">
        <v>8</v>
      </c>
      <c r="JT633" s="27" t="s">
        <v>7</v>
      </c>
    </row>
    <row r="634" spans="1:308" x14ac:dyDescent="0.25">
      <c r="A634" s="7">
        <v>0.39426836073618904</v>
      </c>
      <c r="B634"/>
      <c r="C634"/>
      <c r="D634"/>
      <c r="E634"/>
      <c r="F634" s="27" t="s">
        <v>7</v>
      </c>
      <c r="FM634" s="27" t="s">
        <v>8</v>
      </c>
      <c r="FN634" s="27" t="s">
        <v>7</v>
      </c>
      <c r="FO634" s="27" t="s">
        <v>8</v>
      </c>
      <c r="FP634" s="27" t="s">
        <v>7</v>
      </c>
      <c r="FQ634" s="27" t="s">
        <v>8</v>
      </c>
      <c r="FR634" s="27" t="s">
        <v>7</v>
      </c>
      <c r="FS634" s="27" t="s">
        <v>8</v>
      </c>
      <c r="FZ634" s="27" t="s">
        <v>7</v>
      </c>
      <c r="GA634" s="27" t="s">
        <v>8</v>
      </c>
      <c r="GB634" s="27" t="s">
        <v>7</v>
      </c>
      <c r="GE634" s="27" t="s">
        <v>8</v>
      </c>
      <c r="GF634" s="27" t="s">
        <v>7</v>
      </c>
      <c r="GG634" s="27" t="s">
        <v>8</v>
      </c>
      <c r="GH634" s="27" t="s">
        <v>7</v>
      </c>
      <c r="GI634" s="27" t="s">
        <v>8</v>
      </c>
      <c r="GJ634" s="27" t="s">
        <v>7</v>
      </c>
      <c r="GK634" s="27" t="s">
        <v>8</v>
      </c>
      <c r="GL634" s="27" t="s">
        <v>7</v>
      </c>
      <c r="IS634" s="27" t="s">
        <v>8</v>
      </c>
      <c r="IT634" s="27" t="s">
        <v>7</v>
      </c>
      <c r="IW634" s="27" t="s">
        <v>8</v>
      </c>
      <c r="IX634" s="27" t="s">
        <v>7</v>
      </c>
      <c r="JG634" s="27" t="s">
        <v>8</v>
      </c>
      <c r="JH634" s="27" t="s">
        <v>7</v>
      </c>
      <c r="JI634" s="27" t="s">
        <v>8</v>
      </c>
      <c r="JJ634" s="27" t="s">
        <v>7</v>
      </c>
      <c r="JK634" s="27" t="s">
        <v>8</v>
      </c>
      <c r="JL634" s="27" t="s">
        <v>7</v>
      </c>
      <c r="JS634" s="27" t="s">
        <v>8</v>
      </c>
      <c r="JT634" s="27" t="s">
        <v>7</v>
      </c>
      <c r="JY634" s="27" t="s">
        <v>8</v>
      </c>
      <c r="KG634" s="27" t="s">
        <v>8</v>
      </c>
    </row>
    <row r="635" spans="1:308" x14ac:dyDescent="0.25">
      <c r="A635" s="7">
        <v>0.38653760856489122</v>
      </c>
      <c r="B635"/>
      <c r="C635"/>
      <c r="D635"/>
      <c r="E635"/>
      <c r="F635" s="27" t="s">
        <v>7</v>
      </c>
      <c r="FM635" s="27" t="s">
        <v>8</v>
      </c>
      <c r="FN635" s="27" t="s">
        <v>7</v>
      </c>
      <c r="FO635" s="27" t="s">
        <v>8</v>
      </c>
      <c r="FP635" s="27" t="s">
        <v>7</v>
      </c>
      <c r="FQ635" s="27" t="s">
        <v>8</v>
      </c>
      <c r="FR635" s="27" t="s">
        <v>7</v>
      </c>
      <c r="FS635" s="27" t="s">
        <v>8</v>
      </c>
      <c r="FZ635" s="27" t="s">
        <v>7</v>
      </c>
      <c r="GA635" s="27" t="s">
        <v>8</v>
      </c>
      <c r="GB635" s="27" t="s">
        <v>7</v>
      </c>
      <c r="GE635" s="27" t="s">
        <v>8</v>
      </c>
      <c r="GF635" s="27" t="s">
        <v>7</v>
      </c>
      <c r="GG635" s="27" t="s">
        <v>8</v>
      </c>
      <c r="GH635" s="27" t="s">
        <v>7</v>
      </c>
      <c r="GI635" s="27" t="s">
        <v>8</v>
      </c>
      <c r="GJ635" s="27" t="s">
        <v>7</v>
      </c>
      <c r="GK635" s="27" t="s">
        <v>8</v>
      </c>
      <c r="GL635" s="27" t="s">
        <v>7</v>
      </c>
      <c r="IS635" s="27" t="s">
        <v>8</v>
      </c>
      <c r="IT635" s="27" t="s">
        <v>7</v>
      </c>
      <c r="IW635" s="27" t="s">
        <v>8</v>
      </c>
      <c r="IX635" s="27" t="s">
        <v>7</v>
      </c>
      <c r="JG635" s="27" t="s">
        <v>8</v>
      </c>
      <c r="JH635" s="27" t="s">
        <v>7</v>
      </c>
      <c r="JI635" s="27" t="s">
        <v>8</v>
      </c>
      <c r="JJ635" s="27" t="s">
        <v>7</v>
      </c>
      <c r="JK635" s="27" t="s">
        <v>8</v>
      </c>
      <c r="JL635" s="27" t="s">
        <v>7</v>
      </c>
      <c r="JS635" s="27" t="s">
        <v>8</v>
      </c>
      <c r="JT635" s="27" t="s">
        <v>7</v>
      </c>
      <c r="JY635" s="27" t="s">
        <v>8</v>
      </c>
      <c r="JZ635" s="27" t="s">
        <v>7</v>
      </c>
      <c r="KG635" s="27" t="s">
        <v>8</v>
      </c>
      <c r="KH635" s="27" t="s">
        <v>7</v>
      </c>
      <c r="KU635" s="27" t="s">
        <v>8</v>
      </c>
    </row>
    <row r="636" spans="1:308" x14ac:dyDescent="0.25">
      <c r="A636" s="7">
        <v>0.37895843976950117</v>
      </c>
      <c r="B636"/>
      <c r="C636"/>
      <c r="D636"/>
      <c r="E636"/>
      <c r="F636" s="27" t="s">
        <v>7</v>
      </c>
      <c r="FM636" s="27" t="s">
        <v>8</v>
      </c>
      <c r="FN636" s="27" t="s">
        <v>7</v>
      </c>
      <c r="FO636" s="27" t="s">
        <v>8</v>
      </c>
      <c r="FP636" s="27" t="s">
        <v>7</v>
      </c>
      <c r="FQ636" s="27" t="s">
        <v>8</v>
      </c>
      <c r="FR636" s="27" t="s">
        <v>7</v>
      </c>
      <c r="FS636" s="27" t="s">
        <v>8</v>
      </c>
      <c r="FZ636" s="27" t="s">
        <v>7</v>
      </c>
      <c r="GA636" s="27" t="s">
        <v>8</v>
      </c>
      <c r="GB636" s="27" t="s">
        <v>7</v>
      </c>
      <c r="GE636" s="27" t="s">
        <v>8</v>
      </c>
      <c r="GF636" s="27" t="s">
        <v>7</v>
      </c>
      <c r="GG636" s="27" t="s">
        <v>8</v>
      </c>
      <c r="GH636" s="27" t="s">
        <v>7</v>
      </c>
      <c r="GJ636" s="27" t="s">
        <v>7</v>
      </c>
      <c r="GK636" s="27" t="s">
        <v>8</v>
      </c>
      <c r="GL636" s="27" t="s">
        <v>7</v>
      </c>
      <c r="IS636" s="27" t="s">
        <v>8</v>
      </c>
      <c r="IT636" s="27" t="s">
        <v>7</v>
      </c>
      <c r="IU636" s="27" t="s">
        <v>8</v>
      </c>
      <c r="IW636" s="27" t="s">
        <v>8</v>
      </c>
      <c r="IX636" s="27" t="s">
        <v>7</v>
      </c>
      <c r="JG636" s="27" t="s">
        <v>8</v>
      </c>
      <c r="JH636" s="27" t="s">
        <v>7</v>
      </c>
      <c r="JI636" s="27" t="s">
        <v>8</v>
      </c>
      <c r="JJ636" s="27" t="s">
        <v>7</v>
      </c>
      <c r="JK636" s="27" t="s">
        <v>8</v>
      </c>
      <c r="JL636" s="27" t="s">
        <v>7</v>
      </c>
      <c r="JM636" s="27" t="s">
        <v>8</v>
      </c>
      <c r="JS636" s="27" t="s">
        <v>8</v>
      </c>
      <c r="JT636" s="27" t="s">
        <v>7</v>
      </c>
      <c r="JY636" s="27" t="s">
        <v>8</v>
      </c>
      <c r="JZ636" s="27" t="s">
        <v>7</v>
      </c>
      <c r="KA636" s="27" t="s">
        <v>8</v>
      </c>
      <c r="KE636" s="27" t="s">
        <v>8</v>
      </c>
      <c r="KG636" s="27" t="s">
        <v>8</v>
      </c>
      <c r="KH636" s="27" t="s">
        <v>7</v>
      </c>
      <c r="KU636" s="27" t="s">
        <v>8</v>
      </c>
      <c r="KV636" s="27" t="s">
        <v>7</v>
      </c>
    </row>
    <row r="637" spans="1:308" x14ac:dyDescent="0.25">
      <c r="A637" s="7">
        <v>0.37152788212696197</v>
      </c>
      <c r="B637"/>
      <c r="C637"/>
      <c r="D637"/>
      <c r="E637"/>
      <c r="F637" s="27" t="s">
        <v>7</v>
      </c>
      <c r="FM637" s="27" t="s">
        <v>8</v>
      </c>
      <c r="FN637" s="27" t="s">
        <v>7</v>
      </c>
      <c r="FO637" s="27" t="s">
        <v>8</v>
      </c>
      <c r="FP637" s="27" t="s">
        <v>7</v>
      </c>
      <c r="FQ637" s="27" t="s">
        <v>8</v>
      </c>
      <c r="FR637" s="27" t="s">
        <v>7</v>
      </c>
      <c r="FS637" s="27" t="s">
        <v>8</v>
      </c>
      <c r="FZ637" s="27" t="s">
        <v>7</v>
      </c>
      <c r="GA637" s="27" t="s">
        <v>8</v>
      </c>
      <c r="GB637" s="27" t="s">
        <v>7</v>
      </c>
      <c r="GE637" s="27" t="s">
        <v>8</v>
      </c>
      <c r="GF637" s="27" t="s">
        <v>7</v>
      </c>
      <c r="GG637" s="27" t="s">
        <v>8</v>
      </c>
      <c r="GJ637" s="27" t="s">
        <v>7</v>
      </c>
      <c r="GK637" s="27" t="s">
        <v>8</v>
      </c>
      <c r="GL637" s="27" t="s">
        <v>7</v>
      </c>
      <c r="HW637" s="27" t="s">
        <v>8</v>
      </c>
      <c r="IS637" s="27" t="s">
        <v>8</v>
      </c>
      <c r="IT637" s="27" t="s">
        <v>7</v>
      </c>
      <c r="IU637" s="27" t="s">
        <v>8</v>
      </c>
      <c r="IV637" s="27" t="s">
        <v>7</v>
      </c>
      <c r="IW637" s="27" t="s">
        <v>8</v>
      </c>
      <c r="IX637" s="27" t="s">
        <v>7</v>
      </c>
      <c r="JG637" s="27" t="s">
        <v>8</v>
      </c>
      <c r="JH637" s="27" t="s">
        <v>7</v>
      </c>
      <c r="JI637" s="27" t="s">
        <v>8</v>
      </c>
      <c r="JJ637" s="27" t="s">
        <v>7</v>
      </c>
      <c r="JK637" s="27" t="s">
        <v>8</v>
      </c>
      <c r="JL637" s="27" t="s">
        <v>7</v>
      </c>
      <c r="JM637" s="27" t="s">
        <v>8</v>
      </c>
      <c r="JN637" s="27" t="s">
        <v>7</v>
      </c>
      <c r="JS637" s="27" t="s">
        <v>8</v>
      </c>
      <c r="JT637" s="27" t="s">
        <v>7</v>
      </c>
      <c r="JY637" s="27" t="s">
        <v>8</v>
      </c>
      <c r="JZ637" s="27" t="s">
        <v>7</v>
      </c>
      <c r="KA637" s="27" t="s">
        <v>8</v>
      </c>
      <c r="KB637" s="27" t="s">
        <v>7</v>
      </c>
      <c r="KE637" s="27" t="s">
        <v>8</v>
      </c>
      <c r="KF637" s="27" t="s">
        <v>7</v>
      </c>
      <c r="KG637" s="27" t="s">
        <v>8</v>
      </c>
      <c r="KH637" s="27" t="s">
        <v>7</v>
      </c>
      <c r="KU637" s="27" t="s">
        <v>8</v>
      </c>
      <c r="KV637" s="27" t="s">
        <v>7</v>
      </c>
    </row>
    <row r="638" spans="1:308" x14ac:dyDescent="0.25">
      <c r="A638" s="7">
        <v>0.36424302169310002</v>
      </c>
      <c r="B638"/>
      <c r="C638"/>
      <c r="D638"/>
      <c r="E638"/>
      <c r="F638" s="27" t="s">
        <v>7</v>
      </c>
      <c r="FM638" s="27" t="s">
        <v>8</v>
      </c>
      <c r="FN638" s="27" t="s">
        <v>7</v>
      </c>
      <c r="FO638" s="27" t="s">
        <v>8</v>
      </c>
      <c r="FP638" s="27" t="s">
        <v>7</v>
      </c>
      <c r="FQ638" s="27" t="s">
        <v>8</v>
      </c>
      <c r="FR638" s="27" t="s">
        <v>7</v>
      </c>
      <c r="FS638" s="27" t="s">
        <v>8</v>
      </c>
      <c r="FZ638" s="27" t="s">
        <v>7</v>
      </c>
      <c r="GA638" s="27" t="s">
        <v>8</v>
      </c>
      <c r="GB638" s="27" t="s">
        <v>7</v>
      </c>
      <c r="GE638" s="27" t="s">
        <v>8</v>
      </c>
      <c r="GF638" s="27" t="s">
        <v>7</v>
      </c>
      <c r="GJ638" s="27" t="s">
        <v>7</v>
      </c>
      <c r="GK638" s="27" t="s">
        <v>8</v>
      </c>
      <c r="GL638" s="27" t="s">
        <v>7</v>
      </c>
      <c r="HW638" s="27" t="s">
        <v>8</v>
      </c>
      <c r="HX638" s="27" t="s">
        <v>7</v>
      </c>
      <c r="IS638" s="27" t="s">
        <v>8</v>
      </c>
      <c r="IT638" s="27" t="s">
        <v>7</v>
      </c>
      <c r="IU638" s="27" t="s">
        <v>8</v>
      </c>
      <c r="IV638" s="27" t="s">
        <v>7</v>
      </c>
      <c r="IW638" s="27" t="s">
        <v>8</v>
      </c>
      <c r="IX638" s="27" t="s">
        <v>7</v>
      </c>
      <c r="JG638" s="27" t="s">
        <v>8</v>
      </c>
      <c r="JH638" s="27" t="s">
        <v>7</v>
      </c>
      <c r="JI638" s="27" t="s">
        <v>8</v>
      </c>
      <c r="JJ638" s="27" t="s">
        <v>7</v>
      </c>
      <c r="JL638" s="27" t="s">
        <v>7</v>
      </c>
      <c r="JM638" s="27" t="s">
        <v>8</v>
      </c>
      <c r="JN638" s="27" t="s">
        <v>7</v>
      </c>
      <c r="JS638" s="27" t="s">
        <v>8</v>
      </c>
      <c r="JT638" s="27" t="s">
        <v>7</v>
      </c>
      <c r="JY638" s="27" t="s">
        <v>8</v>
      </c>
      <c r="JZ638" s="27" t="s">
        <v>7</v>
      </c>
      <c r="KA638" s="27" t="s">
        <v>8</v>
      </c>
      <c r="KB638" s="27" t="s">
        <v>7</v>
      </c>
      <c r="KE638" s="27" t="s">
        <v>8</v>
      </c>
      <c r="KF638" s="27" t="s">
        <v>7</v>
      </c>
      <c r="KG638" s="27" t="s">
        <v>8</v>
      </c>
      <c r="KH638" s="27" t="s">
        <v>7</v>
      </c>
      <c r="KU638" s="27" t="s">
        <v>8</v>
      </c>
      <c r="KV638" s="27" t="s">
        <v>7</v>
      </c>
    </row>
    <row r="639" spans="1:308" x14ac:dyDescent="0.25">
      <c r="A639" s="7">
        <v>0.35710100165990194</v>
      </c>
      <c r="B639"/>
      <c r="C639"/>
      <c r="D639"/>
      <c r="E639"/>
      <c r="F639" s="27" t="s">
        <v>7</v>
      </c>
      <c r="FM639" s="27" t="s">
        <v>8</v>
      </c>
      <c r="FN639" s="27" t="s">
        <v>7</v>
      </c>
      <c r="FP639" s="27" t="s">
        <v>7</v>
      </c>
      <c r="FR639" s="27" t="s">
        <v>7</v>
      </c>
      <c r="FS639" s="27" t="s">
        <v>8</v>
      </c>
      <c r="FZ639" s="27" t="s">
        <v>7</v>
      </c>
      <c r="GA639" s="27" t="s">
        <v>8</v>
      </c>
      <c r="GB639" s="27" t="s">
        <v>7</v>
      </c>
      <c r="GE639" s="27" t="s">
        <v>8</v>
      </c>
      <c r="GJ639" s="27" t="s">
        <v>7</v>
      </c>
      <c r="GK639" s="27" t="s">
        <v>8</v>
      </c>
      <c r="GL639" s="27" t="s">
        <v>7</v>
      </c>
      <c r="HW639" s="27" t="s">
        <v>8</v>
      </c>
      <c r="HX639" s="27" t="s">
        <v>7</v>
      </c>
      <c r="IS639" s="27" t="s">
        <v>8</v>
      </c>
      <c r="IT639" s="27" t="s">
        <v>7</v>
      </c>
      <c r="IU639" s="27" t="s">
        <v>8</v>
      </c>
      <c r="IV639" s="27" t="s">
        <v>7</v>
      </c>
      <c r="IW639" s="27" t="s">
        <v>8</v>
      </c>
      <c r="IX639" s="27" t="s">
        <v>7</v>
      </c>
      <c r="JG639" s="27" t="s">
        <v>8</v>
      </c>
      <c r="JH639" s="27" t="s">
        <v>7</v>
      </c>
      <c r="JI639" s="27" t="s">
        <v>8</v>
      </c>
      <c r="JL639" s="27" t="s">
        <v>7</v>
      </c>
      <c r="JM639" s="27" t="s">
        <v>8</v>
      </c>
      <c r="JN639" s="27" t="s">
        <v>7</v>
      </c>
      <c r="JS639" s="27" t="s">
        <v>8</v>
      </c>
      <c r="JT639" s="27" t="s">
        <v>7</v>
      </c>
      <c r="JY639" s="27" t="s">
        <v>8</v>
      </c>
      <c r="JZ639" s="27" t="s">
        <v>7</v>
      </c>
      <c r="KA639" s="27" t="s">
        <v>8</v>
      </c>
      <c r="KB639" s="27" t="s">
        <v>7</v>
      </c>
      <c r="KC639" s="27" t="s">
        <v>8</v>
      </c>
      <c r="KE639" s="27" t="s">
        <v>8</v>
      </c>
      <c r="KF639" s="27" t="s">
        <v>7</v>
      </c>
      <c r="KG639" s="27" t="s">
        <v>8</v>
      </c>
      <c r="KH639" s="27" t="s">
        <v>7</v>
      </c>
      <c r="KU639" s="27" t="s">
        <v>8</v>
      </c>
      <c r="KV639" s="27" t="s">
        <v>7</v>
      </c>
    </row>
    <row r="640" spans="1:308" x14ac:dyDescent="0.25">
      <c r="A640" s="7">
        <v>0.35009902123519804</v>
      </c>
      <c r="B640"/>
      <c r="C640"/>
      <c r="D640"/>
      <c r="E640"/>
      <c r="F640" s="27" t="s">
        <v>7</v>
      </c>
      <c r="FM640" s="27" t="s">
        <v>8</v>
      </c>
      <c r="FR640" s="27" t="s">
        <v>7</v>
      </c>
      <c r="FS640" s="27" t="s">
        <v>8</v>
      </c>
      <c r="FZ640" s="27" t="s">
        <v>7</v>
      </c>
      <c r="GA640" s="27" t="s">
        <v>8</v>
      </c>
      <c r="GB640" s="27" t="s">
        <v>7</v>
      </c>
      <c r="GE640" s="27" t="s">
        <v>8</v>
      </c>
      <c r="GJ640" s="27" t="s">
        <v>7</v>
      </c>
      <c r="GK640" s="27" t="s">
        <v>8</v>
      </c>
      <c r="GL640" s="27" t="s">
        <v>7</v>
      </c>
      <c r="GM640" s="27" t="s">
        <v>8</v>
      </c>
      <c r="HW640" s="27" t="s">
        <v>8</v>
      </c>
      <c r="HX640" s="27" t="s">
        <v>7</v>
      </c>
      <c r="IS640" s="27" t="s">
        <v>8</v>
      </c>
      <c r="IT640" s="27" t="s">
        <v>7</v>
      </c>
      <c r="IU640" s="27" t="s">
        <v>8</v>
      </c>
      <c r="IV640" s="27" t="s">
        <v>7</v>
      </c>
      <c r="IW640" s="27" t="s">
        <v>8</v>
      </c>
      <c r="IX640" s="27" t="s">
        <v>7</v>
      </c>
      <c r="JG640" s="27" t="s">
        <v>8</v>
      </c>
      <c r="JH640" s="27" t="s">
        <v>7</v>
      </c>
      <c r="JL640" s="27" t="s">
        <v>7</v>
      </c>
      <c r="JM640" s="27" t="s">
        <v>8</v>
      </c>
      <c r="JN640" s="27" t="s">
        <v>7</v>
      </c>
      <c r="JS640" s="27" t="s">
        <v>8</v>
      </c>
      <c r="JT640" s="27" t="s">
        <v>7</v>
      </c>
      <c r="JW640" s="27" t="s">
        <v>8</v>
      </c>
      <c r="JY640" s="27" t="s">
        <v>8</v>
      </c>
      <c r="JZ640" s="27" t="s">
        <v>7</v>
      </c>
      <c r="KA640" s="27" t="s">
        <v>8</v>
      </c>
      <c r="KB640" s="27" t="s">
        <v>7</v>
      </c>
      <c r="KC640" s="27" t="s">
        <v>8</v>
      </c>
      <c r="KD640" s="27" t="s">
        <v>7</v>
      </c>
      <c r="KE640" s="27" t="s">
        <v>8</v>
      </c>
      <c r="KF640" s="27" t="s">
        <v>7</v>
      </c>
      <c r="KG640" s="27" t="s">
        <v>8</v>
      </c>
      <c r="KH640" s="27" t="s">
        <v>7</v>
      </c>
      <c r="KU640" s="27" t="s">
        <v>8</v>
      </c>
      <c r="KV640" s="27" t="s">
        <v>7</v>
      </c>
    </row>
    <row r="641" spans="1:308" x14ac:dyDescent="0.25">
      <c r="A641" s="7">
        <v>0.34323433454431179</v>
      </c>
      <c r="B641"/>
      <c r="C641"/>
      <c r="D641"/>
      <c r="E641"/>
      <c r="F641" s="27" t="s">
        <v>7</v>
      </c>
      <c r="FM641" s="27" t="s">
        <v>8</v>
      </c>
      <c r="FR641" s="27" t="s">
        <v>7</v>
      </c>
      <c r="FS641" s="27" t="s">
        <v>8</v>
      </c>
      <c r="FZ641" s="27" t="s">
        <v>7</v>
      </c>
      <c r="GB641" s="27" t="s">
        <v>7</v>
      </c>
      <c r="GE641" s="27" t="s">
        <v>8</v>
      </c>
      <c r="GJ641" s="27" t="s">
        <v>7</v>
      </c>
      <c r="GL641" s="27" t="s">
        <v>7</v>
      </c>
      <c r="GM641" s="27" t="s">
        <v>8</v>
      </c>
      <c r="GN641" s="27" t="s">
        <v>7</v>
      </c>
      <c r="HW641" s="27" t="s">
        <v>8</v>
      </c>
      <c r="HX641" s="27" t="s">
        <v>7</v>
      </c>
      <c r="IS641" s="27" t="s">
        <v>8</v>
      </c>
      <c r="IT641" s="27" t="s">
        <v>7</v>
      </c>
      <c r="IU641" s="27" t="s">
        <v>8</v>
      </c>
      <c r="IV641" s="27" t="s">
        <v>7</v>
      </c>
      <c r="IW641" s="27" t="s">
        <v>8</v>
      </c>
      <c r="IX641" s="27" t="s">
        <v>7</v>
      </c>
      <c r="JG641" s="27" t="s">
        <v>8</v>
      </c>
      <c r="JL641" s="27" t="s">
        <v>7</v>
      </c>
      <c r="JM641" s="27" t="s">
        <v>8</v>
      </c>
      <c r="JN641" s="27" t="s">
        <v>7</v>
      </c>
      <c r="JO641" s="27" t="s">
        <v>8</v>
      </c>
      <c r="JQ641" s="27" t="s">
        <v>8</v>
      </c>
      <c r="JS641" s="27" t="s">
        <v>8</v>
      </c>
      <c r="JT641" s="27" t="s">
        <v>7</v>
      </c>
      <c r="JW641" s="27" t="s">
        <v>8</v>
      </c>
      <c r="JX641" s="27" t="s">
        <v>7</v>
      </c>
      <c r="JY641" s="27" t="s">
        <v>8</v>
      </c>
      <c r="JZ641" s="27" t="s">
        <v>7</v>
      </c>
      <c r="KA641" s="27" t="s">
        <v>8</v>
      </c>
      <c r="KB641" s="27" t="s">
        <v>7</v>
      </c>
      <c r="KC641" s="27" t="s">
        <v>8</v>
      </c>
      <c r="KD641" s="27" t="s">
        <v>7</v>
      </c>
      <c r="KE641" s="27" t="s">
        <v>8</v>
      </c>
      <c r="KF641" s="27" t="s">
        <v>7</v>
      </c>
      <c r="KH641" s="27" t="s">
        <v>7</v>
      </c>
      <c r="KU641" s="27" t="s">
        <v>8</v>
      </c>
      <c r="KV641" s="27" t="s">
        <v>7</v>
      </c>
    </row>
    <row r="642" spans="1:308" x14ac:dyDescent="0.25">
      <c r="A642" s="7">
        <v>0.33650424955324681</v>
      </c>
      <c r="B642"/>
      <c r="C642"/>
      <c r="D642"/>
      <c r="E642"/>
      <c r="F642" s="27" t="s">
        <v>7</v>
      </c>
      <c r="FM642" s="27" t="s">
        <v>8</v>
      </c>
      <c r="FR642" s="27" t="s">
        <v>7</v>
      </c>
      <c r="FS642" s="27" t="s">
        <v>8</v>
      </c>
      <c r="GB642" s="27" t="s">
        <v>7</v>
      </c>
      <c r="GE642" s="27" t="s">
        <v>8</v>
      </c>
      <c r="GL642" s="27" t="s">
        <v>7</v>
      </c>
      <c r="GM642" s="27" t="s">
        <v>8</v>
      </c>
      <c r="GN642" s="27" t="s">
        <v>7</v>
      </c>
      <c r="GQ642" s="27" t="s">
        <v>8</v>
      </c>
      <c r="HW642" s="27" t="s">
        <v>8</v>
      </c>
      <c r="HX642" s="27" t="s">
        <v>7</v>
      </c>
      <c r="IS642" s="27" t="s">
        <v>8</v>
      </c>
      <c r="IT642" s="27" t="s">
        <v>7</v>
      </c>
      <c r="IU642" s="27" t="s">
        <v>8</v>
      </c>
      <c r="IV642" s="27" t="s">
        <v>7</v>
      </c>
      <c r="IW642" s="27" t="s">
        <v>8</v>
      </c>
      <c r="IX642" s="27" t="s">
        <v>7</v>
      </c>
      <c r="JG642" s="27" t="s">
        <v>8</v>
      </c>
      <c r="JL642" s="27" t="s">
        <v>7</v>
      </c>
      <c r="JM642" s="27" t="s">
        <v>8</v>
      </c>
      <c r="JN642" s="27" t="s">
        <v>7</v>
      </c>
      <c r="JO642" s="27" t="s">
        <v>8</v>
      </c>
      <c r="JP642" s="27" t="s">
        <v>7</v>
      </c>
      <c r="JQ642" s="27" t="s">
        <v>8</v>
      </c>
      <c r="JR642" s="27" t="s">
        <v>7</v>
      </c>
      <c r="JS642" s="27" t="s">
        <v>8</v>
      </c>
      <c r="JT642" s="27" t="s">
        <v>7</v>
      </c>
      <c r="JW642" s="27" t="s">
        <v>8</v>
      </c>
      <c r="JX642" s="27" t="s">
        <v>7</v>
      </c>
      <c r="JY642" s="27" t="s">
        <v>8</v>
      </c>
      <c r="JZ642" s="27" t="s">
        <v>7</v>
      </c>
      <c r="KA642" s="27" t="s">
        <v>8</v>
      </c>
      <c r="KB642" s="27" t="s">
        <v>7</v>
      </c>
      <c r="KC642" s="27" t="s">
        <v>8</v>
      </c>
      <c r="KD642" s="27" t="s">
        <v>7</v>
      </c>
      <c r="KE642" s="27" t="s">
        <v>8</v>
      </c>
      <c r="KH642" s="27" t="s">
        <v>7</v>
      </c>
      <c r="KU642" s="27" t="s">
        <v>8</v>
      </c>
      <c r="KV642" s="27" t="s">
        <v>7</v>
      </c>
    </row>
    <row r="643" spans="1:308" x14ac:dyDescent="0.25">
      <c r="A643" s="7">
        <v>0.3299061270129871</v>
      </c>
      <c r="B643"/>
      <c r="C643"/>
      <c r="D643"/>
      <c r="E643"/>
      <c r="F643" s="27" t="s">
        <v>7</v>
      </c>
      <c r="FM643" s="27" t="s">
        <v>8</v>
      </c>
      <c r="FR643" s="27" t="s">
        <v>7</v>
      </c>
      <c r="FS643" s="27" t="s">
        <v>8</v>
      </c>
      <c r="GB643" s="27" t="s">
        <v>7</v>
      </c>
      <c r="GC643" s="27" t="s">
        <v>8</v>
      </c>
      <c r="GE643" s="27" t="s">
        <v>8</v>
      </c>
      <c r="GL643" s="27" t="s">
        <v>7</v>
      </c>
      <c r="GM643" s="27" t="s">
        <v>8</v>
      </c>
      <c r="GN643" s="27" t="s">
        <v>7</v>
      </c>
      <c r="GQ643" s="27" t="s">
        <v>8</v>
      </c>
      <c r="GR643" s="27" t="s">
        <v>7</v>
      </c>
      <c r="HW643" s="27" t="s">
        <v>8</v>
      </c>
      <c r="HX643" s="27" t="s">
        <v>7</v>
      </c>
      <c r="IS643" s="27" t="s">
        <v>8</v>
      </c>
      <c r="IT643" s="27" t="s">
        <v>7</v>
      </c>
      <c r="IU643" s="27" t="s">
        <v>8</v>
      </c>
      <c r="IV643" s="27" t="s">
        <v>7</v>
      </c>
      <c r="IW643" s="27" t="s">
        <v>8</v>
      </c>
      <c r="IX643" s="27" t="s">
        <v>7</v>
      </c>
      <c r="JG643" s="27" t="s">
        <v>8</v>
      </c>
      <c r="JL643" s="27" t="s">
        <v>7</v>
      </c>
      <c r="JM643" s="27" t="s">
        <v>8</v>
      </c>
      <c r="JN643" s="27" t="s">
        <v>7</v>
      </c>
      <c r="JO643" s="27" t="s">
        <v>8</v>
      </c>
      <c r="JP643" s="27" t="s">
        <v>7</v>
      </c>
      <c r="JQ643" s="27" t="s">
        <v>8</v>
      </c>
      <c r="JR643" s="27" t="s">
        <v>7</v>
      </c>
      <c r="JS643" s="27" t="s">
        <v>8</v>
      </c>
      <c r="JT643" s="27" t="s">
        <v>7</v>
      </c>
      <c r="JU643" s="27" t="s">
        <v>8</v>
      </c>
      <c r="JW643" s="27" t="s">
        <v>8</v>
      </c>
      <c r="JX643" s="27" t="s">
        <v>7</v>
      </c>
      <c r="JY643" s="27" t="s">
        <v>8</v>
      </c>
      <c r="JZ643" s="27" t="s">
        <v>7</v>
      </c>
      <c r="KA643" s="27" t="s">
        <v>8</v>
      </c>
      <c r="KB643" s="27" t="s">
        <v>7</v>
      </c>
      <c r="KC643" s="27" t="s">
        <v>8</v>
      </c>
      <c r="KD643" s="27" t="s">
        <v>7</v>
      </c>
      <c r="KE643" s="27" t="s">
        <v>8</v>
      </c>
      <c r="KH643" s="27" t="s">
        <v>7</v>
      </c>
      <c r="KU643" s="27" t="s">
        <v>8</v>
      </c>
      <c r="KV643" s="27" t="s">
        <v>7</v>
      </c>
    </row>
    <row r="644" spans="1:308" x14ac:dyDescent="0.25">
      <c r="A644" s="7">
        <v>0.32343737942449713</v>
      </c>
      <c r="B644"/>
      <c r="C644"/>
      <c r="D644"/>
      <c r="E644"/>
      <c r="F644" s="27" t="s">
        <v>7</v>
      </c>
      <c r="FM644" s="27" t="s">
        <v>8</v>
      </c>
      <c r="FR644" s="27" t="s">
        <v>7</v>
      </c>
      <c r="FS644" s="27" t="s">
        <v>8</v>
      </c>
      <c r="GB644" s="27" t="s">
        <v>7</v>
      </c>
      <c r="GC644" s="27" t="s">
        <v>8</v>
      </c>
      <c r="GD644" s="27" t="s">
        <v>7</v>
      </c>
      <c r="GE644" s="27" t="s">
        <v>8</v>
      </c>
      <c r="GL644" s="27" t="s">
        <v>7</v>
      </c>
      <c r="GM644" s="27" t="s">
        <v>8</v>
      </c>
      <c r="GN644" s="27" t="s">
        <v>7</v>
      </c>
      <c r="GO644" s="27" t="s">
        <v>8</v>
      </c>
      <c r="GQ644" s="27" t="s">
        <v>8</v>
      </c>
      <c r="GR644" s="27" t="s">
        <v>7</v>
      </c>
      <c r="HW644" s="27" t="s">
        <v>8</v>
      </c>
      <c r="HX644" s="27" t="s">
        <v>7</v>
      </c>
      <c r="IK644" s="27" t="s">
        <v>8</v>
      </c>
      <c r="IS644" s="27" t="s">
        <v>8</v>
      </c>
      <c r="IT644" s="27" t="s">
        <v>7</v>
      </c>
      <c r="IU644" s="27" t="s">
        <v>8</v>
      </c>
      <c r="IV644" s="27" t="s">
        <v>7</v>
      </c>
      <c r="IW644" s="27" t="s">
        <v>8</v>
      </c>
      <c r="IX644" s="27" t="s">
        <v>7</v>
      </c>
      <c r="JG644" s="27" t="s">
        <v>8</v>
      </c>
      <c r="JL644" s="27" t="s">
        <v>7</v>
      </c>
      <c r="JM644" s="27" t="s">
        <v>8</v>
      </c>
      <c r="JN644" s="27" t="s">
        <v>7</v>
      </c>
      <c r="JO644" s="27" t="s">
        <v>8</v>
      </c>
      <c r="JP644" s="27" t="s">
        <v>7</v>
      </c>
      <c r="JQ644" s="27" t="s">
        <v>8</v>
      </c>
      <c r="JR644" s="27" t="s">
        <v>7</v>
      </c>
      <c r="JS644" s="27" t="s">
        <v>8</v>
      </c>
      <c r="JT644" s="27" t="s">
        <v>7</v>
      </c>
      <c r="JU644" s="27" t="s">
        <v>8</v>
      </c>
      <c r="JV644" s="27" t="s">
        <v>7</v>
      </c>
      <c r="JW644" s="27" t="s">
        <v>8</v>
      </c>
      <c r="JX644" s="27" t="s">
        <v>7</v>
      </c>
      <c r="JY644" s="27" t="s">
        <v>8</v>
      </c>
      <c r="JZ644" s="27" t="s">
        <v>7</v>
      </c>
      <c r="KA644" s="27" t="s">
        <v>8</v>
      </c>
      <c r="KB644" s="27" t="s">
        <v>7</v>
      </c>
      <c r="KC644" s="27" t="s">
        <v>8</v>
      </c>
      <c r="KD644" s="27" t="s">
        <v>7</v>
      </c>
      <c r="KE644" s="27" t="s">
        <v>8</v>
      </c>
      <c r="KH644" s="27" t="s">
        <v>7</v>
      </c>
      <c r="KU644" s="27" t="s">
        <v>8</v>
      </c>
      <c r="KV644" s="27" t="s">
        <v>7</v>
      </c>
    </row>
    <row r="645" spans="1:308" x14ac:dyDescent="0.25">
      <c r="A645" s="7">
        <v>0.31709547002401678</v>
      </c>
      <c r="B645"/>
      <c r="C645"/>
      <c r="D645"/>
      <c r="E645"/>
      <c r="F645" s="27" t="s">
        <v>7</v>
      </c>
      <c r="FM645" s="27" t="s">
        <v>8</v>
      </c>
      <c r="FR645" s="27" t="s">
        <v>7</v>
      </c>
      <c r="FS645" s="27" t="s">
        <v>8</v>
      </c>
      <c r="GB645" s="27" t="s">
        <v>7</v>
      </c>
      <c r="GC645" s="27" t="s">
        <v>8</v>
      </c>
      <c r="GD645" s="27" t="s">
        <v>7</v>
      </c>
      <c r="GE645" s="27" t="s">
        <v>8</v>
      </c>
      <c r="GL645" s="27" t="s">
        <v>7</v>
      </c>
      <c r="GM645" s="27" t="s">
        <v>8</v>
      </c>
      <c r="GN645" s="27" t="s">
        <v>7</v>
      </c>
      <c r="GO645" s="27" t="s">
        <v>8</v>
      </c>
      <c r="GP645" s="27" t="s">
        <v>7</v>
      </c>
      <c r="GQ645" s="27" t="s">
        <v>8</v>
      </c>
      <c r="GR645" s="27" t="s">
        <v>7</v>
      </c>
      <c r="HW645" s="27" t="s">
        <v>8</v>
      </c>
      <c r="HX645" s="27" t="s">
        <v>7</v>
      </c>
      <c r="IK645" s="27" t="s">
        <v>8</v>
      </c>
      <c r="IL645" s="27" t="s">
        <v>7</v>
      </c>
      <c r="IS645" s="27" t="s">
        <v>8</v>
      </c>
      <c r="IT645" s="27" t="s">
        <v>7</v>
      </c>
      <c r="IU645" s="27" t="s">
        <v>8</v>
      </c>
      <c r="IV645" s="27" t="s">
        <v>7</v>
      </c>
      <c r="IW645" s="27" t="s">
        <v>8</v>
      </c>
      <c r="IX645" s="27" t="s">
        <v>7</v>
      </c>
      <c r="IY645" s="27" t="s">
        <v>8</v>
      </c>
      <c r="JG645" s="27" t="s">
        <v>8</v>
      </c>
      <c r="JL645" s="27" t="s">
        <v>7</v>
      </c>
      <c r="JM645" s="27" t="s">
        <v>8</v>
      </c>
      <c r="JN645" s="27" t="s">
        <v>7</v>
      </c>
      <c r="JO645" s="27" t="s">
        <v>8</v>
      </c>
      <c r="JP645" s="27" t="s">
        <v>7</v>
      </c>
      <c r="JR645" s="27" t="s">
        <v>7</v>
      </c>
      <c r="JS645" s="27" t="s">
        <v>8</v>
      </c>
      <c r="JT645" s="27" t="s">
        <v>7</v>
      </c>
      <c r="JU645" s="27" t="s">
        <v>8</v>
      </c>
      <c r="JV645" s="27" t="s">
        <v>7</v>
      </c>
      <c r="JW645" s="27" t="s">
        <v>8</v>
      </c>
      <c r="JX645" s="27" t="s">
        <v>7</v>
      </c>
      <c r="JY645" s="27" t="s">
        <v>8</v>
      </c>
      <c r="JZ645" s="27" t="s">
        <v>7</v>
      </c>
      <c r="KA645" s="27" t="s">
        <v>8</v>
      </c>
      <c r="KB645" s="27" t="s">
        <v>7</v>
      </c>
      <c r="KC645" s="27" t="s">
        <v>8</v>
      </c>
      <c r="KD645" s="27" t="s">
        <v>7</v>
      </c>
      <c r="KH645" s="27" t="s">
        <v>7</v>
      </c>
      <c r="KU645" s="27" t="s">
        <v>8</v>
      </c>
      <c r="KV645" s="27" t="s">
        <v>7</v>
      </c>
    </row>
    <row r="646" spans="1:308" x14ac:dyDescent="0.25">
      <c r="A646" s="7">
        <v>0.31087791178825175</v>
      </c>
      <c r="B646"/>
      <c r="C646"/>
      <c r="D646"/>
      <c r="E646"/>
      <c r="F646" s="27" t="s">
        <v>7</v>
      </c>
      <c r="FG646" s="27" t="s">
        <v>8</v>
      </c>
      <c r="FM646" s="27" t="s">
        <v>8</v>
      </c>
      <c r="FR646" s="27" t="s">
        <v>7</v>
      </c>
      <c r="FS646" s="27" t="s">
        <v>8</v>
      </c>
      <c r="GB646" s="27" t="s">
        <v>7</v>
      </c>
      <c r="GC646" s="27" t="s">
        <v>8</v>
      </c>
      <c r="GD646" s="27" t="s">
        <v>7</v>
      </c>
      <c r="GE646" s="27" t="s">
        <v>8</v>
      </c>
      <c r="GL646" s="27" t="s">
        <v>7</v>
      </c>
      <c r="GM646" s="27" t="s">
        <v>8</v>
      </c>
      <c r="GN646" s="27" t="s">
        <v>7</v>
      </c>
      <c r="GO646" s="27" t="s">
        <v>8</v>
      </c>
      <c r="GP646" s="27" t="s">
        <v>7</v>
      </c>
      <c r="GQ646" s="27" t="s">
        <v>8</v>
      </c>
      <c r="GR646" s="27" t="s">
        <v>7</v>
      </c>
      <c r="HW646" s="27" t="s">
        <v>8</v>
      </c>
      <c r="HX646" s="27" t="s">
        <v>7</v>
      </c>
      <c r="IK646" s="27" t="s">
        <v>8</v>
      </c>
      <c r="IL646" s="27" t="s">
        <v>7</v>
      </c>
      <c r="IS646" s="27" t="s">
        <v>8</v>
      </c>
      <c r="IT646" s="27" t="s">
        <v>7</v>
      </c>
      <c r="IU646" s="27" t="s">
        <v>8</v>
      </c>
      <c r="IV646" s="27" t="s">
        <v>7</v>
      </c>
      <c r="IX646" s="27" t="s">
        <v>7</v>
      </c>
      <c r="IY646" s="27" t="s">
        <v>8</v>
      </c>
      <c r="IZ646" s="27" t="s">
        <v>7</v>
      </c>
      <c r="JE646" s="27" t="s">
        <v>8</v>
      </c>
      <c r="JG646" s="27" t="s">
        <v>8</v>
      </c>
      <c r="JL646" s="27" t="s">
        <v>7</v>
      </c>
      <c r="JN646" s="27" t="s">
        <v>7</v>
      </c>
      <c r="JO646" s="27" t="s">
        <v>8</v>
      </c>
      <c r="JR646" s="27" t="s">
        <v>7</v>
      </c>
      <c r="JS646" s="27" t="s">
        <v>8</v>
      </c>
      <c r="JT646" s="27" t="s">
        <v>7</v>
      </c>
      <c r="JV646" s="27" t="s">
        <v>7</v>
      </c>
      <c r="JX646" s="27" t="s">
        <v>7</v>
      </c>
      <c r="JZ646" s="27" t="s">
        <v>7</v>
      </c>
      <c r="KA646" s="27" t="s">
        <v>8</v>
      </c>
      <c r="KB646" s="27" t="s">
        <v>7</v>
      </c>
      <c r="KC646" s="27" t="s">
        <v>8</v>
      </c>
      <c r="KH646" s="27" t="s">
        <v>7</v>
      </c>
      <c r="KU646" s="27" t="s">
        <v>8</v>
      </c>
      <c r="KV646" s="27" t="s">
        <v>7</v>
      </c>
    </row>
    <row r="647" spans="1:308" x14ac:dyDescent="0.25">
      <c r="A647" s="7">
        <v>0.30478226645907036</v>
      </c>
      <c r="B647"/>
      <c r="C647"/>
      <c r="D647"/>
      <c r="E647"/>
      <c r="F647" s="27" t="s">
        <v>7</v>
      </c>
      <c r="FG647" s="27" t="s">
        <v>8</v>
      </c>
      <c r="FH647" s="27" t="s">
        <v>7</v>
      </c>
      <c r="FI647" s="27" t="s">
        <v>8</v>
      </c>
      <c r="FM647" s="27" t="s">
        <v>8</v>
      </c>
      <c r="FR647" s="27" t="s">
        <v>7</v>
      </c>
      <c r="FS647" s="27" t="s">
        <v>8</v>
      </c>
      <c r="GB647" s="27" t="s">
        <v>7</v>
      </c>
      <c r="GC647" s="27" t="s">
        <v>8</v>
      </c>
      <c r="GD647" s="27" t="s">
        <v>7</v>
      </c>
      <c r="GE647" s="27" t="s">
        <v>8</v>
      </c>
      <c r="GL647" s="27" t="s">
        <v>7</v>
      </c>
      <c r="GM647" s="27" t="s">
        <v>8</v>
      </c>
      <c r="GN647" s="27" t="s">
        <v>7</v>
      </c>
      <c r="GO647" s="27" t="s">
        <v>8</v>
      </c>
      <c r="GP647" s="27" t="s">
        <v>7</v>
      </c>
      <c r="GQ647" s="27" t="s">
        <v>8</v>
      </c>
      <c r="GR647" s="27" t="s">
        <v>7</v>
      </c>
      <c r="HW647" s="27" t="s">
        <v>8</v>
      </c>
      <c r="HX647" s="27" t="s">
        <v>7</v>
      </c>
      <c r="IK647" s="27" t="s">
        <v>8</v>
      </c>
      <c r="IL647" s="27" t="s">
        <v>7</v>
      </c>
      <c r="IM647" s="27" t="s">
        <v>8</v>
      </c>
      <c r="IS647" s="27" t="s">
        <v>8</v>
      </c>
      <c r="IT647" s="27" t="s">
        <v>7</v>
      </c>
      <c r="IX647" s="27" t="s">
        <v>7</v>
      </c>
      <c r="IY647" s="27" t="s">
        <v>8</v>
      </c>
      <c r="IZ647" s="27" t="s">
        <v>7</v>
      </c>
      <c r="JA647" s="27" t="s">
        <v>8</v>
      </c>
      <c r="JE647" s="27" t="s">
        <v>8</v>
      </c>
      <c r="JF647" s="27" t="s">
        <v>7</v>
      </c>
      <c r="JG647" s="27" t="s">
        <v>8</v>
      </c>
      <c r="JN647" s="27" t="s">
        <v>7</v>
      </c>
      <c r="JR647" s="27" t="s">
        <v>7</v>
      </c>
      <c r="JS647" s="27" t="s">
        <v>8</v>
      </c>
      <c r="JZ647" s="27" t="s">
        <v>7</v>
      </c>
      <c r="KA647" s="27" t="s">
        <v>8</v>
      </c>
      <c r="KB647" s="27" t="s">
        <v>7</v>
      </c>
      <c r="KH647" s="27" t="s">
        <v>7</v>
      </c>
      <c r="KU647" s="27" t="s">
        <v>8</v>
      </c>
      <c r="KV647" s="27" t="s">
        <v>7</v>
      </c>
    </row>
    <row r="648" spans="1:308" x14ac:dyDescent="0.25">
      <c r="A648" s="7">
        <v>0.29880614358732388</v>
      </c>
      <c r="B648"/>
      <c r="C648"/>
      <c r="D648"/>
      <c r="E648"/>
      <c r="F648" s="27" t="s">
        <v>7</v>
      </c>
      <c r="FG648" s="27" t="s">
        <v>8</v>
      </c>
      <c r="FH648" s="27" t="s">
        <v>7</v>
      </c>
      <c r="FI648" s="27" t="s">
        <v>8</v>
      </c>
      <c r="FJ648" s="27" t="s">
        <v>7</v>
      </c>
      <c r="FK648" s="27" t="s">
        <v>8</v>
      </c>
      <c r="FM648" s="27" t="s">
        <v>8</v>
      </c>
      <c r="FR648" s="27" t="s">
        <v>7</v>
      </c>
      <c r="FS648" s="27" t="s">
        <v>8</v>
      </c>
      <c r="GB648" s="27" t="s">
        <v>7</v>
      </c>
      <c r="GC648" s="27" t="s">
        <v>8</v>
      </c>
      <c r="GD648" s="27" t="s">
        <v>7</v>
      </c>
      <c r="GE648" s="27" t="s">
        <v>8</v>
      </c>
      <c r="GL648" s="27" t="s">
        <v>7</v>
      </c>
      <c r="GN648" s="27" t="s">
        <v>7</v>
      </c>
      <c r="GO648" s="27" t="s">
        <v>8</v>
      </c>
      <c r="GP648" s="27" t="s">
        <v>7</v>
      </c>
      <c r="GQ648" s="27" t="s">
        <v>8</v>
      </c>
      <c r="GR648" s="27" t="s">
        <v>7</v>
      </c>
      <c r="HW648" s="27" t="s">
        <v>8</v>
      </c>
      <c r="HX648" s="27" t="s">
        <v>7</v>
      </c>
      <c r="IK648" s="27" t="s">
        <v>8</v>
      </c>
      <c r="IL648" s="27" t="s">
        <v>7</v>
      </c>
      <c r="IM648" s="27" t="s">
        <v>8</v>
      </c>
      <c r="IN648" s="27" t="s">
        <v>7</v>
      </c>
      <c r="IQ648" s="27" t="s">
        <v>8</v>
      </c>
      <c r="IS648" s="27" t="s">
        <v>8</v>
      </c>
      <c r="IX648" s="27" t="s">
        <v>7</v>
      </c>
      <c r="IY648" s="27" t="s">
        <v>8</v>
      </c>
      <c r="IZ648" s="27" t="s">
        <v>7</v>
      </c>
      <c r="JA648" s="27" t="s">
        <v>8</v>
      </c>
      <c r="JB648" s="27" t="s">
        <v>7</v>
      </c>
      <c r="JE648" s="27" t="s">
        <v>8</v>
      </c>
      <c r="JF648" s="27" t="s">
        <v>7</v>
      </c>
      <c r="JG648" s="27" t="s">
        <v>8</v>
      </c>
      <c r="JR648" s="27" t="s">
        <v>7</v>
      </c>
      <c r="JS648" s="27" t="s">
        <v>8</v>
      </c>
      <c r="JZ648" s="27" t="s">
        <v>7</v>
      </c>
      <c r="KA648" s="27" t="s">
        <v>8</v>
      </c>
      <c r="KH648" s="27" t="s">
        <v>7</v>
      </c>
      <c r="KU648" s="27" t="s">
        <v>8</v>
      </c>
      <c r="KV648" s="27" t="s">
        <v>7</v>
      </c>
    </row>
    <row r="649" spans="1:308" x14ac:dyDescent="0.25">
      <c r="A649" s="7">
        <v>0.2929471995954156</v>
      </c>
      <c r="B649"/>
      <c r="C649"/>
      <c r="D649"/>
      <c r="E649"/>
      <c r="F649" s="27" t="s">
        <v>7</v>
      </c>
      <c r="FG649" s="27" t="s">
        <v>8</v>
      </c>
      <c r="FH649" s="27" t="s">
        <v>7</v>
      </c>
      <c r="FI649" s="27" t="s">
        <v>8</v>
      </c>
      <c r="FJ649" s="27" t="s">
        <v>7</v>
      </c>
      <c r="FK649" s="27" t="s">
        <v>8</v>
      </c>
      <c r="FL649" s="27" t="s">
        <v>7</v>
      </c>
      <c r="FM649" s="27" t="s">
        <v>8</v>
      </c>
      <c r="FR649" s="27" t="s">
        <v>7</v>
      </c>
      <c r="FS649" s="27" t="s">
        <v>8</v>
      </c>
      <c r="GB649" s="27" t="s">
        <v>7</v>
      </c>
      <c r="GC649" s="27" t="s">
        <v>8</v>
      </c>
      <c r="GD649" s="27" t="s">
        <v>7</v>
      </c>
      <c r="GE649" s="27" t="s">
        <v>8</v>
      </c>
      <c r="GN649" s="27" t="s">
        <v>7</v>
      </c>
      <c r="GO649" s="27" t="s">
        <v>8</v>
      </c>
      <c r="GP649" s="27" t="s">
        <v>7</v>
      </c>
      <c r="GQ649" s="27" t="s">
        <v>8</v>
      </c>
      <c r="GR649" s="27" t="s">
        <v>7</v>
      </c>
      <c r="HW649" s="27" t="s">
        <v>8</v>
      </c>
      <c r="HX649" s="27" t="s">
        <v>7</v>
      </c>
      <c r="IG649" s="27" t="s">
        <v>8</v>
      </c>
      <c r="IK649" s="27" t="s">
        <v>8</v>
      </c>
      <c r="IL649" s="27" t="s">
        <v>7</v>
      </c>
      <c r="IM649" s="27" t="s">
        <v>8</v>
      </c>
      <c r="IN649" s="27" t="s">
        <v>7</v>
      </c>
      <c r="IO649" s="27" t="s">
        <v>8</v>
      </c>
      <c r="IQ649" s="27" t="s">
        <v>8</v>
      </c>
      <c r="IR649" s="27" t="s">
        <v>7</v>
      </c>
      <c r="IS649" s="27" t="s">
        <v>8</v>
      </c>
      <c r="IX649" s="27" t="s">
        <v>7</v>
      </c>
      <c r="IY649" s="27" t="s">
        <v>8</v>
      </c>
      <c r="IZ649" s="27" t="s">
        <v>7</v>
      </c>
      <c r="JA649" s="27" t="s">
        <v>8</v>
      </c>
      <c r="JB649" s="27" t="s">
        <v>7</v>
      </c>
      <c r="JE649" s="27" t="s">
        <v>8</v>
      </c>
      <c r="JF649" s="27" t="s">
        <v>7</v>
      </c>
      <c r="JG649" s="27" t="s">
        <v>8</v>
      </c>
      <c r="JR649" s="27" t="s">
        <v>7</v>
      </c>
      <c r="JS649" s="27" t="s">
        <v>8</v>
      </c>
      <c r="JZ649" s="27" t="s">
        <v>7</v>
      </c>
      <c r="KH649" s="27" t="s">
        <v>7</v>
      </c>
      <c r="KK649" s="27" t="s">
        <v>8</v>
      </c>
      <c r="KU649" s="27" t="s">
        <v>8</v>
      </c>
      <c r="KV649" s="27" t="s">
        <v>7</v>
      </c>
    </row>
    <row r="650" spans="1:308" x14ac:dyDescent="0.25">
      <c r="A650" s="7">
        <v>0.28720313685825055</v>
      </c>
      <c r="B650"/>
      <c r="C650"/>
      <c r="D650"/>
      <c r="E650"/>
      <c r="F650" s="27" t="s">
        <v>7</v>
      </c>
      <c r="FE650" s="27" t="s">
        <v>8</v>
      </c>
      <c r="FG650" s="27" t="s">
        <v>8</v>
      </c>
      <c r="FH650" s="27" t="s">
        <v>7</v>
      </c>
      <c r="FI650" s="27" t="s">
        <v>8</v>
      </c>
      <c r="FJ650" s="27" t="s">
        <v>7</v>
      </c>
      <c r="FK650" s="27" t="s">
        <v>8</v>
      </c>
      <c r="FL650" s="27" t="s">
        <v>7</v>
      </c>
      <c r="FM650" s="27" t="s">
        <v>8</v>
      </c>
      <c r="FR650" s="27" t="s">
        <v>7</v>
      </c>
      <c r="FS650" s="27" t="s">
        <v>8</v>
      </c>
      <c r="GB650" s="27" t="s">
        <v>7</v>
      </c>
      <c r="GC650" s="27" t="s">
        <v>8</v>
      </c>
      <c r="GD650" s="27" t="s">
        <v>7</v>
      </c>
      <c r="GE650" s="27" t="s">
        <v>8</v>
      </c>
      <c r="GN650" s="27" t="s">
        <v>7</v>
      </c>
      <c r="GO650" s="27" t="s">
        <v>8</v>
      </c>
      <c r="GP650" s="27" t="s">
        <v>7</v>
      </c>
      <c r="GQ650" s="27" t="s">
        <v>8</v>
      </c>
      <c r="GR650" s="27" t="s">
        <v>7</v>
      </c>
      <c r="HW650" s="27" t="s">
        <v>8</v>
      </c>
      <c r="HX650" s="27" t="s">
        <v>7</v>
      </c>
      <c r="IE650" s="27" t="s">
        <v>8</v>
      </c>
      <c r="IG650" s="27" t="s">
        <v>8</v>
      </c>
      <c r="IH650" s="27" t="s">
        <v>7</v>
      </c>
      <c r="II650" s="27" t="s">
        <v>8</v>
      </c>
      <c r="IK650" s="27" t="s">
        <v>8</v>
      </c>
      <c r="IL650" s="27" t="s">
        <v>7</v>
      </c>
      <c r="IM650" s="27" t="s">
        <v>8</v>
      </c>
      <c r="IN650" s="27" t="s">
        <v>7</v>
      </c>
      <c r="IO650" s="27" t="s">
        <v>8</v>
      </c>
      <c r="IP650" s="27" t="s">
        <v>7</v>
      </c>
      <c r="IQ650" s="27" t="s">
        <v>8</v>
      </c>
      <c r="IR650" s="27" t="s">
        <v>7</v>
      </c>
      <c r="IS650" s="27" t="s">
        <v>8</v>
      </c>
      <c r="IX650" s="27" t="s">
        <v>7</v>
      </c>
      <c r="IY650" s="27" t="s">
        <v>8</v>
      </c>
      <c r="IZ650" s="27" t="s">
        <v>7</v>
      </c>
      <c r="JA650" s="27" t="s">
        <v>8</v>
      </c>
      <c r="JB650" s="27" t="s">
        <v>7</v>
      </c>
      <c r="JC650" s="27" t="s">
        <v>8</v>
      </c>
      <c r="JE650" s="27" t="s">
        <v>8</v>
      </c>
      <c r="JF650" s="27" t="s">
        <v>7</v>
      </c>
      <c r="JG650" s="27" t="s">
        <v>8</v>
      </c>
      <c r="JR650" s="27" t="s">
        <v>7</v>
      </c>
      <c r="JS650" s="27" t="s">
        <v>8</v>
      </c>
      <c r="KH650" s="27" t="s">
        <v>7</v>
      </c>
      <c r="KK650" s="27" t="s">
        <v>8</v>
      </c>
      <c r="KL650" s="27" t="s">
        <v>7</v>
      </c>
      <c r="KU650" s="27" t="s">
        <v>8</v>
      </c>
      <c r="KV650" s="27" t="s">
        <v>7</v>
      </c>
    </row>
    <row r="651" spans="1:308" x14ac:dyDescent="0.25">
      <c r="A651" s="7">
        <v>0.28157170280220645</v>
      </c>
      <c r="B651"/>
      <c r="C651"/>
      <c r="D651"/>
      <c r="E651"/>
      <c r="F651" s="27" t="s">
        <v>7</v>
      </c>
      <c r="FC651" s="27" t="s">
        <v>8</v>
      </c>
      <c r="FE651" s="27" t="s">
        <v>8</v>
      </c>
      <c r="FF651" s="27" t="s">
        <v>7</v>
      </c>
      <c r="FG651" s="27" t="s">
        <v>8</v>
      </c>
      <c r="FH651" s="27" t="s">
        <v>7</v>
      </c>
      <c r="FI651" s="27" t="s">
        <v>8</v>
      </c>
      <c r="FJ651" s="27" t="s">
        <v>7</v>
      </c>
      <c r="FK651" s="27" t="s">
        <v>8</v>
      </c>
      <c r="FL651" s="27" t="s">
        <v>7</v>
      </c>
      <c r="FM651" s="27" t="s">
        <v>8</v>
      </c>
      <c r="FR651" s="27" t="s">
        <v>7</v>
      </c>
      <c r="FS651" s="27" t="s">
        <v>8</v>
      </c>
      <c r="GB651" s="27" t="s">
        <v>7</v>
      </c>
      <c r="GC651" s="27" t="s">
        <v>8</v>
      </c>
      <c r="GD651" s="27" t="s">
        <v>7</v>
      </c>
      <c r="GE651" s="27" t="s">
        <v>8</v>
      </c>
      <c r="GN651" s="27" t="s">
        <v>7</v>
      </c>
      <c r="GO651" s="27" t="s">
        <v>8</v>
      </c>
      <c r="GP651" s="27" t="s">
        <v>7</v>
      </c>
      <c r="GQ651" s="27" t="s">
        <v>8</v>
      </c>
      <c r="GR651" s="27" t="s">
        <v>7</v>
      </c>
      <c r="HW651" s="27" t="s">
        <v>8</v>
      </c>
      <c r="HX651" s="27" t="s">
        <v>7</v>
      </c>
      <c r="IE651" s="27" t="s">
        <v>8</v>
      </c>
      <c r="IF651" s="27" t="s">
        <v>7</v>
      </c>
      <c r="IG651" s="27" t="s">
        <v>8</v>
      </c>
      <c r="IH651" s="27" t="s">
        <v>7</v>
      </c>
      <c r="II651" s="27" t="s">
        <v>8</v>
      </c>
      <c r="IJ651" s="27" t="s">
        <v>7</v>
      </c>
      <c r="IK651" s="27" t="s">
        <v>8</v>
      </c>
      <c r="IL651" s="27" t="s">
        <v>7</v>
      </c>
      <c r="IM651" s="27" t="s">
        <v>8</v>
      </c>
      <c r="IN651" s="27" t="s">
        <v>7</v>
      </c>
      <c r="IO651" s="27" t="s">
        <v>8</v>
      </c>
      <c r="IP651" s="27" t="s">
        <v>7</v>
      </c>
      <c r="IQ651" s="27" t="s">
        <v>8</v>
      </c>
      <c r="IR651" s="27" t="s">
        <v>7</v>
      </c>
      <c r="IX651" s="27" t="s">
        <v>7</v>
      </c>
      <c r="IY651" s="27" t="s">
        <v>8</v>
      </c>
      <c r="IZ651" s="27" t="s">
        <v>7</v>
      </c>
      <c r="JA651" s="27" t="s">
        <v>8</v>
      </c>
      <c r="JB651" s="27" t="s">
        <v>7</v>
      </c>
      <c r="JC651" s="27" t="s">
        <v>8</v>
      </c>
      <c r="JD651" s="27" t="s">
        <v>7</v>
      </c>
      <c r="JE651" s="27" t="s">
        <v>8</v>
      </c>
      <c r="JF651" s="27" t="s">
        <v>7</v>
      </c>
      <c r="JG651" s="27" t="s">
        <v>8</v>
      </c>
      <c r="JR651" s="27" t="s">
        <v>7</v>
      </c>
      <c r="JS651" s="27" t="s">
        <v>8</v>
      </c>
      <c r="KH651" s="27" t="s">
        <v>7</v>
      </c>
      <c r="KI651" s="27" t="s">
        <v>8</v>
      </c>
      <c r="KK651" s="27" t="s">
        <v>8</v>
      </c>
      <c r="KL651" s="27" t="s">
        <v>7</v>
      </c>
      <c r="KU651" s="27" t="s">
        <v>8</v>
      </c>
      <c r="KV651" s="27" t="s">
        <v>7</v>
      </c>
    </row>
    <row r="652" spans="1:308" x14ac:dyDescent="0.25">
      <c r="A652" s="7">
        <v>0.27605068902177105</v>
      </c>
      <c r="B652"/>
      <c r="C652"/>
      <c r="D652"/>
      <c r="E652"/>
      <c r="F652" s="27" t="s">
        <v>7</v>
      </c>
      <c r="FC652" s="27" t="s">
        <v>8</v>
      </c>
      <c r="FD652" s="27" t="s">
        <v>7</v>
      </c>
      <c r="FE652" s="27" t="s">
        <v>8</v>
      </c>
      <c r="FF652" s="27" t="s">
        <v>7</v>
      </c>
      <c r="FG652" s="27" t="s">
        <v>8</v>
      </c>
      <c r="FH652" s="27" t="s">
        <v>7</v>
      </c>
      <c r="FI652" s="27" t="s">
        <v>8</v>
      </c>
      <c r="FJ652" s="27" t="s">
        <v>7</v>
      </c>
      <c r="FK652" s="27" t="s">
        <v>8</v>
      </c>
      <c r="FL652" s="27" t="s">
        <v>7</v>
      </c>
      <c r="FM652" s="27" t="s">
        <v>8</v>
      </c>
      <c r="FR652" s="27" t="s">
        <v>7</v>
      </c>
      <c r="FS652" s="27" t="s">
        <v>8</v>
      </c>
      <c r="GB652" s="27" t="s">
        <v>7</v>
      </c>
      <c r="GC652" s="27" t="s">
        <v>8</v>
      </c>
      <c r="GD652" s="27" t="s">
        <v>7</v>
      </c>
      <c r="GN652" s="27" t="s">
        <v>7</v>
      </c>
      <c r="GP652" s="27" t="s">
        <v>7</v>
      </c>
      <c r="GQ652" s="27" t="s">
        <v>8</v>
      </c>
      <c r="GR652" s="27" t="s">
        <v>7</v>
      </c>
      <c r="HW652" s="27" t="s">
        <v>8</v>
      </c>
      <c r="HX652" s="27" t="s">
        <v>7</v>
      </c>
      <c r="IC652" s="27" t="s">
        <v>8</v>
      </c>
      <c r="IE652" s="27" t="s">
        <v>8</v>
      </c>
      <c r="IF652" s="27" t="s">
        <v>7</v>
      </c>
      <c r="IG652" s="27" t="s">
        <v>8</v>
      </c>
      <c r="IH652" s="27" t="s">
        <v>7</v>
      </c>
      <c r="II652" s="27" t="s">
        <v>8</v>
      </c>
      <c r="IJ652" s="27" t="s">
        <v>7</v>
      </c>
      <c r="IK652" s="27" t="s">
        <v>8</v>
      </c>
      <c r="IL652" s="27" t="s">
        <v>7</v>
      </c>
      <c r="IN652" s="27" t="s">
        <v>7</v>
      </c>
      <c r="IP652" s="27" t="s">
        <v>7</v>
      </c>
      <c r="IX652" s="27" t="s">
        <v>7</v>
      </c>
      <c r="IY652" s="27" t="s">
        <v>8</v>
      </c>
      <c r="IZ652" s="27" t="s">
        <v>7</v>
      </c>
      <c r="JA652" s="27" t="s">
        <v>8</v>
      </c>
      <c r="JB652" s="27" t="s">
        <v>7</v>
      </c>
      <c r="JC652" s="27" t="s">
        <v>8</v>
      </c>
      <c r="JD652" s="27" t="s">
        <v>7</v>
      </c>
      <c r="JE652" s="27" t="s">
        <v>8</v>
      </c>
      <c r="JF652" s="27" t="s">
        <v>7</v>
      </c>
      <c r="JR652" s="27" t="s">
        <v>7</v>
      </c>
      <c r="KH652" s="27" t="s">
        <v>7</v>
      </c>
      <c r="KI652" s="27" t="s">
        <v>8</v>
      </c>
      <c r="KJ652" s="27" t="s">
        <v>7</v>
      </c>
      <c r="KK652" s="27" t="s">
        <v>8</v>
      </c>
      <c r="KL652" s="27" t="s">
        <v>7</v>
      </c>
      <c r="KS652" s="27" t="s">
        <v>8</v>
      </c>
      <c r="KU652" s="27" t="s">
        <v>8</v>
      </c>
      <c r="KV652" s="27" t="s">
        <v>7</v>
      </c>
    </row>
    <row r="653" spans="1:308" x14ac:dyDescent="0.25">
      <c r="A653" s="7">
        <v>0.27063793041350104</v>
      </c>
      <c r="B653"/>
      <c r="C653"/>
      <c r="D653"/>
      <c r="E653"/>
      <c r="F653" s="27" t="s">
        <v>7</v>
      </c>
      <c r="FC653" s="27" t="s">
        <v>8</v>
      </c>
      <c r="FD653" s="27" t="s">
        <v>7</v>
      </c>
      <c r="FE653" s="27" t="s">
        <v>8</v>
      </c>
      <c r="FF653" s="27" t="s">
        <v>7</v>
      </c>
      <c r="FG653" s="27" t="s">
        <v>8</v>
      </c>
      <c r="FH653" s="27" t="s">
        <v>7</v>
      </c>
      <c r="FI653" s="27" t="s">
        <v>8</v>
      </c>
      <c r="FJ653" s="27" t="s">
        <v>7</v>
      </c>
      <c r="FK653" s="27" t="s">
        <v>8</v>
      </c>
      <c r="FL653" s="27" t="s">
        <v>7</v>
      </c>
      <c r="FM653" s="27" t="s">
        <v>8</v>
      </c>
      <c r="FR653" s="27" t="s">
        <v>7</v>
      </c>
      <c r="FS653" s="27" t="s">
        <v>8</v>
      </c>
      <c r="GB653" s="27" t="s">
        <v>7</v>
      </c>
      <c r="GC653" s="27" t="s">
        <v>8</v>
      </c>
      <c r="GP653" s="27" t="s">
        <v>7</v>
      </c>
      <c r="GQ653" s="27" t="s">
        <v>8</v>
      </c>
      <c r="GR653" s="27" t="s">
        <v>7</v>
      </c>
      <c r="HW653" s="27" t="s">
        <v>8</v>
      </c>
      <c r="HX653" s="27" t="s">
        <v>7</v>
      </c>
      <c r="IC653" s="27" t="s">
        <v>8</v>
      </c>
      <c r="ID653" s="27" t="s">
        <v>7</v>
      </c>
      <c r="IE653" s="27" t="s">
        <v>8</v>
      </c>
      <c r="IF653" s="27" t="s">
        <v>7</v>
      </c>
      <c r="IG653" s="27" t="s">
        <v>8</v>
      </c>
      <c r="IH653" s="27" t="s">
        <v>7</v>
      </c>
      <c r="II653" s="27" t="s">
        <v>8</v>
      </c>
      <c r="IJ653" s="27" t="s">
        <v>7</v>
      </c>
      <c r="IK653" s="27" t="s">
        <v>8</v>
      </c>
      <c r="IX653" s="27" t="s">
        <v>7</v>
      </c>
      <c r="IZ653" s="27" t="s">
        <v>7</v>
      </c>
      <c r="JB653" s="27" t="s">
        <v>7</v>
      </c>
      <c r="JD653" s="27" t="s">
        <v>7</v>
      </c>
      <c r="JE653" s="27" t="s">
        <v>8</v>
      </c>
      <c r="KH653" s="27" t="s">
        <v>7</v>
      </c>
      <c r="KI653" s="27" t="s">
        <v>8</v>
      </c>
      <c r="KJ653" s="27" t="s">
        <v>7</v>
      </c>
      <c r="KK653" s="27" t="s">
        <v>8</v>
      </c>
      <c r="KL653" s="27" t="s">
        <v>7</v>
      </c>
      <c r="KS653" s="27" t="s">
        <v>8</v>
      </c>
      <c r="KT653" s="27" t="s">
        <v>7</v>
      </c>
      <c r="KU653" s="27" t="s">
        <v>8</v>
      </c>
      <c r="KV653" s="27" t="s">
        <v>7</v>
      </c>
    </row>
    <row r="654" spans="1:308" x14ac:dyDescent="0.25">
      <c r="A654" s="7">
        <v>0.26533130432696184</v>
      </c>
      <c r="B654"/>
      <c r="C654"/>
      <c r="D654"/>
      <c r="E654"/>
      <c r="F654" s="27" t="s">
        <v>7</v>
      </c>
      <c r="FC654" s="27" t="s">
        <v>8</v>
      </c>
      <c r="FD654" s="27" t="s">
        <v>7</v>
      </c>
      <c r="FE654" s="27" t="s">
        <v>8</v>
      </c>
      <c r="FF654" s="27" t="s">
        <v>7</v>
      </c>
      <c r="FG654" s="27" t="s">
        <v>8</v>
      </c>
      <c r="FH654" s="27" t="s">
        <v>7</v>
      </c>
      <c r="FJ654" s="27" t="s">
        <v>7</v>
      </c>
      <c r="FK654" s="27" t="s">
        <v>8</v>
      </c>
      <c r="FL654" s="27" t="s">
        <v>7</v>
      </c>
      <c r="FM654" s="27" t="s">
        <v>8</v>
      </c>
      <c r="FR654" s="27" t="s">
        <v>7</v>
      </c>
      <c r="GB654" s="27" t="s">
        <v>7</v>
      </c>
      <c r="GC654" s="27" t="s">
        <v>8</v>
      </c>
      <c r="GP654" s="27" t="s">
        <v>7</v>
      </c>
      <c r="GQ654" s="27" t="s">
        <v>8</v>
      </c>
      <c r="GR654" s="27" t="s">
        <v>7</v>
      </c>
      <c r="GU654" s="27" t="s">
        <v>8</v>
      </c>
      <c r="HW654" s="27" t="s">
        <v>8</v>
      </c>
      <c r="HX654" s="27" t="s">
        <v>7</v>
      </c>
      <c r="IC654" s="27" t="s">
        <v>8</v>
      </c>
      <c r="ID654" s="27" t="s">
        <v>7</v>
      </c>
      <c r="IE654" s="27" t="s">
        <v>8</v>
      </c>
      <c r="IF654" s="27" t="s">
        <v>7</v>
      </c>
      <c r="IH654" s="27" t="s">
        <v>7</v>
      </c>
      <c r="II654" s="27" t="s">
        <v>8</v>
      </c>
      <c r="IJ654" s="27" t="s">
        <v>7</v>
      </c>
      <c r="JD654" s="27" t="s">
        <v>7</v>
      </c>
      <c r="JE654" s="27" t="s">
        <v>8</v>
      </c>
      <c r="KH654" s="27" t="s">
        <v>7</v>
      </c>
      <c r="KI654" s="27" t="s">
        <v>8</v>
      </c>
      <c r="KJ654" s="27" t="s">
        <v>7</v>
      </c>
      <c r="KK654" s="27" t="s">
        <v>8</v>
      </c>
      <c r="KL654" s="27" t="s">
        <v>7</v>
      </c>
      <c r="KS654" s="27" t="s">
        <v>8</v>
      </c>
      <c r="KT654" s="27" t="s">
        <v>7</v>
      </c>
      <c r="KU654" s="27" t="s">
        <v>8</v>
      </c>
      <c r="KV654" s="27" t="s">
        <v>7</v>
      </c>
    </row>
    <row r="655" spans="1:308" x14ac:dyDescent="0.25">
      <c r="A655" s="7">
        <v>0.26012872973231554</v>
      </c>
      <c r="B655"/>
      <c r="C655"/>
      <c r="D655"/>
      <c r="E655"/>
      <c r="F655" s="27" t="s">
        <v>7</v>
      </c>
      <c r="FC655" s="27" t="s">
        <v>8</v>
      </c>
      <c r="FD655" s="27" t="s">
        <v>7</v>
      </c>
      <c r="FE655" s="27" t="s">
        <v>8</v>
      </c>
      <c r="FF655" s="27" t="s">
        <v>7</v>
      </c>
      <c r="FJ655" s="27" t="s">
        <v>7</v>
      </c>
      <c r="FK655" s="27" t="s">
        <v>8</v>
      </c>
      <c r="FL655" s="27" t="s">
        <v>7</v>
      </c>
      <c r="FM655" s="27" t="s">
        <v>8</v>
      </c>
      <c r="GB655" s="27" t="s">
        <v>7</v>
      </c>
      <c r="GC655" s="27" t="s">
        <v>8</v>
      </c>
      <c r="GP655" s="27" t="s">
        <v>7</v>
      </c>
      <c r="GQ655" s="27" t="s">
        <v>8</v>
      </c>
      <c r="GR655" s="27" t="s">
        <v>7</v>
      </c>
      <c r="GU655" s="27" t="s">
        <v>8</v>
      </c>
      <c r="GV655" s="27" t="s">
        <v>7</v>
      </c>
      <c r="HW655" s="27" t="s">
        <v>8</v>
      </c>
      <c r="HX655" s="27" t="s">
        <v>7</v>
      </c>
      <c r="IA655" s="27" t="s">
        <v>8</v>
      </c>
      <c r="IC655" s="27" t="s">
        <v>8</v>
      </c>
      <c r="ID655" s="27" t="s">
        <v>7</v>
      </c>
      <c r="IE655" s="27" t="s">
        <v>8</v>
      </c>
      <c r="IH655" s="27" t="s">
        <v>7</v>
      </c>
      <c r="II655" s="27" t="s">
        <v>8</v>
      </c>
      <c r="JD655" s="27" t="s">
        <v>7</v>
      </c>
      <c r="JE655" s="27" t="s">
        <v>8</v>
      </c>
      <c r="KH655" s="27" t="s">
        <v>7</v>
      </c>
      <c r="KI655" s="27" t="s">
        <v>8</v>
      </c>
      <c r="KJ655" s="27" t="s">
        <v>7</v>
      </c>
      <c r="KK655" s="27" t="s">
        <v>8</v>
      </c>
      <c r="KL655" s="27" t="s">
        <v>7</v>
      </c>
      <c r="KS655" s="27" t="s">
        <v>8</v>
      </c>
      <c r="KT655" s="27" t="s">
        <v>7</v>
      </c>
      <c r="KU655" s="27" t="s">
        <v>8</v>
      </c>
      <c r="KV655" s="27" t="s">
        <v>7</v>
      </c>
    </row>
    <row r="656" spans="1:308" x14ac:dyDescent="0.25">
      <c r="A656" s="7">
        <v>0.25502816640423093</v>
      </c>
      <c r="B656"/>
      <c r="C656"/>
      <c r="D656"/>
      <c r="E656"/>
      <c r="F656" s="27" t="s">
        <v>7</v>
      </c>
      <c r="FC656" s="27" t="s">
        <v>8</v>
      </c>
      <c r="FD656" s="27" t="s">
        <v>7</v>
      </c>
      <c r="FE656" s="27" t="s">
        <v>8</v>
      </c>
      <c r="FJ656" s="27" t="s">
        <v>7</v>
      </c>
      <c r="FL656" s="27" t="s">
        <v>7</v>
      </c>
      <c r="FM656" s="27" t="s">
        <v>8</v>
      </c>
      <c r="GB656" s="27" t="s">
        <v>7</v>
      </c>
      <c r="GC656" s="27" t="s">
        <v>8</v>
      </c>
      <c r="GP656" s="27" t="s">
        <v>7</v>
      </c>
      <c r="GQ656" s="27" t="s">
        <v>8</v>
      </c>
      <c r="GR656" s="27" t="s">
        <v>7</v>
      </c>
      <c r="GU656" s="27" t="s">
        <v>8</v>
      </c>
      <c r="GV656" s="27" t="s">
        <v>7</v>
      </c>
      <c r="HW656" s="27" t="s">
        <v>8</v>
      </c>
      <c r="HX656" s="27" t="s">
        <v>7</v>
      </c>
      <c r="IA656" s="27" t="s">
        <v>8</v>
      </c>
      <c r="IB656" s="27" t="s">
        <v>7</v>
      </c>
      <c r="IC656" s="27" t="s">
        <v>8</v>
      </c>
      <c r="ID656" s="27" t="s">
        <v>7</v>
      </c>
      <c r="IE656" s="27" t="s">
        <v>8</v>
      </c>
      <c r="IH656" s="27" t="s">
        <v>7</v>
      </c>
      <c r="II656" s="27" t="s">
        <v>8</v>
      </c>
      <c r="JD656" s="27" t="s">
        <v>7</v>
      </c>
      <c r="JE656" s="27" t="s">
        <v>8</v>
      </c>
      <c r="KH656" s="27" t="s">
        <v>7</v>
      </c>
      <c r="KI656" s="27" t="s">
        <v>8</v>
      </c>
      <c r="KJ656" s="27" t="s">
        <v>7</v>
      </c>
      <c r="KK656" s="27" t="s">
        <v>8</v>
      </c>
      <c r="KL656" s="27" t="s">
        <v>7</v>
      </c>
      <c r="KS656" s="27" t="s">
        <v>8</v>
      </c>
      <c r="KT656" s="27" t="s">
        <v>7</v>
      </c>
      <c r="KU656" s="27" t="s">
        <v>8</v>
      </c>
      <c r="KV656" s="27" t="s">
        <v>7</v>
      </c>
    </row>
    <row r="657" spans="1:315" x14ac:dyDescent="0.25">
      <c r="A657" s="7">
        <v>0.25002761412179503</v>
      </c>
      <c r="B657"/>
      <c r="C657"/>
      <c r="D657"/>
      <c r="E657"/>
      <c r="F657" s="27" t="s">
        <v>7</v>
      </c>
      <c r="FC657" s="27" t="s">
        <v>8</v>
      </c>
      <c r="FD657" s="27" t="s">
        <v>7</v>
      </c>
      <c r="FE657" s="27" t="s">
        <v>8</v>
      </c>
      <c r="FL657" s="27" t="s">
        <v>7</v>
      </c>
      <c r="FM657" s="27" t="s">
        <v>8</v>
      </c>
      <c r="GB657" s="27" t="s">
        <v>7</v>
      </c>
      <c r="GC657" s="27" t="s">
        <v>8</v>
      </c>
      <c r="GP657" s="27" t="s">
        <v>7</v>
      </c>
      <c r="GQ657" s="27" t="s">
        <v>8</v>
      </c>
      <c r="GR657" s="27" t="s">
        <v>7</v>
      </c>
      <c r="GU657" s="27" t="s">
        <v>8</v>
      </c>
      <c r="GV657" s="27" t="s">
        <v>7</v>
      </c>
      <c r="HW657" s="27" t="s">
        <v>8</v>
      </c>
      <c r="HX657" s="27" t="s">
        <v>7</v>
      </c>
      <c r="HY657" s="27" t="s">
        <v>8</v>
      </c>
      <c r="IA657" s="27" t="s">
        <v>8</v>
      </c>
      <c r="IB657" s="27" t="s">
        <v>7</v>
      </c>
      <c r="IC657" s="27" t="s">
        <v>8</v>
      </c>
      <c r="ID657" s="27" t="s">
        <v>7</v>
      </c>
      <c r="IH657" s="27" t="s">
        <v>7</v>
      </c>
      <c r="II657" s="27" t="s">
        <v>8</v>
      </c>
      <c r="JD657" s="27" t="s">
        <v>7</v>
      </c>
      <c r="JE657" s="27" t="s">
        <v>8</v>
      </c>
      <c r="KH657" s="27" t="s">
        <v>7</v>
      </c>
      <c r="KI657" s="27" t="s">
        <v>8</v>
      </c>
      <c r="KJ657" s="27" t="s">
        <v>7</v>
      </c>
      <c r="KK657" s="27" t="s">
        <v>8</v>
      </c>
      <c r="KL657" s="27" t="s">
        <v>7</v>
      </c>
      <c r="KQ657" s="27" t="s">
        <v>8</v>
      </c>
      <c r="KS657" s="27" t="s">
        <v>8</v>
      </c>
      <c r="KT657" s="27" t="s">
        <v>7</v>
      </c>
      <c r="KU657" s="27" t="s">
        <v>8</v>
      </c>
      <c r="KV657" s="27" t="s">
        <v>7</v>
      </c>
    </row>
    <row r="658" spans="1:315" x14ac:dyDescent="0.25">
      <c r="A658" s="7">
        <v>0.24512511188411276</v>
      </c>
      <c r="B658"/>
      <c r="C658"/>
      <c r="D658"/>
      <c r="E658"/>
      <c r="F658" s="27" t="s">
        <v>7</v>
      </c>
      <c r="FC658" s="27" t="s">
        <v>8</v>
      </c>
      <c r="FD658" s="27" t="s">
        <v>7</v>
      </c>
      <c r="FE658" s="27" t="s">
        <v>8</v>
      </c>
      <c r="FL658" s="27" t="s">
        <v>7</v>
      </c>
      <c r="FM658" s="27" t="s">
        <v>8</v>
      </c>
      <c r="GB658" s="27" t="s">
        <v>7</v>
      </c>
      <c r="GP658" s="27" t="s">
        <v>7</v>
      </c>
      <c r="GQ658" s="27" t="s">
        <v>8</v>
      </c>
      <c r="GR658" s="27" t="s">
        <v>7</v>
      </c>
      <c r="GS658" s="27" t="s">
        <v>8</v>
      </c>
      <c r="GU658" s="27" t="s">
        <v>8</v>
      </c>
      <c r="GV658" s="27" t="s">
        <v>7</v>
      </c>
      <c r="HW658" s="27" t="s">
        <v>8</v>
      </c>
      <c r="HX658" s="27" t="s">
        <v>7</v>
      </c>
      <c r="HY658" s="27" t="s">
        <v>8</v>
      </c>
      <c r="HZ658" s="27" t="s">
        <v>7</v>
      </c>
      <c r="IA658" s="27" t="s">
        <v>8</v>
      </c>
      <c r="IB658" s="27" t="s">
        <v>7</v>
      </c>
      <c r="IC658" s="27" t="s">
        <v>8</v>
      </c>
      <c r="IH658" s="27" t="s">
        <v>7</v>
      </c>
      <c r="JD658" s="27" t="s">
        <v>7</v>
      </c>
      <c r="KH658" s="27" t="s">
        <v>7</v>
      </c>
      <c r="KI658" s="27" t="s">
        <v>8</v>
      </c>
      <c r="KJ658" s="27" t="s">
        <v>7</v>
      </c>
      <c r="KK658" s="27" t="s">
        <v>8</v>
      </c>
      <c r="KL658" s="27" t="s">
        <v>7</v>
      </c>
      <c r="KM658" s="27" t="s">
        <v>8</v>
      </c>
      <c r="KQ658" s="27" t="s">
        <v>8</v>
      </c>
      <c r="KR658" s="27" t="s">
        <v>7</v>
      </c>
      <c r="KS658" s="27" t="s">
        <v>8</v>
      </c>
      <c r="KT658" s="27" t="s">
        <v>7</v>
      </c>
      <c r="KU658" s="27" t="s">
        <v>8</v>
      </c>
      <c r="KV658" s="27" t="s">
        <v>7</v>
      </c>
      <c r="KW658" s="27" t="s">
        <v>8</v>
      </c>
      <c r="KY658" s="27" t="s">
        <v>8</v>
      </c>
    </row>
    <row r="659" spans="1:315" x14ac:dyDescent="0.25">
      <c r="A659" s="7">
        <v>0.24031873714128701</v>
      </c>
      <c r="B659"/>
      <c r="C659"/>
      <c r="D659"/>
      <c r="E659"/>
      <c r="F659" s="27" t="s">
        <v>7</v>
      </c>
      <c r="FA659" s="27" t="s">
        <v>8</v>
      </c>
      <c r="FC659" s="27" t="s">
        <v>8</v>
      </c>
      <c r="FD659" s="27" t="s">
        <v>7</v>
      </c>
      <c r="FE659" s="27" t="s">
        <v>8</v>
      </c>
      <c r="FL659" s="27" t="s">
        <v>7</v>
      </c>
      <c r="FM659" s="27" t="s">
        <v>8</v>
      </c>
      <c r="GP659" s="27" t="s">
        <v>7</v>
      </c>
      <c r="GQ659" s="27" t="s">
        <v>8</v>
      </c>
      <c r="GR659" s="27" t="s">
        <v>7</v>
      </c>
      <c r="GS659" s="27" t="s">
        <v>8</v>
      </c>
      <c r="GT659" s="27" t="s">
        <v>7</v>
      </c>
      <c r="GU659" s="27" t="s">
        <v>8</v>
      </c>
      <c r="GV659" s="27" t="s">
        <v>7</v>
      </c>
      <c r="GW659" s="27" t="s">
        <v>8</v>
      </c>
      <c r="HW659" s="27" t="s">
        <v>8</v>
      </c>
      <c r="HX659" s="27" t="s">
        <v>7</v>
      </c>
      <c r="HY659" s="27" t="s">
        <v>8</v>
      </c>
      <c r="HZ659" s="27" t="s">
        <v>7</v>
      </c>
      <c r="IA659" s="27" t="s">
        <v>8</v>
      </c>
      <c r="IB659" s="27" t="s">
        <v>7</v>
      </c>
      <c r="KH659" s="27" t="s">
        <v>7</v>
      </c>
      <c r="KJ659" s="27" t="s">
        <v>7</v>
      </c>
      <c r="KK659" s="27" t="s">
        <v>8</v>
      </c>
      <c r="KL659" s="27" t="s">
        <v>7</v>
      </c>
      <c r="KM659" s="27" t="s">
        <v>8</v>
      </c>
      <c r="KN659" s="27" t="s">
        <v>7</v>
      </c>
      <c r="KO659" s="27" t="s">
        <v>8</v>
      </c>
      <c r="KQ659" s="27" t="s">
        <v>8</v>
      </c>
      <c r="KR659" s="27" t="s">
        <v>7</v>
      </c>
      <c r="KS659" s="27" t="s">
        <v>8</v>
      </c>
      <c r="KT659" s="27" t="s">
        <v>7</v>
      </c>
      <c r="KU659" s="27" t="s">
        <v>8</v>
      </c>
      <c r="KV659" s="27" t="s">
        <v>7</v>
      </c>
      <c r="KW659" s="27" t="s">
        <v>8</v>
      </c>
      <c r="KX659" s="27" t="s">
        <v>7</v>
      </c>
      <c r="KY659" s="27" t="s">
        <v>8</v>
      </c>
      <c r="KZ659" s="27" t="s">
        <v>7</v>
      </c>
    </row>
    <row r="660" spans="1:315" x14ac:dyDescent="0.25">
      <c r="A660" s="7">
        <v>0.23560660504047748</v>
      </c>
      <c r="B660"/>
      <c r="C660"/>
      <c r="D660"/>
      <c r="E660"/>
      <c r="F660" s="27" t="s">
        <v>7</v>
      </c>
      <c r="EO660" s="27" t="s">
        <v>8</v>
      </c>
      <c r="FA660" s="27" t="s">
        <v>8</v>
      </c>
      <c r="FB660" s="27" t="s">
        <v>7</v>
      </c>
      <c r="FC660" s="27" t="s">
        <v>8</v>
      </c>
      <c r="FD660" s="27" t="s">
        <v>7</v>
      </c>
      <c r="FE660" s="27" t="s">
        <v>8</v>
      </c>
      <c r="FL660" s="27" t="s">
        <v>7</v>
      </c>
      <c r="GP660" s="27" t="s">
        <v>7</v>
      </c>
      <c r="GQ660" s="27" t="s">
        <v>8</v>
      </c>
      <c r="GR660" s="27" t="s">
        <v>7</v>
      </c>
      <c r="GS660" s="27" t="s">
        <v>8</v>
      </c>
      <c r="GT660" s="27" t="s">
        <v>7</v>
      </c>
      <c r="GU660" s="27" t="s">
        <v>8</v>
      </c>
      <c r="GV660" s="27" t="s">
        <v>7</v>
      </c>
      <c r="GW660" s="27" t="s">
        <v>8</v>
      </c>
      <c r="GX660" s="27" t="s">
        <v>7</v>
      </c>
      <c r="GY660" s="27" t="s">
        <v>8</v>
      </c>
      <c r="HI660" s="27" t="s">
        <v>8</v>
      </c>
      <c r="HW660" s="27" t="s">
        <v>8</v>
      </c>
      <c r="HX660" s="27" t="s">
        <v>7</v>
      </c>
      <c r="HY660" s="27" t="s">
        <v>8</v>
      </c>
      <c r="HZ660" s="27" t="s">
        <v>7</v>
      </c>
      <c r="IA660" s="27" t="s">
        <v>8</v>
      </c>
      <c r="KJ660" s="27" t="s">
        <v>7</v>
      </c>
      <c r="KK660" s="27" t="s">
        <v>8</v>
      </c>
      <c r="KL660" s="27" t="s">
        <v>7</v>
      </c>
      <c r="KM660" s="27" t="s">
        <v>8</v>
      </c>
      <c r="KN660" s="27" t="s">
        <v>7</v>
      </c>
      <c r="KO660" s="27" t="s">
        <v>8</v>
      </c>
      <c r="KP660" s="27" t="s">
        <v>7</v>
      </c>
      <c r="KQ660" s="27" t="s">
        <v>8</v>
      </c>
      <c r="KR660" s="27" t="s">
        <v>7</v>
      </c>
      <c r="KT660" s="27" t="s">
        <v>7</v>
      </c>
      <c r="KU660" s="27" t="s">
        <v>8</v>
      </c>
      <c r="KV660" s="27" t="s">
        <v>7</v>
      </c>
      <c r="KW660" s="27" t="s">
        <v>8</v>
      </c>
      <c r="KX660" s="27" t="s">
        <v>7</v>
      </c>
      <c r="KY660" s="27" t="s">
        <v>8</v>
      </c>
      <c r="KZ660" s="27" t="s">
        <v>7</v>
      </c>
    </row>
    <row r="661" spans="1:315" x14ac:dyDescent="0.25">
      <c r="A661" s="7">
        <v>0.23098686768674265</v>
      </c>
      <c r="B661"/>
      <c r="C661"/>
      <c r="D661"/>
      <c r="E661"/>
      <c r="F661" s="27" t="s">
        <v>7</v>
      </c>
      <c r="EO661" s="27" t="s">
        <v>8</v>
      </c>
      <c r="EP661" s="27" t="s">
        <v>7</v>
      </c>
      <c r="FA661" s="27" t="s">
        <v>8</v>
      </c>
      <c r="FB661" s="27" t="s">
        <v>7</v>
      </c>
      <c r="FC661" s="27" t="s">
        <v>8</v>
      </c>
      <c r="FD661" s="27" t="s">
        <v>7</v>
      </c>
      <c r="FE661" s="27" t="s">
        <v>8</v>
      </c>
      <c r="GP661" s="27" t="s">
        <v>7</v>
      </c>
      <c r="GQ661" s="27" t="s">
        <v>8</v>
      </c>
      <c r="GR661" s="27" t="s">
        <v>7</v>
      </c>
      <c r="GS661" s="27" t="s">
        <v>8</v>
      </c>
      <c r="GT661" s="27" t="s">
        <v>7</v>
      </c>
      <c r="GU661" s="27" t="s">
        <v>8</v>
      </c>
      <c r="GV661" s="27" t="s">
        <v>7</v>
      </c>
      <c r="GW661" s="27" t="s">
        <v>8</v>
      </c>
      <c r="GX661" s="27" t="s">
        <v>7</v>
      </c>
      <c r="GY661" s="27" t="s">
        <v>8</v>
      </c>
      <c r="GZ661" s="27" t="s">
        <v>7</v>
      </c>
      <c r="HI661" s="27" t="s">
        <v>8</v>
      </c>
      <c r="HJ661" s="27" t="s">
        <v>7</v>
      </c>
      <c r="HW661" s="27" t="s">
        <v>8</v>
      </c>
      <c r="HX661" s="27" t="s">
        <v>7</v>
      </c>
      <c r="HY661" s="27" t="s">
        <v>8</v>
      </c>
      <c r="HZ661" s="27" t="s">
        <v>7</v>
      </c>
      <c r="KJ661" s="27" t="s">
        <v>7</v>
      </c>
      <c r="KK661" s="27" t="s">
        <v>8</v>
      </c>
      <c r="KL661" s="27" t="s">
        <v>7</v>
      </c>
      <c r="KM661" s="27" t="s">
        <v>8</v>
      </c>
      <c r="KN661" s="27" t="s">
        <v>7</v>
      </c>
      <c r="KO661" s="27" t="s">
        <v>8</v>
      </c>
      <c r="KP661" s="27" t="s">
        <v>7</v>
      </c>
      <c r="KQ661" s="27" t="s">
        <v>8</v>
      </c>
      <c r="KT661" s="27" t="s">
        <v>7</v>
      </c>
      <c r="KU661" s="27" t="s">
        <v>8</v>
      </c>
      <c r="KV661" s="27" t="s">
        <v>7</v>
      </c>
      <c r="KW661" s="27" t="s">
        <v>8</v>
      </c>
      <c r="KX661" s="27" t="s">
        <v>7</v>
      </c>
      <c r="KY661" s="27" t="s">
        <v>8</v>
      </c>
      <c r="KZ661" s="27" t="s">
        <v>7</v>
      </c>
    </row>
    <row r="662" spans="1:315" x14ac:dyDescent="0.25">
      <c r="A662" s="7">
        <v>0.22645771341837515</v>
      </c>
      <c r="B662"/>
      <c r="C662"/>
      <c r="D662"/>
      <c r="E662"/>
      <c r="F662" s="27" t="s">
        <v>7</v>
      </c>
      <c r="EO662" s="27" t="s">
        <v>8</v>
      </c>
      <c r="EP662" s="27" t="s">
        <v>7</v>
      </c>
      <c r="FA662" s="27" t="s">
        <v>8</v>
      </c>
      <c r="FB662" s="27" t="s">
        <v>7</v>
      </c>
      <c r="FC662" s="27" t="s">
        <v>8</v>
      </c>
      <c r="FD662" s="27" t="s">
        <v>7</v>
      </c>
      <c r="GP662" s="27" t="s">
        <v>7</v>
      </c>
      <c r="GQ662" s="27" t="s">
        <v>8</v>
      </c>
      <c r="GR662" s="27" t="s">
        <v>7</v>
      </c>
      <c r="GS662" s="27" t="s">
        <v>8</v>
      </c>
      <c r="GT662" s="27" t="s">
        <v>7</v>
      </c>
      <c r="GU662" s="27" t="s">
        <v>8</v>
      </c>
      <c r="GV662" s="27" t="s">
        <v>7</v>
      </c>
      <c r="GW662" s="27" t="s">
        <v>8</v>
      </c>
      <c r="GX662" s="27" t="s">
        <v>7</v>
      </c>
      <c r="GY662" s="27" t="s">
        <v>8</v>
      </c>
      <c r="GZ662" s="27" t="s">
        <v>7</v>
      </c>
      <c r="HI662" s="27" t="s">
        <v>8</v>
      </c>
      <c r="HJ662" s="27" t="s">
        <v>7</v>
      </c>
      <c r="HW662" s="27" t="s">
        <v>8</v>
      </c>
      <c r="HX662" s="27" t="s">
        <v>7</v>
      </c>
      <c r="KJ662" s="27" t="s">
        <v>7</v>
      </c>
      <c r="KK662" s="27" t="s">
        <v>8</v>
      </c>
      <c r="KL662" s="27" t="s">
        <v>7</v>
      </c>
      <c r="KM662" s="27" t="s">
        <v>8</v>
      </c>
      <c r="KN662" s="27" t="s">
        <v>7</v>
      </c>
      <c r="KP662" s="27" t="s">
        <v>7</v>
      </c>
      <c r="KQ662" s="27" t="s">
        <v>8</v>
      </c>
      <c r="KT662" s="27" t="s">
        <v>7</v>
      </c>
      <c r="KU662" s="27" t="s">
        <v>8</v>
      </c>
      <c r="KV662" s="27" t="s">
        <v>7</v>
      </c>
      <c r="KW662" s="27" t="s">
        <v>8</v>
      </c>
      <c r="KX662" s="27" t="s">
        <v>7</v>
      </c>
      <c r="KY662" s="27" t="s">
        <v>8</v>
      </c>
      <c r="KZ662" s="27" t="s">
        <v>7</v>
      </c>
    </row>
    <row r="663" spans="1:315" x14ac:dyDescent="0.25">
      <c r="A663" s="7">
        <v>0.22201736609644623</v>
      </c>
      <c r="B663"/>
      <c r="C663"/>
      <c r="D663"/>
      <c r="E663"/>
      <c r="F663" s="27" t="s">
        <v>7</v>
      </c>
      <c r="EO663" s="27" t="s">
        <v>8</v>
      </c>
      <c r="EP663" s="27" t="s">
        <v>7</v>
      </c>
      <c r="FA663" s="27" t="s">
        <v>8</v>
      </c>
      <c r="FB663" s="27" t="s">
        <v>7</v>
      </c>
      <c r="FC663" s="27" t="s">
        <v>8</v>
      </c>
      <c r="GP663" s="27" t="s">
        <v>7</v>
      </c>
      <c r="GQ663" s="27" t="s">
        <v>8</v>
      </c>
      <c r="GR663" s="27" t="s">
        <v>7</v>
      </c>
      <c r="GS663" s="27" t="s">
        <v>8</v>
      </c>
      <c r="GT663" s="27" t="s">
        <v>7</v>
      </c>
      <c r="GV663" s="27" t="s">
        <v>7</v>
      </c>
      <c r="GW663" s="27" t="s">
        <v>8</v>
      </c>
      <c r="GX663" s="27" t="s">
        <v>7</v>
      </c>
      <c r="GY663" s="27" t="s">
        <v>8</v>
      </c>
      <c r="GZ663" s="27" t="s">
        <v>7</v>
      </c>
      <c r="HA663" s="27" t="s">
        <v>8</v>
      </c>
      <c r="HI663" s="27" t="s">
        <v>8</v>
      </c>
      <c r="HJ663" s="27" t="s">
        <v>7</v>
      </c>
      <c r="HW663" s="27" t="s">
        <v>8</v>
      </c>
      <c r="KJ663" s="27" t="s">
        <v>7</v>
      </c>
      <c r="KL663" s="27" t="s">
        <v>7</v>
      </c>
      <c r="KM663" s="27" t="s">
        <v>8</v>
      </c>
      <c r="KP663" s="27" t="s">
        <v>7</v>
      </c>
      <c r="KQ663" s="27" t="s">
        <v>8</v>
      </c>
      <c r="KT663" s="27" t="s">
        <v>7</v>
      </c>
      <c r="KV663" s="27" t="s">
        <v>7</v>
      </c>
      <c r="KW663" s="27" t="s">
        <v>8</v>
      </c>
      <c r="KX663" s="27" t="s">
        <v>7</v>
      </c>
      <c r="KY663" s="27" t="s">
        <v>8</v>
      </c>
      <c r="KZ663" s="27" t="s">
        <v>7</v>
      </c>
    </row>
    <row r="664" spans="1:315" x14ac:dyDescent="0.25">
      <c r="A664" s="7">
        <v>0.21766408440828061</v>
      </c>
      <c r="B664"/>
      <c r="C664"/>
      <c r="D664"/>
      <c r="E664"/>
      <c r="F664" s="27" t="s">
        <v>7</v>
      </c>
      <c r="EK664" s="27" t="s">
        <v>8</v>
      </c>
      <c r="EM664" s="27" t="s">
        <v>8</v>
      </c>
      <c r="EO664" s="27" t="s">
        <v>8</v>
      </c>
      <c r="EP664" s="27" t="s">
        <v>7</v>
      </c>
      <c r="FA664" s="27" t="s">
        <v>8</v>
      </c>
      <c r="FB664" s="27" t="s">
        <v>7</v>
      </c>
      <c r="FC664" s="27" t="s">
        <v>8</v>
      </c>
      <c r="GP664" s="27" t="s">
        <v>7</v>
      </c>
      <c r="GQ664" s="27" t="s">
        <v>8</v>
      </c>
      <c r="GR664" s="27" t="s">
        <v>7</v>
      </c>
      <c r="GS664" s="27" t="s">
        <v>8</v>
      </c>
      <c r="GV664" s="27" t="s">
        <v>7</v>
      </c>
      <c r="GW664" s="27" t="s">
        <v>8</v>
      </c>
      <c r="GX664" s="27" t="s">
        <v>7</v>
      </c>
      <c r="GY664" s="27" t="s">
        <v>8</v>
      </c>
      <c r="GZ664" s="27" t="s">
        <v>7</v>
      </c>
      <c r="HA664" s="27" t="s">
        <v>8</v>
      </c>
      <c r="HB664" s="27" t="s">
        <v>7</v>
      </c>
      <c r="HI664" s="27" t="s">
        <v>8</v>
      </c>
      <c r="HJ664" s="27" t="s">
        <v>7</v>
      </c>
      <c r="HW664" s="27" t="s">
        <v>8</v>
      </c>
      <c r="KL664" s="27" t="s">
        <v>7</v>
      </c>
      <c r="KM664" s="27" t="s">
        <v>8</v>
      </c>
      <c r="KP664" s="27" t="s">
        <v>7</v>
      </c>
      <c r="KV664" s="27" t="s">
        <v>7</v>
      </c>
      <c r="KW664" s="27" t="s">
        <v>8</v>
      </c>
      <c r="KX664" s="27" t="s">
        <v>7</v>
      </c>
      <c r="KY664" s="27" t="s">
        <v>8</v>
      </c>
      <c r="KZ664" s="27" t="s">
        <v>7</v>
      </c>
    </row>
    <row r="665" spans="1:315" x14ac:dyDescent="0.25">
      <c r="A665" s="7">
        <v>0.21339616118458882</v>
      </c>
      <c r="B665"/>
      <c r="C665"/>
      <c r="D665"/>
      <c r="E665"/>
      <c r="F665" s="27" t="s">
        <v>7</v>
      </c>
      <c r="EK665" s="27" t="s">
        <v>8</v>
      </c>
      <c r="EL665" s="27" t="s">
        <v>7</v>
      </c>
      <c r="EM665" s="27" t="s">
        <v>8</v>
      </c>
      <c r="EN665" s="27" t="s">
        <v>7</v>
      </c>
      <c r="EO665" s="27" t="s">
        <v>8</v>
      </c>
      <c r="EP665" s="27" t="s">
        <v>7</v>
      </c>
      <c r="EW665" s="27" t="s">
        <v>8</v>
      </c>
      <c r="FA665" s="27" t="s">
        <v>8</v>
      </c>
      <c r="FB665" s="27" t="s">
        <v>7</v>
      </c>
      <c r="FC665" s="27" t="s">
        <v>8</v>
      </c>
      <c r="GP665" s="27" t="s">
        <v>7</v>
      </c>
      <c r="GQ665" s="27" t="s">
        <v>8</v>
      </c>
      <c r="GR665" s="27" t="s">
        <v>7</v>
      </c>
      <c r="GS665" s="27" t="s">
        <v>8</v>
      </c>
      <c r="GV665" s="27" t="s">
        <v>7</v>
      </c>
      <c r="GW665" s="27" t="s">
        <v>8</v>
      </c>
      <c r="GX665" s="27" t="s">
        <v>7</v>
      </c>
      <c r="GY665" s="27" t="s">
        <v>8</v>
      </c>
      <c r="GZ665" s="27" t="s">
        <v>7</v>
      </c>
      <c r="HA665" s="27" t="s">
        <v>8</v>
      </c>
      <c r="HB665" s="27" t="s">
        <v>7</v>
      </c>
      <c r="HI665" s="27" t="s">
        <v>8</v>
      </c>
      <c r="HJ665" s="27" t="s">
        <v>7</v>
      </c>
      <c r="HW665" s="27" t="s">
        <v>8</v>
      </c>
      <c r="KL665" s="27" t="s">
        <v>7</v>
      </c>
      <c r="KM665" s="27" t="s">
        <v>8</v>
      </c>
      <c r="KV665" s="27" t="s">
        <v>7</v>
      </c>
      <c r="KW665" s="27" t="s">
        <v>8</v>
      </c>
      <c r="KX665" s="27" t="s">
        <v>7</v>
      </c>
      <c r="KY665" s="27" t="s">
        <v>8</v>
      </c>
      <c r="KZ665" s="27" t="s">
        <v>7</v>
      </c>
    </row>
    <row r="666" spans="1:315" x14ac:dyDescent="0.25">
      <c r="A666" s="7">
        <v>0.20921192272998904</v>
      </c>
      <c r="B666"/>
      <c r="C666"/>
      <c r="D666"/>
      <c r="E666"/>
      <c r="F666" s="27" t="s">
        <v>7</v>
      </c>
      <c r="EK666" s="27" t="s">
        <v>8</v>
      </c>
      <c r="EL666" s="27" t="s">
        <v>7</v>
      </c>
      <c r="EM666" s="27" t="s">
        <v>8</v>
      </c>
      <c r="EN666" s="27" t="s">
        <v>7</v>
      </c>
      <c r="EO666" s="27" t="s">
        <v>8</v>
      </c>
      <c r="EP666" s="27" t="s">
        <v>7</v>
      </c>
      <c r="EW666" s="27" t="s">
        <v>8</v>
      </c>
      <c r="EX666" s="27" t="s">
        <v>7</v>
      </c>
      <c r="EY666" s="27" t="s">
        <v>8</v>
      </c>
      <c r="FA666" s="27" t="s">
        <v>8</v>
      </c>
      <c r="FB666" s="27" t="s">
        <v>7</v>
      </c>
      <c r="FC666" s="27" t="s">
        <v>8</v>
      </c>
      <c r="GP666" s="27" t="s">
        <v>7</v>
      </c>
      <c r="GQ666" s="27" t="s">
        <v>8</v>
      </c>
      <c r="GR666" s="27" t="s">
        <v>7</v>
      </c>
      <c r="GS666" s="27" t="s">
        <v>8</v>
      </c>
      <c r="GV666" s="27" t="s">
        <v>7</v>
      </c>
      <c r="GW666" s="27" t="s">
        <v>8</v>
      </c>
      <c r="GX666" s="27" t="s">
        <v>7</v>
      </c>
      <c r="GZ666" s="27" t="s">
        <v>7</v>
      </c>
      <c r="HA666" s="27" t="s">
        <v>8</v>
      </c>
      <c r="HB666" s="27" t="s">
        <v>7</v>
      </c>
      <c r="HI666" s="27" t="s">
        <v>8</v>
      </c>
      <c r="HJ666" s="27" t="s">
        <v>7</v>
      </c>
      <c r="HW666" s="27" t="s">
        <v>8</v>
      </c>
      <c r="KL666" s="27" t="s">
        <v>7</v>
      </c>
      <c r="KV666" s="27" t="s">
        <v>7</v>
      </c>
      <c r="KW666" s="27" t="s">
        <v>8</v>
      </c>
      <c r="KX666" s="27" t="s">
        <v>7</v>
      </c>
      <c r="KZ666" s="27" t="s">
        <v>7</v>
      </c>
    </row>
    <row r="667" spans="1:315" x14ac:dyDescent="0.25">
      <c r="A667" s="7">
        <v>0.20510972816665593</v>
      </c>
      <c r="B667"/>
      <c r="C667"/>
      <c r="D667"/>
      <c r="E667"/>
      <c r="F667" s="27" t="s">
        <v>7</v>
      </c>
      <c r="EK667" s="27" t="s">
        <v>8</v>
      </c>
      <c r="EL667" s="27" t="s">
        <v>7</v>
      </c>
      <c r="EM667" s="27" t="s">
        <v>8</v>
      </c>
      <c r="EN667" s="27" t="s">
        <v>7</v>
      </c>
      <c r="EO667" s="27" t="s">
        <v>8</v>
      </c>
      <c r="EP667" s="27" t="s">
        <v>7</v>
      </c>
      <c r="ES667" s="27" t="s">
        <v>8</v>
      </c>
      <c r="EW667" s="27" t="s">
        <v>8</v>
      </c>
      <c r="EX667" s="27" t="s">
        <v>7</v>
      </c>
      <c r="EY667" s="27" t="s">
        <v>8</v>
      </c>
      <c r="EZ667" s="27" t="s">
        <v>7</v>
      </c>
      <c r="FA667" s="27" t="s">
        <v>8</v>
      </c>
      <c r="FB667" s="27" t="s">
        <v>7</v>
      </c>
      <c r="GP667" s="27" t="s">
        <v>7</v>
      </c>
      <c r="GQ667" s="27" t="s">
        <v>8</v>
      </c>
      <c r="GR667" s="27" t="s">
        <v>7</v>
      </c>
      <c r="GS667" s="27" t="s">
        <v>8</v>
      </c>
      <c r="GV667" s="27" t="s">
        <v>7</v>
      </c>
      <c r="GW667" s="27" t="s">
        <v>8</v>
      </c>
      <c r="GZ667" s="27" t="s">
        <v>7</v>
      </c>
      <c r="HA667" s="27" t="s">
        <v>8</v>
      </c>
      <c r="HB667" s="27" t="s">
        <v>7</v>
      </c>
      <c r="HI667" s="27" t="s">
        <v>8</v>
      </c>
      <c r="HJ667" s="27" t="s">
        <v>7</v>
      </c>
      <c r="HW667" s="27" t="s">
        <v>8</v>
      </c>
      <c r="KV667" s="27" t="s">
        <v>7</v>
      </c>
      <c r="KW667" s="27" t="s">
        <v>8</v>
      </c>
      <c r="KZ667" s="27" t="s">
        <v>7</v>
      </c>
    </row>
    <row r="668" spans="1:315" x14ac:dyDescent="0.25">
      <c r="A668" s="7">
        <v>0.20108796879083912</v>
      </c>
      <c r="B668"/>
      <c r="C668"/>
      <c r="D668"/>
      <c r="E668"/>
      <c r="F668" s="27" t="s">
        <v>7</v>
      </c>
      <c r="EK668" s="27" t="s">
        <v>8</v>
      </c>
      <c r="EL668" s="27" t="s">
        <v>7</v>
      </c>
      <c r="EM668" s="27" t="s">
        <v>8</v>
      </c>
      <c r="EN668" s="27" t="s">
        <v>7</v>
      </c>
      <c r="EO668" s="27" t="s">
        <v>8</v>
      </c>
      <c r="EP668" s="27" t="s">
        <v>7</v>
      </c>
      <c r="ES668" s="27" t="s">
        <v>8</v>
      </c>
      <c r="ET668" s="27" t="s">
        <v>7</v>
      </c>
      <c r="EW668" s="27" t="s">
        <v>8</v>
      </c>
      <c r="EX668" s="27" t="s">
        <v>7</v>
      </c>
      <c r="EY668" s="27" t="s">
        <v>8</v>
      </c>
      <c r="EZ668" s="27" t="s">
        <v>7</v>
      </c>
      <c r="FA668" s="27" t="s">
        <v>8</v>
      </c>
      <c r="GP668" s="27" t="s">
        <v>7</v>
      </c>
      <c r="GQ668" s="27" t="s">
        <v>8</v>
      </c>
      <c r="GR668" s="27" t="s">
        <v>7</v>
      </c>
      <c r="GS668" s="27" t="s">
        <v>8</v>
      </c>
      <c r="GV668" s="27" t="s">
        <v>7</v>
      </c>
      <c r="GZ668" s="27" t="s">
        <v>7</v>
      </c>
      <c r="HA668" s="27" t="s">
        <v>8</v>
      </c>
      <c r="HB668" s="27" t="s">
        <v>7</v>
      </c>
      <c r="HI668" s="27" t="s">
        <v>8</v>
      </c>
      <c r="HJ668" s="27" t="s">
        <v>7</v>
      </c>
      <c r="HU668" s="27" t="s">
        <v>8</v>
      </c>
      <c r="HW668" s="27" t="s">
        <v>8</v>
      </c>
      <c r="KV668" s="27" t="s">
        <v>7</v>
      </c>
      <c r="KZ668" s="27" t="s">
        <v>7</v>
      </c>
    </row>
    <row r="669" spans="1:315" x14ac:dyDescent="0.25">
      <c r="A669" s="7">
        <v>0.19714506744199917</v>
      </c>
      <c r="B669"/>
      <c r="C669"/>
      <c r="D669"/>
      <c r="E669"/>
      <c r="F669" s="27" t="s">
        <v>7</v>
      </c>
      <c r="EK669" s="27" t="s">
        <v>8</v>
      </c>
      <c r="EL669" s="27" t="s">
        <v>7</v>
      </c>
      <c r="EM669" s="27" t="s">
        <v>8</v>
      </c>
      <c r="EN669" s="27" t="s">
        <v>7</v>
      </c>
      <c r="EO669" s="27" t="s">
        <v>8</v>
      </c>
      <c r="EP669" s="27" t="s">
        <v>7</v>
      </c>
      <c r="ES669" s="27" t="s">
        <v>8</v>
      </c>
      <c r="ET669" s="27" t="s">
        <v>7</v>
      </c>
      <c r="EW669" s="27" t="s">
        <v>8</v>
      </c>
      <c r="EX669" s="27" t="s">
        <v>7</v>
      </c>
      <c r="EY669" s="27" t="s">
        <v>8</v>
      </c>
      <c r="EZ669" s="27" t="s">
        <v>7</v>
      </c>
      <c r="FA669" s="27" t="s">
        <v>8</v>
      </c>
      <c r="GP669" s="27" t="s">
        <v>7</v>
      </c>
      <c r="GQ669" s="27" t="s">
        <v>8</v>
      </c>
      <c r="GR669" s="27" t="s">
        <v>7</v>
      </c>
      <c r="GS669" s="27" t="s">
        <v>8</v>
      </c>
      <c r="GZ669" s="27" t="s">
        <v>7</v>
      </c>
      <c r="HA669" s="27" t="s">
        <v>8</v>
      </c>
      <c r="HB669" s="27" t="s">
        <v>7</v>
      </c>
      <c r="HI669" s="27" t="s">
        <v>8</v>
      </c>
      <c r="HJ669" s="27" t="s">
        <v>7</v>
      </c>
      <c r="HU669" s="27" t="s">
        <v>8</v>
      </c>
      <c r="HV669" s="27" t="s">
        <v>7</v>
      </c>
      <c r="HW669" s="27" t="s">
        <v>8</v>
      </c>
      <c r="KZ669" s="27" t="s">
        <v>7</v>
      </c>
    </row>
    <row r="670" spans="1:315" x14ac:dyDescent="0.25">
      <c r="A670" s="7">
        <v>0.19327947788431293</v>
      </c>
      <c r="B670"/>
      <c r="C670"/>
      <c r="D670"/>
      <c r="E670"/>
      <c r="F670" s="27" t="s">
        <v>7</v>
      </c>
      <c r="EK670" s="27" t="s">
        <v>8</v>
      </c>
      <c r="EL670" s="27" t="s">
        <v>7</v>
      </c>
      <c r="EM670" s="27" t="s">
        <v>8</v>
      </c>
      <c r="EN670" s="27" t="s">
        <v>7</v>
      </c>
      <c r="EO670" s="27" t="s">
        <v>8</v>
      </c>
      <c r="EP670" s="27" t="s">
        <v>7</v>
      </c>
      <c r="ES670" s="27" t="s">
        <v>8</v>
      </c>
      <c r="ET670" s="27" t="s">
        <v>7</v>
      </c>
      <c r="EW670" s="27" t="s">
        <v>8</v>
      </c>
      <c r="EX670" s="27" t="s">
        <v>7</v>
      </c>
      <c r="EZ670" s="27" t="s">
        <v>7</v>
      </c>
      <c r="GP670" s="27" t="s">
        <v>7</v>
      </c>
      <c r="GQ670" s="27" t="s">
        <v>8</v>
      </c>
      <c r="GR670" s="27" t="s">
        <v>7</v>
      </c>
      <c r="GS670" s="27" t="s">
        <v>8</v>
      </c>
      <c r="GZ670" s="27" t="s">
        <v>7</v>
      </c>
      <c r="HA670" s="27" t="s">
        <v>8</v>
      </c>
      <c r="HB670" s="27" t="s">
        <v>7</v>
      </c>
      <c r="HG670" s="27" t="s">
        <v>8</v>
      </c>
      <c r="HI670" s="27" t="s">
        <v>8</v>
      </c>
      <c r="HJ670" s="27" t="s">
        <v>7</v>
      </c>
      <c r="HU670" s="27" t="s">
        <v>8</v>
      </c>
      <c r="HV670" s="27" t="s">
        <v>7</v>
      </c>
      <c r="HW670" s="27" t="s">
        <v>8</v>
      </c>
      <c r="KZ670" s="27" t="s">
        <v>7</v>
      </c>
    </row>
    <row r="671" spans="1:315" x14ac:dyDescent="0.25">
      <c r="A671" s="7">
        <v>0.18948968420030682</v>
      </c>
      <c r="B671"/>
      <c r="C671"/>
      <c r="D671"/>
      <c r="E671"/>
      <c r="F671" s="27" t="s">
        <v>7</v>
      </c>
      <c r="EK671" s="27" t="s">
        <v>8</v>
      </c>
      <c r="EL671" s="27" t="s">
        <v>7</v>
      </c>
      <c r="EM671" s="27" t="s">
        <v>8</v>
      </c>
      <c r="EN671" s="27" t="s">
        <v>7</v>
      </c>
      <c r="EO671" s="27" t="s">
        <v>8</v>
      </c>
      <c r="EP671" s="27" t="s">
        <v>7</v>
      </c>
      <c r="ES671" s="27" t="s">
        <v>8</v>
      </c>
      <c r="ET671" s="27" t="s">
        <v>7</v>
      </c>
      <c r="EU671" s="27" t="s">
        <v>8</v>
      </c>
      <c r="EW671" s="27" t="s">
        <v>8</v>
      </c>
      <c r="GP671" s="27" t="s">
        <v>7</v>
      </c>
      <c r="GQ671" s="27" t="s">
        <v>8</v>
      </c>
      <c r="GR671" s="27" t="s">
        <v>7</v>
      </c>
      <c r="GS671" s="27" t="s">
        <v>8</v>
      </c>
      <c r="GZ671" s="27" t="s">
        <v>7</v>
      </c>
      <c r="HA671" s="27" t="s">
        <v>8</v>
      </c>
      <c r="HB671" s="27" t="s">
        <v>7</v>
      </c>
      <c r="HG671" s="27" t="s">
        <v>8</v>
      </c>
      <c r="HH671" s="27" t="s">
        <v>7</v>
      </c>
      <c r="HI671" s="27" t="s">
        <v>8</v>
      </c>
      <c r="HJ671" s="27" t="s">
        <v>7</v>
      </c>
      <c r="HU671" s="27" t="s">
        <v>8</v>
      </c>
      <c r="HV671" s="27" t="s">
        <v>7</v>
      </c>
      <c r="HW671" s="27" t="s">
        <v>8</v>
      </c>
      <c r="KZ671" s="27" t="s">
        <v>7</v>
      </c>
    </row>
    <row r="672" spans="1:315" x14ac:dyDescent="0.25">
      <c r="A672" s="7">
        <v>0.18577420019637925</v>
      </c>
      <c r="B672"/>
      <c r="C672"/>
      <c r="D672"/>
      <c r="E672"/>
      <c r="F672" s="27" t="s">
        <v>7</v>
      </c>
      <c r="EK672" s="27" t="s">
        <v>8</v>
      </c>
      <c r="EL672" s="27" t="s">
        <v>7</v>
      </c>
      <c r="EM672" s="27" t="s">
        <v>8</v>
      </c>
      <c r="EN672" s="27" t="s">
        <v>7</v>
      </c>
      <c r="EO672" s="27" t="s">
        <v>8</v>
      </c>
      <c r="EP672" s="27" t="s">
        <v>7</v>
      </c>
      <c r="ES672" s="27" t="s">
        <v>8</v>
      </c>
      <c r="ET672" s="27" t="s">
        <v>7</v>
      </c>
      <c r="EU672" s="27" t="s">
        <v>8</v>
      </c>
      <c r="EV672" s="27" t="s">
        <v>7</v>
      </c>
      <c r="EW672" s="27" t="s">
        <v>8</v>
      </c>
      <c r="GP672" s="27" t="s">
        <v>7</v>
      </c>
      <c r="GQ672" s="27" t="s">
        <v>8</v>
      </c>
      <c r="GR672" s="27" t="s">
        <v>7</v>
      </c>
      <c r="GS672" s="27" t="s">
        <v>8</v>
      </c>
      <c r="GZ672" s="27" t="s">
        <v>7</v>
      </c>
      <c r="HA672" s="27" t="s">
        <v>8</v>
      </c>
      <c r="HB672" s="27" t="s">
        <v>7</v>
      </c>
      <c r="HC672" s="27" t="s">
        <v>8</v>
      </c>
      <c r="HG672" s="27" t="s">
        <v>8</v>
      </c>
      <c r="HH672" s="27" t="s">
        <v>7</v>
      </c>
      <c r="HI672" s="27" t="s">
        <v>8</v>
      </c>
      <c r="HJ672" s="27" t="s">
        <v>7</v>
      </c>
      <c r="HU672" s="27" t="s">
        <v>8</v>
      </c>
      <c r="HV672" s="27" t="s">
        <v>7</v>
      </c>
      <c r="HW672" s="27" t="s">
        <v>8</v>
      </c>
      <c r="KZ672" s="27" t="s">
        <v>7</v>
      </c>
      <c r="LC672" s="27" t="s">
        <v>8</v>
      </c>
    </row>
    <row r="673" spans="1:316" x14ac:dyDescent="0.25">
      <c r="A673" s="7">
        <v>0.18213156881997963</v>
      </c>
      <c r="B673"/>
      <c r="C673"/>
      <c r="D673"/>
      <c r="E673"/>
      <c r="F673" s="27" t="s">
        <v>7</v>
      </c>
      <c r="EK673" s="27" t="s">
        <v>8</v>
      </c>
      <c r="EL673" s="27" t="s">
        <v>7</v>
      </c>
      <c r="EM673" s="27" t="s">
        <v>8</v>
      </c>
      <c r="EN673" s="27" t="s">
        <v>7</v>
      </c>
      <c r="EP673" s="27" t="s">
        <v>7</v>
      </c>
      <c r="EQ673" s="27" t="s">
        <v>8</v>
      </c>
      <c r="ES673" s="27" t="s">
        <v>8</v>
      </c>
      <c r="ET673" s="27" t="s">
        <v>7</v>
      </c>
      <c r="EU673" s="27" t="s">
        <v>8</v>
      </c>
      <c r="EV673" s="27" t="s">
        <v>7</v>
      </c>
      <c r="EW673" s="27" t="s">
        <v>8</v>
      </c>
      <c r="GP673" s="27" t="s">
        <v>7</v>
      </c>
      <c r="GQ673" s="27" t="s">
        <v>8</v>
      </c>
      <c r="GR673" s="27" t="s">
        <v>7</v>
      </c>
      <c r="GS673" s="27" t="s">
        <v>8</v>
      </c>
      <c r="GZ673" s="27" t="s">
        <v>7</v>
      </c>
      <c r="HB673" s="27" t="s">
        <v>7</v>
      </c>
      <c r="HC673" s="27" t="s">
        <v>8</v>
      </c>
      <c r="HD673" s="27" t="s">
        <v>7</v>
      </c>
      <c r="HG673" s="27" t="s">
        <v>8</v>
      </c>
      <c r="HH673" s="27" t="s">
        <v>7</v>
      </c>
      <c r="HI673" s="27" t="s">
        <v>8</v>
      </c>
      <c r="HJ673" s="27" t="s">
        <v>7</v>
      </c>
      <c r="HK673" s="27" t="s">
        <v>8</v>
      </c>
      <c r="HU673" s="27" t="s">
        <v>8</v>
      </c>
      <c r="HV673" s="27" t="s">
        <v>7</v>
      </c>
      <c r="HW673" s="27" t="s">
        <v>8</v>
      </c>
      <c r="KZ673" s="27" t="s">
        <v>7</v>
      </c>
      <c r="LC673" s="27" t="s">
        <v>8</v>
      </c>
      <c r="LD673" s="27" t="s">
        <v>7</v>
      </c>
    </row>
    <row r="674" spans="1:316" x14ac:dyDescent="0.25">
      <c r="A674" s="7">
        <v>0.17856036158821534</v>
      </c>
      <c r="B674"/>
      <c r="C674"/>
      <c r="D674"/>
      <c r="E674"/>
      <c r="F674" s="27" t="s">
        <v>7</v>
      </c>
      <c r="EK674" s="27" t="s">
        <v>8</v>
      </c>
      <c r="EL674" s="27" t="s">
        <v>7</v>
      </c>
      <c r="EM674" s="27" t="s">
        <v>8</v>
      </c>
      <c r="EP674" s="27" t="s">
        <v>7</v>
      </c>
      <c r="EQ674" s="27" t="s">
        <v>8</v>
      </c>
      <c r="ER674" s="27" t="s">
        <v>7</v>
      </c>
      <c r="ES674" s="27" t="s">
        <v>8</v>
      </c>
      <c r="ET674" s="27" t="s">
        <v>7</v>
      </c>
      <c r="EU674" s="27" t="s">
        <v>8</v>
      </c>
      <c r="EV674" s="27" t="s">
        <v>7</v>
      </c>
      <c r="EW674" s="27" t="s">
        <v>8</v>
      </c>
      <c r="GP674" s="27" t="s">
        <v>7</v>
      </c>
      <c r="GQ674" s="27" t="s">
        <v>8</v>
      </c>
      <c r="GR674" s="27" t="s">
        <v>7</v>
      </c>
      <c r="GS674" s="27" t="s">
        <v>8</v>
      </c>
      <c r="HB674" s="27" t="s">
        <v>7</v>
      </c>
      <c r="HC674" s="27" t="s">
        <v>8</v>
      </c>
      <c r="HD674" s="27" t="s">
        <v>7</v>
      </c>
      <c r="HG674" s="27" t="s">
        <v>8</v>
      </c>
      <c r="HH674" s="27" t="s">
        <v>7</v>
      </c>
      <c r="HI674" s="27" t="s">
        <v>8</v>
      </c>
      <c r="HJ674" s="27" t="s">
        <v>7</v>
      </c>
      <c r="HK674" s="27" t="s">
        <v>8</v>
      </c>
      <c r="HL674" s="27" t="s">
        <v>7</v>
      </c>
      <c r="HM674" s="27" t="s">
        <v>8</v>
      </c>
      <c r="HO674" s="27" t="s">
        <v>8</v>
      </c>
      <c r="HU674" s="27" t="s">
        <v>8</v>
      </c>
      <c r="HV674" s="27" t="s">
        <v>7</v>
      </c>
      <c r="KZ674" s="27" t="s">
        <v>7</v>
      </c>
      <c r="LC674" s="27" t="s">
        <v>8</v>
      </c>
      <c r="LD674" s="27" t="s">
        <v>7</v>
      </c>
    </row>
    <row r="675" spans="1:316" x14ac:dyDescent="0.25">
      <c r="A675" s="7">
        <v>0.17505917802766208</v>
      </c>
      <c r="B675"/>
      <c r="C675"/>
      <c r="D675"/>
      <c r="E675"/>
      <c r="F675" s="27" t="s">
        <v>7</v>
      </c>
      <c r="EK675" s="27" t="s">
        <v>8</v>
      </c>
      <c r="EL675" s="27" t="s">
        <v>7</v>
      </c>
      <c r="EM675" s="27" t="s">
        <v>8</v>
      </c>
      <c r="EP675" s="27" t="s">
        <v>7</v>
      </c>
      <c r="EQ675" s="27" t="s">
        <v>8</v>
      </c>
      <c r="ER675" s="27" t="s">
        <v>7</v>
      </c>
      <c r="ES675" s="27" t="s">
        <v>8</v>
      </c>
      <c r="ET675" s="27" t="s">
        <v>7</v>
      </c>
      <c r="EU675" s="27" t="s">
        <v>8</v>
      </c>
      <c r="EV675" s="27" t="s">
        <v>7</v>
      </c>
      <c r="GP675" s="27" t="s">
        <v>7</v>
      </c>
      <c r="GQ675" s="27" t="s">
        <v>8</v>
      </c>
      <c r="GR675" s="27" t="s">
        <v>7</v>
      </c>
      <c r="HB675" s="27" t="s">
        <v>7</v>
      </c>
      <c r="HC675" s="27" t="s">
        <v>8</v>
      </c>
      <c r="HD675" s="27" t="s">
        <v>7</v>
      </c>
      <c r="HG675" s="27" t="s">
        <v>8</v>
      </c>
      <c r="HH675" s="27" t="s">
        <v>7</v>
      </c>
      <c r="HI675" s="27" t="s">
        <v>8</v>
      </c>
      <c r="HJ675" s="27" t="s">
        <v>7</v>
      </c>
      <c r="HK675" s="27" t="s">
        <v>8</v>
      </c>
      <c r="HL675" s="27" t="s">
        <v>7</v>
      </c>
      <c r="HM675" s="27" t="s">
        <v>8</v>
      </c>
      <c r="HN675" s="27" t="s">
        <v>7</v>
      </c>
      <c r="HO675" s="27" t="s">
        <v>8</v>
      </c>
      <c r="HP675" s="27" t="s">
        <v>7</v>
      </c>
      <c r="HU675" s="27" t="s">
        <v>8</v>
      </c>
      <c r="KZ675" s="27" t="s">
        <v>7</v>
      </c>
      <c r="LA675" s="27" t="s">
        <v>8</v>
      </c>
      <c r="LC675" s="27" t="s">
        <v>8</v>
      </c>
      <c r="LD675" s="27" t="s">
        <v>7</v>
      </c>
    </row>
    <row r="676" spans="1:316" x14ac:dyDescent="0.25">
      <c r="A676" s="7">
        <v>0.17162664512515888</v>
      </c>
      <c r="B676"/>
      <c r="C676"/>
      <c r="D676"/>
      <c r="E676"/>
      <c r="F676" s="27" t="s">
        <v>7</v>
      </c>
      <c r="EK676" s="27" t="s">
        <v>8</v>
      </c>
      <c r="EL676" s="27" t="s">
        <v>7</v>
      </c>
      <c r="EM676" s="27" t="s">
        <v>8</v>
      </c>
      <c r="EP676" s="27" t="s">
        <v>7</v>
      </c>
      <c r="EQ676" s="27" t="s">
        <v>8</v>
      </c>
      <c r="ER676" s="27" t="s">
        <v>7</v>
      </c>
      <c r="ES676" s="27" t="s">
        <v>8</v>
      </c>
      <c r="ET676" s="27" t="s">
        <v>7</v>
      </c>
      <c r="EU676" s="27" t="s">
        <v>8</v>
      </c>
      <c r="GP676" s="27" t="s">
        <v>7</v>
      </c>
      <c r="GQ676" s="27" t="s">
        <v>8</v>
      </c>
      <c r="HB676" s="27" t="s">
        <v>7</v>
      </c>
      <c r="HC676" s="27" t="s">
        <v>8</v>
      </c>
      <c r="HD676" s="27" t="s">
        <v>7</v>
      </c>
      <c r="HG676" s="27" t="s">
        <v>8</v>
      </c>
      <c r="HH676" s="27" t="s">
        <v>7</v>
      </c>
      <c r="HI676" s="27" t="s">
        <v>8</v>
      </c>
      <c r="HJ676" s="27" t="s">
        <v>7</v>
      </c>
      <c r="HL676" s="27" t="s">
        <v>7</v>
      </c>
      <c r="HM676" s="27" t="s">
        <v>8</v>
      </c>
      <c r="HN676" s="27" t="s">
        <v>7</v>
      </c>
      <c r="HO676" s="27" t="s">
        <v>8</v>
      </c>
      <c r="HP676" s="27" t="s">
        <v>7</v>
      </c>
      <c r="HU676" s="27" t="s">
        <v>8</v>
      </c>
      <c r="KZ676" s="27" t="s">
        <v>7</v>
      </c>
      <c r="LA676" s="27" t="s">
        <v>8</v>
      </c>
      <c r="LB676" s="27" t="s">
        <v>7</v>
      </c>
      <c r="LC676" s="27" t="s">
        <v>8</v>
      </c>
      <c r="LD676" s="27" t="s">
        <v>7</v>
      </c>
    </row>
    <row r="677" spans="1:316" x14ac:dyDescent="0.25">
      <c r="A677" s="7">
        <v>0.16826141678937145</v>
      </c>
      <c r="B677"/>
      <c r="C677"/>
      <c r="D677"/>
      <c r="E677"/>
      <c r="F677" s="27" t="s">
        <v>7</v>
      </c>
      <c r="EK677" s="27" t="s">
        <v>8</v>
      </c>
      <c r="EL677" s="27" t="s">
        <v>7</v>
      </c>
      <c r="EM677" s="27" t="s">
        <v>8</v>
      </c>
      <c r="EP677" s="27" t="s">
        <v>7</v>
      </c>
      <c r="EQ677" s="27" t="s">
        <v>8</v>
      </c>
      <c r="ER677" s="27" t="s">
        <v>7</v>
      </c>
      <c r="ES677" s="27" t="s">
        <v>8</v>
      </c>
      <c r="ET677" s="27" t="s">
        <v>7</v>
      </c>
      <c r="EU677" s="27" t="s">
        <v>8</v>
      </c>
      <c r="GP677" s="27" t="s">
        <v>7</v>
      </c>
      <c r="GQ677" s="27" t="s">
        <v>8</v>
      </c>
      <c r="HB677" s="27" t="s">
        <v>7</v>
      </c>
      <c r="HC677" s="27" t="s">
        <v>8</v>
      </c>
      <c r="HD677" s="27" t="s">
        <v>7</v>
      </c>
      <c r="HG677" s="27" t="s">
        <v>8</v>
      </c>
      <c r="HH677" s="27" t="s">
        <v>7</v>
      </c>
      <c r="HI677" s="27" t="s">
        <v>8</v>
      </c>
      <c r="HL677" s="27" t="s">
        <v>7</v>
      </c>
      <c r="HM677" s="27" t="s">
        <v>8</v>
      </c>
      <c r="HN677" s="27" t="s">
        <v>7</v>
      </c>
      <c r="HO677" s="27" t="s">
        <v>8</v>
      </c>
      <c r="HP677" s="27" t="s">
        <v>7</v>
      </c>
      <c r="HU677" s="27" t="s">
        <v>8</v>
      </c>
      <c r="KZ677" s="27" t="s">
        <v>7</v>
      </c>
      <c r="LA677" s="27" t="s">
        <v>8</v>
      </c>
      <c r="LB677" s="27" t="s">
        <v>7</v>
      </c>
      <c r="LC677" s="27" t="s">
        <v>8</v>
      </c>
      <c r="LD677" s="27" t="s">
        <v>7</v>
      </c>
    </row>
    <row r="678" spans="1:316" x14ac:dyDescent="0.25">
      <c r="A678" s="7">
        <v>0.16496217332291319</v>
      </c>
      <c r="B678"/>
      <c r="C678"/>
      <c r="D678"/>
      <c r="E678"/>
      <c r="F678" s="27" t="s">
        <v>7</v>
      </c>
      <c r="EK678" s="27" t="s">
        <v>8</v>
      </c>
      <c r="EL678" s="27" t="s">
        <v>7</v>
      </c>
      <c r="EM678" s="27" t="s">
        <v>8</v>
      </c>
      <c r="EP678" s="27" t="s">
        <v>7</v>
      </c>
      <c r="EQ678" s="27" t="s">
        <v>8</v>
      </c>
      <c r="ER678" s="27" t="s">
        <v>7</v>
      </c>
      <c r="ES678" s="27" t="s">
        <v>8</v>
      </c>
      <c r="ET678" s="27" t="s">
        <v>7</v>
      </c>
      <c r="GP678" s="27" t="s">
        <v>7</v>
      </c>
      <c r="GQ678" s="27" t="s">
        <v>8</v>
      </c>
      <c r="HB678" s="27" t="s">
        <v>7</v>
      </c>
      <c r="HC678" s="27" t="s">
        <v>8</v>
      </c>
      <c r="HD678" s="27" t="s">
        <v>7</v>
      </c>
      <c r="HG678" s="27" t="s">
        <v>8</v>
      </c>
      <c r="HH678" s="27" t="s">
        <v>7</v>
      </c>
      <c r="HI678" s="27" t="s">
        <v>8</v>
      </c>
      <c r="HL678" s="27" t="s">
        <v>7</v>
      </c>
      <c r="HM678" s="27" t="s">
        <v>8</v>
      </c>
      <c r="HN678" s="27" t="s">
        <v>7</v>
      </c>
      <c r="HO678" s="27" t="s">
        <v>8</v>
      </c>
      <c r="HP678" s="27" t="s">
        <v>7</v>
      </c>
      <c r="HQ678" s="27" t="s">
        <v>8</v>
      </c>
      <c r="HU678" s="27" t="s">
        <v>8</v>
      </c>
      <c r="KZ678" s="27" t="s">
        <v>7</v>
      </c>
      <c r="LA678" s="27" t="s">
        <v>8</v>
      </c>
      <c r="LB678" s="27" t="s">
        <v>7</v>
      </c>
      <c r="LC678" s="27" t="s">
        <v>8</v>
      </c>
      <c r="LD678" s="27" t="s">
        <v>7</v>
      </c>
    </row>
    <row r="679" spans="1:316" x14ac:dyDescent="0.25">
      <c r="A679" s="7">
        <v>0.16172762090481685</v>
      </c>
      <c r="B679"/>
      <c r="C679"/>
      <c r="D679"/>
      <c r="E679"/>
      <c r="F679" s="27" t="s">
        <v>7</v>
      </c>
      <c r="EK679" s="27" t="s">
        <v>8</v>
      </c>
      <c r="EL679" s="27" t="s">
        <v>7</v>
      </c>
      <c r="EM679" s="27" t="s">
        <v>8</v>
      </c>
      <c r="EP679" s="27" t="s">
        <v>7</v>
      </c>
      <c r="EQ679" s="27" t="s">
        <v>8</v>
      </c>
      <c r="ER679" s="27" t="s">
        <v>7</v>
      </c>
      <c r="ES679" s="27" t="s">
        <v>8</v>
      </c>
      <c r="GP679" s="27" t="s">
        <v>7</v>
      </c>
      <c r="GQ679" s="27" t="s">
        <v>8</v>
      </c>
      <c r="HB679" s="27" t="s">
        <v>7</v>
      </c>
      <c r="HC679" s="27" t="s">
        <v>8</v>
      </c>
      <c r="HD679" s="27" t="s">
        <v>7</v>
      </c>
      <c r="HG679" s="27" t="s">
        <v>8</v>
      </c>
      <c r="HH679" s="27" t="s">
        <v>7</v>
      </c>
      <c r="HI679" s="27" t="s">
        <v>8</v>
      </c>
      <c r="HL679" s="27" t="s">
        <v>7</v>
      </c>
      <c r="HM679" s="27" t="s">
        <v>8</v>
      </c>
      <c r="HN679" s="27" t="s">
        <v>7</v>
      </c>
      <c r="HO679" s="27" t="s">
        <v>8</v>
      </c>
      <c r="HP679" s="27" t="s">
        <v>7</v>
      </c>
      <c r="HQ679" s="27" t="s">
        <v>8</v>
      </c>
      <c r="HR679" s="27" t="s">
        <v>7</v>
      </c>
      <c r="HU679" s="27" t="s">
        <v>8</v>
      </c>
      <c r="KZ679" s="27" t="s">
        <v>7</v>
      </c>
      <c r="LA679" s="27" t="s">
        <v>8</v>
      </c>
      <c r="LB679" s="27" t="s">
        <v>7</v>
      </c>
      <c r="LC679" s="27" t="s">
        <v>8</v>
      </c>
      <c r="LD679" s="27" t="s">
        <v>7</v>
      </c>
    </row>
    <row r="680" spans="1:316" x14ac:dyDescent="0.25">
      <c r="A680" s="7">
        <v>0.15855649108315376</v>
      </c>
      <c r="B680"/>
      <c r="C680"/>
      <c r="D680"/>
      <c r="E680"/>
      <c r="F680" s="27" t="s">
        <v>7</v>
      </c>
      <c r="EK680" s="27" t="s">
        <v>8</v>
      </c>
      <c r="EL680" s="27" t="s">
        <v>7</v>
      </c>
      <c r="EM680" s="27" t="s">
        <v>8</v>
      </c>
      <c r="EP680" s="27" t="s">
        <v>7</v>
      </c>
      <c r="EQ680" s="27" t="s">
        <v>8</v>
      </c>
      <c r="ER680" s="27" t="s">
        <v>7</v>
      </c>
      <c r="ES680" s="27" t="s">
        <v>8</v>
      </c>
      <c r="GP680" s="27" t="s">
        <v>7</v>
      </c>
      <c r="GQ680" s="27" t="s">
        <v>8</v>
      </c>
      <c r="HB680" s="27" t="s">
        <v>7</v>
      </c>
      <c r="HD680" s="27" t="s">
        <v>7</v>
      </c>
      <c r="HG680" s="27" t="s">
        <v>8</v>
      </c>
      <c r="HH680" s="27" t="s">
        <v>7</v>
      </c>
      <c r="HI680" s="27" t="s">
        <v>8</v>
      </c>
      <c r="HL680" s="27" t="s">
        <v>7</v>
      </c>
      <c r="HM680" s="27" t="s">
        <v>8</v>
      </c>
      <c r="HN680" s="27" t="s">
        <v>7</v>
      </c>
      <c r="HO680" s="27" t="s">
        <v>8</v>
      </c>
      <c r="HP680" s="27" t="s">
        <v>7</v>
      </c>
      <c r="HQ680" s="27" t="s">
        <v>8</v>
      </c>
      <c r="HR680" s="27" t="s">
        <v>7</v>
      </c>
      <c r="HU680" s="27" t="s">
        <v>8</v>
      </c>
      <c r="KZ680" s="27" t="s">
        <v>7</v>
      </c>
      <c r="LA680" s="27" t="s">
        <v>8</v>
      </c>
      <c r="LB680" s="27" t="s">
        <v>7</v>
      </c>
      <c r="LC680" s="27" t="s">
        <v>8</v>
      </c>
    </row>
    <row r="681" spans="1:316" x14ac:dyDescent="0.25">
      <c r="A681" s="7">
        <v>0.15544754027760171</v>
      </c>
      <c r="B681"/>
      <c r="C681"/>
      <c r="D681"/>
      <c r="E681"/>
      <c r="F681" s="27" t="s">
        <v>7</v>
      </c>
      <c r="EK681" s="27" t="s">
        <v>8</v>
      </c>
      <c r="EL681" s="27" t="s">
        <v>7</v>
      </c>
      <c r="EP681" s="27" t="s">
        <v>7</v>
      </c>
      <c r="EQ681" s="27" t="s">
        <v>8</v>
      </c>
      <c r="ER681" s="27" t="s">
        <v>7</v>
      </c>
      <c r="ES681" s="27" t="s">
        <v>8</v>
      </c>
      <c r="GP681" s="27" t="s">
        <v>7</v>
      </c>
      <c r="GQ681" s="27" t="s">
        <v>8</v>
      </c>
      <c r="HD681" s="27" t="s">
        <v>7</v>
      </c>
      <c r="HG681" s="27" t="s">
        <v>8</v>
      </c>
      <c r="HH681" s="27" t="s">
        <v>7</v>
      </c>
      <c r="HI681" s="27" t="s">
        <v>8</v>
      </c>
      <c r="HL681" s="27" t="s">
        <v>7</v>
      </c>
      <c r="HM681" s="27" t="s">
        <v>8</v>
      </c>
      <c r="HN681" s="27" t="s">
        <v>7</v>
      </c>
      <c r="HP681" s="27" t="s">
        <v>7</v>
      </c>
      <c r="HQ681" s="27" t="s">
        <v>8</v>
      </c>
      <c r="HR681" s="27" t="s">
        <v>7</v>
      </c>
      <c r="HU681" s="27" t="s">
        <v>8</v>
      </c>
      <c r="KZ681" s="27" t="s">
        <v>7</v>
      </c>
      <c r="LA681" s="27" t="s">
        <v>8</v>
      </c>
      <c r="LB681" s="27" t="s">
        <v>7</v>
      </c>
      <c r="LC681" s="27" t="s">
        <v>8</v>
      </c>
    </row>
    <row r="682" spans="1:316" x14ac:dyDescent="0.25">
      <c r="A682" s="7">
        <v>0.15239954929176638</v>
      </c>
      <c r="B682"/>
      <c r="C682"/>
      <c r="D682"/>
      <c r="E682"/>
      <c r="F682" s="27" t="s">
        <v>7</v>
      </c>
      <c r="EK682" s="27" t="s">
        <v>8</v>
      </c>
      <c r="EP682" s="27" t="s">
        <v>7</v>
      </c>
      <c r="EQ682" s="27" t="s">
        <v>8</v>
      </c>
      <c r="ER682" s="27" t="s">
        <v>7</v>
      </c>
      <c r="ES682" s="27" t="s">
        <v>8</v>
      </c>
      <c r="GP682" s="27" t="s">
        <v>7</v>
      </c>
      <c r="HD682" s="27" t="s">
        <v>7</v>
      </c>
      <c r="HG682" s="27" t="s">
        <v>8</v>
      </c>
      <c r="HH682" s="27" t="s">
        <v>7</v>
      </c>
      <c r="HL682" s="27" t="s">
        <v>7</v>
      </c>
      <c r="HP682" s="27" t="s">
        <v>7</v>
      </c>
      <c r="HR682" s="27" t="s">
        <v>7</v>
      </c>
      <c r="HU682" s="27" t="s">
        <v>8</v>
      </c>
      <c r="KZ682" s="27" t="s">
        <v>7</v>
      </c>
      <c r="LA682" s="27" t="s">
        <v>8</v>
      </c>
      <c r="LB682" s="27" t="s">
        <v>7</v>
      </c>
      <c r="LC682" s="27" t="s">
        <v>8</v>
      </c>
    </row>
    <row r="683" spans="1:316" x14ac:dyDescent="0.25">
      <c r="A683" s="7">
        <v>0.14941132283506509</v>
      </c>
      <c r="B683"/>
      <c r="C683"/>
      <c r="D683"/>
      <c r="E683"/>
      <c r="F683" s="27" t="s">
        <v>7</v>
      </c>
      <c r="EI683" s="27" t="s">
        <v>8</v>
      </c>
      <c r="EK683" s="27" t="s">
        <v>8</v>
      </c>
      <c r="EP683" s="27" t="s">
        <v>7</v>
      </c>
      <c r="EQ683" s="27" t="s">
        <v>8</v>
      </c>
      <c r="ER683" s="27" t="s">
        <v>7</v>
      </c>
      <c r="ES683" s="27" t="s">
        <v>8</v>
      </c>
      <c r="HD683" s="27" t="s">
        <v>7</v>
      </c>
      <c r="HG683" s="27" t="s">
        <v>8</v>
      </c>
      <c r="HR683" s="27" t="s">
        <v>7</v>
      </c>
      <c r="HS683" s="27" t="s">
        <v>8</v>
      </c>
      <c r="HU683" s="27" t="s">
        <v>8</v>
      </c>
      <c r="KZ683" s="27" t="s">
        <v>7</v>
      </c>
      <c r="LB683" s="27" t="s">
        <v>7</v>
      </c>
      <c r="LC683" s="27" t="s">
        <v>8</v>
      </c>
    </row>
    <row r="684" spans="1:316" x14ac:dyDescent="0.25">
      <c r="A684" s="7">
        <v>0.14648168905398537</v>
      </c>
      <c r="B684"/>
      <c r="C684"/>
      <c r="D684"/>
      <c r="E684"/>
      <c r="F684" s="27" t="s">
        <v>7</v>
      </c>
      <c r="EI684" s="27" t="s">
        <v>8</v>
      </c>
      <c r="EJ684" s="27" t="s">
        <v>7</v>
      </c>
      <c r="EK684" s="27" t="s">
        <v>8</v>
      </c>
      <c r="EP684" s="27" t="s">
        <v>7</v>
      </c>
      <c r="EQ684" s="27" t="s">
        <v>8</v>
      </c>
      <c r="ER684" s="27" t="s">
        <v>7</v>
      </c>
      <c r="ES684" s="27" t="s">
        <v>8</v>
      </c>
      <c r="HD684" s="27" t="s">
        <v>7</v>
      </c>
      <c r="HG684" s="27" t="s">
        <v>8</v>
      </c>
      <c r="HR684" s="27" t="s">
        <v>7</v>
      </c>
      <c r="HS684" s="27" t="s">
        <v>8</v>
      </c>
      <c r="HT684" s="27" t="s">
        <v>7</v>
      </c>
      <c r="HU684" s="27" t="s">
        <v>8</v>
      </c>
      <c r="LB684" s="27" t="s">
        <v>7</v>
      </c>
    </row>
    <row r="685" spans="1:316" x14ac:dyDescent="0.25">
      <c r="A685" s="7">
        <v>0.14360949907253467</v>
      </c>
      <c r="B685"/>
      <c r="C685"/>
      <c r="D685"/>
      <c r="E685"/>
      <c r="F685" s="27" t="s">
        <v>7</v>
      </c>
      <c r="EI685" s="27" t="s">
        <v>8</v>
      </c>
      <c r="EJ685" s="27" t="s">
        <v>7</v>
      </c>
      <c r="EK685" s="27" t="s">
        <v>8</v>
      </c>
      <c r="EP685" s="27" t="s">
        <v>7</v>
      </c>
      <c r="EQ685" s="27" t="s">
        <v>8</v>
      </c>
      <c r="ER685" s="27" t="s">
        <v>7</v>
      </c>
      <c r="ES685" s="27" t="s">
        <v>8</v>
      </c>
      <c r="HD685" s="27" t="s">
        <v>7</v>
      </c>
      <c r="HG685" s="27" t="s">
        <v>8</v>
      </c>
      <c r="HR685" s="27" t="s">
        <v>7</v>
      </c>
      <c r="HS685" s="27" t="s">
        <v>8</v>
      </c>
      <c r="HT685" s="27" t="s">
        <v>7</v>
      </c>
      <c r="HU685" s="27" t="s">
        <v>8</v>
      </c>
    </row>
    <row r="686" spans="1:316" x14ac:dyDescent="0.25">
      <c r="A686" s="7">
        <v>0.14079362654170066</v>
      </c>
      <c r="B686"/>
      <c r="C686"/>
      <c r="D686"/>
      <c r="E686"/>
      <c r="F686" s="27" t="s">
        <v>7</v>
      </c>
      <c r="EI686" s="27" t="s">
        <v>8</v>
      </c>
      <c r="EJ686" s="27" t="s">
        <v>7</v>
      </c>
      <c r="EK686" s="27" t="s">
        <v>8</v>
      </c>
      <c r="EP686" s="27" t="s">
        <v>7</v>
      </c>
      <c r="EQ686" s="27" t="s">
        <v>8</v>
      </c>
      <c r="ER686" s="27" t="s">
        <v>7</v>
      </c>
      <c r="ES686" s="27" t="s">
        <v>8</v>
      </c>
      <c r="HD686" s="27" t="s">
        <v>7</v>
      </c>
      <c r="HG686" s="27" t="s">
        <v>8</v>
      </c>
      <c r="HR686" s="27" t="s">
        <v>7</v>
      </c>
      <c r="HS686" s="27" t="s">
        <v>8</v>
      </c>
      <c r="HT686" s="27" t="s">
        <v>7</v>
      </c>
    </row>
    <row r="687" spans="1:316" x14ac:dyDescent="0.25">
      <c r="A687" s="7">
        <v>0.13803296719774574</v>
      </c>
      <c r="B687"/>
      <c r="C687"/>
      <c r="D687"/>
      <c r="E687"/>
      <c r="F687" s="27" t="s">
        <v>7</v>
      </c>
      <c r="EI687" s="27" t="s">
        <v>8</v>
      </c>
      <c r="EJ687" s="27" t="s">
        <v>7</v>
      </c>
      <c r="EK687" s="27" t="s">
        <v>8</v>
      </c>
      <c r="EP687" s="27" t="s">
        <v>7</v>
      </c>
      <c r="EQ687" s="27" t="s">
        <v>8</v>
      </c>
      <c r="ER687" s="27" t="s">
        <v>7</v>
      </c>
      <c r="HD687" s="27" t="s">
        <v>7</v>
      </c>
      <c r="HG687" s="27" t="s">
        <v>8</v>
      </c>
      <c r="HR687" s="27" t="s">
        <v>7</v>
      </c>
      <c r="HS687" s="27" t="s">
        <v>8</v>
      </c>
    </row>
    <row r="688" spans="1:316" x14ac:dyDescent="0.25">
      <c r="A688" s="7">
        <v>0.1353264384291625</v>
      </c>
      <c r="B688"/>
      <c r="C688"/>
      <c r="D688"/>
      <c r="E688"/>
      <c r="F688" s="27" t="s">
        <v>7</v>
      </c>
      <c r="EI688" s="27" t="s">
        <v>8</v>
      </c>
      <c r="EJ688" s="27" t="s">
        <v>7</v>
      </c>
      <c r="EK688" s="27" t="s">
        <v>8</v>
      </c>
      <c r="EP688" s="27" t="s">
        <v>7</v>
      </c>
      <c r="EQ688" s="27" t="s">
        <v>8</v>
      </c>
      <c r="HD688" s="27" t="s">
        <v>7</v>
      </c>
      <c r="HG688" s="27" t="s">
        <v>8</v>
      </c>
      <c r="HR688" s="27" t="s">
        <v>7</v>
      </c>
      <c r="HS688" s="27" t="s">
        <v>8</v>
      </c>
    </row>
    <row r="689" spans="1:227" x14ac:dyDescent="0.25">
      <c r="A689" s="7">
        <v>0.13267297885212009</v>
      </c>
      <c r="B689"/>
      <c r="C689"/>
      <c r="D689"/>
      <c r="E689"/>
      <c r="F689" s="27" t="s">
        <v>7</v>
      </c>
      <c r="EI689" s="27" t="s">
        <v>8</v>
      </c>
      <c r="EJ689" s="27" t="s">
        <v>7</v>
      </c>
      <c r="EK689" s="27" t="s">
        <v>8</v>
      </c>
      <c r="EP689" s="27" t="s">
        <v>7</v>
      </c>
      <c r="EQ689" s="27" t="s">
        <v>8</v>
      </c>
      <c r="HD689" s="27" t="s">
        <v>7</v>
      </c>
      <c r="HG689" s="27" t="s">
        <v>8</v>
      </c>
      <c r="HR689" s="18" t="s">
        <v>7</v>
      </c>
      <c r="HS689" s="27" t="s">
        <v>8</v>
      </c>
    </row>
    <row r="690" spans="1:227" x14ac:dyDescent="0.25">
      <c r="A690" s="7">
        <v>0.13007154789423539</v>
      </c>
      <c r="B690"/>
      <c r="C690"/>
      <c r="D690"/>
      <c r="E690"/>
      <c r="F690" s="27" t="s">
        <v>7</v>
      </c>
      <c r="EI690" s="27" t="s">
        <v>8</v>
      </c>
      <c r="EJ690" s="27" t="s">
        <v>7</v>
      </c>
      <c r="EP690" s="27" t="s">
        <v>7</v>
      </c>
      <c r="EQ690" s="27" t="s">
        <v>8</v>
      </c>
      <c r="HD690" s="27" t="s">
        <v>7</v>
      </c>
      <c r="HG690" s="27" t="s">
        <v>8</v>
      </c>
      <c r="HR690" s="27" t="s">
        <v>7</v>
      </c>
      <c r="HS690" s="27" t="s">
        <v>8</v>
      </c>
    </row>
    <row r="691" spans="1:227" x14ac:dyDescent="0.25">
      <c r="A691" s="7">
        <v>0.12752112538650529</v>
      </c>
      <c r="B691"/>
      <c r="C691"/>
      <c r="D691"/>
      <c r="E691"/>
      <c r="F691" s="27" t="s">
        <v>7</v>
      </c>
      <c r="EI691" s="27" t="s">
        <v>8</v>
      </c>
      <c r="EP691" s="27" t="s">
        <v>7</v>
      </c>
      <c r="EQ691" s="27" t="s">
        <v>8</v>
      </c>
      <c r="HD691" s="27" t="s">
        <v>7</v>
      </c>
      <c r="HG691" s="27" t="s">
        <v>8</v>
      </c>
      <c r="HR691" s="27" t="s">
        <v>7</v>
      </c>
      <c r="HS691" s="27" t="s">
        <v>8</v>
      </c>
    </row>
    <row r="692" spans="1:227" x14ac:dyDescent="0.25">
      <c r="A692" s="7">
        <v>0.12502071116324048</v>
      </c>
      <c r="B692"/>
      <c r="C692"/>
      <c r="D692"/>
      <c r="E692"/>
      <c r="F692" s="27" t="s">
        <v>7</v>
      </c>
      <c r="EI692" s="27" t="s">
        <v>8</v>
      </c>
      <c r="EP692" s="27" t="s">
        <v>7</v>
      </c>
      <c r="EQ692" s="27" t="s">
        <v>8</v>
      </c>
      <c r="HD692" s="27" t="s">
        <v>7</v>
      </c>
      <c r="HG692" s="27" t="s">
        <v>8</v>
      </c>
      <c r="HR692" s="27" t="s">
        <v>7</v>
      </c>
      <c r="HS692" s="27" t="s">
        <v>8</v>
      </c>
    </row>
    <row r="693" spans="1:227" x14ac:dyDescent="0.25">
      <c r="A693" s="7">
        <v>0.1225693246698436</v>
      </c>
      <c r="B693"/>
      <c r="C693"/>
      <c r="D693"/>
      <c r="E693"/>
      <c r="F693" s="27" t="s">
        <v>7</v>
      </c>
      <c r="EI693" s="27" t="s">
        <v>8</v>
      </c>
      <c r="EP693" s="27" t="s">
        <v>7</v>
      </c>
      <c r="HD693" s="27" t="s">
        <v>7</v>
      </c>
      <c r="HG693" s="27" t="s">
        <v>8</v>
      </c>
      <c r="HR693" s="27" t="s">
        <v>7</v>
      </c>
      <c r="HS693" s="27" t="s">
        <v>8</v>
      </c>
    </row>
    <row r="694" spans="1:227" x14ac:dyDescent="0.25">
      <c r="A694" s="7">
        <v>0.12016600457827803</v>
      </c>
      <c r="B694"/>
      <c r="C694"/>
      <c r="D694"/>
      <c r="E694"/>
      <c r="F694" s="27" t="s">
        <v>7</v>
      </c>
      <c r="EI694" s="27" t="s">
        <v>8</v>
      </c>
      <c r="HD694" s="27" t="s">
        <v>7</v>
      </c>
      <c r="HG694" s="27" t="s">
        <v>8</v>
      </c>
      <c r="HR694" s="27" t="s">
        <v>7</v>
      </c>
      <c r="HS694" s="27" t="s">
        <v>8</v>
      </c>
    </row>
    <row r="695" spans="1:227" x14ac:dyDescent="0.25">
      <c r="A695" s="7">
        <v>0.1178098084100765</v>
      </c>
      <c r="B695"/>
      <c r="C695"/>
      <c r="D695"/>
      <c r="E695"/>
      <c r="F695" s="27" t="s">
        <v>7</v>
      </c>
      <c r="EI695" s="27" t="s">
        <v>8</v>
      </c>
      <c r="HD695" s="27" t="s">
        <v>7</v>
      </c>
      <c r="HE695" s="27" t="s">
        <v>8</v>
      </c>
      <c r="HG695" s="27" t="s">
        <v>8</v>
      </c>
      <c r="HR695" s="27" t="s">
        <v>7</v>
      </c>
    </row>
    <row r="696" spans="1:227" x14ac:dyDescent="0.25">
      <c r="A696" s="7">
        <v>0.11549981216674166</v>
      </c>
      <c r="B696"/>
      <c r="C696"/>
      <c r="D696"/>
      <c r="E696"/>
      <c r="F696" s="27" t="s">
        <v>7</v>
      </c>
      <c r="EI696" s="27" t="s">
        <v>8</v>
      </c>
      <c r="HD696" s="27" t="s">
        <v>7</v>
      </c>
      <c r="HE696" s="27" t="s">
        <v>8</v>
      </c>
      <c r="HF696" s="27" t="s">
        <v>7</v>
      </c>
      <c r="HG696" s="27" t="s">
        <v>8</v>
      </c>
    </row>
    <row r="697" spans="1:227" x14ac:dyDescent="0.25">
      <c r="A697" s="7">
        <v>0.11323510996739378</v>
      </c>
      <c r="B697"/>
      <c r="C697"/>
      <c r="D697"/>
      <c r="E697"/>
      <c r="F697" s="27" t="s">
        <v>7</v>
      </c>
      <c r="EG697" s="27" t="s">
        <v>8</v>
      </c>
      <c r="EI697" s="27" t="s">
        <v>8</v>
      </c>
      <c r="HD697" s="27" t="s">
        <v>7</v>
      </c>
      <c r="HE697" s="27" t="s">
        <v>8</v>
      </c>
      <c r="HF697" s="27" t="s">
        <v>7</v>
      </c>
      <c r="HG697" s="27" t="s">
        <v>8</v>
      </c>
    </row>
    <row r="698" spans="1:227" x14ac:dyDescent="0.25">
      <c r="A698" s="7">
        <v>0.11101481369352331</v>
      </c>
      <c r="B698"/>
      <c r="C698"/>
      <c r="D698"/>
      <c r="E698"/>
      <c r="F698" s="27" t="s">
        <v>7</v>
      </c>
      <c r="EG698" s="27" t="s">
        <v>8</v>
      </c>
      <c r="EH698" s="27" t="s">
        <v>7</v>
      </c>
      <c r="EI698" s="27" t="s">
        <v>8</v>
      </c>
      <c r="HD698" s="27" t="s">
        <v>7</v>
      </c>
      <c r="HE698" s="27" t="s">
        <v>8</v>
      </c>
      <c r="HF698" s="27" t="s">
        <v>7</v>
      </c>
      <c r="HG698" s="27" t="s">
        <v>8</v>
      </c>
    </row>
    <row r="699" spans="1:227" x14ac:dyDescent="0.25">
      <c r="A699" s="7">
        <v>0.10883805264070913</v>
      </c>
      <c r="B699"/>
      <c r="C699"/>
      <c r="D699"/>
      <c r="E699"/>
      <c r="F699" s="27" t="s">
        <v>7</v>
      </c>
      <c r="EG699" s="27" t="s">
        <v>8</v>
      </c>
      <c r="EH699" s="27" t="s">
        <v>7</v>
      </c>
      <c r="EI699" s="27" t="s">
        <v>8</v>
      </c>
      <c r="HD699" s="27" t="s">
        <v>7</v>
      </c>
      <c r="HE699" s="27" t="s">
        <v>8</v>
      </c>
      <c r="HF699" s="27" t="s">
        <v>7</v>
      </c>
      <c r="HG699" s="27" t="s">
        <v>8</v>
      </c>
    </row>
    <row r="700" spans="1:227" x14ac:dyDescent="0.25">
      <c r="A700" s="7">
        <v>0.10670397317716582</v>
      </c>
      <c r="B700"/>
      <c r="C700"/>
      <c r="D700"/>
      <c r="E700"/>
      <c r="F700" s="27" t="s">
        <v>7</v>
      </c>
      <c r="EG700" s="27" t="s">
        <v>8</v>
      </c>
      <c r="EH700" s="27" t="s">
        <v>7</v>
      </c>
      <c r="EI700" s="27" t="s">
        <v>8</v>
      </c>
      <c r="HD700" s="27" t="s">
        <v>7</v>
      </c>
      <c r="HE700" s="27" t="s">
        <v>8</v>
      </c>
      <c r="HF700" s="27" t="s">
        <v>7</v>
      </c>
      <c r="HG700" s="27" t="s">
        <v>8</v>
      </c>
    </row>
    <row r="701" spans="1:227" x14ac:dyDescent="0.25">
      <c r="A701" s="7">
        <v>0.1046117384089861</v>
      </c>
      <c r="B701"/>
      <c r="C701"/>
      <c r="D701"/>
      <c r="E701"/>
      <c r="F701" s="27" t="s">
        <v>7</v>
      </c>
      <c r="EG701" s="27" t="s">
        <v>8</v>
      </c>
      <c r="EH701" s="27" t="s">
        <v>7</v>
      </c>
      <c r="EI701" s="27" t="s">
        <v>8</v>
      </c>
      <c r="HD701" s="27" t="s">
        <v>7</v>
      </c>
      <c r="HE701" s="27" t="s">
        <v>8</v>
      </c>
      <c r="HF701" s="27" t="s">
        <v>7</v>
      </c>
      <c r="HG701" s="27" t="s">
        <v>8</v>
      </c>
    </row>
    <row r="702" spans="1:227" x14ac:dyDescent="0.25">
      <c r="A702" s="7">
        <v>0.10256052785194716</v>
      </c>
      <c r="B702"/>
      <c r="C702"/>
      <c r="D702"/>
      <c r="E702"/>
      <c r="F702" s="27" t="s">
        <v>7</v>
      </c>
      <c r="EG702" s="27" t="s">
        <v>8</v>
      </c>
      <c r="EH702" s="27" t="s">
        <v>7</v>
      </c>
      <c r="EI702" s="27" t="s">
        <v>8</v>
      </c>
      <c r="HD702" s="27" t="s">
        <v>7</v>
      </c>
      <c r="HE702" s="27" t="s">
        <v>8</v>
      </c>
      <c r="HF702" s="27" t="s">
        <v>7</v>
      </c>
      <c r="HG702" s="27" t="s">
        <v>8</v>
      </c>
    </row>
    <row r="703" spans="1:227" x14ac:dyDescent="0.25">
      <c r="A703" s="7">
        <v>0.10054953710975212</v>
      </c>
      <c r="B703"/>
      <c r="C703"/>
      <c r="D703"/>
      <c r="E703"/>
      <c r="F703" s="27" t="s">
        <v>7</v>
      </c>
      <c r="EG703" s="27" t="s">
        <v>8</v>
      </c>
      <c r="EH703" s="27" t="s">
        <v>7</v>
      </c>
      <c r="EI703" s="27" t="s">
        <v>8</v>
      </c>
      <c r="HD703" s="27" t="s">
        <v>7</v>
      </c>
      <c r="HE703" s="27" t="s">
        <v>8</v>
      </c>
      <c r="HF703" s="27" t="s">
        <v>7</v>
      </c>
      <c r="HG703" s="27" t="s">
        <v>8</v>
      </c>
    </row>
    <row r="704" spans="1:227" x14ac:dyDescent="0.25">
      <c r="A704" s="7">
        <v>9.8577977558580512E-2</v>
      </c>
      <c r="B704"/>
      <c r="C704"/>
      <c r="D704"/>
      <c r="E704"/>
      <c r="F704" s="27" t="s">
        <v>7</v>
      </c>
      <c r="EG704" s="27" t="s">
        <v>8</v>
      </c>
      <c r="EH704" s="27" t="s">
        <v>7</v>
      </c>
      <c r="EI704" s="27" t="s">
        <v>8</v>
      </c>
      <c r="HD704" s="27" t="s">
        <v>7</v>
      </c>
      <c r="HE704" s="27" t="s">
        <v>8</v>
      </c>
      <c r="HF704" s="27" t="s">
        <v>7</v>
      </c>
    </row>
    <row r="705" spans="1:213" x14ac:dyDescent="0.25">
      <c r="A705" s="7">
        <v>9.6645076037824032E-2</v>
      </c>
      <c r="B705"/>
      <c r="C705"/>
      <c r="D705"/>
      <c r="E705"/>
      <c r="F705" s="27" t="s">
        <v>7</v>
      </c>
      <c r="EG705" s="27" t="s">
        <v>8</v>
      </c>
      <c r="EH705" s="27" t="s">
        <v>7</v>
      </c>
      <c r="EI705" s="27" t="s">
        <v>8</v>
      </c>
      <c r="HD705" s="27" t="s">
        <v>7</v>
      </c>
      <c r="HE705" s="27" t="s">
        <v>8</v>
      </c>
    </row>
    <row r="706" spans="1:213" x14ac:dyDescent="0.25">
      <c r="A706" s="7">
        <v>9.4750074546886304E-2</v>
      </c>
      <c r="B706"/>
      <c r="C706"/>
      <c r="D706"/>
      <c r="E706"/>
      <c r="F706" s="27" t="s">
        <v>7</v>
      </c>
      <c r="DQ706" s="27" t="s">
        <v>8</v>
      </c>
      <c r="EC706" s="27" t="s">
        <v>8</v>
      </c>
      <c r="EG706" s="27" t="s">
        <v>8</v>
      </c>
      <c r="EH706" s="27" t="s">
        <v>7</v>
      </c>
      <c r="EI706" s="27" t="s">
        <v>8</v>
      </c>
      <c r="HD706" s="27" t="s">
        <v>7</v>
      </c>
      <c r="HE706" s="27" t="s">
        <v>8</v>
      </c>
    </row>
    <row r="707" spans="1:213" x14ac:dyDescent="0.25">
      <c r="A707" s="7">
        <v>9.2892229947927743E-2</v>
      </c>
      <c r="B707"/>
      <c r="C707"/>
      <c r="D707"/>
      <c r="E707"/>
      <c r="F707" s="27" t="s">
        <v>7</v>
      </c>
      <c r="CQ707" s="27" t="s">
        <v>8</v>
      </c>
      <c r="DM707" s="27" t="s">
        <v>8</v>
      </c>
      <c r="DQ707" s="27" t="s">
        <v>8</v>
      </c>
      <c r="DR707" s="27" t="s">
        <v>7</v>
      </c>
      <c r="EC707" s="27" t="s">
        <v>8</v>
      </c>
      <c r="ED707" s="27" t="s">
        <v>7</v>
      </c>
      <c r="EG707" s="27" t="s">
        <v>8</v>
      </c>
      <c r="EH707" s="27" t="s">
        <v>7</v>
      </c>
      <c r="EI707" s="27" t="s">
        <v>8</v>
      </c>
      <c r="HD707" s="27" t="s">
        <v>7</v>
      </c>
      <c r="HE707" s="27" t="s">
        <v>8</v>
      </c>
    </row>
    <row r="708" spans="1:213" x14ac:dyDescent="0.25">
      <c r="A708" s="7">
        <v>9.1070813674438963E-2</v>
      </c>
      <c r="B708"/>
      <c r="C708"/>
      <c r="D708"/>
      <c r="E708"/>
      <c r="F708" s="27" t="s">
        <v>7</v>
      </c>
      <c r="BE708" s="27" t="s">
        <v>8</v>
      </c>
      <c r="CQ708" s="27" t="s">
        <v>8</v>
      </c>
      <c r="CR708" s="27" t="s">
        <v>7</v>
      </c>
      <c r="DM708" s="27" t="s">
        <v>8</v>
      </c>
      <c r="DN708" s="27" t="s">
        <v>7</v>
      </c>
      <c r="DQ708" s="27" t="s">
        <v>8</v>
      </c>
      <c r="DR708" s="27" t="s">
        <v>7</v>
      </c>
      <c r="DU708" s="27" t="s">
        <v>8</v>
      </c>
      <c r="DY708" s="27" t="s">
        <v>8</v>
      </c>
      <c r="EC708" s="27" t="s">
        <v>8</v>
      </c>
      <c r="ED708" s="27" t="s">
        <v>7</v>
      </c>
      <c r="EE708" s="27" t="s">
        <v>8</v>
      </c>
      <c r="EG708" s="27" t="s">
        <v>8</v>
      </c>
      <c r="EH708" s="27" t="s">
        <v>7</v>
      </c>
      <c r="HD708" s="27" t="s">
        <v>7</v>
      </c>
      <c r="HE708" s="27" t="s">
        <v>8</v>
      </c>
    </row>
    <row r="709" spans="1:213" x14ac:dyDescent="0.25">
      <c r="A709" s="7">
        <v>8.9285111445528392E-2</v>
      </c>
      <c r="B709"/>
      <c r="C709"/>
      <c r="D709"/>
      <c r="E709"/>
      <c r="F709" s="27" t="s">
        <v>7</v>
      </c>
      <c r="BA709" s="27" t="s">
        <v>8</v>
      </c>
      <c r="BE709" s="27" t="s">
        <v>8</v>
      </c>
      <c r="BF709" s="27" t="s">
        <v>7</v>
      </c>
      <c r="CQ709" s="27" t="s">
        <v>8</v>
      </c>
      <c r="CR709" s="27" t="s">
        <v>7</v>
      </c>
      <c r="DM709" s="27" t="s">
        <v>8</v>
      </c>
      <c r="DN709" s="27" t="s">
        <v>7</v>
      </c>
      <c r="DQ709" s="27" t="s">
        <v>8</v>
      </c>
      <c r="DR709" s="27" t="s">
        <v>7</v>
      </c>
      <c r="DS709" s="27" t="s">
        <v>8</v>
      </c>
      <c r="DU709" s="27" t="s">
        <v>8</v>
      </c>
      <c r="DV709" s="27" t="s">
        <v>7</v>
      </c>
      <c r="DW709" s="27" t="s">
        <v>8</v>
      </c>
      <c r="DY709" s="27" t="s">
        <v>8</v>
      </c>
      <c r="DZ709" s="27" t="s">
        <v>7</v>
      </c>
      <c r="EC709" s="27" t="s">
        <v>8</v>
      </c>
      <c r="ED709" s="27" t="s">
        <v>7</v>
      </c>
      <c r="EE709" s="27" t="s">
        <v>8</v>
      </c>
      <c r="EF709" s="27" t="s">
        <v>7</v>
      </c>
      <c r="EG709" s="27" t="s">
        <v>8</v>
      </c>
      <c r="HD709" s="27" t="s">
        <v>7</v>
      </c>
      <c r="HE709" s="27" t="s">
        <v>8</v>
      </c>
    </row>
    <row r="710" spans="1:213" x14ac:dyDescent="0.25">
      <c r="A710" s="7">
        <v>8.7534422985812155E-2</v>
      </c>
      <c r="B710"/>
      <c r="C710"/>
      <c r="D710"/>
      <c r="E710"/>
      <c r="F710" s="27" t="s">
        <v>7</v>
      </c>
      <c r="G710" s="27" t="s">
        <v>8</v>
      </c>
      <c r="BA710" s="27" t="s">
        <v>8</v>
      </c>
      <c r="BB710" s="27" t="s">
        <v>7</v>
      </c>
      <c r="BE710" s="27" t="s">
        <v>8</v>
      </c>
      <c r="BF710" s="27" t="s">
        <v>7</v>
      </c>
      <c r="CQ710" s="27" t="s">
        <v>8</v>
      </c>
      <c r="CR710" s="27" t="s">
        <v>7</v>
      </c>
      <c r="DE710" s="27" t="s">
        <v>8</v>
      </c>
      <c r="DM710" s="27" t="s">
        <v>8</v>
      </c>
      <c r="DN710" s="27" t="s">
        <v>7</v>
      </c>
      <c r="DQ710" s="27" t="s">
        <v>8</v>
      </c>
      <c r="DR710" s="27" t="s">
        <v>7</v>
      </c>
      <c r="DS710" s="27" t="s">
        <v>8</v>
      </c>
      <c r="DT710" s="27" t="s">
        <v>7</v>
      </c>
      <c r="DU710" s="27" t="s">
        <v>8</v>
      </c>
      <c r="DV710" s="27" t="s">
        <v>7</v>
      </c>
      <c r="DW710" s="27" t="s">
        <v>8</v>
      </c>
      <c r="DX710" s="27" t="s">
        <v>7</v>
      </c>
      <c r="DY710" s="27" t="s">
        <v>8</v>
      </c>
      <c r="DZ710" s="27" t="s">
        <v>7</v>
      </c>
      <c r="EC710" s="27" t="s">
        <v>8</v>
      </c>
      <c r="ED710" s="27" t="s">
        <v>7</v>
      </c>
      <c r="EE710" s="27" t="s">
        <v>8</v>
      </c>
      <c r="EF710" s="27" t="s">
        <v>7</v>
      </c>
      <c r="EG710" s="27" t="s">
        <v>8</v>
      </c>
      <c r="HD710" s="27" t="s">
        <v>7</v>
      </c>
    </row>
    <row r="711" spans="1:213" x14ac:dyDescent="0.25">
      <c r="A711" s="7">
        <v>8.5818061750796232E-2</v>
      </c>
      <c r="B711"/>
      <c r="C711"/>
      <c r="D711"/>
      <c r="E711"/>
      <c r="F711" s="27" t="s">
        <v>7</v>
      </c>
      <c r="G711" s="27" t="s">
        <v>8</v>
      </c>
      <c r="H711" s="27" t="s">
        <v>7</v>
      </c>
      <c r="BA711" s="27" t="s">
        <v>8</v>
      </c>
      <c r="BB711" s="27" t="s">
        <v>7</v>
      </c>
      <c r="BE711" s="27" t="s">
        <v>8</v>
      </c>
      <c r="BF711" s="27" t="s">
        <v>7</v>
      </c>
      <c r="CQ711" s="27" t="s">
        <v>8</v>
      </c>
      <c r="CR711" s="27" t="s">
        <v>7</v>
      </c>
      <c r="DE711" s="27" t="s">
        <v>8</v>
      </c>
      <c r="DF711" s="27" t="s">
        <v>7</v>
      </c>
      <c r="DM711" s="27" t="s">
        <v>8</v>
      </c>
      <c r="DN711" s="27" t="s">
        <v>7</v>
      </c>
      <c r="DQ711" s="27" t="s">
        <v>8</v>
      </c>
      <c r="DR711" s="27" t="s">
        <v>7</v>
      </c>
      <c r="DS711" s="27" t="s">
        <v>8</v>
      </c>
      <c r="DT711" s="27" t="s">
        <v>7</v>
      </c>
      <c r="DU711" s="27" t="s">
        <v>8</v>
      </c>
      <c r="DV711" s="27" t="s">
        <v>7</v>
      </c>
      <c r="DW711" s="27" t="s">
        <v>8</v>
      </c>
      <c r="DX711" s="27" t="s">
        <v>7</v>
      </c>
      <c r="DY711" s="27" t="s">
        <v>8</v>
      </c>
      <c r="DZ711" s="27" t="s">
        <v>7</v>
      </c>
      <c r="EA711" s="27" t="s">
        <v>8</v>
      </c>
      <c r="EC711" s="27" t="s">
        <v>8</v>
      </c>
      <c r="ED711" s="27" t="s">
        <v>7</v>
      </c>
      <c r="EE711" s="27" t="s">
        <v>8</v>
      </c>
      <c r="EF711" s="27" t="s">
        <v>7</v>
      </c>
      <c r="EG711" s="27" t="s">
        <v>8</v>
      </c>
    </row>
    <row r="712" spans="1:213" x14ac:dyDescent="0.25">
      <c r="A712" s="7">
        <v>8.4135354657643366E-2</v>
      </c>
      <c r="B712"/>
      <c r="C712"/>
      <c r="D712"/>
      <c r="E712"/>
      <c r="F712" s="27" t="s">
        <v>7</v>
      </c>
      <c r="G712" s="27" t="s">
        <v>8</v>
      </c>
      <c r="H712" s="27" t="s">
        <v>7</v>
      </c>
      <c r="BA712" s="27" t="s">
        <v>8</v>
      </c>
      <c r="BB712" s="27" t="s">
        <v>7</v>
      </c>
      <c r="BE712" s="27" t="s">
        <v>8</v>
      </c>
      <c r="BF712" s="27" t="s">
        <v>7</v>
      </c>
      <c r="CQ712" s="27" t="s">
        <v>8</v>
      </c>
      <c r="CR712" s="27" t="s">
        <v>7</v>
      </c>
      <c r="DE712" s="27" t="s">
        <v>8</v>
      </c>
      <c r="DF712" s="27" t="s">
        <v>7</v>
      </c>
      <c r="DM712" s="27" t="s">
        <v>8</v>
      </c>
      <c r="DN712" s="27" t="s">
        <v>7</v>
      </c>
      <c r="DQ712" s="27" t="s">
        <v>8</v>
      </c>
      <c r="DR712" s="27" t="s">
        <v>7</v>
      </c>
      <c r="DS712" s="27" t="s">
        <v>8</v>
      </c>
      <c r="DT712" s="27" t="s">
        <v>7</v>
      </c>
      <c r="DU712" s="27" t="s">
        <v>8</v>
      </c>
      <c r="DV712" s="27" t="s">
        <v>7</v>
      </c>
      <c r="DW712" s="27" t="s">
        <v>8</v>
      </c>
      <c r="DX712" s="27" t="s">
        <v>7</v>
      </c>
      <c r="DY712" s="27" t="s">
        <v>8</v>
      </c>
      <c r="DZ712" s="27" t="s">
        <v>7</v>
      </c>
      <c r="EA712" s="27" t="s">
        <v>8</v>
      </c>
      <c r="EB712" s="27" t="s">
        <v>7</v>
      </c>
      <c r="EC712" s="27" t="s">
        <v>8</v>
      </c>
      <c r="ED712" s="27" t="s">
        <v>7</v>
      </c>
      <c r="EE712" s="27" t="s">
        <v>8</v>
      </c>
      <c r="EF712" s="27" t="s">
        <v>7</v>
      </c>
    </row>
    <row r="713" spans="1:213" x14ac:dyDescent="0.25">
      <c r="A713" s="7">
        <v>8.248564182121898E-2</v>
      </c>
      <c r="B713"/>
      <c r="C713"/>
      <c r="D713"/>
      <c r="E713"/>
      <c r="F713" s="27" t="s">
        <v>7</v>
      </c>
      <c r="G713" s="27" t="s">
        <v>8</v>
      </c>
      <c r="H713" s="27" t="s">
        <v>7</v>
      </c>
      <c r="BA713" s="27" t="s">
        <v>8</v>
      </c>
      <c r="BB713" s="27" t="s">
        <v>7</v>
      </c>
      <c r="BC713" s="27" t="s">
        <v>8</v>
      </c>
      <c r="BE713" s="27" t="s">
        <v>8</v>
      </c>
      <c r="BF713" s="27" t="s">
        <v>7</v>
      </c>
      <c r="CG713" s="27" t="s">
        <v>8</v>
      </c>
      <c r="CQ713" s="27" t="s">
        <v>8</v>
      </c>
      <c r="CR713" s="27" t="s">
        <v>7</v>
      </c>
      <c r="CS713" s="27" t="s">
        <v>8</v>
      </c>
      <c r="DE713" s="27" t="s">
        <v>8</v>
      </c>
      <c r="DF713" s="27" t="s">
        <v>7</v>
      </c>
      <c r="DM713" s="27" t="s">
        <v>8</v>
      </c>
      <c r="DN713" s="27" t="s">
        <v>7</v>
      </c>
      <c r="DQ713" s="27" t="s">
        <v>8</v>
      </c>
      <c r="DR713" s="27" t="s">
        <v>7</v>
      </c>
      <c r="DS713" s="27" t="s">
        <v>8</v>
      </c>
      <c r="DT713" s="27" t="s">
        <v>7</v>
      </c>
      <c r="DU713" s="27" t="s">
        <v>8</v>
      </c>
      <c r="DV713" s="27" t="s">
        <v>7</v>
      </c>
      <c r="DW713" s="27" t="s">
        <v>8</v>
      </c>
      <c r="DX713" s="27" t="s">
        <v>7</v>
      </c>
      <c r="DY713" s="27" t="s">
        <v>8</v>
      </c>
      <c r="DZ713" s="27" t="s">
        <v>7</v>
      </c>
      <c r="EA713" s="27" t="s">
        <v>8</v>
      </c>
      <c r="EB713" s="27" t="s">
        <v>7</v>
      </c>
      <c r="EC713" s="27" t="s">
        <v>8</v>
      </c>
      <c r="ED713" s="27" t="s">
        <v>7</v>
      </c>
      <c r="EE713" s="27" t="s">
        <v>8</v>
      </c>
    </row>
    <row r="714" spans="1:213" x14ac:dyDescent="0.25">
      <c r="A714" s="7">
        <v>8.0868276295312735E-2</v>
      </c>
      <c r="B714"/>
      <c r="C714"/>
      <c r="D714"/>
      <c r="E714"/>
      <c r="F714" s="27" t="s">
        <v>7</v>
      </c>
      <c r="G714" s="27" t="s">
        <v>8</v>
      </c>
      <c r="H714" s="27" t="s">
        <v>7</v>
      </c>
      <c r="AW714" s="27" t="s">
        <v>8</v>
      </c>
      <c r="BA714" s="27" t="s">
        <v>8</v>
      </c>
      <c r="BB714" s="27" t="s">
        <v>7</v>
      </c>
      <c r="BC714" s="27" t="s">
        <v>8</v>
      </c>
      <c r="BD714" s="27" t="s">
        <v>7</v>
      </c>
      <c r="BE714" s="27" t="s">
        <v>8</v>
      </c>
      <c r="BF714" s="27" t="s">
        <v>7</v>
      </c>
      <c r="CG714" s="27" t="s">
        <v>8</v>
      </c>
      <c r="CH714" s="27" t="s">
        <v>7</v>
      </c>
      <c r="CQ714" s="27" t="s">
        <v>8</v>
      </c>
      <c r="CR714" s="27" t="s">
        <v>7</v>
      </c>
      <c r="CS714" s="27" t="s">
        <v>8</v>
      </c>
      <c r="CT714" s="27" t="s">
        <v>7</v>
      </c>
      <c r="DE714" s="27" t="s">
        <v>8</v>
      </c>
      <c r="DF714" s="27" t="s">
        <v>7</v>
      </c>
      <c r="DM714" s="27" t="s">
        <v>8</v>
      </c>
      <c r="DN714" s="27" t="s">
        <v>7</v>
      </c>
      <c r="DQ714" s="27" t="s">
        <v>8</v>
      </c>
      <c r="DR714" s="27" t="s">
        <v>7</v>
      </c>
      <c r="DS714" s="27" t="s">
        <v>8</v>
      </c>
      <c r="DT714" s="27" t="s">
        <v>7</v>
      </c>
      <c r="DU714" s="27" t="s">
        <v>8</v>
      </c>
      <c r="DV714" s="27" t="s">
        <v>7</v>
      </c>
      <c r="DW714" s="27" t="s">
        <v>8</v>
      </c>
      <c r="DX714" s="27" t="s">
        <v>7</v>
      </c>
      <c r="DZ714" s="27" t="s">
        <v>7</v>
      </c>
      <c r="EA714" s="27" t="s">
        <v>8</v>
      </c>
      <c r="EB714" s="27" t="s">
        <v>7</v>
      </c>
      <c r="EC714" s="27" t="s">
        <v>8</v>
      </c>
      <c r="ED714" s="27" t="s">
        <v>7</v>
      </c>
      <c r="EE714" s="27" t="s">
        <v>8</v>
      </c>
    </row>
    <row r="715" spans="1:213" x14ac:dyDescent="0.25">
      <c r="A715" s="7">
        <v>7.9282623818934056E-2</v>
      </c>
      <c r="B715"/>
      <c r="C715"/>
      <c r="D715"/>
      <c r="E715"/>
      <c r="F715" s="27" t="s">
        <v>7</v>
      </c>
      <c r="G715" s="27" t="s">
        <v>8</v>
      </c>
      <c r="H715" s="27" t="s">
        <v>7</v>
      </c>
      <c r="AW715" s="27" t="s">
        <v>8</v>
      </c>
      <c r="AX715" s="27" t="s">
        <v>7</v>
      </c>
      <c r="BA715" s="27" t="s">
        <v>8</v>
      </c>
      <c r="BB715" s="27" t="s">
        <v>7</v>
      </c>
      <c r="BC715" s="27" t="s">
        <v>8</v>
      </c>
      <c r="BD715" s="27" t="s">
        <v>7</v>
      </c>
      <c r="BE715" s="27" t="s">
        <v>8</v>
      </c>
      <c r="BF715" s="27" t="s">
        <v>7</v>
      </c>
      <c r="CG715" s="27" t="s">
        <v>8</v>
      </c>
      <c r="CH715" s="27" t="s">
        <v>7</v>
      </c>
      <c r="CQ715" s="27" t="s">
        <v>8</v>
      </c>
      <c r="CR715" s="27" t="s">
        <v>7</v>
      </c>
      <c r="CS715" s="27" t="s">
        <v>8</v>
      </c>
      <c r="CT715" s="27" t="s">
        <v>7</v>
      </c>
      <c r="DE715" s="27" t="s">
        <v>8</v>
      </c>
      <c r="DF715" s="27" t="s">
        <v>7</v>
      </c>
      <c r="DM715" s="27" t="s">
        <v>8</v>
      </c>
      <c r="DN715" s="27" t="s">
        <v>7</v>
      </c>
      <c r="DO715" s="27" t="s">
        <v>8</v>
      </c>
      <c r="DQ715" s="27" t="s">
        <v>8</v>
      </c>
      <c r="DR715" s="27" t="s">
        <v>7</v>
      </c>
      <c r="DS715" s="27" t="s">
        <v>8</v>
      </c>
      <c r="DT715" s="27" t="s">
        <v>7</v>
      </c>
      <c r="DU715" s="27" t="s">
        <v>8</v>
      </c>
      <c r="DV715" s="27" t="s">
        <v>7</v>
      </c>
      <c r="DW715" s="27" t="s">
        <v>8</v>
      </c>
      <c r="DZ715" s="27" t="s">
        <v>7</v>
      </c>
      <c r="EA715" s="27" t="s">
        <v>8</v>
      </c>
      <c r="EB715" s="27" t="s">
        <v>7</v>
      </c>
      <c r="EC715" s="27" t="s">
        <v>8</v>
      </c>
      <c r="ED715" s="27" t="s">
        <v>7</v>
      </c>
      <c r="EE715" s="27" t="s">
        <v>8</v>
      </c>
    </row>
    <row r="716" spans="1:213" x14ac:dyDescent="0.25">
      <c r="A716" s="7">
        <v>7.7728062567582412E-2</v>
      </c>
      <c r="B716"/>
      <c r="C716"/>
      <c r="D716"/>
      <c r="E716"/>
      <c r="F716" s="27" t="s">
        <v>7</v>
      </c>
      <c r="G716" s="27" t="s">
        <v>8</v>
      </c>
      <c r="H716" s="27" t="s">
        <v>7</v>
      </c>
      <c r="AS716" s="27" t="s">
        <v>8</v>
      </c>
      <c r="AW716" s="27" t="s">
        <v>8</v>
      </c>
      <c r="AX716" s="27" t="s">
        <v>7</v>
      </c>
      <c r="AY716" s="27" t="s">
        <v>8</v>
      </c>
      <c r="BA716" s="27" t="s">
        <v>8</v>
      </c>
      <c r="BB716" s="27" t="s">
        <v>7</v>
      </c>
      <c r="BC716" s="27" t="s">
        <v>8</v>
      </c>
      <c r="BD716" s="27" t="s">
        <v>7</v>
      </c>
      <c r="BE716" s="27" t="s">
        <v>8</v>
      </c>
      <c r="BF716" s="27" t="s">
        <v>7</v>
      </c>
      <c r="CG716" s="27" t="s">
        <v>8</v>
      </c>
      <c r="CH716" s="27" t="s">
        <v>7</v>
      </c>
      <c r="CQ716" s="27" t="s">
        <v>8</v>
      </c>
      <c r="CR716" s="27" t="s">
        <v>7</v>
      </c>
      <c r="CS716" s="27" t="s">
        <v>8</v>
      </c>
      <c r="CT716" s="27" t="s">
        <v>7</v>
      </c>
      <c r="DC716" s="27" t="s">
        <v>8</v>
      </c>
      <c r="DE716" s="27" t="s">
        <v>8</v>
      </c>
      <c r="DF716" s="27" t="s">
        <v>7</v>
      </c>
      <c r="DK716" s="27" t="s">
        <v>8</v>
      </c>
      <c r="DM716" s="27" t="s">
        <v>8</v>
      </c>
      <c r="DN716" s="27" t="s">
        <v>7</v>
      </c>
      <c r="DO716" s="27" t="s">
        <v>8</v>
      </c>
      <c r="DP716" s="27" t="s">
        <v>7</v>
      </c>
      <c r="DQ716" s="27" t="s">
        <v>8</v>
      </c>
      <c r="DR716" s="27" t="s">
        <v>7</v>
      </c>
      <c r="DT716" s="27" t="s">
        <v>7</v>
      </c>
      <c r="DU716" s="27" t="s">
        <v>8</v>
      </c>
      <c r="DV716" s="27" t="s">
        <v>7</v>
      </c>
      <c r="DW716" s="27" t="s">
        <v>8</v>
      </c>
      <c r="DZ716" s="27" t="s">
        <v>7</v>
      </c>
      <c r="EA716" s="27" t="s">
        <v>8</v>
      </c>
      <c r="EB716" s="27" t="s">
        <v>7</v>
      </c>
      <c r="EC716" s="27" t="s">
        <v>8</v>
      </c>
      <c r="ED716" s="27" t="s">
        <v>7</v>
      </c>
      <c r="EE716" s="27" t="s">
        <v>8</v>
      </c>
    </row>
    <row r="717" spans="1:213" x14ac:dyDescent="0.25">
      <c r="A717" s="7">
        <v>7.6203982909394521E-2</v>
      </c>
      <c r="B717"/>
      <c r="C717"/>
      <c r="D717"/>
      <c r="E717"/>
      <c r="F717" s="27" t="s">
        <v>7</v>
      </c>
      <c r="G717" s="27" t="s">
        <v>8</v>
      </c>
      <c r="H717" s="27" t="s">
        <v>7</v>
      </c>
      <c r="AS717" s="27" t="s">
        <v>8</v>
      </c>
      <c r="AT717" s="27" t="s">
        <v>7</v>
      </c>
      <c r="AW717" s="27" t="s">
        <v>8</v>
      </c>
      <c r="AX717" s="27" t="s">
        <v>7</v>
      </c>
      <c r="AY717" s="27" t="s">
        <v>8</v>
      </c>
      <c r="AZ717" s="27" t="s">
        <v>7</v>
      </c>
      <c r="BA717" s="27" t="s">
        <v>8</v>
      </c>
      <c r="BB717" s="27" t="s">
        <v>7</v>
      </c>
      <c r="BD717" s="27" t="s">
        <v>7</v>
      </c>
      <c r="BF717" s="27" t="s">
        <v>7</v>
      </c>
      <c r="CG717" s="27" t="s">
        <v>8</v>
      </c>
      <c r="CH717" s="27" t="s">
        <v>7</v>
      </c>
      <c r="CQ717" s="27" t="s">
        <v>8</v>
      </c>
      <c r="CR717" s="27" t="s">
        <v>7</v>
      </c>
      <c r="CS717" s="27" t="s">
        <v>8</v>
      </c>
      <c r="CT717" s="27" t="s">
        <v>7</v>
      </c>
      <c r="CU717" s="27" t="s">
        <v>8</v>
      </c>
      <c r="DC717" s="27" t="s">
        <v>8</v>
      </c>
      <c r="DD717" s="27" t="s">
        <v>7</v>
      </c>
      <c r="DE717" s="27" t="s">
        <v>8</v>
      </c>
      <c r="DF717" s="27" t="s">
        <v>7</v>
      </c>
      <c r="DK717" s="27" t="s">
        <v>8</v>
      </c>
      <c r="DL717" s="27" t="s">
        <v>7</v>
      </c>
      <c r="DM717" s="27" t="s">
        <v>8</v>
      </c>
      <c r="DN717" s="27" t="s">
        <v>7</v>
      </c>
      <c r="DO717" s="27" t="s">
        <v>8</v>
      </c>
      <c r="DP717" s="27" t="s">
        <v>7</v>
      </c>
      <c r="DQ717" s="27" t="s">
        <v>8</v>
      </c>
      <c r="DT717" s="27" t="s">
        <v>7</v>
      </c>
      <c r="DU717" s="27" t="s">
        <v>8</v>
      </c>
      <c r="DV717" s="27" t="s">
        <v>7</v>
      </c>
      <c r="DW717" s="27" t="s">
        <v>8</v>
      </c>
      <c r="DZ717" s="27" t="s">
        <v>7</v>
      </c>
      <c r="EA717" s="27" t="s">
        <v>8</v>
      </c>
      <c r="EB717" s="27" t="s">
        <v>7</v>
      </c>
      <c r="EC717" s="27" t="s">
        <v>8</v>
      </c>
      <c r="ED717" s="27" t="s">
        <v>7</v>
      </c>
      <c r="EE717" s="27" t="s">
        <v>8</v>
      </c>
    </row>
    <row r="718" spans="1:213" x14ac:dyDescent="0.25">
      <c r="A718" s="7">
        <v>7.4709787166073058E-2</v>
      </c>
      <c r="B718"/>
      <c r="C718"/>
      <c r="D718"/>
      <c r="E718"/>
      <c r="F718" s="27" t="s">
        <v>7</v>
      </c>
      <c r="G718" s="27" t="s">
        <v>8</v>
      </c>
      <c r="H718" s="27" t="s">
        <v>7</v>
      </c>
      <c r="AS718" s="27" t="s">
        <v>8</v>
      </c>
      <c r="AT718" s="27" t="s">
        <v>7</v>
      </c>
      <c r="AW718" s="27" t="s">
        <v>8</v>
      </c>
      <c r="AX718" s="27" t="s">
        <v>7</v>
      </c>
      <c r="AY718" s="27" t="s">
        <v>8</v>
      </c>
      <c r="AZ718" s="27" t="s">
        <v>7</v>
      </c>
      <c r="BA718" s="27" t="s">
        <v>8</v>
      </c>
      <c r="BF718" s="27" t="s">
        <v>7</v>
      </c>
      <c r="CG718" s="27" t="s">
        <v>8</v>
      </c>
      <c r="CH718" s="27" t="s">
        <v>7</v>
      </c>
      <c r="CQ718" s="27" t="s">
        <v>8</v>
      </c>
      <c r="CR718" s="27" t="s">
        <v>7</v>
      </c>
      <c r="CS718" s="27" t="s">
        <v>8</v>
      </c>
      <c r="CT718" s="27" t="s">
        <v>7</v>
      </c>
      <c r="CU718" s="27" t="s">
        <v>8</v>
      </c>
      <c r="CV718" s="27" t="s">
        <v>7</v>
      </c>
      <c r="DC718" s="27" t="s">
        <v>8</v>
      </c>
      <c r="DD718" s="27" t="s">
        <v>7</v>
      </c>
      <c r="DE718" s="27" t="s">
        <v>8</v>
      </c>
      <c r="DF718" s="27" t="s">
        <v>7</v>
      </c>
      <c r="DK718" s="27" t="s">
        <v>8</v>
      </c>
      <c r="DL718" s="27" t="s">
        <v>7</v>
      </c>
      <c r="DM718" s="27" t="s">
        <v>8</v>
      </c>
      <c r="DN718" s="27" t="s">
        <v>7</v>
      </c>
      <c r="DO718" s="27" t="s">
        <v>8</v>
      </c>
      <c r="DP718" s="27" t="s">
        <v>7</v>
      </c>
      <c r="DQ718" s="27" t="s">
        <v>8</v>
      </c>
      <c r="DT718" s="27" t="s">
        <v>7</v>
      </c>
      <c r="DU718" s="27" t="s">
        <v>8</v>
      </c>
      <c r="DV718" s="27" t="s">
        <v>7</v>
      </c>
      <c r="DW718" s="27" t="s">
        <v>8</v>
      </c>
      <c r="DZ718" s="27" t="s">
        <v>7</v>
      </c>
      <c r="EA718" s="27" t="s">
        <v>8</v>
      </c>
      <c r="EB718" s="27" t="s">
        <v>7</v>
      </c>
      <c r="EC718" s="27" t="s">
        <v>8</v>
      </c>
      <c r="ED718" s="27" t="s">
        <v>7</v>
      </c>
    </row>
    <row r="719" spans="1:213" x14ac:dyDescent="0.25">
      <c r="A719" s="7">
        <v>7.3244889378503E-2</v>
      </c>
      <c r="B719"/>
      <c r="C719"/>
      <c r="D719"/>
      <c r="E719"/>
      <c r="F719" s="27" t="s">
        <v>7</v>
      </c>
      <c r="G719" s="27" t="s">
        <v>8</v>
      </c>
      <c r="H719" s="27" t="s">
        <v>7</v>
      </c>
      <c r="AS719" s="27" t="s">
        <v>8</v>
      </c>
      <c r="AT719" s="27" t="s">
        <v>7</v>
      </c>
      <c r="AW719" s="27" t="s">
        <v>8</v>
      </c>
      <c r="AX719" s="27" t="s">
        <v>7</v>
      </c>
      <c r="AY719" s="27" t="s">
        <v>8</v>
      </c>
      <c r="AZ719" s="27" t="s">
        <v>7</v>
      </c>
      <c r="BF719" s="27" t="s">
        <v>7</v>
      </c>
      <c r="CG719" s="27" t="s">
        <v>8</v>
      </c>
      <c r="CH719" s="27" t="s">
        <v>7</v>
      </c>
      <c r="CQ719" s="27" t="s">
        <v>8</v>
      </c>
      <c r="CR719" s="27" t="s">
        <v>7</v>
      </c>
      <c r="CS719" s="27" t="s">
        <v>8</v>
      </c>
      <c r="CT719" s="27" t="s">
        <v>7</v>
      </c>
      <c r="CU719" s="27" t="s">
        <v>8</v>
      </c>
      <c r="CV719" s="27" t="s">
        <v>7</v>
      </c>
      <c r="DC719" s="27" t="s">
        <v>8</v>
      </c>
      <c r="DD719" s="27" t="s">
        <v>7</v>
      </c>
      <c r="DE719" s="27" t="s">
        <v>8</v>
      </c>
      <c r="DF719" s="27" t="s">
        <v>7</v>
      </c>
      <c r="DI719" s="27" t="s">
        <v>8</v>
      </c>
      <c r="DK719" s="27" t="s">
        <v>8</v>
      </c>
      <c r="DL719" s="27" t="s">
        <v>7</v>
      </c>
      <c r="DM719" s="27" t="s">
        <v>8</v>
      </c>
      <c r="DN719" s="27" t="s">
        <v>7</v>
      </c>
      <c r="DP719" s="27" t="s">
        <v>7</v>
      </c>
      <c r="DQ719" s="27" t="s">
        <v>8</v>
      </c>
      <c r="DT719" s="27" t="s">
        <v>7</v>
      </c>
      <c r="DU719" s="27" t="s">
        <v>8</v>
      </c>
      <c r="DV719" s="27" t="s">
        <v>7</v>
      </c>
      <c r="DZ719" s="27" t="s">
        <v>7</v>
      </c>
      <c r="EB719" s="27" t="s">
        <v>7</v>
      </c>
      <c r="EC719" s="27" t="s">
        <v>8</v>
      </c>
    </row>
    <row r="720" spans="1:213" x14ac:dyDescent="0.25">
      <c r="A720" s="7">
        <v>7.1808715076963722E-2</v>
      </c>
      <c r="B720"/>
      <c r="C720"/>
      <c r="D720"/>
      <c r="E720"/>
      <c r="F720" s="27" t="s">
        <v>7</v>
      </c>
      <c r="G720" s="27" t="s">
        <v>8</v>
      </c>
      <c r="H720" s="27" t="s">
        <v>7</v>
      </c>
      <c r="AS720" s="27" t="s">
        <v>8</v>
      </c>
      <c r="AT720" s="27" t="s">
        <v>7</v>
      </c>
      <c r="AW720" s="27" t="s">
        <v>8</v>
      </c>
      <c r="AX720" s="27" t="s">
        <v>7</v>
      </c>
      <c r="AY720" s="27" t="s">
        <v>8</v>
      </c>
      <c r="BF720" s="27" t="s">
        <v>7</v>
      </c>
      <c r="CG720" s="27" t="s">
        <v>8</v>
      </c>
      <c r="CH720" s="27" t="s">
        <v>7</v>
      </c>
      <c r="CQ720" s="27" t="s">
        <v>8</v>
      </c>
      <c r="CR720" s="27" t="s">
        <v>7</v>
      </c>
      <c r="CS720" s="27" t="s">
        <v>8</v>
      </c>
      <c r="CT720" s="27" t="s">
        <v>7</v>
      </c>
      <c r="CU720" s="27" t="s">
        <v>8</v>
      </c>
      <c r="CV720" s="27" t="s">
        <v>7</v>
      </c>
      <c r="CW720" s="27" t="s">
        <v>8</v>
      </c>
      <c r="DC720" s="27" t="s">
        <v>8</v>
      </c>
      <c r="DD720" s="27" t="s">
        <v>7</v>
      </c>
      <c r="DE720" s="27" t="s">
        <v>8</v>
      </c>
      <c r="DF720" s="27" t="s">
        <v>7</v>
      </c>
      <c r="DG720" s="27" t="s">
        <v>8</v>
      </c>
      <c r="DI720" s="27" t="s">
        <v>8</v>
      </c>
      <c r="DJ720" s="27" t="s">
        <v>7</v>
      </c>
      <c r="DK720" s="27" t="s">
        <v>8</v>
      </c>
      <c r="DL720" s="27" t="s">
        <v>7</v>
      </c>
      <c r="DM720" s="27" t="s">
        <v>8</v>
      </c>
      <c r="DP720" s="27" t="s">
        <v>7</v>
      </c>
      <c r="DQ720" s="27" t="s">
        <v>8</v>
      </c>
      <c r="DT720" s="27" t="s">
        <v>7</v>
      </c>
      <c r="DU720" s="27" t="s">
        <v>8</v>
      </c>
      <c r="EB720" s="27" t="s">
        <v>7</v>
      </c>
    </row>
    <row r="721" spans="1:125" x14ac:dyDescent="0.25">
      <c r="A721" s="7">
        <v>7.0400701055846782E-2</v>
      </c>
      <c r="B721"/>
      <c r="C721"/>
      <c r="D721"/>
      <c r="E721"/>
      <c r="F721" s="27" t="s">
        <v>7</v>
      </c>
      <c r="G721" s="27" t="s">
        <v>8</v>
      </c>
      <c r="H721" s="27" t="s">
        <v>7</v>
      </c>
      <c r="AQ721" s="27" t="s">
        <v>8</v>
      </c>
      <c r="AS721" s="27" t="s">
        <v>8</v>
      </c>
      <c r="AT721" s="27" t="s">
        <v>7</v>
      </c>
      <c r="AU721" s="27" t="s">
        <v>8</v>
      </c>
      <c r="AW721" s="27" t="s">
        <v>8</v>
      </c>
      <c r="AX721" s="27" t="s">
        <v>7</v>
      </c>
      <c r="AY721" s="27" t="s">
        <v>8</v>
      </c>
      <c r="BF721" s="27" t="s">
        <v>7</v>
      </c>
      <c r="CG721" s="27" t="s">
        <v>8</v>
      </c>
      <c r="CH721" s="27" t="s">
        <v>7</v>
      </c>
      <c r="CQ721" s="27" t="s">
        <v>8</v>
      </c>
      <c r="CR721" s="27" t="s">
        <v>7</v>
      </c>
      <c r="CS721" s="27" t="s">
        <v>8</v>
      </c>
      <c r="CT721" s="27" t="s">
        <v>7</v>
      </c>
      <c r="CU721" s="27" t="s">
        <v>8</v>
      </c>
      <c r="CV721" s="27" t="s">
        <v>7</v>
      </c>
      <c r="CW721" s="27" t="s">
        <v>8</v>
      </c>
      <c r="CX721" s="27" t="s">
        <v>7</v>
      </c>
      <c r="DC721" s="27" t="s">
        <v>8</v>
      </c>
      <c r="DD721" s="27" t="s">
        <v>7</v>
      </c>
      <c r="DE721" s="27" t="s">
        <v>8</v>
      </c>
      <c r="DF721" s="27" t="s">
        <v>7</v>
      </c>
      <c r="DG721" s="27" t="s">
        <v>8</v>
      </c>
      <c r="DH721" s="27" t="s">
        <v>7</v>
      </c>
      <c r="DI721" s="27" t="s">
        <v>8</v>
      </c>
      <c r="DJ721" s="27" t="s">
        <v>7</v>
      </c>
      <c r="DK721" s="27" t="s">
        <v>8</v>
      </c>
      <c r="DL721" s="27" t="s">
        <v>7</v>
      </c>
      <c r="DM721" s="27" t="s">
        <v>8</v>
      </c>
      <c r="DP721" s="27" t="s">
        <v>7</v>
      </c>
      <c r="DQ721" s="27" t="s">
        <v>8</v>
      </c>
      <c r="DT721" s="27" t="s">
        <v>7</v>
      </c>
      <c r="DU721" s="27" t="s">
        <v>8</v>
      </c>
    </row>
    <row r="722" spans="1:125" x14ac:dyDescent="0.25">
      <c r="A722" s="7">
        <v>6.9020295152790956E-2</v>
      </c>
      <c r="B722"/>
      <c r="C722"/>
      <c r="D722"/>
      <c r="E722"/>
      <c r="F722" s="27" t="s">
        <v>7</v>
      </c>
      <c r="G722" s="27" t="s">
        <v>8</v>
      </c>
      <c r="H722" s="27" t="s">
        <v>7</v>
      </c>
      <c r="AQ722" s="27" t="s">
        <v>8</v>
      </c>
      <c r="AR722" s="27" t="s">
        <v>7</v>
      </c>
      <c r="AS722" s="27" t="s">
        <v>8</v>
      </c>
      <c r="AT722" s="27" t="s">
        <v>7</v>
      </c>
      <c r="AU722" s="27" t="s">
        <v>8</v>
      </c>
      <c r="AV722" s="27" t="s">
        <v>7</v>
      </c>
      <c r="AW722" s="27" t="s">
        <v>8</v>
      </c>
      <c r="AX722" s="27" t="s">
        <v>7</v>
      </c>
      <c r="AY722" s="27" t="s">
        <v>8</v>
      </c>
      <c r="BF722" s="27" t="s">
        <v>7</v>
      </c>
      <c r="BM722" s="27" t="s">
        <v>8</v>
      </c>
      <c r="BQ722" s="27" t="s">
        <v>8</v>
      </c>
      <c r="CG722" s="27" t="s">
        <v>8</v>
      </c>
      <c r="CH722" s="27" t="s">
        <v>7</v>
      </c>
      <c r="CQ722" s="27" t="s">
        <v>8</v>
      </c>
      <c r="CR722" s="27" t="s">
        <v>7</v>
      </c>
      <c r="CS722" s="27" t="s">
        <v>8</v>
      </c>
      <c r="CT722" s="27" t="s">
        <v>7</v>
      </c>
      <c r="CU722" s="27" t="s">
        <v>8</v>
      </c>
      <c r="CV722" s="27" t="s">
        <v>7</v>
      </c>
      <c r="CW722" s="27" t="s">
        <v>8</v>
      </c>
      <c r="CX722" s="27" t="s">
        <v>7</v>
      </c>
      <c r="DA722" s="27" t="s">
        <v>8</v>
      </c>
      <c r="DC722" s="27" t="s">
        <v>8</v>
      </c>
      <c r="DD722" s="27" t="s">
        <v>7</v>
      </c>
      <c r="DE722" s="27" t="s">
        <v>8</v>
      </c>
      <c r="DF722" s="27" t="s">
        <v>7</v>
      </c>
      <c r="DG722" s="27" t="s">
        <v>8</v>
      </c>
      <c r="DH722" s="27" t="s">
        <v>7</v>
      </c>
      <c r="DI722" s="27" t="s">
        <v>8</v>
      </c>
      <c r="DJ722" s="27" t="s">
        <v>7</v>
      </c>
      <c r="DK722" s="27" t="s">
        <v>8</v>
      </c>
      <c r="DL722" s="27" t="s">
        <v>7</v>
      </c>
      <c r="DP722" s="27" t="s">
        <v>7</v>
      </c>
      <c r="DQ722" s="27" t="s">
        <v>8</v>
      </c>
      <c r="DT722" s="27" t="s">
        <v>7</v>
      </c>
      <c r="DU722" s="27" t="s">
        <v>8</v>
      </c>
    </row>
    <row r="723" spans="1:125" x14ac:dyDescent="0.25">
      <c r="A723" s="7">
        <v>6.7666956032147993E-2</v>
      </c>
      <c r="B723"/>
      <c r="C723"/>
      <c r="D723"/>
      <c r="E723"/>
      <c r="F723" s="27" t="s">
        <v>7</v>
      </c>
      <c r="G723" s="27" t="s">
        <v>8</v>
      </c>
      <c r="H723" s="27" t="s">
        <v>7</v>
      </c>
      <c r="AQ723" s="27" t="s">
        <v>8</v>
      </c>
      <c r="AR723" s="27" t="s">
        <v>7</v>
      </c>
      <c r="AS723" s="27" t="s">
        <v>8</v>
      </c>
      <c r="AT723" s="27" t="s">
        <v>7</v>
      </c>
      <c r="AU723" s="27" t="s">
        <v>8</v>
      </c>
      <c r="AV723" s="27" t="s">
        <v>7</v>
      </c>
      <c r="AW723" s="27" t="s">
        <v>8</v>
      </c>
      <c r="AX723" s="27" t="s">
        <v>7</v>
      </c>
      <c r="AY723" s="27" t="s">
        <v>8</v>
      </c>
      <c r="BF723" s="27" t="s">
        <v>7</v>
      </c>
      <c r="BM723" s="27" t="s">
        <v>8</v>
      </c>
      <c r="BN723" s="27" t="s">
        <v>7</v>
      </c>
      <c r="BQ723" s="27" t="s">
        <v>8</v>
      </c>
      <c r="BR723" s="27" t="s">
        <v>7</v>
      </c>
      <c r="CG723" s="27" t="s">
        <v>8</v>
      </c>
      <c r="CH723" s="27" t="s">
        <v>7</v>
      </c>
      <c r="CQ723" s="27" t="s">
        <v>8</v>
      </c>
      <c r="CR723" s="27" t="s">
        <v>7</v>
      </c>
      <c r="CS723" s="27" t="s">
        <v>8</v>
      </c>
      <c r="CT723" s="27" t="s">
        <v>7</v>
      </c>
      <c r="CV723" s="27" t="s">
        <v>7</v>
      </c>
      <c r="CW723" s="27" t="s">
        <v>8</v>
      </c>
      <c r="CX723" s="27" t="s">
        <v>7</v>
      </c>
      <c r="DA723" s="27" t="s">
        <v>8</v>
      </c>
      <c r="DB723" s="27" t="s">
        <v>7</v>
      </c>
      <c r="DC723" s="27" t="s">
        <v>8</v>
      </c>
      <c r="DD723" s="27" t="s">
        <v>7</v>
      </c>
      <c r="DE723" s="27" t="s">
        <v>8</v>
      </c>
      <c r="DF723" s="27" t="s">
        <v>7</v>
      </c>
      <c r="DG723" s="27" t="s">
        <v>8</v>
      </c>
      <c r="DH723" s="27" t="s">
        <v>7</v>
      </c>
      <c r="DI723" s="27" t="s">
        <v>8</v>
      </c>
      <c r="DJ723" s="27" t="s">
        <v>7</v>
      </c>
      <c r="DK723" s="27" t="s">
        <v>8</v>
      </c>
      <c r="DP723" s="27" t="s">
        <v>7</v>
      </c>
      <c r="DQ723" s="27" t="s">
        <v>8</v>
      </c>
      <c r="DT723" s="27" t="s">
        <v>7</v>
      </c>
      <c r="DU723" s="27" t="s">
        <v>8</v>
      </c>
    </row>
    <row r="724" spans="1:125" x14ac:dyDescent="0.25">
      <c r="A724" s="7">
        <v>6.6340152972694105E-2</v>
      </c>
      <c r="B724"/>
      <c r="C724"/>
      <c r="D724"/>
      <c r="E724"/>
      <c r="F724" s="27" t="s">
        <v>7</v>
      </c>
      <c r="G724" s="27" t="s">
        <v>8</v>
      </c>
      <c r="H724" s="27" t="s">
        <v>7</v>
      </c>
      <c r="AQ724" s="27" t="s">
        <v>8</v>
      </c>
      <c r="AR724" s="27" t="s">
        <v>7</v>
      </c>
      <c r="AS724" s="27" t="s">
        <v>8</v>
      </c>
      <c r="AT724" s="27" t="s">
        <v>7</v>
      </c>
      <c r="AU724" s="27" t="s">
        <v>8</v>
      </c>
      <c r="AV724" s="27" t="s">
        <v>7</v>
      </c>
      <c r="AW724" s="27" t="s">
        <v>8</v>
      </c>
      <c r="AX724" s="27" t="s">
        <v>7</v>
      </c>
      <c r="AY724" s="27" t="s">
        <v>8</v>
      </c>
      <c r="BF724" s="27" t="s">
        <v>7</v>
      </c>
      <c r="BM724" s="27" t="s">
        <v>8</v>
      </c>
      <c r="BN724" s="27" t="s">
        <v>7</v>
      </c>
      <c r="BQ724" s="27" t="s">
        <v>8</v>
      </c>
      <c r="BR724" s="27" t="s">
        <v>7</v>
      </c>
      <c r="CG724" s="27" t="s">
        <v>8</v>
      </c>
      <c r="CH724" s="27" t="s">
        <v>7</v>
      </c>
      <c r="CQ724" s="27" t="s">
        <v>8</v>
      </c>
      <c r="CR724" s="27" t="s">
        <v>7</v>
      </c>
      <c r="CS724" s="27" t="s">
        <v>8</v>
      </c>
      <c r="CV724" s="27" t="s">
        <v>7</v>
      </c>
      <c r="CW724" s="27" t="s">
        <v>8</v>
      </c>
      <c r="CX724" s="27" t="s">
        <v>7</v>
      </c>
      <c r="DA724" s="27" t="s">
        <v>8</v>
      </c>
      <c r="DB724" s="27" t="s">
        <v>7</v>
      </c>
      <c r="DC724" s="27" t="s">
        <v>8</v>
      </c>
      <c r="DD724" s="27" t="s">
        <v>7</v>
      </c>
      <c r="DF724" s="27" t="s">
        <v>7</v>
      </c>
      <c r="DG724" s="27" t="s">
        <v>8</v>
      </c>
      <c r="DH724" s="27" t="s">
        <v>7</v>
      </c>
      <c r="DI724" s="27" t="s">
        <v>8</v>
      </c>
      <c r="DJ724" s="27" t="s">
        <v>7</v>
      </c>
      <c r="DK724" s="27" t="s">
        <v>8</v>
      </c>
      <c r="DP724" s="27" t="s">
        <v>7</v>
      </c>
      <c r="DT724" s="27" t="s">
        <v>7</v>
      </c>
      <c r="DU724" s="27" t="s">
        <v>8</v>
      </c>
    </row>
    <row r="725" spans="1:125" x14ac:dyDescent="0.25">
      <c r="A725" s="7">
        <v>6.5039365659504023E-2</v>
      </c>
      <c r="B725"/>
      <c r="C725"/>
      <c r="D725"/>
      <c r="E725"/>
      <c r="F725" s="27" t="s">
        <v>7</v>
      </c>
      <c r="G725" s="27" t="s">
        <v>8</v>
      </c>
      <c r="H725" s="27" t="s">
        <v>7</v>
      </c>
      <c r="AK725" s="27" t="s">
        <v>8</v>
      </c>
      <c r="AQ725" s="27" t="s">
        <v>8</v>
      </c>
      <c r="AR725" s="27" t="s">
        <v>7</v>
      </c>
      <c r="AS725" s="27" t="s">
        <v>8</v>
      </c>
      <c r="AT725" s="27" t="s">
        <v>7</v>
      </c>
      <c r="AU725" s="27" t="s">
        <v>8</v>
      </c>
      <c r="AV725" s="27" t="s">
        <v>7</v>
      </c>
      <c r="AX725" s="27" t="s">
        <v>7</v>
      </c>
      <c r="AY725" s="27" t="s">
        <v>8</v>
      </c>
      <c r="BF725" s="27" t="s">
        <v>7</v>
      </c>
      <c r="BM725" s="27" t="s">
        <v>8</v>
      </c>
      <c r="BN725" s="27" t="s">
        <v>7</v>
      </c>
      <c r="BO725" s="27" t="s">
        <v>8</v>
      </c>
      <c r="BQ725" s="27" t="s">
        <v>8</v>
      </c>
      <c r="BR725" s="27" t="s">
        <v>7</v>
      </c>
      <c r="BY725" s="27" t="s">
        <v>8</v>
      </c>
      <c r="CG725" s="27" t="s">
        <v>8</v>
      </c>
      <c r="CH725" s="27" t="s">
        <v>7</v>
      </c>
      <c r="CQ725" s="27" t="s">
        <v>8</v>
      </c>
      <c r="CR725" s="27" t="s">
        <v>7</v>
      </c>
      <c r="CS725" s="27" t="s">
        <v>8</v>
      </c>
      <c r="CV725" s="27" t="s">
        <v>7</v>
      </c>
      <c r="CX725" s="27" t="s">
        <v>7</v>
      </c>
      <c r="CY725" s="27" t="s">
        <v>8</v>
      </c>
      <c r="DA725" s="27" t="s">
        <v>8</v>
      </c>
      <c r="DB725" s="27" t="s">
        <v>7</v>
      </c>
      <c r="DC725" s="27" t="s">
        <v>8</v>
      </c>
      <c r="DF725" s="27" t="s">
        <v>7</v>
      </c>
      <c r="DG725" s="27" t="s">
        <v>8</v>
      </c>
      <c r="DH725" s="27" t="s">
        <v>7</v>
      </c>
      <c r="DI725" s="27" t="s">
        <v>8</v>
      </c>
      <c r="DJ725" s="27" t="s">
        <v>7</v>
      </c>
      <c r="DK725" s="27" t="s">
        <v>8</v>
      </c>
      <c r="DT725" s="27" t="s">
        <v>7</v>
      </c>
      <c r="DU725" s="27" t="s">
        <v>8</v>
      </c>
    </row>
    <row r="726" spans="1:125" x14ac:dyDescent="0.25">
      <c r="A726" s="7">
        <v>6.3764083979905906E-2</v>
      </c>
      <c r="B726"/>
      <c r="C726"/>
      <c r="D726"/>
      <c r="E726"/>
      <c r="F726" s="27" t="s">
        <v>7</v>
      </c>
      <c r="G726" s="27" t="s">
        <v>8</v>
      </c>
      <c r="H726" s="27" t="s">
        <v>7</v>
      </c>
      <c r="AK726" s="27" t="s">
        <v>8</v>
      </c>
      <c r="AL726" s="27" t="s">
        <v>7</v>
      </c>
      <c r="AQ726" s="27" t="s">
        <v>8</v>
      </c>
      <c r="AR726" s="27" t="s">
        <v>7</v>
      </c>
      <c r="AT726" s="27" t="s">
        <v>7</v>
      </c>
      <c r="AU726" s="27" t="s">
        <v>8</v>
      </c>
      <c r="AX726" s="27" t="s">
        <v>7</v>
      </c>
      <c r="BF726" s="27" t="s">
        <v>7</v>
      </c>
      <c r="BK726" s="27" t="s">
        <v>8</v>
      </c>
      <c r="BM726" s="27" t="s">
        <v>8</v>
      </c>
      <c r="BN726" s="27" t="s">
        <v>7</v>
      </c>
      <c r="BO726" s="27" t="s">
        <v>8</v>
      </c>
      <c r="BP726" s="27" t="s">
        <v>7</v>
      </c>
      <c r="BQ726" s="27" t="s">
        <v>8</v>
      </c>
      <c r="BR726" s="27" t="s">
        <v>7</v>
      </c>
      <c r="BY726" s="27" t="s">
        <v>8</v>
      </c>
      <c r="BZ726" s="27" t="s">
        <v>7</v>
      </c>
      <c r="CG726" s="27" t="s">
        <v>8</v>
      </c>
      <c r="CH726" s="27" t="s">
        <v>7</v>
      </c>
      <c r="CQ726" s="27" t="s">
        <v>8</v>
      </c>
      <c r="CR726" s="27" t="s">
        <v>7</v>
      </c>
      <c r="CS726" s="27" t="s">
        <v>8</v>
      </c>
      <c r="CX726" s="27" t="s">
        <v>7</v>
      </c>
      <c r="CY726" s="27" t="s">
        <v>8</v>
      </c>
      <c r="CZ726" s="27" t="s">
        <v>7</v>
      </c>
      <c r="DA726" s="27" t="s">
        <v>8</v>
      </c>
      <c r="DB726" s="27" t="s">
        <v>7</v>
      </c>
      <c r="DC726" s="27" t="s">
        <v>8</v>
      </c>
      <c r="DF726" s="27" t="s">
        <v>7</v>
      </c>
      <c r="DG726" s="27" t="s">
        <v>8</v>
      </c>
      <c r="DH726" s="27" t="s">
        <v>7</v>
      </c>
      <c r="DI726" s="27" t="s">
        <v>8</v>
      </c>
      <c r="DJ726" s="27" t="s">
        <v>7</v>
      </c>
      <c r="DK726" s="27" t="s">
        <v>8</v>
      </c>
      <c r="DT726" s="27" t="s">
        <v>7</v>
      </c>
      <c r="DU726" s="27" t="s">
        <v>8</v>
      </c>
    </row>
    <row r="727" spans="1:125" x14ac:dyDescent="0.25">
      <c r="A727" s="7">
        <v>6.251380782343717E-2</v>
      </c>
      <c r="B727"/>
      <c r="C727"/>
      <c r="D727"/>
      <c r="E727"/>
      <c r="F727" s="27" t="s">
        <v>7</v>
      </c>
      <c r="G727" s="27" t="s">
        <v>8</v>
      </c>
      <c r="H727" s="27" t="s">
        <v>7</v>
      </c>
      <c r="AK727" s="27" t="s">
        <v>8</v>
      </c>
      <c r="AL727" s="27" t="s">
        <v>7</v>
      </c>
      <c r="AM727" s="27" t="s">
        <v>8</v>
      </c>
      <c r="AO727" s="27" t="s">
        <v>8</v>
      </c>
      <c r="AQ727" s="27" t="s">
        <v>8</v>
      </c>
      <c r="AT727" s="27" t="s">
        <v>7</v>
      </c>
      <c r="BF727" s="27" t="s">
        <v>7</v>
      </c>
      <c r="BG727" s="27" t="s">
        <v>8</v>
      </c>
      <c r="BK727" s="27" t="s">
        <v>8</v>
      </c>
      <c r="BL727" s="27" t="s">
        <v>7</v>
      </c>
      <c r="BM727" s="27" t="s">
        <v>8</v>
      </c>
      <c r="BN727" s="27" t="s">
        <v>7</v>
      </c>
      <c r="BO727" s="27" t="s">
        <v>8</v>
      </c>
      <c r="BP727" s="27" t="s">
        <v>7</v>
      </c>
      <c r="BQ727" s="27" t="s">
        <v>8</v>
      </c>
      <c r="BR727" s="27" t="s">
        <v>7</v>
      </c>
      <c r="BY727" s="27" t="s">
        <v>8</v>
      </c>
      <c r="BZ727" s="27" t="s">
        <v>7</v>
      </c>
      <c r="CG727" s="27" t="s">
        <v>8</v>
      </c>
      <c r="CH727" s="27" t="s">
        <v>7</v>
      </c>
      <c r="CQ727" s="27" t="s">
        <v>8</v>
      </c>
      <c r="CR727" s="27" t="s">
        <v>7</v>
      </c>
      <c r="CS727" s="27" t="s">
        <v>8</v>
      </c>
      <c r="CX727" s="27" t="s">
        <v>7</v>
      </c>
      <c r="CY727" s="27" t="s">
        <v>8</v>
      </c>
      <c r="CZ727" s="27" t="s">
        <v>7</v>
      </c>
      <c r="DA727" s="27" t="s">
        <v>8</v>
      </c>
      <c r="DB727" s="27" t="s">
        <v>7</v>
      </c>
      <c r="DF727" s="27" t="s">
        <v>7</v>
      </c>
      <c r="DG727" s="27" t="s">
        <v>8</v>
      </c>
      <c r="DH727" s="27" t="s">
        <v>7</v>
      </c>
      <c r="DI727" s="27" t="s">
        <v>8</v>
      </c>
      <c r="DJ727" s="27" t="s">
        <v>7</v>
      </c>
      <c r="DT727" s="27" t="s">
        <v>7</v>
      </c>
    </row>
    <row r="728" spans="1:125" x14ac:dyDescent="0.25">
      <c r="A728" s="7">
        <v>6.1288046885722716E-2</v>
      </c>
      <c r="B728"/>
      <c r="C728"/>
      <c r="D728"/>
      <c r="E728"/>
      <c r="F728" s="27" t="s">
        <v>7</v>
      </c>
      <c r="G728" s="27" t="s">
        <v>8</v>
      </c>
      <c r="H728" s="27" t="s">
        <v>7</v>
      </c>
      <c r="AK728" s="27" t="s">
        <v>8</v>
      </c>
      <c r="AL728" s="27" t="s">
        <v>7</v>
      </c>
      <c r="AM728" s="27" t="s">
        <v>8</v>
      </c>
      <c r="AN728" s="27" t="s">
        <v>7</v>
      </c>
      <c r="AO728" s="27" t="s">
        <v>8</v>
      </c>
      <c r="AP728" s="27" t="s">
        <v>7</v>
      </c>
      <c r="AQ728" s="27" t="s">
        <v>8</v>
      </c>
      <c r="BF728" s="27" t="s">
        <v>7</v>
      </c>
      <c r="BG728" s="27" t="s">
        <v>8</v>
      </c>
      <c r="BH728" s="27" t="s">
        <v>7</v>
      </c>
      <c r="BK728" s="27" t="s">
        <v>8</v>
      </c>
      <c r="BL728" s="27" t="s">
        <v>7</v>
      </c>
      <c r="BM728" s="27" t="s">
        <v>8</v>
      </c>
      <c r="BN728" s="27" t="s">
        <v>7</v>
      </c>
      <c r="BO728" s="27" t="s">
        <v>8</v>
      </c>
      <c r="BP728" s="27" t="s">
        <v>7</v>
      </c>
      <c r="BQ728" s="27" t="s">
        <v>8</v>
      </c>
      <c r="BR728" s="27" t="s">
        <v>7</v>
      </c>
      <c r="BY728" s="27" t="s">
        <v>8</v>
      </c>
      <c r="BZ728" s="27" t="s">
        <v>7</v>
      </c>
      <c r="CG728" s="27" t="s">
        <v>8</v>
      </c>
      <c r="CH728" s="27" t="s">
        <v>7</v>
      </c>
      <c r="CO728" s="27" t="s">
        <v>8</v>
      </c>
      <c r="CQ728" s="27" t="s">
        <v>8</v>
      </c>
      <c r="CR728" s="27" t="s">
        <v>7</v>
      </c>
      <c r="CS728" s="27" t="s">
        <v>8</v>
      </c>
      <c r="CX728" s="27" t="s">
        <v>7</v>
      </c>
      <c r="CY728" s="27" t="s">
        <v>8</v>
      </c>
      <c r="CZ728" s="27" t="s">
        <v>7</v>
      </c>
      <c r="DA728" s="27" t="s">
        <v>8</v>
      </c>
      <c r="DF728" s="27" t="s">
        <v>7</v>
      </c>
      <c r="DG728" s="27" t="s">
        <v>8</v>
      </c>
      <c r="DH728" s="27" t="s">
        <v>7</v>
      </c>
      <c r="DI728" s="27" t="s">
        <v>8</v>
      </c>
    </row>
    <row r="729" spans="1:125" x14ac:dyDescent="0.25">
      <c r="A729" s="7">
        <v>6.0086320476198739E-2</v>
      </c>
      <c r="B729"/>
      <c r="C729"/>
      <c r="D729"/>
      <c r="E729"/>
      <c r="F729" s="27" t="s">
        <v>7</v>
      </c>
      <c r="G729" s="27" t="s">
        <v>8</v>
      </c>
      <c r="H729" s="27" t="s">
        <v>7</v>
      </c>
      <c r="AK729" s="27" t="s">
        <v>8</v>
      </c>
      <c r="AL729" s="27" t="s">
        <v>7</v>
      </c>
      <c r="AM729" s="27" t="s">
        <v>8</v>
      </c>
      <c r="AN729" s="27" t="s">
        <v>7</v>
      </c>
      <c r="AO729" s="27" t="s">
        <v>8</v>
      </c>
      <c r="AP729" s="27" t="s">
        <v>7</v>
      </c>
      <c r="AQ729" s="27" t="s">
        <v>8</v>
      </c>
      <c r="BF729" s="27" t="s">
        <v>7</v>
      </c>
      <c r="BG729" s="27" t="s">
        <v>8</v>
      </c>
      <c r="BH729" s="27" t="s">
        <v>7</v>
      </c>
      <c r="BK729" s="27" t="s">
        <v>8</v>
      </c>
      <c r="BL729" s="27" t="s">
        <v>7</v>
      </c>
      <c r="BM729" s="27" t="s">
        <v>8</v>
      </c>
      <c r="BN729" s="27" t="s">
        <v>7</v>
      </c>
      <c r="BP729" s="27" t="s">
        <v>7</v>
      </c>
      <c r="BQ729" s="27" t="s">
        <v>8</v>
      </c>
      <c r="BR729" s="27" t="s">
        <v>7</v>
      </c>
      <c r="BU729" s="27" t="s">
        <v>8</v>
      </c>
      <c r="BY729" s="27" t="s">
        <v>8</v>
      </c>
      <c r="BZ729" s="27" t="s">
        <v>7</v>
      </c>
      <c r="CG729" s="27" t="s">
        <v>8</v>
      </c>
      <c r="CH729" s="27" t="s">
        <v>7</v>
      </c>
      <c r="CO729" s="27" t="s">
        <v>8</v>
      </c>
      <c r="CP729" s="27" t="s">
        <v>7</v>
      </c>
      <c r="CQ729" s="27" t="s">
        <v>8</v>
      </c>
      <c r="CR729" s="27" t="s">
        <v>7</v>
      </c>
      <c r="CS729" s="27" t="s">
        <v>8</v>
      </c>
      <c r="CX729" s="27" t="s">
        <v>7</v>
      </c>
      <c r="CY729" s="27" t="s">
        <v>8</v>
      </c>
      <c r="CZ729" s="27" t="s">
        <v>7</v>
      </c>
      <c r="DA729" s="27" t="s">
        <v>8</v>
      </c>
      <c r="DF729" s="27" t="s">
        <v>7</v>
      </c>
      <c r="DH729" s="27" t="s">
        <v>7</v>
      </c>
    </row>
    <row r="730" spans="1:125" x14ac:dyDescent="0.25">
      <c r="A730" s="7">
        <v>5.8908157329606609E-2</v>
      </c>
      <c r="B730"/>
      <c r="C730"/>
      <c r="D730"/>
      <c r="E730"/>
      <c r="F730" s="27" t="s">
        <v>7</v>
      </c>
      <c r="G730" s="27" t="s">
        <v>8</v>
      </c>
      <c r="H730" s="27" t="s">
        <v>7</v>
      </c>
      <c r="AK730" s="27" t="s">
        <v>8</v>
      </c>
      <c r="AL730" s="27" t="s">
        <v>7</v>
      </c>
      <c r="AM730" s="27" t="s">
        <v>8</v>
      </c>
      <c r="AN730" s="27" t="s">
        <v>7</v>
      </c>
      <c r="AO730" s="27" t="s">
        <v>8</v>
      </c>
      <c r="AP730" s="27" t="s">
        <v>7</v>
      </c>
      <c r="AQ730" s="27" t="s">
        <v>8</v>
      </c>
      <c r="BF730" s="27" t="s">
        <v>7</v>
      </c>
      <c r="BG730" s="27" t="s">
        <v>8</v>
      </c>
      <c r="BH730" s="27" t="s">
        <v>7</v>
      </c>
      <c r="BK730" s="27" t="s">
        <v>8</v>
      </c>
      <c r="BL730" s="27" t="s">
        <v>7</v>
      </c>
      <c r="BM730" s="27" t="s">
        <v>8</v>
      </c>
      <c r="BP730" s="27" t="s">
        <v>7</v>
      </c>
      <c r="BR730" s="27" t="s">
        <v>7</v>
      </c>
      <c r="BU730" s="27" t="s">
        <v>8</v>
      </c>
      <c r="BV730" s="27" t="s">
        <v>7</v>
      </c>
      <c r="BY730" s="27" t="s">
        <v>8</v>
      </c>
      <c r="BZ730" s="27" t="s">
        <v>7</v>
      </c>
      <c r="CG730" s="27" t="s">
        <v>8</v>
      </c>
      <c r="CH730" s="27" t="s">
        <v>7</v>
      </c>
      <c r="CK730" s="27" t="s">
        <v>8</v>
      </c>
      <c r="CO730" s="27" t="s">
        <v>8</v>
      </c>
      <c r="CP730" s="27" t="s">
        <v>7</v>
      </c>
      <c r="CQ730" s="27" t="s">
        <v>8</v>
      </c>
      <c r="CR730" s="27" t="s">
        <v>7</v>
      </c>
      <c r="CX730" s="27" t="s">
        <v>7</v>
      </c>
      <c r="CZ730" s="27" t="s">
        <v>7</v>
      </c>
    </row>
    <row r="731" spans="1:125" x14ac:dyDescent="0.25">
      <c r="A731" s="7">
        <v>5.7753095421182947E-2</v>
      </c>
      <c r="B731"/>
      <c r="C731"/>
      <c r="D731"/>
      <c r="E731"/>
      <c r="F731" s="27" t="s">
        <v>7</v>
      </c>
      <c r="G731" s="27" t="s">
        <v>8</v>
      </c>
      <c r="H731" s="27" t="s">
        <v>7</v>
      </c>
      <c r="S731" s="27" t="s">
        <v>8</v>
      </c>
      <c r="AK731" s="27" t="s">
        <v>8</v>
      </c>
      <c r="AL731" s="27" t="s">
        <v>7</v>
      </c>
      <c r="AM731" s="27" t="s">
        <v>8</v>
      </c>
      <c r="AN731" s="27" t="s">
        <v>7</v>
      </c>
      <c r="AO731" s="27" t="s">
        <v>8</v>
      </c>
      <c r="AP731" s="27" t="s">
        <v>7</v>
      </c>
      <c r="AQ731" s="27" t="s">
        <v>8</v>
      </c>
      <c r="BF731" s="27" t="s">
        <v>7</v>
      </c>
      <c r="BG731" s="27" t="s">
        <v>8</v>
      </c>
      <c r="BH731" s="27" t="s">
        <v>7</v>
      </c>
      <c r="BK731" s="27" t="s">
        <v>8</v>
      </c>
      <c r="BL731" s="27" t="s">
        <v>7</v>
      </c>
      <c r="BM731" s="27" t="s">
        <v>8</v>
      </c>
      <c r="BR731" s="27" t="s">
        <v>7</v>
      </c>
      <c r="BU731" s="27" t="s">
        <v>8</v>
      </c>
      <c r="BV731" s="27" t="s">
        <v>7</v>
      </c>
      <c r="BY731" s="27" t="s">
        <v>8</v>
      </c>
      <c r="BZ731" s="27" t="s">
        <v>7</v>
      </c>
      <c r="CC731" s="27" t="s">
        <v>8</v>
      </c>
      <c r="CG731" s="27" t="s">
        <v>8</v>
      </c>
      <c r="CH731" s="27" t="s">
        <v>7</v>
      </c>
      <c r="CK731" s="27" t="s">
        <v>8</v>
      </c>
      <c r="CL731" s="27" t="s">
        <v>7</v>
      </c>
      <c r="CM731" s="27" t="s">
        <v>8</v>
      </c>
      <c r="CO731" s="27" t="s">
        <v>8</v>
      </c>
      <c r="CP731" s="27" t="s">
        <v>7</v>
      </c>
      <c r="CQ731" s="27" t="s">
        <v>8</v>
      </c>
    </row>
    <row r="732" spans="1:125" x14ac:dyDescent="0.25">
      <c r="A732" s="7">
        <v>5.6620681785473484E-2</v>
      </c>
      <c r="B732"/>
      <c r="C732"/>
      <c r="D732"/>
      <c r="E732"/>
      <c r="F732" s="27" t="s">
        <v>7</v>
      </c>
      <c r="G732" s="27" t="s">
        <v>8</v>
      </c>
      <c r="H732" s="27" t="s">
        <v>7</v>
      </c>
      <c r="Q732" s="27" t="s">
        <v>8</v>
      </c>
      <c r="S732" s="27" t="s">
        <v>8</v>
      </c>
      <c r="T732" s="27" t="s">
        <v>7</v>
      </c>
      <c r="AK732" s="27" t="s">
        <v>8</v>
      </c>
      <c r="AL732" s="27" t="s">
        <v>7</v>
      </c>
      <c r="AM732" s="27" t="s">
        <v>8</v>
      </c>
      <c r="AN732" s="27" t="s">
        <v>7</v>
      </c>
      <c r="AO732" s="27" t="s">
        <v>8</v>
      </c>
      <c r="AP732" s="27" t="s">
        <v>7</v>
      </c>
      <c r="AQ732" s="27" t="s">
        <v>8</v>
      </c>
      <c r="BF732" s="27" t="s">
        <v>7</v>
      </c>
      <c r="BH732" s="27" t="s">
        <v>7</v>
      </c>
      <c r="BI732" s="27" t="s">
        <v>8</v>
      </c>
      <c r="BK732" s="27" t="s">
        <v>8</v>
      </c>
      <c r="BL732" s="27" t="s">
        <v>7</v>
      </c>
      <c r="BM732" s="27" t="s">
        <v>8</v>
      </c>
      <c r="BR732" s="27" t="s">
        <v>7</v>
      </c>
      <c r="BU732" s="27" t="s">
        <v>8</v>
      </c>
      <c r="BV732" s="27" t="s">
        <v>7</v>
      </c>
      <c r="BY732" s="27" t="s">
        <v>8</v>
      </c>
      <c r="BZ732" s="27" t="s">
        <v>7</v>
      </c>
      <c r="CC732" s="27" t="s">
        <v>8</v>
      </c>
      <c r="CD732" s="27" t="s">
        <v>7</v>
      </c>
      <c r="CE732" s="27" t="s">
        <v>8</v>
      </c>
      <c r="CG732" s="27" t="s">
        <v>8</v>
      </c>
      <c r="CH732" s="27" t="s">
        <v>7</v>
      </c>
      <c r="CK732" s="27" t="s">
        <v>8</v>
      </c>
      <c r="CL732" s="27" t="s">
        <v>7</v>
      </c>
      <c r="CM732" s="27" t="s">
        <v>8</v>
      </c>
      <c r="CN732" s="27" t="s">
        <v>7</v>
      </c>
      <c r="CO732" s="27" t="s">
        <v>8</v>
      </c>
      <c r="CP732" s="27" t="s">
        <v>7</v>
      </c>
    </row>
    <row r="733" spans="1:125" x14ac:dyDescent="0.25">
      <c r="A733" s="7">
        <v>5.5510472338699497E-2</v>
      </c>
      <c r="B733"/>
      <c r="C733"/>
      <c r="D733"/>
      <c r="E733"/>
      <c r="F733" s="27" t="s">
        <v>7</v>
      </c>
      <c r="G733" s="27" t="s">
        <v>8</v>
      </c>
      <c r="H733" s="27" t="s">
        <v>7</v>
      </c>
      <c r="Q733" s="27" t="s">
        <v>8</v>
      </c>
      <c r="R733" s="27" t="s">
        <v>7</v>
      </c>
      <c r="S733" s="27" t="s">
        <v>8</v>
      </c>
      <c r="T733" s="27" t="s">
        <v>7</v>
      </c>
      <c r="W733" s="27" t="s">
        <v>8</v>
      </c>
      <c r="Y733" s="27" t="s">
        <v>8</v>
      </c>
      <c r="AK733" s="27" t="s">
        <v>8</v>
      </c>
      <c r="AL733" s="27" t="s">
        <v>7</v>
      </c>
      <c r="AN733" s="27" t="s">
        <v>7</v>
      </c>
      <c r="AO733" s="27" t="s">
        <v>8</v>
      </c>
      <c r="AP733" s="27" t="s">
        <v>7</v>
      </c>
      <c r="AQ733" s="27" t="s">
        <v>8</v>
      </c>
      <c r="BH733" s="27" t="s">
        <v>7</v>
      </c>
      <c r="BI733" s="27" t="s">
        <v>8</v>
      </c>
      <c r="BJ733" s="27" t="s">
        <v>7</v>
      </c>
      <c r="BK733" s="27" t="s">
        <v>8</v>
      </c>
      <c r="BL733" s="27" t="s">
        <v>7</v>
      </c>
      <c r="BR733" s="27" t="s">
        <v>7</v>
      </c>
      <c r="BU733" s="27" t="s">
        <v>8</v>
      </c>
      <c r="BV733" s="27" t="s">
        <v>7</v>
      </c>
      <c r="BY733" s="27" t="s">
        <v>8</v>
      </c>
      <c r="BZ733" s="27" t="s">
        <v>7</v>
      </c>
      <c r="CC733" s="27" t="s">
        <v>8</v>
      </c>
      <c r="CD733" s="27" t="s">
        <v>7</v>
      </c>
      <c r="CE733" s="27" t="s">
        <v>8</v>
      </c>
      <c r="CF733" s="27" t="s">
        <v>7</v>
      </c>
      <c r="CG733" s="27" t="s">
        <v>8</v>
      </c>
      <c r="CH733" s="27" t="s">
        <v>7</v>
      </c>
      <c r="CI733" s="27" t="s">
        <v>8</v>
      </c>
      <c r="CK733" s="27" t="s">
        <v>8</v>
      </c>
      <c r="CL733" s="27" t="s">
        <v>7</v>
      </c>
      <c r="CM733" s="27" t="s">
        <v>8</v>
      </c>
      <c r="CN733" s="27" t="s">
        <v>7</v>
      </c>
      <c r="CO733" s="27" t="s">
        <v>8</v>
      </c>
    </row>
    <row r="734" spans="1:125" x14ac:dyDescent="0.25">
      <c r="A734" s="7">
        <v>5.4422031704607354E-2</v>
      </c>
      <c r="B734"/>
      <c r="C734"/>
      <c r="D734"/>
      <c r="E734"/>
      <c r="F734" s="27" t="s">
        <v>7</v>
      </c>
      <c r="G734" s="27" t="s">
        <v>8</v>
      </c>
      <c r="H734" s="27" t="s">
        <v>7</v>
      </c>
      <c r="Q734" s="27" t="s">
        <v>8</v>
      </c>
      <c r="R734" s="27" t="s">
        <v>7</v>
      </c>
      <c r="S734" s="27" t="s">
        <v>8</v>
      </c>
      <c r="T734" s="27" t="s">
        <v>7</v>
      </c>
      <c r="W734" s="27" t="s">
        <v>8</v>
      </c>
      <c r="X734" s="27" t="s">
        <v>7</v>
      </c>
      <c r="Y734" s="27" t="s">
        <v>8</v>
      </c>
      <c r="Z734" s="27" t="s">
        <v>7</v>
      </c>
      <c r="AA734" s="27" t="s">
        <v>8</v>
      </c>
      <c r="AE734" s="27" t="s">
        <v>8</v>
      </c>
      <c r="AG734" s="27" t="s">
        <v>8</v>
      </c>
      <c r="AI734" s="27" t="s">
        <v>8</v>
      </c>
      <c r="AK734" s="27" t="s">
        <v>8</v>
      </c>
      <c r="AN734" s="27" t="s">
        <v>7</v>
      </c>
      <c r="AO734" s="27" t="s">
        <v>8</v>
      </c>
      <c r="AP734" s="27" t="s">
        <v>7</v>
      </c>
      <c r="AQ734" s="27" t="s">
        <v>8</v>
      </c>
      <c r="BH734" s="27" t="s">
        <v>7</v>
      </c>
      <c r="BI734" s="27" t="s">
        <v>8</v>
      </c>
      <c r="BJ734" s="27" t="s">
        <v>7</v>
      </c>
      <c r="BK734" s="27" t="s">
        <v>8</v>
      </c>
      <c r="BR734" s="27" t="s">
        <v>7</v>
      </c>
      <c r="BS734" s="27" t="s">
        <v>8</v>
      </c>
      <c r="BU734" s="27" t="s">
        <v>8</v>
      </c>
      <c r="BV734" s="27" t="s">
        <v>7</v>
      </c>
      <c r="BY734" s="27" t="s">
        <v>8</v>
      </c>
      <c r="BZ734" s="27" t="s">
        <v>7</v>
      </c>
      <c r="CA734" s="27" t="s">
        <v>8</v>
      </c>
      <c r="CC734" s="27" t="s">
        <v>8</v>
      </c>
      <c r="CD734" s="27" t="s">
        <v>7</v>
      </c>
      <c r="CE734" s="27" t="s">
        <v>8</v>
      </c>
      <c r="CF734" s="27" t="s">
        <v>7</v>
      </c>
      <c r="CG734" s="27" t="s">
        <v>8</v>
      </c>
      <c r="CH734" s="27" t="s">
        <v>7</v>
      </c>
      <c r="CI734" s="27" t="s">
        <v>8</v>
      </c>
      <c r="CJ734" s="27" t="s">
        <v>7</v>
      </c>
      <c r="CK734" s="27" t="s">
        <v>8</v>
      </c>
      <c r="CL734" s="27" t="s">
        <v>7</v>
      </c>
      <c r="CM734" s="27" t="s">
        <v>8</v>
      </c>
      <c r="CN734" s="27" t="s">
        <v>7</v>
      </c>
      <c r="CO734" s="27" t="s">
        <v>8</v>
      </c>
    </row>
    <row r="735" spans="1:125" x14ac:dyDescent="0.25">
      <c r="A735" s="7">
        <v>5.3354933043732705E-2</v>
      </c>
      <c r="B735"/>
      <c r="C735"/>
      <c r="D735"/>
      <c r="E735"/>
      <c r="F735" s="27" t="s">
        <v>7</v>
      </c>
      <c r="G735" s="27" t="s">
        <v>8</v>
      </c>
      <c r="H735" s="27" t="s">
        <v>7</v>
      </c>
      <c r="K735" s="27" t="s">
        <v>8</v>
      </c>
      <c r="Q735" s="27" t="s">
        <v>8</v>
      </c>
      <c r="R735" s="27" t="s">
        <v>7</v>
      </c>
      <c r="S735" s="27" t="s">
        <v>8</v>
      </c>
      <c r="T735" s="27" t="s">
        <v>7</v>
      </c>
      <c r="U735" s="27" t="s">
        <v>8</v>
      </c>
      <c r="W735" s="27" t="s">
        <v>8</v>
      </c>
      <c r="X735" s="27" t="s">
        <v>7</v>
      </c>
      <c r="Y735" s="27" t="s">
        <v>8</v>
      </c>
      <c r="Z735" s="27" t="s">
        <v>7</v>
      </c>
      <c r="AA735" s="27" t="s">
        <v>8</v>
      </c>
      <c r="AB735" s="27" t="s">
        <v>7</v>
      </c>
      <c r="AE735" s="27" t="s">
        <v>8</v>
      </c>
      <c r="AF735" s="27" t="s">
        <v>7</v>
      </c>
      <c r="AG735" s="27" t="s">
        <v>8</v>
      </c>
      <c r="AH735" s="27" t="s">
        <v>7</v>
      </c>
      <c r="AI735" s="27" t="s">
        <v>8</v>
      </c>
      <c r="AJ735" s="27" t="s">
        <v>7</v>
      </c>
      <c r="AK735" s="27" t="s">
        <v>8</v>
      </c>
      <c r="AN735" s="27" t="s">
        <v>7</v>
      </c>
      <c r="AO735" s="27" t="s">
        <v>8</v>
      </c>
      <c r="AP735" s="27" t="s">
        <v>7</v>
      </c>
      <c r="AQ735" s="27" t="s">
        <v>8</v>
      </c>
      <c r="BH735" s="27" t="s">
        <v>7</v>
      </c>
      <c r="BI735" s="27" t="s">
        <v>8</v>
      </c>
      <c r="BJ735" s="27" t="s">
        <v>7</v>
      </c>
      <c r="BK735" s="27" t="s">
        <v>8</v>
      </c>
      <c r="BR735" s="27" t="s">
        <v>7</v>
      </c>
      <c r="BS735" s="27" t="s">
        <v>8</v>
      </c>
      <c r="BT735" s="27" t="s">
        <v>7</v>
      </c>
      <c r="BU735" s="27" t="s">
        <v>8</v>
      </c>
      <c r="BV735" s="27" t="s">
        <v>7</v>
      </c>
      <c r="BY735" s="27" t="s">
        <v>8</v>
      </c>
      <c r="BZ735" s="27" t="s">
        <v>7</v>
      </c>
      <c r="CA735" s="27" t="s">
        <v>8</v>
      </c>
      <c r="CB735" s="27" t="s">
        <v>7</v>
      </c>
      <c r="CC735" s="27" t="s">
        <v>8</v>
      </c>
      <c r="CD735" s="27" t="s">
        <v>7</v>
      </c>
      <c r="CE735" s="27" t="s">
        <v>8</v>
      </c>
      <c r="CF735" s="27" t="s">
        <v>7</v>
      </c>
      <c r="CG735" s="27" t="s">
        <v>8</v>
      </c>
      <c r="CH735" s="27" t="s">
        <v>7</v>
      </c>
      <c r="CI735" s="27" t="s">
        <v>8</v>
      </c>
      <c r="CJ735" s="27" t="s">
        <v>7</v>
      </c>
      <c r="CK735" s="27" t="s">
        <v>8</v>
      </c>
      <c r="CL735" s="27" t="s">
        <v>7</v>
      </c>
      <c r="CN735" s="27" t="s">
        <v>7</v>
      </c>
      <c r="CO735" s="27" t="s">
        <v>8</v>
      </c>
    </row>
    <row r="736" spans="1:125" x14ac:dyDescent="0.25">
      <c r="A736" s="7">
        <v>5.2308757886012455E-2</v>
      </c>
      <c r="B736"/>
      <c r="C736"/>
      <c r="D736"/>
      <c r="E736"/>
      <c r="F736" s="27" t="s">
        <v>7</v>
      </c>
      <c r="G736" s="27" t="s">
        <v>8</v>
      </c>
      <c r="H736" s="27" t="s">
        <v>7</v>
      </c>
      <c r="K736" s="27" t="s">
        <v>8</v>
      </c>
      <c r="L736" s="27" t="s">
        <v>7</v>
      </c>
      <c r="M736" s="27" t="s">
        <v>8</v>
      </c>
      <c r="O736" s="27" t="s">
        <v>8</v>
      </c>
      <c r="Q736" s="27" t="s">
        <v>8</v>
      </c>
      <c r="R736" s="27" t="s">
        <v>7</v>
      </c>
      <c r="S736" s="27" t="s">
        <v>8</v>
      </c>
      <c r="T736" s="27" t="s">
        <v>7</v>
      </c>
      <c r="U736" s="27" t="s">
        <v>8</v>
      </c>
      <c r="V736" s="27" t="s">
        <v>7</v>
      </c>
      <c r="W736" s="27" t="s">
        <v>8</v>
      </c>
      <c r="X736" s="27" t="s">
        <v>7</v>
      </c>
      <c r="Z736" s="27" t="s">
        <v>7</v>
      </c>
      <c r="AA736" s="27" t="s">
        <v>8</v>
      </c>
      <c r="AB736" s="27" t="s">
        <v>7</v>
      </c>
      <c r="AE736" s="27" t="s">
        <v>8</v>
      </c>
      <c r="AF736" s="27" t="s">
        <v>7</v>
      </c>
      <c r="AG736" s="27" t="s">
        <v>8</v>
      </c>
      <c r="AH736" s="27" t="s">
        <v>7</v>
      </c>
      <c r="AI736" s="27" t="s">
        <v>8</v>
      </c>
      <c r="AJ736" s="27" t="s">
        <v>7</v>
      </c>
      <c r="AK736" s="27" t="s">
        <v>8</v>
      </c>
      <c r="AN736" s="27" t="s">
        <v>7</v>
      </c>
      <c r="AO736" s="27" t="s">
        <v>8</v>
      </c>
      <c r="AP736" s="27" t="s">
        <v>7</v>
      </c>
      <c r="AQ736" s="27" t="s">
        <v>8</v>
      </c>
      <c r="BH736" s="27" t="s">
        <v>7</v>
      </c>
      <c r="BI736" s="27" t="s">
        <v>8</v>
      </c>
      <c r="BJ736" s="27" t="s">
        <v>7</v>
      </c>
      <c r="BK736" s="27" t="s">
        <v>8</v>
      </c>
      <c r="BR736" s="27" t="s">
        <v>7</v>
      </c>
      <c r="BS736" s="27" t="s">
        <v>8</v>
      </c>
      <c r="BT736" s="27" t="s">
        <v>7</v>
      </c>
      <c r="BU736" s="27" t="s">
        <v>8</v>
      </c>
      <c r="BV736" s="27" t="s">
        <v>7</v>
      </c>
      <c r="BY736" s="27" t="s">
        <v>8</v>
      </c>
      <c r="BZ736" s="27" t="s">
        <v>7</v>
      </c>
      <c r="CA736" s="27" t="s">
        <v>8</v>
      </c>
      <c r="CB736" s="27" t="s">
        <v>7</v>
      </c>
      <c r="CC736" s="27" t="s">
        <v>8</v>
      </c>
      <c r="CD736" s="27" t="s">
        <v>7</v>
      </c>
      <c r="CE736" s="27" t="s">
        <v>8</v>
      </c>
      <c r="CF736" s="27" t="s">
        <v>7</v>
      </c>
      <c r="CG736" s="27" t="s">
        <v>8</v>
      </c>
      <c r="CH736" s="27" t="s">
        <v>7</v>
      </c>
      <c r="CI736" s="27" t="s">
        <v>8</v>
      </c>
      <c r="CJ736" s="27" t="s">
        <v>7</v>
      </c>
      <c r="CK736" s="27" t="s">
        <v>8</v>
      </c>
      <c r="CN736" s="27" t="s">
        <v>7</v>
      </c>
      <c r="CO736" s="27" t="s">
        <v>8</v>
      </c>
    </row>
    <row r="737" spans="1:92" x14ac:dyDescent="0.25">
      <c r="A737" s="7">
        <v>5.1283095966678877E-2</v>
      </c>
      <c r="B737"/>
      <c r="C737"/>
      <c r="D737"/>
      <c r="E737"/>
      <c r="F737" s="27" t="s">
        <v>7</v>
      </c>
      <c r="G737" s="27" t="s">
        <v>8</v>
      </c>
      <c r="H737" s="27" t="s">
        <v>7</v>
      </c>
      <c r="I737" s="27" t="s">
        <v>8</v>
      </c>
      <c r="K737" s="27" t="s">
        <v>8</v>
      </c>
      <c r="L737" s="27" t="s">
        <v>7</v>
      </c>
      <c r="M737" s="27" t="s">
        <v>8</v>
      </c>
      <c r="N737" s="27" t="s">
        <v>7</v>
      </c>
      <c r="O737" s="27" t="s">
        <v>8</v>
      </c>
      <c r="P737" s="27" t="s">
        <v>7</v>
      </c>
      <c r="Q737" s="27" t="s">
        <v>8</v>
      </c>
      <c r="R737" s="27" t="s">
        <v>7</v>
      </c>
      <c r="S737" s="27" t="s">
        <v>8</v>
      </c>
      <c r="T737" s="27" t="s">
        <v>7</v>
      </c>
      <c r="U737" s="27" t="s">
        <v>8</v>
      </c>
      <c r="V737" s="27" t="s">
        <v>7</v>
      </c>
      <c r="W737" s="27" t="s">
        <v>8</v>
      </c>
      <c r="Z737" s="27" t="s">
        <v>7</v>
      </c>
      <c r="AA737" s="27" t="s">
        <v>8</v>
      </c>
      <c r="AB737" s="27" t="s">
        <v>7</v>
      </c>
      <c r="AE737" s="27" t="s">
        <v>8</v>
      </c>
      <c r="AF737" s="27" t="s">
        <v>7</v>
      </c>
      <c r="AG737" s="27" t="s">
        <v>8</v>
      </c>
      <c r="AH737" s="27" t="s">
        <v>7</v>
      </c>
      <c r="AI737" s="27" t="s">
        <v>8</v>
      </c>
      <c r="AJ737" s="27" t="s">
        <v>7</v>
      </c>
      <c r="AK737" s="27" t="s">
        <v>8</v>
      </c>
      <c r="AN737" s="27" t="s">
        <v>7</v>
      </c>
      <c r="AO737" s="27" t="s">
        <v>8</v>
      </c>
      <c r="AP737" s="27" t="s">
        <v>7</v>
      </c>
      <c r="AQ737" s="27" t="s">
        <v>8</v>
      </c>
      <c r="BH737" s="27" t="s">
        <v>7</v>
      </c>
      <c r="BJ737" s="27" t="s">
        <v>7</v>
      </c>
      <c r="BR737" s="27" t="s">
        <v>7</v>
      </c>
      <c r="BS737" s="27" t="s">
        <v>8</v>
      </c>
      <c r="BT737" s="27" t="s">
        <v>7</v>
      </c>
      <c r="BV737" s="27" t="s">
        <v>7</v>
      </c>
      <c r="BY737" s="27" t="s">
        <v>8</v>
      </c>
      <c r="BZ737" s="27" t="s">
        <v>7</v>
      </c>
      <c r="CA737" s="27" t="s">
        <v>8</v>
      </c>
      <c r="CB737" s="27" t="s">
        <v>7</v>
      </c>
      <c r="CC737" s="27" t="s">
        <v>8</v>
      </c>
      <c r="CD737" s="27" t="s">
        <v>7</v>
      </c>
      <c r="CE737" s="27" t="s">
        <v>8</v>
      </c>
      <c r="CF737" s="27" t="s">
        <v>7</v>
      </c>
      <c r="CG737" s="27" t="s">
        <v>8</v>
      </c>
      <c r="CH737" s="27" t="s">
        <v>7</v>
      </c>
      <c r="CI737" s="27" t="s">
        <v>8</v>
      </c>
      <c r="CJ737" s="27" t="s">
        <v>7</v>
      </c>
      <c r="CK737" s="27" t="s">
        <v>8</v>
      </c>
      <c r="CN737" s="27" t="s">
        <v>7</v>
      </c>
    </row>
    <row r="738" spans="1:92" x14ac:dyDescent="0.25">
      <c r="A738" s="7">
        <v>5.0277545065371444E-2</v>
      </c>
      <c r="B738"/>
      <c r="C738"/>
      <c r="D738"/>
      <c r="E738"/>
      <c r="F738" s="27" t="s">
        <v>7</v>
      </c>
      <c r="G738" s="27" t="s">
        <v>8</v>
      </c>
      <c r="H738" s="27" t="s">
        <v>7</v>
      </c>
      <c r="I738" s="27" t="s">
        <v>8</v>
      </c>
      <c r="J738" s="27" t="s">
        <v>7</v>
      </c>
      <c r="K738" s="27" t="s">
        <v>8</v>
      </c>
      <c r="L738" s="27" t="s">
        <v>7</v>
      </c>
      <c r="M738" s="27" t="s">
        <v>8</v>
      </c>
      <c r="N738" s="27" t="s">
        <v>7</v>
      </c>
      <c r="O738" s="27" t="s">
        <v>8</v>
      </c>
      <c r="P738" s="27" t="s">
        <v>7</v>
      </c>
      <c r="Q738" s="27" t="s">
        <v>8</v>
      </c>
      <c r="R738" s="27" t="s">
        <v>7</v>
      </c>
      <c r="S738" s="27" t="s">
        <v>8</v>
      </c>
      <c r="T738" s="27" t="s">
        <v>7</v>
      </c>
      <c r="U738" s="27" t="s">
        <v>8</v>
      </c>
      <c r="V738" s="27" t="s">
        <v>7</v>
      </c>
      <c r="Z738" s="27" t="s">
        <v>7</v>
      </c>
      <c r="AA738" s="27" t="s">
        <v>8</v>
      </c>
      <c r="AB738" s="27" t="s">
        <v>7</v>
      </c>
      <c r="AE738" s="27" t="s">
        <v>8</v>
      </c>
      <c r="AF738" s="27" t="s">
        <v>7</v>
      </c>
      <c r="AG738" s="27" t="s">
        <v>8</v>
      </c>
      <c r="AH738" s="27" t="s">
        <v>7</v>
      </c>
      <c r="AJ738" s="27" t="s">
        <v>7</v>
      </c>
      <c r="AN738" s="27" t="s">
        <v>7</v>
      </c>
      <c r="AO738" s="27" t="s">
        <v>8</v>
      </c>
      <c r="AP738" s="27" t="s">
        <v>7</v>
      </c>
      <c r="AQ738" s="27" t="s">
        <v>8</v>
      </c>
      <c r="BR738" s="27" t="s">
        <v>7</v>
      </c>
      <c r="BS738" s="27" t="s">
        <v>8</v>
      </c>
      <c r="BV738" s="27" t="s">
        <v>7</v>
      </c>
      <c r="BW738" s="27" t="s">
        <v>8</v>
      </c>
      <c r="BY738" s="27" t="s">
        <v>8</v>
      </c>
      <c r="BZ738" s="27" t="s">
        <v>7</v>
      </c>
      <c r="CA738" s="27" t="s">
        <v>8</v>
      </c>
      <c r="CB738" s="27" t="s">
        <v>7</v>
      </c>
      <c r="CC738" s="27" t="s">
        <v>8</v>
      </c>
      <c r="CD738" s="27" t="s">
        <v>7</v>
      </c>
      <c r="CF738" s="27" t="s">
        <v>7</v>
      </c>
      <c r="CG738" s="27" t="s">
        <v>8</v>
      </c>
      <c r="CH738" s="27" t="s">
        <v>7</v>
      </c>
      <c r="CI738" s="27" t="s">
        <v>8</v>
      </c>
      <c r="CJ738" s="27" t="s">
        <v>7</v>
      </c>
      <c r="CK738" s="27" t="s">
        <v>8</v>
      </c>
    </row>
    <row r="739" spans="1:92" x14ac:dyDescent="0.25">
      <c r="A739" s="7">
        <v>4.9291710848403378E-2</v>
      </c>
      <c r="B739"/>
      <c r="C739"/>
      <c r="D739"/>
      <c r="E739"/>
      <c r="F739" s="27" t="s">
        <v>7</v>
      </c>
      <c r="G739" s="27" t="s">
        <v>8</v>
      </c>
      <c r="H739" s="27" t="s">
        <v>7</v>
      </c>
      <c r="I739" s="27" t="s">
        <v>8</v>
      </c>
      <c r="J739" s="27" t="s">
        <v>7</v>
      </c>
      <c r="K739" s="27" t="s">
        <v>8</v>
      </c>
      <c r="L739" s="27" t="s">
        <v>7</v>
      </c>
      <c r="M739" s="27" t="s">
        <v>8</v>
      </c>
      <c r="N739" s="27" t="s">
        <v>7</v>
      </c>
      <c r="O739" s="27" t="s">
        <v>8</v>
      </c>
      <c r="P739" s="27" t="s">
        <v>7</v>
      </c>
      <c r="Q739" s="27" t="s">
        <v>8</v>
      </c>
      <c r="R739" s="27" t="s">
        <v>7</v>
      </c>
      <c r="S739" s="27" t="s">
        <v>8</v>
      </c>
      <c r="T739" s="27" t="s">
        <v>7</v>
      </c>
      <c r="U739" s="27" t="s">
        <v>8</v>
      </c>
      <c r="Z739" s="27" t="s">
        <v>7</v>
      </c>
      <c r="AA739" s="27" t="s">
        <v>8</v>
      </c>
      <c r="AB739" s="27" t="s">
        <v>7</v>
      </c>
      <c r="AC739" s="27" t="s">
        <v>8</v>
      </c>
      <c r="AE739" s="27" t="s">
        <v>8</v>
      </c>
      <c r="AF739" s="27" t="s">
        <v>7</v>
      </c>
      <c r="AN739" s="27" t="s">
        <v>7</v>
      </c>
      <c r="AO739" s="27" t="s">
        <v>8</v>
      </c>
      <c r="AP739" s="27" t="s">
        <v>7</v>
      </c>
      <c r="AQ739" s="27" t="s">
        <v>8</v>
      </c>
      <c r="BR739" s="27" t="s">
        <v>7</v>
      </c>
      <c r="BV739" s="27" t="s">
        <v>7</v>
      </c>
      <c r="BW739" s="27" t="s">
        <v>8</v>
      </c>
      <c r="BX739" s="27" t="s">
        <v>7</v>
      </c>
      <c r="BY739" s="27" t="s">
        <v>8</v>
      </c>
      <c r="BZ739" s="27" t="s">
        <v>7</v>
      </c>
      <c r="CA739" s="27" t="s">
        <v>8</v>
      </c>
      <c r="CB739" s="27" t="s">
        <v>7</v>
      </c>
      <c r="CC739" s="27" t="s">
        <v>8</v>
      </c>
      <c r="CF739" s="27" t="s">
        <v>7</v>
      </c>
      <c r="CG739" s="27" t="s">
        <v>8</v>
      </c>
      <c r="CH739" s="27" t="s">
        <v>7</v>
      </c>
      <c r="CI739" s="27" t="s">
        <v>8</v>
      </c>
      <c r="CJ739" s="27" t="s">
        <v>7</v>
      </c>
    </row>
    <row r="740" spans="1:92" x14ac:dyDescent="0.25">
      <c r="A740" s="7">
        <v>4.8325206714120959E-2</v>
      </c>
      <c r="B740"/>
      <c r="C740"/>
      <c r="D740"/>
      <c r="E740"/>
      <c r="F740" s="27" t="s">
        <v>7</v>
      </c>
      <c r="G740" s="27" t="s">
        <v>8</v>
      </c>
      <c r="H740" s="27" t="s">
        <v>7</v>
      </c>
      <c r="I740" s="27" t="s">
        <v>8</v>
      </c>
      <c r="J740" s="27" t="s">
        <v>7</v>
      </c>
      <c r="K740" s="27" t="s">
        <v>8</v>
      </c>
      <c r="L740" s="27" t="s">
        <v>7</v>
      </c>
      <c r="M740" s="27" t="s">
        <v>8</v>
      </c>
      <c r="N740" s="27" t="s">
        <v>7</v>
      </c>
      <c r="P740" s="27" t="s">
        <v>7</v>
      </c>
      <c r="Q740" s="27" t="s">
        <v>8</v>
      </c>
      <c r="R740" s="27" t="s">
        <v>7</v>
      </c>
      <c r="T740" s="27" t="s">
        <v>7</v>
      </c>
      <c r="Z740" s="27" t="s">
        <v>7</v>
      </c>
      <c r="AB740" s="27" t="s">
        <v>7</v>
      </c>
      <c r="AC740" s="27" t="s">
        <v>8</v>
      </c>
      <c r="AD740" s="27" t="s">
        <v>7</v>
      </c>
      <c r="AE740" s="27" t="s">
        <v>8</v>
      </c>
      <c r="AN740" s="27" t="s">
        <v>7</v>
      </c>
      <c r="AO740" s="27" t="s">
        <v>8</v>
      </c>
      <c r="AP740" s="27" t="s">
        <v>7</v>
      </c>
      <c r="BV740" s="27" t="s">
        <v>7</v>
      </c>
      <c r="BW740" s="27" t="s">
        <v>8</v>
      </c>
      <c r="BX740" s="27" t="s">
        <v>7</v>
      </c>
      <c r="BY740" s="27" t="s">
        <v>8</v>
      </c>
      <c r="BZ740" s="27" t="s">
        <v>7</v>
      </c>
      <c r="CA740" s="27" t="s">
        <v>8</v>
      </c>
      <c r="CB740" s="27" t="s">
        <v>7</v>
      </c>
      <c r="CC740" s="27" t="s">
        <v>8</v>
      </c>
      <c r="CF740" s="27" t="s">
        <v>7</v>
      </c>
      <c r="CG740" s="27" t="s">
        <v>8</v>
      </c>
      <c r="CH740" s="27" t="s">
        <v>7</v>
      </c>
      <c r="CI740" s="27" t="s">
        <v>8</v>
      </c>
    </row>
    <row r="741" spans="1:92" x14ac:dyDescent="0.25">
      <c r="A741" s="7">
        <v>4.7377653641295057E-2</v>
      </c>
      <c r="B741"/>
      <c r="C741"/>
      <c r="D741"/>
      <c r="E741"/>
      <c r="F741" s="27" t="s">
        <v>7</v>
      </c>
      <c r="G741" s="27" t="s">
        <v>8</v>
      </c>
      <c r="H741" s="27" t="s">
        <v>7</v>
      </c>
      <c r="I741" s="27" t="s">
        <v>8</v>
      </c>
      <c r="J741" s="27" t="s">
        <v>7</v>
      </c>
      <c r="K741" s="27" t="s">
        <v>8</v>
      </c>
      <c r="L741" s="27" t="s">
        <v>7</v>
      </c>
      <c r="M741" s="27" t="s">
        <v>8</v>
      </c>
      <c r="P741" s="27" t="s">
        <v>7</v>
      </c>
      <c r="AB741" s="27" t="s">
        <v>7</v>
      </c>
      <c r="AC741" s="27" t="s">
        <v>8</v>
      </c>
      <c r="AD741" s="27" t="s">
        <v>7</v>
      </c>
      <c r="AE741" s="27" t="s">
        <v>8</v>
      </c>
      <c r="AN741" s="27" t="s">
        <v>7</v>
      </c>
      <c r="AO741" s="27" t="s">
        <v>8</v>
      </c>
      <c r="BV741" s="27" t="s">
        <v>7</v>
      </c>
      <c r="BW741" s="27" t="s">
        <v>8</v>
      </c>
      <c r="BX741" s="27" t="s">
        <v>7</v>
      </c>
      <c r="BY741" s="27" t="s">
        <v>8</v>
      </c>
      <c r="BZ741" s="27" t="s">
        <v>7</v>
      </c>
      <c r="CA741" s="27" t="s">
        <v>8</v>
      </c>
      <c r="CB741" s="27" t="s">
        <v>7</v>
      </c>
      <c r="CF741" s="27" t="s">
        <v>7</v>
      </c>
      <c r="CG741" s="27" t="s">
        <v>8</v>
      </c>
      <c r="CH741" s="27" t="s">
        <v>7</v>
      </c>
      <c r="CI741" s="27" t="s">
        <v>8</v>
      </c>
    </row>
    <row r="742" spans="1:92" x14ac:dyDescent="0.25">
      <c r="A742" s="7">
        <v>4.644868004048535E-2</v>
      </c>
      <c r="B742"/>
      <c r="C742"/>
      <c r="D742"/>
      <c r="E742"/>
      <c r="F742" s="27" t="s">
        <v>7</v>
      </c>
      <c r="G742" s="27" t="s">
        <v>8</v>
      </c>
      <c r="H742" s="27" t="s">
        <v>7</v>
      </c>
      <c r="I742" s="27" t="s">
        <v>8</v>
      </c>
      <c r="J742" s="27" t="s">
        <v>7</v>
      </c>
      <c r="K742" s="27" t="s">
        <v>8</v>
      </c>
      <c r="L742" s="27" t="s">
        <v>7</v>
      </c>
      <c r="M742" s="27" t="s">
        <v>8</v>
      </c>
      <c r="AB742" s="27" t="s">
        <v>7</v>
      </c>
      <c r="AD742" s="27" t="s">
        <v>7</v>
      </c>
      <c r="AN742" s="27" t="s">
        <v>7</v>
      </c>
      <c r="AO742" s="27" t="s">
        <v>8</v>
      </c>
      <c r="BV742" s="27" t="s">
        <v>7</v>
      </c>
      <c r="BW742" s="27" t="s">
        <v>8</v>
      </c>
      <c r="BX742" s="27" t="s">
        <v>7</v>
      </c>
      <c r="BY742" s="27" t="s">
        <v>8</v>
      </c>
      <c r="BZ742" s="27" t="s">
        <v>7</v>
      </c>
      <c r="CF742" s="27" t="s">
        <v>7</v>
      </c>
      <c r="CH742" s="27" t="s">
        <v>7</v>
      </c>
      <c r="CI742" s="27" t="s">
        <v>8</v>
      </c>
    </row>
    <row r="743" spans="1:92" x14ac:dyDescent="0.25">
      <c r="A743" s="7">
        <v>4.5537921608318974E-2</v>
      </c>
      <c r="B743"/>
      <c r="C743"/>
      <c r="D743"/>
      <c r="E743"/>
      <c r="F743" s="27" t="s">
        <v>7</v>
      </c>
      <c r="G743" s="27" t="s">
        <v>8</v>
      </c>
      <c r="H743" s="27" t="s">
        <v>7</v>
      </c>
      <c r="J743" s="27" t="s">
        <v>7</v>
      </c>
      <c r="L743" s="27" t="s">
        <v>7</v>
      </c>
      <c r="M743" s="27" t="s">
        <v>8</v>
      </c>
      <c r="AN743" s="27" t="s">
        <v>7</v>
      </c>
      <c r="AO743" s="27" t="s">
        <v>8</v>
      </c>
      <c r="BV743" s="27" t="s">
        <v>7</v>
      </c>
      <c r="BX743" s="27" t="s">
        <v>7</v>
      </c>
      <c r="BY743" s="27" t="s">
        <v>8</v>
      </c>
      <c r="CH743" s="27" t="s">
        <v>7</v>
      </c>
      <c r="CI743" s="27" t="s">
        <v>8</v>
      </c>
    </row>
    <row r="744" spans="1:92" x14ac:dyDescent="0.25">
      <c r="A744" s="7">
        <v>4.4645021184626446E-2</v>
      </c>
      <c r="B744"/>
      <c r="C744"/>
      <c r="D744"/>
      <c r="E744"/>
      <c r="F744" s="27" t="s">
        <v>7</v>
      </c>
      <c r="G744" s="27" t="s">
        <v>8</v>
      </c>
      <c r="L744" s="27" t="s">
        <v>7</v>
      </c>
      <c r="AN744" s="27" t="s">
        <v>7</v>
      </c>
      <c r="AO744" s="27" t="s">
        <v>8</v>
      </c>
      <c r="BX744" s="27" t="s">
        <v>7</v>
      </c>
      <c r="BY744" s="27" t="s">
        <v>8</v>
      </c>
      <c r="CH744" s="27" t="s">
        <v>7</v>
      </c>
    </row>
    <row r="745" spans="1:92" x14ac:dyDescent="0.25">
      <c r="A745" s="7">
        <v>4.3769628612378868E-2</v>
      </c>
      <c r="B745"/>
      <c r="C745"/>
      <c r="D745"/>
      <c r="E745"/>
      <c r="F745" s="27" t="s">
        <v>7</v>
      </c>
      <c r="G745" s="27" t="s">
        <v>8</v>
      </c>
      <c r="AN745" s="27" t="s">
        <v>7</v>
      </c>
      <c r="AO745" s="27" t="s">
        <v>8</v>
      </c>
      <c r="BX745" s="27" t="s">
        <v>7</v>
      </c>
    </row>
    <row r="746" spans="1:92" x14ac:dyDescent="0.25">
      <c r="A746" s="7">
        <v>4.2911400600371442E-2</v>
      </c>
      <c r="B746"/>
      <c r="C746"/>
      <c r="D746"/>
      <c r="E746"/>
      <c r="F746" s="27" t="s">
        <v>7</v>
      </c>
      <c r="G746" s="27" t="s">
        <v>8</v>
      </c>
      <c r="AN746" s="27" t="s">
        <v>7</v>
      </c>
      <c r="AO746" s="27" t="s">
        <v>8</v>
      </c>
    </row>
    <row r="747" spans="1:92" x14ac:dyDescent="0.25">
      <c r="A747" s="7">
        <v>4.2070000588599457E-2</v>
      </c>
      <c r="B747"/>
      <c r="C747"/>
      <c r="D747"/>
      <c r="E747"/>
      <c r="F747" s="27" t="s">
        <v>7</v>
      </c>
      <c r="G747" s="27" t="s">
        <v>8</v>
      </c>
      <c r="AN747" s="27" t="s">
        <v>7</v>
      </c>
    </row>
    <row r="748" spans="1:92" x14ac:dyDescent="0.25">
      <c r="A748" s="7">
        <v>4.1245098616273977E-2</v>
      </c>
      <c r="B748"/>
      <c r="C748"/>
      <c r="D748"/>
      <c r="E748"/>
      <c r="F748" s="27" t="s">
        <v>7</v>
      </c>
      <c r="G748" s="27" t="s">
        <v>8</v>
      </c>
    </row>
    <row r="749" spans="1:92" x14ac:dyDescent="0.25">
      <c r="A749" s="7">
        <v>4.043637119242547E-2</v>
      </c>
      <c r="B749"/>
      <c r="C749"/>
      <c r="D749"/>
      <c r="E749"/>
      <c r="F749" s="27" t="s">
        <v>7</v>
      </c>
      <c r="G749" s="27" t="s">
        <v>8</v>
      </c>
    </row>
    <row r="750" spans="1:92" x14ac:dyDescent="0.25">
      <c r="A750" s="7">
        <v>3.9643501169044582E-2</v>
      </c>
      <c r="B750"/>
      <c r="C750"/>
      <c r="D750"/>
      <c r="E750"/>
      <c r="F750" s="27" t="s">
        <v>7</v>
      </c>
      <c r="G750" s="27" t="s">
        <v>8</v>
      </c>
    </row>
    <row r="751" spans="1:92" x14ac:dyDescent="0.25">
      <c r="A751" s="7">
        <v>3.8866177616710372E-2</v>
      </c>
      <c r="B751"/>
      <c r="C751"/>
      <c r="D751"/>
      <c r="E751"/>
      <c r="F751" s="27" t="s">
        <v>7</v>
      </c>
      <c r="G751" s="27" t="s">
        <v>8</v>
      </c>
    </row>
    <row r="752" spans="1:92" x14ac:dyDescent="0.25">
      <c r="A752" s="7">
        <v>3.8104095702657229E-2</v>
      </c>
      <c r="B752"/>
      <c r="C752"/>
      <c r="D752"/>
      <c r="E752"/>
      <c r="F752" s="27" t="s">
        <v>7</v>
      </c>
      <c r="G752" s="27" t="s">
        <v>8</v>
      </c>
    </row>
    <row r="753" spans="1:6" x14ac:dyDescent="0.25">
      <c r="A753" s="7">
        <v>3.7356956571232579E-2</v>
      </c>
      <c r="B753"/>
      <c r="C753"/>
      <c r="D753"/>
      <c r="E753"/>
      <c r="F753" s="27" t="s">
        <v>7</v>
      </c>
    </row>
    <row r="754" spans="1:6" x14ac:dyDescent="0.25">
      <c r="A754" s="7">
        <v>3.6624467226698605E-2</v>
      </c>
      <c r="B754"/>
      <c r="C754"/>
      <c r="D754"/>
      <c r="E754"/>
    </row>
    <row r="755" spans="1:6" x14ac:dyDescent="0.25">
      <c r="A755" s="7">
        <v>3.5906340418331961E-2</v>
      </c>
      <c r="B755"/>
      <c r="C755"/>
      <c r="D755"/>
      <c r="E755"/>
    </row>
    <row r="756" spans="1:6" x14ac:dyDescent="0.25">
      <c r="A756" s="7">
        <v>3.5202294527776436E-2</v>
      </c>
      <c r="B756"/>
      <c r="C756"/>
      <c r="D756"/>
      <c r="E756"/>
    </row>
    <row r="757" spans="1:6" x14ac:dyDescent="0.25">
      <c r="A757" s="7">
        <v>3.451205345860435E-2</v>
      </c>
      <c r="B757"/>
      <c r="C757"/>
      <c r="D757"/>
      <c r="E757"/>
    </row>
    <row r="758" spans="1:6" x14ac:dyDescent="0.25">
      <c r="A758" s="7">
        <v>3.3835346528043479E-2</v>
      </c>
      <c r="B758"/>
      <c r="C758"/>
      <c r="D758"/>
      <c r="E758"/>
    </row>
    <row r="759" spans="1:6" x14ac:dyDescent="0.25">
      <c r="A759" s="7">
        <v>3.3171908360826938E-2</v>
      </c>
      <c r="B759"/>
      <c r="C759"/>
      <c r="D759"/>
      <c r="E759"/>
    </row>
    <row r="760" spans="1:6" x14ac:dyDescent="0.25">
      <c r="A760" s="7">
        <v>3.2521478785124451E-2</v>
      </c>
      <c r="B760"/>
      <c r="C760"/>
      <c r="D760"/>
      <c r="E760"/>
    </row>
    <row r="761" spans="1:6" x14ac:dyDescent="0.25">
      <c r="A761" s="7">
        <v>3.1883802730514173E-2</v>
      </c>
      <c r="B761"/>
      <c r="C761"/>
      <c r="D761"/>
      <c r="E761"/>
    </row>
    <row r="762" spans="1:6" x14ac:dyDescent="0.25">
      <c r="A762" s="7">
        <v>3.1258630127955073E-2</v>
      </c>
      <c r="B762"/>
      <c r="C762"/>
      <c r="D762"/>
      <c r="E762"/>
    </row>
    <row r="763" spans="1:6" x14ac:dyDescent="0.25">
      <c r="A763" s="7">
        <v>3.064571581172066E-2</v>
      </c>
      <c r="B763"/>
      <c r="C763"/>
      <c r="D763"/>
      <c r="E763"/>
    </row>
    <row r="764" spans="1:6" x14ac:dyDescent="0.25">
      <c r="A764" s="7">
        <v>3.0044819423255549E-2</v>
      </c>
      <c r="B764"/>
      <c r="C764"/>
      <c r="D764"/>
      <c r="E764"/>
    </row>
    <row r="765" spans="1:6" x14ac:dyDescent="0.25">
      <c r="A765" s="7">
        <v>2.9455705316917203E-2</v>
      </c>
      <c r="B765"/>
      <c r="C765"/>
      <c r="D765"/>
      <c r="E765"/>
    </row>
    <row r="766" spans="1:6" x14ac:dyDescent="0.25">
      <c r="A766" s="7">
        <v>2.8878142467565884E-2</v>
      </c>
      <c r="B766"/>
      <c r="C766"/>
      <c r="D766"/>
      <c r="E766"/>
    </row>
    <row r="767" spans="1:6" x14ac:dyDescent="0.25">
      <c r="A767" s="7">
        <v>2.8311904379966554E-2</v>
      </c>
      <c r="B767"/>
      <c r="C767"/>
      <c r="D767"/>
      <c r="E767"/>
    </row>
    <row r="768" spans="1:6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028" operator="equal">
      <formula>$U$1</formula>
    </cfRule>
    <cfRule type="cellIs" dxfId="89" priority="1029" operator="equal">
      <formula>$S$1</formula>
    </cfRule>
  </conditionalFormatting>
  <conditionalFormatting sqref="D27">
    <cfRule type="cellIs" dxfId="88" priority="1026" operator="equal">
      <formula>$S$1</formula>
    </cfRule>
    <cfRule type="cellIs" dxfId="87" priority="1027" operator="equal">
      <formula>$U$1</formula>
    </cfRule>
  </conditionalFormatting>
  <conditionalFormatting sqref="C164">
    <cfRule type="cellIs" dxfId="86" priority="1024" operator="equal">
      <formula>$U$1</formula>
    </cfRule>
    <cfRule type="cellIs" dxfId="85" priority="1025" operator="equal">
      <formula>$S$1</formula>
    </cfRule>
  </conditionalFormatting>
  <conditionalFormatting sqref="D164">
    <cfRule type="cellIs" dxfId="84" priority="1022" operator="equal">
      <formula>$S$1</formula>
    </cfRule>
    <cfRule type="cellIs" dxfId="83" priority="1023" operator="equal">
      <formula>$U$1</formula>
    </cfRule>
  </conditionalFormatting>
  <conditionalFormatting sqref="C55">
    <cfRule type="cellIs" dxfId="82" priority="1020" operator="equal">
      <formula>$U$1</formula>
    </cfRule>
    <cfRule type="cellIs" dxfId="81" priority="1021" operator="equal">
      <formula>$S$1</formula>
    </cfRule>
  </conditionalFormatting>
  <conditionalFormatting sqref="D55">
    <cfRule type="cellIs" dxfId="80" priority="1018" operator="equal">
      <formula>$S$1</formula>
    </cfRule>
    <cfRule type="cellIs" dxfId="79" priority="1019" operator="equal">
      <formula>$U$1</formula>
    </cfRule>
  </conditionalFormatting>
  <conditionalFormatting sqref="C89">
    <cfRule type="cellIs" dxfId="78" priority="1016" operator="equal">
      <formula>$U$1</formula>
    </cfRule>
    <cfRule type="cellIs" dxfId="77" priority="1017" operator="equal">
      <formula>$S$1</formula>
    </cfRule>
  </conditionalFormatting>
  <conditionalFormatting sqref="D89">
    <cfRule type="cellIs" dxfId="76" priority="1014" operator="equal">
      <formula>$S$1</formula>
    </cfRule>
    <cfRule type="cellIs" dxfId="75" priority="1015" operator="equal">
      <formula>$U$1</formula>
    </cfRule>
  </conditionalFormatting>
  <conditionalFormatting sqref="C136">
    <cfRule type="cellIs" dxfId="74" priority="1012" operator="equal">
      <formula>$U$1</formula>
    </cfRule>
    <cfRule type="cellIs" dxfId="73" priority="1013" operator="equal">
      <formula>$S$1</formula>
    </cfRule>
  </conditionalFormatting>
  <conditionalFormatting sqref="D136">
    <cfRule type="cellIs" dxfId="72" priority="1010" operator="equal">
      <formula>$S$1</formula>
    </cfRule>
    <cfRule type="cellIs" dxfId="71" priority="1011" operator="equal">
      <formula>$U$1</formula>
    </cfRule>
  </conditionalFormatting>
  <conditionalFormatting sqref="C1">
    <cfRule type="cellIs" dxfId="70" priority="1009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51" zoomScale="90" zoomScaleNormal="90" workbookViewId="0">
      <pane xSplit="4" topLeftCell="CK1" activePane="topRight" state="frozen"/>
      <selection activeCell="A109" sqref="A109"/>
      <selection pane="topRight" activeCell="FI275" sqref="FI27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$A$274</v>
      </c>
      <c r="D111" s="1" t="str">
        <f>ADDRESS(C121-1,D121,1,1)</f>
        <v>$FI$274</v>
      </c>
      <c r="E111"/>
    </row>
    <row r="112" spans="1:5" x14ac:dyDescent="0.25">
      <c r="A112" s="30">
        <v>515.50191262726139</v>
      </c>
      <c r="C112" s="1" t="str">
        <f>ADDRESS(C121,1,1,1)</f>
        <v>$A$275</v>
      </c>
      <c r="D112" s="1" t="str">
        <f>ADDRESS(C121,D121-1,1,1)</f>
        <v>$FH$275</v>
      </c>
      <c r="E112"/>
    </row>
    <row r="113" spans="1:5" x14ac:dyDescent="0.25">
      <c r="A113" s="30">
        <v>490.95420250215363</v>
      </c>
      <c r="C113" s="1" t="str">
        <f>ADDRESS(C121+1,1,1,1)</f>
        <v>$A$276</v>
      </c>
      <c r="D113" s="1" t="str">
        <f>ADDRESS(C121-1,D121+1,1,1)</f>
        <v>$FJ$274</v>
      </c>
    </row>
    <row r="114" spans="1:5" x14ac:dyDescent="0.25">
      <c r="A114" s="30">
        <v>467.57543095443202</v>
      </c>
      <c r="C114" s="1" t="str">
        <f>ADDRESS(C121,D121,1,1)</f>
        <v>$FI$275</v>
      </c>
      <c r="D114" s="1" t="str">
        <f>ADDRESS(C121+1,D121+1,1,1)</f>
        <v>$FJ$276</v>
      </c>
    </row>
    <row r="115" spans="1:5" x14ac:dyDescent="0.25">
      <c r="A115" s="30">
        <v>445.30993424231622</v>
      </c>
      <c r="C115" s="1" t="str">
        <f>ADDRESS(C121+1,D121,1,1)</f>
        <v>$FI$276</v>
      </c>
    </row>
    <row r="116" spans="1:5" x14ac:dyDescent="0.25">
      <c r="A116" s="30">
        <v>424.10469927839637</v>
      </c>
      <c r="C116" s="1">
        <f>C117-1</f>
        <v>274</v>
      </c>
    </row>
    <row r="117" spans="1:5" x14ac:dyDescent="0.25">
      <c r="A117" s="30">
        <v>403.9092374079965</v>
      </c>
      <c r="C117" s="1">
        <f>C121</f>
        <v>275</v>
      </c>
      <c r="D117" s="1">
        <f>D121</f>
        <v>165</v>
      </c>
    </row>
    <row r="118" spans="1:5" x14ac:dyDescent="0.25">
      <c r="A118" s="30">
        <v>384.6754641980919</v>
      </c>
      <c r="C118" s="1">
        <f>C117+1</f>
        <v>276</v>
      </c>
      <c r="D118" s="1">
        <f>D117+1</f>
        <v>166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275</v>
      </c>
      <c r="D121" s="19">
        <v>165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R275</v>
      </c>
      <c r="D123" s="1" t="str">
        <f>"C"&amp;D121</f>
        <v>C165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0.18129028535257471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128" x14ac:dyDescent="0.25">
      <c r="A241" s="30">
        <v>0.952380952380952</v>
      </c>
      <c r="B241"/>
      <c r="C241"/>
      <c r="D241"/>
      <c r="E241"/>
      <c r="F241" s="27" t="s">
        <v>7</v>
      </c>
    </row>
    <row r="242" spans="1:128" x14ac:dyDescent="0.25">
      <c r="A242" s="30">
        <v>0.90702947845804915</v>
      </c>
      <c r="B242"/>
      <c r="C242"/>
      <c r="D242"/>
      <c r="E242"/>
      <c r="F242" s="27" t="s">
        <v>7</v>
      </c>
    </row>
    <row r="243" spans="1:128" x14ac:dyDescent="0.25">
      <c r="A243" s="30">
        <v>0.86383759853147501</v>
      </c>
      <c r="B243"/>
      <c r="C243"/>
      <c r="D243"/>
      <c r="E243"/>
      <c r="F243" s="27" t="s">
        <v>7</v>
      </c>
    </row>
    <row r="244" spans="1:128" x14ac:dyDescent="0.25">
      <c r="A244" s="30">
        <v>0.82270247479188063</v>
      </c>
      <c r="B244"/>
      <c r="C244"/>
      <c r="D244"/>
      <c r="E244"/>
      <c r="F244" s="27" t="s">
        <v>7</v>
      </c>
    </row>
    <row r="245" spans="1:128" x14ac:dyDescent="0.25">
      <c r="A245" s="30">
        <v>0.78352616646845741</v>
      </c>
      <c r="B245"/>
      <c r="C245"/>
      <c r="D245"/>
      <c r="E245"/>
      <c r="F245" s="27" t="s">
        <v>7</v>
      </c>
      <c r="CK245" s="27" t="s">
        <v>8</v>
      </c>
    </row>
    <row r="246" spans="1:128" x14ac:dyDescent="0.25">
      <c r="A246" s="30">
        <v>0.74621539663662584</v>
      </c>
      <c r="B246"/>
      <c r="C246"/>
      <c r="D246"/>
      <c r="E246"/>
      <c r="F246" s="27" t="s">
        <v>7</v>
      </c>
      <c r="CK246" s="27" t="s">
        <v>8</v>
      </c>
      <c r="CL246" s="27" t="s">
        <v>7</v>
      </c>
    </row>
    <row r="247" spans="1:128" x14ac:dyDescent="0.25">
      <c r="A247" s="30">
        <v>0.71068133013011958</v>
      </c>
      <c r="B247"/>
      <c r="C247"/>
      <c r="D247"/>
      <c r="E247"/>
      <c r="F247" s="27" t="s">
        <v>7</v>
      </c>
      <c r="CK247" s="27" t="s">
        <v>8</v>
      </c>
      <c r="CL247" s="27" t="s">
        <v>7</v>
      </c>
      <c r="DW247" s="27" t="s">
        <v>8</v>
      </c>
    </row>
    <row r="248" spans="1:128" x14ac:dyDescent="0.25">
      <c r="A248" s="30">
        <v>0.676839362028685</v>
      </c>
      <c r="B248"/>
      <c r="C248"/>
      <c r="D248"/>
      <c r="E248"/>
      <c r="F248" s="27" t="s">
        <v>7</v>
      </c>
      <c r="CK248" s="27" t="s">
        <v>8</v>
      </c>
      <c r="CL248" s="27" t="s">
        <v>7</v>
      </c>
      <c r="DW248" s="27" t="s">
        <v>8</v>
      </c>
      <c r="DX248" s="27" t="s">
        <v>7</v>
      </c>
    </row>
    <row r="249" spans="1:128" x14ac:dyDescent="0.25">
      <c r="A249" s="30">
        <v>0.64460891621779492</v>
      </c>
      <c r="B249"/>
      <c r="C249"/>
      <c r="D249"/>
      <c r="E249"/>
      <c r="F249" s="27" t="s">
        <v>7</v>
      </c>
      <c r="CK249" s="27" t="s">
        <v>8</v>
      </c>
      <c r="CL249" s="27" t="s">
        <v>7</v>
      </c>
      <c r="DW249" s="27" t="s">
        <v>8</v>
      </c>
      <c r="DX249" s="27" t="s">
        <v>7</v>
      </c>
    </row>
    <row r="250" spans="1:128" x14ac:dyDescent="0.25">
      <c r="A250" s="30">
        <v>0.61391325354075688</v>
      </c>
      <c r="B250"/>
      <c r="C250"/>
      <c r="D250"/>
      <c r="E250"/>
      <c r="F250" s="27" t="s">
        <v>7</v>
      </c>
      <c r="CK250" s="27" t="s">
        <v>8</v>
      </c>
      <c r="CL250" s="27" t="s">
        <v>7</v>
      </c>
      <c r="CW250" s="31" t="s">
        <v>8</v>
      </c>
      <c r="DW250" s="27" t="s">
        <v>8</v>
      </c>
      <c r="DX250" s="27" t="s">
        <v>7</v>
      </c>
    </row>
    <row r="251" spans="1:128" x14ac:dyDescent="0.25">
      <c r="A251" s="30">
        <v>0.58467928908643485</v>
      </c>
      <c r="B251"/>
      <c r="C251"/>
      <c r="D251"/>
      <c r="E251"/>
      <c r="F251" s="27" t="s">
        <v>7</v>
      </c>
      <c r="CK251" s="27" t="s">
        <v>8</v>
      </c>
      <c r="CL251" s="27" t="s">
        <v>7</v>
      </c>
      <c r="CW251" s="27" t="s">
        <v>8</v>
      </c>
      <c r="CX251" s="31" t="s">
        <v>7</v>
      </c>
      <c r="DW251" s="27" t="s">
        <v>8</v>
      </c>
      <c r="DX251" s="27" t="s">
        <v>7</v>
      </c>
    </row>
    <row r="252" spans="1:128" x14ac:dyDescent="0.25">
      <c r="A252" s="30">
        <v>0.55683741817755672</v>
      </c>
      <c r="B252"/>
      <c r="C252"/>
      <c r="D252"/>
      <c r="E252"/>
      <c r="F252" s="27" t="s">
        <v>7</v>
      </c>
      <c r="CK252" s="27" t="s">
        <v>8</v>
      </c>
      <c r="CL252" s="27" t="s">
        <v>7</v>
      </c>
      <c r="CM252" s="27" t="s">
        <v>8</v>
      </c>
      <c r="CW252" s="27" t="s">
        <v>8</v>
      </c>
      <c r="CX252" s="27" t="s">
        <v>7</v>
      </c>
      <c r="CY252" s="31"/>
      <c r="DW252" s="27" t="s">
        <v>8</v>
      </c>
      <c r="DX252" s="27" t="s">
        <v>7</v>
      </c>
    </row>
    <row r="253" spans="1:128" x14ac:dyDescent="0.25">
      <c r="A253" s="30">
        <v>0.53032135064529184</v>
      </c>
      <c r="B253"/>
      <c r="C253"/>
      <c r="D253"/>
      <c r="E253"/>
      <c r="F253" s="27" t="s">
        <v>7</v>
      </c>
      <c r="CK253" s="27" t="s">
        <v>8</v>
      </c>
      <c r="CL253" s="27" t="s">
        <v>7</v>
      </c>
      <c r="CM253" s="27" t="s">
        <v>8</v>
      </c>
      <c r="CN253" s="27" t="s">
        <v>7</v>
      </c>
      <c r="CW253" s="27" t="s">
        <v>8</v>
      </c>
      <c r="CX253" s="27" t="s">
        <v>7</v>
      </c>
      <c r="CZ253" s="31"/>
      <c r="DW253" s="27" t="s">
        <v>8</v>
      </c>
      <c r="DX253" s="27" t="s">
        <v>7</v>
      </c>
    </row>
    <row r="254" spans="1:128" x14ac:dyDescent="0.25">
      <c r="A254" s="30">
        <v>0.50506795299551588</v>
      </c>
      <c r="B254"/>
      <c r="C254"/>
      <c r="D254"/>
      <c r="E254"/>
      <c r="F254" s="27" t="s">
        <v>7</v>
      </c>
      <c r="CK254" s="27" t="s">
        <v>8</v>
      </c>
      <c r="CL254" s="27" t="s">
        <v>7</v>
      </c>
      <c r="CM254" s="27" t="s">
        <v>8</v>
      </c>
      <c r="CN254" s="27" t="s">
        <v>7</v>
      </c>
      <c r="CO254" s="27" t="s">
        <v>8</v>
      </c>
      <c r="CW254" s="27" t="s">
        <v>8</v>
      </c>
      <c r="CX254" s="27" t="s">
        <v>7</v>
      </c>
      <c r="DA254" s="31"/>
      <c r="DW254" s="27" t="s">
        <v>8</v>
      </c>
      <c r="DX254" s="27" t="s">
        <v>7</v>
      </c>
    </row>
    <row r="255" spans="1:128" x14ac:dyDescent="0.25">
      <c r="A255" s="30">
        <v>0.48101709809096732</v>
      </c>
      <c r="E255"/>
      <c r="F255" s="27" t="s">
        <v>7</v>
      </c>
      <c r="CK255" s="27" t="s">
        <v>8</v>
      </c>
      <c r="CL255" s="27" t="s">
        <v>7</v>
      </c>
      <c r="CN255" s="27" t="s">
        <v>7</v>
      </c>
      <c r="CO255" s="27" t="s">
        <v>8</v>
      </c>
      <c r="CP255" s="27" t="s">
        <v>7</v>
      </c>
      <c r="CW255" s="27" t="s">
        <v>8</v>
      </c>
      <c r="CX255" s="27" t="s">
        <v>7</v>
      </c>
      <c r="DB255" s="31"/>
      <c r="DW255" s="27" t="s">
        <v>8</v>
      </c>
      <c r="DX255" s="27" t="s">
        <v>7</v>
      </c>
    </row>
    <row r="256" spans="1:128" x14ac:dyDescent="0.25">
      <c r="A256" s="30">
        <v>0.45811152199139726</v>
      </c>
      <c r="E256"/>
      <c r="F256" s="27" t="s">
        <v>7</v>
      </c>
      <c r="CK256" s="27" t="s">
        <v>8</v>
      </c>
      <c r="CN256" s="33" t="s">
        <v>7</v>
      </c>
      <c r="CO256" s="27" t="s">
        <v>8</v>
      </c>
      <c r="CP256" s="27" t="s">
        <v>7</v>
      </c>
      <c r="CW256" s="32" t="s">
        <v>8</v>
      </c>
      <c r="CX256" s="27" t="s">
        <v>7</v>
      </c>
      <c r="DC256" s="31"/>
      <c r="DW256" s="27" t="s">
        <v>8</v>
      </c>
      <c r="DX256" s="27" t="s">
        <v>7</v>
      </c>
    </row>
    <row r="257" spans="1:162" x14ac:dyDescent="0.25">
      <c r="A257" s="30">
        <v>0.43629668761085438</v>
      </c>
      <c r="B257"/>
      <c r="C257"/>
      <c r="D257"/>
      <c r="E257"/>
      <c r="F257" s="27" t="s">
        <v>7</v>
      </c>
      <c r="CE257" s="27" t="s">
        <v>8</v>
      </c>
      <c r="CK257" s="32" t="s">
        <v>8</v>
      </c>
      <c r="CN257" s="27" t="s">
        <v>7</v>
      </c>
      <c r="CO257" s="27" t="s">
        <v>8</v>
      </c>
      <c r="CP257" s="27" t="s">
        <v>7</v>
      </c>
      <c r="CS257" s="34" t="s">
        <v>8</v>
      </c>
      <c r="CU257" s="34" t="s">
        <v>8</v>
      </c>
      <c r="CW257" s="27" t="s">
        <v>8</v>
      </c>
      <c r="CX257" s="27" t="s">
        <v>7</v>
      </c>
      <c r="DD257" s="31"/>
      <c r="DW257" s="27" t="s">
        <v>8</v>
      </c>
      <c r="DX257" s="27" t="s">
        <v>7</v>
      </c>
      <c r="EE257" s="27" t="s">
        <v>8</v>
      </c>
    </row>
    <row r="258" spans="1:162" x14ac:dyDescent="0.25">
      <c r="A258" s="30">
        <v>0.41552065486748019</v>
      </c>
      <c r="B258"/>
      <c r="C258"/>
      <c r="D258"/>
      <c r="E258"/>
      <c r="F258" s="27" t="s">
        <v>7</v>
      </c>
      <c r="CE258" s="27" t="s">
        <v>8</v>
      </c>
      <c r="CF258" s="27" t="s">
        <v>7</v>
      </c>
      <c r="CG258" s="34" t="s">
        <v>8</v>
      </c>
      <c r="CI258" s="34" t="s">
        <v>8</v>
      </c>
      <c r="CK258" s="27" t="s">
        <v>8</v>
      </c>
      <c r="CN258" s="27" t="s">
        <v>7</v>
      </c>
      <c r="CO258" s="27" t="s">
        <v>8</v>
      </c>
      <c r="CP258" s="27" t="s">
        <v>7</v>
      </c>
      <c r="CS258" s="27" t="s">
        <v>8</v>
      </c>
      <c r="CT258" s="27" t="s">
        <v>7</v>
      </c>
      <c r="CU258" s="27" t="s">
        <v>8</v>
      </c>
      <c r="CV258" s="27" t="s">
        <v>7</v>
      </c>
      <c r="CW258" s="27" t="s">
        <v>8</v>
      </c>
      <c r="CX258" s="27" t="s">
        <v>7</v>
      </c>
      <c r="DE258" s="31"/>
      <c r="DW258" s="27" t="s">
        <v>8</v>
      </c>
      <c r="DX258" s="27" t="s">
        <v>7</v>
      </c>
      <c r="EE258" s="27" t="s">
        <v>8</v>
      </c>
      <c r="EF258" s="27" t="s">
        <v>7</v>
      </c>
      <c r="EG258" s="27" t="s">
        <v>8</v>
      </c>
      <c r="EI258" s="27" t="s">
        <v>8</v>
      </c>
      <c r="EM258" s="27" t="s">
        <v>8</v>
      </c>
    </row>
    <row r="259" spans="1:162" x14ac:dyDescent="0.25">
      <c r="A259" s="30">
        <v>0.39573395701664765</v>
      </c>
      <c r="B259"/>
      <c r="C259"/>
      <c r="D259"/>
      <c r="E259"/>
      <c r="F259" s="27" t="s">
        <v>7</v>
      </c>
      <c r="CE259" s="27" t="s">
        <v>8</v>
      </c>
      <c r="CF259" s="27" t="s">
        <v>7</v>
      </c>
      <c r="CG259" s="27" t="s">
        <v>8</v>
      </c>
      <c r="CH259" s="27" t="s">
        <v>7</v>
      </c>
      <c r="CI259" s="27" t="s">
        <v>8</v>
      </c>
      <c r="CJ259" s="27" t="s">
        <v>7</v>
      </c>
      <c r="CK259" s="27" t="s">
        <v>8</v>
      </c>
      <c r="CN259" s="27" t="s">
        <v>7</v>
      </c>
      <c r="CO259" s="27" t="s">
        <v>8</v>
      </c>
      <c r="CP259" s="27" t="s">
        <v>7</v>
      </c>
      <c r="CS259" s="27" t="s">
        <v>8</v>
      </c>
      <c r="CT259" s="27" t="s">
        <v>7</v>
      </c>
      <c r="CU259" s="27" t="s">
        <v>8</v>
      </c>
      <c r="CV259" s="27" t="s">
        <v>7</v>
      </c>
      <c r="CW259" s="27" t="s">
        <v>8</v>
      </c>
      <c r="CX259" s="27" t="s">
        <v>7</v>
      </c>
      <c r="DF259" s="31"/>
      <c r="DW259" s="27" t="s">
        <v>8</v>
      </c>
      <c r="DX259" s="27" t="s">
        <v>7</v>
      </c>
      <c r="EA259" s="27" t="s">
        <v>8</v>
      </c>
      <c r="EE259" s="27" t="s">
        <v>8</v>
      </c>
      <c r="EF259" s="27" t="s">
        <v>7</v>
      </c>
      <c r="EG259" s="27" t="s">
        <v>8</v>
      </c>
      <c r="EH259" s="27" t="s">
        <v>7</v>
      </c>
      <c r="EI259" s="27" t="s">
        <v>8</v>
      </c>
      <c r="EJ259" s="27" t="s">
        <v>7</v>
      </c>
      <c r="EM259" s="27" t="s">
        <v>8</v>
      </c>
      <c r="EN259" s="27" t="s">
        <v>7</v>
      </c>
      <c r="EO259" s="27" t="s">
        <v>8</v>
      </c>
      <c r="ES259" s="27" t="s">
        <v>8</v>
      </c>
    </row>
    <row r="260" spans="1:162" x14ac:dyDescent="0.25">
      <c r="A260" s="30">
        <v>0.37688948287299762</v>
      </c>
      <c r="B260"/>
      <c r="C260"/>
      <c r="D260"/>
      <c r="E260"/>
      <c r="F260" s="27" t="s">
        <v>7</v>
      </c>
      <c r="CE260" s="27" t="s">
        <v>8</v>
      </c>
      <c r="CF260" s="27" t="s">
        <v>7</v>
      </c>
      <c r="CG260" s="27" t="s">
        <v>8</v>
      </c>
      <c r="CH260" s="27" t="s">
        <v>7</v>
      </c>
      <c r="CI260" s="27" t="s">
        <v>8</v>
      </c>
      <c r="CJ260" s="27" t="s">
        <v>7</v>
      </c>
      <c r="CK260" s="27" t="s">
        <v>8</v>
      </c>
      <c r="CN260" s="27" t="s">
        <v>7</v>
      </c>
      <c r="CO260" s="27" t="s">
        <v>8</v>
      </c>
      <c r="CP260" s="27" t="s">
        <v>7</v>
      </c>
      <c r="CS260" s="27" t="s">
        <v>8</v>
      </c>
      <c r="CT260" s="27" t="s">
        <v>7</v>
      </c>
      <c r="CU260" s="27" t="s">
        <v>8</v>
      </c>
      <c r="CV260" s="27" t="s">
        <v>7</v>
      </c>
      <c r="CW260" s="27" t="s">
        <v>8</v>
      </c>
      <c r="CX260" s="27" t="s">
        <v>7</v>
      </c>
      <c r="DG260" s="31"/>
      <c r="DQ260" s="27" t="s">
        <v>8</v>
      </c>
      <c r="DW260" s="27" t="s">
        <v>8</v>
      </c>
      <c r="DX260" s="27" t="s">
        <v>7</v>
      </c>
      <c r="DY260" s="27" t="s">
        <v>8</v>
      </c>
      <c r="EA260" s="27" t="s">
        <v>8</v>
      </c>
      <c r="EB260" s="27" t="s">
        <v>7</v>
      </c>
      <c r="EE260" s="27" t="s">
        <v>8</v>
      </c>
      <c r="EF260" s="27" t="s">
        <v>7</v>
      </c>
      <c r="EG260" s="27" t="s">
        <v>8</v>
      </c>
      <c r="EH260" s="27" t="s">
        <v>7</v>
      </c>
      <c r="EI260" s="27" t="s">
        <v>8</v>
      </c>
      <c r="EJ260" s="27" t="s">
        <v>7</v>
      </c>
      <c r="EK260" s="27" t="s">
        <v>8</v>
      </c>
      <c r="EM260" s="27" t="s">
        <v>8</v>
      </c>
      <c r="EN260" s="27" t="s">
        <v>7</v>
      </c>
      <c r="EO260" s="27" t="s">
        <v>8</v>
      </c>
      <c r="EP260" s="27" t="s">
        <v>7</v>
      </c>
      <c r="EQ260" s="27" t="s">
        <v>8</v>
      </c>
      <c r="ES260" s="27" t="s">
        <v>8</v>
      </c>
      <c r="ET260" s="27" t="s">
        <v>7</v>
      </c>
      <c r="FA260" s="27" t="s">
        <v>8</v>
      </c>
    </row>
    <row r="261" spans="1:162" x14ac:dyDescent="0.25">
      <c r="A261" s="30">
        <v>0.35894236464094997</v>
      </c>
      <c r="B261"/>
      <c r="C261"/>
      <c r="D261"/>
      <c r="E261"/>
      <c r="F261" s="27" t="s">
        <v>7</v>
      </c>
      <c r="CE261" s="27" t="s">
        <v>8</v>
      </c>
      <c r="CF261" s="34" t="s">
        <v>7</v>
      </c>
      <c r="CH261" s="34" t="s">
        <v>7</v>
      </c>
      <c r="CJ261" s="27" t="s">
        <v>7</v>
      </c>
      <c r="CK261" s="27" t="s">
        <v>8</v>
      </c>
      <c r="CN261" s="27" t="s">
        <v>7</v>
      </c>
      <c r="CO261" s="27" t="s">
        <v>8</v>
      </c>
      <c r="CP261" s="31" t="s">
        <v>7</v>
      </c>
      <c r="CS261" s="27" t="s">
        <v>8</v>
      </c>
      <c r="CT261" s="27" t="s">
        <v>7</v>
      </c>
      <c r="CV261" s="27" t="s">
        <v>7</v>
      </c>
      <c r="CW261" s="27" t="s">
        <v>8</v>
      </c>
      <c r="CX261" s="27" t="s">
        <v>7</v>
      </c>
      <c r="DH261" s="31"/>
      <c r="DQ261" s="27" t="s">
        <v>8</v>
      </c>
      <c r="DR261" s="27" t="s">
        <v>7</v>
      </c>
      <c r="DW261" s="27" t="s">
        <v>8</v>
      </c>
      <c r="DX261" s="27" t="s">
        <v>7</v>
      </c>
      <c r="DY261" s="27" t="s">
        <v>8</v>
      </c>
      <c r="DZ261" s="27" t="s">
        <v>7</v>
      </c>
      <c r="EA261" s="27" t="s">
        <v>8</v>
      </c>
      <c r="EB261" s="27" t="s">
        <v>7</v>
      </c>
      <c r="EE261" s="27" t="s">
        <v>8</v>
      </c>
      <c r="EF261" s="27" t="s">
        <v>7</v>
      </c>
      <c r="EH261" s="27" t="s">
        <v>7</v>
      </c>
      <c r="EJ261" s="27" t="s">
        <v>7</v>
      </c>
      <c r="EK261" s="27" t="s">
        <v>8</v>
      </c>
      <c r="EL261" s="27" t="s">
        <v>7</v>
      </c>
      <c r="EM261" s="27" t="s">
        <v>8</v>
      </c>
      <c r="EN261" s="27" t="s">
        <v>7</v>
      </c>
      <c r="EO261" s="27" t="s">
        <v>8</v>
      </c>
      <c r="EP261" s="27" t="s">
        <v>7</v>
      </c>
      <c r="EQ261" s="27" t="s">
        <v>8</v>
      </c>
      <c r="ER261" s="27" t="s">
        <v>7</v>
      </c>
      <c r="ES261" s="27" t="s">
        <v>8</v>
      </c>
      <c r="ET261" s="27" t="s">
        <v>7</v>
      </c>
      <c r="FA261" s="27" t="s">
        <v>8</v>
      </c>
      <c r="FB261" s="27" t="s">
        <v>7</v>
      </c>
    </row>
    <row r="262" spans="1:162" x14ac:dyDescent="0.25">
      <c r="A262" s="30">
        <v>0.34184987108661891</v>
      </c>
      <c r="B262"/>
      <c r="C262"/>
      <c r="D262"/>
      <c r="E262"/>
      <c r="F262" s="27" t="s">
        <v>7</v>
      </c>
      <c r="CE262" s="27" t="s">
        <v>8</v>
      </c>
      <c r="CJ262" s="27" t="s">
        <v>7</v>
      </c>
      <c r="CK262" s="27" t="s">
        <v>8</v>
      </c>
      <c r="CN262" s="27" t="s">
        <v>7</v>
      </c>
      <c r="CO262" s="31"/>
      <c r="CP262" s="27" t="s">
        <v>7</v>
      </c>
      <c r="CS262" s="32" t="s">
        <v>8</v>
      </c>
      <c r="CV262" s="33" t="s">
        <v>7</v>
      </c>
      <c r="CX262" s="27" t="s">
        <v>7</v>
      </c>
      <c r="CY262" s="27" t="s">
        <v>8</v>
      </c>
      <c r="DI262" s="31"/>
      <c r="DQ262" s="27" t="s">
        <v>8</v>
      </c>
      <c r="DR262" s="27" t="s">
        <v>7</v>
      </c>
      <c r="DW262" s="27" t="s">
        <v>8</v>
      </c>
      <c r="DX262" s="27" t="s">
        <v>7</v>
      </c>
      <c r="DY262" s="27" t="s">
        <v>8</v>
      </c>
      <c r="DZ262" s="27" t="s">
        <v>7</v>
      </c>
      <c r="EA262" s="27" t="s">
        <v>8</v>
      </c>
      <c r="EB262" s="27" t="s">
        <v>7</v>
      </c>
      <c r="EE262" s="27" t="s">
        <v>8</v>
      </c>
      <c r="EJ262" s="27" t="s">
        <v>7</v>
      </c>
      <c r="EK262" s="27" t="s">
        <v>8</v>
      </c>
      <c r="EL262" s="27" t="s">
        <v>7</v>
      </c>
      <c r="EM262" s="27" t="s">
        <v>8</v>
      </c>
      <c r="EN262" s="27" t="s">
        <v>7</v>
      </c>
      <c r="EO262" s="27" t="s">
        <v>8</v>
      </c>
      <c r="EP262" s="27" t="s">
        <v>7</v>
      </c>
      <c r="EQ262" s="27" t="s">
        <v>8</v>
      </c>
      <c r="ER262" s="27" t="s">
        <v>7</v>
      </c>
      <c r="ES262" s="27" t="s">
        <v>8</v>
      </c>
      <c r="ET262" s="27" t="s">
        <v>7</v>
      </c>
      <c r="FA262" s="27" t="s">
        <v>8</v>
      </c>
      <c r="FB262" s="27" t="s">
        <v>7</v>
      </c>
    </row>
    <row r="263" spans="1:162" x14ac:dyDescent="0.25">
      <c r="A263" s="30">
        <v>0.32557130579677979</v>
      </c>
      <c r="B263"/>
      <c r="C263"/>
      <c r="D263"/>
      <c r="E263"/>
      <c r="F263" s="27" t="s">
        <v>7</v>
      </c>
      <c r="CE263" s="27" t="s">
        <v>8</v>
      </c>
      <c r="CJ263" s="27" t="s">
        <v>7</v>
      </c>
      <c r="CK263" s="27" t="s">
        <v>8</v>
      </c>
      <c r="CN263" s="31"/>
      <c r="CP263" s="27" t="s">
        <v>7</v>
      </c>
      <c r="CQ263" s="27" t="s">
        <v>8</v>
      </c>
      <c r="CS263" s="27" t="s">
        <v>8</v>
      </c>
      <c r="CX263" s="33" t="s">
        <v>7</v>
      </c>
      <c r="CY263" s="27" t="s">
        <v>8</v>
      </c>
      <c r="CZ263" s="27" t="s">
        <v>7</v>
      </c>
      <c r="DA263" s="34" t="s">
        <v>8</v>
      </c>
      <c r="DC263" s="34" t="s">
        <v>8</v>
      </c>
      <c r="DJ263" s="31"/>
      <c r="DQ263" s="27" t="s">
        <v>8</v>
      </c>
      <c r="DR263" s="27" t="s">
        <v>7</v>
      </c>
      <c r="DU263" s="27" t="s">
        <v>8</v>
      </c>
      <c r="DW263" s="27" t="s">
        <v>8</v>
      </c>
      <c r="DX263" s="27" t="s">
        <v>7</v>
      </c>
      <c r="DY263" s="27" t="s">
        <v>8</v>
      </c>
      <c r="DZ263" s="27" t="s">
        <v>7</v>
      </c>
      <c r="EA263" s="27" t="s">
        <v>8</v>
      </c>
      <c r="EB263" s="27" t="s">
        <v>7</v>
      </c>
      <c r="EE263" s="27" t="s">
        <v>8</v>
      </c>
      <c r="EJ263" s="27" t="s">
        <v>7</v>
      </c>
      <c r="EK263" s="27" t="s">
        <v>8</v>
      </c>
      <c r="EL263" s="27" t="s">
        <v>7</v>
      </c>
      <c r="EM263" s="27" t="s">
        <v>8</v>
      </c>
      <c r="EN263" s="27" t="s">
        <v>7</v>
      </c>
      <c r="EO263" s="27" t="s">
        <v>8</v>
      </c>
      <c r="EP263" s="27" t="s">
        <v>7</v>
      </c>
      <c r="EQ263" s="27" t="s">
        <v>8</v>
      </c>
      <c r="ER263" s="27" t="s">
        <v>7</v>
      </c>
      <c r="ES263" s="27" t="s">
        <v>8</v>
      </c>
      <c r="ET263" s="27" t="s">
        <v>7</v>
      </c>
      <c r="FA263" s="27" t="s">
        <v>8</v>
      </c>
      <c r="FB263" s="27" t="s">
        <v>7</v>
      </c>
    </row>
    <row r="264" spans="1:162" x14ac:dyDescent="0.25">
      <c r="A264" s="30">
        <v>0.3100679102826473</v>
      </c>
      <c r="B264"/>
      <c r="C264"/>
      <c r="D264"/>
      <c r="E264"/>
      <c r="F264" s="27" t="s">
        <v>7</v>
      </c>
      <c r="CA264" s="27" t="s">
        <v>8</v>
      </c>
      <c r="CE264" s="27" t="s">
        <v>8</v>
      </c>
      <c r="CJ264" s="27" t="s">
        <v>7</v>
      </c>
      <c r="CK264" s="27" t="s">
        <v>8</v>
      </c>
      <c r="CM264" s="31"/>
      <c r="CP264" s="27" t="s">
        <v>7</v>
      </c>
      <c r="CQ264" s="27" t="s">
        <v>8</v>
      </c>
      <c r="CR264" s="27" t="s">
        <v>7</v>
      </c>
      <c r="CS264" s="27" t="s">
        <v>8</v>
      </c>
      <c r="CX264" s="27" t="s">
        <v>7</v>
      </c>
      <c r="CY264" s="27" t="s">
        <v>8</v>
      </c>
      <c r="CZ264" s="27" t="s">
        <v>7</v>
      </c>
      <c r="DA264" s="27" t="s">
        <v>8</v>
      </c>
      <c r="DB264" s="27" t="s">
        <v>7</v>
      </c>
      <c r="DC264" s="27" t="s">
        <v>8</v>
      </c>
      <c r="DD264" s="27" t="s">
        <v>7</v>
      </c>
      <c r="DK264" s="31"/>
      <c r="DQ264" s="27" t="s">
        <v>8</v>
      </c>
      <c r="DR264" s="27" t="s">
        <v>7</v>
      </c>
      <c r="DU264" s="27" t="s">
        <v>8</v>
      </c>
      <c r="DV264" s="27" t="s">
        <v>7</v>
      </c>
      <c r="DW264" s="27" t="s">
        <v>8</v>
      </c>
      <c r="DX264" s="27" t="s">
        <v>7</v>
      </c>
      <c r="DZ264" s="27" t="s">
        <v>7</v>
      </c>
      <c r="EB264" s="27" t="s">
        <v>7</v>
      </c>
      <c r="EC264" s="27" t="s">
        <v>8</v>
      </c>
      <c r="EE264" s="27" t="s">
        <v>8</v>
      </c>
      <c r="EJ264" s="27" t="s">
        <v>7</v>
      </c>
      <c r="EL264" s="27" t="s">
        <v>7</v>
      </c>
      <c r="EM264" s="27" t="s">
        <v>8</v>
      </c>
      <c r="EN264" s="27" t="s">
        <v>7</v>
      </c>
      <c r="EP264" s="27" t="s">
        <v>7</v>
      </c>
      <c r="EQ264" s="27" t="s">
        <v>8</v>
      </c>
      <c r="ER264" s="27" t="s">
        <v>7</v>
      </c>
      <c r="ET264" s="27" t="s">
        <v>7</v>
      </c>
      <c r="FA264" s="27" t="s">
        <v>8</v>
      </c>
      <c r="FB264" s="27" t="s">
        <v>7</v>
      </c>
    </row>
    <row r="265" spans="1:162" x14ac:dyDescent="0.25">
      <c r="A265" s="30">
        <v>0.2953027716977592</v>
      </c>
      <c r="B265"/>
      <c r="C265"/>
      <c r="D265"/>
      <c r="E265"/>
      <c r="F265" s="27" t="s">
        <v>7</v>
      </c>
      <c r="CA265" s="27" t="s">
        <v>8</v>
      </c>
      <c r="CB265" s="27" t="s">
        <v>7</v>
      </c>
      <c r="CC265" s="27" t="s">
        <v>8</v>
      </c>
      <c r="CE265" s="27" t="s">
        <v>8</v>
      </c>
      <c r="CJ265" s="27" t="s">
        <v>7</v>
      </c>
      <c r="CK265" s="27" t="s">
        <v>8</v>
      </c>
      <c r="CL265" s="31"/>
      <c r="CP265" s="27" t="s">
        <v>7</v>
      </c>
      <c r="CQ265" s="27" t="s">
        <v>8</v>
      </c>
      <c r="CR265" s="27" t="s">
        <v>7</v>
      </c>
      <c r="CS265" s="27" t="s">
        <v>8</v>
      </c>
      <c r="CX265" s="27" t="s">
        <v>7</v>
      </c>
      <c r="CZ265" s="27" t="s">
        <v>7</v>
      </c>
      <c r="DA265" s="27" t="s">
        <v>8</v>
      </c>
      <c r="DB265" s="27" t="s">
        <v>7</v>
      </c>
      <c r="DC265" s="27" t="s">
        <v>8</v>
      </c>
      <c r="DD265" s="27" t="s">
        <v>7</v>
      </c>
      <c r="DL265" s="31"/>
      <c r="DQ265" s="27" t="s">
        <v>8</v>
      </c>
      <c r="DR265" s="27" t="s">
        <v>7</v>
      </c>
      <c r="DU265" s="27" t="s">
        <v>8</v>
      </c>
      <c r="DV265" s="27" t="s">
        <v>7</v>
      </c>
      <c r="DW265" s="27" t="s">
        <v>8</v>
      </c>
      <c r="EB265" s="27" t="s">
        <v>7</v>
      </c>
      <c r="EC265" s="27" t="s">
        <v>8</v>
      </c>
      <c r="ED265" s="27" t="s">
        <v>7</v>
      </c>
      <c r="EE265" s="27" t="s">
        <v>8</v>
      </c>
      <c r="EL265" s="27" t="s">
        <v>7</v>
      </c>
      <c r="EM265" s="27" t="s">
        <v>8</v>
      </c>
      <c r="EP265" s="27" t="s">
        <v>7</v>
      </c>
      <c r="ET265" s="27" t="s">
        <v>7</v>
      </c>
      <c r="FA265" s="27" t="s">
        <v>8</v>
      </c>
      <c r="FB265" s="27" t="s">
        <v>7</v>
      </c>
    </row>
    <row r="266" spans="1:162" x14ac:dyDescent="0.25">
      <c r="A266" s="30">
        <v>0.28124073495024676</v>
      </c>
      <c r="B266"/>
      <c r="C266"/>
      <c r="D266"/>
      <c r="E266"/>
      <c r="F266" s="27" t="s">
        <v>7</v>
      </c>
      <c r="BY266" s="27" t="s">
        <v>8</v>
      </c>
      <c r="CA266" s="27" t="s">
        <v>8</v>
      </c>
      <c r="CB266" s="27" t="s">
        <v>7</v>
      </c>
      <c r="CC266" s="27" t="s">
        <v>8</v>
      </c>
      <c r="CD266" s="27" t="s">
        <v>7</v>
      </c>
      <c r="CE266" s="27" t="s">
        <v>8</v>
      </c>
      <c r="CJ266" s="27" t="s">
        <v>7</v>
      </c>
      <c r="CK266" s="31" t="s">
        <v>8</v>
      </c>
      <c r="CP266" s="27" t="s">
        <v>7</v>
      </c>
      <c r="CQ266" s="27" t="s">
        <v>8</v>
      </c>
      <c r="CR266" s="27" t="s">
        <v>7</v>
      </c>
      <c r="CZ266" s="27" t="s">
        <v>7</v>
      </c>
      <c r="DB266" s="27" t="s">
        <v>7</v>
      </c>
      <c r="DC266" s="27" t="s">
        <v>8</v>
      </c>
      <c r="DD266" s="27" t="s">
        <v>7</v>
      </c>
      <c r="DM266" s="31"/>
      <c r="DQ266" s="27" t="s">
        <v>8</v>
      </c>
      <c r="DR266" s="27" t="s">
        <v>7</v>
      </c>
      <c r="DS266" s="27" t="s">
        <v>8</v>
      </c>
      <c r="DU266" s="27" t="s">
        <v>8</v>
      </c>
      <c r="DV266" s="27" t="s">
        <v>7</v>
      </c>
      <c r="EB266" s="27" t="s">
        <v>7</v>
      </c>
      <c r="EC266" s="27" t="s">
        <v>8</v>
      </c>
      <c r="ED266" s="27" t="s">
        <v>7</v>
      </c>
      <c r="EE266" s="27" t="s">
        <v>8</v>
      </c>
      <c r="EL266" s="27" t="s">
        <v>7</v>
      </c>
      <c r="ET266" s="27" t="s">
        <v>7</v>
      </c>
      <c r="EU266" s="27" t="s">
        <v>8</v>
      </c>
      <c r="EW266" s="27" t="s">
        <v>8</v>
      </c>
      <c r="FA266" s="27" t="s">
        <v>8</v>
      </c>
      <c r="FB266" s="27" t="s">
        <v>7</v>
      </c>
    </row>
    <row r="267" spans="1:162" x14ac:dyDescent="0.25">
      <c r="A267" s="30">
        <v>0.26784831900023492</v>
      </c>
      <c r="B267"/>
      <c r="C267"/>
      <c r="D267"/>
      <c r="E267"/>
      <c r="F267" s="27" t="s">
        <v>7</v>
      </c>
      <c r="BY267" s="27" t="s">
        <v>8</v>
      </c>
      <c r="BZ267" s="27" t="s">
        <v>7</v>
      </c>
      <c r="CA267" s="27" t="s">
        <v>8</v>
      </c>
      <c r="CB267" s="27" t="s">
        <v>7</v>
      </c>
      <c r="CC267" s="27" t="s">
        <v>8</v>
      </c>
      <c r="CD267" s="27" t="s">
        <v>7</v>
      </c>
      <c r="CE267" s="27" t="s">
        <v>8</v>
      </c>
      <c r="CJ267" s="31" t="s">
        <v>7</v>
      </c>
      <c r="CP267" s="27" t="s">
        <v>7</v>
      </c>
      <c r="CQ267" s="27" t="s">
        <v>8</v>
      </c>
      <c r="DB267" s="27" t="s">
        <v>7</v>
      </c>
      <c r="DC267" s="27" t="s">
        <v>8</v>
      </c>
      <c r="DD267" s="27" t="s">
        <v>7</v>
      </c>
      <c r="DN267" s="31"/>
      <c r="DQ267" s="27" t="s">
        <v>8</v>
      </c>
      <c r="DR267" s="27" t="s">
        <v>7</v>
      </c>
      <c r="DS267" s="27" t="s">
        <v>8</v>
      </c>
      <c r="DT267" s="27" t="s">
        <v>7</v>
      </c>
      <c r="DU267" s="27" t="s">
        <v>8</v>
      </c>
      <c r="EB267" s="27" t="s">
        <v>7</v>
      </c>
      <c r="ED267" s="27" t="s">
        <v>7</v>
      </c>
      <c r="EE267" s="27" t="s">
        <v>8</v>
      </c>
      <c r="ET267" s="27" t="s">
        <v>7</v>
      </c>
      <c r="EU267" s="27" t="s">
        <v>8</v>
      </c>
      <c r="EV267" s="27" t="s">
        <v>7</v>
      </c>
      <c r="EW267" s="27" t="s">
        <v>8</v>
      </c>
      <c r="EX267" s="27" t="s">
        <v>7</v>
      </c>
      <c r="EY267" s="27" t="s">
        <v>8</v>
      </c>
      <c r="FA267" s="27" t="s">
        <v>8</v>
      </c>
      <c r="FB267" s="27" t="s">
        <v>7</v>
      </c>
    </row>
    <row r="268" spans="1:162" x14ac:dyDescent="0.25">
      <c r="A268" s="30">
        <v>0.25509363714308075</v>
      </c>
      <c r="B268"/>
      <c r="C268"/>
      <c r="D268"/>
      <c r="E268"/>
      <c r="F268" s="27" t="s">
        <v>7</v>
      </c>
      <c r="BY268" s="27" t="s">
        <v>8</v>
      </c>
      <c r="BZ268" s="27" t="s">
        <v>7</v>
      </c>
      <c r="CA268" s="27" t="s">
        <v>8</v>
      </c>
      <c r="CB268" s="27" t="s">
        <v>7</v>
      </c>
      <c r="CD268" s="27" t="s">
        <v>7</v>
      </c>
      <c r="CE268" s="27" t="s">
        <v>8</v>
      </c>
      <c r="CI268" s="31"/>
      <c r="CP268" s="27" t="s">
        <v>7</v>
      </c>
      <c r="DB268" s="27" t="s">
        <v>7</v>
      </c>
      <c r="DC268" s="27" t="s">
        <v>8</v>
      </c>
      <c r="DD268" s="27" t="s">
        <v>7</v>
      </c>
      <c r="DE268" s="27" t="s">
        <v>8</v>
      </c>
      <c r="DO268" s="31"/>
      <c r="DQ268" s="27" t="s">
        <v>8</v>
      </c>
      <c r="DR268" s="27" t="s">
        <v>7</v>
      </c>
      <c r="DS268" s="27" t="s">
        <v>8</v>
      </c>
      <c r="DT268" s="27" t="s">
        <v>7</v>
      </c>
      <c r="DU268" s="27" t="s">
        <v>8</v>
      </c>
      <c r="ED268" s="27" t="s">
        <v>7</v>
      </c>
      <c r="EF268" s="31"/>
      <c r="ET268" s="27" t="s">
        <v>7</v>
      </c>
      <c r="EU268" s="27" t="s">
        <v>8</v>
      </c>
      <c r="EV268" s="27" t="s">
        <v>7</v>
      </c>
      <c r="EW268" s="27" t="s">
        <v>8</v>
      </c>
      <c r="EX268" s="27" t="s">
        <v>7</v>
      </c>
      <c r="EY268" s="27" t="s">
        <v>8</v>
      </c>
      <c r="EZ268" s="27" t="s">
        <v>7</v>
      </c>
      <c r="FA268" s="27" t="s">
        <v>8</v>
      </c>
      <c r="FB268" s="27" t="s">
        <v>7</v>
      </c>
    </row>
    <row r="269" spans="1:162" x14ac:dyDescent="0.25">
      <c r="A269" s="30">
        <v>0.24294632108864825</v>
      </c>
      <c r="B269"/>
      <c r="C269"/>
      <c r="D269"/>
      <c r="E269"/>
      <c r="F269" s="27" t="s">
        <v>7</v>
      </c>
      <c r="BY269" s="27" t="s">
        <v>8</v>
      </c>
      <c r="BZ269" s="27" t="s">
        <v>7</v>
      </c>
      <c r="CA269" s="27" t="s">
        <v>8</v>
      </c>
      <c r="CD269" s="27" t="s">
        <v>7</v>
      </c>
      <c r="CH269" s="31"/>
      <c r="DB269" s="27" t="s">
        <v>7</v>
      </c>
      <c r="DC269" s="27" t="s">
        <v>8</v>
      </c>
      <c r="DD269" s="27" t="s">
        <v>7</v>
      </c>
      <c r="DE269" s="27" t="s">
        <v>8</v>
      </c>
      <c r="DF269" s="27" t="s">
        <v>7</v>
      </c>
      <c r="DG269" s="27" t="s">
        <v>8</v>
      </c>
      <c r="DP269" s="31"/>
      <c r="DQ269" s="32" t="s">
        <v>8</v>
      </c>
      <c r="DR269" s="27" t="s">
        <v>7</v>
      </c>
      <c r="DS269" s="27" t="s">
        <v>8</v>
      </c>
      <c r="DT269" s="27" t="s">
        <v>7</v>
      </c>
      <c r="EE269" s="31"/>
      <c r="ET269" s="27" t="s">
        <v>7</v>
      </c>
      <c r="EV269" s="27" t="s">
        <v>7</v>
      </c>
      <c r="EW269" s="27" t="s">
        <v>8</v>
      </c>
      <c r="EX269" s="27" t="s">
        <v>7</v>
      </c>
      <c r="EY269" s="27" t="s">
        <v>8</v>
      </c>
      <c r="EZ269" s="27" t="s">
        <v>7</v>
      </c>
      <c r="FA269" s="27" t="s">
        <v>8</v>
      </c>
      <c r="FB269" s="27" t="s">
        <v>7</v>
      </c>
      <c r="FC269" s="27" t="s">
        <v>8</v>
      </c>
      <c r="FE269" s="27" t="s">
        <v>8</v>
      </c>
    </row>
    <row r="270" spans="1:162" x14ac:dyDescent="0.25">
      <c r="A270" s="30">
        <v>0.23137744865585538</v>
      </c>
      <c r="B270"/>
      <c r="C270"/>
      <c r="D270"/>
      <c r="E270"/>
      <c r="F270" s="27" t="s">
        <v>7</v>
      </c>
      <c r="BS270" s="27" t="s">
        <v>8</v>
      </c>
      <c r="BY270" s="27" t="s">
        <v>8</v>
      </c>
      <c r="BZ270" s="27" t="s">
        <v>7</v>
      </c>
      <c r="CG270" s="31"/>
      <c r="DB270" s="27" t="s">
        <v>7</v>
      </c>
      <c r="DC270" s="27" t="s">
        <v>8</v>
      </c>
      <c r="DD270" s="27" t="s">
        <v>7</v>
      </c>
      <c r="DE270" s="27" t="s">
        <v>8</v>
      </c>
      <c r="DF270" s="27" t="s">
        <v>7</v>
      </c>
      <c r="DG270" s="27" t="s">
        <v>8</v>
      </c>
      <c r="DH270" s="27" t="s">
        <v>7</v>
      </c>
      <c r="DO270" s="27" t="s">
        <v>8</v>
      </c>
      <c r="DQ270" s="31" t="s">
        <v>8</v>
      </c>
      <c r="DR270" s="27" t="s">
        <v>7</v>
      </c>
      <c r="ED270" s="31"/>
      <c r="EV270" s="27" t="s">
        <v>7</v>
      </c>
      <c r="EX270" s="27" t="s">
        <v>7</v>
      </c>
      <c r="EY270" s="27" t="s">
        <v>8</v>
      </c>
      <c r="EZ270" s="27" t="s">
        <v>7</v>
      </c>
      <c r="FA270" s="27" t="s">
        <v>8</v>
      </c>
      <c r="FB270" s="27" t="s">
        <v>7</v>
      </c>
      <c r="FC270" s="27" t="s">
        <v>8</v>
      </c>
      <c r="FD270" s="27" t="s">
        <v>7</v>
      </c>
      <c r="FE270" s="27" t="s">
        <v>8</v>
      </c>
      <c r="FF270" s="27" t="s">
        <v>7</v>
      </c>
    </row>
    <row r="271" spans="1:162" x14ac:dyDescent="0.25">
      <c r="A271" s="30">
        <v>0.22035947491033836</v>
      </c>
      <c r="B271"/>
      <c r="C271"/>
      <c r="D271"/>
      <c r="E271"/>
      <c r="F271" s="27" t="s">
        <v>7</v>
      </c>
      <c r="BS271" s="27" t="s">
        <v>8</v>
      </c>
      <c r="BT271" s="27" t="s">
        <v>7</v>
      </c>
      <c r="BY271" s="27" t="s">
        <v>8</v>
      </c>
      <c r="CF271" s="31"/>
      <c r="DB271" s="27" t="s">
        <v>7</v>
      </c>
      <c r="DC271" s="27" t="s">
        <v>8</v>
      </c>
      <c r="DD271" s="27" t="s">
        <v>7</v>
      </c>
      <c r="DE271" s="27" t="s">
        <v>8</v>
      </c>
      <c r="DF271" s="27" t="s">
        <v>7</v>
      </c>
      <c r="DG271" s="27" t="s">
        <v>8</v>
      </c>
      <c r="DH271" s="27" t="s">
        <v>7</v>
      </c>
      <c r="DI271" s="27" t="s">
        <v>8</v>
      </c>
      <c r="DO271" s="27" t="s">
        <v>8</v>
      </c>
      <c r="DP271" s="27" t="s">
        <v>7</v>
      </c>
      <c r="DQ271" s="27" t="s">
        <v>8</v>
      </c>
      <c r="DR271" s="31"/>
      <c r="EC271" s="31"/>
      <c r="EX271" s="27" t="s">
        <v>7</v>
      </c>
      <c r="EY271" s="27" t="s">
        <v>8</v>
      </c>
      <c r="EZ271" s="27" t="s">
        <v>7</v>
      </c>
      <c r="FB271" s="27" t="s">
        <v>7</v>
      </c>
      <c r="FC271" s="27" t="s">
        <v>8</v>
      </c>
      <c r="FD271" s="27" t="s">
        <v>7</v>
      </c>
      <c r="FE271" s="27" t="s">
        <v>8</v>
      </c>
      <c r="FF271" s="27" t="s">
        <v>7</v>
      </c>
    </row>
    <row r="272" spans="1:162" x14ac:dyDescent="0.25">
      <c r="A272" s="30">
        <v>0.20986616658127455</v>
      </c>
      <c r="B272"/>
      <c r="C272"/>
      <c r="D272"/>
      <c r="E272"/>
      <c r="F272" s="27" t="s">
        <v>7</v>
      </c>
      <c r="BO272" s="34" t="s">
        <v>8</v>
      </c>
      <c r="BQ272" s="34" t="s">
        <v>8</v>
      </c>
      <c r="BS272" s="27" t="s">
        <v>8</v>
      </c>
      <c r="BT272" s="27" t="s">
        <v>7</v>
      </c>
      <c r="BY272" s="27" t="s">
        <v>8</v>
      </c>
      <c r="CE272" s="31"/>
      <c r="DB272" s="27" t="s">
        <v>7</v>
      </c>
      <c r="DC272" s="27" t="s">
        <v>8</v>
      </c>
      <c r="DD272" s="27" t="s">
        <v>7</v>
      </c>
      <c r="DE272" s="27" t="s">
        <v>8</v>
      </c>
      <c r="DF272" s="27" t="s">
        <v>7</v>
      </c>
      <c r="DG272" s="27" t="s">
        <v>8</v>
      </c>
      <c r="DH272" s="27" t="s">
        <v>7</v>
      </c>
      <c r="DI272" s="27" t="s">
        <v>8</v>
      </c>
      <c r="DJ272" s="27" t="s">
        <v>7</v>
      </c>
      <c r="DO272" s="27" t="s">
        <v>8</v>
      </c>
      <c r="DP272" s="27" t="s">
        <v>7</v>
      </c>
      <c r="DQ272" s="27" t="s">
        <v>8</v>
      </c>
      <c r="DS272" s="31"/>
      <c r="EB272" s="31"/>
      <c r="EX272" s="27" t="s">
        <v>7</v>
      </c>
      <c r="FB272" s="27" t="s">
        <v>7</v>
      </c>
      <c r="FC272" s="27" t="s">
        <v>8</v>
      </c>
      <c r="FD272" s="27" t="s">
        <v>7</v>
      </c>
      <c r="FF272" s="27" t="s">
        <v>7</v>
      </c>
    </row>
    <row r="273" spans="1:165" x14ac:dyDescent="0.25">
      <c r="A273" s="30">
        <v>0.19987253960121379</v>
      </c>
      <c r="B273"/>
      <c r="C273"/>
      <c r="D273"/>
      <c r="E273"/>
      <c r="F273" s="27" t="s">
        <v>7</v>
      </c>
      <c r="BO273" s="27" t="s">
        <v>8</v>
      </c>
      <c r="BP273" s="27" t="s">
        <v>7</v>
      </c>
      <c r="BQ273" s="27" t="s">
        <v>8</v>
      </c>
      <c r="BR273" s="27" t="s">
        <v>7</v>
      </c>
      <c r="BS273" s="27" t="s">
        <v>8</v>
      </c>
      <c r="BT273" s="27" t="s">
        <v>7</v>
      </c>
      <c r="BW273" s="27" t="s">
        <v>8</v>
      </c>
      <c r="BY273" s="27" t="s">
        <v>8</v>
      </c>
      <c r="CD273" s="31"/>
      <c r="DB273" s="27" t="s">
        <v>7</v>
      </c>
      <c r="DC273" s="27" t="s">
        <v>8</v>
      </c>
      <c r="DD273" s="27" t="s">
        <v>7</v>
      </c>
      <c r="DE273" s="27" t="s">
        <v>8</v>
      </c>
      <c r="DF273" s="27" t="s">
        <v>7</v>
      </c>
      <c r="DH273" s="27" t="s">
        <v>7</v>
      </c>
      <c r="DI273" s="27" t="s">
        <v>8</v>
      </c>
      <c r="DJ273" s="27" t="s">
        <v>7</v>
      </c>
      <c r="DO273" s="27" t="s">
        <v>8</v>
      </c>
      <c r="DP273" s="27" t="s">
        <v>7</v>
      </c>
      <c r="DQ273" s="27" t="s">
        <v>8</v>
      </c>
      <c r="EA273" s="31"/>
      <c r="FB273" s="27" t="s">
        <v>7</v>
      </c>
      <c r="FF273" s="27" t="s">
        <v>7</v>
      </c>
    </row>
    <row r="274" spans="1:165" x14ac:dyDescent="0.25">
      <c r="A274" s="30">
        <v>0.19035479962020352</v>
      </c>
      <c r="B274"/>
      <c r="C274"/>
      <c r="D274"/>
      <c r="E274"/>
      <c r="F274" s="27" t="s">
        <v>7</v>
      </c>
      <c r="BO274" s="27" t="s">
        <v>8</v>
      </c>
      <c r="BP274" s="27" t="s">
        <v>7</v>
      </c>
      <c r="BQ274" s="27" t="s">
        <v>8</v>
      </c>
      <c r="BR274" s="27" t="s">
        <v>7</v>
      </c>
      <c r="BS274" s="27" t="s">
        <v>8</v>
      </c>
      <c r="BT274" s="27" t="s">
        <v>7</v>
      </c>
      <c r="BW274" s="27" t="s">
        <v>8</v>
      </c>
      <c r="BX274" s="27" t="s">
        <v>7</v>
      </c>
      <c r="BY274" s="27" t="s">
        <v>8</v>
      </c>
      <c r="CC274" s="31"/>
      <c r="DB274" s="27" t="s">
        <v>7</v>
      </c>
      <c r="DC274" s="27" t="s">
        <v>8</v>
      </c>
      <c r="DD274" s="27" t="s">
        <v>7</v>
      </c>
      <c r="DE274" s="27" t="s">
        <v>8</v>
      </c>
      <c r="DH274" s="27" t="s">
        <v>7</v>
      </c>
      <c r="DI274" s="27" t="s">
        <v>8</v>
      </c>
      <c r="DJ274" s="27" t="s">
        <v>7</v>
      </c>
      <c r="DM274" s="27" t="s">
        <v>8</v>
      </c>
      <c r="DO274" s="27" t="s">
        <v>8</v>
      </c>
      <c r="DP274" s="27" t="s">
        <v>7</v>
      </c>
      <c r="DQ274" s="27" t="s">
        <v>8</v>
      </c>
      <c r="DZ274" s="31"/>
      <c r="FF274" s="27" t="s">
        <v>7</v>
      </c>
    </row>
    <row r="275" spans="1:165" x14ac:dyDescent="0.25">
      <c r="A275" s="30">
        <v>0.18129028535257471</v>
      </c>
      <c r="B275"/>
      <c r="C275"/>
      <c r="D275"/>
      <c r="E275"/>
      <c r="F275" s="27" t="s">
        <v>7</v>
      </c>
      <c r="BO275" s="27" t="s">
        <v>8</v>
      </c>
      <c r="BP275" s="27" t="s">
        <v>7</v>
      </c>
      <c r="BQ275" s="27" t="s">
        <v>8</v>
      </c>
      <c r="BR275" s="27" t="s">
        <v>7</v>
      </c>
      <c r="BT275" s="27" t="s">
        <v>7</v>
      </c>
      <c r="BU275" s="27" t="s">
        <v>8</v>
      </c>
      <c r="BW275" s="27" t="s">
        <v>8</v>
      </c>
      <c r="BX275" s="27" t="s">
        <v>7</v>
      </c>
      <c r="BY275" s="27" t="s">
        <v>8</v>
      </c>
      <c r="CB275" s="31"/>
      <c r="DB275" s="27" t="s">
        <v>7</v>
      </c>
      <c r="DC275" s="27" t="s">
        <v>8</v>
      </c>
      <c r="DD275" s="27" t="s">
        <v>7</v>
      </c>
      <c r="DE275" s="27" t="s">
        <v>8</v>
      </c>
      <c r="DH275" s="27" t="s">
        <v>7</v>
      </c>
      <c r="DJ275" s="27" t="s">
        <v>7</v>
      </c>
      <c r="DM275" s="27" t="s">
        <v>8</v>
      </c>
      <c r="DN275" s="27" t="s">
        <v>7</v>
      </c>
      <c r="DO275" s="27" t="s">
        <v>8</v>
      </c>
      <c r="DP275" s="27" t="s">
        <v>7</v>
      </c>
      <c r="DQ275" s="27" t="s">
        <v>8</v>
      </c>
      <c r="DY275" s="31"/>
      <c r="FF275" s="27" t="s">
        <v>7</v>
      </c>
      <c r="FI275" s="27" t="s">
        <v>8</v>
      </c>
    </row>
    <row r="276" spans="1:165" x14ac:dyDescent="0.25">
      <c r="A276" s="30">
        <v>0.17265741462149967</v>
      </c>
      <c r="B276"/>
      <c r="C276"/>
      <c r="D276"/>
      <c r="E276"/>
      <c r="F276" s="27" t="s">
        <v>7</v>
      </c>
      <c r="BO276" s="27" t="s">
        <v>8</v>
      </c>
      <c r="BP276" s="27" t="s">
        <v>7</v>
      </c>
      <c r="BQ276" s="27" t="s">
        <v>8</v>
      </c>
      <c r="BT276" s="27" t="s">
        <v>7</v>
      </c>
      <c r="BU276" s="27" t="s">
        <v>8</v>
      </c>
      <c r="BV276" s="27" t="s">
        <v>7</v>
      </c>
      <c r="BW276" s="27" t="s">
        <v>8</v>
      </c>
      <c r="BX276" s="27" t="s">
        <v>7</v>
      </c>
      <c r="BY276" s="27" t="s">
        <v>8</v>
      </c>
      <c r="CA276" s="31"/>
      <c r="DB276" s="27" t="s">
        <v>7</v>
      </c>
      <c r="DC276" s="27" t="s">
        <v>8</v>
      </c>
      <c r="DD276" s="27" t="s">
        <v>7</v>
      </c>
      <c r="DJ276" s="27" t="s">
        <v>7</v>
      </c>
      <c r="DM276" s="27" t="s">
        <v>8</v>
      </c>
      <c r="DN276" s="27" t="s">
        <v>7</v>
      </c>
      <c r="DO276" s="27" t="s">
        <v>8</v>
      </c>
      <c r="DP276" s="27" t="s">
        <v>7</v>
      </c>
      <c r="DQ276" s="27" t="s">
        <v>8</v>
      </c>
      <c r="DX276" s="31"/>
      <c r="FF276" s="27" t="s">
        <v>7</v>
      </c>
      <c r="FG276" s="27" t="s">
        <v>8</v>
      </c>
      <c r="FI276" s="27" t="s">
        <v>8</v>
      </c>
    </row>
    <row r="277" spans="1:165" x14ac:dyDescent="0.25">
      <c r="A277" s="30">
        <v>0.16443563297285677</v>
      </c>
      <c r="B277"/>
      <c r="C277"/>
      <c r="D277"/>
      <c r="E277"/>
      <c r="F277" s="27" t="s">
        <v>7</v>
      </c>
      <c r="BO277" s="27" t="s">
        <v>8</v>
      </c>
      <c r="BP277" s="27" t="s">
        <v>7</v>
      </c>
      <c r="BQ277" s="27" t="s">
        <v>8</v>
      </c>
      <c r="BT277" s="27" t="s">
        <v>7</v>
      </c>
      <c r="BU277" s="27" t="s">
        <v>8</v>
      </c>
      <c r="BV277" s="27" t="s">
        <v>7</v>
      </c>
      <c r="BW277" s="27" t="s">
        <v>8</v>
      </c>
      <c r="BX277" s="27" t="s">
        <v>7</v>
      </c>
      <c r="BZ277" s="31"/>
      <c r="DB277" s="27" t="s">
        <v>7</v>
      </c>
      <c r="DC277" s="27" t="s">
        <v>8</v>
      </c>
      <c r="DJ277" s="27" t="s">
        <v>7</v>
      </c>
      <c r="DM277" s="27" t="s">
        <v>8</v>
      </c>
      <c r="DN277" s="27" t="s">
        <v>7</v>
      </c>
      <c r="DO277" s="27" t="s">
        <v>8</v>
      </c>
      <c r="DP277" s="27" t="s">
        <v>7</v>
      </c>
      <c r="DQ277" s="27" t="s">
        <v>8</v>
      </c>
      <c r="DW277" s="31"/>
      <c r="FF277" s="27" t="s">
        <v>7</v>
      </c>
      <c r="FG277" s="27" t="s">
        <v>8</v>
      </c>
      <c r="FH277" s="27" t="s">
        <v>7</v>
      </c>
      <c r="FI277" s="27" t="s">
        <v>8</v>
      </c>
    </row>
    <row r="278" spans="1:165" x14ac:dyDescent="0.25">
      <c r="A278" s="30">
        <v>0.15660536473605399</v>
      </c>
      <c r="B278"/>
      <c r="C278"/>
      <c r="D278"/>
      <c r="E278"/>
      <c r="F278" s="27" t="s">
        <v>7</v>
      </c>
      <c r="BO278" s="27" t="s">
        <v>8</v>
      </c>
      <c r="BP278" s="27" t="s">
        <v>7</v>
      </c>
      <c r="BT278" s="27" t="s">
        <v>7</v>
      </c>
      <c r="BU278" s="27" t="s">
        <v>8</v>
      </c>
      <c r="BV278" s="27" t="s">
        <v>7</v>
      </c>
      <c r="BW278" s="27" t="s">
        <v>8</v>
      </c>
      <c r="BY278" s="31"/>
      <c r="DB278" s="27" t="s">
        <v>7</v>
      </c>
      <c r="DJ278" s="27" t="s">
        <v>7</v>
      </c>
      <c r="DM278" s="27" t="s">
        <v>8</v>
      </c>
      <c r="DN278" s="27" t="s">
        <v>7</v>
      </c>
      <c r="DP278" s="27" t="s">
        <v>7</v>
      </c>
      <c r="DQ278" s="27" t="s">
        <v>8</v>
      </c>
      <c r="DV278" s="31"/>
      <c r="FF278" s="27" t="s">
        <v>7</v>
      </c>
      <c r="FG278" s="27" t="s">
        <v>8</v>
      </c>
      <c r="FH278" s="27" t="s">
        <v>7</v>
      </c>
      <c r="FI278" s="27" t="s">
        <v>8</v>
      </c>
    </row>
    <row r="279" spans="1:165" x14ac:dyDescent="0.25">
      <c r="A279" s="30">
        <v>0.14914796641528946</v>
      </c>
      <c r="B279"/>
      <c r="C279"/>
      <c r="D279"/>
      <c r="E279"/>
      <c r="F279" s="27" t="s">
        <v>7</v>
      </c>
      <c r="BM279" s="27" t="s">
        <v>8</v>
      </c>
      <c r="BO279" s="27" t="s">
        <v>8</v>
      </c>
      <c r="BT279" s="27" t="s">
        <v>7</v>
      </c>
      <c r="BU279" s="27" t="s">
        <v>8</v>
      </c>
      <c r="BV279" s="27" t="s">
        <v>7</v>
      </c>
      <c r="BW279" s="27" t="s">
        <v>8</v>
      </c>
      <c r="BX279" s="31"/>
      <c r="DJ279" s="27" t="s">
        <v>7</v>
      </c>
      <c r="DM279" s="27" t="s">
        <v>8</v>
      </c>
      <c r="DP279" s="33" t="s">
        <v>7</v>
      </c>
      <c r="DQ279" s="27" t="s">
        <v>8</v>
      </c>
      <c r="DU279" s="31"/>
      <c r="FF279" s="27" t="s">
        <v>7</v>
      </c>
      <c r="FH279" s="27" t="s">
        <v>7</v>
      </c>
    </row>
    <row r="280" spans="1:165" x14ac:dyDescent="0.25">
      <c r="A280" s="30">
        <v>0.14204568230027562</v>
      </c>
      <c r="B280"/>
      <c r="C280"/>
      <c r="D280"/>
      <c r="E280"/>
      <c r="F280" s="27" t="s">
        <v>7</v>
      </c>
      <c r="BM280" s="27" t="s">
        <v>8</v>
      </c>
      <c r="BN280" s="27" t="s">
        <v>7</v>
      </c>
      <c r="BO280" s="27" t="s">
        <v>8</v>
      </c>
      <c r="BT280" s="27" t="s">
        <v>7</v>
      </c>
      <c r="BU280" s="27" t="s">
        <v>8</v>
      </c>
      <c r="BV280" s="27" t="s">
        <v>7</v>
      </c>
      <c r="BW280" s="31"/>
      <c r="DJ280" s="27" t="s">
        <v>7</v>
      </c>
      <c r="DM280" s="27" t="s">
        <v>8</v>
      </c>
      <c r="DP280" s="27" t="s">
        <v>7</v>
      </c>
      <c r="DQ280" s="27" t="s">
        <v>8</v>
      </c>
      <c r="DT280" s="31"/>
    </row>
    <row r="281" spans="1:165" x14ac:dyDescent="0.25">
      <c r="A281" s="30">
        <v>0.13528160219073862</v>
      </c>
      <c r="B281"/>
      <c r="C281"/>
      <c r="D281"/>
      <c r="E281"/>
      <c r="F281" s="27" t="s">
        <v>7</v>
      </c>
      <c r="BM281" s="27" t="s">
        <v>8</v>
      </c>
      <c r="BN281" s="27" t="s">
        <v>7</v>
      </c>
      <c r="BO281" s="27" t="s">
        <v>8</v>
      </c>
      <c r="BT281" s="27" t="s">
        <v>7</v>
      </c>
      <c r="BU281" s="27" t="s">
        <v>8</v>
      </c>
      <c r="BV281" s="31"/>
      <c r="DJ281" s="27" t="s">
        <v>7</v>
      </c>
      <c r="DM281" s="27" t="s">
        <v>8</v>
      </c>
      <c r="DP281" s="18" t="s">
        <v>7</v>
      </c>
      <c r="DQ281" s="27" t="s">
        <v>8</v>
      </c>
      <c r="DS281" s="31"/>
    </row>
    <row r="282" spans="1:165" x14ac:dyDescent="0.25">
      <c r="A282" s="30">
        <v>0.12883962113403674</v>
      </c>
      <c r="B282"/>
      <c r="C282"/>
      <c r="D282"/>
      <c r="E282"/>
      <c r="F282" s="27" t="s">
        <v>7</v>
      </c>
      <c r="BM282" s="27" t="s">
        <v>8</v>
      </c>
      <c r="BN282" s="27" t="s">
        <v>7</v>
      </c>
      <c r="BT282" s="27" t="s">
        <v>7</v>
      </c>
      <c r="BU282" s="31" t="s">
        <v>8</v>
      </c>
      <c r="DJ282" s="27" t="s">
        <v>7</v>
      </c>
      <c r="DM282" s="27" t="s">
        <v>8</v>
      </c>
      <c r="DP282" s="27" t="s">
        <v>7</v>
      </c>
      <c r="DQ282" s="27" t="s">
        <v>8</v>
      </c>
      <c r="DR282" s="31"/>
    </row>
    <row r="283" spans="1:165" x14ac:dyDescent="0.25">
      <c r="A283" s="30">
        <v>0.12270440108003494</v>
      </c>
      <c r="B283"/>
      <c r="C283"/>
      <c r="D283"/>
      <c r="E283"/>
      <c r="F283" s="27" t="s">
        <v>7</v>
      </c>
      <c r="BM283" s="27" t="s">
        <v>8</v>
      </c>
      <c r="BT283" s="31" t="s">
        <v>7</v>
      </c>
      <c r="DJ283" s="27" t="s">
        <v>7</v>
      </c>
      <c r="DM283" s="32" t="s">
        <v>8</v>
      </c>
      <c r="DP283" s="27" t="s">
        <v>7</v>
      </c>
      <c r="DQ283" s="31" t="s">
        <v>8</v>
      </c>
    </row>
    <row r="284" spans="1:165" x14ac:dyDescent="0.25">
      <c r="A284" s="30">
        <v>0.11686133436193799</v>
      </c>
      <c r="B284"/>
      <c r="C284"/>
      <c r="D284"/>
      <c r="E284"/>
      <c r="F284" s="27" t="s">
        <v>7</v>
      </c>
      <c r="BM284" s="27" t="s">
        <v>8</v>
      </c>
      <c r="BS284" s="31"/>
      <c r="DJ284" s="27" t="s">
        <v>7</v>
      </c>
      <c r="DK284" s="27" t="s">
        <v>8</v>
      </c>
      <c r="DM284" s="27" t="s">
        <v>8</v>
      </c>
      <c r="DP284" s="31" t="s">
        <v>7</v>
      </c>
    </row>
    <row r="285" spans="1:165" x14ac:dyDescent="0.25">
      <c r="A285" s="30">
        <v>0.11129650891613138</v>
      </c>
      <c r="B285"/>
      <c r="C285"/>
      <c r="D285"/>
      <c r="E285"/>
      <c r="F285" s="27" t="s">
        <v>7</v>
      </c>
      <c r="BK285" s="27" t="s">
        <v>8</v>
      </c>
      <c r="BM285" s="27" t="s">
        <v>8</v>
      </c>
      <c r="BR285" s="31"/>
      <c r="DJ285" s="27" t="s">
        <v>7</v>
      </c>
      <c r="DK285" s="27" t="s">
        <v>8</v>
      </c>
      <c r="DL285" s="27" t="s">
        <v>7</v>
      </c>
      <c r="DM285" s="27" t="s">
        <v>8</v>
      </c>
      <c r="DO285" s="31"/>
    </row>
    <row r="286" spans="1:165" x14ac:dyDescent="0.25">
      <c r="A286" s="30">
        <v>0.10599667515822032</v>
      </c>
      <c r="B286"/>
      <c r="C286"/>
      <c r="D286"/>
      <c r="E286"/>
      <c r="F286" s="27" t="s">
        <v>7</v>
      </c>
      <c r="BK286" s="27" t="s">
        <v>8</v>
      </c>
      <c r="BL286" s="27" t="s">
        <v>7</v>
      </c>
      <c r="BM286" s="27" t="s">
        <v>8</v>
      </c>
      <c r="BQ286" s="31"/>
      <c r="DJ286" s="27" t="s">
        <v>7</v>
      </c>
      <c r="DK286" s="27" t="s">
        <v>8</v>
      </c>
      <c r="DL286" s="27" t="s">
        <v>7</v>
      </c>
      <c r="DM286" s="27" t="s">
        <v>8</v>
      </c>
      <c r="DN286" s="31"/>
    </row>
    <row r="287" spans="1:165" x14ac:dyDescent="0.25">
      <c r="A287" s="30">
        <v>0.10094921443640027</v>
      </c>
      <c r="B287"/>
      <c r="C287"/>
      <c r="D287"/>
      <c r="E287"/>
      <c r="F287" s="27" t="s">
        <v>7</v>
      </c>
      <c r="BK287" s="27" t="s">
        <v>8</v>
      </c>
      <c r="BL287" s="27" t="s">
        <v>7</v>
      </c>
      <c r="BM287" s="27" t="s">
        <v>8</v>
      </c>
      <c r="BP287" s="31"/>
      <c r="DJ287" s="27" t="s">
        <v>7</v>
      </c>
      <c r="DK287" s="27" t="s">
        <v>8</v>
      </c>
      <c r="DL287" s="27" t="s">
        <v>7</v>
      </c>
      <c r="DM287" s="31"/>
    </row>
    <row r="288" spans="1:165" x14ac:dyDescent="0.25">
      <c r="A288" s="30">
        <v>9.6142108987047836E-2</v>
      </c>
      <c r="B288"/>
      <c r="C288"/>
      <c r="D288"/>
      <c r="E288"/>
      <c r="F288" s="27" t="s">
        <v>7</v>
      </c>
      <c r="BC288" s="27" t="s">
        <v>8</v>
      </c>
      <c r="BK288" s="27" t="s">
        <v>8</v>
      </c>
      <c r="BL288" s="27" t="s">
        <v>7</v>
      </c>
      <c r="BM288" s="27" t="s">
        <v>8</v>
      </c>
      <c r="BO288" s="31"/>
      <c r="DJ288" s="27" t="s">
        <v>7</v>
      </c>
      <c r="DK288" s="27" t="s">
        <v>8</v>
      </c>
      <c r="DL288" s="31"/>
    </row>
    <row r="289" spans="1:115" x14ac:dyDescent="0.25">
      <c r="A289" s="30">
        <v>9.1563913320997906E-2</v>
      </c>
      <c r="B289"/>
      <c r="C289"/>
      <c r="D289"/>
      <c r="E289"/>
      <c r="F289" s="27" t="s">
        <v>7</v>
      </c>
      <c r="AQ289" s="27" t="s">
        <v>8</v>
      </c>
      <c r="BA289" s="27" t="s">
        <v>8</v>
      </c>
      <c r="BC289" s="27" t="s">
        <v>8</v>
      </c>
      <c r="BD289" s="27" t="s">
        <v>7</v>
      </c>
      <c r="BE289" s="34" t="s">
        <v>8</v>
      </c>
      <c r="BG289" s="34" t="s">
        <v>8</v>
      </c>
      <c r="BI289" s="34" t="s">
        <v>8</v>
      </c>
      <c r="BK289" s="27" t="s">
        <v>8</v>
      </c>
      <c r="BL289" s="27" t="s">
        <v>7</v>
      </c>
      <c r="BN289" s="31"/>
      <c r="DJ289" s="27" t="s">
        <v>7</v>
      </c>
      <c r="DK289" s="31" t="s">
        <v>8</v>
      </c>
    </row>
    <row r="290" spans="1:115" x14ac:dyDescent="0.25">
      <c r="A290" s="30">
        <v>8.7203726972378923E-2</v>
      </c>
      <c r="B290"/>
      <c r="C290"/>
      <c r="D290"/>
      <c r="E290"/>
      <c r="F290" s="27" t="s">
        <v>7</v>
      </c>
      <c r="G290" s="27" t="s">
        <v>8</v>
      </c>
      <c r="Y290" s="27" t="s">
        <v>8</v>
      </c>
      <c r="AA290" s="27" t="s">
        <v>8</v>
      </c>
      <c r="AQ290" s="27" t="s">
        <v>8</v>
      </c>
      <c r="AR290" s="27" t="s">
        <v>7</v>
      </c>
      <c r="AU290" s="27" t="s">
        <v>8</v>
      </c>
      <c r="BA290" s="27" t="s">
        <v>8</v>
      </c>
      <c r="BB290" s="27" t="s">
        <v>7</v>
      </c>
      <c r="BC290" s="27" t="s">
        <v>8</v>
      </c>
      <c r="BD290" s="27" t="s">
        <v>7</v>
      </c>
      <c r="BE290" s="27" t="s">
        <v>8</v>
      </c>
      <c r="BF290" s="27" t="s">
        <v>7</v>
      </c>
      <c r="BG290" s="27" t="s">
        <v>8</v>
      </c>
      <c r="BH290" s="27" t="s">
        <v>7</v>
      </c>
      <c r="BI290" s="27" t="s">
        <v>8</v>
      </c>
      <c r="BJ290" s="27" t="s">
        <v>7</v>
      </c>
      <c r="BK290" s="27" t="s">
        <v>8</v>
      </c>
      <c r="BM290" s="31"/>
      <c r="DJ290" s="31" t="s">
        <v>7</v>
      </c>
    </row>
    <row r="291" spans="1:115" x14ac:dyDescent="0.25">
      <c r="A291" s="30">
        <v>8.3051168545122747E-2</v>
      </c>
      <c r="B291"/>
      <c r="C291"/>
      <c r="D291"/>
      <c r="E291"/>
      <c r="F291" s="27" t="s">
        <v>7</v>
      </c>
      <c r="G291" s="27" t="s">
        <v>8</v>
      </c>
      <c r="H291" s="27" t="s">
        <v>7</v>
      </c>
      <c r="Y291" s="27" t="s">
        <v>8</v>
      </c>
      <c r="Z291" s="27" t="s">
        <v>7</v>
      </c>
      <c r="AA291" s="27" t="s">
        <v>8</v>
      </c>
      <c r="AB291" s="27" t="s">
        <v>7</v>
      </c>
      <c r="AM291" s="27" t="s">
        <v>8</v>
      </c>
      <c r="AQ291" s="27" t="s">
        <v>8</v>
      </c>
      <c r="AR291" s="27" t="s">
        <v>7</v>
      </c>
      <c r="AS291" s="27" t="s">
        <v>8</v>
      </c>
      <c r="AU291" s="27" t="s">
        <v>8</v>
      </c>
      <c r="AV291" s="27" t="s">
        <v>7</v>
      </c>
      <c r="BA291" s="27" t="s">
        <v>8</v>
      </c>
      <c r="BB291" s="27" t="s">
        <v>7</v>
      </c>
      <c r="BC291" s="27" t="s">
        <v>8</v>
      </c>
      <c r="BD291" s="27" t="s">
        <v>7</v>
      </c>
      <c r="BE291" s="27" t="s">
        <v>8</v>
      </c>
      <c r="BF291" s="27" t="s">
        <v>7</v>
      </c>
      <c r="BG291" s="27" t="s">
        <v>8</v>
      </c>
      <c r="BH291" s="27" t="s">
        <v>7</v>
      </c>
      <c r="BI291" s="27" t="s">
        <v>8</v>
      </c>
      <c r="BJ291" s="27" t="s">
        <v>7</v>
      </c>
      <c r="BK291" s="27" t="s">
        <v>8</v>
      </c>
      <c r="BL291" s="31"/>
    </row>
    <row r="292" spans="1:115" x14ac:dyDescent="0.25">
      <c r="A292" s="30">
        <v>7.9096350995354961E-2</v>
      </c>
      <c r="B292"/>
      <c r="C292"/>
      <c r="D292"/>
      <c r="E292"/>
      <c r="F292" s="27" t="s">
        <v>7</v>
      </c>
      <c r="G292" s="27" t="s">
        <v>8</v>
      </c>
      <c r="H292" s="27" t="s">
        <v>7</v>
      </c>
      <c r="W292" s="27" t="s">
        <v>8</v>
      </c>
      <c r="Y292" s="27" t="s">
        <v>8</v>
      </c>
      <c r="Z292" s="27" t="s">
        <v>7</v>
      </c>
      <c r="AA292" s="27" t="s">
        <v>8</v>
      </c>
      <c r="AB292" s="27" t="s">
        <v>7</v>
      </c>
      <c r="AM292" s="27" t="s">
        <v>8</v>
      </c>
      <c r="AN292" s="27" t="s">
        <v>7</v>
      </c>
      <c r="AQ292" s="27" t="s">
        <v>8</v>
      </c>
      <c r="AR292" s="27" t="s">
        <v>7</v>
      </c>
      <c r="AS292" s="27" t="s">
        <v>8</v>
      </c>
      <c r="AT292" s="27" t="s">
        <v>7</v>
      </c>
      <c r="AU292" s="27" t="s">
        <v>8</v>
      </c>
      <c r="AV292" s="27" t="s">
        <v>7</v>
      </c>
      <c r="AY292" s="27" t="s">
        <v>8</v>
      </c>
      <c r="BA292" s="27" t="s">
        <v>8</v>
      </c>
      <c r="BB292" s="27" t="s">
        <v>7</v>
      </c>
      <c r="BC292" s="27" t="s">
        <v>8</v>
      </c>
      <c r="BD292" s="27" t="s">
        <v>7</v>
      </c>
      <c r="BE292" s="27" t="s">
        <v>8</v>
      </c>
      <c r="BF292" s="27" t="s">
        <v>7</v>
      </c>
      <c r="BG292" s="27" t="s">
        <v>8</v>
      </c>
      <c r="BH292" s="27" t="s">
        <v>7</v>
      </c>
      <c r="BI292" s="27" t="s">
        <v>8</v>
      </c>
      <c r="BJ292" s="27" t="s">
        <v>7</v>
      </c>
      <c r="BK292" s="31" t="s">
        <v>8</v>
      </c>
    </row>
    <row r="293" spans="1:115" x14ac:dyDescent="0.25">
      <c r="A293" s="30">
        <v>7.5329858090814217E-2</v>
      </c>
      <c r="B293"/>
      <c r="C293"/>
      <c r="D293"/>
      <c r="E293"/>
      <c r="F293" s="27" t="s">
        <v>7</v>
      </c>
      <c r="G293" s="27" t="s">
        <v>8</v>
      </c>
      <c r="H293" s="27" t="s">
        <v>7</v>
      </c>
      <c r="U293" s="27" t="s">
        <v>8</v>
      </c>
      <c r="W293" s="27" t="s">
        <v>8</v>
      </c>
      <c r="X293" s="27" t="s">
        <v>7</v>
      </c>
      <c r="Y293" s="27" t="s">
        <v>8</v>
      </c>
      <c r="Z293" s="27" t="s">
        <v>7</v>
      </c>
      <c r="AB293" s="27" t="s">
        <v>7</v>
      </c>
      <c r="AM293" s="27" t="s">
        <v>8</v>
      </c>
      <c r="AN293" s="27" t="s">
        <v>7</v>
      </c>
      <c r="AQ293" s="27" t="s">
        <v>8</v>
      </c>
      <c r="AR293" s="27" t="s">
        <v>7</v>
      </c>
      <c r="AS293" s="27" t="s">
        <v>8</v>
      </c>
      <c r="AT293" s="27" t="s">
        <v>7</v>
      </c>
      <c r="AU293" s="27" t="s">
        <v>8</v>
      </c>
      <c r="AV293" s="27" t="s">
        <v>7</v>
      </c>
      <c r="AY293" s="27" t="s">
        <v>8</v>
      </c>
      <c r="AZ293" s="27" t="s">
        <v>7</v>
      </c>
      <c r="BA293" s="27" t="s">
        <v>8</v>
      </c>
      <c r="BB293" s="27" t="s">
        <v>7</v>
      </c>
      <c r="BC293" s="27" t="s">
        <v>8</v>
      </c>
      <c r="BD293" s="27" t="s">
        <v>7</v>
      </c>
      <c r="BE293" s="27" t="s">
        <v>8</v>
      </c>
      <c r="BF293" s="27" t="s">
        <v>7</v>
      </c>
      <c r="BH293" s="27" t="s">
        <v>7</v>
      </c>
      <c r="BI293" s="27" t="s">
        <v>8</v>
      </c>
      <c r="BJ293" s="31" t="s">
        <v>7</v>
      </c>
    </row>
    <row r="294" spans="1:115" x14ac:dyDescent="0.25">
      <c r="A294" s="30">
        <v>7.1742721991251604E-2</v>
      </c>
      <c r="B294"/>
      <c r="C294"/>
      <c r="D294"/>
      <c r="E294"/>
      <c r="F294" s="27" t="s">
        <v>7</v>
      </c>
      <c r="G294" s="27" t="s">
        <v>8</v>
      </c>
      <c r="H294" s="27" t="s">
        <v>7</v>
      </c>
      <c r="U294" s="27" t="s">
        <v>8</v>
      </c>
      <c r="V294" s="27" t="s">
        <v>7</v>
      </c>
      <c r="W294" s="27" t="s">
        <v>8</v>
      </c>
      <c r="X294" s="27" t="s">
        <v>7</v>
      </c>
      <c r="Y294" s="27" t="s">
        <v>8</v>
      </c>
      <c r="AB294" s="27" t="s">
        <v>7</v>
      </c>
      <c r="AM294" s="27" t="s">
        <v>8</v>
      </c>
      <c r="AN294" s="27" t="s">
        <v>7</v>
      </c>
      <c r="AQ294" s="27" t="s">
        <v>8</v>
      </c>
      <c r="AR294" s="27" t="s">
        <v>7</v>
      </c>
      <c r="AS294" s="27" t="s">
        <v>8</v>
      </c>
      <c r="AT294" s="27" t="s">
        <v>7</v>
      </c>
      <c r="AU294" s="27" t="s">
        <v>8</v>
      </c>
      <c r="AV294" s="27" t="s">
        <v>7</v>
      </c>
      <c r="AW294" s="27" t="s">
        <v>8</v>
      </c>
      <c r="AY294" s="27" t="s">
        <v>8</v>
      </c>
      <c r="AZ294" s="27" t="s">
        <v>7</v>
      </c>
      <c r="BA294" s="27" t="s">
        <v>8</v>
      </c>
      <c r="BB294" s="27" t="s">
        <v>7</v>
      </c>
      <c r="BC294" s="27" t="s">
        <v>8</v>
      </c>
      <c r="BD294" s="27" t="s">
        <v>7</v>
      </c>
      <c r="BE294" s="27" t="s">
        <v>8</v>
      </c>
      <c r="BH294" s="27" t="s">
        <v>7</v>
      </c>
    </row>
    <row r="295" spans="1:115" x14ac:dyDescent="0.25">
      <c r="A295" s="30">
        <v>6.8326401896430078E-2</v>
      </c>
      <c r="B295"/>
      <c r="C295"/>
      <c r="D295"/>
      <c r="E295"/>
      <c r="F295" s="27" t="s">
        <v>7</v>
      </c>
      <c r="G295" s="27" t="s">
        <v>8</v>
      </c>
      <c r="H295" s="27" t="s">
        <v>7</v>
      </c>
      <c r="U295" s="27" t="s">
        <v>8</v>
      </c>
      <c r="V295" s="27" t="s">
        <v>7</v>
      </c>
      <c r="W295" s="27" t="s">
        <v>8</v>
      </c>
      <c r="X295" s="27" t="s">
        <v>7</v>
      </c>
      <c r="Y295" s="27" t="s">
        <v>8</v>
      </c>
      <c r="AB295" s="27" t="s">
        <v>7</v>
      </c>
      <c r="AC295" s="27" t="s">
        <v>8</v>
      </c>
      <c r="AE295" s="27" t="s">
        <v>8</v>
      </c>
      <c r="AM295" s="27" t="s">
        <v>8</v>
      </c>
      <c r="AN295" s="27" t="s">
        <v>7</v>
      </c>
      <c r="AQ295" s="27" t="s">
        <v>8</v>
      </c>
      <c r="AR295" s="27" t="s">
        <v>7</v>
      </c>
      <c r="AS295" s="27" t="s">
        <v>8</v>
      </c>
      <c r="AT295" s="27" t="s">
        <v>7</v>
      </c>
      <c r="AU295" s="27" t="s">
        <v>8</v>
      </c>
      <c r="AV295" s="27" t="s">
        <v>7</v>
      </c>
      <c r="AW295" s="27" t="s">
        <v>8</v>
      </c>
      <c r="AX295" s="27" t="s">
        <v>7</v>
      </c>
      <c r="AY295" s="27" t="s">
        <v>8</v>
      </c>
      <c r="AZ295" s="27" t="s">
        <v>7</v>
      </c>
      <c r="BB295" s="27" t="s">
        <v>7</v>
      </c>
      <c r="BD295" s="27" t="s">
        <v>7</v>
      </c>
      <c r="BE295" s="27" t="s">
        <v>8</v>
      </c>
    </row>
    <row r="296" spans="1:115" x14ac:dyDescent="0.25">
      <c r="A296" s="30">
        <v>6.5072763710885759E-2</v>
      </c>
      <c r="B296"/>
      <c r="C296"/>
      <c r="D296"/>
      <c r="E296"/>
      <c r="F296" s="27" t="s">
        <v>7</v>
      </c>
      <c r="G296" s="27" t="s">
        <v>8</v>
      </c>
      <c r="H296" s="27" t="s">
        <v>7</v>
      </c>
      <c r="Q296" s="27" t="s">
        <v>8</v>
      </c>
      <c r="U296" s="27" t="s">
        <v>8</v>
      </c>
      <c r="V296" s="27" t="s">
        <v>7</v>
      </c>
      <c r="X296" s="27" t="s">
        <v>7</v>
      </c>
      <c r="AB296" s="27" t="s">
        <v>7</v>
      </c>
      <c r="AC296" s="27" t="s">
        <v>8</v>
      </c>
      <c r="AD296" s="27" t="s">
        <v>7</v>
      </c>
      <c r="AE296" s="27" t="s">
        <v>8</v>
      </c>
      <c r="AF296" s="27" t="s">
        <v>7</v>
      </c>
      <c r="AI296" s="27" t="s">
        <v>8</v>
      </c>
      <c r="AM296" s="27" t="s">
        <v>8</v>
      </c>
      <c r="AN296" s="27" t="s">
        <v>7</v>
      </c>
      <c r="AQ296" s="27" t="s">
        <v>8</v>
      </c>
      <c r="AR296" s="27" t="s">
        <v>7</v>
      </c>
      <c r="AS296" s="27" t="s">
        <v>8</v>
      </c>
      <c r="AT296" s="27" t="s">
        <v>7</v>
      </c>
      <c r="AU296" s="27" t="s">
        <v>8</v>
      </c>
      <c r="AV296" s="27" t="s">
        <v>7</v>
      </c>
      <c r="AW296" s="27" t="s">
        <v>8</v>
      </c>
      <c r="AX296" s="27" t="s">
        <v>7</v>
      </c>
      <c r="AY296" s="27" t="s">
        <v>8</v>
      </c>
      <c r="BD296" s="27" t="s">
        <v>7</v>
      </c>
    </row>
    <row r="297" spans="1:115" x14ac:dyDescent="0.25">
      <c r="A297" s="30">
        <v>6.197406067703403E-2</v>
      </c>
      <c r="B297"/>
      <c r="C297"/>
      <c r="D297"/>
      <c r="E297"/>
      <c r="F297" s="27" t="s">
        <v>7</v>
      </c>
      <c r="G297" s="27" t="s">
        <v>8</v>
      </c>
      <c r="H297" s="27" t="s">
        <v>7</v>
      </c>
      <c r="Q297" s="27" t="s">
        <v>8</v>
      </c>
      <c r="R297" s="27" t="s">
        <v>7</v>
      </c>
      <c r="S297" s="27" t="s">
        <v>8</v>
      </c>
      <c r="U297" s="27" t="s">
        <v>8</v>
      </c>
      <c r="AB297" s="27" t="s">
        <v>7</v>
      </c>
      <c r="AC297" s="27" t="s">
        <v>8</v>
      </c>
      <c r="AD297" s="27" t="s">
        <v>7</v>
      </c>
      <c r="AE297" s="27" t="s">
        <v>8</v>
      </c>
      <c r="AF297" s="27" t="s">
        <v>7</v>
      </c>
      <c r="AI297" s="27" t="s">
        <v>8</v>
      </c>
      <c r="AJ297" s="27" t="s">
        <v>7</v>
      </c>
      <c r="AM297" s="27" t="s">
        <v>8</v>
      </c>
      <c r="AN297" s="27" t="s">
        <v>7</v>
      </c>
      <c r="AQ297" s="27" t="s">
        <v>8</v>
      </c>
      <c r="AR297" s="27" t="s">
        <v>7</v>
      </c>
      <c r="AS297" s="27" t="s">
        <v>8</v>
      </c>
      <c r="AT297" s="27" t="s">
        <v>7</v>
      </c>
      <c r="AU297" s="27" t="s">
        <v>8</v>
      </c>
      <c r="AV297" s="27" t="s">
        <v>7</v>
      </c>
      <c r="AW297" s="27" t="s">
        <v>8</v>
      </c>
      <c r="AX297" s="27" t="s">
        <v>7</v>
      </c>
    </row>
    <row r="298" spans="1:115" x14ac:dyDescent="0.25">
      <c r="A298" s="30">
        <v>5.9022914930508576E-2</v>
      </c>
      <c r="B298"/>
      <c r="C298"/>
      <c r="D298"/>
      <c r="E298"/>
      <c r="F298" s="27" t="s">
        <v>7</v>
      </c>
      <c r="G298" s="27" t="s">
        <v>8</v>
      </c>
      <c r="H298" s="27" t="s">
        <v>7</v>
      </c>
      <c r="Q298" s="27" t="s">
        <v>8</v>
      </c>
      <c r="R298" s="27" t="s">
        <v>7</v>
      </c>
      <c r="S298" s="27" t="s">
        <v>8</v>
      </c>
      <c r="T298" s="27" t="s">
        <v>7</v>
      </c>
      <c r="U298" s="27" t="s">
        <v>8</v>
      </c>
      <c r="AB298" s="27" t="s">
        <v>7</v>
      </c>
      <c r="AC298" s="27" t="s">
        <v>8</v>
      </c>
      <c r="AD298" s="27" t="s">
        <v>7</v>
      </c>
      <c r="AF298" s="27" t="s">
        <v>7</v>
      </c>
      <c r="AG298" s="27" t="s">
        <v>8</v>
      </c>
      <c r="AI298" s="27" t="s">
        <v>8</v>
      </c>
      <c r="AJ298" s="27" t="s">
        <v>7</v>
      </c>
      <c r="AM298" s="27" t="s">
        <v>8</v>
      </c>
      <c r="AN298" s="27" t="s">
        <v>7</v>
      </c>
      <c r="AO298" s="27" t="s">
        <v>8</v>
      </c>
      <c r="AQ298" s="27" t="s">
        <v>8</v>
      </c>
      <c r="AR298" s="27" t="s">
        <v>7</v>
      </c>
      <c r="AT298" s="27" t="s">
        <v>7</v>
      </c>
      <c r="AV298" s="27" t="s">
        <v>7</v>
      </c>
    </row>
    <row r="299" spans="1:115" x14ac:dyDescent="0.25">
      <c r="A299" s="30">
        <v>5.6212299933817669E-2</v>
      </c>
      <c r="B299"/>
      <c r="C299"/>
      <c r="D299"/>
      <c r="E299"/>
      <c r="F299" s="27" t="s">
        <v>7</v>
      </c>
      <c r="G299" s="27" t="s">
        <v>8</v>
      </c>
      <c r="H299" s="27" t="s">
        <v>7</v>
      </c>
      <c r="K299" s="27" t="s">
        <v>8</v>
      </c>
      <c r="M299" s="27" t="s">
        <v>8</v>
      </c>
      <c r="O299" s="27" t="s">
        <v>8</v>
      </c>
      <c r="Q299" s="27" t="s">
        <v>8</v>
      </c>
      <c r="R299" s="27" t="s">
        <v>7</v>
      </c>
      <c r="S299" s="27" t="s">
        <v>8</v>
      </c>
      <c r="T299" s="27" t="s">
        <v>7</v>
      </c>
      <c r="U299" s="27" t="s">
        <v>8</v>
      </c>
      <c r="AB299" s="27" t="s">
        <v>7</v>
      </c>
      <c r="AC299" s="27" t="s">
        <v>8</v>
      </c>
      <c r="AF299" s="27" t="s">
        <v>7</v>
      </c>
      <c r="AG299" s="27" t="s">
        <v>8</v>
      </c>
      <c r="AH299" s="27" t="s">
        <v>7</v>
      </c>
      <c r="AI299" s="27" t="s">
        <v>8</v>
      </c>
      <c r="AJ299" s="27" t="s">
        <v>7</v>
      </c>
      <c r="AK299" s="27" t="s">
        <v>8</v>
      </c>
      <c r="AM299" s="27" t="s">
        <v>8</v>
      </c>
      <c r="AN299" s="27" t="s">
        <v>7</v>
      </c>
      <c r="AO299" s="27" t="s">
        <v>8</v>
      </c>
      <c r="AP299" s="27" t="s">
        <v>7</v>
      </c>
      <c r="AQ299" s="27" t="s">
        <v>8</v>
      </c>
    </row>
    <row r="300" spans="1:115" x14ac:dyDescent="0.25">
      <c r="A300" s="30">
        <v>5.3535523746492994E-2</v>
      </c>
      <c r="B300"/>
      <c r="C300"/>
      <c r="D300"/>
      <c r="E300"/>
      <c r="F300" s="27" t="s">
        <v>7</v>
      </c>
      <c r="G300" s="27" t="s">
        <v>8</v>
      </c>
      <c r="H300" s="27" t="s">
        <v>7</v>
      </c>
      <c r="I300" s="27" t="s">
        <v>8</v>
      </c>
      <c r="K300" s="27" t="s">
        <v>8</v>
      </c>
      <c r="L300" s="27" t="s">
        <v>7</v>
      </c>
      <c r="M300" s="27" t="s">
        <v>8</v>
      </c>
      <c r="N300" s="27" t="s">
        <v>7</v>
      </c>
      <c r="O300" s="27" t="s">
        <v>8</v>
      </c>
      <c r="P300" s="27" t="s">
        <v>7</v>
      </c>
      <c r="Q300" s="27" t="s">
        <v>8</v>
      </c>
      <c r="R300" s="27" t="s">
        <v>7</v>
      </c>
      <c r="S300" s="27" t="s">
        <v>8</v>
      </c>
      <c r="T300" s="27" t="s">
        <v>7</v>
      </c>
      <c r="U300" s="27" t="s">
        <v>8</v>
      </c>
      <c r="AB300" s="27" t="s">
        <v>7</v>
      </c>
      <c r="AC300" s="27" t="s">
        <v>8</v>
      </c>
      <c r="AF300" s="27" t="s">
        <v>7</v>
      </c>
      <c r="AG300" s="27" t="s">
        <v>8</v>
      </c>
      <c r="AH300" s="27" t="s">
        <v>7</v>
      </c>
      <c r="AI300" s="27" t="s">
        <v>8</v>
      </c>
      <c r="AJ300" s="27" t="s">
        <v>7</v>
      </c>
      <c r="AK300" s="27" t="s">
        <v>8</v>
      </c>
      <c r="AL300" s="27" t="s">
        <v>7</v>
      </c>
      <c r="AM300" s="27" t="s">
        <v>8</v>
      </c>
      <c r="AN300" s="27" t="s">
        <v>7</v>
      </c>
      <c r="AO300" s="27" t="s">
        <v>8</v>
      </c>
      <c r="AP300" s="27" t="s">
        <v>7</v>
      </c>
      <c r="AQ300" s="27" t="s">
        <v>8</v>
      </c>
    </row>
    <row r="301" spans="1:115" x14ac:dyDescent="0.25">
      <c r="A301" s="30">
        <v>5.0986213091898068E-2</v>
      </c>
      <c r="B301"/>
      <c r="C301"/>
      <c r="D301"/>
      <c r="E301"/>
      <c r="F301" s="27" t="s">
        <v>7</v>
      </c>
      <c r="G301" s="27" t="s">
        <v>8</v>
      </c>
      <c r="H301" s="27" t="s">
        <v>7</v>
      </c>
      <c r="I301" s="27" t="s">
        <v>8</v>
      </c>
      <c r="J301" s="27" t="s">
        <v>7</v>
      </c>
      <c r="K301" s="27" t="s">
        <v>8</v>
      </c>
      <c r="L301" s="27" t="s">
        <v>7</v>
      </c>
      <c r="M301" s="27" t="s">
        <v>8</v>
      </c>
      <c r="N301" s="27" t="s">
        <v>7</v>
      </c>
      <c r="O301" s="27" t="s">
        <v>8</v>
      </c>
      <c r="P301" s="27" t="s">
        <v>7</v>
      </c>
      <c r="Q301" s="27" t="s">
        <v>8</v>
      </c>
      <c r="R301" s="27" t="s">
        <v>7</v>
      </c>
      <c r="S301" s="27" t="s">
        <v>8</v>
      </c>
      <c r="T301" s="27" t="s">
        <v>7</v>
      </c>
      <c r="U301" s="27" t="s">
        <v>8</v>
      </c>
      <c r="AB301" s="27" t="s">
        <v>7</v>
      </c>
      <c r="AF301" s="27" t="s">
        <v>7</v>
      </c>
      <c r="AH301" s="27" t="s">
        <v>7</v>
      </c>
      <c r="AI301" s="27" t="s">
        <v>8</v>
      </c>
      <c r="AJ301" s="27" t="s">
        <v>7</v>
      </c>
      <c r="AK301" s="27" t="s">
        <v>8</v>
      </c>
      <c r="AL301" s="27" t="s">
        <v>7</v>
      </c>
      <c r="AM301" s="27" t="s">
        <v>8</v>
      </c>
      <c r="AN301" s="27" t="s">
        <v>7</v>
      </c>
      <c r="AO301" s="27" t="s">
        <v>8</v>
      </c>
      <c r="AP301" s="27" t="s">
        <v>7</v>
      </c>
    </row>
    <row r="302" spans="1:115" x14ac:dyDescent="0.25">
      <c r="A302" s="30">
        <v>4.8558298182760043E-2</v>
      </c>
      <c r="B302"/>
      <c r="C302"/>
      <c r="D302"/>
      <c r="E302"/>
      <c r="F302" s="27" t="s">
        <v>7</v>
      </c>
      <c r="G302" s="27" t="s">
        <v>8</v>
      </c>
      <c r="H302" s="27" t="s">
        <v>7</v>
      </c>
      <c r="I302" s="27" t="s">
        <v>8</v>
      </c>
      <c r="J302" s="27" t="s">
        <v>7</v>
      </c>
      <c r="K302" s="27" t="s">
        <v>8</v>
      </c>
      <c r="L302" s="27" t="s">
        <v>7</v>
      </c>
      <c r="N302" s="27" t="s">
        <v>7</v>
      </c>
      <c r="P302" s="27" t="s">
        <v>7</v>
      </c>
      <c r="R302" s="27" t="s">
        <v>7</v>
      </c>
      <c r="S302" s="27" t="s">
        <v>8</v>
      </c>
      <c r="T302" s="27" t="s">
        <v>7</v>
      </c>
      <c r="AH302" s="27" t="s">
        <v>7</v>
      </c>
      <c r="AI302" s="27" t="s">
        <v>8</v>
      </c>
      <c r="AJ302" s="27" t="s">
        <v>7</v>
      </c>
      <c r="AK302" s="27" t="s">
        <v>8</v>
      </c>
      <c r="AL302" s="27" t="s">
        <v>7</v>
      </c>
      <c r="AM302" s="27" t="s">
        <v>8</v>
      </c>
      <c r="AN302" s="27" t="s">
        <v>7</v>
      </c>
      <c r="AO302" s="27" t="s">
        <v>8</v>
      </c>
    </row>
    <row r="303" spans="1:115" x14ac:dyDescent="0.25">
      <c r="A303" s="30">
        <v>4.6245998269295263E-2</v>
      </c>
      <c r="B303"/>
      <c r="C303"/>
      <c r="D303"/>
      <c r="E303"/>
      <c r="F303" s="27" t="s">
        <v>7</v>
      </c>
      <c r="G303" s="27" t="s">
        <v>8</v>
      </c>
      <c r="H303" s="27" t="s">
        <v>7</v>
      </c>
      <c r="J303" s="27" t="s">
        <v>7</v>
      </c>
      <c r="R303" s="27" t="s">
        <v>7</v>
      </c>
      <c r="S303" s="27" t="s">
        <v>8</v>
      </c>
      <c r="AH303" s="27" t="s">
        <v>7</v>
      </c>
      <c r="AI303" s="27" t="s">
        <v>8</v>
      </c>
      <c r="AJ303" s="27" t="s">
        <v>7</v>
      </c>
      <c r="AL303" s="27" t="s">
        <v>7</v>
      </c>
      <c r="AN303" s="27" t="s">
        <v>7</v>
      </c>
    </row>
    <row r="304" spans="1:115" x14ac:dyDescent="0.25">
      <c r="A304" s="30">
        <v>4.4043807875519279E-2</v>
      </c>
      <c r="B304"/>
      <c r="C304"/>
      <c r="D304"/>
      <c r="E304"/>
      <c r="F304" s="27" t="s">
        <v>7</v>
      </c>
      <c r="G304" s="27" t="s">
        <v>8</v>
      </c>
      <c r="R304" s="27" t="s">
        <v>7</v>
      </c>
      <c r="S304" s="27" t="s">
        <v>8</v>
      </c>
      <c r="AH304" s="27" t="s">
        <v>7</v>
      </c>
    </row>
    <row r="305" spans="1:18" x14ac:dyDescent="0.25">
      <c r="A305" s="30">
        <v>4.1946483690970725E-2</v>
      </c>
      <c r="B305"/>
      <c r="C305"/>
      <c r="D305"/>
      <c r="E305"/>
      <c r="F305" s="27" t="s">
        <v>7</v>
      </c>
      <c r="G305" s="27" t="s">
        <v>8</v>
      </c>
      <c r="R305" s="27" t="s">
        <v>7</v>
      </c>
    </row>
    <row r="306" spans="1:18" x14ac:dyDescent="0.25">
      <c r="A306" s="30">
        <v>3.9949032086638768E-2</v>
      </c>
      <c r="B306"/>
      <c r="C306"/>
      <c r="D306"/>
      <c r="E306"/>
      <c r="F306" s="27" t="s">
        <v>7</v>
      </c>
      <c r="G306" s="27" t="s">
        <v>8</v>
      </c>
    </row>
    <row r="307" spans="1:18" x14ac:dyDescent="0.25">
      <c r="A307" s="30">
        <v>3.8046697225370241E-2</v>
      </c>
      <c r="B307"/>
      <c r="C307"/>
      <c r="D307"/>
      <c r="E307"/>
      <c r="F307" s="27" t="s">
        <v>7</v>
      </c>
    </row>
    <row r="308" spans="1:18" x14ac:dyDescent="0.25">
      <c r="A308" s="30">
        <v>3.6234949738447833E-2</v>
      </c>
      <c r="B308"/>
      <c r="C308"/>
      <c r="D308"/>
      <c r="E308"/>
    </row>
    <row r="309" spans="1:18" x14ac:dyDescent="0.25">
      <c r="A309" s="30">
        <v>3.4509475941378875E-2</v>
      </c>
      <c r="B309"/>
      <c r="C309"/>
      <c r="D309"/>
      <c r="E309"/>
    </row>
    <row r="310" spans="1:18" x14ac:dyDescent="0.25">
      <c r="A310" s="30">
        <v>3.286616756321796E-2</v>
      </c>
      <c r="B310"/>
      <c r="C310"/>
      <c r="D310"/>
      <c r="E310"/>
    </row>
    <row r="311" spans="1:18" x14ac:dyDescent="0.25">
      <c r="A311" s="30">
        <v>3.1301111964969472E-2</v>
      </c>
      <c r="B311"/>
      <c r="C311"/>
      <c r="D311"/>
      <c r="E311"/>
    </row>
    <row r="312" spans="1:18" x14ac:dyDescent="0.25">
      <c r="A312" s="30">
        <v>2.9810582823780438E-2</v>
      </c>
      <c r="B312"/>
      <c r="C312"/>
      <c r="D312"/>
      <c r="E312"/>
    </row>
    <row r="313" spans="1:18" x14ac:dyDescent="0.25">
      <c r="A313" s="30">
        <v>2.8391031260743264E-2</v>
      </c>
      <c r="B313"/>
      <c r="C313"/>
      <c r="D313"/>
      <c r="E313"/>
    </row>
    <row r="314" spans="1:18" x14ac:dyDescent="0.25">
      <c r="A314" s="30">
        <v>2.7039077391184052E-2</v>
      </c>
      <c r="B314"/>
      <c r="C314"/>
      <c r="D314"/>
      <c r="E314"/>
    </row>
    <row r="315" spans="1:18" x14ac:dyDescent="0.25">
      <c r="A315" s="30">
        <v>2.5751502277318133E-2</v>
      </c>
      <c r="B315"/>
      <c r="C315"/>
      <c r="D315"/>
      <c r="E315"/>
    </row>
    <row r="316" spans="1:18" x14ac:dyDescent="0.25">
      <c r="A316" s="30">
        <v>2.4525240264112496E-2</v>
      </c>
      <c r="B316"/>
      <c r="C316"/>
      <c r="D316"/>
      <c r="E316"/>
    </row>
    <row r="317" spans="1:18" x14ac:dyDescent="0.25">
      <c r="A317" s="30">
        <v>2.3357371680107129E-2</v>
      </c>
      <c r="B317"/>
      <c r="C317"/>
      <c r="D317"/>
      <c r="E317"/>
    </row>
    <row r="318" spans="1:18" x14ac:dyDescent="0.25">
      <c r="A318" s="30">
        <v>2.2245115885816305E-2</v>
      </c>
      <c r="B318"/>
      <c r="C318"/>
      <c r="D318"/>
      <c r="E318"/>
    </row>
    <row r="319" spans="1:18" x14ac:dyDescent="0.25">
      <c r="A319" s="30">
        <v>2.1185824653158377E-2</v>
      </c>
      <c r="B319"/>
      <c r="C319"/>
      <c r="D319"/>
      <c r="E319"/>
    </row>
    <row r="320" spans="1:18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043" operator="equal">
      <formula>$U$1</formula>
    </cfRule>
    <cfRule type="cellIs" dxfId="67" priority="1044" operator="equal">
      <formula>$S$1</formula>
    </cfRule>
  </conditionalFormatting>
  <conditionalFormatting sqref="D136">
    <cfRule type="cellIs" dxfId="66" priority="1041" operator="equal">
      <formula>$S$1</formula>
    </cfRule>
    <cfRule type="cellIs" dxfId="65" priority="1042" operator="equal">
      <formula>$U$1</formula>
    </cfRule>
  </conditionalFormatting>
  <conditionalFormatting sqref="C162">
    <cfRule type="cellIs" dxfId="64" priority="1039" operator="equal">
      <formula>$U$1</formula>
    </cfRule>
    <cfRule type="cellIs" dxfId="63" priority="1040" operator="equal">
      <formula>$S$1</formula>
    </cfRule>
  </conditionalFormatting>
  <conditionalFormatting sqref="D162">
    <cfRule type="cellIs" dxfId="62" priority="1037" operator="equal">
      <formula>$S$1</formula>
    </cfRule>
    <cfRule type="cellIs" dxfId="61" priority="1038" operator="equal">
      <formula>$U$1</formula>
    </cfRule>
  </conditionalFormatting>
  <conditionalFormatting sqref="C187">
    <cfRule type="cellIs" dxfId="60" priority="1035" operator="equal">
      <formula>$U$1</formula>
    </cfRule>
    <cfRule type="cellIs" dxfId="59" priority="1036" operator="equal">
      <formula>$S$1</formula>
    </cfRule>
  </conditionalFormatting>
  <conditionalFormatting sqref="D187">
    <cfRule type="cellIs" dxfId="58" priority="1033" operator="equal">
      <formula>$S$1</formula>
    </cfRule>
    <cfRule type="cellIs" dxfId="57" priority="1034" operator="equal">
      <formula>$U$1</formula>
    </cfRule>
  </conditionalFormatting>
  <conditionalFormatting sqref="C212">
    <cfRule type="cellIs" dxfId="56" priority="1031" operator="equal">
      <formula>$U$1</formula>
    </cfRule>
    <cfRule type="cellIs" dxfId="55" priority="1032" operator="equal">
      <formula>$S$1</formula>
    </cfRule>
  </conditionalFormatting>
  <conditionalFormatting sqref="D212">
    <cfRule type="cellIs" dxfId="54" priority="1029" operator="equal">
      <formula>$S$1</formula>
    </cfRule>
    <cfRule type="cellIs" dxfId="53" priority="1030" operator="equal">
      <formula>$U$1</formula>
    </cfRule>
  </conditionalFormatting>
  <conditionalFormatting sqref="C237">
    <cfRule type="cellIs" dxfId="52" priority="1027" operator="equal">
      <formula>$U$1</formula>
    </cfRule>
    <cfRule type="cellIs" dxfId="51" priority="1028" operator="equal">
      <formula>$S$1</formula>
    </cfRule>
  </conditionalFormatting>
  <conditionalFormatting sqref="D237">
    <cfRule type="cellIs" dxfId="50" priority="1025" operator="equal">
      <formula>$S$1</formula>
    </cfRule>
    <cfRule type="cellIs" dxfId="49" priority="1026" operator="equal">
      <formula>$U$1</formula>
    </cfRule>
  </conditionalFormatting>
  <conditionalFormatting sqref="C106">
    <cfRule type="cellIs" dxfId="48" priority="1023" operator="equal">
      <formula>$U$1</formula>
    </cfRule>
    <cfRule type="cellIs" dxfId="47" priority="1024" operator="equal">
      <formula>$S$1</formula>
    </cfRule>
  </conditionalFormatting>
  <conditionalFormatting sqref="D106">
    <cfRule type="cellIs" dxfId="46" priority="1021" operator="equal">
      <formula>$S$1</formula>
    </cfRule>
    <cfRule type="cellIs" dxfId="45" priority="1022" operator="equal">
      <formula>$U$1</formula>
    </cfRule>
  </conditionalFormatting>
  <conditionalFormatting sqref="C81">
    <cfRule type="cellIs" dxfId="44" priority="1019" operator="equal">
      <formula>$U$1</formula>
    </cfRule>
    <cfRule type="cellIs" dxfId="43" priority="1020" operator="equal">
      <formula>$S$1</formula>
    </cfRule>
  </conditionalFormatting>
  <conditionalFormatting sqref="D81">
    <cfRule type="cellIs" dxfId="42" priority="1017" operator="equal">
      <formula>$S$1</formula>
    </cfRule>
    <cfRule type="cellIs" dxfId="41" priority="1018" operator="equal">
      <formula>$U$1</formula>
    </cfRule>
  </conditionalFormatting>
  <conditionalFormatting sqref="C56">
    <cfRule type="cellIs" dxfId="40" priority="1015" operator="equal">
      <formula>$U$1</formula>
    </cfRule>
    <cfRule type="cellIs" dxfId="39" priority="1016" operator="equal">
      <formula>$S$1</formula>
    </cfRule>
  </conditionalFormatting>
  <conditionalFormatting sqref="D56">
    <cfRule type="cellIs" dxfId="38" priority="1013" operator="equal">
      <formula>$S$1</formula>
    </cfRule>
    <cfRule type="cellIs" dxfId="37" priority="1014" operator="equal">
      <formula>$U$1</formula>
    </cfRule>
  </conditionalFormatting>
  <conditionalFormatting sqref="C31">
    <cfRule type="cellIs" dxfId="36" priority="1011" operator="equal">
      <formula>$U$1</formula>
    </cfRule>
    <cfRule type="cellIs" dxfId="35" priority="1012" operator="equal">
      <formula>$S$1</formula>
    </cfRule>
  </conditionalFormatting>
  <conditionalFormatting sqref="D31">
    <cfRule type="cellIs" dxfId="34" priority="1009" operator="equal">
      <formula>$S$1</formula>
    </cfRule>
    <cfRule type="cellIs" dxfId="33" priority="1010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12" zoomScale="90" zoomScaleNormal="90" workbookViewId="0">
      <pane xSplit="4" topLeftCell="R1" activePane="topRight" state="frozen"/>
      <selection activeCell="A109" sqref="A109"/>
      <selection pane="topRight" activeCell="BF141" sqref="BF14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$A$140</v>
      </c>
      <c r="D111" s="1" t="str">
        <f>ADDRESS(C121-1,D121,1,1)</f>
        <v>$BF$140</v>
      </c>
      <c r="E111"/>
    </row>
    <row r="112" spans="1:5" x14ac:dyDescent="0.25">
      <c r="A112" s="30">
        <v>2.3579476910000019</v>
      </c>
      <c r="C112" s="1" t="str">
        <f>ADDRESS(C121,1,1,1)</f>
        <v>$A$141</v>
      </c>
      <c r="D112" s="1" t="str">
        <f>ADDRESS(C121,D121-1,1,1)</f>
        <v>$BE$141</v>
      </c>
      <c r="E112"/>
    </row>
    <row r="113" spans="1:50" x14ac:dyDescent="0.25">
      <c r="A113" s="30">
        <v>2.1435888100000016</v>
      </c>
      <c r="C113" s="1" t="str">
        <f>ADDRESS(C121+1,1,1,1)</f>
        <v>$A$142</v>
      </c>
      <c r="D113" s="1" t="str">
        <f>ADDRESS(C121-1,D121+1,1,1)</f>
        <v>$BG$140</v>
      </c>
    </row>
    <row r="114" spans="1:50" x14ac:dyDescent="0.25">
      <c r="A114" s="30">
        <v>1.9487171000000014</v>
      </c>
      <c r="C114" s="1" t="str">
        <f>ADDRESS(C121,D121,1,1)</f>
        <v>$BF$141</v>
      </c>
      <c r="D114" s="1" t="str">
        <f>ADDRESS(C121+1,D121+1,1,1)</f>
        <v>$BG$142</v>
      </c>
    </row>
    <row r="115" spans="1:50" x14ac:dyDescent="0.25">
      <c r="A115" s="30">
        <v>1.7715610000000011</v>
      </c>
      <c r="C115" s="1" t="str">
        <f>ADDRESS(C121+1,D121,1,1)</f>
        <v>$BF$142</v>
      </c>
    </row>
    <row r="116" spans="1:50" x14ac:dyDescent="0.25">
      <c r="A116" s="30">
        <v>1.6105100000000008</v>
      </c>
      <c r="C116" s="1">
        <f>C117-1</f>
        <v>140</v>
      </c>
    </row>
    <row r="117" spans="1:50" x14ac:dyDescent="0.25">
      <c r="A117" s="30">
        <v>1.4641000000000006</v>
      </c>
      <c r="C117" s="1">
        <f>C121</f>
        <v>141</v>
      </c>
      <c r="D117" s="1">
        <f>D121</f>
        <v>58</v>
      </c>
    </row>
    <row r="118" spans="1:50" x14ac:dyDescent="0.25">
      <c r="A118" s="30">
        <v>1.3310000000000004</v>
      </c>
      <c r="C118" s="1">
        <f>C117+1</f>
        <v>142</v>
      </c>
      <c r="D118" s="1">
        <f>D117+1</f>
        <v>59</v>
      </c>
    </row>
    <row r="119" spans="1:50" x14ac:dyDescent="0.25">
      <c r="A119" s="30">
        <v>1.2100000000000002</v>
      </c>
    </row>
    <row r="120" spans="1:50" x14ac:dyDescent="0.25">
      <c r="A120" s="30">
        <v>1.1000000000000001</v>
      </c>
      <c r="C120" s="1" t="s">
        <v>9</v>
      </c>
    </row>
    <row r="121" spans="1:50" x14ac:dyDescent="0.25">
      <c r="A121" s="30">
        <v>1</v>
      </c>
      <c r="C121" s="18">
        <v>141</v>
      </c>
      <c r="D121" s="19">
        <v>58</v>
      </c>
      <c r="E121" s="18" t="s">
        <v>8</v>
      </c>
    </row>
    <row r="122" spans="1:50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50" x14ac:dyDescent="0.25">
      <c r="A123" s="30">
        <v>0.82644628099173523</v>
      </c>
      <c r="C123" s="1" t="str">
        <f>"R"&amp;C121</f>
        <v>R141</v>
      </c>
      <c r="D123" s="1" t="str">
        <f>"C"&amp;D121</f>
        <v>C58</v>
      </c>
      <c r="F123" s="27" t="s">
        <v>7</v>
      </c>
    </row>
    <row r="124" spans="1:50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I124" s="27" t="s">
        <v>8</v>
      </c>
    </row>
    <row r="125" spans="1:50" x14ac:dyDescent="0.25">
      <c r="A125" s="30">
        <v>0.68301345536507019</v>
      </c>
      <c r="F125" s="27" t="s">
        <v>7</v>
      </c>
      <c r="AI125" s="27" t="s">
        <v>8</v>
      </c>
      <c r="AJ125" s="27" t="s">
        <v>7</v>
      </c>
      <c r="AW125" s="27" t="s">
        <v>8</v>
      </c>
    </row>
    <row r="126" spans="1:50" x14ac:dyDescent="0.25">
      <c r="A126" s="30">
        <v>0.6209213230591546</v>
      </c>
      <c r="C126" s="1" t="s">
        <v>10</v>
      </c>
      <c r="F126" s="27" t="s">
        <v>7</v>
      </c>
      <c r="AI126" s="27" t="s">
        <v>8</v>
      </c>
      <c r="AJ126" s="27" t="s">
        <v>7</v>
      </c>
      <c r="AM126" s="31" t="s">
        <v>8</v>
      </c>
      <c r="AW126" s="27" t="s">
        <v>8</v>
      </c>
      <c r="AX126" s="27" t="s">
        <v>7</v>
      </c>
    </row>
    <row r="127" spans="1:50" x14ac:dyDescent="0.25">
      <c r="A127" s="30">
        <v>0.56447393005377677</v>
      </c>
      <c r="C127" s="30">
        <v>0.14864362802414322</v>
      </c>
      <c r="D127"/>
      <c r="F127" s="27" t="s">
        <v>7</v>
      </c>
      <c r="AI127" s="27" t="s">
        <v>8</v>
      </c>
      <c r="AJ127" s="27" t="s">
        <v>7</v>
      </c>
      <c r="AM127" s="27" t="s">
        <v>8</v>
      </c>
      <c r="AN127" s="31" t="s">
        <v>7</v>
      </c>
      <c r="AW127" s="27" t="s">
        <v>8</v>
      </c>
      <c r="AX127" s="27" t="s">
        <v>7</v>
      </c>
    </row>
    <row r="128" spans="1:50" x14ac:dyDescent="0.25">
      <c r="A128" s="30">
        <v>0.51315811823070612</v>
      </c>
      <c r="F128" s="27" t="s">
        <v>7</v>
      </c>
      <c r="AI128" s="27" t="s">
        <v>8</v>
      </c>
      <c r="AJ128" s="27" t="s">
        <v>7</v>
      </c>
      <c r="AM128" s="27" t="s">
        <v>8</v>
      </c>
      <c r="AN128" s="27" t="s">
        <v>7</v>
      </c>
      <c r="AO128" s="31"/>
      <c r="AW128" s="27" t="s">
        <v>8</v>
      </c>
      <c r="AX128" s="27" t="s">
        <v>7</v>
      </c>
    </row>
    <row r="129" spans="1:58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I129" s="27" t="s">
        <v>8</v>
      </c>
      <c r="AJ129" s="27" t="s">
        <v>7</v>
      </c>
      <c r="AM129" s="32" t="s">
        <v>8</v>
      </c>
      <c r="AN129" s="27" t="s">
        <v>7</v>
      </c>
      <c r="AP129" s="31"/>
      <c r="AW129" s="27" t="s">
        <v>8</v>
      </c>
      <c r="AX129" s="27" t="s">
        <v>7</v>
      </c>
    </row>
    <row r="130" spans="1:58" x14ac:dyDescent="0.25">
      <c r="A130" s="30">
        <v>0.42409761837248428</v>
      </c>
      <c r="C130" s="6"/>
      <c r="D130" s="6"/>
      <c r="E130"/>
      <c r="F130" s="27" t="s">
        <v>7</v>
      </c>
      <c r="AG130" s="27" t="s">
        <v>8</v>
      </c>
      <c r="AI130" s="27" t="s">
        <v>8</v>
      </c>
      <c r="AJ130" s="27" t="s">
        <v>7</v>
      </c>
      <c r="AK130" s="27" t="s">
        <v>8</v>
      </c>
      <c r="AM130" s="27" t="s">
        <v>8</v>
      </c>
      <c r="AN130" s="27" t="s">
        <v>7</v>
      </c>
      <c r="AQ130" s="31"/>
      <c r="AW130" s="27" t="s">
        <v>8</v>
      </c>
      <c r="AX130" s="27" t="s">
        <v>7</v>
      </c>
      <c r="AY130" s="27" t="s">
        <v>8</v>
      </c>
    </row>
    <row r="131" spans="1:58" x14ac:dyDescent="0.25">
      <c r="A131" s="30">
        <v>0.38554328942953109</v>
      </c>
      <c r="E131"/>
      <c r="F131" s="27" t="s">
        <v>7</v>
      </c>
      <c r="AG131" s="27" t="s">
        <v>8</v>
      </c>
      <c r="AH131" s="27" t="s">
        <v>7</v>
      </c>
      <c r="AI131" s="27" t="s">
        <v>8</v>
      </c>
      <c r="AJ131" s="27" t="s">
        <v>7</v>
      </c>
      <c r="AK131" s="27" t="s">
        <v>8</v>
      </c>
      <c r="AL131" s="27" t="s">
        <v>7</v>
      </c>
      <c r="AM131" s="27" t="s">
        <v>8</v>
      </c>
      <c r="AN131" s="27" t="s">
        <v>7</v>
      </c>
      <c r="AR131" s="31"/>
      <c r="AW131" s="27" t="s">
        <v>8</v>
      </c>
      <c r="AX131" s="27" t="s">
        <v>7</v>
      </c>
      <c r="AY131" s="27" t="s">
        <v>8</v>
      </c>
      <c r="AZ131" s="27" t="s">
        <v>7</v>
      </c>
      <c r="BA131" s="27" t="s">
        <v>8</v>
      </c>
      <c r="BC131" s="27" t="s">
        <v>8</v>
      </c>
      <c r="BE131" s="27" t="s">
        <v>8</v>
      </c>
    </row>
    <row r="132" spans="1:58" x14ac:dyDescent="0.25">
      <c r="A132" s="30">
        <v>0.35049389948139187</v>
      </c>
      <c r="C132" s="1" t="s">
        <v>13</v>
      </c>
      <c r="E132"/>
      <c r="F132" s="27" t="s">
        <v>7</v>
      </c>
      <c r="AG132" s="27" t="s">
        <v>8</v>
      </c>
      <c r="AH132" s="27" t="s">
        <v>7</v>
      </c>
      <c r="AI132" s="27" t="s">
        <v>8</v>
      </c>
      <c r="AJ132" s="27" t="s">
        <v>7</v>
      </c>
      <c r="AK132" s="27" t="s">
        <v>8</v>
      </c>
      <c r="AL132" s="27" t="s">
        <v>7</v>
      </c>
      <c r="AM132" s="27" t="s">
        <v>8</v>
      </c>
      <c r="AN132" s="27" t="s">
        <v>7</v>
      </c>
      <c r="AS132" s="31"/>
      <c r="AU132" s="27" t="s">
        <v>8</v>
      </c>
      <c r="AW132" s="27" t="s">
        <v>8</v>
      </c>
      <c r="AX132" s="27" t="s">
        <v>7</v>
      </c>
      <c r="AY132" s="27" t="s">
        <v>8</v>
      </c>
      <c r="AZ132" s="27" t="s">
        <v>7</v>
      </c>
      <c r="BA132" s="27" t="s">
        <v>8</v>
      </c>
      <c r="BB132" s="27" t="s">
        <v>7</v>
      </c>
      <c r="BC132" s="27" t="s">
        <v>8</v>
      </c>
      <c r="BD132" s="27" t="s">
        <v>7</v>
      </c>
      <c r="BE132" s="27" t="s">
        <v>8</v>
      </c>
      <c r="BF132" s="27" t="s">
        <v>7</v>
      </c>
    </row>
    <row r="133" spans="1:58" x14ac:dyDescent="0.25">
      <c r="A133" s="30">
        <v>0.31863081771035617</v>
      </c>
      <c r="C133" s="1" t="str">
        <f>C122</f>
        <v>O</v>
      </c>
      <c r="E133"/>
      <c r="F133" s="27" t="s">
        <v>7</v>
      </c>
      <c r="AG133" s="27" t="s">
        <v>8</v>
      </c>
      <c r="AH133" s="27" t="s">
        <v>7</v>
      </c>
      <c r="AI133" s="27" t="s">
        <v>8</v>
      </c>
      <c r="AJ133" s="27" t="s">
        <v>7</v>
      </c>
      <c r="AL133" s="27" t="s">
        <v>7</v>
      </c>
      <c r="AM133" s="27" t="s">
        <v>8</v>
      </c>
      <c r="AN133" s="27" t="s">
        <v>7</v>
      </c>
      <c r="AO133" s="27" t="s">
        <v>8</v>
      </c>
      <c r="AT133" s="31"/>
      <c r="AU133" s="27" t="s">
        <v>8</v>
      </c>
      <c r="AV133" s="27" t="s">
        <v>7</v>
      </c>
      <c r="AW133" s="27" t="s">
        <v>8</v>
      </c>
      <c r="AX133" s="27" t="s">
        <v>7</v>
      </c>
      <c r="AY133" s="27" t="s">
        <v>8</v>
      </c>
      <c r="AZ133" s="27" t="s">
        <v>7</v>
      </c>
      <c r="BA133" s="27" t="s">
        <v>8</v>
      </c>
      <c r="BB133" s="27" t="s">
        <v>7</v>
      </c>
      <c r="BC133" s="27" t="s">
        <v>8</v>
      </c>
      <c r="BD133" s="27" t="s">
        <v>7</v>
      </c>
      <c r="BE133" s="27" t="s">
        <v>8</v>
      </c>
      <c r="BF133" s="27" t="s">
        <v>7</v>
      </c>
    </row>
    <row r="134" spans="1:58" x14ac:dyDescent="0.25">
      <c r="A134" s="30">
        <v>0.28966437973668741</v>
      </c>
      <c r="C134"/>
      <c r="D134"/>
      <c r="E134"/>
      <c r="F134" s="27" t="s">
        <v>7</v>
      </c>
      <c r="AG134" s="27" t="s">
        <v>8</v>
      </c>
      <c r="AH134" s="27" t="s">
        <v>7</v>
      </c>
      <c r="AI134" s="27" t="s">
        <v>8</v>
      </c>
      <c r="AL134" s="33" t="s">
        <v>7</v>
      </c>
      <c r="AM134" s="27" t="s">
        <v>8</v>
      </c>
      <c r="AN134" s="27" t="s">
        <v>7</v>
      </c>
      <c r="AO134" s="27" t="s">
        <v>8</v>
      </c>
      <c r="AP134" s="27" t="s">
        <v>7</v>
      </c>
      <c r="AU134" s="31" t="s">
        <v>8</v>
      </c>
      <c r="AV134" s="27" t="s">
        <v>7</v>
      </c>
      <c r="AW134" s="27" t="s">
        <v>8</v>
      </c>
      <c r="AX134" s="27" t="s">
        <v>7</v>
      </c>
      <c r="AY134" s="27" t="s">
        <v>8</v>
      </c>
      <c r="AZ134" s="27" t="s">
        <v>7</v>
      </c>
      <c r="BB134" s="27" t="s">
        <v>7</v>
      </c>
      <c r="BD134" s="27" t="s">
        <v>7</v>
      </c>
      <c r="BE134" s="27" t="s">
        <v>8</v>
      </c>
      <c r="BF134" s="27" t="s">
        <v>7</v>
      </c>
    </row>
    <row r="135" spans="1:58" x14ac:dyDescent="0.25">
      <c r="A135" s="30">
        <v>0.2633312543060794</v>
      </c>
      <c r="C135" s="1" t="s">
        <v>14</v>
      </c>
      <c r="E135"/>
      <c r="F135" s="27" t="s">
        <v>7</v>
      </c>
      <c r="AG135" s="27" t="s">
        <v>8</v>
      </c>
      <c r="AH135" s="27" t="s">
        <v>7</v>
      </c>
      <c r="AL135" s="27" t="s">
        <v>7</v>
      </c>
      <c r="AN135" s="27" t="s">
        <v>7</v>
      </c>
      <c r="AO135" s="27" t="s">
        <v>8</v>
      </c>
      <c r="AP135" s="27" t="s">
        <v>7</v>
      </c>
      <c r="AQ135" s="27" t="s">
        <v>8</v>
      </c>
      <c r="AU135" s="27" t="s">
        <v>8</v>
      </c>
      <c r="AV135" s="27" t="s">
        <v>7</v>
      </c>
      <c r="AW135" s="27" t="s">
        <v>8</v>
      </c>
      <c r="AX135" s="27" t="s">
        <v>7</v>
      </c>
      <c r="BD135" s="27" t="s">
        <v>7</v>
      </c>
      <c r="BE135" s="27" t="s">
        <v>8</v>
      </c>
      <c r="BF135" s="27" t="s">
        <v>7</v>
      </c>
    </row>
    <row r="136" spans="1:58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AG136" s="32" t="s">
        <v>8</v>
      </c>
      <c r="AN136" s="33" t="s">
        <v>7</v>
      </c>
      <c r="AO136" s="27" t="s">
        <v>8</v>
      </c>
      <c r="AP136" s="27" t="s">
        <v>7</v>
      </c>
      <c r="AQ136" s="27" t="s">
        <v>8</v>
      </c>
      <c r="AR136" s="27" t="s">
        <v>7</v>
      </c>
      <c r="AU136" s="32" t="s">
        <v>8</v>
      </c>
      <c r="AV136" s="27" t="s">
        <v>7</v>
      </c>
      <c r="BD136" s="27" t="s">
        <v>7</v>
      </c>
      <c r="BE136" s="27" t="s">
        <v>8</v>
      </c>
      <c r="BF136" s="27" t="s">
        <v>7</v>
      </c>
    </row>
    <row r="137" spans="1:58" x14ac:dyDescent="0.25">
      <c r="A137" s="30">
        <v>0.2176291357901482</v>
      </c>
      <c r="E137"/>
      <c r="F137" s="27" t="s">
        <v>7</v>
      </c>
      <c r="AC137" s="27" t="s">
        <v>8</v>
      </c>
      <c r="AE137" s="27" t="s">
        <v>8</v>
      </c>
      <c r="AG137" s="27" t="s">
        <v>8</v>
      </c>
      <c r="AN137" s="27" t="s">
        <v>7</v>
      </c>
      <c r="AO137" s="27" t="s">
        <v>8</v>
      </c>
      <c r="AP137" s="27" t="s">
        <v>7</v>
      </c>
      <c r="AQ137" s="27" t="s">
        <v>8</v>
      </c>
      <c r="AR137" s="27" t="s">
        <v>7</v>
      </c>
      <c r="AS137" s="27" t="s">
        <v>8</v>
      </c>
      <c r="AU137" s="27" t="s">
        <v>8</v>
      </c>
      <c r="BD137" s="27" t="s">
        <v>7</v>
      </c>
      <c r="BF137" s="27" t="s">
        <v>7</v>
      </c>
    </row>
    <row r="138" spans="1:58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AC138" s="27" t="s">
        <v>8</v>
      </c>
      <c r="AD138" s="27" t="s">
        <v>7</v>
      </c>
      <c r="AE138" s="27" t="s">
        <v>8</v>
      </c>
      <c r="AF138" s="27" t="s">
        <v>7</v>
      </c>
      <c r="AG138" s="27" t="s">
        <v>8</v>
      </c>
      <c r="AN138" s="31" t="s">
        <v>7</v>
      </c>
      <c r="AO138" s="27" t="s">
        <v>8</v>
      </c>
      <c r="AP138" s="27" t="s">
        <v>7</v>
      </c>
      <c r="AQ138" s="27" t="s">
        <v>8</v>
      </c>
      <c r="AR138" s="27" t="s">
        <v>7</v>
      </c>
      <c r="AS138" s="27" t="s">
        <v>8</v>
      </c>
      <c r="AT138" s="27" t="s">
        <v>7</v>
      </c>
      <c r="AU138" s="27" t="s">
        <v>8</v>
      </c>
      <c r="BF138" s="27" t="s">
        <v>7</v>
      </c>
    </row>
    <row r="139" spans="1:58" x14ac:dyDescent="0.25">
      <c r="A139" s="30">
        <v>0.17985878990921333</v>
      </c>
      <c r="E139"/>
      <c r="F139" s="27" t="s">
        <v>7</v>
      </c>
      <c r="AC139" s="27" t="s">
        <v>8</v>
      </c>
      <c r="AD139" s="27" t="s">
        <v>7</v>
      </c>
      <c r="AE139" s="27" t="s">
        <v>8</v>
      </c>
      <c r="AF139" s="27" t="s">
        <v>7</v>
      </c>
      <c r="AG139" s="27" t="s">
        <v>8</v>
      </c>
      <c r="AM139" s="31"/>
      <c r="AN139" s="27" t="s">
        <v>7</v>
      </c>
      <c r="AO139" s="27" t="s">
        <v>8</v>
      </c>
      <c r="AP139" s="27" t="s">
        <v>7</v>
      </c>
      <c r="AR139" s="27" t="s">
        <v>7</v>
      </c>
      <c r="AS139" s="27" t="s">
        <v>8</v>
      </c>
      <c r="AT139" s="27" t="s">
        <v>7</v>
      </c>
      <c r="AU139" s="27" t="s">
        <v>8</v>
      </c>
      <c r="BF139" s="27" t="s">
        <v>7</v>
      </c>
    </row>
    <row r="140" spans="1:58" x14ac:dyDescent="0.25">
      <c r="A140" s="30">
        <v>0.16350799082655756</v>
      </c>
      <c r="C140" s="1">
        <v>0</v>
      </c>
      <c r="E140"/>
      <c r="F140" s="27" t="s">
        <v>7</v>
      </c>
      <c r="AC140" s="27" t="s">
        <v>8</v>
      </c>
      <c r="AD140" s="27" t="s">
        <v>7</v>
      </c>
      <c r="AF140" s="27" t="s">
        <v>7</v>
      </c>
      <c r="AG140" s="27" t="s">
        <v>8</v>
      </c>
      <c r="AL140" s="31"/>
      <c r="AN140" s="27" t="s">
        <v>7</v>
      </c>
      <c r="AR140" s="27" t="s">
        <v>7</v>
      </c>
      <c r="AS140" s="27" t="s">
        <v>8</v>
      </c>
      <c r="AT140" s="27" t="s">
        <v>7</v>
      </c>
      <c r="AU140" s="27" t="s">
        <v>8</v>
      </c>
      <c r="BF140" s="27" t="s">
        <v>7</v>
      </c>
    </row>
    <row r="141" spans="1:58" x14ac:dyDescent="0.25">
      <c r="A141" s="30">
        <v>0.14864362802414322</v>
      </c>
      <c r="C141" s="1">
        <v>1</v>
      </c>
      <c r="E141"/>
      <c r="F141" s="27" t="s">
        <v>7</v>
      </c>
      <c r="AC141" s="27" t="s">
        <v>8</v>
      </c>
      <c r="AF141" s="33" t="s">
        <v>7</v>
      </c>
      <c r="AG141" s="27" t="s">
        <v>8</v>
      </c>
      <c r="AK141" s="31"/>
      <c r="AR141" s="27" t="s">
        <v>7</v>
      </c>
      <c r="AS141" s="27" t="s">
        <v>8</v>
      </c>
      <c r="AT141" s="27" t="s">
        <v>7</v>
      </c>
      <c r="AU141" s="27" t="s">
        <v>8</v>
      </c>
      <c r="BF141" s="27" t="s">
        <v>7</v>
      </c>
    </row>
    <row r="142" spans="1:58" x14ac:dyDescent="0.25">
      <c r="A142" s="30">
        <v>0.13513057093103928</v>
      </c>
      <c r="C142" s="1">
        <v>2</v>
      </c>
      <c r="E142"/>
      <c r="F142" s="27" t="s">
        <v>7</v>
      </c>
      <c r="AC142" s="27" t="s">
        <v>8</v>
      </c>
      <c r="AF142" s="27" t="s">
        <v>7</v>
      </c>
      <c r="AG142" s="27" t="s">
        <v>8</v>
      </c>
      <c r="AJ142" s="31"/>
      <c r="AR142" s="27" t="s">
        <v>7</v>
      </c>
      <c r="AS142" s="27" t="s">
        <v>8</v>
      </c>
      <c r="AT142" s="18" t="s">
        <v>7</v>
      </c>
      <c r="AU142" s="27" t="s">
        <v>8</v>
      </c>
    </row>
    <row r="143" spans="1:58" x14ac:dyDescent="0.25">
      <c r="A143" s="30">
        <v>0.12284597357367205</v>
      </c>
      <c r="C143" s="1">
        <v>3</v>
      </c>
      <c r="E143"/>
      <c r="F143" s="27" t="s">
        <v>7</v>
      </c>
      <c r="AC143" s="27" t="s">
        <v>8</v>
      </c>
      <c r="AF143" s="27" t="s">
        <v>7</v>
      </c>
      <c r="AI143" s="31"/>
      <c r="AR143" s="27" t="s">
        <v>7</v>
      </c>
      <c r="AS143" s="27" t="s">
        <v>8</v>
      </c>
      <c r="AT143" s="27" t="s">
        <v>7</v>
      </c>
    </row>
    <row r="144" spans="1:58" x14ac:dyDescent="0.25">
      <c r="A144" s="30">
        <v>0.11167815779424731</v>
      </c>
      <c r="C144" s="1">
        <v>4</v>
      </c>
      <c r="E144"/>
      <c r="F144" s="27" t="s">
        <v>7</v>
      </c>
      <c r="AC144" s="27" t="s">
        <v>8</v>
      </c>
      <c r="AH144" s="31"/>
      <c r="AR144" s="27" t="s">
        <v>7</v>
      </c>
      <c r="AS144" s="27" t="s">
        <v>8</v>
      </c>
    </row>
    <row r="145" spans="1:45" x14ac:dyDescent="0.25">
      <c r="A145" s="30">
        <v>0.10152559799477026</v>
      </c>
      <c r="B145"/>
      <c r="C145"/>
      <c r="D145"/>
      <c r="E145"/>
      <c r="F145" s="27" t="s">
        <v>7</v>
      </c>
      <c r="AC145" s="32" t="s">
        <v>8</v>
      </c>
      <c r="AG145" s="31"/>
      <c r="AR145" s="27" t="s">
        <v>7</v>
      </c>
      <c r="AS145" s="27" t="s">
        <v>8</v>
      </c>
    </row>
    <row r="146" spans="1:45" x14ac:dyDescent="0.25">
      <c r="A146" s="30">
        <v>9.2295998177063854E-2</v>
      </c>
      <c r="B146"/>
      <c r="C146"/>
      <c r="D146"/>
      <c r="E146"/>
      <c r="F146" s="27" t="s">
        <v>7</v>
      </c>
      <c r="S146" s="27" t="s">
        <v>8</v>
      </c>
      <c r="Y146" s="27" t="s">
        <v>8</v>
      </c>
      <c r="AA146" s="27" t="s">
        <v>8</v>
      </c>
      <c r="AC146" s="27" t="s">
        <v>8</v>
      </c>
      <c r="AF146" s="31"/>
      <c r="AR146" s="27" t="s">
        <v>7</v>
      </c>
    </row>
    <row r="147" spans="1:45" x14ac:dyDescent="0.25">
      <c r="A147" s="30">
        <v>8.3905452888239848E-2</v>
      </c>
      <c r="B147"/>
      <c r="C147"/>
      <c r="D147"/>
      <c r="E147"/>
      <c r="F147" s="27" t="s">
        <v>7</v>
      </c>
      <c r="G147" s="27" t="s">
        <v>8</v>
      </c>
      <c r="K147" s="27" t="s">
        <v>8</v>
      </c>
      <c r="Q147" s="27" t="s">
        <v>8</v>
      </c>
      <c r="S147" s="27" t="s">
        <v>8</v>
      </c>
      <c r="T147" s="27" t="s">
        <v>7</v>
      </c>
      <c r="U147" s="27" t="s">
        <v>8</v>
      </c>
      <c r="W147" s="27" t="s">
        <v>8</v>
      </c>
      <c r="Y147" s="27" t="s">
        <v>8</v>
      </c>
      <c r="Z147" s="27" t="s">
        <v>7</v>
      </c>
      <c r="AA147" s="27" t="s">
        <v>8</v>
      </c>
      <c r="AB147" s="27" t="s">
        <v>7</v>
      </c>
      <c r="AC147" s="27" t="s">
        <v>8</v>
      </c>
      <c r="AE147" s="31"/>
    </row>
    <row r="148" spans="1:45" x14ac:dyDescent="0.25">
      <c r="A148" s="30">
        <v>7.6277684443854396E-2</v>
      </c>
      <c r="B148"/>
      <c r="C148"/>
      <c r="D148"/>
      <c r="E148"/>
      <c r="F148" s="27" t="s">
        <v>7</v>
      </c>
      <c r="G148" s="27" t="s">
        <v>8</v>
      </c>
      <c r="H148" s="27" t="s">
        <v>7</v>
      </c>
      <c r="K148" s="27" t="s">
        <v>8</v>
      </c>
      <c r="L148" s="27" t="s">
        <v>7</v>
      </c>
      <c r="Q148" s="27" t="s">
        <v>8</v>
      </c>
      <c r="R148" s="27" t="s">
        <v>7</v>
      </c>
      <c r="S148" s="27" t="s">
        <v>8</v>
      </c>
      <c r="T148" s="27" t="s">
        <v>7</v>
      </c>
      <c r="U148" s="27" t="s">
        <v>8</v>
      </c>
      <c r="V148" s="27" t="s">
        <v>7</v>
      </c>
      <c r="W148" s="27" t="s">
        <v>8</v>
      </c>
      <c r="X148" s="27" t="s">
        <v>7</v>
      </c>
      <c r="Y148" s="27" t="s">
        <v>8</v>
      </c>
      <c r="Z148" s="27" t="s">
        <v>7</v>
      </c>
      <c r="AA148" s="27" t="s">
        <v>8</v>
      </c>
      <c r="AB148" s="27" t="s">
        <v>7</v>
      </c>
      <c r="AC148" s="27" t="s">
        <v>8</v>
      </c>
      <c r="AD148" s="31"/>
    </row>
    <row r="149" spans="1:45" x14ac:dyDescent="0.25">
      <c r="A149" s="30">
        <v>6.9343349494413078E-2</v>
      </c>
      <c r="B149"/>
      <c r="C149"/>
      <c r="D149"/>
      <c r="E149"/>
      <c r="F149" s="27" t="s">
        <v>7</v>
      </c>
      <c r="G149" s="27" t="s">
        <v>8</v>
      </c>
      <c r="H149" s="27" t="s">
        <v>7</v>
      </c>
      <c r="K149" s="27" t="s">
        <v>8</v>
      </c>
      <c r="L149" s="27" t="s">
        <v>7</v>
      </c>
      <c r="M149" s="27" t="s">
        <v>8</v>
      </c>
      <c r="Q149" s="27" t="s">
        <v>8</v>
      </c>
      <c r="R149" s="27" t="s">
        <v>7</v>
      </c>
      <c r="S149" s="27" t="s">
        <v>8</v>
      </c>
      <c r="T149" s="27" t="s">
        <v>7</v>
      </c>
      <c r="U149" s="27" t="s">
        <v>8</v>
      </c>
      <c r="V149" s="27" t="s">
        <v>7</v>
      </c>
      <c r="W149" s="27" t="s">
        <v>8</v>
      </c>
      <c r="X149" s="27" t="s">
        <v>7</v>
      </c>
      <c r="Y149" s="27" t="s">
        <v>8</v>
      </c>
      <c r="Z149" s="27" t="s">
        <v>7</v>
      </c>
      <c r="AB149" s="27" t="s">
        <v>7</v>
      </c>
      <c r="AC149" s="31" t="s">
        <v>8</v>
      </c>
    </row>
    <row r="150" spans="1:45" x14ac:dyDescent="0.25">
      <c r="A150" s="30">
        <v>6.3039408631284613E-2</v>
      </c>
      <c r="B150"/>
      <c r="C150"/>
      <c r="D150"/>
      <c r="E150"/>
      <c r="F150" s="27" t="s">
        <v>7</v>
      </c>
      <c r="G150" s="27" t="s">
        <v>8</v>
      </c>
      <c r="H150" s="27" t="s">
        <v>7</v>
      </c>
      <c r="I150" s="27" t="s">
        <v>8</v>
      </c>
      <c r="K150" s="27" t="s">
        <v>8</v>
      </c>
      <c r="L150" s="27" t="s">
        <v>7</v>
      </c>
      <c r="M150" s="27" t="s">
        <v>8</v>
      </c>
      <c r="N150" s="27" t="s">
        <v>7</v>
      </c>
      <c r="O150" s="27" t="s">
        <v>8</v>
      </c>
      <c r="Q150" s="27" t="s">
        <v>8</v>
      </c>
      <c r="R150" s="27" t="s">
        <v>7</v>
      </c>
      <c r="S150" s="27" t="s">
        <v>8</v>
      </c>
      <c r="T150" s="27" t="s">
        <v>7</v>
      </c>
      <c r="V150" s="27" t="s">
        <v>7</v>
      </c>
      <c r="X150" s="27" t="s">
        <v>7</v>
      </c>
      <c r="AB150" s="33" t="s">
        <v>7</v>
      </c>
    </row>
    <row r="151" spans="1:45" x14ac:dyDescent="0.25">
      <c r="A151" s="30">
        <v>5.7308553301167818E-2</v>
      </c>
      <c r="B151"/>
      <c r="C151"/>
      <c r="D151"/>
      <c r="E151"/>
      <c r="F151" s="27" t="s">
        <v>7</v>
      </c>
      <c r="G151" s="27" t="s">
        <v>8</v>
      </c>
      <c r="H151" s="27" t="s">
        <v>7</v>
      </c>
      <c r="I151" s="27" t="s">
        <v>8</v>
      </c>
      <c r="J151" s="27" t="s">
        <v>7</v>
      </c>
      <c r="K151" s="27" t="s">
        <v>8</v>
      </c>
      <c r="L151" s="27" t="s">
        <v>7</v>
      </c>
      <c r="M151" s="27" t="s">
        <v>8</v>
      </c>
      <c r="N151" s="27" t="s">
        <v>7</v>
      </c>
      <c r="O151" s="27" t="s">
        <v>8</v>
      </c>
      <c r="P151" s="27" t="s">
        <v>7</v>
      </c>
      <c r="Q151" s="27" t="s">
        <v>8</v>
      </c>
      <c r="R151" s="27" t="s">
        <v>7</v>
      </c>
      <c r="S151" s="27" t="s">
        <v>8</v>
      </c>
    </row>
    <row r="152" spans="1:45" x14ac:dyDescent="0.25">
      <c r="A152" s="30">
        <v>5.2098684819243464E-2</v>
      </c>
      <c r="B152"/>
      <c r="C152"/>
      <c r="D152"/>
      <c r="E152"/>
      <c r="F152" s="27" t="s">
        <v>7</v>
      </c>
      <c r="G152" s="27" t="s">
        <v>8</v>
      </c>
      <c r="H152" s="27" t="s">
        <v>7</v>
      </c>
      <c r="I152" s="27" t="s">
        <v>8</v>
      </c>
      <c r="J152" s="27" t="s">
        <v>7</v>
      </c>
      <c r="K152" s="27" t="s">
        <v>8</v>
      </c>
      <c r="L152" s="27" t="s">
        <v>7</v>
      </c>
      <c r="M152" s="27" t="s">
        <v>8</v>
      </c>
      <c r="N152" s="27" t="s">
        <v>7</v>
      </c>
      <c r="O152" s="27" t="s">
        <v>8</v>
      </c>
      <c r="P152" s="27" t="s">
        <v>7</v>
      </c>
      <c r="Q152" s="27" t="s">
        <v>8</v>
      </c>
      <c r="R152" s="27" t="s">
        <v>7</v>
      </c>
      <c r="S152" s="27" t="s">
        <v>8</v>
      </c>
    </row>
    <row r="153" spans="1:45" x14ac:dyDescent="0.25">
      <c r="A153" s="30">
        <v>4.7362440744766775E-2</v>
      </c>
      <c r="B153"/>
      <c r="C153"/>
      <c r="D153"/>
      <c r="E153"/>
      <c r="F153" s="27" t="s">
        <v>7</v>
      </c>
      <c r="G153" s="27" t="s">
        <v>8</v>
      </c>
      <c r="H153" s="27" t="s">
        <v>7</v>
      </c>
      <c r="J153" s="27" t="s">
        <v>7</v>
      </c>
      <c r="K153" s="27" t="s">
        <v>8</v>
      </c>
      <c r="L153" s="27" t="s">
        <v>7</v>
      </c>
      <c r="M153" s="27" t="s">
        <v>8</v>
      </c>
      <c r="N153" s="27" t="s">
        <v>7</v>
      </c>
      <c r="P153" s="27" t="s">
        <v>7</v>
      </c>
      <c r="R153" s="27" t="s">
        <v>7</v>
      </c>
    </row>
    <row r="154" spans="1:45" x14ac:dyDescent="0.25">
      <c r="A154" s="30">
        <v>4.3056764313424332E-2</v>
      </c>
      <c r="B154"/>
      <c r="C154"/>
      <c r="D154"/>
      <c r="E154"/>
      <c r="F154" s="27" t="s">
        <v>7</v>
      </c>
      <c r="G154" s="27" t="s">
        <v>8</v>
      </c>
      <c r="J154" s="27" t="s">
        <v>7</v>
      </c>
      <c r="L154" s="27" t="s">
        <v>7</v>
      </c>
      <c r="M154" s="27" t="s">
        <v>8</v>
      </c>
    </row>
    <row r="155" spans="1:45" x14ac:dyDescent="0.25">
      <c r="A155" s="30">
        <v>3.9142513012203929E-2</v>
      </c>
      <c r="B155"/>
      <c r="C155"/>
      <c r="D155"/>
      <c r="E155"/>
      <c r="F155" s="27" t="s">
        <v>7</v>
      </c>
      <c r="L155" s="27" t="s">
        <v>7</v>
      </c>
      <c r="M155" s="27" t="s">
        <v>8</v>
      </c>
    </row>
    <row r="156" spans="1:45" x14ac:dyDescent="0.25">
      <c r="A156" s="30">
        <v>3.55841027383672E-2</v>
      </c>
      <c r="B156"/>
      <c r="C156"/>
      <c r="D156"/>
      <c r="E156"/>
      <c r="L156" s="27" t="s">
        <v>7</v>
      </c>
      <c r="M156" s="27" t="s">
        <v>8</v>
      </c>
    </row>
    <row r="157" spans="1:45" x14ac:dyDescent="0.25">
      <c r="A157" s="30">
        <v>3.2349184307606541E-2</v>
      </c>
      <c r="B157"/>
      <c r="C157"/>
      <c r="D157"/>
      <c r="E157"/>
      <c r="L157" s="27" t="s">
        <v>7</v>
      </c>
      <c r="M157" s="27" t="s">
        <v>8</v>
      </c>
    </row>
    <row r="158" spans="1:45" x14ac:dyDescent="0.25">
      <c r="A158" s="30">
        <v>2.9408349370551395E-2</v>
      </c>
      <c r="B158"/>
      <c r="C158"/>
      <c r="D158"/>
      <c r="E158"/>
      <c r="L158" s="27" t="s">
        <v>7</v>
      </c>
      <c r="M158" s="27" t="s">
        <v>8</v>
      </c>
    </row>
    <row r="159" spans="1:45" x14ac:dyDescent="0.25">
      <c r="A159" s="30">
        <v>2.6734863064137627E-2</v>
      </c>
      <c r="B159"/>
      <c r="C159"/>
      <c r="D159"/>
      <c r="E159"/>
      <c r="L159" s="27" t="s">
        <v>7</v>
      </c>
      <c r="M159" s="27" t="s">
        <v>8</v>
      </c>
    </row>
    <row r="160" spans="1:45" x14ac:dyDescent="0.25">
      <c r="A160" s="30">
        <v>2.4304420967397839E-2</v>
      </c>
      <c r="B160"/>
      <c r="C160"/>
      <c r="D160"/>
      <c r="E160"/>
      <c r="L160" s="27" t="s">
        <v>7</v>
      </c>
      <c r="M160" s="27" t="s">
        <v>8</v>
      </c>
    </row>
    <row r="161" spans="1:12" x14ac:dyDescent="0.25">
      <c r="A161" s="30">
        <v>2.2094928152179852E-2</v>
      </c>
      <c r="B161"/>
      <c r="C161"/>
      <c r="D161"/>
      <c r="E161"/>
      <c r="L161" s="27" t="s">
        <v>7</v>
      </c>
    </row>
    <row r="162" spans="1:12" x14ac:dyDescent="0.25">
      <c r="A162" s="30">
        <v>2.0086298320163499E-2</v>
      </c>
      <c r="B162"/>
      <c r="C162"/>
      <c r="D162"/>
      <c r="E162"/>
    </row>
    <row r="163" spans="1:12" x14ac:dyDescent="0.25">
      <c r="A163" s="30">
        <v>1.8260271200148632E-2</v>
      </c>
      <c r="B163"/>
      <c r="C163"/>
      <c r="D163"/>
      <c r="E163"/>
    </row>
    <row r="164" spans="1:12" x14ac:dyDescent="0.25">
      <c r="A164" s="30">
        <v>1.6600246545589663E-2</v>
      </c>
      <c r="B164"/>
      <c r="C164"/>
      <c r="D164"/>
      <c r="E164"/>
    </row>
    <row r="165" spans="1:12" x14ac:dyDescent="0.25">
      <c r="A165" s="30">
        <v>1.5091133223263328E-2</v>
      </c>
      <c r="B165"/>
      <c r="C165"/>
      <c r="D165"/>
      <c r="E165"/>
    </row>
    <row r="166" spans="1:12" x14ac:dyDescent="0.25">
      <c r="A166" s="30">
        <v>1.3719212021148477E-2</v>
      </c>
      <c r="B166"/>
      <c r="C166"/>
      <c r="D166"/>
      <c r="E166"/>
    </row>
    <row r="167" spans="1:12" x14ac:dyDescent="0.25">
      <c r="A167" s="30">
        <v>1.2472010928316795E-2</v>
      </c>
      <c r="B167"/>
      <c r="C167"/>
      <c r="D167"/>
      <c r="E167"/>
    </row>
    <row r="168" spans="1:12" x14ac:dyDescent="0.25">
      <c r="A168" s="30">
        <v>1.1338191753015267E-2</v>
      </c>
      <c r="B168"/>
      <c r="C168"/>
      <c r="D168"/>
      <c r="E168"/>
    </row>
    <row r="169" spans="1:12" x14ac:dyDescent="0.25">
      <c r="A169" s="30">
        <v>1.0307447048195697E-2</v>
      </c>
      <c r="B169"/>
      <c r="C169"/>
      <c r="D169"/>
      <c r="E169"/>
    </row>
    <row r="170" spans="1:12" x14ac:dyDescent="0.25">
      <c r="A170" s="30">
        <v>9.3704064074506318E-3</v>
      </c>
      <c r="B170"/>
      <c r="C170"/>
      <c r="D170"/>
      <c r="E170"/>
    </row>
    <row r="171" spans="1:12" x14ac:dyDescent="0.25">
      <c r="A171" s="30">
        <v>8.5185512795005747E-3</v>
      </c>
    </row>
    <row r="172" spans="1:12" x14ac:dyDescent="0.25">
      <c r="A172" s="30">
        <v>7.744137526818704E-3</v>
      </c>
    </row>
    <row r="173" spans="1:12" x14ac:dyDescent="0.25">
      <c r="A173" s="30">
        <v>7.0401250243806394E-3</v>
      </c>
    </row>
    <row r="174" spans="1:12" x14ac:dyDescent="0.25">
      <c r="A174" s="30">
        <v>6.4001136585278536E-3</v>
      </c>
    </row>
    <row r="175" spans="1:12" x14ac:dyDescent="0.25">
      <c r="A175" s="30">
        <v>5.8182851441162305E-3</v>
      </c>
    </row>
    <row r="176" spans="1:12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027" operator="equal">
      <formula>$U$1</formula>
    </cfRule>
    <cfRule type="cellIs" dxfId="30" priority="1028" operator="equal">
      <formula>$S$1</formula>
    </cfRule>
  </conditionalFormatting>
  <conditionalFormatting sqref="D136">
    <cfRule type="cellIs" dxfId="29" priority="1025" operator="equal">
      <formula>$S$1</formula>
    </cfRule>
    <cfRule type="cellIs" dxfId="28" priority="1026" operator="equal">
      <formula>$U$1</formula>
    </cfRule>
  </conditionalFormatting>
  <conditionalFormatting sqref="C102">
    <cfRule type="cellIs" dxfId="27" priority="1023" operator="equal">
      <formula>$U$1</formula>
    </cfRule>
    <cfRule type="cellIs" dxfId="26" priority="1024" operator="equal">
      <formula>$S$1</formula>
    </cfRule>
  </conditionalFormatting>
  <conditionalFormatting sqref="D102">
    <cfRule type="cellIs" dxfId="25" priority="1021" operator="equal">
      <formula>$S$1</formula>
    </cfRule>
    <cfRule type="cellIs" dxfId="24" priority="1022" operator="equal">
      <formula>$U$1</formula>
    </cfRule>
  </conditionalFormatting>
  <conditionalFormatting sqref="C77">
    <cfRule type="cellIs" dxfId="23" priority="1019" operator="equal">
      <formula>$U$1</formula>
    </cfRule>
    <cfRule type="cellIs" dxfId="22" priority="1020" operator="equal">
      <formula>$S$1</formula>
    </cfRule>
  </conditionalFormatting>
  <conditionalFormatting sqref="D77">
    <cfRule type="cellIs" dxfId="21" priority="1017" operator="equal">
      <formula>$S$1</formula>
    </cfRule>
    <cfRule type="cellIs" dxfId="20" priority="1018" operator="equal">
      <formula>$U$1</formula>
    </cfRule>
  </conditionalFormatting>
  <conditionalFormatting sqref="C52">
    <cfRule type="cellIs" dxfId="19" priority="1015" operator="equal">
      <formula>$U$1</formula>
    </cfRule>
    <cfRule type="cellIs" dxfId="18" priority="1016" operator="equal">
      <formula>$S$1</formula>
    </cfRule>
  </conditionalFormatting>
  <conditionalFormatting sqref="D52">
    <cfRule type="cellIs" dxfId="17" priority="1013" operator="equal">
      <formula>$S$1</formula>
    </cfRule>
    <cfRule type="cellIs" dxfId="16" priority="1014" operator="equal">
      <formula>$U$1</formula>
    </cfRule>
  </conditionalFormatting>
  <conditionalFormatting sqref="C26">
    <cfRule type="cellIs" dxfId="15" priority="1011" operator="equal">
      <formula>$U$1</formula>
    </cfRule>
    <cfRule type="cellIs" dxfId="14" priority="1012" operator="equal">
      <formula>$S$1</formula>
    </cfRule>
  </conditionalFormatting>
  <conditionalFormatting sqref="D26">
    <cfRule type="cellIs" dxfId="13" priority="1009" operator="equal">
      <formula>$S$1</formula>
    </cfRule>
    <cfRule type="cellIs" dxfId="12" priority="1010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0.11686133436193799</v>
      </c>
      <c r="F3" s="30">
        <v>0.12270440108003494</v>
      </c>
      <c r="G3" s="30">
        <v>0.37688948287299762</v>
      </c>
      <c r="H3" s="25">
        <f>IF(G3="","",(3*(G3-F3))+E3)</f>
        <v>0.87941657974082599</v>
      </c>
      <c r="I3" s="7"/>
      <c r="J3" s="7">
        <f>(E3+G3)/2</f>
        <v>0.24687540861746782</v>
      </c>
      <c r="K3" s="7">
        <f>H3/2</f>
        <v>0.43970828987041299</v>
      </c>
      <c r="M3" s="26">
        <f>IF(OR(J3="",H3=""),"",H3/J3)</f>
        <v>3.562187844733768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2022-01-28T01:13:38Z</dcterms:modified>
</cp:coreProperties>
</file>