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1D0785B-7048-4062-B6C5-CC7EF8B55F9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C136" i="5" s="1"/>
  <c r="C116" i="4"/>
  <c r="C122" i="4"/>
  <c r="C133" i="4" s="1"/>
  <c r="C136" i="4" s="1"/>
  <c r="R765" i="1"/>
  <c r="C122" i="3"/>
  <c r="C133" i="3" s="1"/>
  <c r="C136" i="3" s="1"/>
  <c r="C118" i="3"/>
  <c r="D118" i="3"/>
  <c r="D136" i="5" l="1"/>
  <c r="C138" i="5" s="1"/>
  <c r="D136" i="4"/>
  <c r="C138" i="4" s="1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R672" i="1" l="1"/>
  <c r="S673" i="1"/>
  <c r="T673" i="1" s="1"/>
  <c r="S672" i="1" l="1"/>
  <c r="T672" i="1" s="1"/>
  <c r="R671" i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S390" i="1" l="1"/>
  <c r="T390" i="1" s="1"/>
  <c r="R389" i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S293" i="1" l="1"/>
  <c r="T293" i="1" s="1"/>
  <c r="R292" i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<sst xmlns="http://schemas.openxmlformats.org/spreadsheetml/2006/main" count="8236" uniqueCount="34">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</sst>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0.43919999999999998</c:v>
                </c:pt>
                <c:pt idx="1">
                  <c:v>0.45079999999999998</c:v>
                </c:pt>
                <c:pt idx="2">
                  <c:v>0.43690000000000001</c:v>
                </c:pt>
                <c:pt idx="3">
                  <c:v>0.42570000000000002</c:v>
                </c:pt>
                <c:pt idx="4">
                  <c:v>0.45579999999999998</c:v>
                </c:pt>
                <c:pt idx="5">
                  <c:v>0.43830000000000002</c:v>
                </c:pt>
                <c:pt idx="6">
                  <c:v>0.48070000000000002</c:v>
                </c:pt>
                <c:pt idx="7">
                  <c:v>0.56140000000000001</c:v>
                </c:pt>
                <c:pt idx="8">
                  <c:v>0.57850000000000001</c:v>
                </c:pt>
                <c:pt idx="9">
                  <c:v>0.60929999999999995</c:v>
                </c:pt>
                <c:pt idx="10">
                  <c:v>0.62029999999999996</c:v>
                </c:pt>
                <c:pt idx="11">
                  <c:v>0.66090000000000004</c:v>
                </c:pt>
                <c:pt idx="12">
                  <c:v>0.67730000000000001</c:v>
                </c:pt>
                <c:pt idx="13">
                  <c:v>0.7137</c:v>
                </c:pt>
                <c:pt idx="14">
                  <c:v>0.70579999999999998</c:v>
                </c:pt>
                <c:pt idx="15">
                  <c:v>0.68559999999999999</c:v>
                </c:pt>
                <c:pt idx="16">
                  <c:v>0.57999999999999996</c:v>
                </c:pt>
                <c:pt idx="17">
                  <c:v>0.54990000000000006</c:v>
                </c:pt>
                <c:pt idx="18">
                  <c:v>0.58550000000000002</c:v>
                </c:pt>
                <c:pt idx="19">
                  <c:v>0.57489999999999997</c:v>
                </c:pt>
                <c:pt idx="20">
                  <c:v>0.60129999999999995</c:v>
                </c:pt>
                <c:pt idx="21">
                  <c:v>0.64890000000000003</c:v>
                </c:pt>
                <c:pt idx="22">
                  <c:v>0.64290000000000003</c:v>
                </c:pt>
                <c:pt idx="23">
                  <c:v>0.71399999999999997</c:v>
                </c:pt>
                <c:pt idx="24">
                  <c:v>0.69510000000000005</c:v>
                </c:pt>
                <c:pt idx="25">
                  <c:v>0.71350000000000002</c:v>
                </c:pt>
                <c:pt idx="26">
                  <c:v>0.71419999999999995</c:v>
                </c:pt>
                <c:pt idx="27">
                  <c:v>0.68689999999999996</c:v>
                </c:pt>
                <c:pt idx="28">
                  <c:v>0.69599999999999995</c:v>
                </c:pt>
                <c:pt idx="29">
                  <c:v>0.68279999999999996</c:v>
                </c:pt>
                <c:pt idx="30">
                  <c:v>0.71089999999999998</c:v>
                </c:pt>
                <c:pt idx="31">
                  <c:v>0.81059999999999999</c:v>
                </c:pt>
                <c:pt idx="32">
                  <c:v>0.80900000000000005</c:v>
                </c:pt>
                <c:pt idx="33">
                  <c:v>0.78739999999999999</c:v>
                </c:pt>
                <c:pt idx="34">
                  <c:v>0.76090000000000002</c:v>
                </c:pt>
                <c:pt idx="35">
                  <c:v>0.78310000000000002</c:v>
                </c:pt>
                <c:pt idx="36">
                  <c:v>0.68930000000000002</c:v>
                </c:pt>
                <c:pt idx="37">
                  <c:v>0.67149999999999999</c:v>
                </c:pt>
                <c:pt idx="38">
                  <c:v>0.62870000000000004</c:v>
                </c:pt>
                <c:pt idx="39">
                  <c:v>0.64639999999999997</c:v>
                </c:pt>
                <c:pt idx="40">
                  <c:v>0.66010000000000002</c:v>
                </c:pt>
                <c:pt idx="41">
                  <c:v>0.65090000000000003</c:v>
                </c:pt>
                <c:pt idx="42">
                  <c:v>0.65510000000000002</c:v>
                </c:pt>
                <c:pt idx="43">
                  <c:v>0.66210000000000002</c:v>
                </c:pt>
                <c:pt idx="44">
                  <c:v>0.63049999999999995</c:v>
                </c:pt>
                <c:pt idx="45">
                  <c:v>0.61539999999999995</c:v>
                </c:pt>
                <c:pt idx="46">
                  <c:v>0.71709999999999996</c:v>
                </c:pt>
                <c:pt idx="47">
                  <c:v>0.68959999999999999</c:v>
                </c:pt>
                <c:pt idx="48">
                  <c:v>0.68159999999999998</c:v>
                </c:pt>
                <c:pt idx="49">
                  <c:v>0.71679999999999999</c:v>
                </c:pt>
                <c:pt idx="50">
                  <c:v>0.80279999999999996</c:v>
                </c:pt>
                <c:pt idx="51">
                  <c:v>0.75239999999999996</c:v>
                </c:pt>
                <c:pt idx="52">
                  <c:v>0.78310000000000002</c:v>
                </c:pt>
                <c:pt idx="53">
                  <c:v>0.77939999999999998</c:v>
                </c:pt>
                <c:pt idx="54">
                  <c:v>0.85160000000000002</c:v>
                </c:pt>
                <c:pt idx="55">
                  <c:v>1.0457000000000001</c:v>
                </c:pt>
                <c:pt idx="56">
                  <c:v>1.0344</c:v>
                </c:pt>
                <c:pt idx="57">
                  <c:v>1.0793999999999999</c:v>
                </c:pt>
                <c:pt idx="58">
                  <c:v>0.99919999999999998</c:v>
                </c:pt>
                <c:pt idx="59">
                  <c:v>1.0262</c:v>
                </c:pt>
                <c:pt idx="60">
                  <c:v>0.98819999999999997</c:v>
                </c:pt>
                <c:pt idx="61">
                  <c:v>1.0055000000000001</c:v>
                </c:pt>
                <c:pt idx="62">
                  <c:v>0.98560000000000003</c:v>
                </c:pt>
                <c:pt idx="63">
                  <c:v>1.0485</c:v>
                </c:pt>
                <c:pt idx="64">
                  <c:v>0.95499999999999996</c:v>
                </c:pt>
                <c:pt idx="65">
                  <c:v>0.98509999999999998</c:v>
                </c:pt>
                <c:pt idx="66">
                  <c:v>0.9335</c:v>
                </c:pt>
                <c:pt idx="67">
                  <c:v>0.98089999999999999</c:v>
                </c:pt>
                <c:pt idx="68">
                  <c:v>1.0685</c:v>
                </c:pt>
                <c:pt idx="69">
                  <c:v>0.97019999999999995</c:v>
                </c:pt>
                <c:pt idx="70">
                  <c:v>0.92420000000000002</c:v>
                </c:pt>
                <c:pt idx="71">
                  <c:v>1.0446</c:v>
                </c:pt>
                <c:pt idx="72">
                  <c:v>0.97</c:v>
                </c:pt>
                <c:pt idx="73">
                  <c:v>1.0742</c:v>
                </c:pt>
                <c:pt idx="74">
                  <c:v>1.127</c:v>
                </c:pt>
                <c:pt idx="75">
                  <c:v>1.1538999999999999</c:v>
                </c:pt>
                <c:pt idx="76">
                  <c:v>1.2317</c:v>
                </c:pt>
                <c:pt idx="77">
                  <c:v>1.4226000000000001</c:v>
                </c:pt>
                <c:pt idx="78">
                  <c:v>0.99929999999999997</c:v>
                </c:pt>
                <c:pt idx="79">
                  <c:v>0.85829999999999995</c:v>
                </c:pt>
                <c:pt idx="80">
                  <c:v>0.83220000000000005</c:v>
                </c:pt>
                <c:pt idx="81">
                  <c:v>0.83709999999999996</c:v>
                </c:pt>
                <c:pt idx="82">
                  <c:v>0.82379999999999998</c:v>
                </c:pt>
                <c:pt idx="83">
                  <c:v>0.79630000000000001</c:v>
                </c:pt>
                <c:pt idx="84">
                  <c:v>0.83330000000000004</c:v>
                </c:pt>
                <c:pt idx="85">
                  <c:v>0.81599999999999995</c:v>
                </c:pt>
                <c:pt idx="86">
                  <c:v>0.78139999999999998</c:v>
                </c:pt>
                <c:pt idx="87">
                  <c:v>0.76570000000000005</c:v>
                </c:pt>
                <c:pt idx="88">
                  <c:v>0.77749999999999997</c:v>
                </c:pt>
                <c:pt idx="89">
                  <c:v>0.73909999999999998</c:v>
                </c:pt>
                <c:pt idx="90">
                  <c:v>0.74609999999999999</c:v>
                </c:pt>
                <c:pt idx="91">
                  <c:v>0.72860000000000003</c:v>
                </c:pt>
                <c:pt idx="92">
                  <c:v>0.70230000000000004</c:v>
                </c:pt>
                <c:pt idx="93">
                  <c:v>0.80359999999999998</c:v>
                </c:pt>
                <c:pt idx="94">
                  <c:v>0.8085</c:v>
                </c:pt>
                <c:pt idx="95">
                  <c:v>0.7248</c:v>
                </c:pt>
                <c:pt idx="96">
                  <c:v>0.76490000000000002</c:v>
                </c:pt>
                <c:pt idx="97">
                  <c:v>0.8004</c:v>
                </c:pt>
                <c:pt idx="98">
                  <c:v>0.81820000000000004</c:v>
                </c:pt>
                <c:pt idx="99">
                  <c:v>0.87570000000000003</c:v>
                </c:pt>
                <c:pt idx="100">
                  <c:v>0.74829999999999997</c:v>
                </c:pt>
                <c:pt idx="101">
                  <c:v>0.72760000000000002</c:v>
                </c:pt>
                <c:pt idx="102">
                  <c:v>0.6986</c:v>
                </c:pt>
                <c:pt idx="103">
                  <c:v>0.68979999999999997</c:v>
                </c:pt>
                <c:pt idx="104">
                  <c:v>0.67049999999999998</c:v>
                </c:pt>
                <c:pt idx="105">
                  <c:v>0.67490000000000006</c:v>
                </c:pt>
                <c:pt idx="106">
                  <c:v>0.62260000000000004</c:v>
                </c:pt>
                <c:pt idx="107">
                  <c:v>0.60350000000000004</c:v>
                </c:pt>
                <c:pt idx="108">
                  <c:v>0.61040000000000005</c:v>
                </c:pt>
                <c:pt idx="109">
                  <c:v>0.60940000000000005</c:v>
                </c:pt>
                <c:pt idx="110">
                  <c:v>0.62239999999999995</c:v>
                </c:pt>
                <c:pt idx="111">
                  <c:v>0.61560000000000004</c:v>
                </c:pt>
                <c:pt idx="112">
                  <c:v>0.63229999999999997</c:v>
                </c:pt>
                <c:pt idx="113">
                  <c:v>0.64929999999999999</c:v>
                </c:pt>
                <c:pt idx="114">
                  <c:v>0.6623</c:v>
                </c:pt>
                <c:pt idx="115">
                  <c:v>0.67459999999999998</c:v>
                </c:pt>
                <c:pt idx="116">
                  <c:v>0.70079999999999998</c:v>
                </c:pt>
                <c:pt idx="117">
                  <c:v>0.65269999999999995</c:v>
                </c:pt>
                <c:pt idx="118">
                  <c:v>0.63009999999999999</c:v>
                </c:pt>
                <c:pt idx="119">
                  <c:v>0.58420000000000005</c:v>
                </c:pt>
                <c:pt idx="120">
                  <c:v>0.55959999999999999</c:v>
                </c:pt>
                <c:pt idx="121">
                  <c:v>0.54120000000000001</c:v>
                </c:pt>
                <c:pt idx="122">
                  <c:v>0.57110000000000005</c:v>
                </c:pt>
                <c:pt idx="123">
                  <c:v>0.57079999999999997</c:v>
                </c:pt>
                <c:pt idx="124">
                  <c:v>0.58730000000000004</c:v>
                </c:pt>
                <c:pt idx="125">
                  <c:v>0.57620000000000005</c:v>
                </c:pt>
                <c:pt idx="126">
                  <c:v>0.63600000000000001</c:v>
                </c:pt>
                <c:pt idx="127">
                  <c:v>0.60899999999999999</c:v>
                </c:pt>
                <c:pt idx="128">
                  <c:v>0.49959999999999999</c:v>
                </c:pt>
                <c:pt idx="129">
                  <c:v>0.59109999999999996</c:v>
                </c:pt>
                <c:pt idx="130">
                  <c:v>0.65010000000000001</c:v>
                </c:pt>
                <c:pt idx="131">
                  <c:v>0.66620000000000001</c:v>
                </c:pt>
                <c:pt idx="132">
                  <c:v>0.63080000000000003</c:v>
                </c:pt>
                <c:pt idx="133">
                  <c:v>0.66459999999999997</c:v>
                </c:pt>
                <c:pt idx="134">
                  <c:v>0.68899999999999995</c:v>
                </c:pt>
                <c:pt idx="135">
                  <c:v>0.64990000000000003</c:v>
                </c:pt>
                <c:pt idx="136">
                  <c:v>0.62009999999999998</c:v>
                </c:pt>
                <c:pt idx="137">
                  <c:v>0.67500000000000004</c:v>
                </c:pt>
                <c:pt idx="138">
                  <c:v>0.65039999999999998</c:v>
                </c:pt>
                <c:pt idx="139">
                  <c:v>0.63600000000000001</c:v>
                </c:pt>
                <c:pt idx="140">
                  <c:v>0.6724</c:v>
                </c:pt>
                <c:pt idx="141">
                  <c:v>0.6623</c:v>
                </c:pt>
                <c:pt idx="142">
                  <c:v>0.70069999999999999</c:v>
                </c:pt>
                <c:pt idx="143">
                  <c:v>0.87709999999999999</c:v>
                </c:pt>
                <c:pt idx="144">
                  <c:v>0.87809999999999999</c:v>
                </c:pt>
                <c:pt idx="145">
                  <c:v>0.8327</c:v>
                </c:pt>
                <c:pt idx="146">
                  <c:v>0.82</c:v>
                </c:pt>
                <c:pt idx="147">
                  <c:v>0.80989999999999995</c:v>
                </c:pt>
                <c:pt idx="148">
                  <c:v>0.81379999999999997</c:v>
                </c:pt>
                <c:pt idx="149">
                  <c:v>0.7843</c:v>
                </c:pt>
                <c:pt idx="150">
                  <c:v>0.76910000000000001</c:v>
                </c:pt>
                <c:pt idx="151">
                  <c:v>0.79179999999999995</c:v>
                </c:pt>
                <c:pt idx="152">
                  <c:v>0.79479999999999995</c:v>
                </c:pt>
                <c:pt idx="153">
                  <c:v>0.77390000000000003</c:v>
                </c:pt>
                <c:pt idx="154">
                  <c:v>0.73080000000000001</c:v>
                </c:pt>
                <c:pt idx="155">
                  <c:v>0.80947999999999998</c:v>
                </c:pt>
                <c:pt idx="156">
                  <c:v>0.75936000000000003</c:v>
                </c:pt>
                <c:pt idx="157">
                  <c:v>0.76748000000000005</c:v>
                </c:pt>
                <c:pt idx="158">
                  <c:v>0.77805000000000002</c:v>
                </c:pt>
                <c:pt idx="159">
                  <c:v>0.77500000000000002</c:v>
                </c:pt>
                <c:pt idx="160">
                  <c:v>0.79105000000000003</c:v>
                </c:pt>
                <c:pt idx="161">
                  <c:v>0.75731999999999999</c:v>
                </c:pt>
                <c:pt idx="162">
                  <c:v>0.73819999999999997</c:v>
                </c:pt>
                <c:pt idx="163">
                  <c:v>0.71148999999999996</c:v>
                </c:pt>
                <c:pt idx="164">
                  <c:v>0.76171</c:v>
                </c:pt>
                <c:pt idx="165">
                  <c:v>0.74916000000000005</c:v>
                </c:pt>
                <c:pt idx="166">
                  <c:v>0.70687999999999995</c:v>
                </c:pt>
                <c:pt idx="167">
                  <c:v>0.72306000000000004</c:v>
                </c:pt>
                <c:pt idx="168">
                  <c:v>0.69325000000000003</c:v>
                </c:pt>
                <c:pt idx="169">
                  <c:v>0.70592999999999995</c:v>
                </c:pt>
                <c:pt idx="170">
                  <c:v>0.74702000000000002</c:v>
                </c:pt>
                <c:pt idx="171">
                  <c:v>0.83867999999999998</c:v>
                </c:pt>
                <c:pt idx="172">
                  <c:v>0.48808000000000001</c:v>
                </c:pt>
                <c:pt idx="173">
                  <c:v>0.47239999999999999</c:v>
                </c:pt>
                <c:pt idx="174">
                  <c:v>0.45837</c:v>
                </c:pt>
                <c:pt idx="175">
                  <c:v>0.44217000000000001</c:v>
                </c:pt>
                <c:pt idx="176">
                  <c:v>0.44170999999999999</c:v>
                </c:pt>
                <c:pt idx="177">
                  <c:v>0.43</c:v>
                </c:pt>
                <c:pt idx="178">
                  <c:v>0.43195</c:v>
                </c:pt>
                <c:pt idx="179">
                  <c:v>0.41438999999999998</c:v>
                </c:pt>
                <c:pt idx="180">
                  <c:v>0.43184</c:v>
                </c:pt>
                <c:pt idx="181">
                  <c:v>0.42148999999999998</c:v>
                </c:pt>
                <c:pt idx="182">
                  <c:v>0.41243999999999997</c:v>
                </c:pt>
                <c:pt idx="183">
                  <c:v>0.40393000000000001</c:v>
                </c:pt>
                <c:pt idx="184">
                  <c:v>0.40595999999999999</c:v>
                </c:pt>
                <c:pt idx="185">
                  <c:v>0.39111000000000001</c:v>
                </c:pt>
                <c:pt idx="186">
                  <c:v>0.37197999999999998</c:v>
                </c:pt>
                <c:pt idx="187">
                  <c:v>0.37108999999999998</c:v>
                </c:pt>
                <c:pt idx="188">
                  <c:v>0.37059999999999998</c:v>
                </c:pt>
                <c:pt idx="189">
                  <c:v>0.36170999999999998</c:v>
                </c:pt>
                <c:pt idx="190">
                  <c:v>0.34782999999999997</c:v>
                </c:pt>
                <c:pt idx="191">
                  <c:v>0.3221</c:v>
                </c:pt>
                <c:pt idx="192">
                  <c:v>0.35377999999999998</c:v>
                </c:pt>
                <c:pt idx="193">
                  <c:v>0.38774999999999998</c:v>
                </c:pt>
                <c:pt idx="194">
                  <c:v>0.39013999999999999</c:v>
                </c:pt>
                <c:pt idx="195">
                  <c:v>0.40300000000000002</c:v>
                </c:pt>
                <c:pt idx="196">
                  <c:v>0.41905999999999999</c:v>
                </c:pt>
                <c:pt idx="197">
                  <c:v>0.43984000000000001</c:v>
                </c:pt>
                <c:pt idx="198">
                  <c:v>0.42149999999999999</c:v>
                </c:pt>
                <c:pt idx="199">
                  <c:v>0.43617</c:v>
                </c:pt>
                <c:pt idx="200">
                  <c:v>0.45696999999999999</c:v>
                </c:pt>
                <c:pt idx="201">
                  <c:v>0.45707999999999999</c:v>
                </c:pt>
                <c:pt idx="202">
                  <c:v>0.41487000000000002</c:v>
                </c:pt>
                <c:pt idx="203">
                  <c:v>0.40550000000000003</c:v>
                </c:pt>
                <c:pt idx="204">
                  <c:v>0.44374999999999998</c:v>
                </c:pt>
                <c:pt idx="205">
                  <c:v>0.43461</c:v>
                </c:pt>
                <c:pt idx="206">
                  <c:v>0.41535</c:v>
                </c:pt>
                <c:pt idx="207">
                  <c:v>0.44024999999999997</c:v>
                </c:pt>
                <c:pt idx="208">
                  <c:v>0.44194</c:v>
                </c:pt>
                <c:pt idx="209">
                  <c:v>0.44838</c:v>
                </c:pt>
                <c:pt idx="210">
                  <c:v>0.41602</c:v>
                </c:pt>
                <c:pt idx="211">
                  <c:v>0.44875999999999999</c:v>
                </c:pt>
                <c:pt idx="212">
                  <c:v>0.4768</c:v>
                </c:pt>
                <c:pt idx="213">
                  <c:v>0.47088999999999998</c:v>
                </c:pt>
                <c:pt idx="214">
                  <c:v>0.49181999999999998</c:v>
                </c:pt>
                <c:pt idx="215">
                  <c:v>0.41365000000000002</c:v>
                </c:pt>
                <c:pt idx="216">
                  <c:v>0.35104999999999997</c:v>
                </c:pt>
                <c:pt idx="217">
                  <c:v>0.38700000000000001</c:v>
                </c:pt>
                <c:pt idx="218">
                  <c:v>0.37786999999999998</c:v>
                </c:pt>
                <c:pt idx="219">
                  <c:v>0.35352</c:v>
                </c:pt>
                <c:pt idx="220">
                  <c:v>0.39787</c:v>
                </c:pt>
                <c:pt idx="221">
                  <c:v>0.50634999999999997</c:v>
                </c:pt>
                <c:pt idx="222">
                  <c:v>0.50760000000000005</c:v>
                </c:pt>
                <c:pt idx="223">
                  <c:v>0.53854000000000002</c:v>
                </c:pt>
                <c:pt idx="224">
                  <c:v>0.55711999999999995</c:v>
                </c:pt>
                <c:pt idx="225">
                  <c:v>0.56642999999999999</c:v>
                </c:pt>
                <c:pt idx="226">
                  <c:v>0.58657999999999999</c:v>
                </c:pt>
                <c:pt idx="227">
                  <c:v>0.59474000000000005</c:v>
                </c:pt>
                <c:pt idx="228">
                  <c:v>0.59211999999999998</c:v>
                </c:pt>
                <c:pt idx="229">
                  <c:v>0.55035000000000001</c:v>
                </c:pt>
                <c:pt idx="230">
                  <c:v>0.57601000000000002</c:v>
                </c:pt>
                <c:pt idx="231">
                  <c:v>0.63785000000000003</c:v>
                </c:pt>
                <c:pt idx="232">
                  <c:v>0.62470000000000003</c:v>
                </c:pt>
                <c:pt idx="233">
                  <c:v>0.60540000000000005</c:v>
                </c:pt>
                <c:pt idx="234">
                  <c:v>0.64705000000000001</c:v>
                </c:pt>
                <c:pt idx="235">
                  <c:v>0.69535999999999998</c:v>
                </c:pt>
                <c:pt idx="236">
                  <c:v>0.67171000000000003</c:v>
                </c:pt>
                <c:pt idx="237">
                  <c:v>0.70591000000000004</c:v>
                </c:pt>
                <c:pt idx="238">
                  <c:v>0.81159000000000003</c:v>
                </c:pt>
                <c:pt idx="239">
                  <c:v>0.71099999999999997</c:v>
                </c:pt>
                <c:pt idx="240">
                  <c:v>0.68317000000000005</c:v>
                </c:pt>
                <c:pt idx="241">
                  <c:v>0.71587999999999996</c:v>
                </c:pt>
                <c:pt idx="242">
                  <c:v>0.64102999999999999</c:v>
                </c:pt>
                <c:pt idx="243">
                  <c:v>0.61395999999999995</c:v>
                </c:pt>
                <c:pt idx="244">
                  <c:v>0.68569000000000002</c:v>
                </c:pt>
                <c:pt idx="245">
                  <c:v>0.77868999999999999</c:v>
                </c:pt>
                <c:pt idx="246">
                  <c:v>0.86868000000000001</c:v>
                </c:pt>
                <c:pt idx="247">
                  <c:v>0.7</c:v>
                </c:pt>
                <c:pt idx="248">
                  <c:v>0.73629999999999995</c:v>
                </c:pt>
                <c:pt idx="249">
                  <c:v>0.55923</c:v>
                </c:pt>
                <c:pt idx="250">
                  <c:v>0.69452999999999998</c:v>
                </c:pt>
                <c:pt idx="251">
                  <c:v>0.78300000000000003</c:v>
                </c:pt>
                <c:pt idx="252">
                  <c:v>0.92983000000000005</c:v>
                </c:pt>
                <c:pt idx="253">
                  <c:v>0.70506000000000002</c:v>
                </c:pt>
                <c:pt idx="254">
                  <c:v>1.0961799999999999</c:v>
                </c:pt>
                <c:pt idx="255">
                  <c:v>1.11069</c:v>
                </c:pt>
                <c:pt idx="256">
                  <c:v>1.14476</c:v>
                </c:pt>
                <c:pt idx="257">
                  <c:v>1.0165299999999999</c:v>
                </c:pt>
                <c:pt idx="258">
                  <c:v>1.12544</c:v>
                </c:pt>
                <c:pt idx="259">
                  <c:v>0.87799000000000005</c:v>
                </c:pt>
                <c:pt idx="260">
                  <c:v>0.90498000000000001</c:v>
                </c:pt>
                <c:pt idx="261">
                  <c:v>1.13531</c:v>
                </c:pt>
                <c:pt idx="262">
                  <c:v>1.14188</c:v>
                </c:pt>
                <c:pt idx="263">
                  <c:v>1.4579500000000001</c:v>
                </c:pt>
                <c:pt idx="264">
                  <c:v>1.71871</c:v>
                </c:pt>
                <c:pt idx="265">
                  <c:v>0.97797000000000001</c:v>
                </c:pt>
                <c:pt idx="266">
                  <c:v>0.81154000000000004</c:v>
                </c:pt>
                <c:pt idx="267">
                  <c:v>0.93762999999999996</c:v>
                </c:pt>
                <c:pt idx="268">
                  <c:v>1.0049999999999999</c:v>
                </c:pt>
                <c:pt idx="269">
                  <c:v>0.73438999999999999</c:v>
                </c:pt>
                <c:pt idx="270">
                  <c:v>0.72807999999999995</c:v>
                </c:pt>
                <c:pt idx="271">
                  <c:v>0.66613</c:v>
                </c:pt>
                <c:pt idx="272">
                  <c:v>0.63746000000000003</c:v>
                </c:pt>
                <c:pt idx="273">
                  <c:v>0.59787000000000001</c:v>
                </c:pt>
                <c:pt idx="274">
                  <c:v>0.60141</c:v>
                </c:pt>
                <c:pt idx="275">
                  <c:v>0.63600999999999996</c:v>
                </c:pt>
                <c:pt idx="276">
                  <c:v>0.63829999999999998</c:v>
                </c:pt>
                <c:pt idx="277">
                  <c:v>0.41770000000000002</c:v>
                </c:pt>
                <c:pt idx="278">
                  <c:v>0.44146999999999997</c:v>
                </c:pt>
                <c:pt idx="279">
                  <c:v>0.48533999999999999</c:v>
                </c:pt>
                <c:pt idx="280">
                  <c:v>0.52678000000000003</c:v>
                </c:pt>
                <c:pt idx="281">
                  <c:v>0.58338999999999996</c:v>
                </c:pt>
                <c:pt idx="282">
                  <c:v>0.61677000000000004</c:v>
                </c:pt>
                <c:pt idx="283">
                  <c:v>0.66147999999999996</c:v>
                </c:pt>
                <c:pt idx="284">
                  <c:v>0.52727000000000002</c:v>
                </c:pt>
                <c:pt idx="285">
                  <c:v>0.60772000000000004</c:v>
                </c:pt>
                <c:pt idx="286">
                  <c:v>0.60597999999999996</c:v>
                </c:pt>
                <c:pt idx="287">
                  <c:v>0.66000999999999999</c:v>
                </c:pt>
                <c:pt idx="288">
                  <c:v>0.63787000000000005</c:v>
                </c:pt>
                <c:pt idx="289">
                  <c:v>0.56462999999999997</c:v>
                </c:pt>
                <c:pt idx="290">
                  <c:v>0.59596000000000005</c:v>
                </c:pt>
                <c:pt idx="291">
                  <c:v>0.67900000000000005</c:v>
                </c:pt>
                <c:pt idx="292">
                  <c:v>0.69396000000000002</c:v>
                </c:pt>
                <c:pt idx="293">
                  <c:v>0.59131</c:v>
                </c:pt>
                <c:pt idx="294">
                  <c:v>0.57006000000000001</c:v>
                </c:pt>
                <c:pt idx="295">
                  <c:v>0.55574999999999997</c:v>
                </c:pt>
                <c:pt idx="296">
                  <c:v>0.52476999999999996</c:v>
                </c:pt>
                <c:pt idx="297">
                  <c:v>0.57562000000000002</c:v>
                </c:pt>
                <c:pt idx="298">
                  <c:v>0.65278999999999998</c:v>
                </c:pt>
                <c:pt idx="299">
                  <c:v>0.372</c:v>
                </c:pt>
                <c:pt idx="300">
                  <c:v>0.38038</c:v>
                </c:pt>
                <c:pt idx="301">
                  <c:v>0.40233999999999998</c:v>
                </c:pt>
                <c:pt idx="302">
                  <c:v>0.38585000000000003</c:v>
                </c:pt>
                <c:pt idx="303">
                  <c:v>0.39959</c:v>
                </c:pt>
                <c:pt idx="304">
                  <c:v>0.41909999999999997</c:v>
                </c:pt>
                <c:pt idx="305">
                  <c:v>0.43824000000000002</c:v>
                </c:pt>
                <c:pt idx="306">
                  <c:v>0.38109999999999999</c:v>
                </c:pt>
                <c:pt idx="307">
                  <c:v>0.34400999999999998</c:v>
                </c:pt>
                <c:pt idx="308">
                  <c:v>0.33532000000000001</c:v>
                </c:pt>
                <c:pt idx="309">
                  <c:v>0.31870999999999999</c:v>
                </c:pt>
                <c:pt idx="310">
                  <c:v>0.34758</c:v>
                </c:pt>
                <c:pt idx="311">
                  <c:v>0.29476999999999998</c:v>
                </c:pt>
                <c:pt idx="312">
                  <c:v>0.30760999999999999</c:v>
                </c:pt>
                <c:pt idx="313">
                  <c:v>0.32162000000000002</c:v>
                </c:pt>
                <c:pt idx="314">
                  <c:v>0.311</c:v>
                </c:pt>
                <c:pt idx="315">
                  <c:v>0.31659999999999999</c:v>
                </c:pt>
                <c:pt idx="316">
                  <c:v>0.32500000000000001</c:v>
                </c:pt>
                <c:pt idx="317">
                  <c:v>0.34653</c:v>
                </c:pt>
                <c:pt idx="318">
                  <c:v>0.27633999999999997</c:v>
                </c:pt>
                <c:pt idx="319">
                  <c:v>0.28249000000000002</c:v>
                </c:pt>
                <c:pt idx="320">
                  <c:v>0.26690000000000003</c:v>
                </c:pt>
                <c:pt idx="321">
                  <c:v>0.22900000000000001</c:v>
                </c:pt>
                <c:pt idx="322">
                  <c:v>0.26272000000000001</c:v>
                </c:pt>
                <c:pt idx="323">
                  <c:v>0.25685000000000002</c:v>
                </c:pt>
                <c:pt idx="324">
                  <c:v>0.27760000000000001</c:v>
                </c:pt>
                <c:pt idx="325">
                  <c:v>0.28054000000000001</c:v>
                </c:pt>
                <c:pt idx="326">
                  <c:v>0.25419999999999998</c:v>
                </c:pt>
                <c:pt idx="327">
                  <c:v>0.2321</c:v>
                </c:pt>
                <c:pt idx="328">
                  <c:v>0.23447999999999999</c:v>
                </c:pt>
                <c:pt idx="329">
                  <c:v>0.22128</c:v>
                </c:pt>
                <c:pt idx="330">
                  <c:v>0.20849999999999999</c:v>
                </c:pt>
                <c:pt idx="331">
                  <c:v>0.19555</c:v>
                </c:pt>
                <c:pt idx="332">
                  <c:v>0.19655</c:v>
                </c:pt>
                <c:pt idx="333">
                  <c:v>0.1719</c:v>
                </c:pt>
                <c:pt idx="334">
                  <c:v>0.19120000000000001</c:v>
                </c:pt>
                <c:pt idx="335">
                  <c:v>0.20016999999999999</c:v>
                </c:pt>
                <c:pt idx="336">
                  <c:v>0.20996999999999999</c:v>
                </c:pt>
                <c:pt idx="337">
                  <c:v>0.17007</c:v>
                </c:pt>
                <c:pt idx="338">
                  <c:v>0.15495999999999999</c:v>
                </c:pt>
                <c:pt idx="339">
                  <c:v>0.19389999999999999</c:v>
                </c:pt>
                <c:pt idx="340">
                  <c:v>0.22788</c:v>
                </c:pt>
                <c:pt idx="341">
                  <c:v>0.20069000000000001</c:v>
                </c:pt>
                <c:pt idx="342">
                  <c:v>0.21174000000000001</c:v>
                </c:pt>
                <c:pt idx="343">
                  <c:v>0.22161</c:v>
                </c:pt>
                <c:pt idx="344">
                  <c:v>0.22711000000000001</c:v>
                </c:pt>
                <c:pt idx="345">
                  <c:v>0.22550000000000001</c:v>
                </c:pt>
                <c:pt idx="346">
                  <c:v>0.21887999999999999</c:v>
                </c:pt>
                <c:pt idx="347">
                  <c:v>0.21265000000000001</c:v>
                </c:pt>
                <c:pt idx="348">
                  <c:v>0.25030999999999998</c:v>
                </c:pt>
                <c:pt idx="349">
                  <c:v>0.28531000000000001</c:v>
                </c:pt>
                <c:pt idx="350">
                  <c:v>0.316</c:v>
                </c:pt>
                <c:pt idx="351">
                  <c:v>0.25902999999999998</c:v>
                </c:pt>
                <c:pt idx="352">
                  <c:v>9.9089999999999998E-2</c:v>
                </c:pt>
                <c:pt idx="353">
                  <c:v>8.5519999999999999E-2</c:v>
                </c:pt>
                <c:pt idx="354">
                  <c:v>7.9009999999999997E-2</c:v>
                </c:pt>
                <c:pt idx="355">
                  <c:v>8.1629999999999994E-2</c:v>
                </c:pt>
                <c:pt idx="356">
                  <c:v>8.6499999999999994E-2</c:v>
                </c:pt>
                <c:pt idx="357">
                  <c:v>7.5660000000000005E-2</c:v>
                </c:pt>
                <c:pt idx="358">
                  <c:v>7.7929999999999999E-2</c:v>
                </c:pt>
                <c:pt idx="359">
                  <c:v>6.9529999999999995E-2</c:v>
                </c:pt>
                <c:pt idx="360">
                  <c:v>6.9010000000000002E-2</c:v>
                </c:pt>
                <c:pt idx="361">
                  <c:v>6.9650000000000004E-2</c:v>
                </c:pt>
                <c:pt idx="362">
                  <c:v>6.633E-2</c:v>
                </c:pt>
                <c:pt idx="363">
                  <c:v>6.0440000000000001E-2</c:v>
                </c:pt>
                <c:pt idx="364">
                  <c:v>6.0789999999999997E-2</c:v>
                </c:pt>
                <c:pt idx="365">
                  <c:v>6.2969999999999998E-2</c:v>
                </c:pt>
                <c:pt idx="366">
                  <c:v>5.7200000000000001E-2</c:v>
                </c:pt>
                <c:pt idx="367">
                  <c:v>5.9159999999999997E-2</c:v>
                </c:pt>
                <c:pt idx="368">
                  <c:v>5.9549999999999999E-2</c:v>
                </c:pt>
                <c:pt idx="369">
                  <c:v>5.8749999999999997E-2</c:v>
                </c:pt>
                <c:pt idx="370">
                  <c:v>5.2749999999999998E-2</c:v>
                </c:pt>
                <c:pt idx="371">
                  <c:v>5.0520000000000002E-2</c:v>
                </c:pt>
                <c:pt idx="372">
                  <c:v>5.3109999999999997E-2</c:v>
                </c:pt>
                <c:pt idx="373">
                  <c:v>5.2560000000000003E-2</c:v>
                </c:pt>
                <c:pt idx="374">
                  <c:v>5.5899999999999998E-2</c:v>
                </c:pt>
                <c:pt idx="375">
                  <c:v>5.5E-2</c:v>
                </c:pt>
                <c:pt idx="376">
                  <c:v>5.2499999999999998E-2</c:v>
                </c:pt>
                <c:pt idx="377">
                  <c:v>4.8320000000000002E-2</c:v>
                </c:pt>
                <c:pt idx="378">
                  <c:v>4.879E-2</c:v>
                </c:pt>
                <c:pt idx="379">
                  <c:v>5.015E-2</c:v>
                </c:pt>
                <c:pt idx="380">
                  <c:v>4.4909999999999999E-2</c:v>
                </c:pt>
                <c:pt idx="381">
                  <c:v>4.7600000000000003E-2</c:v>
                </c:pt>
                <c:pt idx="382">
                  <c:v>5.4089999999999999E-2</c:v>
                </c:pt>
                <c:pt idx="383">
                  <c:v>5.1630000000000002E-2</c:v>
                </c:pt>
                <c:pt idx="384">
                  <c:v>4.7160000000000001E-2</c:v>
                </c:pt>
                <c:pt idx="385">
                  <c:v>4.752E-2</c:v>
                </c:pt>
                <c:pt idx="386">
                  <c:v>4.6199999999999998E-2</c:v>
                </c:pt>
                <c:pt idx="387">
                  <c:v>4.4499999999999998E-2</c:v>
                </c:pt>
                <c:pt idx="388">
                  <c:v>4.5130000000000003E-2</c:v>
                </c:pt>
                <c:pt idx="389">
                  <c:v>4.5780000000000001E-2</c:v>
                </c:pt>
                <c:pt idx="390">
                  <c:v>4.2250000000000003E-2</c:v>
                </c:pt>
                <c:pt idx="391">
                  <c:v>4.181E-2</c:v>
                </c:pt>
                <c:pt idx="392">
                  <c:v>4.0340000000000001E-2</c:v>
                </c:pt>
                <c:pt idx="393">
                  <c:v>4.3299999999999998E-2</c:v>
                </c:pt>
                <c:pt idx="394">
                  <c:v>4.7350000000000003E-2</c:v>
                </c:pt>
                <c:pt idx="395">
                  <c:v>4.5949999999999998E-2</c:v>
                </c:pt>
                <c:pt idx="396">
                  <c:v>4.3589999999999997E-2</c:v>
                </c:pt>
                <c:pt idx="397">
                  <c:v>4.3709999999999999E-2</c:v>
                </c:pt>
                <c:pt idx="398">
                  <c:v>4.5679999999999998E-2</c:v>
                </c:pt>
                <c:pt idx="399">
                  <c:v>4.7199999999999999E-2</c:v>
                </c:pt>
                <c:pt idx="400">
                  <c:v>4.3529999999999999E-2</c:v>
                </c:pt>
                <c:pt idx="401">
                  <c:v>5.1889999999999999E-2</c:v>
                </c:pt>
                <c:pt idx="402">
                  <c:v>5.1520000000000003E-2</c:v>
                </c:pt>
                <c:pt idx="403">
                  <c:v>5.808E-2</c:v>
                </c:pt>
                <c:pt idx="404">
                  <c:v>5.6910000000000002E-2</c:v>
                </c:pt>
                <c:pt idx="405">
                  <c:v>5.1700000000000003E-2</c:v>
                </c:pt>
                <c:pt idx="406">
                  <c:v>5.1290000000000002E-2</c:v>
                </c:pt>
                <c:pt idx="407">
                  <c:v>5.2229999999999999E-2</c:v>
                </c:pt>
                <c:pt idx="408">
                  <c:v>4.9000000000000002E-2</c:v>
                </c:pt>
                <c:pt idx="409">
                  <c:v>5.11E-2</c:v>
                </c:pt>
                <c:pt idx="410">
                  <c:v>4.9279999999999997E-2</c:v>
                </c:pt>
                <c:pt idx="411">
                  <c:v>5.0310000000000001E-2</c:v>
                </c:pt>
                <c:pt idx="412">
                  <c:v>4.4690000000000001E-2</c:v>
                </c:pt>
                <c:pt idx="413">
                  <c:v>5.0349999999999999E-2</c:v>
                </c:pt>
                <c:pt idx="414">
                  <c:v>5.6820000000000002E-2</c:v>
                </c:pt>
                <c:pt idx="415">
                  <c:v>4.5030000000000001E-2</c:v>
                </c:pt>
                <c:pt idx="416">
                  <c:v>4.1200000000000001E-2</c:v>
                </c:pt>
                <c:pt idx="417">
                  <c:v>3.9660000000000001E-2</c:v>
                </c:pt>
                <c:pt idx="418">
                  <c:v>4.0899999999999999E-2</c:v>
                </c:pt>
                <c:pt idx="419">
                  <c:v>3.943E-2</c:v>
                </c:pt>
                <c:pt idx="420">
                  <c:v>4.2459999999999998E-2</c:v>
                </c:pt>
                <c:pt idx="421">
                  <c:v>4.2619999999999998E-2</c:v>
                </c:pt>
                <c:pt idx="422">
                  <c:v>4.1099999999999998E-2</c:v>
                </c:pt>
                <c:pt idx="423">
                  <c:v>4.36E-2</c:v>
                </c:pt>
                <c:pt idx="424">
                  <c:v>4.1110000000000001E-2</c:v>
                </c:pt>
                <c:pt idx="425">
                  <c:v>4.3200000000000002E-2</c:v>
                </c:pt>
                <c:pt idx="426">
                  <c:v>4.1869999999999997E-2</c:v>
                </c:pt>
                <c:pt idx="427">
                  <c:v>4.199E-2</c:v>
                </c:pt>
                <c:pt idx="428">
                  <c:v>5.0040000000000001E-2</c:v>
                </c:pt>
                <c:pt idx="429">
                  <c:v>4.6989999999999997E-2</c:v>
                </c:pt>
                <c:pt idx="430">
                  <c:v>4.4639999999999999E-2</c:v>
                </c:pt>
                <c:pt idx="431">
                  <c:v>4.0669999999999998E-2</c:v>
                </c:pt>
                <c:pt idx="432">
                  <c:v>4.2099999999999999E-2</c:v>
                </c:pt>
                <c:pt idx="433">
                  <c:v>4.0280000000000003E-2</c:v>
                </c:pt>
                <c:pt idx="434">
                  <c:v>3.7999999999999999E-2</c:v>
                </c:pt>
                <c:pt idx="435">
                  <c:v>3.9379999999999998E-2</c:v>
                </c:pt>
                <c:pt idx="436">
                  <c:v>4.1709999999999997E-2</c:v>
                </c:pt>
                <c:pt idx="437">
                  <c:v>3.8420000000000003E-2</c:v>
                </c:pt>
                <c:pt idx="438">
                  <c:v>3.6940000000000001E-2</c:v>
                </c:pt>
                <c:pt idx="439">
                  <c:v>3.8890000000000001E-2</c:v>
                </c:pt>
                <c:pt idx="440">
                  <c:v>4.0090000000000001E-2</c:v>
                </c:pt>
                <c:pt idx="441">
                  <c:v>3.7109999999999997E-2</c:v>
                </c:pt>
                <c:pt idx="442">
                  <c:v>3.9030000000000002E-2</c:v>
                </c:pt>
                <c:pt idx="443">
                  <c:v>3.73E-2</c:v>
                </c:pt>
                <c:pt idx="444">
                  <c:v>3.3919999999999999E-2</c:v>
                </c:pt>
                <c:pt idx="445">
                  <c:v>3.4209999999999997E-2</c:v>
                </c:pt>
                <c:pt idx="446">
                  <c:v>3.2640000000000002E-2</c:v>
                </c:pt>
                <c:pt idx="447">
                  <c:v>3.3849999999999998E-2</c:v>
                </c:pt>
                <c:pt idx="448">
                  <c:v>3.014E-2</c:v>
                </c:pt>
                <c:pt idx="449">
                  <c:v>2.9790000000000001E-2</c:v>
                </c:pt>
                <c:pt idx="450">
                  <c:v>2.896E-2</c:v>
                </c:pt>
                <c:pt idx="451">
                  <c:v>2.9260000000000001E-2</c:v>
                </c:pt>
                <c:pt idx="452">
                  <c:v>3.056E-2</c:v>
                </c:pt>
                <c:pt idx="453">
                  <c:v>2.9669999999999998E-2</c:v>
                </c:pt>
                <c:pt idx="454">
                  <c:v>2.9250000000000002E-2</c:v>
                </c:pt>
                <c:pt idx="455">
                  <c:v>2.8570000000000002E-2</c:v>
                </c:pt>
                <c:pt idx="456">
                  <c:v>3.0300000000000001E-2</c:v>
                </c:pt>
                <c:pt idx="457">
                  <c:v>3.2980000000000002E-2</c:v>
                </c:pt>
                <c:pt idx="458">
                  <c:v>3.3989999999999999E-2</c:v>
                </c:pt>
                <c:pt idx="459">
                  <c:v>3.5450000000000002E-2</c:v>
                </c:pt>
                <c:pt idx="460">
                  <c:v>3.6760000000000001E-2</c:v>
                </c:pt>
                <c:pt idx="461">
                  <c:v>3.5310000000000001E-2</c:v>
                </c:pt>
                <c:pt idx="462">
                  <c:v>3.5580000000000001E-2</c:v>
                </c:pt>
                <c:pt idx="463">
                  <c:v>3.1980000000000001E-2</c:v>
                </c:pt>
                <c:pt idx="464">
                  <c:v>3.1350000000000003E-2</c:v>
                </c:pt>
                <c:pt idx="465">
                  <c:v>3.39E-2</c:v>
                </c:pt>
                <c:pt idx="466">
                  <c:v>3.49E-2</c:v>
                </c:pt>
                <c:pt idx="467">
                  <c:v>3.3829999999999999E-2</c:v>
                </c:pt>
                <c:pt idx="468">
                  <c:v>3.3459999999999997E-2</c:v>
                </c:pt>
                <c:pt idx="469">
                  <c:v>3.5799999999999998E-2</c:v>
                </c:pt>
                <c:pt idx="470">
                  <c:v>3.7449999999999997E-2</c:v>
                </c:pt>
                <c:pt idx="471">
                  <c:v>3.9879999999999999E-2</c:v>
                </c:pt>
                <c:pt idx="472">
                  <c:v>4.0800000000000003E-2</c:v>
                </c:pt>
                <c:pt idx="473">
                  <c:v>3.8649999999999997E-2</c:v>
                </c:pt>
                <c:pt idx="474">
                  <c:v>3.6700000000000003E-2</c:v>
                </c:pt>
                <c:pt idx="475">
                  <c:v>3.7440000000000001E-2</c:v>
                </c:pt>
                <c:pt idx="476">
                  <c:v>3.5049999999999998E-2</c:v>
                </c:pt>
                <c:pt idx="477">
                  <c:v>3.3399999999999999E-2</c:v>
                </c:pt>
                <c:pt idx="478">
                  <c:v>3.3070000000000002E-2</c:v>
                </c:pt>
                <c:pt idx="479">
                  <c:v>3.9669999999999997E-2</c:v>
                </c:pt>
                <c:pt idx="480">
                  <c:v>3.968E-2</c:v>
                </c:pt>
                <c:pt idx="481">
                  <c:v>3.9379999999999998E-2</c:v>
                </c:pt>
                <c:pt idx="482">
                  <c:v>4.0469999999999999E-2</c:v>
                </c:pt>
                <c:pt idx="483">
                  <c:v>4.4339999999999997E-2</c:v>
                </c:pt>
                <c:pt idx="484">
                  <c:v>4.9000000000000002E-2</c:v>
                </c:pt>
                <c:pt idx="485">
                  <c:v>5.1499999999999997E-2</c:v>
                </c:pt>
                <c:pt idx="486">
                  <c:v>5.0889999999999998E-2</c:v>
                </c:pt>
                <c:pt idx="487">
                  <c:v>5.0540000000000002E-2</c:v>
                </c:pt>
                <c:pt idx="488">
                  <c:v>5.0819999999999997E-2</c:v>
                </c:pt>
                <c:pt idx="489">
                  <c:v>4.4290000000000003E-2</c:v>
                </c:pt>
                <c:pt idx="490">
                  <c:v>4.3580000000000001E-2</c:v>
                </c:pt>
                <c:pt idx="491">
                  <c:v>4.0349999999999997E-2</c:v>
                </c:pt>
                <c:pt idx="492">
                  <c:v>4.2709999999999998E-2</c:v>
                </c:pt>
                <c:pt idx="493">
                  <c:v>4.07E-2</c:v>
                </c:pt>
                <c:pt idx="494">
                  <c:v>4.5490000000000003E-2</c:v>
                </c:pt>
                <c:pt idx="495">
                  <c:v>4.9299999999999997E-2</c:v>
                </c:pt>
                <c:pt idx="496">
                  <c:v>4.7829999999999998E-2</c:v>
                </c:pt>
                <c:pt idx="497">
                  <c:v>5.1869999999999999E-2</c:v>
                </c:pt>
                <c:pt idx="498">
                  <c:v>4.7100000000000003E-2</c:v>
                </c:pt>
                <c:pt idx="499">
                  <c:v>4.616E-2</c:v>
                </c:pt>
                <c:pt idx="500">
                  <c:v>5.1819999999999998E-2</c:v>
                </c:pt>
                <c:pt idx="501">
                  <c:v>5.0970000000000001E-2</c:v>
                </c:pt>
                <c:pt idx="502">
                  <c:v>5.5890000000000002E-2</c:v>
                </c:pt>
                <c:pt idx="503">
                  <c:v>5.6180000000000001E-2</c:v>
                </c:pt>
                <c:pt idx="504">
                  <c:v>5.3659999999999999E-2</c:v>
                </c:pt>
                <c:pt idx="505">
                  <c:v>5.2560000000000003E-2</c:v>
                </c:pt>
                <c:pt idx="506">
                  <c:v>4.8059999999999999E-2</c:v>
                </c:pt>
                <c:pt idx="507">
                  <c:v>4.6980000000000001E-2</c:v>
                </c:pt>
                <c:pt idx="508">
                  <c:v>4.82E-2</c:v>
                </c:pt>
                <c:pt idx="509">
                  <c:v>4.3470000000000002E-2</c:v>
                </c:pt>
                <c:pt idx="510">
                  <c:v>5.602E-2</c:v>
                </c:pt>
                <c:pt idx="511">
                  <c:v>5.2429999999999997E-2</c:v>
                </c:pt>
                <c:pt idx="512">
                  <c:v>7.3179999999999995E-2</c:v>
                </c:pt>
                <c:pt idx="513">
                  <c:v>8.1339999999999996E-2</c:v>
                </c:pt>
                <c:pt idx="514">
                  <c:v>8.3940000000000001E-2</c:v>
                </c:pt>
                <c:pt idx="515">
                  <c:v>8.9029999999999998E-2</c:v>
                </c:pt>
                <c:pt idx="516">
                  <c:v>8.1559999999999994E-2</c:v>
                </c:pt>
                <c:pt idx="517">
                  <c:v>8.2650000000000001E-2</c:v>
                </c:pt>
                <c:pt idx="518">
                  <c:v>7.7590000000000006E-2</c:v>
                </c:pt>
                <c:pt idx="519">
                  <c:v>8.3110000000000003E-2</c:v>
                </c:pt>
                <c:pt idx="520">
                  <c:v>7.8140000000000001E-2</c:v>
                </c:pt>
                <c:pt idx="521">
                  <c:v>8.8880000000000001E-2</c:v>
                </c:pt>
                <c:pt idx="522">
                  <c:v>8.0939999999999998E-2</c:v>
                </c:pt>
                <c:pt idx="523">
                  <c:v>8.4000000000000005E-2</c:v>
                </c:pt>
                <c:pt idx="524">
                  <c:v>8.6169999999999997E-2</c:v>
                </c:pt>
                <c:pt idx="525">
                  <c:v>9.7070000000000004E-2</c:v>
                </c:pt>
                <c:pt idx="526">
                  <c:v>0.09</c:v>
                </c:pt>
                <c:pt idx="527">
                  <c:v>0.10216</c:v>
                </c:pt>
                <c:pt idx="528">
                  <c:v>0.10503</c:v>
                </c:pt>
                <c:pt idx="529">
                  <c:v>9.9500000000000005E-2</c:v>
                </c:pt>
                <c:pt idx="530">
                  <c:v>0.1018</c:v>
                </c:pt>
                <c:pt idx="531">
                  <c:v>9.3530000000000002E-2</c:v>
                </c:pt>
                <c:pt idx="532">
                  <c:v>9.1670000000000001E-2</c:v>
                </c:pt>
                <c:pt idx="533">
                  <c:v>0.10199999999999999</c:v>
                </c:pt>
                <c:pt idx="534">
                  <c:v>9.3469999999999998E-2</c:v>
                </c:pt>
                <c:pt idx="535">
                  <c:v>0.10580000000000001</c:v>
                </c:pt>
                <c:pt idx="536">
                  <c:v>8.6749999999999994E-2</c:v>
                </c:pt>
                <c:pt idx="537">
                  <c:v>8.3409999999999998E-2</c:v>
                </c:pt>
                <c:pt idx="538">
                  <c:v>7.893E-2</c:v>
                </c:pt>
                <c:pt idx="539">
                  <c:v>7.1650000000000005E-2</c:v>
                </c:pt>
                <c:pt idx="540">
                  <c:v>6.7339999999999997E-2</c:v>
                </c:pt>
                <c:pt idx="541">
                  <c:v>5.9729999999999998E-2</c:v>
                </c:pt>
                <c:pt idx="542">
                  <c:v>5.8619999999999998E-2</c:v>
                </c:pt>
                <c:pt idx="543">
                  <c:v>5.6419999999999998E-2</c:v>
                </c:pt>
                <c:pt idx="544">
                  <c:v>5.4280000000000002E-2</c:v>
                </c:pt>
                <c:pt idx="545">
                  <c:v>5.2819999999999999E-2</c:v>
                </c:pt>
                <c:pt idx="546">
                  <c:v>5.4120000000000001E-2</c:v>
                </c:pt>
                <c:pt idx="547">
                  <c:v>5.1279999999999999E-2</c:v>
                </c:pt>
                <c:pt idx="548">
                  <c:v>5.28E-2</c:v>
                </c:pt>
                <c:pt idx="549">
                  <c:v>4.965E-2</c:v>
                </c:pt>
                <c:pt idx="550">
                  <c:v>5.1740000000000001E-2</c:v>
                </c:pt>
                <c:pt idx="551">
                  <c:v>5.3530000000000001E-2</c:v>
                </c:pt>
                <c:pt idx="552">
                  <c:v>5.5050000000000002E-2</c:v>
                </c:pt>
                <c:pt idx="553">
                  <c:v>5.1499999999999997E-2</c:v>
                </c:pt>
                <c:pt idx="554">
                  <c:v>5.3469999999999997E-2</c:v>
                </c:pt>
                <c:pt idx="555">
                  <c:v>5.9240000000000001E-2</c:v>
                </c:pt>
                <c:pt idx="556">
                  <c:v>5.0340000000000003E-2</c:v>
                </c:pt>
                <c:pt idx="557">
                  <c:v>4.6440000000000002E-2</c:v>
                </c:pt>
                <c:pt idx="558">
                  <c:v>4.7509999999999997E-2</c:v>
                </c:pt>
                <c:pt idx="559">
                  <c:v>4.5010000000000001E-2</c:v>
                </c:pt>
                <c:pt idx="560">
                  <c:v>4.3270000000000003E-2</c:v>
                </c:pt>
                <c:pt idx="561">
                  <c:v>4.4729999999999999E-2</c:v>
                </c:pt>
                <c:pt idx="562">
                  <c:v>4.759E-2</c:v>
                </c:pt>
                <c:pt idx="563">
                  <c:v>4.3770000000000003E-2</c:v>
                </c:pt>
                <c:pt idx="564">
                  <c:v>4.648E-2</c:v>
                </c:pt>
                <c:pt idx="565">
                  <c:v>5.2789999999999997E-2</c:v>
                </c:pt>
                <c:pt idx="566">
                  <c:v>4.9630000000000001E-2</c:v>
                </c:pt>
                <c:pt idx="567">
                  <c:v>4.2549999999999998E-2</c:v>
                </c:pt>
                <c:pt idx="568">
                  <c:v>4.1239999999999999E-2</c:v>
                </c:pt>
                <c:pt idx="569">
                  <c:v>3.9820000000000001E-2</c:v>
                </c:pt>
                <c:pt idx="570">
                  <c:v>3.7909999999999999E-2</c:v>
                </c:pt>
                <c:pt idx="571">
                  <c:v>3.4790000000000001E-2</c:v>
                </c:pt>
                <c:pt idx="572">
                  <c:v>3.5819999999999998E-2</c:v>
                </c:pt>
                <c:pt idx="573">
                  <c:v>3.5839999999999997E-2</c:v>
                </c:pt>
                <c:pt idx="574">
                  <c:v>3.585E-2</c:v>
                </c:pt>
                <c:pt idx="575">
                  <c:v>3.5749999999999997E-2</c:v>
                </c:pt>
                <c:pt idx="576">
                  <c:v>3.5580000000000001E-2</c:v>
                </c:pt>
                <c:pt idx="577">
                  <c:v>3.4020000000000002E-2</c:v>
                </c:pt>
                <c:pt idx="578">
                  <c:v>3.3849999999999998E-2</c:v>
                </c:pt>
                <c:pt idx="579">
                  <c:v>3.2800000000000003E-2</c:v>
                </c:pt>
                <c:pt idx="580">
                  <c:v>3.7650000000000003E-2</c:v>
                </c:pt>
                <c:pt idx="581">
                  <c:v>3.9050000000000001E-2</c:v>
                </c:pt>
                <c:pt idx="582">
                  <c:v>3.6429999999999997E-2</c:v>
                </c:pt>
                <c:pt idx="583">
                  <c:v>3.8170000000000003E-2</c:v>
                </c:pt>
                <c:pt idx="584">
                  <c:v>3.9120000000000002E-2</c:v>
                </c:pt>
                <c:pt idx="585">
                  <c:v>3.5279999999999999E-2</c:v>
                </c:pt>
                <c:pt idx="586">
                  <c:v>3.6330000000000001E-2</c:v>
                </c:pt>
                <c:pt idx="587">
                  <c:v>3.7409999999999999E-2</c:v>
                </c:pt>
                <c:pt idx="588">
                  <c:v>3.8190000000000002E-2</c:v>
                </c:pt>
                <c:pt idx="589">
                  <c:v>3.5400000000000001E-2</c:v>
                </c:pt>
                <c:pt idx="590">
                  <c:v>3.7589999999999998E-2</c:v>
                </c:pt>
                <c:pt idx="591">
                  <c:v>3.6990000000000002E-2</c:v>
                </c:pt>
                <c:pt idx="592">
                  <c:v>4.0230000000000002E-2</c:v>
                </c:pt>
                <c:pt idx="593">
                  <c:v>3.9820000000000001E-2</c:v>
                </c:pt>
                <c:pt idx="594">
                  <c:v>3.9710000000000002E-2</c:v>
                </c:pt>
                <c:pt idx="595">
                  <c:v>3.6319999999999998E-2</c:v>
                </c:pt>
                <c:pt idx="596">
                  <c:v>3.3500000000000002E-2</c:v>
                </c:pt>
                <c:pt idx="597">
                  <c:v>3.245E-2</c:v>
                </c:pt>
                <c:pt idx="598">
                  <c:v>3.2640000000000002E-2</c:v>
                </c:pt>
                <c:pt idx="599">
                  <c:v>3.3309999999999999E-2</c:v>
                </c:pt>
                <c:pt idx="600">
                  <c:v>3.492E-2</c:v>
                </c:pt>
                <c:pt idx="601">
                  <c:v>3.3939999999999998E-2</c:v>
                </c:pt>
                <c:pt idx="602">
                  <c:v>3.1980000000000001E-2</c:v>
                </c:pt>
                <c:pt idx="603">
                  <c:v>3.175E-2</c:v>
                </c:pt>
                <c:pt idx="604">
                  <c:v>3.1980000000000001E-2</c:v>
                </c:pt>
                <c:pt idx="605">
                  <c:v>3.27E-2</c:v>
                </c:pt>
                <c:pt idx="606">
                  <c:v>3.1980000000000001E-2</c:v>
                </c:pt>
                <c:pt idx="607">
                  <c:v>3.4439999999999998E-2</c:v>
                </c:pt>
                <c:pt idx="608">
                  <c:v>3.5889999999999998E-2</c:v>
                </c:pt>
                <c:pt idx="609">
                  <c:v>3.125E-2</c:v>
                </c:pt>
                <c:pt idx="610">
                  <c:v>3.1230000000000001E-2</c:v>
                </c:pt>
                <c:pt idx="611">
                  <c:v>3.2419999999999997E-2</c:v>
                </c:pt>
                <c:pt idx="612">
                  <c:v>3.3759999999999998E-2</c:v>
                </c:pt>
                <c:pt idx="613">
                  <c:v>3.0679999999999999E-2</c:v>
                </c:pt>
                <c:pt idx="614">
                  <c:v>3.2539999999999999E-2</c:v>
                </c:pt>
                <c:pt idx="615">
                  <c:v>3.3610000000000001E-2</c:v>
                </c:pt>
                <c:pt idx="616">
                  <c:v>3.2820000000000002E-2</c:v>
                </c:pt>
                <c:pt idx="617">
                  <c:v>3.9010000000000003E-2</c:v>
                </c:pt>
                <c:pt idx="618">
                  <c:v>3.7929999999999998E-2</c:v>
                </c:pt>
                <c:pt idx="619">
                  <c:v>3.601E-2</c:v>
                </c:pt>
                <c:pt idx="620">
                  <c:v>3.7100000000000001E-2</c:v>
                </c:pt>
                <c:pt idx="621">
                  <c:v>2.8879999999999999E-2</c:v>
                </c:pt>
                <c:pt idx="622">
                  <c:v>2.793E-2</c:v>
                </c:pt>
                <c:pt idx="623">
                  <c:v>2.8539999999999999E-2</c:v>
                </c:pt>
                <c:pt idx="624">
                  <c:v>2.9780000000000001E-2</c:v>
                </c:pt>
                <c:pt idx="625">
                  <c:v>2.8899999999999999E-2</c:v>
                </c:pt>
                <c:pt idx="626">
                  <c:v>2.751E-2</c:v>
                </c:pt>
                <c:pt idx="627">
                  <c:v>2.921E-2</c:v>
                </c:pt>
                <c:pt idx="628">
                  <c:v>3.2190000000000003E-2</c:v>
                </c:pt>
                <c:pt idx="629">
                  <c:v>3.2140000000000002E-2</c:v>
                </c:pt>
                <c:pt idx="630">
                  <c:v>3.2230000000000002E-2</c:v>
                </c:pt>
                <c:pt idx="631">
                  <c:v>3.4569999999999997E-2</c:v>
                </c:pt>
                <c:pt idx="632">
                  <c:v>3.7310000000000003E-2</c:v>
                </c:pt>
                <c:pt idx="633">
                  <c:v>3.789E-2</c:v>
                </c:pt>
                <c:pt idx="634">
                  <c:v>3.7449999999999997E-2</c:v>
                </c:pt>
                <c:pt idx="635">
                  <c:v>3.755E-2</c:v>
                </c:pt>
                <c:pt idx="636">
                  <c:v>3.9199999999999999E-2</c:v>
                </c:pt>
                <c:pt idx="637">
                  <c:v>3.9600000000000003E-2</c:v>
                </c:pt>
                <c:pt idx="638">
                  <c:v>4.1599999999999998E-2</c:v>
                </c:pt>
                <c:pt idx="639">
                  <c:v>4.1009999999999998E-2</c:v>
                </c:pt>
                <c:pt idx="640">
                  <c:v>4.1910000000000003E-2</c:v>
                </c:pt>
                <c:pt idx="641">
                  <c:v>4.6359999999999998E-2</c:v>
                </c:pt>
                <c:pt idx="642">
                  <c:v>5.1979999999999998E-2</c:v>
                </c:pt>
                <c:pt idx="643">
                  <c:v>5.1709999999999999E-2</c:v>
                </c:pt>
                <c:pt idx="644">
                  <c:v>5.731E-2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E12-8BA9-EC9BE59467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-25.686866000355337</c:v>
                </c:pt>
                <c:pt idx="1">
                  <c:v>-25.680119019105341</c:v>
                </c:pt>
                <c:pt idx="2">
                  <c:v>-25.58655364443171</c:v>
                </c:pt>
                <c:pt idx="3">
                  <c:v>-25.645428118900984</c:v>
                </c:pt>
                <c:pt idx="4">
                  <c:v>-25.701055528587514</c:v>
                </c:pt>
                <c:pt idx="5">
                  <c:v>-25.715344726840787</c:v>
                </c:pt>
                <c:pt idx="6">
                  <c:v>-25.678014283607926</c:v>
                </c:pt>
                <c:pt idx="7">
                  <c:v>-25.474982815147172</c:v>
                </c:pt>
                <c:pt idx="8">
                  <c:v>-25.384707832245933</c:v>
                </c:pt>
                <c:pt idx="9">
                  <c:v>-25.311447116947427</c:v>
                </c:pt>
                <c:pt idx="10">
                  <c:v>-25.342445603734756</c:v>
                </c:pt>
                <c:pt idx="11">
                  <c:v>-25.281900665049633</c:v>
                </c:pt>
                <c:pt idx="12">
                  <c:v>-25.262336847543274</c:v>
                </c:pt>
                <c:pt idx="13">
                  <c:v>-25.163705264174851</c:v>
                </c:pt>
                <c:pt idx="14">
                  <c:v>-25.215417005814192</c:v>
                </c:pt>
                <c:pt idx="15">
                  <c:v>-24.917666313953234</c:v>
                </c:pt>
                <c:pt idx="16">
                  <c:v>-25.116002973004196</c:v>
                </c:pt>
                <c:pt idx="17">
                  <c:v>-25.165978195124676</c:v>
                </c:pt>
                <c:pt idx="18">
                  <c:v>-25.13770522214881</c:v>
                </c:pt>
                <c:pt idx="19">
                  <c:v>-25.134745218161079</c:v>
                </c:pt>
                <c:pt idx="20">
                  <c:v>-25.092040605488904</c:v>
                </c:pt>
                <c:pt idx="21">
                  <c:v>-25.015437478029092</c:v>
                </c:pt>
                <c:pt idx="22">
                  <c:v>-25.099554645422462</c:v>
                </c:pt>
                <c:pt idx="23">
                  <c:v>-24.994222346543562</c:v>
                </c:pt>
                <c:pt idx="24">
                  <c:v>-25.020158517539173</c:v>
                </c:pt>
                <c:pt idx="25">
                  <c:v>-25.011576193870535</c:v>
                </c:pt>
                <c:pt idx="26">
                  <c:v>-25.021945681870537</c:v>
                </c:pt>
                <c:pt idx="27">
                  <c:v>-25.058735781516557</c:v>
                </c:pt>
                <c:pt idx="28">
                  <c:v>-25.019743605184988</c:v>
                </c:pt>
                <c:pt idx="29">
                  <c:v>-25.023236496195548</c:v>
                </c:pt>
                <c:pt idx="30">
                  <c:v>-24.972607355112515</c:v>
                </c:pt>
                <c:pt idx="31">
                  <c:v>-24.857330787343141</c:v>
                </c:pt>
                <c:pt idx="32">
                  <c:v>-24.769469770904784</c:v>
                </c:pt>
                <c:pt idx="33">
                  <c:v>-24.800221924102818</c:v>
                </c:pt>
                <c:pt idx="34">
                  <c:v>-24.839051383250425</c:v>
                </c:pt>
                <c:pt idx="35">
                  <c:v>-24.8014086338721</c:v>
                </c:pt>
                <c:pt idx="36">
                  <c:v>-24.956902847573019</c:v>
                </c:pt>
                <c:pt idx="37">
                  <c:v>-24.923476282145291</c:v>
                </c:pt>
                <c:pt idx="38">
                  <c:v>-24.970228056980456</c:v>
                </c:pt>
                <c:pt idx="39">
                  <c:v>-24.977093353775331</c:v>
                </c:pt>
                <c:pt idx="40">
                  <c:v>-24.936988763040503</c:v>
                </c:pt>
                <c:pt idx="41">
                  <c:v>-24.92799137526778</c:v>
                </c:pt>
                <c:pt idx="42">
                  <c:v>-24.899893611372288</c:v>
                </c:pt>
                <c:pt idx="43">
                  <c:v>-24.794973721633973</c:v>
                </c:pt>
                <c:pt idx="44">
                  <c:v>-24.877678826424262</c:v>
                </c:pt>
                <c:pt idx="45">
                  <c:v>-24.933164222561597</c:v>
                </c:pt>
                <c:pt idx="46">
                  <c:v>-24.794811731777614</c:v>
                </c:pt>
                <c:pt idx="47">
                  <c:v>-24.770094302467264</c:v>
                </c:pt>
                <c:pt idx="48">
                  <c:v>-24.775659923643737</c:v>
                </c:pt>
                <c:pt idx="49">
                  <c:v>-24.608687908799986</c:v>
                </c:pt>
                <c:pt idx="50">
                  <c:v>-24.460182552418274</c:v>
                </c:pt>
                <c:pt idx="51">
                  <c:v>-24.565490956707727</c:v>
                </c:pt>
                <c:pt idx="52">
                  <c:v>-24.429213580201704</c:v>
                </c:pt>
                <c:pt idx="53">
                  <c:v>-24.773767750800552</c:v>
                </c:pt>
                <c:pt idx="54">
                  <c:v>-24.649450383813519</c:v>
                </c:pt>
                <c:pt idx="55">
                  <c:v>-24.635858153387826</c:v>
                </c:pt>
                <c:pt idx="56">
                  <c:v>-24.448938946412053</c:v>
                </c:pt>
                <c:pt idx="57">
                  <c:v>-24.470954512268516</c:v>
                </c:pt>
                <c:pt idx="58">
                  <c:v>-24.495468949812373</c:v>
                </c:pt>
                <c:pt idx="59">
                  <c:v>-24.328402414368949</c:v>
                </c:pt>
                <c:pt idx="60">
                  <c:v>-24.40240225813999</c:v>
                </c:pt>
                <c:pt idx="61">
                  <c:v>-24.524856233859953</c:v>
                </c:pt>
                <c:pt idx="62">
                  <c:v>-24.360823294549608</c:v>
                </c:pt>
                <c:pt idx="63">
                  <c:v>-24.393218460682938</c:v>
                </c:pt>
                <c:pt idx="64">
                  <c:v>-24.242331899132374</c:v>
                </c:pt>
                <c:pt idx="65">
                  <c:v>-24.191051898918751</c:v>
                </c:pt>
                <c:pt idx="66">
                  <c:v>-24.225924313049187</c:v>
                </c:pt>
                <c:pt idx="67">
                  <c:v>-24.113885063404808</c:v>
                </c:pt>
                <c:pt idx="68">
                  <c:v>-23.875100250904808</c:v>
                </c:pt>
                <c:pt idx="69">
                  <c:v>-24.01754235241075</c:v>
                </c:pt>
                <c:pt idx="70">
                  <c:v>-24.029254452890015</c:v>
                </c:pt>
                <c:pt idx="71">
                  <c:v>-23.410333229097319</c:v>
                </c:pt>
                <c:pt idx="72">
                  <c:v>-23.683016442560735</c:v>
                </c:pt>
                <c:pt idx="73">
                  <c:v>-23.635392205701763</c:v>
                </c:pt>
                <c:pt idx="74">
                  <c:v>-23.488611666439226</c:v>
                </c:pt>
                <c:pt idx="75">
                  <c:v>-23.291548546049292</c:v>
                </c:pt>
                <c:pt idx="76">
                  <c:v>-22.910303729444127</c:v>
                </c:pt>
                <c:pt idx="77">
                  <c:v>-22.379473747866648</c:v>
                </c:pt>
                <c:pt idx="78">
                  <c:v>-23.488261193875999</c:v>
                </c:pt>
                <c:pt idx="79">
                  <c:v>-23.436315473985893</c:v>
                </c:pt>
                <c:pt idx="80">
                  <c:v>-23.494493856613957</c:v>
                </c:pt>
                <c:pt idx="81">
                  <c:v>-23.448164040031674</c:v>
                </c:pt>
                <c:pt idx="82">
                  <c:v>-23.493085229365011</c:v>
                </c:pt>
                <c:pt idx="83">
                  <c:v>-23.556491469721092</c:v>
                </c:pt>
                <c:pt idx="84">
                  <c:v>-23.484685116030406</c:v>
                </c:pt>
                <c:pt idx="85">
                  <c:v>-23.179158361326934</c:v>
                </c:pt>
                <c:pt idx="86">
                  <c:v>-23.370215976766932</c:v>
                </c:pt>
                <c:pt idx="87">
                  <c:v>-23.346180832910278</c:v>
                </c:pt>
                <c:pt idx="88">
                  <c:v>-23.304684811332816</c:v>
                </c:pt>
                <c:pt idx="89">
                  <c:v>-23.412433040284071</c:v>
                </c:pt>
                <c:pt idx="90">
                  <c:v>-23.23243530365793</c:v>
                </c:pt>
                <c:pt idx="91">
                  <c:v>-23.237198389321644</c:v>
                </c:pt>
                <c:pt idx="92">
                  <c:v>-23.283575089915256</c:v>
                </c:pt>
                <c:pt idx="93">
                  <c:v>-23.049359792640967</c:v>
                </c:pt>
                <c:pt idx="94">
                  <c:v>-22.649252089629304</c:v>
                </c:pt>
                <c:pt idx="95">
                  <c:v>-22.23996447335243</c:v>
                </c:pt>
                <c:pt idx="96">
                  <c:v>-22.146120060644847</c:v>
                </c:pt>
                <c:pt idx="97">
                  <c:v>-22.063342550823819</c:v>
                </c:pt>
                <c:pt idx="98">
                  <c:v>-21.949784660718556</c:v>
                </c:pt>
                <c:pt idx="99">
                  <c:v>-21.802108084682921</c:v>
                </c:pt>
                <c:pt idx="100">
                  <c:v>-21.525202123807766</c:v>
                </c:pt>
                <c:pt idx="101">
                  <c:v>-21.625044406115457</c:v>
                </c:pt>
                <c:pt idx="102">
                  <c:v>-21.566994055135062</c:v>
                </c:pt>
                <c:pt idx="103">
                  <c:v>-21.323834656717676</c:v>
                </c:pt>
                <c:pt idx="104">
                  <c:v>-21.3220550937361</c:v>
                </c:pt>
                <c:pt idx="105">
                  <c:v>-21.182948145645486</c:v>
                </c:pt>
                <c:pt idx="106">
                  <c:v>-21.267876430420898</c:v>
                </c:pt>
                <c:pt idx="107">
                  <c:v>-21.298273689328333</c:v>
                </c:pt>
                <c:pt idx="108">
                  <c:v>-21.337564548626577</c:v>
                </c:pt>
                <c:pt idx="109">
                  <c:v>-21.285751362669131</c:v>
                </c:pt>
                <c:pt idx="110">
                  <c:v>-21.202158819941861</c:v>
                </c:pt>
                <c:pt idx="111">
                  <c:v>-21.049939101412448</c:v>
                </c:pt>
                <c:pt idx="112">
                  <c:v>-20.98953099004121</c:v>
                </c:pt>
                <c:pt idx="113">
                  <c:v>-20.915876750998148</c:v>
                </c:pt>
                <c:pt idx="114">
                  <c:v>-20.871477812013907</c:v>
                </c:pt>
                <c:pt idx="115">
                  <c:v>-20.830628238074514</c:v>
                </c:pt>
                <c:pt idx="116">
                  <c:v>-20.783086400624246</c:v>
                </c:pt>
                <c:pt idx="117">
                  <c:v>-20.722337971612735</c:v>
                </c:pt>
                <c:pt idx="118">
                  <c:v>-20.754272954667897</c:v>
                </c:pt>
                <c:pt idx="119">
                  <c:v>-20.841184199112341</c:v>
                </c:pt>
                <c:pt idx="120">
                  <c:v>-20.878496335967689</c:v>
                </c:pt>
                <c:pt idx="121">
                  <c:v>-20.864405888675616</c:v>
                </c:pt>
                <c:pt idx="122">
                  <c:v>-20.798605163926457</c:v>
                </c:pt>
                <c:pt idx="123">
                  <c:v>-20.662736415182998</c:v>
                </c:pt>
                <c:pt idx="124">
                  <c:v>-20.703909236512008</c:v>
                </c:pt>
                <c:pt idx="125">
                  <c:v>-20.715656181205233</c:v>
                </c:pt>
                <c:pt idx="126">
                  <c:v>-20.692904690487524</c:v>
                </c:pt>
                <c:pt idx="127">
                  <c:v>-20.738966779767885</c:v>
                </c:pt>
                <c:pt idx="128">
                  <c:v>-20.895351880857142</c:v>
                </c:pt>
                <c:pt idx="129">
                  <c:v>-20.779541001773634</c:v>
                </c:pt>
                <c:pt idx="130">
                  <c:v>-20.726998689218984</c:v>
                </c:pt>
                <c:pt idx="131">
                  <c:v>-20.622634196760178</c:v>
                </c:pt>
                <c:pt idx="132">
                  <c:v>-20.602833139944892</c:v>
                </c:pt>
                <c:pt idx="133">
                  <c:v>-20.511679967789206</c:v>
                </c:pt>
                <c:pt idx="134">
                  <c:v>-20.452601462334659</c:v>
                </c:pt>
                <c:pt idx="135">
                  <c:v>-20.388644231079287</c:v>
                </c:pt>
                <c:pt idx="136">
                  <c:v>-20.457249169902816</c:v>
                </c:pt>
                <c:pt idx="137">
                  <c:v>-20.398880345822818</c:v>
                </c:pt>
                <c:pt idx="138">
                  <c:v>-20.45131437313276</c:v>
                </c:pt>
                <c:pt idx="139">
                  <c:v>-20.452410929454601</c:v>
                </c:pt>
                <c:pt idx="140">
                  <c:v>-20.376045749342744</c:v>
                </c:pt>
                <c:pt idx="141">
                  <c:v>-20.325750703405244</c:v>
                </c:pt>
                <c:pt idx="142">
                  <c:v>-20.342669448207399</c:v>
                </c:pt>
                <c:pt idx="143">
                  <c:v>-20.252721670065629</c:v>
                </c:pt>
                <c:pt idx="144">
                  <c:v>-20.201354229357662</c:v>
                </c:pt>
                <c:pt idx="145">
                  <c:v>-20.126379293747664</c:v>
                </c:pt>
                <c:pt idx="146">
                  <c:v>-20.138195380743177</c:v>
                </c:pt>
                <c:pt idx="147">
                  <c:v>-20.109678338150587</c:v>
                </c:pt>
                <c:pt idx="148">
                  <c:v>-19.833635139934938</c:v>
                </c:pt>
                <c:pt idx="149">
                  <c:v>-19.906568757374551</c:v>
                </c:pt>
                <c:pt idx="150">
                  <c:v>-19.841043279733192</c:v>
                </c:pt>
                <c:pt idx="151">
                  <c:v>-19.739401274365093</c:v>
                </c:pt>
                <c:pt idx="152">
                  <c:v>-19.636724742835682</c:v>
                </c:pt>
                <c:pt idx="153">
                  <c:v>-19.676831698574013</c:v>
                </c:pt>
                <c:pt idx="154">
                  <c:v>-19.750332542369406</c:v>
                </c:pt>
                <c:pt idx="155">
                  <c:v>-19.597905162877275</c:v>
                </c:pt>
                <c:pt idx="156">
                  <c:v>-19.302051288053089</c:v>
                </c:pt>
                <c:pt idx="157">
                  <c:v>-19.092693249038959</c:v>
                </c:pt>
                <c:pt idx="158">
                  <c:v>-19.01410092576559</c:v>
                </c:pt>
                <c:pt idx="159">
                  <c:v>-19.025432417713528</c:v>
                </c:pt>
                <c:pt idx="160">
                  <c:v>-18.906815594125558</c:v>
                </c:pt>
                <c:pt idx="161">
                  <c:v>-18.894587328388216</c:v>
                </c:pt>
                <c:pt idx="162">
                  <c:v>-18.942212247062756</c:v>
                </c:pt>
                <c:pt idx="163">
                  <c:v>-18.944766969408608</c:v>
                </c:pt>
                <c:pt idx="164">
                  <c:v>-18.695937315759959</c:v>
                </c:pt>
                <c:pt idx="165">
                  <c:v>-18.375068944082159</c:v>
                </c:pt>
                <c:pt idx="166">
                  <c:v>-17.795041603610581</c:v>
                </c:pt>
                <c:pt idx="167">
                  <c:v>-17.778671997953332</c:v>
                </c:pt>
                <c:pt idx="168">
                  <c:v>-17.779499181250582</c:v>
                </c:pt>
                <c:pt idx="169">
                  <c:v>-17.707625186531381</c:v>
                </c:pt>
                <c:pt idx="170">
                  <c:v>-17.275316803221365</c:v>
                </c:pt>
                <c:pt idx="171">
                  <c:v>-15.714241153162828</c:v>
                </c:pt>
                <c:pt idx="172">
                  <c:v>-15.417813518437217</c:v>
                </c:pt>
                <c:pt idx="173">
                  <c:v>-15.513550908836331</c:v>
                </c:pt>
                <c:pt idx="174">
                  <c:v>-15.520308978152787</c:v>
                </c:pt>
                <c:pt idx="175">
                  <c:v>-15.544333156012275</c:v>
                </c:pt>
                <c:pt idx="176">
                  <c:v>-15.581251873977834</c:v>
                </c:pt>
                <c:pt idx="177">
                  <c:v>-15.635911263114719</c:v>
                </c:pt>
                <c:pt idx="178">
                  <c:v>-15.3878538693662</c:v>
                </c:pt>
                <c:pt idx="179">
                  <c:v>-15.408745441514771</c:v>
                </c:pt>
                <c:pt idx="180">
                  <c:v>-15.287128344948025</c:v>
                </c:pt>
                <c:pt idx="181">
                  <c:v>-15.300481549007872</c:v>
                </c:pt>
                <c:pt idx="182">
                  <c:v>-15.407610793858069</c:v>
                </c:pt>
                <c:pt idx="183">
                  <c:v>-15.470217849708071</c:v>
                </c:pt>
                <c:pt idx="184">
                  <c:v>-15.454603797492977</c:v>
                </c:pt>
                <c:pt idx="185">
                  <c:v>-15.494707160387916</c:v>
                </c:pt>
                <c:pt idx="186">
                  <c:v>-15.249057238743768</c:v>
                </c:pt>
                <c:pt idx="187">
                  <c:v>-15.242986217198249</c:v>
                </c:pt>
                <c:pt idx="188">
                  <c:v>-15.244944524044943</c:v>
                </c:pt>
                <c:pt idx="189">
                  <c:v>-15.296806450768228</c:v>
                </c:pt>
                <c:pt idx="190">
                  <c:v>-15.349491689605324</c:v>
                </c:pt>
                <c:pt idx="191">
                  <c:v>-15.387581842301966</c:v>
                </c:pt>
                <c:pt idx="192">
                  <c:v>-15.327505951390554</c:v>
                </c:pt>
                <c:pt idx="193">
                  <c:v>-15.281159673140555</c:v>
                </c:pt>
                <c:pt idx="194">
                  <c:v>-15.242798676308638</c:v>
                </c:pt>
                <c:pt idx="195">
                  <c:v>-15.206697516980688</c:v>
                </c:pt>
                <c:pt idx="196">
                  <c:v>-15.072735058639227</c:v>
                </c:pt>
                <c:pt idx="197">
                  <c:v>-15.03352417816583</c:v>
                </c:pt>
                <c:pt idx="198">
                  <c:v>-15.101917726485651</c:v>
                </c:pt>
                <c:pt idx="199">
                  <c:v>-15.073438797028668</c:v>
                </c:pt>
                <c:pt idx="200">
                  <c:v>-15.049667811770925</c:v>
                </c:pt>
                <c:pt idx="201">
                  <c:v>-15.012251436934909</c:v>
                </c:pt>
                <c:pt idx="202">
                  <c:v>-15.040882959008066</c:v>
                </c:pt>
                <c:pt idx="203">
                  <c:v>-15.073440762043067</c:v>
                </c:pt>
                <c:pt idx="204">
                  <c:v>-15.013267709431554</c:v>
                </c:pt>
                <c:pt idx="205">
                  <c:v>-14.970652428625302</c:v>
                </c:pt>
                <c:pt idx="206">
                  <c:v>-15.042166086336145</c:v>
                </c:pt>
                <c:pt idx="207">
                  <c:v>-14.976591537184444</c:v>
                </c:pt>
                <c:pt idx="208">
                  <c:v>-14.927402305557557</c:v>
                </c:pt>
                <c:pt idx="209">
                  <c:v>-14.922147488457069</c:v>
                </c:pt>
                <c:pt idx="210">
                  <c:v>-14.953324413916226</c:v>
                </c:pt>
                <c:pt idx="211">
                  <c:v>-14.906839180184006</c:v>
                </c:pt>
                <c:pt idx="212">
                  <c:v>-14.899292307104595</c:v>
                </c:pt>
                <c:pt idx="213">
                  <c:v>-14.78975143071535</c:v>
                </c:pt>
                <c:pt idx="214">
                  <c:v>-14.704991675465038</c:v>
                </c:pt>
                <c:pt idx="215">
                  <c:v>-14.758331946177154</c:v>
                </c:pt>
                <c:pt idx="216">
                  <c:v>-14.955366159214572</c:v>
                </c:pt>
                <c:pt idx="217">
                  <c:v>-14.905653414360447</c:v>
                </c:pt>
                <c:pt idx="218">
                  <c:v>-14.929799774229474</c:v>
                </c:pt>
                <c:pt idx="219">
                  <c:v>-14.91757871546505</c:v>
                </c:pt>
                <c:pt idx="220">
                  <c:v>-14.865756186843655</c:v>
                </c:pt>
                <c:pt idx="221">
                  <c:v>-14.73247699433111</c:v>
                </c:pt>
                <c:pt idx="222">
                  <c:v>-14.771998533393294</c:v>
                </c:pt>
                <c:pt idx="223">
                  <c:v>-14.724111398245595</c:v>
                </c:pt>
                <c:pt idx="224">
                  <c:v>-14.557415293345734</c:v>
                </c:pt>
                <c:pt idx="225">
                  <c:v>-14.578761994750421</c:v>
                </c:pt>
                <c:pt idx="226">
                  <c:v>-14.567969584561332</c:v>
                </c:pt>
                <c:pt idx="227">
                  <c:v>-14.501994380624945</c:v>
                </c:pt>
                <c:pt idx="228">
                  <c:v>-14.506887301862232</c:v>
                </c:pt>
                <c:pt idx="229">
                  <c:v>-14.570333330158755</c:v>
                </c:pt>
                <c:pt idx="230">
                  <c:v>-14.511511239124662</c:v>
                </c:pt>
                <c:pt idx="231">
                  <c:v>-14.367678481502164</c:v>
                </c:pt>
                <c:pt idx="232">
                  <c:v>-14.068053432605179</c:v>
                </c:pt>
                <c:pt idx="233">
                  <c:v>-14.209851111642267</c:v>
                </c:pt>
                <c:pt idx="234">
                  <c:v>-14.251848335799655</c:v>
                </c:pt>
                <c:pt idx="235">
                  <c:v>-14.18427608245052</c:v>
                </c:pt>
                <c:pt idx="236">
                  <c:v>-14.204383846659072</c:v>
                </c:pt>
                <c:pt idx="237">
                  <c:v>-14.091110282112071</c:v>
                </c:pt>
                <c:pt idx="238">
                  <c:v>-13.977429621175901</c:v>
                </c:pt>
                <c:pt idx="239">
                  <c:v>-14.055926475923606</c:v>
                </c:pt>
                <c:pt idx="240">
                  <c:v>-14.035831875080998</c:v>
                </c:pt>
                <c:pt idx="241">
                  <c:v>-13.965161700288617</c:v>
                </c:pt>
                <c:pt idx="242">
                  <c:v>-14.08288717475652</c:v>
                </c:pt>
                <c:pt idx="243">
                  <c:v>-14.127258083090277</c:v>
                </c:pt>
                <c:pt idx="244">
                  <c:v>-14.065299913720255</c:v>
                </c:pt>
                <c:pt idx="245">
                  <c:v>-13.973796051061802</c:v>
                </c:pt>
                <c:pt idx="246">
                  <c:v>-13.896467208450918</c:v>
                </c:pt>
                <c:pt idx="247">
                  <c:v>-14.041035670175882</c:v>
                </c:pt>
                <c:pt idx="248">
                  <c:v>-14.072463247338469</c:v>
                </c:pt>
                <c:pt idx="249">
                  <c:v>-14.257268656010966</c:v>
                </c:pt>
                <c:pt idx="250">
                  <c:v>-14.208658020005794</c:v>
                </c:pt>
                <c:pt idx="251">
                  <c:v>-14.116350269514619</c:v>
                </c:pt>
                <c:pt idx="252">
                  <c:v>-14.083413509330157</c:v>
                </c:pt>
                <c:pt idx="253">
                  <c:v>-14.278491835665841</c:v>
                </c:pt>
                <c:pt idx="254">
                  <c:v>-14.053583323710011</c:v>
                </c:pt>
                <c:pt idx="255">
                  <c:v>-13.867016004475587</c:v>
                </c:pt>
                <c:pt idx="256">
                  <c:v>-13.671409508516042</c:v>
                </c:pt>
                <c:pt idx="257">
                  <c:v>-13.995089294187101</c:v>
                </c:pt>
                <c:pt idx="258">
                  <c:v>-13.597678495736425</c:v>
                </c:pt>
                <c:pt idx="259">
                  <c:v>-13.679117258974237</c:v>
                </c:pt>
                <c:pt idx="260">
                  <c:v>-13.55356504432029</c:v>
                </c:pt>
                <c:pt idx="261">
                  <c:v>-13.276712244739109</c:v>
                </c:pt>
                <c:pt idx="262">
                  <c:v>-13.201874153046358</c:v>
                </c:pt>
                <c:pt idx="263">
                  <c:v>-12.76653696799319</c:v>
                </c:pt>
                <c:pt idx="264">
                  <c:v>-12.573753339219836</c:v>
                </c:pt>
                <c:pt idx="265">
                  <c:v>-15.984112780137067</c:v>
                </c:pt>
                <c:pt idx="266">
                  <c:v>-16.368549634223452</c:v>
                </c:pt>
                <c:pt idx="267">
                  <c:v>-15.555072435421785</c:v>
                </c:pt>
                <c:pt idx="268">
                  <c:v>-15.661178494612564</c:v>
                </c:pt>
                <c:pt idx="269">
                  <c:v>-17.012395045668825</c:v>
                </c:pt>
                <c:pt idx="270">
                  <c:v>-16.953940864873417</c:v>
                </c:pt>
                <c:pt idx="271">
                  <c:v>-17.087540264027645</c:v>
                </c:pt>
                <c:pt idx="272">
                  <c:v>-17.144655819079297</c:v>
                </c:pt>
                <c:pt idx="273">
                  <c:v>-17.04910738062221</c:v>
                </c:pt>
                <c:pt idx="274">
                  <c:v>-17.008044962085471</c:v>
                </c:pt>
                <c:pt idx="275">
                  <c:v>-16.768153704934477</c:v>
                </c:pt>
                <c:pt idx="276">
                  <c:v>-16.185683953124038</c:v>
                </c:pt>
                <c:pt idx="277">
                  <c:v>-16.573315992974031</c:v>
                </c:pt>
                <c:pt idx="278">
                  <c:v>-16.404411119659226</c:v>
                </c:pt>
                <c:pt idx="279">
                  <c:v>-16.06792575424635</c:v>
                </c:pt>
                <c:pt idx="280">
                  <c:v>-16.086287918424439</c:v>
                </c:pt>
                <c:pt idx="281">
                  <c:v>-15.920234365122035</c:v>
                </c:pt>
                <c:pt idx="282">
                  <c:v>-15.661376780956845</c:v>
                </c:pt>
                <c:pt idx="283">
                  <c:v>-15.480203173185178</c:v>
                </c:pt>
                <c:pt idx="284">
                  <c:v>-15.522706329297254</c:v>
                </c:pt>
                <c:pt idx="285">
                  <c:v>-15.449031445216919</c:v>
                </c:pt>
                <c:pt idx="286">
                  <c:v>-15.366343635085661</c:v>
                </c:pt>
                <c:pt idx="287">
                  <c:v>-15.25208802998733</c:v>
                </c:pt>
                <c:pt idx="288">
                  <c:v>-14.993254430840645</c:v>
                </c:pt>
                <c:pt idx="289">
                  <c:v>-15.157052598382878</c:v>
                </c:pt>
                <c:pt idx="290">
                  <c:v>-15.030956077235198</c:v>
                </c:pt>
                <c:pt idx="291">
                  <c:v>-14.798897397559561</c:v>
                </c:pt>
                <c:pt idx="292">
                  <c:v>-14.982363575443747</c:v>
                </c:pt>
                <c:pt idx="293">
                  <c:v>-15.445903048223334</c:v>
                </c:pt>
                <c:pt idx="294">
                  <c:v>-15.483833632690326</c:v>
                </c:pt>
                <c:pt idx="295">
                  <c:v>-15.248686075436597</c:v>
                </c:pt>
                <c:pt idx="296">
                  <c:v>-15.435706117297013</c:v>
                </c:pt>
                <c:pt idx="297">
                  <c:v>-14.860155320696482</c:v>
                </c:pt>
                <c:pt idx="298">
                  <c:v>-12.790522419747091</c:v>
                </c:pt>
                <c:pt idx="299">
                  <c:v>-13.145239475929353</c:v>
                </c:pt>
                <c:pt idx="300">
                  <c:v>-13.149595186621132</c:v>
                </c:pt>
                <c:pt idx="301">
                  <c:v>-12.959728677423104</c:v>
                </c:pt>
                <c:pt idx="302">
                  <c:v>-12.969008588818076</c:v>
                </c:pt>
                <c:pt idx="303">
                  <c:v>-12.964255518988159</c:v>
                </c:pt>
                <c:pt idx="304">
                  <c:v>-12.863339883371337</c:v>
                </c:pt>
                <c:pt idx="305">
                  <c:v>-12.908955344540514</c:v>
                </c:pt>
                <c:pt idx="306">
                  <c:v>-13.210384755470466</c:v>
                </c:pt>
                <c:pt idx="307">
                  <c:v>-13.273386040350376</c:v>
                </c:pt>
                <c:pt idx="308">
                  <c:v>-13.076503069359951</c:v>
                </c:pt>
                <c:pt idx="309">
                  <c:v>-13.077291300248911</c:v>
                </c:pt>
                <c:pt idx="310">
                  <c:v>-11.859991141247761</c:v>
                </c:pt>
                <c:pt idx="311">
                  <c:v>-12.10489853505522</c:v>
                </c:pt>
                <c:pt idx="312">
                  <c:v>-11.894385841729935</c:v>
                </c:pt>
                <c:pt idx="313">
                  <c:v>-11.800955478951796</c:v>
                </c:pt>
                <c:pt idx="314">
                  <c:v>-11.689751939397173</c:v>
                </c:pt>
                <c:pt idx="315">
                  <c:v>-11.570942346294414</c:v>
                </c:pt>
                <c:pt idx="316">
                  <c:v>-11.239965065742835</c:v>
                </c:pt>
                <c:pt idx="317">
                  <c:v>-11.073836460332998</c:v>
                </c:pt>
                <c:pt idx="318">
                  <c:v>-11.566764588093282</c:v>
                </c:pt>
                <c:pt idx="319">
                  <c:v>-11.560485363038367</c:v>
                </c:pt>
                <c:pt idx="320">
                  <c:v>-11.438155396849517</c:v>
                </c:pt>
                <c:pt idx="321">
                  <c:v>-11.577864112227449</c:v>
                </c:pt>
                <c:pt idx="322">
                  <c:v>-11.373222961590395</c:v>
                </c:pt>
                <c:pt idx="323">
                  <c:v>-11.507162084826144</c:v>
                </c:pt>
                <c:pt idx="324">
                  <c:v>-11.357406170787975</c:v>
                </c:pt>
                <c:pt idx="325">
                  <c:v>-11.201254362287976</c:v>
                </c:pt>
                <c:pt idx="326">
                  <c:v>-11.396133991120314</c:v>
                </c:pt>
                <c:pt idx="327">
                  <c:v>-11.573784312173618</c:v>
                </c:pt>
                <c:pt idx="328">
                  <c:v>-11.659002066430954</c:v>
                </c:pt>
                <c:pt idx="329">
                  <c:v>-11.742476423990954</c:v>
                </c:pt>
                <c:pt idx="330">
                  <c:v>-11.552168765985313</c:v>
                </c:pt>
                <c:pt idx="331">
                  <c:v>-11.407172343213906</c:v>
                </c:pt>
                <c:pt idx="332">
                  <c:v>-11.32775305060324</c:v>
                </c:pt>
                <c:pt idx="333">
                  <c:v>-11.494008588192791</c:v>
                </c:pt>
                <c:pt idx="334">
                  <c:v>-11.419998135355234</c:v>
                </c:pt>
                <c:pt idx="335">
                  <c:v>-11.150729897256976</c:v>
                </c:pt>
                <c:pt idx="336">
                  <c:v>-9.7401000546748691</c:v>
                </c:pt>
                <c:pt idx="337">
                  <c:v>-9.8567628735540875</c:v>
                </c:pt>
                <c:pt idx="338">
                  <c:v>-9.8927553977687879</c:v>
                </c:pt>
                <c:pt idx="339">
                  <c:v>-9.8320165931698682</c:v>
                </c:pt>
                <c:pt idx="340">
                  <c:v>-9.844988889651944</c:v>
                </c:pt>
                <c:pt idx="341">
                  <c:v>-9.9974008342588441</c:v>
                </c:pt>
                <c:pt idx="342">
                  <c:v>-9.8711224600207164</c:v>
                </c:pt>
                <c:pt idx="343">
                  <c:v>-9.7460488506993972</c:v>
                </c:pt>
                <c:pt idx="344">
                  <c:v>-9.5093729920643657</c:v>
                </c:pt>
                <c:pt idx="345">
                  <c:v>-9.3770804340310239</c:v>
                </c:pt>
                <c:pt idx="346">
                  <c:v>-9.163460811139851</c:v>
                </c:pt>
                <c:pt idx="347">
                  <c:v>-8.8528673417737256</c:v>
                </c:pt>
                <c:pt idx="348">
                  <c:v>-8.2852797224288288</c:v>
                </c:pt>
                <c:pt idx="349">
                  <c:v>-7.6483340313988331</c:v>
                </c:pt>
                <c:pt idx="350">
                  <c:v>-6.9909096461807323</c:v>
                </c:pt>
                <c:pt idx="351">
                  <c:v>-5.7836820723529625</c:v>
                </c:pt>
                <c:pt idx="352">
                  <c:v>-4.8530811882715446</c:v>
                </c:pt>
                <c:pt idx="353">
                  <c:v>-5.0811483199375909</c:v>
                </c:pt>
                <c:pt idx="354">
                  <c:v>-5.1570630080835684</c:v>
                </c:pt>
                <c:pt idx="355">
                  <c:v>-5.082098072692002</c:v>
                </c:pt>
                <c:pt idx="356">
                  <c:v>-5.1134509516231752</c:v>
                </c:pt>
                <c:pt idx="357">
                  <c:v>-5.2773510321353694</c:v>
                </c:pt>
                <c:pt idx="358">
                  <c:v>-5.2268593208413785</c:v>
                </c:pt>
                <c:pt idx="359">
                  <c:v>-5.4280658352118794</c:v>
                </c:pt>
                <c:pt idx="360">
                  <c:v>-5.5571320888834839</c:v>
                </c:pt>
                <c:pt idx="361">
                  <c:v>-5.6122594936770058</c:v>
                </c:pt>
                <c:pt idx="362">
                  <c:v>-5.6952136279006087</c:v>
                </c:pt>
                <c:pt idx="363">
                  <c:v>-5.7430945468442864</c:v>
                </c:pt>
                <c:pt idx="364">
                  <c:v>-5.6337635949109517</c:v>
                </c:pt>
                <c:pt idx="365">
                  <c:v>-5.3977522376546343</c:v>
                </c:pt>
                <c:pt idx="366">
                  <c:v>-5.6451726923985897</c:v>
                </c:pt>
                <c:pt idx="367">
                  <c:v>-5.6541478849069504</c:v>
                </c:pt>
                <c:pt idx="368">
                  <c:v>-5.6317624779069515</c:v>
                </c:pt>
                <c:pt idx="369">
                  <c:v>-5.7532239017965718</c:v>
                </c:pt>
                <c:pt idx="370">
                  <c:v>-5.9618654802575426</c:v>
                </c:pt>
                <c:pt idx="371">
                  <c:v>-6.0659371043041963</c:v>
                </c:pt>
                <c:pt idx="372">
                  <c:v>-5.6376841272687583</c:v>
                </c:pt>
                <c:pt idx="373">
                  <c:v>-5.7272901234838116</c:v>
                </c:pt>
                <c:pt idx="374">
                  <c:v>-5.5900677392943763</c:v>
                </c:pt>
                <c:pt idx="375">
                  <c:v>-5.6096676942910371</c:v>
                </c:pt>
                <c:pt idx="376">
                  <c:v>-5.7707549102910383</c:v>
                </c:pt>
                <c:pt idx="377">
                  <c:v>-5.9181699476047633</c:v>
                </c:pt>
                <c:pt idx="378">
                  <c:v>-5.9322855808014845</c:v>
                </c:pt>
                <c:pt idx="379">
                  <c:v>-5.9133414389487244</c:v>
                </c:pt>
                <c:pt idx="380">
                  <c:v>-6.024832965822462</c:v>
                </c:pt>
                <c:pt idx="381">
                  <c:v>-5.9691486315331224</c:v>
                </c:pt>
                <c:pt idx="382">
                  <c:v>-5.9373319314307658</c:v>
                </c:pt>
                <c:pt idx="383">
                  <c:v>-5.8772754359685804</c:v>
                </c:pt>
                <c:pt idx="384">
                  <c:v>-5.939028523889978</c:v>
                </c:pt>
                <c:pt idx="385">
                  <c:v>-5.9725716333642644</c:v>
                </c:pt>
                <c:pt idx="386">
                  <c:v>-6.0345757802488791</c:v>
                </c:pt>
                <c:pt idx="387">
                  <c:v>-6.119309552574637</c:v>
                </c:pt>
                <c:pt idx="388">
                  <c:v>-6.1081764471569162</c:v>
                </c:pt>
                <c:pt idx="389">
                  <c:v>-6.1175326460373238</c:v>
                </c:pt>
                <c:pt idx="390">
                  <c:v>-6.2351338634754505</c:v>
                </c:pt>
                <c:pt idx="391">
                  <c:v>-6.2368565502810061</c:v>
                </c:pt>
                <c:pt idx="392">
                  <c:v>-6.2085751423821742</c:v>
                </c:pt>
                <c:pt idx="393">
                  <c:v>-6.1497482017391629</c:v>
                </c:pt>
                <c:pt idx="394">
                  <c:v>-6.0925227979911014</c:v>
                </c:pt>
                <c:pt idx="395">
                  <c:v>-6.2289028506197432</c:v>
                </c:pt>
                <c:pt idx="396">
                  <c:v>-6.275136642444223</c:v>
                </c:pt>
                <c:pt idx="397">
                  <c:v>-6.2478181435892619</c:v>
                </c:pt>
                <c:pt idx="398">
                  <c:v>-6.1547055804317825</c:v>
                </c:pt>
                <c:pt idx="399">
                  <c:v>-6.1240830220714217</c:v>
                </c:pt>
                <c:pt idx="400">
                  <c:v>-6.1959711335036367</c:v>
                </c:pt>
                <c:pt idx="401">
                  <c:v>-6.0531745481896051</c:v>
                </c:pt>
                <c:pt idx="402">
                  <c:v>-6.0721262702514034</c:v>
                </c:pt>
                <c:pt idx="403">
                  <c:v>-5.9952509384673887</c:v>
                </c:pt>
                <c:pt idx="404">
                  <c:v>-5.8755336158007214</c:v>
                </c:pt>
                <c:pt idx="405">
                  <c:v>-5.978065495191367</c:v>
                </c:pt>
                <c:pt idx="406">
                  <c:v>-5.92876191895028</c:v>
                </c:pt>
                <c:pt idx="407">
                  <c:v>-5.8201345360403494</c:v>
                </c:pt>
                <c:pt idx="408">
                  <c:v>-5.9228155115434173</c:v>
                </c:pt>
                <c:pt idx="409">
                  <c:v>-5.8837926547054042</c:v>
                </c:pt>
                <c:pt idx="410">
                  <c:v>-5.8899030060108881</c:v>
                </c:pt>
                <c:pt idx="411">
                  <c:v>-5.8485209104895199</c:v>
                </c:pt>
                <c:pt idx="412">
                  <c:v>-5.9370310306290541</c:v>
                </c:pt>
                <c:pt idx="413">
                  <c:v>-5.8314518160444839</c:v>
                </c:pt>
                <c:pt idx="414">
                  <c:v>-5.6380014354863448</c:v>
                </c:pt>
                <c:pt idx="415">
                  <c:v>-6.0371737819260591</c:v>
                </c:pt>
                <c:pt idx="416">
                  <c:v>-6.0884716090557154</c:v>
                </c:pt>
                <c:pt idx="417">
                  <c:v>-6.1043922592375335</c:v>
                </c:pt>
                <c:pt idx="418">
                  <c:v>-6.0625039146761956</c:v>
                </c:pt>
                <c:pt idx="419">
                  <c:v>-6.0827584973428621</c:v>
                </c:pt>
                <c:pt idx="420">
                  <c:v>-5.9848903664779973</c:v>
                </c:pt>
                <c:pt idx="421">
                  <c:v>-5.9437967097409086</c:v>
                </c:pt>
                <c:pt idx="422">
                  <c:v>-5.9905720763672052</c:v>
                </c:pt>
                <c:pt idx="423">
                  <c:v>-5.7959802777625535</c:v>
                </c:pt>
                <c:pt idx="424">
                  <c:v>-5.8343966756919663</c:v>
                </c:pt>
                <c:pt idx="425">
                  <c:v>-5.8069861572668895</c:v>
                </c:pt>
                <c:pt idx="426">
                  <c:v>-5.8152941156209561</c:v>
                </c:pt>
                <c:pt idx="427">
                  <c:v>-5.8363653163166083</c:v>
                </c:pt>
                <c:pt idx="428">
                  <c:v>-5.7273826659966085</c:v>
                </c:pt>
                <c:pt idx="429">
                  <c:v>-5.7811693110738096</c:v>
                </c:pt>
                <c:pt idx="430">
                  <c:v>-5.8089502761649854</c:v>
                </c:pt>
                <c:pt idx="431">
                  <c:v>-5.8854609704261804</c:v>
                </c:pt>
                <c:pt idx="432">
                  <c:v>-5.8990254603399066</c:v>
                </c:pt>
                <c:pt idx="433">
                  <c:v>-5.9390473560513151</c:v>
                </c:pt>
                <c:pt idx="434">
                  <c:v>-5.9416625965768137</c:v>
                </c:pt>
                <c:pt idx="435">
                  <c:v>-5.8565337447373489</c:v>
                </c:pt>
                <c:pt idx="436">
                  <c:v>-5.7528322626276429</c:v>
                </c:pt>
                <c:pt idx="437">
                  <c:v>-5.8216289912992298</c:v>
                </c:pt>
                <c:pt idx="438">
                  <c:v>-5.9052705850519978</c:v>
                </c:pt>
                <c:pt idx="439">
                  <c:v>-5.8530156427817275</c:v>
                </c:pt>
                <c:pt idx="440">
                  <c:v>-5.8327834537643861</c:v>
                </c:pt>
                <c:pt idx="441">
                  <c:v>-5.8476496406095739</c:v>
                </c:pt>
                <c:pt idx="442">
                  <c:v>-5.7393825671175884</c:v>
                </c:pt>
                <c:pt idx="443">
                  <c:v>-5.7049566626563823</c:v>
                </c:pt>
                <c:pt idx="444">
                  <c:v>-5.7330859674502754</c:v>
                </c:pt>
                <c:pt idx="445">
                  <c:v>-5.6869667076995585</c:v>
                </c:pt>
                <c:pt idx="446">
                  <c:v>-5.6889505901718715</c:v>
                </c:pt>
                <c:pt idx="447">
                  <c:v>-5.5546271081481553</c:v>
                </c:pt>
                <c:pt idx="448">
                  <c:v>-5.6676733640283121</c:v>
                </c:pt>
                <c:pt idx="449">
                  <c:v>-5.7935313816283118</c:v>
                </c:pt>
                <c:pt idx="450">
                  <c:v>-5.8657775129970275</c:v>
                </c:pt>
                <c:pt idx="451">
                  <c:v>-5.9195889543144888</c:v>
                </c:pt>
                <c:pt idx="452">
                  <c:v>-5.9084846687091375</c:v>
                </c:pt>
                <c:pt idx="453">
                  <c:v>-5.9147338997436201</c:v>
                </c:pt>
                <c:pt idx="454">
                  <c:v>-5.8635212517530233</c:v>
                </c:pt>
                <c:pt idx="455">
                  <c:v>-5.9225769204356808</c:v>
                </c:pt>
                <c:pt idx="456">
                  <c:v>-5.8673948131614884</c:v>
                </c:pt>
                <c:pt idx="457">
                  <c:v>-5.7946907467489872</c:v>
                </c:pt>
                <c:pt idx="458">
                  <c:v>-5.7411166240843912</c:v>
                </c:pt>
                <c:pt idx="459">
                  <c:v>-5.7370451660197759</c:v>
                </c:pt>
                <c:pt idx="460">
                  <c:v>-5.7245897405485122</c:v>
                </c:pt>
                <c:pt idx="461">
                  <c:v>-5.7362628302067398</c:v>
                </c:pt>
                <c:pt idx="462">
                  <c:v>-5.6748664114389671</c:v>
                </c:pt>
                <c:pt idx="463">
                  <c:v>-5.711386696186179</c:v>
                </c:pt>
                <c:pt idx="464">
                  <c:v>-5.7233429159447988</c:v>
                </c:pt>
                <c:pt idx="465">
                  <c:v>-5.6705785648219917</c:v>
                </c:pt>
                <c:pt idx="466">
                  <c:v>-5.6393920419053254</c:v>
                </c:pt>
                <c:pt idx="467">
                  <c:v>-5.669579623092825</c:v>
                </c:pt>
                <c:pt idx="468">
                  <c:v>-5.6726318721962734</c:v>
                </c:pt>
                <c:pt idx="469">
                  <c:v>-5.6387556214907946</c:v>
                </c:pt>
                <c:pt idx="470">
                  <c:v>-5.6269419531545122</c:v>
                </c:pt>
                <c:pt idx="471">
                  <c:v>-5.5736357369801146</c:v>
                </c:pt>
                <c:pt idx="472">
                  <c:v>-5.5697907372217594</c:v>
                </c:pt>
                <c:pt idx="473">
                  <c:v>-5.615560536267445</c:v>
                </c:pt>
                <c:pt idx="474">
                  <c:v>-5.656201595163151</c:v>
                </c:pt>
                <c:pt idx="475">
                  <c:v>-5.6334535666503305</c:v>
                </c:pt>
                <c:pt idx="476">
                  <c:v>-5.6711154448725534</c:v>
                </c:pt>
                <c:pt idx="477">
                  <c:v>-5.7001505247384747</c:v>
                </c:pt>
                <c:pt idx="478">
                  <c:v>-5.7213226570751088</c:v>
                </c:pt>
                <c:pt idx="479">
                  <c:v>-5.6155576051595153</c:v>
                </c:pt>
                <c:pt idx="480">
                  <c:v>-5.6173983861898185</c:v>
                </c:pt>
                <c:pt idx="481">
                  <c:v>-5.647549805224104</c:v>
                </c:pt>
                <c:pt idx="482">
                  <c:v>-5.6048847504479848</c:v>
                </c:pt>
                <c:pt idx="483">
                  <c:v>-5.5497096187489259</c:v>
                </c:pt>
                <c:pt idx="484">
                  <c:v>-5.4758979343548422</c:v>
                </c:pt>
                <c:pt idx="485">
                  <c:v>-5.4444861411777854</c:v>
                </c:pt>
                <c:pt idx="486">
                  <c:v>-5.4138967363250723</c:v>
                </c:pt>
                <c:pt idx="487">
                  <c:v>-5.3900737602963638</c:v>
                </c:pt>
                <c:pt idx="488">
                  <c:v>-5.3763964341516024</c:v>
                </c:pt>
                <c:pt idx="489">
                  <c:v>-5.4696257210685566</c:v>
                </c:pt>
                <c:pt idx="490">
                  <c:v>-5.4943255327899632</c:v>
                </c:pt>
                <c:pt idx="491">
                  <c:v>-5.5296817767948063</c:v>
                </c:pt>
                <c:pt idx="492">
                  <c:v>-5.4873310342863304</c:v>
                </c:pt>
                <c:pt idx="493">
                  <c:v>-5.4843156116585936</c:v>
                </c:pt>
                <c:pt idx="494">
                  <c:v>-5.4502211722167599</c:v>
                </c:pt>
                <c:pt idx="495">
                  <c:v>-5.4285185898638195</c:v>
                </c:pt>
                <c:pt idx="496">
                  <c:v>-5.4345831191573959</c:v>
                </c:pt>
                <c:pt idx="497">
                  <c:v>-5.3948094704744696</c:v>
                </c:pt>
                <c:pt idx="498">
                  <c:v>-5.4379103029815514</c:v>
                </c:pt>
                <c:pt idx="499">
                  <c:v>-5.4606601133769006</c:v>
                </c:pt>
                <c:pt idx="500">
                  <c:v>-5.3948932382970893</c:v>
                </c:pt>
                <c:pt idx="501">
                  <c:v>-5.3896645627516353</c:v>
                </c:pt>
                <c:pt idx="502">
                  <c:v>-5.3032945040900588</c:v>
                </c:pt>
                <c:pt idx="503">
                  <c:v>-5.1469552822289808</c:v>
                </c:pt>
                <c:pt idx="504">
                  <c:v>-5.1889760443242183</c:v>
                </c:pt>
                <c:pt idx="505">
                  <c:v>-5.0933185199166351</c:v>
                </c:pt>
                <c:pt idx="506">
                  <c:v>-5.1789304741688609</c:v>
                </c:pt>
                <c:pt idx="507">
                  <c:v>-5.1811321097956027</c:v>
                </c:pt>
                <c:pt idx="508">
                  <c:v>-5.2707801090151678</c:v>
                </c:pt>
                <c:pt idx="509">
                  <c:v>-5.3715329876993785</c:v>
                </c:pt>
                <c:pt idx="510">
                  <c:v>-5.1944133724158377</c:v>
                </c:pt>
                <c:pt idx="511">
                  <c:v>-5.1967371268917244</c:v>
                </c:pt>
                <c:pt idx="512">
                  <c:v>-4.9827935219317245</c:v>
                </c:pt>
                <c:pt idx="513">
                  <c:v>-4.8970453065983914</c:v>
                </c:pt>
                <c:pt idx="514">
                  <c:v>-4.7503369482568747</c:v>
                </c:pt>
                <c:pt idx="515">
                  <c:v>-4.5605595537770336</c:v>
                </c:pt>
                <c:pt idx="516">
                  <c:v>-4.6028851966728492</c:v>
                </c:pt>
                <c:pt idx="517">
                  <c:v>-4.5723322871045662</c:v>
                </c:pt>
                <c:pt idx="518">
                  <c:v>-4.6036480732693024</c:v>
                </c:pt>
                <c:pt idx="519">
                  <c:v>-4.5594611991837839</c:v>
                </c:pt>
                <c:pt idx="520">
                  <c:v>-4.6296622085451293</c:v>
                </c:pt>
                <c:pt idx="521">
                  <c:v>-4.5261687721929462</c:v>
                </c:pt>
                <c:pt idx="522">
                  <c:v>-4.6455760853515446</c:v>
                </c:pt>
                <c:pt idx="523">
                  <c:v>-4.5803604936006792</c:v>
                </c:pt>
                <c:pt idx="524">
                  <c:v>-4.611681647226634</c:v>
                </c:pt>
                <c:pt idx="525">
                  <c:v>-4.4524638039766344</c:v>
                </c:pt>
                <c:pt idx="526">
                  <c:v>-4.5897134642622417</c:v>
                </c:pt>
                <c:pt idx="527">
                  <c:v>-4.3785122807841086</c:v>
                </c:pt>
                <c:pt idx="528">
                  <c:v>-3.8001895932281458</c:v>
                </c:pt>
                <c:pt idx="529">
                  <c:v>-3.754264107950763</c:v>
                </c:pt>
                <c:pt idx="530">
                  <c:v>-3.7885413038548252</c:v>
                </c:pt>
                <c:pt idx="531">
                  <c:v>-3.7891058118029988</c:v>
                </c:pt>
                <c:pt idx="532">
                  <c:v>-3.772516205979588</c:v>
                </c:pt>
                <c:pt idx="533">
                  <c:v>-3.6660874649395638</c:v>
                </c:pt>
                <c:pt idx="534">
                  <c:v>-3.880572798336968</c:v>
                </c:pt>
                <c:pt idx="535">
                  <c:v>-3.7631053586991081</c:v>
                </c:pt>
                <c:pt idx="536">
                  <c:v>-3.9859919134819921</c:v>
                </c:pt>
                <c:pt idx="537">
                  <c:v>-4.0087145210472093</c:v>
                </c:pt>
                <c:pt idx="538">
                  <c:v>-4.0963833018661733</c:v>
                </c:pt>
                <c:pt idx="539">
                  <c:v>-4.3367355066511148</c:v>
                </c:pt>
                <c:pt idx="540">
                  <c:v>-4.5260867194224152</c:v>
                </c:pt>
                <c:pt idx="541">
                  <c:v>-4.6810377969830217</c:v>
                </c:pt>
                <c:pt idx="542">
                  <c:v>-4.7000295755763721</c:v>
                </c:pt>
                <c:pt idx="543">
                  <c:v>-4.6758168326479188</c:v>
                </c:pt>
                <c:pt idx="544">
                  <c:v>-4.7991304237253063</c:v>
                </c:pt>
                <c:pt idx="545">
                  <c:v>-4.8068097955919722</c:v>
                </c:pt>
                <c:pt idx="546">
                  <c:v>-4.7679524791394181</c:v>
                </c:pt>
                <c:pt idx="547">
                  <c:v>-4.8115874319489409</c:v>
                </c:pt>
                <c:pt idx="548">
                  <c:v>-4.7786747738272481</c:v>
                </c:pt>
                <c:pt idx="549">
                  <c:v>-4.7973388933727028</c:v>
                </c:pt>
                <c:pt idx="550">
                  <c:v>-4.6935389805061654</c:v>
                </c:pt>
                <c:pt idx="551">
                  <c:v>-4.819059799978076</c:v>
                </c:pt>
                <c:pt idx="552">
                  <c:v>-4.69454822849716</c:v>
                </c:pt>
                <c:pt idx="553">
                  <c:v>-4.7791213585496939</c:v>
                </c:pt>
                <c:pt idx="554">
                  <c:v>-4.6315489914533696</c:v>
                </c:pt>
                <c:pt idx="555">
                  <c:v>-4.4653705772213321</c:v>
                </c:pt>
                <c:pt idx="556">
                  <c:v>-4.7206413586345271</c:v>
                </c:pt>
                <c:pt idx="557">
                  <c:v>-4.7621735013162558</c:v>
                </c:pt>
                <c:pt idx="558">
                  <c:v>-4.7028949324654281</c:v>
                </c:pt>
                <c:pt idx="559">
                  <c:v>-4.8040789072579582</c:v>
                </c:pt>
                <c:pt idx="560">
                  <c:v>-4.840354370181525</c:v>
                </c:pt>
                <c:pt idx="561">
                  <c:v>-4.8899645896280086</c:v>
                </c:pt>
                <c:pt idx="562">
                  <c:v>-4.8045617369054288</c:v>
                </c:pt>
                <c:pt idx="563">
                  <c:v>-5.0028530971840208</c:v>
                </c:pt>
                <c:pt idx="564">
                  <c:v>-4.8694960911034846</c:v>
                </c:pt>
                <c:pt idx="565">
                  <c:v>-4.684435861987426</c:v>
                </c:pt>
                <c:pt idx="566">
                  <c:v>-4.7301945482023013</c:v>
                </c:pt>
                <c:pt idx="567">
                  <c:v>-5.0558893351537186</c:v>
                </c:pt>
                <c:pt idx="568">
                  <c:v>-5.0960080776537184</c:v>
                </c:pt>
                <c:pt idx="569">
                  <c:v>-5.2114848618042977</c:v>
                </c:pt>
                <c:pt idx="570">
                  <c:v>-5.2852926820010522</c:v>
                </c:pt>
                <c:pt idx="571">
                  <c:v>-5.4046776149105762</c:v>
                </c:pt>
                <c:pt idx="572">
                  <c:v>-5.3723284417147008</c:v>
                </c:pt>
                <c:pt idx="573">
                  <c:v>-5.3929682737480338</c:v>
                </c:pt>
                <c:pt idx="574">
                  <c:v>-5.4333654965804028</c:v>
                </c:pt>
                <c:pt idx="575">
                  <c:v>-5.5166392258171184</c:v>
                </c:pt>
                <c:pt idx="576">
                  <c:v>-5.5575156327874149</c:v>
                </c:pt>
                <c:pt idx="577">
                  <c:v>-5.6087230885023462</c:v>
                </c:pt>
                <c:pt idx="578">
                  <c:v>-5.6851719195126558</c:v>
                </c:pt>
                <c:pt idx="579">
                  <c:v>-5.7464089629732245</c:v>
                </c:pt>
                <c:pt idx="580">
                  <c:v>-5.5883059837443252</c:v>
                </c:pt>
                <c:pt idx="581">
                  <c:v>-5.5309448764132219</c:v>
                </c:pt>
                <c:pt idx="582">
                  <c:v>-5.6810989207261482</c:v>
                </c:pt>
                <c:pt idx="583">
                  <c:v>-5.6123305549435392</c:v>
                </c:pt>
                <c:pt idx="584">
                  <c:v>-5.4285021121092534</c:v>
                </c:pt>
                <c:pt idx="585">
                  <c:v>-5.6251834835291676</c:v>
                </c:pt>
                <c:pt idx="586">
                  <c:v>-5.5581747258980556</c:v>
                </c:pt>
                <c:pt idx="587">
                  <c:v>-5.5770947209854347</c:v>
                </c:pt>
                <c:pt idx="588">
                  <c:v>-5.4927284951030826</c:v>
                </c:pt>
                <c:pt idx="589">
                  <c:v>-5.6803450673545113</c:v>
                </c:pt>
                <c:pt idx="590">
                  <c:v>-5.5689985034779683</c:v>
                </c:pt>
                <c:pt idx="591">
                  <c:v>-5.4582259778027264</c:v>
                </c:pt>
                <c:pt idx="592">
                  <c:v>-5.338736565008114</c:v>
                </c:pt>
                <c:pt idx="593">
                  <c:v>-4.9224784347871839</c:v>
                </c:pt>
                <c:pt idx="594">
                  <c:v>-5.0914524178873801</c:v>
                </c:pt>
                <c:pt idx="595">
                  <c:v>-5.4001144373020153</c:v>
                </c:pt>
                <c:pt idx="596">
                  <c:v>-5.776189295997666</c:v>
                </c:pt>
                <c:pt idx="597">
                  <c:v>-5.7154999955041603</c:v>
                </c:pt>
                <c:pt idx="598">
                  <c:v>-5.7036786714416605</c:v>
                </c:pt>
                <c:pt idx="599">
                  <c:v>-5.5247355063340118</c:v>
                </c:pt>
                <c:pt idx="600">
                  <c:v>-5.4587165384266543</c:v>
                </c:pt>
                <c:pt idx="601">
                  <c:v>-5.3929539150361787</c:v>
                </c:pt>
                <c:pt idx="602">
                  <c:v>-5.4191621673421899</c:v>
                </c:pt>
                <c:pt idx="603">
                  <c:v>-5.3894622011392901</c:v>
                </c:pt>
                <c:pt idx="604">
                  <c:v>-5.3624902302381914</c:v>
                </c:pt>
                <c:pt idx="605">
                  <c:v>-5.3742541776267263</c:v>
                </c:pt>
                <c:pt idx="606">
                  <c:v>-5.3565564191594373</c:v>
                </c:pt>
                <c:pt idx="607">
                  <c:v>-5.2197213562363602</c:v>
                </c:pt>
                <c:pt idx="608">
                  <c:v>-5.107329032509778</c:v>
                </c:pt>
                <c:pt idx="609">
                  <c:v>-5.3026928966879963</c:v>
                </c:pt>
                <c:pt idx="610">
                  <c:v>-5.2970702180341505</c:v>
                </c:pt>
                <c:pt idx="611">
                  <c:v>-5.1715726824827479</c:v>
                </c:pt>
                <c:pt idx="612">
                  <c:v>-4.9317338678524445</c:v>
                </c:pt>
                <c:pt idx="613">
                  <c:v>-5.0834881377489962</c:v>
                </c:pt>
                <c:pt idx="614">
                  <c:v>-4.9521003054823298</c:v>
                </c:pt>
                <c:pt idx="615">
                  <c:v>-4.8649351409109016</c:v>
                </c:pt>
                <c:pt idx="616">
                  <c:v>-4.7406104336603798</c:v>
                </c:pt>
                <c:pt idx="617">
                  <c:v>-4.2428119935376332</c:v>
                </c:pt>
                <c:pt idx="618">
                  <c:v>-4.4389582243216195</c:v>
                </c:pt>
                <c:pt idx="619">
                  <c:v>-4.6837000289802333</c:v>
                </c:pt>
                <c:pt idx="620">
                  <c:v>-4.1053129420317491</c:v>
                </c:pt>
                <c:pt idx="621">
                  <c:v>-4.3572032330153556</c:v>
                </c:pt>
                <c:pt idx="622">
                  <c:v>-4.412577039868296</c:v>
                </c:pt>
                <c:pt idx="623">
                  <c:v>-4.3562337761557215</c:v>
                </c:pt>
                <c:pt idx="624">
                  <c:v>-4.2592172798890555</c:v>
                </c:pt>
                <c:pt idx="625">
                  <c:v>-4.3212396501144887</c:v>
                </c:pt>
                <c:pt idx="626">
                  <c:v>-4.3086123967324941</c:v>
                </c:pt>
                <c:pt idx="627">
                  <c:v>-4.1771619221693861</c:v>
                </c:pt>
                <c:pt idx="628">
                  <c:v>-4.1625395821493862</c:v>
                </c:pt>
                <c:pt idx="629">
                  <c:v>-4.0626476725329486</c:v>
                </c:pt>
                <c:pt idx="630">
                  <c:v>-4.0476617074763457</c:v>
                </c:pt>
                <c:pt idx="631">
                  <c:v>-3.9257248307987855</c:v>
                </c:pt>
                <c:pt idx="632">
                  <c:v>-3.6415262927987855</c:v>
                </c:pt>
                <c:pt idx="633">
                  <c:v>-3.3842319513921462</c:v>
                </c:pt>
                <c:pt idx="634">
                  <c:v>-3.4472269394974102</c:v>
                </c:pt>
                <c:pt idx="635">
                  <c:v>-3.6583415162826287</c:v>
                </c:pt>
                <c:pt idx="636">
                  <c:v>-3.5816655510270374</c:v>
                </c:pt>
                <c:pt idx="637">
                  <c:v>-3.5599582312321658</c:v>
                </c:pt>
                <c:pt idx="638">
                  <c:v>-3.1607656001345603</c:v>
                </c:pt>
                <c:pt idx="639">
                  <c:v>-2.8750864214724436</c:v>
                </c:pt>
                <c:pt idx="640">
                  <c:v>-2.0602675236099905</c:v>
                </c:pt>
                <c:pt idx="641">
                  <c:v>-1.8953998941891987</c:v>
                </c:pt>
                <c:pt idx="642">
                  <c:v>-1.3111658992712716</c:v>
                </c:pt>
                <c:pt idx="643">
                  <c:v>-0.96208705360786662</c:v>
                </c:pt>
                <c:pt idx="644">
                  <c:v>9.9781543899685993E-2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D0-4E12-8BA9-EC9BE5946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512415"/>
        <c:axId val="1509512831"/>
      </c:lineChart>
      <c:dateAx>
        <c:axId val="150951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512831"/>
        <c:crosses val="autoZero"/>
        <c:auto val="1"/>
        <c:lblOffset val="100"/>
        <c:baseTimeUnit val="days"/>
      </c:dateAx>
      <c:valAx>
        <c:axId val="150951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51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1F6B160-531B-41B1-B201-9F1B02EC715A}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5A4D3E-9484-4BD0-AEDD-907B428F39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1.75</v>
      </c>
      <c r="D2" s="4">
        <f>MIN(D3:D1912)</f>
        <v>1.506E-2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0.45090000000000002</v>
      </c>
      <c r="C5">
        <v>0.45779999999999998</v>
      </c>
      <c r="D5">
        <v>0.43859999999999999</v>
      </c>
      <c r="E5">
        <v>0.43919999999999998</v>
      </c>
      <c r="F5">
        <v>719678</v>
      </c>
      <c r="G5">
        <v>0.43919999999999998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-0.93750000000000111</v>
      </c>
      <c r="Q5">
        <f t="shared" ref="Q5" si="1">F5*P5</f>
        <v>-674698.12500000081</v>
      </c>
      <c r="R5">
        <f t="shared" ref="R5" si="2">R6+Q5</f>
        <v>-2568686600.0355339</v>
      </c>
      <c r="S5">
        <f t="shared" ref="S5" si="3">R5/100000</f>
        <v>-25686.866000355338</v>
      </c>
      <c r="T5">
        <f t="shared" ref="T5" si="4">S5/1000</f>
        <v>-25.686866000355337</v>
      </c>
    </row>
    <row r="6" spans="1:20" x14ac:dyDescent="0.25">
      <c r="A6" s="5">
        <v>44587</v>
      </c>
      <c r="B6">
        <v>0.43730000000000002</v>
      </c>
      <c r="C6">
        <v>0.50409999999999999</v>
      </c>
      <c r="D6">
        <v>0.42749999999999999</v>
      </c>
      <c r="E6">
        <v>0.45079999999999998</v>
      </c>
      <c r="F6">
        <v>23890359</v>
      </c>
      <c r="G6">
        <v>0.45079999999999998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-0.39164490861618834</v>
      </c>
      <c r="Q6">
        <f t="shared" ref="Q6" si="6">F6*P6</f>
        <v>-9356537.4673629329</v>
      </c>
      <c r="R6">
        <f t="shared" ref="R6" si="7">R7+Q6</f>
        <v>-2568011901.9105339</v>
      </c>
      <c r="S6">
        <f t="shared" ref="S6" si="8">R6/100000</f>
        <v>-25680.119019105339</v>
      </c>
      <c r="T6">
        <f t="shared" ref="T6" si="9">S6/1000</f>
        <v>-25.680119019105341</v>
      </c>
    </row>
    <row r="7" spans="1:20" x14ac:dyDescent="0.25">
      <c r="A7" s="5">
        <v>44586</v>
      </c>
      <c r="B7">
        <v>0.4264</v>
      </c>
      <c r="C7">
        <v>0.44390000000000002</v>
      </c>
      <c r="D7">
        <v>0.40810000000000002</v>
      </c>
      <c r="E7">
        <v>0.43690000000000001</v>
      </c>
      <c r="F7">
        <v>9668377</v>
      </c>
      <c r="G7">
        <v>0.43690000000000001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0.60893854748603315</v>
      </c>
      <c r="Q7">
        <f t="shared" ref="Q7" si="11">F7*P7</f>
        <v>5887447.4469273705</v>
      </c>
      <c r="R7">
        <f t="shared" ref="R7" si="12">R8+Q7</f>
        <v>-2558655364.443171</v>
      </c>
      <c r="S7">
        <f t="shared" ref="S7" si="13">R7/100000</f>
        <v>-25586.553644431711</v>
      </c>
      <c r="T7">
        <f t="shared" ref="T7" si="14">S7/1000</f>
        <v>-25.58655364443171</v>
      </c>
    </row>
    <row r="8" spans="1:20" x14ac:dyDescent="0.25">
      <c r="A8" s="5">
        <v>44585</v>
      </c>
      <c r="B8">
        <v>0.45540000000000003</v>
      </c>
      <c r="C8">
        <v>0.45540000000000003</v>
      </c>
      <c r="D8">
        <v>0.37819999999999998</v>
      </c>
      <c r="E8">
        <v>0.42570000000000002</v>
      </c>
      <c r="F8">
        <v>24126045.100000001</v>
      </c>
      <c r="G8">
        <v>0.42570000000000002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0.23056994818652884</v>
      </c>
      <c r="Q8">
        <f t="shared" ref="Q8" si="16">F8*P8</f>
        <v>5562740.9686528584</v>
      </c>
      <c r="R8">
        <f t="shared" ref="R8" si="17">R9+Q8</f>
        <v>-2564542811.8900986</v>
      </c>
      <c r="S8">
        <f t="shared" ref="S8" si="18">R8/100000</f>
        <v>-25645.428118900985</v>
      </c>
      <c r="T8">
        <f t="shared" ref="T8" si="19">S8/1000</f>
        <v>-25.645428118900984</v>
      </c>
    </row>
    <row r="9" spans="1:20" x14ac:dyDescent="0.25">
      <c r="A9" s="5">
        <v>44584</v>
      </c>
      <c r="B9">
        <v>0.4385</v>
      </c>
      <c r="C9">
        <v>0.47670000000000001</v>
      </c>
      <c r="D9">
        <v>0.43090000000000001</v>
      </c>
      <c r="E9">
        <v>0.45579999999999998</v>
      </c>
      <c r="F9">
        <v>16361132</v>
      </c>
      <c r="G9">
        <v>0.45579999999999998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8.7336244541483574E-2</v>
      </c>
      <c r="Q9">
        <f t="shared" ref="Q9" si="21">F9*P9</f>
        <v>1428919.8253274923</v>
      </c>
      <c r="R9">
        <f t="shared" ref="R9" si="22">R10+Q9</f>
        <v>-2570105552.8587513</v>
      </c>
      <c r="S9">
        <f t="shared" ref="S9" si="23">R9/100000</f>
        <v>-25701.055528587513</v>
      </c>
      <c r="T9">
        <f t="shared" ref="T9" si="24">S9/1000</f>
        <v>-25.701055528587514</v>
      </c>
    </row>
    <row r="10" spans="1:20" x14ac:dyDescent="0.25">
      <c r="A10" s="5">
        <v>44583</v>
      </c>
      <c r="B10">
        <v>0.4803</v>
      </c>
      <c r="C10">
        <v>0.48970000000000002</v>
      </c>
      <c r="D10">
        <v>0.39779999999999999</v>
      </c>
      <c r="E10">
        <v>0.43830000000000002</v>
      </c>
      <c r="F10">
        <v>31474015.899999999</v>
      </c>
      <c r="G10">
        <v>0.43830000000000002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-0.11860718171925964</v>
      </c>
      <c r="Q10">
        <f t="shared" ref="Q10" si="26">F10*P10</f>
        <v>-3733044.3232861673</v>
      </c>
      <c r="R10">
        <f t="shared" ref="R10" si="27">R11+Q10</f>
        <v>-2571534472.6840787</v>
      </c>
      <c r="S10">
        <f t="shared" ref="S10" si="28">R10/100000</f>
        <v>-25715.344726840787</v>
      </c>
      <c r="T10">
        <f t="shared" ref="T10" si="29">S10/1000</f>
        <v>-25.715344726840787</v>
      </c>
    </row>
    <row r="11" spans="1:20" x14ac:dyDescent="0.25">
      <c r="A11" s="5">
        <v>44582</v>
      </c>
      <c r="B11">
        <v>0.55979999999999996</v>
      </c>
      <c r="C11">
        <v>0.5696</v>
      </c>
      <c r="D11">
        <v>0.47149999999999997</v>
      </c>
      <c r="E11">
        <v>0.48070000000000002</v>
      </c>
      <c r="F11">
        <v>24990448</v>
      </c>
      <c r="G11">
        <v>0.48070000000000002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-0.81243628950050883</v>
      </c>
      <c r="Q11">
        <f t="shared" ref="Q11" si="31">F11*P11</f>
        <v>-20303146.846075412</v>
      </c>
      <c r="R11">
        <f t="shared" ref="R11" si="32">R12+Q11</f>
        <v>-2567801428.3607926</v>
      </c>
      <c r="S11">
        <f t="shared" ref="S11" si="33">R11/100000</f>
        <v>-25678.014283607925</v>
      </c>
      <c r="T11">
        <f t="shared" ref="T11" si="34">S11/1000</f>
        <v>-25.678014283607926</v>
      </c>
    </row>
    <row r="12" spans="1:20" x14ac:dyDescent="0.25">
      <c r="A12" s="5">
        <v>44581</v>
      </c>
      <c r="B12">
        <v>0.57899999999999996</v>
      </c>
      <c r="C12">
        <v>0.62160000000000004</v>
      </c>
      <c r="D12">
        <v>0.55679999999999996</v>
      </c>
      <c r="E12">
        <v>0.56140000000000001</v>
      </c>
      <c r="F12">
        <v>10521257</v>
      </c>
      <c r="G12">
        <v>0.56140000000000001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-0.85802469135802339</v>
      </c>
      <c r="Q12">
        <f t="shared" ref="Q12" si="36">F12*P12</f>
        <v>-9027498.2901234441</v>
      </c>
      <c r="R12">
        <f t="shared" ref="R12" si="37">R13+Q12</f>
        <v>-2547498281.5147171</v>
      </c>
      <c r="S12">
        <f t="shared" ref="S12" si="38">R12/100000</f>
        <v>-25474.98281514717</v>
      </c>
      <c r="T12">
        <f t="shared" ref="T12" si="39">S12/1000</f>
        <v>-25.474982815147172</v>
      </c>
    </row>
    <row r="13" spans="1:20" x14ac:dyDescent="0.25">
      <c r="A13" s="5">
        <v>44580</v>
      </c>
      <c r="B13">
        <v>0.60919999999999996</v>
      </c>
      <c r="C13">
        <v>0.62080000000000002</v>
      </c>
      <c r="D13">
        <v>0.56720000000000004</v>
      </c>
      <c r="E13">
        <v>0.57850000000000001</v>
      </c>
      <c r="F13">
        <v>12667014</v>
      </c>
      <c r="G13">
        <v>0.57850000000000001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-0.57835820895522461</v>
      </c>
      <c r="Q13">
        <f t="shared" ref="Q13" si="41">F13*P13</f>
        <v>-7326071.5298507558</v>
      </c>
      <c r="R13">
        <f t="shared" ref="R13" si="42">R14+Q13</f>
        <v>-2538470783.2245936</v>
      </c>
      <c r="S13">
        <f t="shared" ref="S13" si="43">R13/100000</f>
        <v>-25384.707832245935</v>
      </c>
      <c r="T13">
        <f t="shared" ref="T13" si="44">S13/1000</f>
        <v>-25.384707832245933</v>
      </c>
    </row>
    <row r="14" spans="1:20" x14ac:dyDescent="0.25">
      <c r="A14" s="5">
        <v>44579</v>
      </c>
      <c r="B14">
        <v>0.61909999999999998</v>
      </c>
      <c r="C14">
        <v>0.62470000000000003</v>
      </c>
      <c r="D14">
        <v>0.58050000000000002</v>
      </c>
      <c r="E14">
        <v>0.60929999999999995</v>
      </c>
      <c r="F14">
        <v>10224874</v>
      </c>
      <c r="G14">
        <v>0.60929999999999995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0.30316742081447628</v>
      </c>
      <c r="Q14">
        <f t="shared" ref="Q14" si="46">F14*P14</f>
        <v>3099848.6787329973</v>
      </c>
      <c r="R14">
        <f t="shared" ref="R14" si="47">R15+Q14</f>
        <v>-2531144711.6947427</v>
      </c>
      <c r="S14">
        <f t="shared" ref="S14" si="48">R14/100000</f>
        <v>-25311.447116947427</v>
      </c>
      <c r="T14">
        <f t="shared" ref="T14" si="49">S14/1000</f>
        <v>-25.311447116947427</v>
      </c>
    </row>
    <row r="15" spans="1:20" x14ac:dyDescent="0.25">
      <c r="A15" s="5">
        <v>44578</v>
      </c>
      <c r="B15">
        <v>0.66210000000000002</v>
      </c>
      <c r="C15">
        <v>0.66479999999999995</v>
      </c>
      <c r="D15">
        <v>0.60699999999999998</v>
      </c>
      <c r="E15">
        <v>0.62029999999999996</v>
      </c>
      <c r="F15">
        <v>11216338</v>
      </c>
      <c r="G15">
        <v>0.62029999999999996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-0.53979238754325309</v>
      </c>
      <c r="Q15">
        <f t="shared" ref="Q15" si="51">F15*P15</f>
        <v>-6054493.8685121164</v>
      </c>
      <c r="R15">
        <f t="shared" ref="R15" si="52">R16+Q15</f>
        <v>-2534244560.3734756</v>
      </c>
      <c r="S15">
        <f t="shared" ref="S15" si="53">R15/100000</f>
        <v>-25342.445603734755</v>
      </c>
      <c r="T15">
        <f t="shared" ref="T15" si="54">S15/1000</f>
        <v>-25.342445603734756</v>
      </c>
    </row>
    <row r="16" spans="1:20" x14ac:dyDescent="0.25">
      <c r="A16" s="5">
        <v>44577</v>
      </c>
      <c r="B16">
        <v>0.67649999999999999</v>
      </c>
      <c r="C16">
        <v>0.6835</v>
      </c>
      <c r="D16">
        <v>0.64419999999999999</v>
      </c>
      <c r="E16">
        <v>0.66090000000000004</v>
      </c>
      <c r="F16">
        <v>13031492</v>
      </c>
      <c r="G16">
        <v>0.66090000000000004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-0.15012722646310192</v>
      </c>
      <c r="Q16">
        <f t="shared" ref="Q16" si="56">F16*P16</f>
        <v>-1956381.750636101</v>
      </c>
      <c r="R16">
        <f t="shared" ref="R16" si="57">R17+Q16</f>
        <v>-2528190066.5049634</v>
      </c>
      <c r="S16">
        <f t="shared" ref="S16" si="58">R16/100000</f>
        <v>-25281.900665049634</v>
      </c>
      <c r="T16">
        <f t="shared" ref="T16" si="59">S16/1000</f>
        <v>-25.281900665049633</v>
      </c>
    </row>
    <row r="17" spans="1:20" x14ac:dyDescent="0.25">
      <c r="A17" s="5">
        <v>44576</v>
      </c>
      <c r="B17">
        <v>0.71389999999999998</v>
      </c>
      <c r="C17">
        <v>0.73</v>
      </c>
      <c r="D17">
        <v>0.67300000000000004</v>
      </c>
      <c r="E17">
        <v>0.67730000000000001</v>
      </c>
      <c r="F17">
        <v>11615703</v>
      </c>
      <c r="G17">
        <v>0.67730000000000001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-0.84912280701754472</v>
      </c>
      <c r="Q17">
        <f t="shared" ref="Q17" si="61">F17*P17</f>
        <v>-9863158.336842116</v>
      </c>
      <c r="R17">
        <f t="shared" ref="R17" si="62">R18+Q17</f>
        <v>-2526233684.7543273</v>
      </c>
      <c r="S17">
        <f t="shared" ref="S17" si="63">R17/100000</f>
        <v>-25262.336847543273</v>
      </c>
      <c r="T17">
        <f t="shared" ref="T17" si="64">S17/1000</f>
        <v>-25.262336847543274</v>
      </c>
    </row>
    <row r="18" spans="1:20" x14ac:dyDescent="0.25">
      <c r="A18" s="5">
        <v>44575</v>
      </c>
      <c r="B18">
        <v>0.7056</v>
      </c>
      <c r="C18">
        <v>0.73280000000000001</v>
      </c>
      <c r="D18">
        <v>0.67789999999999995</v>
      </c>
      <c r="E18">
        <v>0.7137</v>
      </c>
      <c r="F18">
        <v>16999848</v>
      </c>
      <c r="G18">
        <v>0.7137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0.30418943533697684</v>
      </c>
      <c r="Q18">
        <f t="shared" ref="Q18" si="66">F18*P18</f>
        <v>5171174.1639344348</v>
      </c>
      <c r="R18">
        <f t="shared" ref="R18" si="67">R19+Q18</f>
        <v>-2516370526.4174852</v>
      </c>
      <c r="S18">
        <f t="shared" ref="S18" si="68">R18/100000</f>
        <v>-25163.705264174852</v>
      </c>
      <c r="T18">
        <f t="shared" ref="T18" si="69">S18/1000</f>
        <v>-25.163705264174851</v>
      </c>
    </row>
    <row r="19" spans="1:20" x14ac:dyDescent="0.25">
      <c r="A19" s="5">
        <v>44574</v>
      </c>
      <c r="B19">
        <v>0.68559999999999999</v>
      </c>
      <c r="C19">
        <v>0.77710000000000001</v>
      </c>
      <c r="D19">
        <v>0.68359999999999999</v>
      </c>
      <c r="E19">
        <v>0.70579999999999998</v>
      </c>
      <c r="F19">
        <v>56699979</v>
      </c>
      <c r="G19">
        <v>0.70579999999999998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-0.52513368983957243</v>
      </c>
      <c r="Q19">
        <f t="shared" ref="Q19" si="71">F19*P19</f>
        <v>-29775069.18609627</v>
      </c>
      <c r="R19">
        <f t="shared" ref="R19" si="72">R20+Q19</f>
        <v>-2521541700.5814195</v>
      </c>
      <c r="S19">
        <f t="shared" ref="S19" si="73">R19/100000</f>
        <v>-25215.417005814194</v>
      </c>
      <c r="T19">
        <f t="shared" ref="T19" si="74">S19/1000</f>
        <v>-25.215417005814192</v>
      </c>
    </row>
    <row r="20" spans="1:20" x14ac:dyDescent="0.25">
      <c r="A20" s="5">
        <v>44573</v>
      </c>
      <c r="B20">
        <v>0.57989999999999997</v>
      </c>
      <c r="C20">
        <v>0.69</v>
      </c>
      <c r="D20">
        <v>0.57620000000000005</v>
      </c>
      <c r="E20">
        <v>0.68559999999999999</v>
      </c>
      <c r="F20">
        <v>21495916</v>
      </c>
      <c r="G20">
        <v>0.68559999999999999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0.92267135325131877</v>
      </c>
      <c r="Q20">
        <f t="shared" ref="Q20" si="76">F20*P20</f>
        <v>19833665.905096676</v>
      </c>
      <c r="R20">
        <f t="shared" ref="R20" si="77">R21+Q20</f>
        <v>-2491766631.3953233</v>
      </c>
      <c r="S20">
        <f t="shared" ref="S20" si="78">R20/100000</f>
        <v>-24917.666313953232</v>
      </c>
      <c r="T20">
        <f t="shared" ref="T20" si="79">S20/1000</f>
        <v>-24.917666313953234</v>
      </c>
    </row>
    <row r="21" spans="1:20" x14ac:dyDescent="0.25">
      <c r="A21" s="5">
        <v>44572</v>
      </c>
      <c r="B21">
        <v>0.55059999999999998</v>
      </c>
      <c r="C21">
        <v>0.58709999999999996</v>
      </c>
      <c r="D21">
        <v>0.54559999999999997</v>
      </c>
      <c r="E21">
        <v>0.57999999999999996</v>
      </c>
      <c r="F21">
        <v>7596966</v>
      </c>
      <c r="G21">
        <v>0.57999999999999996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0.65783132530120492</v>
      </c>
      <c r="Q21">
        <f t="shared" ref="Q21" si="81">F21*P21</f>
        <v>4997522.2120481934</v>
      </c>
      <c r="R21">
        <f t="shared" ref="R21" si="82">R22+Q21</f>
        <v>-2511600297.3004198</v>
      </c>
      <c r="S21">
        <f t="shared" ref="S21" si="83">R21/100000</f>
        <v>-25116.002973004197</v>
      </c>
      <c r="T21">
        <f t="shared" ref="T21" si="84">S21/1000</f>
        <v>-25.116002973004196</v>
      </c>
    </row>
    <row r="22" spans="1:20" x14ac:dyDescent="0.25">
      <c r="A22" s="5">
        <v>44571</v>
      </c>
      <c r="B22">
        <v>0.58620000000000005</v>
      </c>
      <c r="C22">
        <v>0.59630000000000005</v>
      </c>
      <c r="D22">
        <v>0.52170000000000005</v>
      </c>
      <c r="E22">
        <v>0.54990000000000006</v>
      </c>
      <c r="F22">
        <v>11588812</v>
      </c>
      <c r="G22">
        <v>0.54990000000000006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-0.24396782841823048</v>
      </c>
      <c r="Q22">
        <f t="shared" ref="Q22" si="86">F22*P22</f>
        <v>-2827297.2975871302</v>
      </c>
      <c r="R22">
        <f t="shared" ref="R22" si="87">R23+Q22</f>
        <v>-2516597819.5124679</v>
      </c>
      <c r="S22">
        <f t="shared" ref="S22" si="88">R22/100000</f>
        <v>-25165.978195124677</v>
      </c>
      <c r="T22">
        <f t="shared" ref="T22" si="89">S22/1000</f>
        <v>-25.165978195124676</v>
      </c>
    </row>
    <row r="23" spans="1:20" x14ac:dyDescent="0.25">
      <c r="A23" s="5">
        <v>44570</v>
      </c>
      <c r="B23">
        <v>0.57550000000000001</v>
      </c>
      <c r="C23">
        <v>0.60229999999999995</v>
      </c>
      <c r="D23">
        <v>0.56969999999999998</v>
      </c>
      <c r="E23">
        <v>0.58550000000000002</v>
      </c>
      <c r="F23">
        <v>9649613</v>
      </c>
      <c r="G23">
        <v>0.58550000000000002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-3.067484662576353E-2</v>
      </c>
      <c r="Q23">
        <f t="shared" ref="Q23" si="91">F23*P23</f>
        <v>-296000.39877297392</v>
      </c>
      <c r="R23">
        <f t="shared" ref="R23" si="92">R24+Q23</f>
        <v>-2513770522.2148809</v>
      </c>
      <c r="S23">
        <f t="shared" ref="S23" si="93">R23/100000</f>
        <v>-25137.705222148808</v>
      </c>
      <c r="T23">
        <f t="shared" ref="T23" si="94">S23/1000</f>
        <v>-25.13770522214881</v>
      </c>
    </row>
    <row r="24" spans="1:20" x14ac:dyDescent="0.25">
      <c r="A24" s="5">
        <v>44569</v>
      </c>
      <c r="B24">
        <v>0.60250000000000004</v>
      </c>
      <c r="C24">
        <v>0.62719999999999998</v>
      </c>
      <c r="D24">
        <v>0.55459999999999998</v>
      </c>
      <c r="E24">
        <v>0.57489999999999997</v>
      </c>
      <c r="F24">
        <v>9688609</v>
      </c>
      <c r="G24">
        <v>0.57489999999999997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-0.44077134986225935</v>
      </c>
      <c r="Q24">
        <f t="shared" ref="Q24" si="96">F24*P24</f>
        <v>-4270461.2672176352</v>
      </c>
      <c r="R24">
        <f t="shared" ref="R24" si="97">R25+Q24</f>
        <v>-2513474521.8161077</v>
      </c>
      <c r="S24">
        <f t="shared" ref="S24" si="98">R24/100000</f>
        <v>-25134.745218161079</v>
      </c>
      <c r="T24">
        <f t="shared" ref="T24" si="99">S24/1000</f>
        <v>-25.134745218161079</v>
      </c>
    </row>
    <row r="25" spans="1:20" x14ac:dyDescent="0.25">
      <c r="A25" s="5">
        <v>44568</v>
      </c>
      <c r="B25">
        <v>0.64890000000000003</v>
      </c>
      <c r="C25">
        <v>0.6492</v>
      </c>
      <c r="D25">
        <v>0.58699999999999997</v>
      </c>
      <c r="E25">
        <v>0.60129999999999995</v>
      </c>
      <c r="F25">
        <v>14180698</v>
      </c>
      <c r="G25">
        <v>0.60129999999999995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-0.54019292604501701</v>
      </c>
      <c r="Q25">
        <f t="shared" ref="Q25" si="101">F25*P25</f>
        <v>-7660312.745980721</v>
      </c>
      <c r="R25">
        <f t="shared" ref="R25" si="102">R26+Q25</f>
        <v>-2509204060.5488901</v>
      </c>
      <c r="S25">
        <f t="shared" ref="S25" si="103">R25/100000</f>
        <v>-25092.040605488903</v>
      </c>
      <c r="T25">
        <f t="shared" ref="T25" si="104">S25/1000</f>
        <v>-25.092040605488904</v>
      </c>
    </row>
    <row r="26" spans="1:20" x14ac:dyDescent="0.25">
      <c r="A26" s="5">
        <v>44567</v>
      </c>
      <c r="B26">
        <v>0.64290000000000003</v>
      </c>
      <c r="C26">
        <v>0.65480000000000005</v>
      </c>
      <c r="D26">
        <v>0.61260000000000003</v>
      </c>
      <c r="E26">
        <v>0.64890000000000003</v>
      </c>
      <c r="F26">
        <v>11676791</v>
      </c>
      <c r="G26">
        <v>0.64890000000000003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0.72037914691943061</v>
      </c>
      <c r="Q26">
        <f t="shared" ref="Q26" si="106">F26*P26</f>
        <v>8411716.739336485</v>
      </c>
      <c r="R26">
        <f t="shared" ref="R26" si="107">R27+Q26</f>
        <v>-2501543747.8029094</v>
      </c>
      <c r="S26">
        <f t="shared" ref="S26" si="108">R26/100000</f>
        <v>-25015.437478029093</v>
      </c>
      <c r="T26">
        <f t="shared" ref="T26" si="109">S26/1000</f>
        <v>-25.015437478029092</v>
      </c>
    </row>
    <row r="27" spans="1:20" x14ac:dyDescent="0.25">
      <c r="A27" s="5">
        <v>44566</v>
      </c>
      <c r="B27">
        <v>0.71379999999999999</v>
      </c>
      <c r="C27">
        <v>0.75600000000000001</v>
      </c>
      <c r="D27">
        <v>0.61150000000000004</v>
      </c>
      <c r="E27">
        <v>0.64290000000000003</v>
      </c>
      <c r="F27">
        <v>18629764</v>
      </c>
      <c r="G27">
        <v>0.64290000000000003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-0.56539792387543264</v>
      </c>
      <c r="Q27">
        <f t="shared" ref="Q27" si="111">F27*P27</f>
        <v>-10533229.887889275</v>
      </c>
      <c r="R27">
        <f t="shared" ref="R27" si="112">R28+Q27</f>
        <v>-2509955464.5422459</v>
      </c>
      <c r="S27">
        <f t="shared" ref="S27" si="113">R27/100000</f>
        <v>-25099.55464542246</v>
      </c>
      <c r="T27">
        <f t="shared" ref="T27" si="114">S27/1000</f>
        <v>-25.099554645422462</v>
      </c>
    </row>
    <row r="28" spans="1:20" x14ac:dyDescent="0.25">
      <c r="A28" s="5">
        <v>44565</v>
      </c>
      <c r="B28">
        <v>0.69510000000000005</v>
      </c>
      <c r="C28">
        <v>0.74</v>
      </c>
      <c r="D28">
        <v>0.67169999999999996</v>
      </c>
      <c r="E28">
        <v>0.71399999999999997</v>
      </c>
      <c r="F28">
        <v>10867733</v>
      </c>
      <c r="G28">
        <v>0.71399999999999997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0.23865300146412846</v>
      </c>
      <c r="Q28">
        <f t="shared" ref="Q28" si="116">F28*P28</f>
        <v>2593617.0995607572</v>
      </c>
      <c r="R28">
        <f t="shared" ref="R28" si="117">R29+Q28</f>
        <v>-2499422234.6543565</v>
      </c>
      <c r="S28">
        <f t="shared" ref="S28" si="118">R28/100000</f>
        <v>-24994.222346543564</v>
      </c>
      <c r="T28">
        <f t="shared" ref="T28" si="119">S28/1000</f>
        <v>-24.994222346543562</v>
      </c>
    </row>
    <row r="29" spans="1:20" x14ac:dyDescent="0.25">
      <c r="A29" s="5">
        <v>44564</v>
      </c>
      <c r="B29">
        <v>0.71360000000000001</v>
      </c>
      <c r="C29">
        <v>0.71499999999999997</v>
      </c>
      <c r="D29">
        <v>0.68120000000000003</v>
      </c>
      <c r="E29">
        <v>0.69510000000000005</v>
      </c>
      <c r="F29">
        <v>4834709</v>
      </c>
      <c r="G29">
        <v>0.69510000000000005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-0.17751479289940547</v>
      </c>
      <c r="Q29">
        <f t="shared" ref="Q29" si="121">F29*P29</f>
        <v>-858232.36686389172</v>
      </c>
      <c r="R29">
        <f t="shared" ref="R29" si="122">R30+Q29</f>
        <v>-2502015851.7539172</v>
      </c>
      <c r="S29">
        <f t="shared" ref="S29" si="123">R29/100000</f>
        <v>-25020.158517539174</v>
      </c>
      <c r="T29">
        <f t="shared" ref="T29" si="124">S29/1000</f>
        <v>-25.020158517539173</v>
      </c>
    </row>
    <row r="30" spans="1:20" x14ac:dyDescent="0.25">
      <c r="A30" s="5">
        <v>44563</v>
      </c>
      <c r="B30">
        <v>0.71630000000000005</v>
      </c>
      <c r="C30">
        <v>0.72209999999999996</v>
      </c>
      <c r="D30">
        <v>0.70009999999999994</v>
      </c>
      <c r="E30">
        <v>0.71350000000000002</v>
      </c>
      <c r="F30">
        <v>4752682</v>
      </c>
      <c r="G30">
        <v>0.71350000000000002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0.21818181818182425</v>
      </c>
      <c r="Q30">
        <f t="shared" ref="Q30" si="126">F30*P30</f>
        <v>1036948.8000000288</v>
      </c>
      <c r="R30">
        <f t="shared" ref="R30" si="127">R31+Q30</f>
        <v>-2501157619.3870535</v>
      </c>
      <c r="S30">
        <f t="shared" ref="S30" si="128">R30/100000</f>
        <v>-25011.576193870536</v>
      </c>
      <c r="T30">
        <f t="shared" ref="T30" si="129">S30/1000</f>
        <v>-25.011576193870535</v>
      </c>
    </row>
    <row r="31" spans="1:20" x14ac:dyDescent="0.25">
      <c r="A31" s="5">
        <v>44562</v>
      </c>
      <c r="B31">
        <v>0.6865</v>
      </c>
      <c r="C31">
        <v>0.71899999999999997</v>
      </c>
      <c r="D31">
        <v>0.68510000000000004</v>
      </c>
      <c r="E31">
        <v>0.71419999999999995</v>
      </c>
      <c r="F31">
        <v>5132446</v>
      </c>
      <c r="G31">
        <v>0.71419999999999995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0.71681415929203329</v>
      </c>
      <c r="Q31">
        <f t="shared" ref="Q31" si="131">F31*P31</f>
        <v>3679009.9646017593</v>
      </c>
      <c r="R31">
        <f t="shared" ref="R31" si="132">R32+Q31</f>
        <v>-2502194568.1870537</v>
      </c>
      <c r="S31">
        <f t="shared" ref="S31" si="133">R31/100000</f>
        <v>-25021.945681870537</v>
      </c>
      <c r="T31">
        <f t="shared" ref="T31" si="134">S31/1000</f>
        <v>-25.021945681870537</v>
      </c>
    </row>
    <row r="32" spans="1:20" x14ac:dyDescent="0.25">
      <c r="A32" s="5">
        <v>44561</v>
      </c>
      <c r="B32">
        <v>0.69520000000000004</v>
      </c>
      <c r="C32">
        <v>0.72729999999999995</v>
      </c>
      <c r="D32">
        <v>0.67059999999999997</v>
      </c>
      <c r="E32">
        <v>0.68689999999999996</v>
      </c>
      <c r="F32">
        <v>9173678</v>
      </c>
      <c r="G32">
        <v>0.68689999999999996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-0.42504409171075874</v>
      </c>
      <c r="Q32">
        <f t="shared" ref="Q32" si="136">F32*P32</f>
        <v>-3899217.6331569697</v>
      </c>
      <c r="R32">
        <f t="shared" ref="R32" si="137">R33+Q32</f>
        <v>-2505873578.1516557</v>
      </c>
      <c r="S32">
        <f t="shared" ref="S32" si="138">R32/100000</f>
        <v>-25058.735781516556</v>
      </c>
      <c r="T32">
        <f t="shared" ref="T32" si="139">S32/1000</f>
        <v>-25.058735781516557</v>
      </c>
    </row>
    <row r="33" spans="1:20" x14ac:dyDescent="0.25">
      <c r="A33" s="5">
        <v>44560</v>
      </c>
      <c r="B33">
        <v>0.68269999999999997</v>
      </c>
      <c r="C33">
        <v>0.72799999999999998</v>
      </c>
      <c r="D33">
        <v>0.66169999999999995</v>
      </c>
      <c r="E33">
        <v>0.69599999999999995</v>
      </c>
      <c r="F33">
        <v>10068638</v>
      </c>
      <c r="G33">
        <v>0.69599999999999995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3.4690799396681266E-2</v>
      </c>
      <c r="Q33">
        <f t="shared" ref="Q33" si="141">F33*P33</f>
        <v>349289.10105580208</v>
      </c>
      <c r="R33">
        <f t="shared" ref="R33" si="142">R34+Q33</f>
        <v>-2501974360.5184989</v>
      </c>
      <c r="S33">
        <f t="shared" ref="S33" si="143">R33/100000</f>
        <v>-25019.743605184987</v>
      </c>
      <c r="T33">
        <f t="shared" ref="T33" si="144">S33/1000</f>
        <v>-25.019743605184988</v>
      </c>
    </row>
    <row r="34" spans="1:20" x14ac:dyDescent="0.25">
      <c r="A34" s="5">
        <v>44559</v>
      </c>
      <c r="B34">
        <v>0.71130000000000004</v>
      </c>
      <c r="C34">
        <v>0.72660000000000002</v>
      </c>
      <c r="D34">
        <v>0.67120000000000002</v>
      </c>
      <c r="E34">
        <v>0.68279999999999996</v>
      </c>
      <c r="F34">
        <v>8710728</v>
      </c>
      <c r="G34">
        <v>0.68279999999999996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-0.58122743682310674</v>
      </c>
      <c r="Q34">
        <f t="shared" ref="Q34" si="146">F34*P34</f>
        <v>-5062914.1083032666</v>
      </c>
      <c r="R34">
        <f t="shared" ref="R34" si="147">R35+Q34</f>
        <v>-2502323649.6195545</v>
      </c>
      <c r="S34">
        <f t="shared" ref="S34" si="148">R34/100000</f>
        <v>-25023.236496195546</v>
      </c>
      <c r="T34">
        <f t="shared" ref="T34" si="149">S34/1000</f>
        <v>-25.023236496195548</v>
      </c>
    </row>
    <row r="35" spans="1:20" x14ac:dyDescent="0.25">
      <c r="A35" s="5">
        <v>44558</v>
      </c>
      <c r="B35">
        <v>0.81030000000000002</v>
      </c>
      <c r="C35">
        <v>0.81030000000000002</v>
      </c>
      <c r="D35">
        <v>0.70450000000000002</v>
      </c>
      <c r="E35">
        <v>0.71089999999999998</v>
      </c>
      <c r="F35">
        <v>13114259</v>
      </c>
      <c r="G35">
        <v>0.71089999999999998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-0.87901701323251491</v>
      </c>
      <c r="Q35">
        <f t="shared" ref="Q35" si="151">F35*P35</f>
        <v>-11527656.776937628</v>
      </c>
      <c r="R35">
        <f t="shared" ref="R35" si="152">R36+Q35</f>
        <v>-2497260735.5112514</v>
      </c>
      <c r="S35">
        <f t="shared" ref="S35" si="153">R35/100000</f>
        <v>-24972.607355112516</v>
      </c>
      <c r="T35">
        <f t="shared" ref="T35" si="154">S35/1000</f>
        <v>-24.972607355112515</v>
      </c>
    </row>
    <row r="36" spans="1:20" x14ac:dyDescent="0.25">
      <c r="A36" s="5">
        <v>44557</v>
      </c>
      <c r="B36">
        <v>0.80900000000000005</v>
      </c>
      <c r="C36">
        <v>0.85199999999999998</v>
      </c>
      <c r="D36">
        <v>0.80820000000000003</v>
      </c>
      <c r="E36">
        <v>0.81059999999999999</v>
      </c>
      <c r="F36">
        <v>9867468</v>
      </c>
      <c r="G36">
        <v>0.81059999999999999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-0.89041095890411137</v>
      </c>
      <c r="Q36">
        <f t="shared" ref="Q36" si="156">F36*P36</f>
        <v>-8786101.643835634</v>
      </c>
      <c r="R36">
        <f t="shared" ref="R36" si="157">R37+Q36</f>
        <v>-2485733078.734314</v>
      </c>
      <c r="S36">
        <f t="shared" ref="S36" si="158">R36/100000</f>
        <v>-24857.33078734314</v>
      </c>
      <c r="T36">
        <f t="shared" ref="T36" si="159">S36/1000</f>
        <v>-24.857330787343141</v>
      </c>
    </row>
    <row r="37" spans="1:20" x14ac:dyDescent="0.25">
      <c r="A37" s="5">
        <v>44556</v>
      </c>
      <c r="B37">
        <v>0.78600000000000003</v>
      </c>
      <c r="C37">
        <v>0.83730000000000004</v>
      </c>
      <c r="D37">
        <v>0.75600000000000001</v>
      </c>
      <c r="E37">
        <v>0.80900000000000005</v>
      </c>
      <c r="F37">
        <v>10122065</v>
      </c>
      <c r="G37">
        <v>0.80900000000000005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0.30381303813038185</v>
      </c>
      <c r="Q37">
        <f t="shared" ref="Q37" si="161">F37*P37</f>
        <v>3075215.3198032035</v>
      </c>
      <c r="R37">
        <f t="shared" ref="R37" si="162">R38+Q37</f>
        <v>-2476946977.0904784</v>
      </c>
      <c r="S37">
        <f t="shared" ref="S37" si="163">R37/100000</f>
        <v>-24769.469770904783</v>
      </c>
      <c r="T37">
        <f t="shared" ref="T37" si="164">S37/1000</f>
        <v>-24.769469770904784</v>
      </c>
    </row>
    <row r="38" spans="1:20" x14ac:dyDescent="0.25">
      <c r="A38" s="5">
        <v>44555</v>
      </c>
      <c r="B38">
        <v>0.76119999999999999</v>
      </c>
      <c r="C38">
        <v>0.80120000000000002</v>
      </c>
      <c r="D38">
        <v>0.75309999999999999</v>
      </c>
      <c r="E38">
        <v>0.78739999999999999</v>
      </c>
      <c r="F38">
        <v>9110717</v>
      </c>
      <c r="G38">
        <v>0.78739999999999999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0.42619542619542516</v>
      </c>
      <c r="Q38">
        <f t="shared" ref="Q38" si="166">F38*P38</f>
        <v>3882945.9147609053</v>
      </c>
      <c r="R38">
        <f t="shared" ref="R38" si="167">R39+Q38</f>
        <v>-2480022192.4102817</v>
      </c>
      <c r="S38">
        <f t="shared" ref="S38" si="168">R38/100000</f>
        <v>-24800.221924102818</v>
      </c>
      <c r="T38">
        <f t="shared" ref="T38" si="169">S38/1000</f>
        <v>-24.800221924102818</v>
      </c>
    </row>
    <row r="39" spans="1:20" x14ac:dyDescent="0.25">
      <c r="A39" s="5">
        <v>44554</v>
      </c>
      <c r="B39">
        <v>0.78290000000000004</v>
      </c>
      <c r="C39">
        <v>0.79679999999999995</v>
      </c>
      <c r="D39">
        <v>0.74050000000000005</v>
      </c>
      <c r="E39">
        <v>0.76090000000000002</v>
      </c>
      <c r="F39">
        <v>13672818</v>
      </c>
      <c r="G39">
        <v>0.76090000000000002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-0.27531083481349883</v>
      </c>
      <c r="Q39">
        <f t="shared" ref="Q39" si="171">F39*P39</f>
        <v>-3764274.9378330335</v>
      </c>
      <c r="R39">
        <f t="shared" ref="R39" si="172">R40+Q39</f>
        <v>-2483905138.3250427</v>
      </c>
      <c r="S39">
        <f t="shared" ref="S39" si="173">R39/100000</f>
        <v>-24839.051383250426</v>
      </c>
      <c r="T39">
        <f t="shared" ref="T39" si="174">S39/1000</f>
        <v>-24.839051383250425</v>
      </c>
    </row>
    <row r="40" spans="1:20" x14ac:dyDescent="0.25">
      <c r="A40" s="5">
        <v>44553</v>
      </c>
      <c r="B40">
        <v>0.6885</v>
      </c>
      <c r="C40">
        <v>0.8</v>
      </c>
      <c r="D40">
        <v>0.68030000000000002</v>
      </c>
      <c r="E40">
        <v>0.78310000000000002</v>
      </c>
      <c r="F40">
        <v>21667820</v>
      </c>
      <c r="G40">
        <v>0.78310000000000002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0.71762740183792784</v>
      </c>
      <c r="Q40">
        <f t="shared" ref="Q40" si="176">F40*P40</f>
        <v>15549421.370091889</v>
      </c>
      <c r="R40">
        <f t="shared" ref="R40" si="177">R41+Q40</f>
        <v>-2480140863.3872099</v>
      </c>
      <c r="S40">
        <f t="shared" ref="S40" si="178">R40/100000</f>
        <v>-24801.408633872099</v>
      </c>
      <c r="T40">
        <f t="shared" ref="T40" si="179">S40/1000</f>
        <v>-24.8014086338721</v>
      </c>
    </row>
    <row r="41" spans="1:20" x14ac:dyDescent="0.25">
      <c r="A41" s="5">
        <v>44552</v>
      </c>
      <c r="B41">
        <v>0.67149999999999999</v>
      </c>
      <c r="C41">
        <v>0.73</v>
      </c>
      <c r="D41">
        <v>0.66220000000000001</v>
      </c>
      <c r="E41">
        <v>0.68930000000000002</v>
      </c>
      <c r="F41">
        <v>16664126</v>
      </c>
      <c r="G41">
        <v>0.68930000000000002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-0.2005899705014742</v>
      </c>
      <c r="Q41">
        <f t="shared" ref="Q41" si="181">F41*P41</f>
        <v>-3342656.5427728491</v>
      </c>
      <c r="R41">
        <f t="shared" ref="R41" si="182">R42+Q41</f>
        <v>-2495690284.7573018</v>
      </c>
      <c r="S41">
        <f t="shared" ref="S41" si="183">R41/100000</f>
        <v>-24956.902847573019</v>
      </c>
      <c r="T41">
        <f t="shared" ref="T41" si="184">S41/1000</f>
        <v>-24.956902847573019</v>
      </c>
    </row>
    <row r="42" spans="1:20" x14ac:dyDescent="0.25">
      <c r="A42" s="5">
        <v>44551</v>
      </c>
      <c r="B42">
        <v>0.62980000000000003</v>
      </c>
      <c r="C42">
        <v>0.7</v>
      </c>
      <c r="D42">
        <v>0.61809999999999998</v>
      </c>
      <c r="E42">
        <v>0.67149999999999999</v>
      </c>
      <c r="F42">
        <v>15377391</v>
      </c>
      <c r="G42">
        <v>0.67149999999999999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0.30402930402930456</v>
      </c>
      <c r="Q42">
        <f t="shared" ref="Q42" si="186">F42*P42</f>
        <v>4675177.4835164919</v>
      </c>
      <c r="R42">
        <f t="shared" ref="R42" si="187">R43+Q42</f>
        <v>-2492347628.214529</v>
      </c>
      <c r="S42">
        <f t="shared" ref="S42" si="188">R42/100000</f>
        <v>-24923.47628214529</v>
      </c>
      <c r="T42">
        <f t="shared" ref="T42" si="189">S42/1000</f>
        <v>-24.923476282145291</v>
      </c>
    </row>
    <row r="43" spans="1:20" x14ac:dyDescent="0.25">
      <c r="A43" s="5">
        <v>44550</v>
      </c>
      <c r="B43">
        <v>0.64639999999999997</v>
      </c>
      <c r="C43">
        <v>0.6502</v>
      </c>
      <c r="D43">
        <v>0.60340000000000005</v>
      </c>
      <c r="E43">
        <v>0.62870000000000004</v>
      </c>
      <c r="F43">
        <v>8455155</v>
      </c>
      <c r="G43">
        <v>0.62870000000000004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8.1196581196581824E-2</v>
      </c>
      <c r="Q43">
        <f t="shared" ref="Q43" si="191">F43*P43</f>
        <v>686529.67948718474</v>
      </c>
      <c r="R43">
        <f t="shared" ref="R43" si="192">R44+Q43</f>
        <v>-2497022805.6980457</v>
      </c>
      <c r="S43">
        <f t="shared" ref="S43" si="193">R43/100000</f>
        <v>-24970.228056980457</v>
      </c>
      <c r="T43">
        <f t="shared" ref="T43" si="194">S43/1000</f>
        <v>-24.970228056980456</v>
      </c>
    </row>
    <row r="44" spans="1:20" x14ac:dyDescent="0.25">
      <c r="A44" s="5">
        <v>44549</v>
      </c>
      <c r="B44">
        <v>0.66080000000000005</v>
      </c>
      <c r="C44">
        <v>0.67320000000000002</v>
      </c>
      <c r="D44">
        <v>0.64190000000000003</v>
      </c>
      <c r="E44">
        <v>0.64639999999999997</v>
      </c>
      <c r="F44">
        <v>5629030</v>
      </c>
      <c r="G44">
        <v>0.64639999999999997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-0.71246006389776684</v>
      </c>
      <c r="Q44">
        <f t="shared" ref="Q44" si="196">F44*P44</f>
        <v>-4010459.0734824464</v>
      </c>
      <c r="R44">
        <f t="shared" ref="R44" si="197">R45+Q44</f>
        <v>-2497709335.377533</v>
      </c>
      <c r="S44">
        <f t="shared" ref="S44" si="198">R44/100000</f>
        <v>-24977.09335377533</v>
      </c>
      <c r="T44">
        <f t="shared" ref="T44" si="199">S44/1000</f>
        <v>-24.977093353775331</v>
      </c>
    </row>
    <row r="45" spans="1:20" x14ac:dyDescent="0.25">
      <c r="A45" s="5">
        <v>44548</v>
      </c>
      <c r="B45">
        <v>0.6512</v>
      </c>
      <c r="C45">
        <v>0.68440000000000001</v>
      </c>
      <c r="D45">
        <v>0.64039999999999997</v>
      </c>
      <c r="E45">
        <v>0.66010000000000002</v>
      </c>
      <c r="F45">
        <v>8606197</v>
      </c>
      <c r="G45">
        <v>0.66010000000000002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-0.10454545454545303</v>
      </c>
      <c r="Q45">
        <f t="shared" ref="Q45" si="201">F45*P45</f>
        <v>-899738.77727271419</v>
      </c>
      <c r="R45">
        <f t="shared" ref="R45" si="202">R46+Q45</f>
        <v>-2493698876.3040504</v>
      </c>
      <c r="S45">
        <f t="shared" ref="S45" si="203">R45/100000</f>
        <v>-24936.988763040503</v>
      </c>
      <c r="T45">
        <f t="shared" ref="T45" si="204">S45/1000</f>
        <v>-24.936988763040503</v>
      </c>
    </row>
    <row r="46" spans="1:20" x14ac:dyDescent="0.25">
      <c r="A46" s="5">
        <v>44547</v>
      </c>
      <c r="B46">
        <v>0.65449999999999997</v>
      </c>
      <c r="C46">
        <v>0.7</v>
      </c>
      <c r="D46">
        <v>0.61580000000000001</v>
      </c>
      <c r="E46">
        <v>0.65090000000000003</v>
      </c>
      <c r="F46">
        <v>16898798</v>
      </c>
      <c r="G46">
        <v>0.65090000000000003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-0.16627078384797994</v>
      </c>
      <c r="Q46">
        <f t="shared" ref="Q46" si="206">F46*P46</f>
        <v>-2809776.3895486756</v>
      </c>
      <c r="R46">
        <f t="shared" ref="R46" si="207">R47+Q46</f>
        <v>-2492799137.5267777</v>
      </c>
      <c r="S46">
        <f t="shared" ref="S46" si="208">R46/100000</f>
        <v>-24927.991375267778</v>
      </c>
      <c r="T46">
        <f t="shared" ref="T46" si="209">S46/1000</f>
        <v>-24.92799137526778</v>
      </c>
    </row>
    <row r="47" spans="1:20" x14ac:dyDescent="0.25">
      <c r="A47" s="5">
        <v>44546</v>
      </c>
      <c r="B47">
        <v>0.66220000000000001</v>
      </c>
      <c r="C47">
        <v>0.70440000000000003</v>
      </c>
      <c r="D47">
        <v>0.65090000000000003</v>
      </c>
      <c r="E47">
        <v>0.65510000000000002</v>
      </c>
      <c r="F47">
        <v>12446151</v>
      </c>
      <c r="G47">
        <v>0.65510000000000002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-0.84299065420560815</v>
      </c>
      <c r="Q47">
        <f t="shared" ref="Q47" si="211">F47*P47</f>
        <v>-10491988.973831784</v>
      </c>
      <c r="R47">
        <f t="shared" ref="R47" si="212">R48+Q47</f>
        <v>-2489989361.137229</v>
      </c>
      <c r="S47">
        <f t="shared" ref="S47" si="213">R47/100000</f>
        <v>-24899.893611372288</v>
      </c>
      <c r="T47">
        <f t="shared" ref="T47" si="214">S47/1000</f>
        <v>-24.899893611372288</v>
      </c>
    </row>
    <row r="48" spans="1:20" x14ac:dyDescent="0.25">
      <c r="A48" s="5">
        <v>44545</v>
      </c>
      <c r="B48">
        <v>0.63029999999999997</v>
      </c>
      <c r="C48">
        <v>0.67930000000000001</v>
      </c>
      <c r="D48">
        <v>0.5887</v>
      </c>
      <c r="E48">
        <v>0.66210000000000002</v>
      </c>
      <c r="F48">
        <v>13332887</v>
      </c>
      <c r="G48">
        <v>0.66210000000000002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0.6203090507726271</v>
      </c>
      <c r="Q48">
        <f t="shared" ref="Q48" si="216">F48*P48</f>
        <v>8270510.4790286999</v>
      </c>
      <c r="R48">
        <f t="shared" ref="R48" si="217">R49+Q48</f>
        <v>-2479497372.1633973</v>
      </c>
      <c r="S48">
        <f t="shared" ref="S48" si="218">R48/100000</f>
        <v>-24794.973721633974</v>
      </c>
      <c r="T48">
        <f t="shared" ref="T48" si="219">S48/1000</f>
        <v>-24.794973721633973</v>
      </c>
    </row>
    <row r="49" spans="1:20" x14ac:dyDescent="0.25">
      <c r="A49" s="5">
        <v>44544</v>
      </c>
      <c r="B49">
        <v>0.61539999999999995</v>
      </c>
      <c r="C49">
        <v>0.64439999999999997</v>
      </c>
      <c r="D49">
        <v>0.5978</v>
      </c>
      <c r="E49">
        <v>0.63049999999999995</v>
      </c>
      <c r="F49">
        <v>13753295</v>
      </c>
      <c r="G49">
        <v>0.63049999999999995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0.40343347639484844</v>
      </c>
      <c r="Q49">
        <f t="shared" ref="Q49" si="221">F49*P49</f>
        <v>5548539.6137338867</v>
      </c>
      <c r="R49">
        <f t="shared" ref="R49" si="222">R50+Q49</f>
        <v>-2487767882.642426</v>
      </c>
      <c r="S49">
        <f t="shared" ref="S49" si="223">R49/100000</f>
        <v>-24877.67882642426</v>
      </c>
      <c r="T49">
        <f t="shared" ref="T49" si="224">S49/1000</f>
        <v>-24.877678826424262</v>
      </c>
    </row>
    <row r="50" spans="1:20" x14ac:dyDescent="0.25">
      <c r="A50" s="5">
        <v>44543</v>
      </c>
      <c r="B50">
        <v>0.71709999999999996</v>
      </c>
      <c r="C50">
        <v>0.72309999999999997</v>
      </c>
      <c r="D50">
        <v>0.60319999999999996</v>
      </c>
      <c r="E50">
        <v>0.61539999999999995</v>
      </c>
      <c r="F50">
        <v>17370119</v>
      </c>
      <c r="G50">
        <v>0.61539999999999995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-0.79649708090075078</v>
      </c>
      <c r="Q50">
        <f t="shared" ref="Q50" si="226">F50*P50</f>
        <v>-13835249.078398667</v>
      </c>
      <c r="R50">
        <f t="shared" ref="R50" si="227">R51+Q50</f>
        <v>-2493316422.2561598</v>
      </c>
      <c r="S50">
        <f t="shared" ref="S50" si="228">R50/100000</f>
        <v>-24933.164222561598</v>
      </c>
      <c r="T50">
        <f t="shared" ref="T50" si="229">S50/1000</f>
        <v>-24.933164222561597</v>
      </c>
    </row>
    <row r="51" spans="1:20" x14ac:dyDescent="0.25">
      <c r="A51" s="5">
        <v>44542</v>
      </c>
      <c r="B51">
        <v>0.71879999999999999</v>
      </c>
      <c r="C51">
        <v>0.76</v>
      </c>
      <c r="D51">
        <v>0.69040000000000001</v>
      </c>
      <c r="E51">
        <v>0.71709999999999996</v>
      </c>
      <c r="F51">
        <v>10619340</v>
      </c>
      <c r="G51">
        <v>0.71709999999999996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-0.23275862068965666</v>
      </c>
      <c r="Q51">
        <f t="shared" ref="Q51" si="231">F51*P51</f>
        <v>-2471742.9310344984</v>
      </c>
      <c r="R51">
        <f t="shared" ref="R51" si="232">R52+Q51</f>
        <v>-2479481173.1777611</v>
      </c>
      <c r="S51">
        <f t="shared" ref="S51" si="233">R51/100000</f>
        <v>-24794.811731777612</v>
      </c>
      <c r="T51">
        <f t="shared" ref="T51" si="234">S51/1000</f>
        <v>-24.794811731777614</v>
      </c>
    </row>
    <row r="52" spans="1:20" x14ac:dyDescent="0.25">
      <c r="A52" s="5">
        <v>44541</v>
      </c>
      <c r="B52">
        <v>0.68140000000000001</v>
      </c>
      <c r="C52">
        <v>0.6956</v>
      </c>
      <c r="D52">
        <v>0.67010000000000003</v>
      </c>
      <c r="E52">
        <v>0.68959999999999999</v>
      </c>
      <c r="F52">
        <v>1051284</v>
      </c>
      <c r="G52">
        <v>0.68959999999999999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0.52941176470588136</v>
      </c>
      <c r="Q52">
        <f t="shared" ref="Q52" si="236">F52*P52</f>
        <v>556562.11764705775</v>
      </c>
      <c r="R52">
        <f t="shared" ref="R52" si="237">R53+Q52</f>
        <v>-2477009430.2467265</v>
      </c>
      <c r="S52">
        <f t="shared" ref="S52" si="238">R52/100000</f>
        <v>-24770.094302467263</v>
      </c>
      <c r="T52">
        <f t="shared" ref="T52" si="239">S52/1000</f>
        <v>-24.770094302467264</v>
      </c>
    </row>
    <row r="53" spans="1:20" x14ac:dyDescent="0.25">
      <c r="A53" s="5">
        <v>44540</v>
      </c>
      <c r="B53">
        <v>0.71709999999999996</v>
      </c>
      <c r="C53">
        <v>0.75419999999999998</v>
      </c>
      <c r="D53">
        <v>0.6774</v>
      </c>
      <c r="E53">
        <v>0.68159999999999998</v>
      </c>
      <c r="F53">
        <v>18747735</v>
      </c>
      <c r="G53">
        <v>0.68159999999999998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-0.89062500000000044</v>
      </c>
      <c r="Q53">
        <f t="shared" ref="Q53" si="241">F53*P53</f>
        <v>-16697201.484375007</v>
      </c>
      <c r="R53">
        <f t="shared" ref="R53" si="242">R54+Q53</f>
        <v>-2477565992.3643737</v>
      </c>
      <c r="S53">
        <f t="shared" ref="S53" si="243">R53/100000</f>
        <v>-24775.659923643736</v>
      </c>
      <c r="T53">
        <f t="shared" ref="T53" si="244">S53/1000</f>
        <v>-24.775659923643737</v>
      </c>
    </row>
    <row r="54" spans="1:20" x14ac:dyDescent="0.25">
      <c r="A54" s="5">
        <v>44539</v>
      </c>
      <c r="B54">
        <v>0.80389999999999995</v>
      </c>
      <c r="C54">
        <v>0.81100000000000005</v>
      </c>
      <c r="D54">
        <v>0.71040000000000003</v>
      </c>
      <c r="E54">
        <v>0.71679999999999999</v>
      </c>
      <c r="F54">
        <v>17015534</v>
      </c>
      <c r="G54">
        <v>0.71679999999999999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-0.87276341948310221</v>
      </c>
      <c r="Q54">
        <f t="shared" ref="Q54" si="246">F54*P54</f>
        <v>-14850535.638170987</v>
      </c>
      <c r="R54">
        <f t="shared" ref="R54" si="247">R55+Q54</f>
        <v>-2460868790.8799987</v>
      </c>
      <c r="S54">
        <f t="shared" ref="S54" si="248">R54/100000</f>
        <v>-24608.687908799988</v>
      </c>
      <c r="T54">
        <f t="shared" ref="T54" si="249">S54/1000</f>
        <v>-24.608687908799986</v>
      </c>
    </row>
    <row r="55" spans="1:20" x14ac:dyDescent="0.25">
      <c r="A55" s="5">
        <v>44538</v>
      </c>
      <c r="B55">
        <v>0.75349999999999995</v>
      </c>
      <c r="C55">
        <v>0.84330000000000005</v>
      </c>
      <c r="D55">
        <v>0.72860000000000003</v>
      </c>
      <c r="E55">
        <v>0.80279999999999996</v>
      </c>
      <c r="F55">
        <v>35842356</v>
      </c>
      <c r="G55">
        <v>0.80279999999999996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0.29380993897122787</v>
      </c>
      <c r="Q55">
        <f t="shared" ref="Q55" si="251">F55*P55</f>
        <v>10530840.428945024</v>
      </c>
      <c r="R55">
        <f t="shared" ref="R55" si="252">R56+Q55</f>
        <v>-2446018255.2418275</v>
      </c>
      <c r="S55">
        <f t="shared" ref="S55" si="253">R55/100000</f>
        <v>-24460.182552418275</v>
      </c>
      <c r="T55">
        <f t="shared" ref="T55" si="254">S55/1000</f>
        <v>-24.460182552418274</v>
      </c>
    </row>
    <row r="56" spans="1:20" x14ac:dyDescent="0.25">
      <c r="A56" s="5">
        <v>44537</v>
      </c>
      <c r="B56">
        <v>0.78310000000000002</v>
      </c>
      <c r="C56">
        <v>0.81</v>
      </c>
      <c r="D56">
        <v>0.73529999999999995</v>
      </c>
      <c r="E56">
        <v>0.75239999999999996</v>
      </c>
      <c r="F56">
        <v>25135605</v>
      </c>
      <c r="G56">
        <v>0.75239999999999996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-0.54216867469879571</v>
      </c>
      <c r="Q56">
        <f t="shared" ref="Q56" si="256">F56*P56</f>
        <v>-13627737.650602423</v>
      </c>
      <c r="R56">
        <f t="shared" ref="R56" si="257">R57+Q56</f>
        <v>-2456549095.6707726</v>
      </c>
      <c r="S56">
        <f t="shared" ref="S56" si="258">R56/100000</f>
        <v>-24565.490956707727</v>
      </c>
      <c r="T56">
        <f t="shared" ref="T56" si="259">S56/1000</f>
        <v>-24.565490956707727</v>
      </c>
    </row>
    <row r="57" spans="1:20" x14ac:dyDescent="0.25">
      <c r="A57" s="5">
        <v>44536</v>
      </c>
      <c r="B57">
        <v>0.78100000000000003</v>
      </c>
      <c r="C57">
        <v>0.78669999999999995</v>
      </c>
      <c r="D57">
        <v>0.66479999999999995</v>
      </c>
      <c r="E57">
        <v>0.78310000000000002</v>
      </c>
      <c r="F57">
        <v>36618268</v>
      </c>
      <c r="G57">
        <v>0.78310000000000002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0.94093519278096904</v>
      </c>
      <c r="Q57">
        <f t="shared" ref="Q57" si="261">F57*P57</f>
        <v>34455417.059885189</v>
      </c>
      <c r="R57">
        <f t="shared" ref="R57" si="262">R58+Q57</f>
        <v>-2442921358.0201702</v>
      </c>
      <c r="S57">
        <f t="shared" ref="S57" si="263">R57/100000</f>
        <v>-24429.213580201704</v>
      </c>
      <c r="T57">
        <f t="shared" ref="T57" si="264">S57/1000</f>
        <v>-24.429213580201704</v>
      </c>
    </row>
    <row r="58" spans="1:20" x14ac:dyDescent="0.25">
      <c r="A58" s="5">
        <v>44535</v>
      </c>
      <c r="B58">
        <v>0.85099999999999998</v>
      </c>
      <c r="C58">
        <v>0.87009999999999998</v>
      </c>
      <c r="D58">
        <v>0.73899999999999999</v>
      </c>
      <c r="E58">
        <v>0.77939999999999998</v>
      </c>
      <c r="F58">
        <v>32401604</v>
      </c>
      <c r="G58">
        <v>0.77939999999999998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-0.38367658276125105</v>
      </c>
      <c r="Q58">
        <f t="shared" ref="Q58" si="266">F58*P58</f>
        <v>-12431736.698703283</v>
      </c>
      <c r="R58">
        <f t="shared" ref="R58" si="267">R59+Q58</f>
        <v>-2477376775.0800552</v>
      </c>
      <c r="S58">
        <f t="shared" ref="S58" si="268">R58/100000</f>
        <v>-24773.767750800551</v>
      </c>
      <c r="T58">
        <f t="shared" ref="T58" si="269">S58/1000</f>
        <v>-24.773767750800552</v>
      </c>
    </row>
    <row r="59" spans="1:20" x14ac:dyDescent="0.25">
      <c r="A59" s="5">
        <v>44534</v>
      </c>
      <c r="B59">
        <v>1.0457000000000001</v>
      </c>
      <c r="C59">
        <v>1.0523</v>
      </c>
      <c r="D59">
        <v>0.66</v>
      </c>
      <c r="E59">
        <v>0.85160000000000002</v>
      </c>
      <c r="F59">
        <v>58595956</v>
      </c>
      <c r="G59">
        <v>0.85160000000000002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-2.3196533265358137E-2</v>
      </c>
      <c r="Q59">
        <f t="shared" ref="Q59" si="271">F59*P59</f>
        <v>-1359223.0425694617</v>
      </c>
      <c r="R59">
        <f t="shared" ref="R59" si="272">R60+Q59</f>
        <v>-2464945038.3813519</v>
      </c>
      <c r="S59">
        <f t="shared" ref="S59" si="273">R59/100000</f>
        <v>-24649.450383813521</v>
      </c>
      <c r="T59">
        <f t="shared" ref="T59" si="274">S59/1000</f>
        <v>-24.649450383813519</v>
      </c>
    </row>
    <row r="60" spans="1:20" x14ac:dyDescent="0.25">
      <c r="A60" s="5">
        <v>44533</v>
      </c>
      <c r="B60">
        <v>1.0347999999999999</v>
      </c>
      <c r="C60">
        <v>1.1263000000000001</v>
      </c>
      <c r="D60">
        <v>1.0065999999999999</v>
      </c>
      <c r="E60">
        <v>1.0457000000000001</v>
      </c>
      <c r="F60">
        <v>53913805</v>
      </c>
      <c r="G60">
        <v>1.0457000000000001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-0.34670008354218734</v>
      </c>
      <c r="Q60">
        <f t="shared" ref="Q60" si="276">F60*P60</f>
        <v>-18691920.697577197</v>
      </c>
      <c r="R60">
        <f t="shared" ref="R60" si="277">R61+Q60</f>
        <v>-2463585815.3387823</v>
      </c>
      <c r="S60">
        <f t="shared" ref="S60" si="278">R60/100000</f>
        <v>-24635.858153387824</v>
      </c>
      <c r="T60">
        <f t="shared" ref="T60" si="279">S60/1000</f>
        <v>-24.635858153387826</v>
      </c>
    </row>
    <row r="61" spans="1:20" x14ac:dyDescent="0.25">
      <c r="A61" s="5">
        <v>44532</v>
      </c>
      <c r="B61">
        <v>1.0790999999999999</v>
      </c>
      <c r="C61">
        <v>1.0831</v>
      </c>
      <c r="D61">
        <v>0.97860000000000003</v>
      </c>
      <c r="E61">
        <v>1.0344</v>
      </c>
      <c r="F61">
        <v>32403192</v>
      </c>
      <c r="G61">
        <v>1.0344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6.7942583732057416E-2</v>
      </c>
      <c r="Q61">
        <f t="shared" ref="Q61" si="281">F61*P61</f>
        <v>2201556.5856459332</v>
      </c>
      <c r="R61">
        <f t="shared" ref="R61" si="282">R62+Q61</f>
        <v>-2444893894.6412053</v>
      </c>
      <c r="S61">
        <f t="shared" ref="S61" si="283">R61/100000</f>
        <v>-24448.938946412054</v>
      </c>
      <c r="T61">
        <f t="shared" ref="T61" si="284">S61/1000</f>
        <v>-24.448938946412053</v>
      </c>
    </row>
    <row r="62" spans="1:20" x14ac:dyDescent="0.25">
      <c r="A62" s="5">
        <v>44531</v>
      </c>
      <c r="B62">
        <v>0.99850000000000005</v>
      </c>
      <c r="C62">
        <v>1.161</v>
      </c>
      <c r="D62">
        <v>0.99</v>
      </c>
      <c r="E62">
        <v>1.0793999999999999</v>
      </c>
      <c r="F62">
        <v>53743190</v>
      </c>
      <c r="G62">
        <v>1.0793999999999999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4.5614035087718156E-2</v>
      </c>
      <c r="Q62">
        <f t="shared" ref="Q62" si="286">F62*P62</f>
        <v>2451443.7543859035</v>
      </c>
      <c r="R62">
        <f t="shared" ref="R62" si="287">R63+Q62</f>
        <v>-2447095451.2268515</v>
      </c>
      <c r="S62">
        <f t="shared" ref="S62" si="288">R62/100000</f>
        <v>-24470.954512268516</v>
      </c>
      <c r="T62">
        <f t="shared" ref="T62" si="289">S62/1000</f>
        <v>-24.470954512268516</v>
      </c>
    </row>
    <row r="63" spans="1:20" x14ac:dyDescent="0.25">
      <c r="A63" s="5">
        <v>44530</v>
      </c>
      <c r="B63">
        <v>1.0262</v>
      </c>
      <c r="C63">
        <v>1.0522</v>
      </c>
      <c r="D63">
        <v>0.98680000000000001</v>
      </c>
      <c r="E63">
        <v>0.99919999999999998</v>
      </c>
      <c r="F63">
        <v>26911703</v>
      </c>
      <c r="G63">
        <v>0.99919999999999998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-0.62079510703364027</v>
      </c>
      <c r="Q63">
        <f t="shared" ref="Q63" si="291">F63*P63</f>
        <v>-16706653.544342538</v>
      </c>
      <c r="R63">
        <f t="shared" ref="R63" si="292">R64+Q63</f>
        <v>-2449546894.9812374</v>
      </c>
      <c r="S63">
        <f t="shared" ref="S63" si="293">R63/100000</f>
        <v>-24495.468949812373</v>
      </c>
      <c r="T63">
        <f t="shared" ref="T63" si="294">S63/1000</f>
        <v>-24.495468949812373</v>
      </c>
    </row>
    <row r="64" spans="1:20" x14ac:dyDescent="0.25">
      <c r="A64" s="5">
        <v>44529</v>
      </c>
      <c r="B64">
        <v>0.98809999999999998</v>
      </c>
      <c r="C64">
        <v>1.0580000000000001</v>
      </c>
      <c r="D64">
        <v>0.96889999999999998</v>
      </c>
      <c r="E64">
        <v>1.0262</v>
      </c>
      <c r="F64">
        <v>25856416</v>
      </c>
      <c r="G64">
        <v>1.0262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0.28619528619528561</v>
      </c>
      <c r="Q64">
        <f t="shared" ref="Q64" si="296">F64*P64</f>
        <v>7399984.3771043625</v>
      </c>
      <c r="R64">
        <f t="shared" ref="R64" si="297">R65+Q64</f>
        <v>-2432840241.4368949</v>
      </c>
      <c r="S64">
        <f t="shared" ref="S64" si="298">R64/100000</f>
        <v>-24328.402414368949</v>
      </c>
      <c r="T64">
        <f t="shared" ref="T64" si="299">S64/1000</f>
        <v>-24.328402414368949</v>
      </c>
    </row>
    <row r="65" spans="1:20" x14ac:dyDescent="0.25">
      <c r="A65" s="5">
        <v>44528</v>
      </c>
      <c r="B65">
        <v>1.0049999999999999</v>
      </c>
      <c r="C65">
        <v>1.0068999999999999</v>
      </c>
      <c r="D65">
        <v>0.90620000000000001</v>
      </c>
      <c r="E65">
        <v>0.98819999999999997</v>
      </c>
      <c r="F65">
        <v>19480435</v>
      </c>
      <c r="G65">
        <v>0.98819999999999997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0.62859980139026894</v>
      </c>
      <c r="Q65">
        <f t="shared" ref="Q65" si="301">F65*P65</f>
        <v>12245397.571996044</v>
      </c>
      <c r="R65">
        <f t="shared" ref="R65" si="302">R66+Q65</f>
        <v>-2440240225.8139992</v>
      </c>
      <c r="S65">
        <f t="shared" ref="S65" si="303">R65/100000</f>
        <v>-24402.402258139991</v>
      </c>
      <c r="T65">
        <f t="shared" ref="T65" si="304">S65/1000</f>
        <v>-24.40240225813999</v>
      </c>
    </row>
    <row r="66" spans="1:20" x14ac:dyDescent="0.25">
      <c r="A66" s="5">
        <v>44527</v>
      </c>
      <c r="B66">
        <v>0.98560000000000003</v>
      </c>
      <c r="C66">
        <v>1.0784</v>
      </c>
      <c r="D66">
        <v>0.9798</v>
      </c>
      <c r="E66">
        <v>1.0055000000000001</v>
      </c>
      <c r="F66">
        <v>34266203</v>
      </c>
      <c r="G66">
        <v>1.0055000000000001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-0.47870182555780832</v>
      </c>
      <c r="Q66">
        <f t="shared" ref="Q66" si="306">F66*P66</f>
        <v>-16403293.931034448</v>
      </c>
      <c r="R66">
        <f t="shared" ref="R66" si="307">R67+Q66</f>
        <v>-2452485623.3859954</v>
      </c>
      <c r="S66">
        <f t="shared" ref="S66" si="308">R66/100000</f>
        <v>-24524.856233859955</v>
      </c>
      <c r="T66">
        <f t="shared" ref="T66" si="309">S66/1000</f>
        <v>-24.524856233859953</v>
      </c>
    </row>
    <row r="67" spans="1:20" x14ac:dyDescent="0.25">
      <c r="A67" s="5">
        <v>44526</v>
      </c>
      <c r="B67">
        <v>1.0488</v>
      </c>
      <c r="C67">
        <v>1.0575000000000001</v>
      </c>
      <c r="D67">
        <v>0.9</v>
      </c>
      <c r="E67">
        <v>0.98560000000000003</v>
      </c>
      <c r="F67">
        <v>37242618</v>
      </c>
      <c r="G67">
        <v>0.98560000000000003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8.6984126984126525E-2</v>
      </c>
      <c r="Q67">
        <f t="shared" ref="Q67" si="311">F67*P67</f>
        <v>3239516.6133333161</v>
      </c>
      <c r="R67">
        <f t="shared" ref="R67" si="312">R68+Q67</f>
        <v>-2436082329.4549608</v>
      </c>
      <c r="S67">
        <f t="shared" ref="S67" si="313">R67/100000</f>
        <v>-24360.823294549609</v>
      </c>
      <c r="T67">
        <f t="shared" ref="T67" si="314">S67/1000</f>
        <v>-24.360823294549608</v>
      </c>
    </row>
    <row r="68" spans="1:20" x14ac:dyDescent="0.25">
      <c r="A68" s="5">
        <v>44525</v>
      </c>
      <c r="B68">
        <v>0.94650000000000001</v>
      </c>
      <c r="C68">
        <v>1.1998</v>
      </c>
      <c r="D68">
        <v>0.94569999999999999</v>
      </c>
      <c r="E68">
        <v>1.0485</v>
      </c>
      <c r="F68">
        <v>79052114</v>
      </c>
      <c r="G68">
        <v>1.0485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-0.19086973632428172</v>
      </c>
      <c r="Q68">
        <f t="shared" ref="Q68" si="316">F68*P68</f>
        <v>-15088656.15505706</v>
      </c>
      <c r="R68">
        <f t="shared" ref="R68" si="317">R69+Q68</f>
        <v>-2439321846.068294</v>
      </c>
      <c r="S68">
        <f t="shared" ref="S68" si="318">R68/100000</f>
        <v>-24393.21846068294</v>
      </c>
      <c r="T68">
        <f t="shared" ref="T68" si="319">S68/1000</f>
        <v>-24.393218460682938</v>
      </c>
    </row>
    <row r="69" spans="1:20" x14ac:dyDescent="0.25">
      <c r="A69" s="5">
        <v>44524</v>
      </c>
      <c r="B69">
        <v>0.98519999999999996</v>
      </c>
      <c r="C69">
        <v>1.0168999999999999</v>
      </c>
      <c r="D69">
        <v>0.94199999999999995</v>
      </c>
      <c r="E69">
        <v>0.95499999999999996</v>
      </c>
      <c r="F69">
        <v>7854544</v>
      </c>
      <c r="G69">
        <v>0.95499999999999996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-0.65287049399198882</v>
      </c>
      <c r="Q69">
        <f t="shared" ref="Q69" si="321">F69*P69</f>
        <v>-5128000.021361812</v>
      </c>
      <c r="R69">
        <f t="shared" ref="R69" si="322">R70+Q69</f>
        <v>-2424233189.9132371</v>
      </c>
      <c r="S69">
        <f t="shared" ref="S69" si="323">R69/100000</f>
        <v>-24242.331899132372</v>
      </c>
      <c r="T69">
        <f t="shared" ref="T69" si="324">S69/1000</f>
        <v>-24.242331899132374</v>
      </c>
    </row>
    <row r="70" spans="1:20" x14ac:dyDescent="0.25">
      <c r="A70" s="5">
        <v>44523</v>
      </c>
      <c r="B70">
        <v>0.93310000000000004</v>
      </c>
      <c r="C70">
        <v>1.0398000000000001</v>
      </c>
      <c r="D70">
        <v>0.92020000000000002</v>
      </c>
      <c r="E70">
        <v>0.98509999999999998</v>
      </c>
      <c r="F70">
        <v>40889615</v>
      </c>
      <c r="G70">
        <v>0.98509999999999998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8.528428093645378E-2</v>
      </c>
      <c r="Q70">
        <f t="shared" ref="Q70" si="326">F70*P70</f>
        <v>3487241.4130434347</v>
      </c>
      <c r="R70">
        <f t="shared" ref="R70" si="327">R71+Q70</f>
        <v>-2419105189.8918753</v>
      </c>
      <c r="S70">
        <f t="shared" ref="S70" si="328">R70/100000</f>
        <v>-24191.051898918751</v>
      </c>
      <c r="T70">
        <f t="shared" ref="T70" si="329">S70/1000</f>
        <v>-24.191051898918751</v>
      </c>
    </row>
    <row r="71" spans="1:20" x14ac:dyDescent="0.25">
      <c r="A71" s="5">
        <v>44522</v>
      </c>
      <c r="B71">
        <v>0.98209999999999997</v>
      </c>
      <c r="C71">
        <v>0.98839999999999995</v>
      </c>
      <c r="D71">
        <v>0.91810000000000003</v>
      </c>
      <c r="E71">
        <v>0.9335</v>
      </c>
      <c r="F71">
        <v>19940150</v>
      </c>
      <c r="G71">
        <v>0.9335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-0.56187766714082543</v>
      </c>
      <c r="Q71">
        <f t="shared" ref="Q71" si="331">F71*P71</f>
        <v>-11203924.964438131</v>
      </c>
      <c r="R71">
        <f t="shared" ref="R71" si="332">R72+Q71</f>
        <v>-2422592431.3049188</v>
      </c>
      <c r="S71">
        <f t="shared" ref="S71" si="333">R71/100000</f>
        <v>-24225.924313049189</v>
      </c>
      <c r="T71">
        <f t="shared" ref="T71" si="334">S71/1000</f>
        <v>-24.225924313049187</v>
      </c>
    </row>
    <row r="72" spans="1:20" x14ac:dyDescent="0.25">
      <c r="A72" s="5">
        <v>44521</v>
      </c>
      <c r="B72">
        <v>1.0679000000000001</v>
      </c>
      <c r="C72">
        <v>1.0993999999999999</v>
      </c>
      <c r="D72">
        <v>0.97940000000000005</v>
      </c>
      <c r="E72">
        <v>0.98089999999999999</v>
      </c>
      <c r="F72">
        <v>24490750</v>
      </c>
      <c r="G72">
        <v>0.98089999999999999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-0.97500000000000087</v>
      </c>
      <c r="Q72">
        <f t="shared" ref="Q72" si="336">F72*P72</f>
        <v>-23878481.250000022</v>
      </c>
      <c r="R72">
        <f t="shared" ref="R72" si="337">R73+Q72</f>
        <v>-2411388506.3404808</v>
      </c>
      <c r="S72">
        <f t="shared" ref="S72" si="338">R72/100000</f>
        <v>-24113.885063404807</v>
      </c>
      <c r="T72">
        <f t="shared" ref="T72" si="339">S72/1000</f>
        <v>-24.113885063404808</v>
      </c>
    </row>
    <row r="73" spans="1:20" x14ac:dyDescent="0.25">
      <c r="A73" s="5">
        <v>44520</v>
      </c>
      <c r="B73">
        <v>0.97040000000000004</v>
      </c>
      <c r="C73">
        <v>1.1200000000000001</v>
      </c>
      <c r="D73">
        <v>0.96860000000000002</v>
      </c>
      <c r="E73">
        <v>1.0685</v>
      </c>
      <c r="F73">
        <v>44557302</v>
      </c>
      <c r="G73">
        <v>1.0685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0.31968295904887623</v>
      </c>
      <c r="Q73">
        <f t="shared" ref="Q73" si="341">F73*P73</f>
        <v>14244210.150594411</v>
      </c>
      <c r="R73">
        <f t="shared" ref="R73" si="342">R74+Q73</f>
        <v>-2387510025.0904808</v>
      </c>
      <c r="S73">
        <f t="shared" ref="S73" si="343">R73/100000</f>
        <v>-23875.100250904808</v>
      </c>
      <c r="T73">
        <f t="shared" ref="T73" si="344">S73/1000</f>
        <v>-23.875100250904808</v>
      </c>
    </row>
    <row r="74" spans="1:20" x14ac:dyDescent="0.25">
      <c r="A74" s="5">
        <v>44519</v>
      </c>
      <c r="B74">
        <v>0.92420000000000002</v>
      </c>
      <c r="C74">
        <v>1.0216000000000001</v>
      </c>
      <c r="D74">
        <v>0.91310000000000002</v>
      </c>
      <c r="E74">
        <v>0.97019999999999995</v>
      </c>
      <c r="F74">
        <v>22294086</v>
      </c>
      <c r="G74">
        <v>0.97019999999999995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5.2534562211979857E-2</v>
      </c>
      <c r="Q74">
        <f t="shared" ref="Q74" si="346">F74*P74</f>
        <v>1171210.0479262292</v>
      </c>
      <c r="R74">
        <f t="shared" ref="R74" si="347">R75+Q74</f>
        <v>-2401754235.241075</v>
      </c>
      <c r="S74">
        <f t="shared" ref="S74" si="348">R74/100000</f>
        <v>-24017.54235241075</v>
      </c>
      <c r="T74">
        <f t="shared" ref="T74" si="349">S74/1000</f>
        <v>-24.01754235241075</v>
      </c>
    </row>
    <row r="75" spans="1:20" x14ac:dyDescent="0.25">
      <c r="A75" s="5">
        <v>44518</v>
      </c>
      <c r="B75">
        <v>1.0445</v>
      </c>
      <c r="C75">
        <v>1.1597999999999999</v>
      </c>
      <c r="D75">
        <v>0.90510000000000002</v>
      </c>
      <c r="E75">
        <v>0.92420000000000002</v>
      </c>
      <c r="F75">
        <v>72812580</v>
      </c>
      <c r="G75">
        <v>0.92420000000000002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-0.85001963093835875</v>
      </c>
      <c r="Q75">
        <f t="shared" ref="Q75" si="351">F75*P75</f>
        <v>-61892122.379269719</v>
      </c>
      <c r="R75">
        <f t="shared" ref="R75" si="352">R76+Q75</f>
        <v>-2402925445.2890015</v>
      </c>
      <c r="S75">
        <f t="shared" ref="S75" si="353">R75/100000</f>
        <v>-24029.254452890014</v>
      </c>
      <c r="T75">
        <f t="shared" ref="T75" si="354">S75/1000</f>
        <v>-24.029254452890015</v>
      </c>
    </row>
    <row r="76" spans="1:20" x14ac:dyDescent="0.25">
      <c r="A76" s="5">
        <v>44517</v>
      </c>
      <c r="B76">
        <v>0.96930000000000005</v>
      </c>
      <c r="C76">
        <v>1.0720000000000001</v>
      </c>
      <c r="D76">
        <v>0.90800000000000003</v>
      </c>
      <c r="E76">
        <v>1.0446</v>
      </c>
      <c r="F76">
        <v>40952424</v>
      </c>
      <c r="G76">
        <v>1.0446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0.66585365853658429</v>
      </c>
      <c r="Q76">
        <f t="shared" ref="Q76" si="356">F76*P76</f>
        <v>27268321.34634142</v>
      </c>
      <c r="R76">
        <f t="shared" ref="R76" si="357">R77+Q76</f>
        <v>-2341033322.9097319</v>
      </c>
      <c r="S76">
        <f t="shared" ref="S76" si="358">R76/100000</f>
        <v>-23410.333229097319</v>
      </c>
      <c r="T76">
        <f t="shared" ref="T76" si="359">S76/1000</f>
        <v>-23.410333229097319</v>
      </c>
    </row>
    <row r="77" spans="1:20" x14ac:dyDescent="0.25">
      <c r="A77" s="5">
        <v>44516</v>
      </c>
      <c r="B77">
        <v>1.0740000000000001</v>
      </c>
      <c r="C77">
        <v>1.075</v>
      </c>
      <c r="D77">
        <v>0.88780000000000003</v>
      </c>
      <c r="E77">
        <v>0.97</v>
      </c>
      <c r="F77">
        <v>39102005</v>
      </c>
      <c r="G77">
        <v>0.97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-0.12179487179487207</v>
      </c>
      <c r="Q77">
        <f t="shared" ref="Q77" si="361">F77*P77</f>
        <v>-4762423.6858974462</v>
      </c>
      <c r="R77">
        <f t="shared" ref="R77" si="362">R78+Q77</f>
        <v>-2368301644.2560735</v>
      </c>
      <c r="S77">
        <f t="shared" ref="S77" si="363">R77/100000</f>
        <v>-23683.016442560736</v>
      </c>
      <c r="T77">
        <f t="shared" ref="T77" si="364">S77/1000</f>
        <v>-23.683016442560735</v>
      </c>
    </row>
    <row r="78" spans="1:20" x14ac:dyDescent="0.25">
      <c r="A78" s="5">
        <v>44515</v>
      </c>
      <c r="B78">
        <v>1.1261000000000001</v>
      </c>
      <c r="C78">
        <v>1.1555</v>
      </c>
      <c r="D78">
        <v>1.0538000000000001</v>
      </c>
      <c r="E78">
        <v>1.0742</v>
      </c>
      <c r="F78">
        <v>24511627</v>
      </c>
      <c r="G78">
        <v>1.0742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-0.59882005899705026</v>
      </c>
      <c r="Q78">
        <f t="shared" ref="Q78" si="366">F78*P78</f>
        <v>-14678053.926253689</v>
      </c>
      <c r="R78">
        <f t="shared" ref="R78" si="367">R79+Q78</f>
        <v>-2363539220.5701761</v>
      </c>
      <c r="S78">
        <f t="shared" ref="S78" si="368">R78/100000</f>
        <v>-23635.392205701763</v>
      </c>
      <c r="T78">
        <f t="shared" ref="T78" si="369">S78/1000</f>
        <v>-23.635392205701763</v>
      </c>
    </row>
    <row r="79" spans="1:20" x14ac:dyDescent="0.25">
      <c r="A79" s="5">
        <v>44514</v>
      </c>
      <c r="B79">
        <v>1.1541999999999999</v>
      </c>
      <c r="C79">
        <v>1.2262999999999999</v>
      </c>
      <c r="D79">
        <v>1.1032</v>
      </c>
      <c r="E79">
        <v>1.127</v>
      </c>
      <c r="F79">
        <v>32130424</v>
      </c>
      <c r="G79">
        <v>1.127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-0.61332250203086847</v>
      </c>
      <c r="Q79">
        <f t="shared" ref="Q79" si="371">F79*P79</f>
        <v>-19706312.038992666</v>
      </c>
      <c r="R79">
        <f t="shared" ref="R79" si="372">R80+Q79</f>
        <v>-2348861166.6439223</v>
      </c>
      <c r="S79">
        <f t="shared" ref="S79" si="373">R79/100000</f>
        <v>-23488.611666439225</v>
      </c>
      <c r="T79">
        <f t="shared" ref="T79" si="374">S79/1000</f>
        <v>-23.488611666439226</v>
      </c>
    </row>
    <row r="80" spans="1:20" x14ac:dyDescent="0.25">
      <c r="A80" s="5">
        <v>44513</v>
      </c>
      <c r="B80">
        <v>1.23</v>
      </c>
      <c r="C80">
        <v>1.3108</v>
      </c>
      <c r="D80">
        <v>1.1211</v>
      </c>
      <c r="E80">
        <v>1.1538999999999999</v>
      </c>
      <c r="F80">
        <v>58277310</v>
      </c>
      <c r="G80">
        <v>1.1538999999999999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-0.65419082762256253</v>
      </c>
      <c r="Q80">
        <f t="shared" ref="Q80" si="376">F80*P80</f>
        <v>-38124481.660516642</v>
      </c>
      <c r="R80">
        <f t="shared" ref="R80" si="377">R81+Q80</f>
        <v>-2329154854.6049294</v>
      </c>
      <c r="S80">
        <f t="shared" ref="S80" si="378">R80/100000</f>
        <v>-23291.548546049293</v>
      </c>
      <c r="T80">
        <f t="shared" ref="T80" si="379">S80/1000</f>
        <v>-23.291548546049292</v>
      </c>
    </row>
    <row r="81" spans="1:20" x14ac:dyDescent="0.25">
      <c r="A81" s="5">
        <v>44512</v>
      </c>
      <c r="B81">
        <v>1.4229000000000001</v>
      </c>
      <c r="C81">
        <v>1.4399</v>
      </c>
      <c r="D81">
        <v>1.1520999999999999</v>
      </c>
      <c r="E81">
        <v>1.2317</v>
      </c>
      <c r="F81">
        <v>118796943</v>
      </c>
      <c r="G81">
        <v>1.2317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-0.44683808200138914</v>
      </c>
      <c r="Q81">
        <f t="shared" ref="Q81" si="381">F81*P81</f>
        <v>-53082998.157748349</v>
      </c>
      <c r="R81">
        <f t="shared" ref="R81" si="382">R82+Q81</f>
        <v>-2291030372.9444127</v>
      </c>
      <c r="S81">
        <f t="shared" ref="S81" si="383">R81/100000</f>
        <v>-22910.303729444127</v>
      </c>
      <c r="T81">
        <f t="shared" ref="T81" si="384">S81/1000</f>
        <v>-22.910303729444127</v>
      </c>
    </row>
    <row r="82" spans="1:20" x14ac:dyDescent="0.25">
      <c r="A82" s="5">
        <v>44511</v>
      </c>
      <c r="B82">
        <v>1.0012000000000001</v>
      </c>
      <c r="C82">
        <v>1.73</v>
      </c>
      <c r="D82">
        <v>0.96</v>
      </c>
      <c r="E82">
        <v>1.4226000000000001</v>
      </c>
      <c r="F82">
        <v>550107173.60000002</v>
      </c>
      <c r="G82">
        <v>1.4226000000000001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0.20155844155844185</v>
      </c>
      <c r="Q82">
        <f t="shared" ref="Q82" si="386">F82*P82</f>
        <v>110878744.60093524</v>
      </c>
      <c r="R82">
        <f t="shared" ref="R82" si="387">R83+Q82</f>
        <v>-2237947374.7866645</v>
      </c>
      <c r="S82">
        <f t="shared" ref="S82" si="388">R82/100000</f>
        <v>-22379.473747866647</v>
      </c>
      <c r="T82">
        <f t="shared" ref="T82" si="389">S82/1000</f>
        <v>-22.379473747866648</v>
      </c>
    </row>
    <row r="83" spans="1:20" x14ac:dyDescent="0.25">
      <c r="A83" s="5">
        <v>44510</v>
      </c>
      <c r="B83">
        <v>0.85870000000000002</v>
      </c>
      <c r="C83">
        <v>1.1677</v>
      </c>
      <c r="D83">
        <v>0.84009999999999996</v>
      </c>
      <c r="E83">
        <v>0.99929999999999997</v>
      </c>
      <c r="F83">
        <v>184971933</v>
      </c>
      <c r="G83">
        <v>0.99929999999999997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-2.8083028083028039E-2</v>
      </c>
      <c r="Q83">
        <f t="shared" ref="Q83" si="391">F83*P83</f>
        <v>-5194571.9890109813</v>
      </c>
      <c r="R83">
        <f t="shared" ref="R83" si="392">R84+Q83</f>
        <v>-2348826119.3875999</v>
      </c>
      <c r="S83">
        <f t="shared" ref="S83" si="393">R83/100000</f>
        <v>-23488.261193875998</v>
      </c>
      <c r="T83">
        <f t="shared" ref="T83" si="394">S83/1000</f>
        <v>-23.488261193875999</v>
      </c>
    </row>
    <row r="84" spans="1:20" x14ac:dyDescent="0.25">
      <c r="A84" s="5">
        <v>44509</v>
      </c>
      <c r="B84">
        <v>0.83230000000000004</v>
      </c>
      <c r="C84">
        <v>0.89</v>
      </c>
      <c r="D84">
        <v>0.80020000000000002</v>
      </c>
      <c r="E84">
        <v>0.85829999999999995</v>
      </c>
      <c r="F84">
        <v>19789465</v>
      </c>
      <c r="G84">
        <v>0.85829999999999995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0.29398663697104532</v>
      </c>
      <c r="Q84">
        <f t="shared" ref="Q84" si="396">F84*P84</f>
        <v>5817838.2628062079</v>
      </c>
      <c r="R84">
        <f t="shared" ref="R84" si="397">R85+Q84</f>
        <v>-2343631547.3985891</v>
      </c>
      <c r="S84">
        <f t="shared" ref="S84" si="398">R84/100000</f>
        <v>-23436.315473985891</v>
      </c>
      <c r="T84">
        <f t="shared" ref="T84" si="399">S84/1000</f>
        <v>-23.436315473985893</v>
      </c>
    </row>
    <row r="85" spans="1:20" x14ac:dyDescent="0.25">
      <c r="A85" s="5">
        <v>44508</v>
      </c>
      <c r="B85">
        <v>0.83709999999999996</v>
      </c>
      <c r="C85">
        <v>0.85660000000000003</v>
      </c>
      <c r="D85">
        <v>0.82499999999999996</v>
      </c>
      <c r="E85">
        <v>0.83220000000000005</v>
      </c>
      <c r="F85">
        <v>8511757</v>
      </c>
      <c r="G85">
        <v>0.83220000000000005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-0.54430379746834945</v>
      </c>
      <c r="Q85">
        <f t="shared" ref="Q85" si="401">F85*P85</f>
        <v>-4632981.658227806</v>
      </c>
      <c r="R85">
        <f t="shared" ref="R85" si="402">R86+Q85</f>
        <v>-2349449385.6613955</v>
      </c>
      <c r="S85">
        <f t="shared" ref="S85" si="403">R85/100000</f>
        <v>-23494.493856613957</v>
      </c>
      <c r="T85">
        <f t="shared" ref="T85" si="404">S85/1000</f>
        <v>-23.494493856613957</v>
      </c>
    </row>
    <row r="86" spans="1:20" x14ac:dyDescent="0.25">
      <c r="A86" s="5">
        <v>44507</v>
      </c>
      <c r="B86">
        <v>0.82369999999999999</v>
      </c>
      <c r="C86">
        <v>0.84409999999999996</v>
      </c>
      <c r="D86">
        <v>0.81410000000000005</v>
      </c>
      <c r="E86">
        <v>0.83709999999999996</v>
      </c>
      <c r="F86">
        <v>8422723</v>
      </c>
      <c r="G86">
        <v>0.83709999999999996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0.53333333333333166</v>
      </c>
      <c r="Q86">
        <f t="shared" ref="Q86" si="406">F86*P86</f>
        <v>4492118.9333333196</v>
      </c>
      <c r="R86">
        <f t="shared" ref="R86" si="407">R87+Q86</f>
        <v>-2344816404.0031676</v>
      </c>
      <c r="S86">
        <f t="shared" ref="S86" si="408">R86/100000</f>
        <v>-23448.164040031676</v>
      </c>
      <c r="T86">
        <f t="shared" ref="T86" si="409">S86/1000</f>
        <v>-23.448164040031674</v>
      </c>
    </row>
    <row r="87" spans="1:20" x14ac:dyDescent="0.25">
      <c r="A87" s="5">
        <v>44506</v>
      </c>
      <c r="B87">
        <v>0.79559999999999997</v>
      </c>
      <c r="C87">
        <v>0.84289999999999998</v>
      </c>
      <c r="D87">
        <v>0.77549999999999997</v>
      </c>
      <c r="E87">
        <v>0.82379999999999998</v>
      </c>
      <c r="F87">
        <v>14635550</v>
      </c>
      <c r="G87">
        <v>0.82379999999999998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0.43323442136498513</v>
      </c>
      <c r="Q87">
        <f t="shared" ref="Q87" si="411">F87*P87</f>
        <v>6340624.0356083084</v>
      </c>
      <c r="R87">
        <f t="shared" ref="R87" si="412">R88+Q87</f>
        <v>-2349308522.936501</v>
      </c>
      <c r="S87">
        <f t="shared" ref="S87" si="413">R87/100000</f>
        <v>-23493.08522936501</v>
      </c>
      <c r="T87">
        <f t="shared" ref="T87" si="414">S87/1000</f>
        <v>-23.493085229365011</v>
      </c>
    </row>
    <row r="88" spans="1:20" x14ac:dyDescent="0.25">
      <c r="A88" s="5">
        <v>44505</v>
      </c>
      <c r="B88">
        <v>0.83330000000000004</v>
      </c>
      <c r="C88">
        <v>0.83979999999999999</v>
      </c>
      <c r="D88">
        <v>0.78290000000000004</v>
      </c>
      <c r="E88">
        <v>0.79630000000000001</v>
      </c>
      <c r="F88">
        <v>13574025</v>
      </c>
      <c r="G88">
        <v>0.79630000000000001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-0.52899824253075645</v>
      </c>
      <c r="Q88">
        <f t="shared" ref="Q88" si="416">F88*P88</f>
        <v>-7180635.3690685509</v>
      </c>
      <c r="R88">
        <f t="shared" ref="R88" si="417">R89+Q88</f>
        <v>-2355649146.9721093</v>
      </c>
      <c r="S88">
        <f t="shared" ref="S88" si="418">R88/100000</f>
        <v>-23556.491469721092</v>
      </c>
      <c r="T88">
        <f t="shared" ref="T88" si="419">S88/1000</f>
        <v>-23.556491469721092</v>
      </c>
    </row>
    <row r="89" spans="1:20" x14ac:dyDescent="0.25">
      <c r="A89" s="5">
        <v>44504</v>
      </c>
      <c r="B89">
        <v>0.81559999999999999</v>
      </c>
      <c r="C89">
        <v>0.94550000000000001</v>
      </c>
      <c r="D89">
        <v>0.79879999999999995</v>
      </c>
      <c r="E89">
        <v>0.83330000000000004</v>
      </c>
      <c r="F89">
        <v>57684395</v>
      </c>
      <c r="G89">
        <v>0.83330000000000004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-0.52965235173824032</v>
      </c>
      <c r="Q89">
        <f t="shared" ref="Q89" si="421">F89*P89</f>
        <v>-30552675.470347591</v>
      </c>
      <c r="R89">
        <f t="shared" ref="R89" si="422">R90+Q89</f>
        <v>-2348468511.6030407</v>
      </c>
      <c r="S89">
        <f t="shared" ref="S89" si="423">R89/100000</f>
        <v>-23484.685116030407</v>
      </c>
      <c r="T89">
        <f t="shared" ref="T89" si="424">S89/1000</f>
        <v>-23.484685116030406</v>
      </c>
    </row>
    <row r="90" spans="1:20" x14ac:dyDescent="0.25">
      <c r="A90" s="5">
        <v>44503</v>
      </c>
      <c r="B90">
        <v>0.78180000000000005</v>
      </c>
      <c r="C90">
        <v>0.82</v>
      </c>
      <c r="D90">
        <v>0.75749999999999995</v>
      </c>
      <c r="E90">
        <v>0.81599999999999995</v>
      </c>
      <c r="F90">
        <v>21910277</v>
      </c>
      <c r="G90">
        <v>0.81599999999999995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0.87199999999999989</v>
      </c>
      <c r="Q90">
        <f t="shared" ref="Q90" si="426">F90*P90</f>
        <v>19105761.543999996</v>
      </c>
      <c r="R90">
        <f t="shared" ref="R90" si="427">R91+Q90</f>
        <v>-2317915836.1326933</v>
      </c>
      <c r="S90">
        <f t="shared" ref="S90" si="428">R90/100000</f>
        <v>-23179.158361326932</v>
      </c>
      <c r="T90">
        <f t="shared" ref="T90" si="429">S90/1000</f>
        <v>-23.179158361326934</v>
      </c>
    </row>
    <row r="91" spans="1:20" x14ac:dyDescent="0.25">
      <c r="A91" s="5">
        <v>44502</v>
      </c>
      <c r="B91">
        <v>0.76600000000000001</v>
      </c>
      <c r="C91">
        <v>0.81420000000000003</v>
      </c>
      <c r="D91">
        <v>0.75560000000000005</v>
      </c>
      <c r="E91">
        <v>0.78139999999999998</v>
      </c>
      <c r="F91">
        <v>20120849</v>
      </c>
      <c r="G91">
        <v>0.78139999999999998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-0.11945392491467779</v>
      </c>
      <c r="Q91">
        <f t="shared" ref="Q91" si="431">F91*P91</f>
        <v>-2403514.3856655699</v>
      </c>
      <c r="R91">
        <f t="shared" ref="R91" si="432">R92+Q91</f>
        <v>-2337021597.6766934</v>
      </c>
      <c r="S91">
        <f t="shared" ref="S91" si="433">R91/100000</f>
        <v>-23370.215976766933</v>
      </c>
      <c r="T91">
        <f t="shared" ref="T91" si="434">S91/1000</f>
        <v>-23.370215976766932</v>
      </c>
    </row>
    <row r="92" spans="1:20" x14ac:dyDescent="0.25">
      <c r="A92" s="5">
        <v>44501</v>
      </c>
      <c r="B92">
        <v>0.77839999999999998</v>
      </c>
      <c r="C92">
        <v>0.80789999999999995</v>
      </c>
      <c r="D92">
        <v>0.7369</v>
      </c>
      <c r="E92">
        <v>0.76570000000000005</v>
      </c>
      <c r="F92">
        <v>21986698</v>
      </c>
      <c r="G92">
        <v>0.76570000000000005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-0.18873239436619529</v>
      </c>
      <c r="Q92">
        <f t="shared" ref="Q92" si="436">F92*P92</f>
        <v>-4149602.1577464375</v>
      </c>
      <c r="R92">
        <f t="shared" ref="R92" si="437">R93+Q92</f>
        <v>-2334618083.291028</v>
      </c>
      <c r="S92">
        <f t="shared" ref="S92" si="438">R92/100000</f>
        <v>-23346.180832910279</v>
      </c>
      <c r="T92">
        <f t="shared" ref="T92" si="439">S92/1000</f>
        <v>-23.346180832910278</v>
      </c>
    </row>
    <row r="93" spans="1:20" x14ac:dyDescent="0.25">
      <c r="A93" s="5">
        <v>44500</v>
      </c>
      <c r="B93">
        <v>0.73829999999999996</v>
      </c>
      <c r="C93">
        <v>0.79959999999999998</v>
      </c>
      <c r="D93">
        <v>0.7319</v>
      </c>
      <c r="E93">
        <v>0.77749999999999997</v>
      </c>
      <c r="F93">
        <v>31040660</v>
      </c>
      <c r="G93">
        <v>0.77749999999999997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0.34711964549482971</v>
      </c>
      <c r="Q93">
        <f t="shared" ref="Q93" si="441">F93*P93</f>
        <v>10774822.89512554</v>
      </c>
      <c r="R93">
        <f t="shared" ref="R93" si="442">R94+Q93</f>
        <v>-2330468481.1332817</v>
      </c>
      <c r="S93">
        <f t="shared" ref="S93" si="443">R93/100000</f>
        <v>-23304.684811332816</v>
      </c>
      <c r="T93">
        <f t="shared" ref="T93" si="444">S93/1000</f>
        <v>-23.304684811332816</v>
      </c>
    </row>
    <row r="94" spans="1:20" x14ac:dyDescent="0.25">
      <c r="A94" s="5">
        <v>44499</v>
      </c>
      <c r="B94">
        <v>0.74609999999999999</v>
      </c>
      <c r="C94">
        <v>0.82</v>
      </c>
      <c r="D94">
        <v>0.72130000000000005</v>
      </c>
      <c r="E94">
        <v>0.73909999999999998</v>
      </c>
      <c r="F94">
        <v>28154955</v>
      </c>
      <c r="G94">
        <v>0.73909999999999998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-0.63931104356636381</v>
      </c>
      <c r="Q94">
        <f t="shared" ref="Q94" si="446">F94*P94</f>
        <v>-17999773.662614014</v>
      </c>
      <c r="R94">
        <f t="shared" ref="R94" si="447">R95+Q94</f>
        <v>-2341243304.0284071</v>
      </c>
      <c r="S94">
        <f t="shared" ref="S94" si="448">R94/100000</f>
        <v>-23412.433040284071</v>
      </c>
      <c r="T94">
        <f t="shared" ref="T94" si="449">S94/1000</f>
        <v>-23.412433040284071</v>
      </c>
    </row>
    <row r="95" spans="1:20" x14ac:dyDescent="0.25">
      <c r="A95" s="5">
        <v>44498</v>
      </c>
      <c r="B95">
        <v>0.72860000000000003</v>
      </c>
      <c r="C95">
        <v>0.7681</v>
      </c>
      <c r="D95">
        <v>0.72289999999999999</v>
      </c>
      <c r="E95">
        <v>0.74609999999999999</v>
      </c>
      <c r="F95">
        <v>17940956</v>
      </c>
      <c r="G95">
        <v>0.74609999999999999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2.6548672566371202E-2</v>
      </c>
      <c r="Q95">
        <f t="shared" ref="Q95" si="451">F95*P95</f>
        <v>476308.56637167284</v>
      </c>
      <c r="R95">
        <f t="shared" ref="R95" si="452">R96+Q95</f>
        <v>-2323243530.3657932</v>
      </c>
      <c r="S95">
        <f t="shared" ref="S95" si="453">R95/100000</f>
        <v>-23232.43530365793</v>
      </c>
      <c r="T95">
        <f t="shared" ref="T95" si="454">S95/1000</f>
        <v>-23.23243530365793</v>
      </c>
    </row>
    <row r="96" spans="1:20" x14ac:dyDescent="0.25">
      <c r="A96" s="5">
        <v>44497</v>
      </c>
      <c r="B96">
        <v>0.70389999999999997</v>
      </c>
      <c r="C96">
        <v>0.74580000000000002</v>
      </c>
      <c r="D96">
        <v>0.70199999999999996</v>
      </c>
      <c r="E96">
        <v>0.72860000000000003</v>
      </c>
      <c r="F96">
        <v>21609569</v>
      </c>
      <c r="G96">
        <v>0.72860000000000003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0.21461187214612013</v>
      </c>
      <c r="Q96">
        <f t="shared" ref="Q96" si="456">F96*P96</f>
        <v>4637670.0593607612</v>
      </c>
      <c r="R96">
        <f t="shared" ref="R96" si="457">R97+Q96</f>
        <v>-2323719838.9321647</v>
      </c>
      <c r="S96">
        <f t="shared" ref="S96" si="458">R96/100000</f>
        <v>-23237.198389321646</v>
      </c>
      <c r="T96">
        <f t="shared" ref="T96" si="459">S96/1000</f>
        <v>-23.237198389321644</v>
      </c>
    </row>
    <row r="97" spans="1:20" x14ac:dyDescent="0.25">
      <c r="A97" s="5">
        <v>44496</v>
      </c>
      <c r="B97">
        <v>0.80459999999999998</v>
      </c>
      <c r="C97">
        <v>0.81630000000000003</v>
      </c>
      <c r="D97">
        <v>0.7</v>
      </c>
      <c r="E97">
        <v>0.70230000000000004</v>
      </c>
      <c r="F97">
        <v>24386069</v>
      </c>
      <c r="G97">
        <v>0.70230000000000004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-0.96044711951848527</v>
      </c>
      <c r="Q97">
        <f t="shared" ref="Q97" si="461">F97*P97</f>
        <v>-23421529.727429029</v>
      </c>
      <c r="R97">
        <f t="shared" ref="R97" si="462">R98+Q97</f>
        <v>-2328357508.9915257</v>
      </c>
      <c r="S97">
        <f t="shared" ref="S97" si="463">R97/100000</f>
        <v>-23283.575089915255</v>
      </c>
      <c r="T97">
        <f t="shared" ref="T97" si="464">S97/1000</f>
        <v>-23.283575089915256</v>
      </c>
    </row>
    <row r="98" spans="1:20" x14ac:dyDescent="0.25">
      <c r="A98" s="5">
        <v>44495</v>
      </c>
      <c r="B98">
        <v>0.8085</v>
      </c>
      <c r="C98">
        <v>0.88680000000000003</v>
      </c>
      <c r="D98">
        <v>0.79249999999999998</v>
      </c>
      <c r="E98">
        <v>0.80359999999999998</v>
      </c>
      <c r="F98">
        <v>52330314</v>
      </c>
      <c r="G98">
        <v>0.80359999999999998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-0.76458112407211043</v>
      </c>
      <c r="Q98">
        <f t="shared" ref="Q98" si="466">F98*P98</f>
        <v>-40010770.301166497</v>
      </c>
      <c r="R98">
        <f t="shared" ref="R98" si="467">R99+Q98</f>
        <v>-2304935979.2640967</v>
      </c>
      <c r="S98">
        <f t="shared" ref="S98" si="468">R98/100000</f>
        <v>-23049.359792640967</v>
      </c>
      <c r="T98">
        <f t="shared" ref="T98" si="469">S98/1000</f>
        <v>-23.049359792640967</v>
      </c>
    </row>
    <row r="99" spans="1:20" x14ac:dyDescent="0.25">
      <c r="A99" s="5">
        <v>44494</v>
      </c>
      <c r="B99">
        <v>0.72460000000000002</v>
      </c>
      <c r="C99">
        <v>0.98899999999999999</v>
      </c>
      <c r="D99">
        <v>0.72389999999999999</v>
      </c>
      <c r="E99">
        <v>0.8085</v>
      </c>
      <c r="F99">
        <v>113140925</v>
      </c>
      <c r="G99">
        <v>0.8085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-0.36175028291210859</v>
      </c>
      <c r="Q99">
        <f t="shared" ref="Q99" si="471">F99*P99</f>
        <v>-40928761.627687663</v>
      </c>
      <c r="R99">
        <f t="shared" ref="R99" si="472">R100+Q99</f>
        <v>-2264925208.9629302</v>
      </c>
      <c r="S99">
        <f t="shared" ref="S99" si="473">R99/100000</f>
        <v>-22649.252089629303</v>
      </c>
      <c r="T99">
        <f t="shared" ref="T99" si="474">S99/1000</f>
        <v>-22.649252089629304</v>
      </c>
    </row>
    <row r="100" spans="1:20" x14ac:dyDescent="0.25">
      <c r="A100" s="5">
        <v>44493</v>
      </c>
      <c r="B100">
        <v>0.76490000000000002</v>
      </c>
      <c r="C100">
        <v>0.76870000000000005</v>
      </c>
      <c r="D100">
        <v>0.71330000000000005</v>
      </c>
      <c r="E100">
        <v>0.7248</v>
      </c>
      <c r="F100">
        <v>16046236</v>
      </c>
      <c r="G100">
        <v>0.7248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-0.58483754512635544</v>
      </c>
      <c r="Q100">
        <f t="shared" ref="Q100" si="476">F100*P100</f>
        <v>-9384441.2707581501</v>
      </c>
      <c r="R100">
        <f t="shared" ref="R100" si="477">R101+Q100</f>
        <v>-2223996447.3352427</v>
      </c>
      <c r="S100">
        <f t="shared" ref="S100" si="478">R100/100000</f>
        <v>-22239.964473352429</v>
      </c>
      <c r="T100">
        <f t="shared" ref="T100" si="479">S100/1000</f>
        <v>-22.23996447335243</v>
      </c>
    </row>
    <row r="101" spans="1:20" x14ac:dyDescent="0.25">
      <c r="A101" s="5">
        <v>44492</v>
      </c>
      <c r="B101">
        <v>0.8</v>
      </c>
      <c r="C101">
        <v>0.8044</v>
      </c>
      <c r="D101">
        <v>0.75970000000000004</v>
      </c>
      <c r="E101">
        <v>0.76490000000000002</v>
      </c>
      <c r="F101">
        <v>10787623</v>
      </c>
      <c r="G101">
        <v>0.76490000000000002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-0.76733780760626458</v>
      </c>
      <c r="Q101">
        <f t="shared" ref="Q101" si="481">F101*P101</f>
        <v>-8277750.9821029147</v>
      </c>
      <c r="R101">
        <f t="shared" ref="R101" si="482">R102+Q101</f>
        <v>-2214612006.0644846</v>
      </c>
      <c r="S101">
        <f t="shared" ref="S101" si="483">R101/100000</f>
        <v>-22146.120060644847</v>
      </c>
      <c r="T101">
        <f t="shared" ref="T101" si="484">S101/1000</f>
        <v>-22.146120060644847</v>
      </c>
    </row>
    <row r="102" spans="1:20" x14ac:dyDescent="0.25">
      <c r="A102" s="5">
        <v>44491</v>
      </c>
      <c r="B102">
        <v>0.81779999999999997</v>
      </c>
      <c r="C102">
        <v>0.85</v>
      </c>
      <c r="D102">
        <v>0.79300000000000004</v>
      </c>
      <c r="E102">
        <v>0.8004</v>
      </c>
      <c r="F102">
        <v>15338388</v>
      </c>
      <c r="G102">
        <v>0.8004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-0.74035087719298354</v>
      </c>
      <c r="Q102">
        <f t="shared" ref="Q102" si="486">F102*P102</f>
        <v>-11355789.010526333</v>
      </c>
      <c r="R102">
        <f t="shared" ref="R102" si="487">R103+Q102</f>
        <v>-2206334255.0823817</v>
      </c>
      <c r="S102">
        <f t="shared" ref="S102" si="488">R102/100000</f>
        <v>-22063.342550823818</v>
      </c>
      <c r="T102">
        <f t="shared" ref="T102" si="489">S102/1000</f>
        <v>-22.063342550823819</v>
      </c>
    </row>
    <row r="103" spans="1:20" x14ac:dyDescent="0.25">
      <c r="A103" s="5">
        <v>44490</v>
      </c>
      <c r="B103">
        <v>0.87580000000000002</v>
      </c>
      <c r="C103">
        <v>0.87990000000000002</v>
      </c>
      <c r="D103">
        <v>0.79010000000000002</v>
      </c>
      <c r="E103">
        <v>0.81820000000000004</v>
      </c>
      <c r="F103">
        <v>39468323</v>
      </c>
      <c r="G103">
        <v>0.81820000000000004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-0.37416481069042279</v>
      </c>
      <c r="Q103">
        <f t="shared" ref="Q103" si="491">F103*P103</f>
        <v>-14767657.60356346</v>
      </c>
      <c r="R103">
        <f t="shared" ref="R103" si="492">R104+Q103</f>
        <v>-2194978466.0718555</v>
      </c>
      <c r="S103">
        <f t="shared" ref="S103" si="493">R103/100000</f>
        <v>-21949.784660718557</v>
      </c>
      <c r="T103">
        <f t="shared" ref="T103" si="494">S103/1000</f>
        <v>-21.949784660718556</v>
      </c>
    </row>
    <row r="104" spans="1:20" x14ac:dyDescent="0.25">
      <c r="A104" s="5">
        <v>44489</v>
      </c>
      <c r="B104">
        <v>0.74790000000000001</v>
      </c>
      <c r="C104">
        <v>1.0646</v>
      </c>
      <c r="D104">
        <v>0.74580000000000002</v>
      </c>
      <c r="E104">
        <v>0.87570000000000003</v>
      </c>
      <c r="F104">
        <v>149623085.30000001</v>
      </c>
      <c r="G104">
        <v>0.87570000000000003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-0.18506900878293583</v>
      </c>
      <c r="Q104">
        <f t="shared" ref="Q104" si="496">F104*P104</f>
        <v>-27690596.08751566</v>
      </c>
      <c r="R104">
        <f t="shared" ref="R104" si="497">R105+Q104</f>
        <v>-2180210808.4682922</v>
      </c>
      <c r="S104">
        <f t="shared" ref="S104" si="498">R104/100000</f>
        <v>-21802.108084682921</v>
      </c>
      <c r="T104">
        <f t="shared" ref="T104" si="499">S104/1000</f>
        <v>-21.802108084682921</v>
      </c>
    </row>
    <row r="105" spans="1:20" x14ac:dyDescent="0.25">
      <c r="A105" s="5">
        <v>44488</v>
      </c>
      <c r="B105">
        <v>0.72770000000000001</v>
      </c>
      <c r="C105">
        <v>0.75609999999999999</v>
      </c>
      <c r="D105">
        <v>0.70540000000000003</v>
      </c>
      <c r="E105">
        <v>0.74829999999999997</v>
      </c>
      <c r="F105">
        <v>14421663</v>
      </c>
      <c r="G105">
        <v>0.74829999999999997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0.69230769230769096</v>
      </c>
      <c r="Q105">
        <f t="shared" ref="Q105" si="501">F105*P105</f>
        <v>9984228.2307692114</v>
      </c>
      <c r="R105">
        <f t="shared" ref="R105" si="502">R106+Q105</f>
        <v>-2152520212.3807764</v>
      </c>
      <c r="S105">
        <f t="shared" ref="S105" si="503">R105/100000</f>
        <v>-21525.202123807765</v>
      </c>
      <c r="T105">
        <f t="shared" ref="T105" si="504">S105/1000</f>
        <v>-21.525202123807766</v>
      </c>
    </row>
    <row r="106" spans="1:20" x14ac:dyDescent="0.25">
      <c r="A106" s="5">
        <v>44487</v>
      </c>
      <c r="B106">
        <v>0.69930000000000003</v>
      </c>
      <c r="C106">
        <v>0.77500000000000002</v>
      </c>
      <c r="D106">
        <v>0.69850000000000001</v>
      </c>
      <c r="E106">
        <v>0.72760000000000002</v>
      </c>
      <c r="F106">
        <v>24266950</v>
      </c>
      <c r="G106">
        <v>0.72760000000000002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-0.23921568627450954</v>
      </c>
      <c r="Q106">
        <f t="shared" ref="Q106" si="506">F106*P106</f>
        <v>-5805035.0980392089</v>
      </c>
      <c r="R106">
        <f t="shared" ref="R106" si="507">R107+Q106</f>
        <v>-2162504440.6115456</v>
      </c>
      <c r="S106">
        <f t="shared" ref="S106" si="508">R106/100000</f>
        <v>-21625.044406115456</v>
      </c>
      <c r="T106">
        <f t="shared" ref="T106" si="509">S106/1000</f>
        <v>-21.625044406115457</v>
      </c>
    </row>
    <row r="107" spans="1:20" x14ac:dyDescent="0.25">
      <c r="A107" s="5">
        <v>44486</v>
      </c>
      <c r="B107">
        <v>0.68979999999999997</v>
      </c>
      <c r="C107">
        <v>0.79700000000000004</v>
      </c>
      <c r="D107">
        <v>0.68200000000000005</v>
      </c>
      <c r="E107">
        <v>0.6986</v>
      </c>
      <c r="F107">
        <v>34185001</v>
      </c>
      <c r="G107">
        <v>0.6986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-0.71130434782608787</v>
      </c>
      <c r="Q107">
        <f t="shared" ref="Q107" si="511">F107*P107</f>
        <v>-24315939.841739163</v>
      </c>
      <c r="R107">
        <f t="shared" ref="R107" si="512">R108+Q107</f>
        <v>-2156699405.5135064</v>
      </c>
      <c r="S107">
        <f t="shared" ref="S107" si="513">R107/100000</f>
        <v>-21566.994055135063</v>
      </c>
      <c r="T107">
        <f t="shared" ref="T107" si="514">S107/1000</f>
        <v>-21.566994055135062</v>
      </c>
    </row>
    <row r="108" spans="1:20" x14ac:dyDescent="0.25">
      <c r="A108" s="5">
        <v>44485</v>
      </c>
      <c r="B108">
        <v>0.67149999999999999</v>
      </c>
      <c r="C108">
        <v>0.72</v>
      </c>
      <c r="D108">
        <v>0.6603</v>
      </c>
      <c r="E108">
        <v>0.68979999999999997</v>
      </c>
      <c r="F108">
        <v>15177130</v>
      </c>
      <c r="G108">
        <v>0.68979999999999997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-1.1725293132328882E-2</v>
      </c>
      <c r="Q108">
        <f t="shared" ref="Q108" si="516">F108*P108</f>
        <v>-177956.29815746265</v>
      </c>
      <c r="R108">
        <f t="shared" ref="R108" si="517">R109+Q108</f>
        <v>-2132383465.6717675</v>
      </c>
      <c r="S108">
        <f t="shared" ref="S108" si="518">R108/100000</f>
        <v>-21323.834656717674</v>
      </c>
      <c r="T108">
        <f t="shared" ref="T108" si="519">S108/1000</f>
        <v>-21.323834656717676</v>
      </c>
    </row>
    <row r="109" spans="1:20" x14ac:dyDescent="0.25">
      <c r="A109" s="5">
        <v>44484</v>
      </c>
      <c r="B109">
        <v>0.67469999999999997</v>
      </c>
      <c r="C109">
        <v>0.7571</v>
      </c>
      <c r="D109">
        <v>0.63349999999999995</v>
      </c>
      <c r="E109">
        <v>0.67049999999999998</v>
      </c>
      <c r="F109">
        <v>34664554</v>
      </c>
      <c r="G109">
        <v>0.67049999999999998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-0.4012944983818767</v>
      </c>
      <c r="Q109">
        <f t="shared" ref="Q109" si="521">F109*P109</f>
        <v>-13910694.809061477</v>
      </c>
      <c r="R109">
        <f t="shared" ref="R109" si="522">R110+Q109</f>
        <v>-2132205509.37361</v>
      </c>
      <c r="S109">
        <f t="shared" ref="S109" si="523">R109/100000</f>
        <v>-21322.0550937361</v>
      </c>
      <c r="T109">
        <f t="shared" ref="T109" si="524">S109/1000</f>
        <v>-21.3220550937361</v>
      </c>
    </row>
    <row r="110" spans="1:20" x14ac:dyDescent="0.25">
      <c r="A110" s="5">
        <v>44483</v>
      </c>
      <c r="B110">
        <v>0.62229999999999996</v>
      </c>
      <c r="C110">
        <v>0.69989999999999997</v>
      </c>
      <c r="D110">
        <v>0.61529999999999996</v>
      </c>
      <c r="E110">
        <v>0.67490000000000006</v>
      </c>
      <c r="F110">
        <v>20765702</v>
      </c>
      <c r="G110">
        <v>0.67490000000000006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0.40898345153664517</v>
      </c>
      <c r="Q110">
        <f t="shared" ref="Q110" si="526">F110*P110</f>
        <v>8492828.477541415</v>
      </c>
      <c r="R110">
        <f t="shared" ref="R110" si="527">R111+Q110</f>
        <v>-2118294814.5645485</v>
      </c>
      <c r="S110">
        <f t="shared" ref="S110" si="528">R110/100000</f>
        <v>-21182.948145645485</v>
      </c>
      <c r="T110">
        <f t="shared" ref="T110" si="529">S110/1000</f>
        <v>-21.182948145645486</v>
      </c>
    </row>
    <row r="111" spans="1:20" x14ac:dyDescent="0.25">
      <c r="A111" s="5">
        <v>44482</v>
      </c>
      <c r="B111">
        <v>0.60329999999999995</v>
      </c>
      <c r="C111">
        <v>0.6472</v>
      </c>
      <c r="D111">
        <v>0.58130000000000004</v>
      </c>
      <c r="E111">
        <v>0.62260000000000004</v>
      </c>
      <c r="F111">
        <v>11995086</v>
      </c>
      <c r="G111">
        <v>0.62260000000000004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0.2534142640364197</v>
      </c>
      <c r="Q111">
        <f t="shared" ref="Q111" si="531">F111*P111</f>
        <v>3039725.8907435616</v>
      </c>
      <c r="R111">
        <f t="shared" ref="R111" si="532">R112+Q111</f>
        <v>-2126787643.0420899</v>
      </c>
      <c r="S111">
        <f t="shared" ref="S111" si="533">R111/100000</f>
        <v>-21267.8764304209</v>
      </c>
      <c r="T111">
        <f t="shared" ref="T111" si="534">S111/1000</f>
        <v>-21.267876430420898</v>
      </c>
    </row>
    <row r="112" spans="1:20" x14ac:dyDescent="0.25">
      <c r="A112" s="5">
        <v>44481</v>
      </c>
      <c r="B112">
        <v>0.61009999999999998</v>
      </c>
      <c r="C112">
        <v>0.61040000000000005</v>
      </c>
      <c r="D112">
        <v>0.57620000000000005</v>
      </c>
      <c r="E112">
        <v>0.60350000000000004</v>
      </c>
      <c r="F112">
        <v>6586997</v>
      </c>
      <c r="G112">
        <v>0.60350000000000004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0.59649122807017452</v>
      </c>
      <c r="Q112">
        <f t="shared" ref="Q112" si="536">F112*P112</f>
        <v>3929085.9298245553</v>
      </c>
      <c r="R112">
        <f t="shared" ref="R112" si="537">R113+Q112</f>
        <v>-2129827368.9328334</v>
      </c>
      <c r="S112">
        <f t="shared" ref="S112" si="538">R112/100000</f>
        <v>-21298.273689328333</v>
      </c>
      <c r="T112">
        <f t="shared" ref="T112" si="539">S112/1000</f>
        <v>-21.298273689328333</v>
      </c>
    </row>
    <row r="113" spans="1:20" x14ac:dyDescent="0.25">
      <c r="A113" s="5">
        <v>44480</v>
      </c>
      <c r="B113">
        <v>0.60970000000000002</v>
      </c>
      <c r="C113">
        <v>0.64280000000000004</v>
      </c>
      <c r="D113">
        <v>0.60519999999999996</v>
      </c>
      <c r="E113">
        <v>0.61040000000000005</v>
      </c>
      <c r="F113">
        <v>7162411</v>
      </c>
      <c r="G113">
        <v>0.61040000000000005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-0.72340425531914454</v>
      </c>
      <c r="Q113">
        <f t="shared" ref="Q113" si="541">F113*P113</f>
        <v>-5181318.5957446489</v>
      </c>
      <c r="R113">
        <f t="shared" ref="R113" si="542">R114+Q113</f>
        <v>-2133756454.862658</v>
      </c>
      <c r="S113">
        <f t="shared" ref="S113" si="543">R113/100000</f>
        <v>-21337.564548626578</v>
      </c>
      <c r="T113">
        <f t="shared" ref="T113" si="544">S113/1000</f>
        <v>-21.337564548626577</v>
      </c>
    </row>
    <row r="114" spans="1:20" x14ac:dyDescent="0.25">
      <c r="A114" s="5">
        <v>44479</v>
      </c>
      <c r="B114">
        <v>0.62370000000000003</v>
      </c>
      <c r="C114">
        <v>0.65</v>
      </c>
      <c r="D114">
        <v>0.60599999999999998</v>
      </c>
      <c r="E114">
        <v>0.60940000000000005</v>
      </c>
      <c r="F114">
        <v>9887290</v>
      </c>
      <c r="G114">
        <v>0.60940000000000005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-0.84545454545454246</v>
      </c>
      <c r="Q114">
        <f t="shared" ref="Q114" si="546">F114*P114</f>
        <v>-8359254.2727272427</v>
      </c>
      <c r="R114">
        <f t="shared" ref="R114" si="547">R115+Q114</f>
        <v>-2128575136.2669134</v>
      </c>
      <c r="S114">
        <f t="shared" ref="S114" si="548">R114/100000</f>
        <v>-21285.751362669133</v>
      </c>
      <c r="T114">
        <f t="shared" ref="T114" si="549">S114/1000</f>
        <v>-21.285751362669131</v>
      </c>
    </row>
    <row r="115" spans="1:20" x14ac:dyDescent="0.25">
      <c r="A115" s="5">
        <v>44478</v>
      </c>
      <c r="B115">
        <v>0.61629999999999996</v>
      </c>
      <c r="C115">
        <v>0.72</v>
      </c>
      <c r="D115">
        <v>0.61119999999999997</v>
      </c>
      <c r="E115">
        <v>0.62239999999999995</v>
      </c>
      <c r="F115">
        <v>19168409</v>
      </c>
      <c r="G115">
        <v>0.62239999999999995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-0.79411764705882382</v>
      </c>
      <c r="Q115">
        <f t="shared" ref="Q115" si="551">F115*P115</f>
        <v>-15221971.852941182</v>
      </c>
      <c r="R115">
        <f t="shared" ref="R115" si="552">R116+Q115</f>
        <v>-2120215881.9941862</v>
      </c>
      <c r="S115">
        <f t="shared" ref="S115" si="553">R115/100000</f>
        <v>-21202.158819941862</v>
      </c>
      <c r="T115">
        <f t="shared" ref="T115" si="554">S115/1000</f>
        <v>-21.202158819941861</v>
      </c>
    </row>
    <row r="116" spans="1:20" x14ac:dyDescent="0.25">
      <c r="A116" s="5">
        <v>44477</v>
      </c>
      <c r="B116">
        <v>0.63180000000000003</v>
      </c>
      <c r="C116">
        <v>0.63880000000000003</v>
      </c>
      <c r="D116">
        <v>0.6089</v>
      </c>
      <c r="E116">
        <v>0.61560000000000004</v>
      </c>
      <c r="F116">
        <v>10946682</v>
      </c>
      <c r="G116">
        <v>0.61560000000000004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-0.55183946488294111</v>
      </c>
      <c r="Q116">
        <f t="shared" ref="Q116" si="556">F116*P116</f>
        <v>-6040811.1371237235</v>
      </c>
      <c r="R116">
        <f t="shared" ref="R116" si="557">R117+Q116</f>
        <v>-2104993910.1412449</v>
      </c>
      <c r="S116">
        <f t="shared" ref="S116" si="558">R116/100000</f>
        <v>-21049.939101412449</v>
      </c>
      <c r="T116">
        <f t="shared" ref="T116" si="559">S116/1000</f>
        <v>-21.049939101412448</v>
      </c>
    </row>
    <row r="117" spans="1:20" x14ac:dyDescent="0.25">
      <c r="A117" s="5">
        <v>44476</v>
      </c>
      <c r="B117">
        <v>0.64990000000000003</v>
      </c>
      <c r="C117">
        <v>0.66339999999999999</v>
      </c>
      <c r="D117">
        <v>0.62160000000000004</v>
      </c>
      <c r="E117">
        <v>0.63229999999999997</v>
      </c>
      <c r="F117">
        <v>15091898</v>
      </c>
      <c r="G117">
        <v>0.63229999999999997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-0.48803827751196438</v>
      </c>
      <c r="Q117">
        <f t="shared" ref="Q117" si="561">F117*P117</f>
        <v>-7365423.9043062599</v>
      </c>
      <c r="R117">
        <f t="shared" ref="R117" si="562">R118+Q117</f>
        <v>-2098953099.0041211</v>
      </c>
      <c r="S117">
        <f t="shared" ref="S117" si="563">R117/100000</f>
        <v>-20989.53099004121</v>
      </c>
      <c r="T117">
        <f t="shared" ref="T117" si="564">S117/1000</f>
        <v>-20.98953099004121</v>
      </c>
    </row>
    <row r="118" spans="1:20" x14ac:dyDescent="0.25">
      <c r="A118" s="5">
        <v>44475</v>
      </c>
      <c r="B118">
        <v>0.66269999999999996</v>
      </c>
      <c r="C118">
        <v>0.71850000000000003</v>
      </c>
      <c r="D118">
        <v>0.60429999999999995</v>
      </c>
      <c r="E118">
        <v>0.64929999999999999</v>
      </c>
      <c r="F118">
        <v>20951896</v>
      </c>
      <c r="G118">
        <v>0.64929999999999999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-0.21190893169877392</v>
      </c>
      <c r="Q118">
        <f t="shared" ref="Q118" si="566">F118*P118</f>
        <v>-4439893.8984238142</v>
      </c>
      <c r="R118">
        <f t="shared" ref="R118" si="567">R119+Q118</f>
        <v>-2091587675.0998149</v>
      </c>
      <c r="S118">
        <f t="shared" ref="S118" si="568">R118/100000</f>
        <v>-20915.876750998148</v>
      </c>
      <c r="T118">
        <f t="shared" ref="T118" si="569">S118/1000</f>
        <v>-20.915876750998148</v>
      </c>
    </row>
    <row r="119" spans="1:20" x14ac:dyDescent="0.25">
      <c r="A119" s="5">
        <v>44474</v>
      </c>
      <c r="B119">
        <v>0.68010000000000004</v>
      </c>
      <c r="C119">
        <v>0.68969999999999998</v>
      </c>
      <c r="D119">
        <v>0.65010000000000001</v>
      </c>
      <c r="E119">
        <v>0.6623</v>
      </c>
      <c r="F119">
        <v>10642389</v>
      </c>
      <c r="G119">
        <v>0.6623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-0.38383838383838392</v>
      </c>
      <c r="Q119">
        <f t="shared" ref="Q119" si="571">F119*P119</f>
        <v>-4084957.393939395</v>
      </c>
      <c r="R119">
        <f t="shared" ref="R119" si="572">R120+Q119</f>
        <v>-2087147781.201391</v>
      </c>
      <c r="S119">
        <f t="shared" ref="S119" si="573">R119/100000</f>
        <v>-20871.477812013909</v>
      </c>
      <c r="T119">
        <f t="shared" ref="T119" si="574">S119/1000</f>
        <v>-20.871477812013907</v>
      </c>
    </row>
    <row r="120" spans="1:20" x14ac:dyDescent="0.25">
      <c r="A120" s="5">
        <v>44473</v>
      </c>
      <c r="B120">
        <v>0.71040000000000003</v>
      </c>
      <c r="C120">
        <v>0.71079999999999999</v>
      </c>
      <c r="D120">
        <v>0.65549999999999997</v>
      </c>
      <c r="E120">
        <v>0.67459999999999998</v>
      </c>
      <c r="F120">
        <v>15374641</v>
      </c>
      <c r="G120">
        <v>0.67459999999999998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-0.30922242314647375</v>
      </c>
      <c r="Q120">
        <f t="shared" ref="Q120" si="576">F120*P120</f>
        <v>-4754183.745027124</v>
      </c>
      <c r="R120">
        <f t="shared" ref="R120" si="577">R121+Q120</f>
        <v>-2083062823.8074515</v>
      </c>
      <c r="S120">
        <f t="shared" ref="S120" si="578">R120/100000</f>
        <v>-20830.628238074514</v>
      </c>
      <c r="T120">
        <f t="shared" ref="T120" si="579">S120/1000</f>
        <v>-20.830628238074514</v>
      </c>
    </row>
    <row r="121" spans="1:20" x14ac:dyDescent="0.25">
      <c r="A121" s="5">
        <v>44472</v>
      </c>
      <c r="B121">
        <v>0.65190000000000003</v>
      </c>
      <c r="C121">
        <v>0.78739999999999999</v>
      </c>
      <c r="D121">
        <v>0.63970000000000005</v>
      </c>
      <c r="E121">
        <v>0.70079999999999998</v>
      </c>
      <c r="F121">
        <v>35186443</v>
      </c>
      <c r="G121">
        <v>0.70079999999999998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-0.17264725795531544</v>
      </c>
      <c r="Q121">
        <f t="shared" ref="Q121" si="581">F121*P121</f>
        <v>-6074842.9011510033</v>
      </c>
      <c r="R121">
        <f t="shared" ref="R121" si="582">R122+Q121</f>
        <v>-2078308640.0624244</v>
      </c>
      <c r="S121">
        <f t="shared" ref="S121" si="583">R121/100000</f>
        <v>-20783.086400624245</v>
      </c>
      <c r="T121">
        <f t="shared" ref="T121" si="584">S121/1000</f>
        <v>-20.783086400624246</v>
      </c>
    </row>
    <row r="122" spans="1:20" x14ac:dyDescent="0.25">
      <c r="A122" s="5">
        <v>44471</v>
      </c>
      <c r="B122">
        <v>0.63029999999999997</v>
      </c>
      <c r="C122">
        <v>0.67989999999999995</v>
      </c>
      <c r="D122">
        <v>0.60919999999999996</v>
      </c>
      <c r="E122">
        <v>0.65269999999999995</v>
      </c>
      <c r="F122">
        <v>13851554</v>
      </c>
      <c r="G122">
        <v>0.65269999999999995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0.23055162659123032</v>
      </c>
      <c r="Q122">
        <f t="shared" ref="Q122" si="586">F122*P122</f>
        <v>3193498.3055162625</v>
      </c>
      <c r="R122">
        <f t="shared" ref="R122" si="587">R123+Q122</f>
        <v>-2072233797.1612735</v>
      </c>
      <c r="S122">
        <f t="shared" ref="S122" si="588">R122/100000</f>
        <v>-20722.337971612735</v>
      </c>
      <c r="T122">
        <f t="shared" ref="T122" si="589">S122/1000</f>
        <v>-20.722337971612735</v>
      </c>
    </row>
    <row r="123" spans="1:20" x14ac:dyDescent="0.25">
      <c r="A123" s="5">
        <v>44470</v>
      </c>
      <c r="B123">
        <v>0.58420000000000005</v>
      </c>
      <c r="C123">
        <v>0.64080000000000004</v>
      </c>
      <c r="D123">
        <v>0.58050000000000002</v>
      </c>
      <c r="E123">
        <v>0.63009999999999999</v>
      </c>
      <c r="F123">
        <v>13472360</v>
      </c>
      <c r="G123">
        <v>0.63009999999999999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0.64510779436152443</v>
      </c>
      <c r="Q123">
        <f t="shared" ref="Q123" si="591">F123*P123</f>
        <v>8691124.4444444273</v>
      </c>
      <c r="R123">
        <f t="shared" ref="R123" si="592">R124+Q123</f>
        <v>-2075427295.4667897</v>
      </c>
      <c r="S123">
        <f t="shared" ref="S123" si="593">R123/100000</f>
        <v>-20754.272954667897</v>
      </c>
      <c r="T123">
        <f t="shared" ref="T123" si="594">S123/1000</f>
        <v>-20.754272954667897</v>
      </c>
    </row>
    <row r="124" spans="1:20" x14ac:dyDescent="0.25">
      <c r="A124" s="5">
        <v>44469</v>
      </c>
      <c r="B124">
        <v>0.55930000000000002</v>
      </c>
      <c r="C124">
        <v>0.58850000000000002</v>
      </c>
      <c r="D124">
        <v>0.55669999999999997</v>
      </c>
      <c r="E124">
        <v>0.58420000000000005</v>
      </c>
      <c r="F124">
        <v>5114336</v>
      </c>
      <c r="G124">
        <v>0.58420000000000005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0.72955974842767524</v>
      </c>
      <c r="Q124">
        <f t="shared" ref="Q124" si="596">F124*P124</f>
        <v>3731213.685534603</v>
      </c>
      <c r="R124">
        <f t="shared" ref="R124" si="597">R125+Q124</f>
        <v>-2084118419.9112341</v>
      </c>
      <c r="S124">
        <f t="shared" ref="S124" si="598">R124/100000</f>
        <v>-20841.18419911234</v>
      </c>
      <c r="T124">
        <f t="shared" ref="T124" si="599">S124/1000</f>
        <v>-20.841184199112341</v>
      </c>
    </row>
    <row r="125" spans="1:20" x14ac:dyDescent="0.25">
      <c r="A125" s="5">
        <v>44468</v>
      </c>
      <c r="B125">
        <v>0.54039999999999999</v>
      </c>
      <c r="C125">
        <v>0.58889999999999998</v>
      </c>
      <c r="D125">
        <v>0.53720000000000001</v>
      </c>
      <c r="E125">
        <v>0.55959999999999999</v>
      </c>
      <c r="F125">
        <v>10557625</v>
      </c>
      <c r="G125">
        <v>0.55959999999999999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-0.13346228239845304</v>
      </c>
      <c r="Q125">
        <f t="shared" ref="Q125" si="601">F125*P125</f>
        <v>-1409044.7292069676</v>
      </c>
      <c r="R125">
        <f t="shared" ref="R125" si="602">R126+Q125</f>
        <v>-2087849633.5967689</v>
      </c>
      <c r="S125">
        <f t="shared" ref="S125" si="603">R125/100000</f>
        <v>-20878.496335967688</v>
      </c>
      <c r="T125">
        <f t="shared" ref="T125" si="604">S125/1000</f>
        <v>-20.878496335967689</v>
      </c>
    </row>
    <row r="126" spans="1:20" x14ac:dyDescent="0.25">
      <c r="A126" s="5">
        <v>44467</v>
      </c>
      <c r="B126">
        <v>0.57089999999999996</v>
      </c>
      <c r="C126">
        <v>0.59809999999999997</v>
      </c>
      <c r="D126">
        <v>0.5383</v>
      </c>
      <c r="E126">
        <v>0.54120000000000001</v>
      </c>
      <c r="F126">
        <v>7286821</v>
      </c>
      <c r="G126">
        <v>0.54120000000000001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-0.90301003344481556</v>
      </c>
      <c r="Q126">
        <f t="shared" ref="Q126" si="606">F126*P126</f>
        <v>-6580072.4749163846</v>
      </c>
      <c r="R126">
        <f t="shared" ref="R126" si="607">R127+Q126</f>
        <v>-2086440588.8675618</v>
      </c>
      <c r="S126">
        <f t="shared" ref="S126" si="608">R126/100000</f>
        <v>-20864.405888675617</v>
      </c>
      <c r="T126">
        <f t="shared" ref="T126" si="609">S126/1000</f>
        <v>-20.864405888675616</v>
      </c>
    </row>
    <row r="127" spans="1:20" x14ac:dyDescent="0.25">
      <c r="A127" s="5">
        <v>44466</v>
      </c>
      <c r="B127">
        <v>0.5706</v>
      </c>
      <c r="C127">
        <v>0.64300000000000002</v>
      </c>
      <c r="D127">
        <v>0.56659999999999999</v>
      </c>
      <c r="E127">
        <v>0.57110000000000005</v>
      </c>
      <c r="F127">
        <v>15401146</v>
      </c>
      <c r="G127">
        <v>0.57110000000000005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-0.88219895287957961</v>
      </c>
      <c r="Q127">
        <f t="shared" ref="Q127" si="611">F127*P127</f>
        <v>-13586874.874345526</v>
      </c>
      <c r="R127">
        <f t="shared" ref="R127" si="612">R128+Q127</f>
        <v>-2079860516.3926454</v>
      </c>
      <c r="S127">
        <f t="shared" ref="S127" si="613">R127/100000</f>
        <v>-20798.605163926455</v>
      </c>
      <c r="T127">
        <f t="shared" ref="T127" si="614">S127/1000</f>
        <v>-20.798605163926457</v>
      </c>
    </row>
    <row r="128" spans="1:20" x14ac:dyDescent="0.25">
      <c r="A128" s="5">
        <v>44465</v>
      </c>
      <c r="B128">
        <v>0.5867</v>
      </c>
      <c r="C128">
        <v>0.5877</v>
      </c>
      <c r="D128">
        <v>0.52600000000000002</v>
      </c>
      <c r="E128">
        <v>0.57079999999999997</v>
      </c>
      <c r="F128">
        <v>9105244</v>
      </c>
      <c r="G128">
        <v>0.57079999999999997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0.45218800648298113</v>
      </c>
      <c r="Q128">
        <f t="shared" ref="Q128" si="616">F128*P128</f>
        <v>4117282.1329011251</v>
      </c>
      <c r="R128">
        <f t="shared" ref="R128" si="617">R129+Q128</f>
        <v>-2066273641.5182998</v>
      </c>
      <c r="S128">
        <f t="shared" ref="S128" si="618">R128/100000</f>
        <v>-20662.736415182997</v>
      </c>
      <c r="T128">
        <f t="shared" ref="T128" si="619">S128/1000</f>
        <v>-20.662736415182998</v>
      </c>
    </row>
    <row r="129" spans="1:20" x14ac:dyDescent="0.25">
      <c r="A129" s="5">
        <v>44464</v>
      </c>
      <c r="B129">
        <v>0.57599999999999996</v>
      </c>
      <c r="C129">
        <v>0.63009999999999999</v>
      </c>
      <c r="D129">
        <v>0.53720000000000001</v>
      </c>
      <c r="E129">
        <v>0.58730000000000004</v>
      </c>
      <c r="F129">
        <v>14949194</v>
      </c>
      <c r="G129">
        <v>0.58730000000000004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7.8579117330463785E-2</v>
      </c>
      <c r="Q129">
        <f t="shared" ref="Q129" si="621">F129*P129</f>
        <v>1174694.4693218651</v>
      </c>
      <c r="R129">
        <f t="shared" ref="R129" si="622">R130+Q129</f>
        <v>-2070390923.651201</v>
      </c>
      <c r="S129">
        <f t="shared" ref="S129" si="623">R129/100000</f>
        <v>-20703.909236512009</v>
      </c>
      <c r="T129">
        <f t="shared" ref="T129" si="624">S129/1000</f>
        <v>-20.703909236512008</v>
      </c>
    </row>
    <row r="130" spans="1:20" x14ac:dyDescent="0.25">
      <c r="A130" s="5">
        <v>44463</v>
      </c>
      <c r="B130">
        <v>0.63600000000000001</v>
      </c>
      <c r="C130">
        <v>0.64759999999999995</v>
      </c>
      <c r="D130">
        <v>0.5222</v>
      </c>
      <c r="E130">
        <v>0.57620000000000005</v>
      </c>
      <c r="F130">
        <v>16396764</v>
      </c>
      <c r="G130">
        <v>0.57620000000000005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-0.13875598086124294</v>
      </c>
      <c r="Q130">
        <f t="shared" ref="Q130" si="626">F130*P130</f>
        <v>-2275149.0717703174</v>
      </c>
      <c r="R130">
        <f t="shared" ref="R130" si="627">R131+Q130</f>
        <v>-2071565618.120523</v>
      </c>
      <c r="S130">
        <f t="shared" ref="S130" si="628">R130/100000</f>
        <v>-20715.656181205231</v>
      </c>
      <c r="T130">
        <f t="shared" ref="T130" si="629">S130/1000</f>
        <v>-20.715656181205233</v>
      </c>
    </row>
    <row r="131" spans="1:20" x14ac:dyDescent="0.25">
      <c r="A131" s="5">
        <v>44462</v>
      </c>
      <c r="B131">
        <v>0.6089</v>
      </c>
      <c r="C131">
        <v>0.6623</v>
      </c>
      <c r="D131">
        <v>0.59560000000000002</v>
      </c>
      <c r="E131">
        <v>0.63600000000000001</v>
      </c>
      <c r="F131">
        <v>21789655</v>
      </c>
      <c r="G131">
        <v>0.63600000000000001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0.2113943028485758</v>
      </c>
      <c r="Q131">
        <f t="shared" ref="Q131" si="631">F131*P131</f>
        <v>4606208.9280359838</v>
      </c>
      <c r="R131">
        <f t="shared" ref="R131" si="632">R132+Q131</f>
        <v>-2069290469.0487525</v>
      </c>
      <c r="S131">
        <f t="shared" ref="S131" si="633">R131/100000</f>
        <v>-20692.904690487525</v>
      </c>
      <c r="T131">
        <f t="shared" ref="T131" si="634">S131/1000</f>
        <v>-20.692904690487524</v>
      </c>
    </row>
    <row r="132" spans="1:20" x14ac:dyDescent="0.25">
      <c r="A132" s="5">
        <v>44461</v>
      </c>
      <c r="B132">
        <v>0.501</v>
      </c>
      <c r="C132">
        <v>0.62639999999999996</v>
      </c>
      <c r="D132">
        <v>0.49419999999999997</v>
      </c>
      <c r="E132">
        <v>0.60899999999999999</v>
      </c>
      <c r="F132">
        <v>21225986</v>
      </c>
      <c r="G132">
        <v>0.60899999999999999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0.73676248108925912</v>
      </c>
      <c r="Q132">
        <f t="shared" ref="Q132" si="636">F132*P132</f>
        <v>15638510.108925879</v>
      </c>
      <c r="R132">
        <f t="shared" ref="R132" si="637">R133+Q132</f>
        <v>-2073896677.9767885</v>
      </c>
      <c r="S132">
        <f t="shared" ref="S132" si="638">R132/100000</f>
        <v>-20738.966779767885</v>
      </c>
      <c r="T132">
        <f t="shared" ref="T132" si="639">S132/1000</f>
        <v>-20.738966779767885</v>
      </c>
    </row>
    <row r="133" spans="1:20" x14ac:dyDescent="0.25">
      <c r="A133" s="5">
        <v>44460</v>
      </c>
      <c r="B133">
        <v>0.55369999999999997</v>
      </c>
      <c r="C133">
        <v>0.58489999999999998</v>
      </c>
      <c r="D133">
        <v>0.49149999999999999</v>
      </c>
      <c r="E133">
        <v>0.49959999999999999</v>
      </c>
      <c r="F133">
        <v>14011316.199999999</v>
      </c>
      <c r="G133">
        <v>0.49959999999999999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-0.82655246252676662</v>
      </c>
      <c r="Q133">
        <f t="shared" ref="Q133" si="641">F133*P133</f>
        <v>-11581087.908351177</v>
      </c>
      <c r="R133">
        <f t="shared" ref="R133" si="642">R134+Q133</f>
        <v>-2089535188.0857143</v>
      </c>
      <c r="S133">
        <f t="shared" ref="S133" si="643">R133/100000</f>
        <v>-20895.351880857143</v>
      </c>
      <c r="T133">
        <f t="shared" ref="T133" si="644">S133/1000</f>
        <v>-20.895351880857142</v>
      </c>
    </row>
    <row r="134" spans="1:20" x14ac:dyDescent="0.25">
      <c r="A134" s="5">
        <v>44459</v>
      </c>
      <c r="B134">
        <v>0.65029999999999999</v>
      </c>
      <c r="C134">
        <v>0.6512</v>
      </c>
      <c r="D134">
        <v>0.57799999999999996</v>
      </c>
      <c r="E134">
        <v>0.59109999999999996</v>
      </c>
      <c r="F134">
        <v>8183185.7000000002</v>
      </c>
      <c r="G134">
        <v>0.59109999999999996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-0.64207650273224059</v>
      </c>
      <c r="Q134">
        <f t="shared" ref="Q134" si="646">F134*P134</f>
        <v>-5254231.2554644821</v>
      </c>
      <c r="R134">
        <f t="shared" ref="R134" si="647">R135+Q134</f>
        <v>-2077954100.1773632</v>
      </c>
      <c r="S134">
        <f t="shared" ref="S134" si="648">R134/100000</f>
        <v>-20779.541001773632</v>
      </c>
      <c r="T134">
        <f t="shared" ref="T134" si="649">S134/1000</f>
        <v>-20.779541001773634</v>
      </c>
    </row>
    <row r="135" spans="1:20" x14ac:dyDescent="0.25">
      <c r="A135" s="5">
        <v>44458</v>
      </c>
      <c r="B135">
        <v>0.66590000000000005</v>
      </c>
      <c r="C135">
        <v>0.71599999999999997</v>
      </c>
      <c r="D135">
        <v>0.6371</v>
      </c>
      <c r="E135">
        <v>0.65010000000000001</v>
      </c>
      <c r="F135">
        <v>15565895</v>
      </c>
      <c r="G135">
        <v>0.65010000000000001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-0.67046894803548751</v>
      </c>
      <c r="Q135">
        <f t="shared" ref="Q135" si="651">F135*P135</f>
        <v>-10436449.245880855</v>
      </c>
      <c r="R135">
        <f t="shared" ref="R135" si="652">R136+Q135</f>
        <v>-2072699868.9218986</v>
      </c>
      <c r="S135">
        <f t="shared" ref="S135" si="653">R135/100000</f>
        <v>-20726.998689218985</v>
      </c>
      <c r="T135">
        <f t="shared" ref="T135" si="654">S135/1000</f>
        <v>-20.726998689218984</v>
      </c>
    </row>
    <row r="136" spans="1:20" x14ac:dyDescent="0.25">
      <c r="A136" s="5">
        <v>44457</v>
      </c>
      <c r="B136">
        <v>0.63260000000000005</v>
      </c>
      <c r="C136">
        <v>0.72109999999999996</v>
      </c>
      <c r="D136">
        <v>0.62690000000000001</v>
      </c>
      <c r="E136">
        <v>0.66620000000000001</v>
      </c>
      <c r="F136">
        <v>11956792</v>
      </c>
      <c r="G136">
        <v>0.66620000000000001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-0.16560509554140079</v>
      </c>
      <c r="Q136">
        <f t="shared" ref="Q136" si="656">F136*P136</f>
        <v>-1980105.6815286567</v>
      </c>
      <c r="R136">
        <f t="shared" ref="R136" si="657">R137+Q136</f>
        <v>-2062263419.6760178</v>
      </c>
      <c r="S136">
        <f t="shared" ref="S136" si="658">R136/100000</f>
        <v>-20622.634196760177</v>
      </c>
      <c r="T136">
        <f t="shared" ref="T136" si="659">S136/1000</f>
        <v>-20.622634196760178</v>
      </c>
    </row>
    <row r="137" spans="1:20" x14ac:dyDescent="0.25">
      <c r="A137" s="5">
        <v>44456</v>
      </c>
      <c r="B137">
        <v>0.66459999999999997</v>
      </c>
      <c r="C137">
        <v>0.69120000000000004</v>
      </c>
      <c r="D137">
        <v>0.62439999999999996</v>
      </c>
      <c r="E137">
        <v>0.63080000000000003</v>
      </c>
      <c r="F137">
        <v>11275985</v>
      </c>
      <c r="G137">
        <v>0.63080000000000003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-0.80838323353293218</v>
      </c>
      <c r="Q137">
        <f t="shared" ref="Q137" si="661">F137*P137</f>
        <v>-9115317.2155688405</v>
      </c>
      <c r="R137">
        <f t="shared" ref="R137" si="662">R138+Q137</f>
        <v>-2060283313.9944892</v>
      </c>
      <c r="S137">
        <f t="shared" ref="S137" si="663">R137/100000</f>
        <v>-20602.833139944891</v>
      </c>
      <c r="T137">
        <f t="shared" ref="T137" si="664">S137/1000</f>
        <v>-20.602833139944892</v>
      </c>
    </row>
    <row r="138" spans="1:20" x14ac:dyDescent="0.25">
      <c r="A138" s="5">
        <v>44455</v>
      </c>
      <c r="B138">
        <v>0.68899999999999995</v>
      </c>
      <c r="C138">
        <v>0.70579999999999998</v>
      </c>
      <c r="D138">
        <v>0.65300000000000002</v>
      </c>
      <c r="E138">
        <v>0.66459999999999997</v>
      </c>
      <c r="F138">
        <v>10538328</v>
      </c>
      <c r="G138">
        <v>0.66459999999999997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-0.56060606060606244</v>
      </c>
      <c r="Q138">
        <f t="shared" ref="Q138" si="666">F138*P138</f>
        <v>-5907850.5454545645</v>
      </c>
      <c r="R138">
        <f t="shared" ref="R138" si="667">R139+Q138</f>
        <v>-2051167996.7789204</v>
      </c>
      <c r="S138">
        <f t="shared" ref="S138" si="668">R138/100000</f>
        <v>-20511.679967789205</v>
      </c>
      <c r="T138">
        <f t="shared" ref="T138" si="669">S138/1000</f>
        <v>-20.511679967789206</v>
      </c>
    </row>
    <row r="139" spans="1:20" x14ac:dyDescent="0.25">
      <c r="A139" s="5">
        <v>44454</v>
      </c>
      <c r="B139">
        <v>0.64990000000000003</v>
      </c>
      <c r="C139">
        <v>0.76819999999999999</v>
      </c>
      <c r="D139">
        <v>0.64249999999999996</v>
      </c>
      <c r="E139">
        <v>0.68899999999999995</v>
      </c>
      <c r="F139">
        <v>24585394.399999999</v>
      </c>
      <c r="G139">
        <v>0.68899999999999995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-0.26014319809069253</v>
      </c>
      <c r="Q139">
        <f t="shared" ref="Q139" si="671">F139*P139</f>
        <v>-6395723.1255370025</v>
      </c>
      <c r="R139">
        <f t="shared" ref="R139" si="672">R140+Q139</f>
        <v>-2045260146.2334659</v>
      </c>
      <c r="S139">
        <f t="shared" ref="S139" si="673">R139/100000</f>
        <v>-20452.60146233466</v>
      </c>
      <c r="T139">
        <f t="shared" ref="T139" si="674">S139/1000</f>
        <v>-20.452601462334659</v>
      </c>
    </row>
    <row r="140" spans="1:20" x14ac:dyDescent="0.25">
      <c r="A140" s="5">
        <v>44453</v>
      </c>
      <c r="B140">
        <v>0.62029999999999996</v>
      </c>
      <c r="C140">
        <v>0.65690000000000004</v>
      </c>
      <c r="D140">
        <v>0.60929999999999995</v>
      </c>
      <c r="E140">
        <v>0.64990000000000003</v>
      </c>
      <c r="F140">
        <v>9719033</v>
      </c>
      <c r="G140">
        <v>0.64990000000000003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0.70588235294117674</v>
      </c>
      <c r="Q140">
        <f t="shared" ref="Q140" si="676">F140*P140</f>
        <v>6860493.8823529435</v>
      </c>
      <c r="R140">
        <f t="shared" ref="R140" si="677">R141+Q140</f>
        <v>-2038864423.107929</v>
      </c>
      <c r="S140">
        <f t="shared" ref="S140" si="678">R140/100000</f>
        <v>-20388.644231079288</v>
      </c>
      <c r="T140">
        <f t="shared" ref="T140" si="679">S140/1000</f>
        <v>-20.388644231079287</v>
      </c>
    </row>
    <row r="141" spans="1:20" x14ac:dyDescent="0.25">
      <c r="A141" s="5">
        <v>44452</v>
      </c>
      <c r="B141">
        <v>0.67410000000000003</v>
      </c>
      <c r="C141">
        <v>0.68340000000000001</v>
      </c>
      <c r="D141">
        <v>0.59589999999999999</v>
      </c>
      <c r="E141">
        <v>0.62009999999999998</v>
      </c>
      <c r="F141">
        <v>13062077</v>
      </c>
      <c r="G141">
        <v>0.62009999999999998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-0.44685714285714301</v>
      </c>
      <c r="Q141">
        <f t="shared" ref="Q141" si="681">F141*P141</f>
        <v>-5836882.4080000017</v>
      </c>
      <c r="R141">
        <f t="shared" ref="R141" si="682">R142+Q141</f>
        <v>-2045724916.9902818</v>
      </c>
      <c r="S141">
        <f t="shared" ref="S141" si="683">R141/100000</f>
        <v>-20457.249169902818</v>
      </c>
      <c r="T141">
        <f t="shared" ref="T141" si="684">S141/1000</f>
        <v>-20.457249169902816</v>
      </c>
    </row>
    <row r="142" spans="1:20" x14ac:dyDescent="0.25">
      <c r="A142" s="5">
        <v>44451</v>
      </c>
      <c r="B142">
        <v>0.65069999999999995</v>
      </c>
      <c r="C142">
        <v>0.68730000000000002</v>
      </c>
      <c r="D142">
        <v>0.63600000000000001</v>
      </c>
      <c r="E142">
        <v>0.67500000000000004</v>
      </c>
      <c r="F142">
        <v>10074403</v>
      </c>
      <c r="G142">
        <v>0.67500000000000004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0.52046783625731097</v>
      </c>
      <c r="Q142">
        <f t="shared" ref="Q142" si="686">F142*P142</f>
        <v>5243402.7309941621</v>
      </c>
      <c r="R142">
        <f t="shared" ref="R142" si="687">R143+Q142</f>
        <v>-2039888034.5822818</v>
      </c>
      <c r="S142">
        <f t="shared" ref="S142" si="688">R142/100000</f>
        <v>-20398.880345822818</v>
      </c>
      <c r="T142">
        <f t="shared" ref="T142" si="689">S142/1000</f>
        <v>-20.398880345822818</v>
      </c>
    </row>
    <row r="143" spans="1:20" x14ac:dyDescent="0.25">
      <c r="A143" s="5">
        <v>44450</v>
      </c>
      <c r="B143">
        <v>0.63649999999999995</v>
      </c>
      <c r="C143">
        <v>0.67620000000000002</v>
      </c>
      <c r="D143">
        <v>0.624</v>
      </c>
      <c r="E143">
        <v>0.65039999999999998</v>
      </c>
      <c r="F143">
        <v>9540040</v>
      </c>
      <c r="G143">
        <v>0.65039999999999998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1.1494252873561947E-2</v>
      </c>
      <c r="Q143">
        <f t="shared" ref="Q143" si="691">F143*P143</f>
        <v>109655.63218389591</v>
      </c>
      <c r="R143">
        <f t="shared" ref="R143" si="692">R144+Q143</f>
        <v>-2045131437.3132761</v>
      </c>
      <c r="S143">
        <f t="shared" ref="S143" si="693">R143/100000</f>
        <v>-20451.314373132762</v>
      </c>
      <c r="T143">
        <f t="shared" ref="T143" si="694">S143/1000</f>
        <v>-20.45131437313276</v>
      </c>
    </row>
    <row r="144" spans="1:20" x14ac:dyDescent="0.25">
      <c r="A144" s="5">
        <v>44449</v>
      </c>
      <c r="B144">
        <v>0.67200000000000004</v>
      </c>
      <c r="C144">
        <v>0.70699999999999996</v>
      </c>
      <c r="D144">
        <v>0.61760000000000004</v>
      </c>
      <c r="E144">
        <v>0.63600000000000001</v>
      </c>
      <c r="F144">
        <v>12979177</v>
      </c>
      <c r="G144">
        <v>0.63600000000000001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-0.58836689038031342</v>
      </c>
      <c r="Q144">
        <f t="shared" ref="Q144" si="696">F144*P144</f>
        <v>-7636518.0111856852</v>
      </c>
      <c r="R144">
        <f t="shared" ref="R144" si="697">R145+Q144</f>
        <v>-2045241092.9454598</v>
      </c>
      <c r="S144">
        <f t="shared" ref="S144" si="698">R144/100000</f>
        <v>-20452.4109294546</v>
      </c>
      <c r="T144">
        <f t="shared" ref="T144" si="699">S144/1000</f>
        <v>-20.452410929454601</v>
      </c>
    </row>
    <row r="145" spans="1:20" x14ac:dyDescent="0.25">
      <c r="A145" s="5">
        <v>44448</v>
      </c>
      <c r="B145">
        <v>0.6623</v>
      </c>
      <c r="C145">
        <v>0.71060000000000001</v>
      </c>
      <c r="D145">
        <v>0.65939999999999999</v>
      </c>
      <c r="E145">
        <v>0.6724</v>
      </c>
      <c r="F145">
        <v>10218676</v>
      </c>
      <c r="G145">
        <v>0.6724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-0.49218749999999978</v>
      </c>
      <c r="Q145">
        <f t="shared" ref="Q145" si="701">F145*P145</f>
        <v>-5029504.5937499981</v>
      </c>
      <c r="R145">
        <f t="shared" ref="R145" si="702">R146+Q145</f>
        <v>-2037604574.9342742</v>
      </c>
      <c r="S145">
        <f t="shared" ref="S145" si="703">R145/100000</f>
        <v>-20376.045749342742</v>
      </c>
      <c r="T145">
        <f t="shared" ref="T145" si="704">S145/1000</f>
        <v>-20.376045749342744</v>
      </c>
    </row>
    <row r="146" spans="1:20" x14ac:dyDescent="0.25">
      <c r="A146" s="5">
        <v>44447</v>
      </c>
      <c r="B146">
        <v>0.70099999999999996</v>
      </c>
      <c r="C146">
        <v>0.71120000000000005</v>
      </c>
      <c r="D146">
        <v>0.6</v>
      </c>
      <c r="E146">
        <v>0.6623</v>
      </c>
      <c r="F146">
        <v>14040033</v>
      </c>
      <c r="G146">
        <v>0.6623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0.12050359712230178</v>
      </c>
      <c r="Q146">
        <f t="shared" ref="Q146" si="706">F146*P146</f>
        <v>1691874.4802158221</v>
      </c>
      <c r="R146">
        <f t="shared" ref="R146" si="707">R147+Q146</f>
        <v>-2032575070.3405242</v>
      </c>
      <c r="S146">
        <f t="shared" ref="S146" si="708">R146/100000</f>
        <v>-20325.750703405243</v>
      </c>
      <c r="T146">
        <f t="shared" ref="T146" si="709">S146/1000</f>
        <v>-20.325750703405244</v>
      </c>
    </row>
    <row r="147" spans="1:20" x14ac:dyDescent="0.25">
      <c r="A147" s="5">
        <v>44446</v>
      </c>
      <c r="B147">
        <v>0.87709999999999999</v>
      </c>
      <c r="C147">
        <v>0.8861</v>
      </c>
      <c r="D147">
        <v>0.59619999999999995</v>
      </c>
      <c r="E147">
        <v>0.70069999999999999</v>
      </c>
      <c r="F147">
        <v>32232213.699999999</v>
      </c>
      <c r="G147">
        <v>0.70069999999999999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-0.27906174542945827</v>
      </c>
      <c r="Q147">
        <f t="shared" ref="Q147" si="711">F147*P147</f>
        <v>-8994777.8141772971</v>
      </c>
      <c r="R147">
        <f t="shared" ref="R147" si="712">R148+Q147</f>
        <v>-2034266944.82074</v>
      </c>
      <c r="S147">
        <f t="shared" ref="S147" si="713">R147/100000</f>
        <v>-20342.669448207398</v>
      </c>
      <c r="T147">
        <f t="shared" ref="T147" si="714">S147/1000</f>
        <v>-20.342669448207399</v>
      </c>
    </row>
    <row r="148" spans="1:20" x14ac:dyDescent="0.25">
      <c r="A148" s="5">
        <v>44445</v>
      </c>
      <c r="B148">
        <v>0.87880000000000003</v>
      </c>
      <c r="C148">
        <v>0.91900000000000004</v>
      </c>
      <c r="D148">
        <v>0.85119999999999996</v>
      </c>
      <c r="E148">
        <v>0.87709999999999999</v>
      </c>
      <c r="F148">
        <v>21766953</v>
      </c>
      <c r="G148">
        <v>0.87709999999999999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-0.23598820058997041</v>
      </c>
      <c r="Q148">
        <f t="shared" ref="Q148" si="716">F148*P148</f>
        <v>-5136744.0707964581</v>
      </c>
      <c r="R148">
        <f t="shared" ref="R148" si="717">R149+Q148</f>
        <v>-2025272167.0065627</v>
      </c>
      <c r="S148">
        <f t="shared" ref="S148" si="718">R148/100000</f>
        <v>-20252.721670065628</v>
      </c>
      <c r="T148">
        <f t="shared" ref="T148" si="719">S148/1000</f>
        <v>-20.252721670065629</v>
      </c>
    </row>
    <row r="149" spans="1:20" x14ac:dyDescent="0.25">
      <c r="A149" s="5">
        <v>44444</v>
      </c>
      <c r="B149">
        <v>0.8327</v>
      </c>
      <c r="C149">
        <v>0.96</v>
      </c>
      <c r="D149">
        <v>0.82</v>
      </c>
      <c r="E149">
        <v>0.87809999999999999</v>
      </c>
      <c r="F149">
        <v>44102903.299999997</v>
      </c>
      <c r="G149">
        <v>0.87809999999999999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-0.16999999999999951</v>
      </c>
      <c r="Q149">
        <f t="shared" ref="Q149" si="721">F149*P149</f>
        <v>-7497493.5609999783</v>
      </c>
      <c r="R149">
        <f t="shared" ref="R149" si="722">R150+Q149</f>
        <v>-2020135422.9357662</v>
      </c>
      <c r="S149">
        <f t="shared" ref="S149" si="723">R149/100000</f>
        <v>-20201.354229357661</v>
      </c>
      <c r="T149">
        <f t="shared" ref="T149" si="724">S149/1000</f>
        <v>-20.201354229357662</v>
      </c>
    </row>
    <row r="150" spans="1:20" x14ac:dyDescent="0.25">
      <c r="A150" s="5">
        <v>44443</v>
      </c>
      <c r="B150">
        <v>0.81969999999999998</v>
      </c>
      <c r="C150">
        <v>0.85299999999999998</v>
      </c>
      <c r="D150">
        <v>0.80840000000000001</v>
      </c>
      <c r="E150">
        <v>0.8327</v>
      </c>
      <c r="F150">
        <v>13174937</v>
      </c>
      <c r="G150">
        <v>0.8327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8.9686098654708654E-2</v>
      </c>
      <c r="Q150">
        <f t="shared" ref="Q150" si="726">F150*P150</f>
        <v>1181608.6995515712</v>
      </c>
      <c r="R150">
        <f t="shared" ref="R150" si="727">R151+Q150</f>
        <v>-2012637929.3747663</v>
      </c>
      <c r="S150">
        <f t="shared" ref="S150" si="728">R150/100000</f>
        <v>-20126.379293747665</v>
      </c>
      <c r="T150">
        <f t="shared" ref="T150" si="729">S150/1000</f>
        <v>-20.126379293747664</v>
      </c>
    </row>
    <row r="151" spans="1:20" x14ac:dyDescent="0.25">
      <c r="A151" s="5">
        <v>44442</v>
      </c>
      <c r="B151">
        <v>0.80920000000000003</v>
      </c>
      <c r="C151">
        <v>0.86</v>
      </c>
      <c r="D151">
        <v>0.79249999999999998</v>
      </c>
      <c r="E151">
        <v>0.82</v>
      </c>
      <c r="F151">
        <v>15399203</v>
      </c>
      <c r="G151">
        <v>0.82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-0.18518518518518615</v>
      </c>
      <c r="Q151">
        <f t="shared" ref="Q151" si="731">F151*P151</f>
        <v>-2851704.2592592742</v>
      </c>
      <c r="R151">
        <f t="shared" ref="R151" si="732">R152+Q151</f>
        <v>-2013819538.0743179</v>
      </c>
      <c r="S151">
        <f t="shared" ref="S151" si="733">R151/100000</f>
        <v>-20138.195380743178</v>
      </c>
      <c r="T151">
        <f t="shared" ref="T151" si="734">S151/1000</f>
        <v>-20.138195380743177</v>
      </c>
    </row>
    <row r="152" spans="1:20" x14ac:dyDescent="0.25">
      <c r="A152" s="5">
        <v>44441</v>
      </c>
      <c r="B152">
        <v>0.8135</v>
      </c>
      <c r="C152">
        <v>0.92</v>
      </c>
      <c r="D152">
        <v>0.80500000000000005</v>
      </c>
      <c r="E152">
        <v>0.80989999999999995</v>
      </c>
      <c r="F152">
        <v>30175824.899999999</v>
      </c>
      <c r="G152">
        <v>0.80989999999999995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-0.91478260869565386</v>
      </c>
      <c r="Q152">
        <f t="shared" ref="Q152" si="736">F152*P152</f>
        <v>-27604319.821565267</v>
      </c>
      <c r="R152">
        <f t="shared" ref="R152" si="737">R153+Q152</f>
        <v>-2010967833.8150587</v>
      </c>
      <c r="S152">
        <f t="shared" ref="S152" si="738">R152/100000</f>
        <v>-20109.678338150588</v>
      </c>
      <c r="T152">
        <f t="shared" ref="T152" si="739">S152/1000</f>
        <v>-20.109678338150587</v>
      </c>
    </row>
    <row r="153" spans="1:20" x14ac:dyDescent="0.25">
      <c r="A153" s="5">
        <v>44440</v>
      </c>
      <c r="B153">
        <v>0.7843</v>
      </c>
      <c r="C153">
        <v>0.83499999999999996</v>
      </c>
      <c r="D153">
        <v>0.75219999999999998</v>
      </c>
      <c r="E153">
        <v>0.81379999999999997</v>
      </c>
      <c r="F153">
        <v>14947781</v>
      </c>
      <c r="G153">
        <v>0.81379999999999997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0.48792270531400966</v>
      </c>
      <c r="Q153">
        <f t="shared" ref="Q153" si="741">F153*P153</f>
        <v>7293361.7439613529</v>
      </c>
      <c r="R153">
        <f t="shared" ref="R153" si="742">R154+Q153</f>
        <v>-1983363513.9934936</v>
      </c>
      <c r="S153">
        <f t="shared" ref="S153" si="743">R153/100000</f>
        <v>-19833.635139934937</v>
      </c>
      <c r="T153">
        <f t="shared" ref="T153" si="744">S153/1000</f>
        <v>-19.833635139934938</v>
      </c>
    </row>
    <row r="154" spans="1:20" x14ac:dyDescent="0.25">
      <c r="A154" s="5">
        <v>44439</v>
      </c>
      <c r="B154">
        <v>0.76910000000000001</v>
      </c>
      <c r="C154">
        <v>0.82889999999999997</v>
      </c>
      <c r="D154">
        <v>0.76700000000000002</v>
      </c>
      <c r="E154">
        <v>0.7843</v>
      </c>
      <c r="F154">
        <v>14857242</v>
      </c>
      <c r="G154">
        <v>0.7843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-0.44103392568659144</v>
      </c>
      <c r="Q154">
        <f t="shared" ref="Q154" si="746">F154*P154</f>
        <v>-6552547.7641357053</v>
      </c>
      <c r="R154">
        <f t="shared" ref="R154" si="747">R155+Q154</f>
        <v>-1990656875.7374549</v>
      </c>
      <c r="S154">
        <f t="shared" ref="S154" si="748">R154/100000</f>
        <v>-19906.568757374549</v>
      </c>
      <c r="T154">
        <f t="shared" ref="T154" si="749">S154/1000</f>
        <v>-19.906568757374551</v>
      </c>
    </row>
    <row r="155" spans="1:20" x14ac:dyDescent="0.25">
      <c r="A155" s="5">
        <v>44438</v>
      </c>
      <c r="B155">
        <v>0.79179999999999995</v>
      </c>
      <c r="C155">
        <v>0.82520000000000004</v>
      </c>
      <c r="D155">
        <v>0.76</v>
      </c>
      <c r="E155">
        <v>0.76910000000000001</v>
      </c>
      <c r="F155">
        <v>14100125</v>
      </c>
      <c r="G155">
        <v>0.76910000000000001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-0.72085889570552175</v>
      </c>
      <c r="Q155">
        <f t="shared" ref="Q155" si="751">F155*P155</f>
        <v>-10164200.536809821</v>
      </c>
      <c r="R155">
        <f t="shared" ref="R155" si="752">R156+Q155</f>
        <v>-1984104327.9733193</v>
      </c>
      <c r="S155">
        <f t="shared" ref="S155" si="753">R155/100000</f>
        <v>-19841.043279733192</v>
      </c>
      <c r="T155">
        <f t="shared" ref="T155" si="754">S155/1000</f>
        <v>-19.841043279733192</v>
      </c>
    </row>
    <row r="156" spans="1:20" x14ac:dyDescent="0.25">
      <c r="A156" s="5">
        <v>44437</v>
      </c>
      <c r="B156">
        <v>0.79500000000000004</v>
      </c>
      <c r="C156">
        <v>0.88</v>
      </c>
      <c r="D156">
        <v>0.76100000000000001</v>
      </c>
      <c r="E156">
        <v>0.79179999999999995</v>
      </c>
      <c r="F156">
        <v>21286598</v>
      </c>
      <c r="G156">
        <v>0.79179999999999995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-0.48235294117647159</v>
      </c>
      <c r="Q156">
        <f t="shared" ref="Q156" si="756">F156*P156</f>
        <v>-10267653.152941197</v>
      </c>
      <c r="R156">
        <f t="shared" ref="R156" si="757">R157+Q156</f>
        <v>-1973940127.4365094</v>
      </c>
      <c r="S156">
        <f t="shared" ref="S156" si="758">R156/100000</f>
        <v>-19739.401274365093</v>
      </c>
      <c r="T156">
        <f t="shared" ref="T156" si="759">S156/1000</f>
        <v>-19.739401274365093</v>
      </c>
    </row>
    <row r="157" spans="1:20" x14ac:dyDescent="0.25">
      <c r="A157" s="5">
        <v>44436</v>
      </c>
      <c r="B157">
        <v>0.77429999999999999</v>
      </c>
      <c r="C157">
        <v>0.82050000000000001</v>
      </c>
      <c r="D157">
        <v>0.74980000000000002</v>
      </c>
      <c r="E157">
        <v>0.79479999999999995</v>
      </c>
      <c r="F157">
        <v>14692029.9</v>
      </c>
      <c r="G157">
        <v>0.79479999999999995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0.27298444130127125</v>
      </c>
      <c r="Q157">
        <f t="shared" ref="Q157" si="761">F157*P157</f>
        <v>4010695.5738330721</v>
      </c>
      <c r="R157">
        <f t="shared" ref="R157" si="762">R158+Q157</f>
        <v>-1963672474.2835681</v>
      </c>
      <c r="S157">
        <f t="shared" ref="S157" si="763">R157/100000</f>
        <v>-19636.724742835682</v>
      </c>
      <c r="T157">
        <f t="shared" ref="T157" si="764">S157/1000</f>
        <v>-19.636724742835682</v>
      </c>
    </row>
    <row r="158" spans="1:20" x14ac:dyDescent="0.25">
      <c r="A158" s="5">
        <v>44435</v>
      </c>
      <c r="B158">
        <v>0.73019999999999996</v>
      </c>
      <c r="C158">
        <v>0.78639999999999999</v>
      </c>
      <c r="D158">
        <v>0.70820000000000005</v>
      </c>
      <c r="E158">
        <v>0.77390000000000003</v>
      </c>
      <c r="F158">
        <v>10804071.4</v>
      </c>
      <c r="G158">
        <v>0.77390000000000003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0.68030690537084482</v>
      </c>
      <c r="Q158">
        <f t="shared" ref="Q158" si="766">F158*P158</f>
        <v>7350084.3795396509</v>
      </c>
      <c r="R158">
        <f t="shared" ref="R158" si="767">R159+Q158</f>
        <v>-1967683169.8574011</v>
      </c>
      <c r="S158">
        <f t="shared" ref="S158" si="768">R158/100000</f>
        <v>-19676.831698574013</v>
      </c>
      <c r="T158">
        <f t="shared" ref="T158" si="769">S158/1000</f>
        <v>-19.676831698574013</v>
      </c>
    </row>
    <row r="159" spans="1:20" x14ac:dyDescent="0.25">
      <c r="A159" s="5">
        <v>44434</v>
      </c>
      <c r="B159">
        <v>0.80866000000000005</v>
      </c>
      <c r="C159">
        <v>0.83084999999999998</v>
      </c>
      <c r="D159">
        <v>0.72599999999999998</v>
      </c>
      <c r="E159">
        <v>0.73080000000000001</v>
      </c>
      <c r="F159">
        <v>16779013.899999999</v>
      </c>
      <c r="G159">
        <v>0.73080000000000001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-0.90844062947067183</v>
      </c>
      <c r="Q159">
        <f t="shared" ref="Q159" si="771">F159*P159</f>
        <v>-15242737.949213151</v>
      </c>
      <c r="R159">
        <f t="shared" ref="R159" si="772">R160+Q159</f>
        <v>-1975033254.2369409</v>
      </c>
      <c r="S159">
        <f t="shared" ref="S159" si="773">R159/100000</f>
        <v>-19750.332542369408</v>
      </c>
      <c r="T159">
        <f t="shared" ref="T159" si="774">S159/1000</f>
        <v>-19.750332542369406</v>
      </c>
    </row>
    <row r="160" spans="1:20" x14ac:dyDescent="0.25">
      <c r="A160" s="5">
        <v>44433</v>
      </c>
      <c r="B160">
        <v>0.75866</v>
      </c>
      <c r="C160">
        <v>0.93920999999999999</v>
      </c>
      <c r="D160">
        <v>0.75788</v>
      </c>
      <c r="E160">
        <v>0.80947999999999998</v>
      </c>
      <c r="F160">
        <v>68663999.900000006</v>
      </c>
      <c r="G160">
        <v>0.80947999999999998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-0.4308718910274088</v>
      </c>
      <c r="Q160">
        <f t="shared" ref="Q160" si="776">F160*P160</f>
        <v>-29585387.482418813</v>
      </c>
      <c r="R160">
        <f t="shared" ref="R160" si="777">R161+Q160</f>
        <v>-1959790516.2877276</v>
      </c>
      <c r="S160">
        <f t="shared" ref="S160" si="778">R160/100000</f>
        <v>-19597.905162877276</v>
      </c>
      <c r="T160">
        <f t="shared" ref="T160" si="779">S160/1000</f>
        <v>-19.597905162877275</v>
      </c>
    </row>
    <row r="161" spans="1:20" x14ac:dyDescent="0.25">
      <c r="A161" s="5">
        <v>44432</v>
      </c>
      <c r="B161">
        <v>0.76719000000000004</v>
      </c>
      <c r="C161">
        <v>0.83742000000000005</v>
      </c>
      <c r="D161">
        <v>0.74399999999999999</v>
      </c>
      <c r="E161">
        <v>0.75936000000000003</v>
      </c>
      <c r="F161">
        <v>31193346.100000001</v>
      </c>
      <c r="G161">
        <v>0.75936000000000003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-0.67116249197173983</v>
      </c>
      <c r="Q161">
        <f t="shared" ref="Q161" si="781">F161*P161</f>
        <v>-20935803.901412953</v>
      </c>
      <c r="R161">
        <f t="shared" ref="R161" si="782">R162+Q161</f>
        <v>-1930205128.8053088</v>
      </c>
      <c r="S161">
        <f t="shared" ref="S161" si="783">R161/100000</f>
        <v>-19302.051288053088</v>
      </c>
      <c r="T161">
        <f t="shared" ref="T161" si="784">S161/1000</f>
        <v>-19.302051288053089</v>
      </c>
    </row>
    <row r="162" spans="1:20" x14ac:dyDescent="0.25">
      <c r="A162" s="5">
        <v>44431</v>
      </c>
      <c r="B162">
        <v>0.76451000000000002</v>
      </c>
      <c r="C162">
        <v>0.82</v>
      </c>
      <c r="D162">
        <v>0.75078999999999996</v>
      </c>
      <c r="E162">
        <v>0.76748000000000005</v>
      </c>
      <c r="F162">
        <v>15181062.5</v>
      </c>
      <c r="G162">
        <v>0.76748000000000005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-0.51769975437075288</v>
      </c>
      <c r="Q162">
        <f t="shared" ref="Q162" si="786">F162*P162</f>
        <v>-7859232.327337048</v>
      </c>
      <c r="R162">
        <f t="shared" ref="R162" si="787">R163+Q162</f>
        <v>-1909269324.9038959</v>
      </c>
      <c r="S162">
        <f t="shared" ref="S162" si="788">R162/100000</f>
        <v>-19092.693249038959</v>
      </c>
      <c r="T162">
        <f t="shared" ref="T162" si="789">S162/1000</f>
        <v>-19.092693249038959</v>
      </c>
    </row>
    <row r="163" spans="1:20" x14ac:dyDescent="0.25">
      <c r="A163" s="5">
        <v>44430</v>
      </c>
      <c r="B163">
        <v>0.77500000000000002</v>
      </c>
      <c r="C163">
        <v>0.78132999999999997</v>
      </c>
      <c r="D163">
        <v>0.76749999999999996</v>
      </c>
      <c r="E163">
        <v>0.77805000000000002</v>
      </c>
      <c r="F163">
        <v>2155633.2000000002</v>
      </c>
      <c r="G163">
        <v>0.77805000000000002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0.5256688358640712</v>
      </c>
      <c r="Q163">
        <f t="shared" ref="Q163" si="791">F163*P163</f>
        <v>1133149.1947939426</v>
      </c>
      <c r="R163">
        <f t="shared" ref="R163" si="792">R164+Q163</f>
        <v>-1901410092.5765588</v>
      </c>
      <c r="S163">
        <f t="shared" ref="S163" si="793">R163/100000</f>
        <v>-19014.10092576559</v>
      </c>
      <c r="T163">
        <f t="shared" ref="T163" si="794">S163/1000</f>
        <v>-19.01410092576559</v>
      </c>
    </row>
    <row r="164" spans="1:20" x14ac:dyDescent="0.25">
      <c r="A164" s="5">
        <v>44429</v>
      </c>
      <c r="B164">
        <v>0.79071999999999998</v>
      </c>
      <c r="C164">
        <v>0.82799999999999996</v>
      </c>
      <c r="D164">
        <v>0.77212999999999998</v>
      </c>
      <c r="E164">
        <v>0.77500000000000002</v>
      </c>
      <c r="F164">
        <v>13219872.199999999</v>
      </c>
      <c r="G164">
        <v>0.77500000000000002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-0.89726149991050508</v>
      </c>
      <c r="Q164">
        <f t="shared" ref="Q164" si="796">F164*P164</f>
        <v>-11861682.358797187</v>
      </c>
      <c r="R164">
        <f t="shared" ref="R164" si="797">R165+Q164</f>
        <v>-1902543241.7713528</v>
      </c>
      <c r="S164">
        <f t="shared" ref="S164" si="798">R164/100000</f>
        <v>-19025.432417713528</v>
      </c>
      <c r="T164">
        <f t="shared" ref="T164" si="799">S164/1000</f>
        <v>-19.025432417713528</v>
      </c>
    </row>
    <row r="165" spans="1:20" x14ac:dyDescent="0.25">
      <c r="A165" s="5">
        <v>44428</v>
      </c>
      <c r="B165">
        <v>0.75812000000000002</v>
      </c>
      <c r="C165">
        <v>0.83460000000000001</v>
      </c>
      <c r="D165">
        <v>0.75244</v>
      </c>
      <c r="E165">
        <v>0.79105000000000003</v>
      </c>
      <c r="F165">
        <v>20337536.699999999</v>
      </c>
      <c r="G165">
        <v>0.79105000000000003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-6.0126582278480327E-2</v>
      </c>
      <c r="Q165">
        <f t="shared" ref="Q165" si="801">F165*P165</f>
        <v>-1222826.5737341633</v>
      </c>
      <c r="R165">
        <f t="shared" ref="R165" si="802">R166+Q165</f>
        <v>-1890681559.4125557</v>
      </c>
      <c r="S165">
        <f t="shared" ref="S165" si="803">R165/100000</f>
        <v>-18906.815594125557</v>
      </c>
      <c r="T165">
        <f t="shared" ref="T165" si="804">S165/1000</f>
        <v>-18.906815594125558</v>
      </c>
    </row>
    <row r="166" spans="1:20" x14ac:dyDescent="0.25">
      <c r="A166" s="5">
        <v>44427</v>
      </c>
      <c r="B166">
        <v>0.73831000000000002</v>
      </c>
      <c r="C166">
        <v>0.78</v>
      </c>
      <c r="D166">
        <v>0.71731999999999996</v>
      </c>
      <c r="E166">
        <v>0.75731999999999999</v>
      </c>
      <c r="F166">
        <v>17235161.100000001</v>
      </c>
      <c r="G166">
        <v>0.75731999999999999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0.27632418634333095</v>
      </c>
      <c r="Q166">
        <f t="shared" ref="Q166" si="806">F166*P166</f>
        <v>4762491.8674537288</v>
      </c>
      <c r="R166">
        <f t="shared" ref="R166" si="807">R167+Q166</f>
        <v>-1889458732.8388216</v>
      </c>
      <c r="S166">
        <f t="shared" ref="S166" si="808">R166/100000</f>
        <v>-18894.587328388217</v>
      </c>
      <c r="T166">
        <f t="shared" ref="T166" si="809">S166/1000</f>
        <v>-18.894587328388216</v>
      </c>
    </row>
    <row r="167" spans="1:20" x14ac:dyDescent="0.25">
      <c r="A167" s="5">
        <v>44426</v>
      </c>
      <c r="B167">
        <v>0.71148999999999996</v>
      </c>
      <c r="C167">
        <v>0.77508999999999995</v>
      </c>
      <c r="D167">
        <v>0.7</v>
      </c>
      <c r="E167">
        <v>0.73819999999999997</v>
      </c>
      <c r="F167">
        <v>14643824.5</v>
      </c>
      <c r="G167">
        <v>0.73819999999999997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1.744573178852089E-2</v>
      </c>
      <c r="Q167">
        <f t="shared" ref="Q167" si="811">F167*P167</f>
        <v>255472.23458517104</v>
      </c>
      <c r="R167">
        <f t="shared" ref="R167" si="812">R168+Q167</f>
        <v>-1894221224.7062755</v>
      </c>
      <c r="S167">
        <f t="shared" ref="S167" si="813">R167/100000</f>
        <v>-18942.212247062755</v>
      </c>
      <c r="T167">
        <f t="shared" ref="T167" si="814">S167/1000</f>
        <v>-18.942212247062756</v>
      </c>
    </row>
    <row r="168" spans="1:20" x14ac:dyDescent="0.25">
      <c r="A168" s="5">
        <v>44425</v>
      </c>
      <c r="B168">
        <v>0.75980999999999999</v>
      </c>
      <c r="C168">
        <v>0.80545</v>
      </c>
      <c r="D168">
        <v>0.70887999999999995</v>
      </c>
      <c r="E168">
        <v>0.71148999999999996</v>
      </c>
      <c r="F168">
        <v>26304849.100000001</v>
      </c>
      <c r="G168">
        <v>0.71148999999999996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-0.94594594594594594</v>
      </c>
      <c r="Q168">
        <f t="shared" ref="Q168" si="816">F168*P168</f>
        <v>-24882965.364864867</v>
      </c>
      <c r="R168">
        <f t="shared" ref="R168" si="817">R169+Q168</f>
        <v>-1894476696.9408607</v>
      </c>
      <c r="S168">
        <f t="shared" ref="S168" si="818">R168/100000</f>
        <v>-18944.766969408607</v>
      </c>
      <c r="T168">
        <f t="shared" ref="T168" si="819">S168/1000</f>
        <v>-18.944766969408608</v>
      </c>
    </row>
    <row r="169" spans="1:20" x14ac:dyDescent="0.25">
      <c r="A169" s="5">
        <v>44424</v>
      </c>
      <c r="B169">
        <v>0.74963000000000002</v>
      </c>
      <c r="C169">
        <v>0.84</v>
      </c>
      <c r="D169">
        <v>0.74</v>
      </c>
      <c r="E169">
        <v>0.76171</v>
      </c>
      <c r="F169">
        <v>56710564.100000001</v>
      </c>
      <c r="G169">
        <v>0.76171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-0.56579999999999975</v>
      </c>
      <c r="Q169">
        <f t="shared" ref="Q169" si="821">F169*P169</f>
        <v>-32086837.167779986</v>
      </c>
      <c r="R169">
        <f t="shared" ref="R169" si="822">R170+Q169</f>
        <v>-1869593731.5759959</v>
      </c>
      <c r="S169">
        <f t="shared" ref="S169" si="823">R169/100000</f>
        <v>-18695.937315759958</v>
      </c>
      <c r="T169">
        <f t="shared" ref="T169" si="824">S169/1000</f>
        <v>-18.695937315759959</v>
      </c>
    </row>
    <row r="170" spans="1:20" x14ac:dyDescent="0.25">
      <c r="A170" s="5">
        <v>44423</v>
      </c>
      <c r="B170">
        <v>0.70687999999999995</v>
      </c>
      <c r="C170">
        <v>0.94750999999999996</v>
      </c>
      <c r="D170">
        <v>0.67625000000000002</v>
      </c>
      <c r="E170">
        <v>0.74916000000000005</v>
      </c>
      <c r="F170">
        <v>125429062.8</v>
      </c>
      <c r="G170">
        <v>0.74916000000000005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-0.46243456462434529</v>
      </c>
      <c r="Q170">
        <f t="shared" ref="Q170" si="826">F170*P170</f>
        <v>-58002734.04715766</v>
      </c>
      <c r="R170">
        <f t="shared" ref="R170" si="827">R171+Q170</f>
        <v>-1837506894.408216</v>
      </c>
      <c r="S170">
        <f t="shared" ref="S170" si="828">R170/100000</f>
        <v>-18375.068944082159</v>
      </c>
      <c r="T170">
        <f t="shared" ref="T170" si="829">S170/1000</f>
        <v>-18.375068944082159</v>
      </c>
    </row>
    <row r="171" spans="1:20" x14ac:dyDescent="0.25">
      <c r="A171" s="5">
        <v>44422</v>
      </c>
      <c r="B171">
        <v>0.72379000000000004</v>
      </c>
      <c r="C171">
        <v>0.74161999999999995</v>
      </c>
      <c r="D171">
        <v>0.68</v>
      </c>
      <c r="E171">
        <v>0.70687999999999995</v>
      </c>
      <c r="F171">
        <v>12833271</v>
      </c>
      <c r="G171">
        <v>0.70687999999999995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-0.12755598831548365</v>
      </c>
      <c r="Q171">
        <f t="shared" ref="Q171" si="831">F171*P171</f>
        <v>-1636960.5657254353</v>
      </c>
      <c r="R171">
        <f t="shared" ref="R171" si="832">R172+Q171</f>
        <v>-1779504160.3610582</v>
      </c>
      <c r="S171">
        <f t="shared" ref="S171" si="833">R171/100000</f>
        <v>-17795.041603610582</v>
      </c>
      <c r="T171">
        <f t="shared" ref="T171" si="834">S171/1000</f>
        <v>-17.795041603610581</v>
      </c>
    </row>
    <row r="172" spans="1:20" x14ac:dyDescent="0.25">
      <c r="A172" s="5">
        <v>44421</v>
      </c>
      <c r="B172">
        <v>0.69325000000000003</v>
      </c>
      <c r="C172">
        <v>0.75499000000000005</v>
      </c>
      <c r="D172">
        <v>0.69086999999999998</v>
      </c>
      <c r="E172">
        <v>0.72306000000000004</v>
      </c>
      <c r="F172">
        <v>20399612.699999999</v>
      </c>
      <c r="G172">
        <v>0.72306000000000004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4.0548970679980924E-3</v>
      </c>
      <c r="Q172">
        <f t="shared" ref="Q172" si="836">F172*P172</f>
        <v>82718.329725526652</v>
      </c>
      <c r="R172">
        <f t="shared" ref="R172" si="837">R173+Q172</f>
        <v>-1777867199.7953329</v>
      </c>
      <c r="S172">
        <f t="shared" ref="S172" si="838">R172/100000</f>
        <v>-17778.67199795333</v>
      </c>
      <c r="T172">
        <f t="shared" ref="T172" si="839">S172/1000</f>
        <v>-17.778671997953332</v>
      </c>
    </row>
    <row r="173" spans="1:20" x14ac:dyDescent="0.25">
      <c r="A173" s="5">
        <v>44420</v>
      </c>
      <c r="B173">
        <v>0.70455999999999996</v>
      </c>
      <c r="C173">
        <v>0.745</v>
      </c>
      <c r="D173">
        <v>0.66188000000000002</v>
      </c>
      <c r="E173">
        <v>0.69325000000000003</v>
      </c>
      <c r="F173">
        <v>29313868.699999999</v>
      </c>
      <c r="G173">
        <v>0.69325000000000003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-0.24518768046198219</v>
      </c>
      <c r="Q173">
        <f t="shared" ref="Q173" si="841">F173*P173</f>
        <v>-7187399.471920101</v>
      </c>
      <c r="R173">
        <f t="shared" ref="R173" si="842">R174+Q173</f>
        <v>-1777949918.1250584</v>
      </c>
      <c r="S173">
        <f t="shared" ref="S173" si="843">R173/100000</f>
        <v>-17779.499181250583</v>
      </c>
      <c r="T173">
        <f t="shared" ref="T173" si="844">S173/1000</f>
        <v>-17.779499181250582</v>
      </c>
    </row>
    <row r="174" spans="1:20" x14ac:dyDescent="0.25">
      <c r="A174" s="5">
        <v>44419</v>
      </c>
      <c r="B174">
        <v>0.74780000000000002</v>
      </c>
      <c r="C174">
        <v>0.77522000000000002</v>
      </c>
      <c r="D174">
        <v>0.70245000000000002</v>
      </c>
      <c r="E174">
        <v>0.70592999999999995</v>
      </c>
      <c r="F174">
        <v>47802888.700000003</v>
      </c>
      <c r="G174">
        <v>0.70592999999999995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-0.90435619073794349</v>
      </c>
      <c r="Q174">
        <f t="shared" ref="Q174" si="846">F174*P174</f>
        <v>-43230838.331001885</v>
      </c>
      <c r="R174">
        <f t="shared" ref="R174" si="847">R175+Q174</f>
        <v>-1770762518.6531384</v>
      </c>
      <c r="S174">
        <f t="shared" ref="S174" si="848">R174/100000</f>
        <v>-17707.625186531382</v>
      </c>
      <c r="T174">
        <f t="shared" ref="T174" si="849">S174/1000</f>
        <v>-17.707625186531381</v>
      </c>
    </row>
    <row r="175" spans="1:20" x14ac:dyDescent="0.25">
      <c r="A175" s="5">
        <v>44418</v>
      </c>
      <c r="B175">
        <v>0.8387</v>
      </c>
      <c r="C175">
        <v>0.96597</v>
      </c>
      <c r="D175">
        <v>0.73499999999999999</v>
      </c>
      <c r="E175">
        <v>0.74702000000000002</v>
      </c>
      <c r="F175">
        <v>174243291.40000001</v>
      </c>
      <c r="G175">
        <v>0.74702000000000002</v>
      </c>
      <c r="L175" t="s">
        <v>7</v>
      </c>
      <c r="M175" t="s">
        <v>7</v>
      </c>
      <c r="N175" t="s">
        <v>7</v>
      </c>
      <c r="P175">
        <f t="shared" ref="P175" si="850">IF(C175=D175,0,((E175-D175)-(C175-E175))/(C175-D175))</f>
        <v>-0.89591721868640928</v>
      </c>
      <c r="Q175">
        <f t="shared" ref="Q175" si="851">F175*P175</f>
        <v>-156107565.00585353</v>
      </c>
      <c r="R175">
        <f t="shared" ref="R175" si="852">R176+Q175</f>
        <v>-1727531680.3221364</v>
      </c>
      <c r="S175">
        <f t="shared" ref="S175" si="853">R175/100000</f>
        <v>-17275.316803221365</v>
      </c>
      <c r="T175">
        <f t="shared" ref="T175" si="854">S175/1000</f>
        <v>-17.275316803221365</v>
      </c>
    </row>
    <row r="176" spans="1:20" x14ac:dyDescent="0.25">
      <c r="A176" s="5">
        <v>44417</v>
      </c>
      <c r="B176">
        <v>0.48848000000000003</v>
      </c>
      <c r="C176">
        <v>1.27</v>
      </c>
      <c r="D176">
        <v>0.46012999999999998</v>
      </c>
      <c r="E176">
        <v>0.83867999999999998</v>
      </c>
      <c r="F176">
        <v>454932439.89999998</v>
      </c>
      <c r="G176">
        <v>0.83867999999999998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-6.5158605702149763E-2</v>
      </c>
      <c r="Q176">
        <f t="shared" ref="Q176" si="856">F176*P176</f>
        <v>-29642763.472561043</v>
      </c>
      <c r="R176">
        <f t="shared" ref="R176" si="857">R177+Q176</f>
        <v>-1571424115.3162827</v>
      </c>
      <c r="S176">
        <f t="shared" ref="S176" si="858">R176/100000</f>
        <v>-15714.241153162828</v>
      </c>
      <c r="T176">
        <f t="shared" ref="T176" si="859">S176/1000</f>
        <v>-15.714241153162828</v>
      </c>
    </row>
    <row r="177" spans="1:20" x14ac:dyDescent="0.25">
      <c r="A177" s="5">
        <v>44416</v>
      </c>
      <c r="B177">
        <v>0.47236</v>
      </c>
      <c r="C177">
        <v>0.49215999999999999</v>
      </c>
      <c r="D177">
        <v>0.43570999999999999</v>
      </c>
      <c r="E177">
        <v>0.48808000000000001</v>
      </c>
      <c r="F177">
        <v>11191500.699999999</v>
      </c>
      <c r="G177">
        <v>0.48808000000000001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0.85544729849424361</v>
      </c>
      <c r="Q177">
        <f t="shared" ref="Q177" si="861">F177*P177</f>
        <v>9573739.0399114359</v>
      </c>
      <c r="R177">
        <f t="shared" ref="R177" si="862">R178+Q177</f>
        <v>-1541781351.8437216</v>
      </c>
      <c r="S177">
        <f t="shared" ref="S177" si="863">R177/100000</f>
        <v>-15417.813518437217</v>
      </c>
      <c r="T177">
        <f t="shared" ref="T177" si="864">S177/1000</f>
        <v>-15.417813518437217</v>
      </c>
    </row>
    <row r="178" spans="1:20" x14ac:dyDescent="0.25">
      <c r="A178" s="5">
        <v>44415</v>
      </c>
      <c r="B178">
        <v>0.45846999999999999</v>
      </c>
      <c r="C178">
        <v>0.49342000000000003</v>
      </c>
      <c r="D178">
        <v>0.44996999999999998</v>
      </c>
      <c r="E178">
        <v>0.47239999999999999</v>
      </c>
      <c r="F178">
        <v>20825398</v>
      </c>
      <c r="G178">
        <v>0.47239999999999999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3.2451093210586084E-2</v>
      </c>
      <c r="Q178">
        <f t="shared" ref="Q178" si="866">F178*P178</f>
        <v>675806.93164555298</v>
      </c>
      <c r="R178">
        <f t="shared" ref="R178" si="867">R179+Q178</f>
        <v>-1551355090.8836331</v>
      </c>
      <c r="S178">
        <f t="shared" ref="S178" si="868">R178/100000</f>
        <v>-15513.550908836331</v>
      </c>
      <c r="T178">
        <f t="shared" ref="T178" si="869">S178/1000</f>
        <v>-15.513550908836331</v>
      </c>
    </row>
    <row r="179" spans="1:20" x14ac:dyDescent="0.25">
      <c r="A179" s="5">
        <v>44414</v>
      </c>
      <c r="B179">
        <v>0.44213999999999998</v>
      </c>
      <c r="C179">
        <v>0.47447</v>
      </c>
      <c r="D179">
        <v>0.43425999999999998</v>
      </c>
      <c r="E179">
        <v>0.45837</v>
      </c>
      <c r="F179">
        <v>12060077.300000001</v>
      </c>
      <c r="G179">
        <v>0.45837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0.19920417806515822</v>
      </c>
      <c r="Q179">
        <f t="shared" ref="Q179" si="871">F179*P179</f>
        <v>2402417.7859487729</v>
      </c>
      <c r="R179">
        <f t="shared" ref="R179" si="872">R180+Q179</f>
        <v>-1552030897.8152788</v>
      </c>
      <c r="S179">
        <f t="shared" ref="S179" si="873">R179/100000</f>
        <v>-15520.308978152787</v>
      </c>
      <c r="T179">
        <f t="shared" ref="T179" si="874">S179/1000</f>
        <v>-15.520308978152787</v>
      </c>
    </row>
    <row r="180" spans="1:20" x14ac:dyDescent="0.25">
      <c r="A180" s="5">
        <v>44413</v>
      </c>
      <c r="B180">
        <v>0.44146000000000002</v>
      </c>
      <c r="C180">
        <v>0.44934000000000002</v>
      </c>
      <c r="D180">
        <v>0.42437000000000002</v>
      </c>
      <c r="E180">
        <v>0.44217000000000001</v>
      </c>
      <c r="F180">
        <v>8672252</v>
      </c>
      <c r="G180">
        <v>0.44217000000000001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0.42571085302362738</v>
      </c>
      <c r="Q180">
        <f t="shared" ref="Q180" si="876">F180*P180</f>
        <v>3691871.7965558586</v>
      </c>
      <c r="R180">
        <f t="shared" ref="R180" si="877">R181+Q180</f>
        <v>-1554433315.6012275</v>
      </c>
      <c r="S180">
        <f t="shared" ref="S180" si="878">R180/100000</f>
        <v>-15544.333156012275</v>
      </c>
      <c r="T180">
        <f t="shared" ref="T180" si="879">S180/1000</f>
        <v>-15.544333156012275</v>
      </c>
    </row>
    <row r="181" spans="1:20" x14ac:dyDescent="0.25">
      <c r="A181" s="5">
        <v>44412</v>
      </c>
      <c r="B181">
        <v>0.42953000000000002</v>
      </c>
      <c r="C181">
        <v>0.44885999999999998</v>
      </c>
      <c r="D181">
        <v>0.42109999999999997</v>
      </c>
      <c r="E181">
        <v>0.44170999999999999</v>
      </c>
      <c r="F181">
        <v>11272991.4</v>
      </c>
      <c r="G181">
        <v>0.44170999999999999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0.48487031700288269</v>
      </c>
      <c r="Q181">
        <f t="shared" ref="Q181" si="881">F181*P181</f>
        <v>5465938.9136887705</v>
      </c>
      <c r="R181">
        <f t="shared" ref="R181" si="882">R182+Q181</f>
        <v>-1558125187.3977833</v>
      </c>
      <c r="S181">
        <f t="shared" ref="S181" si="883">R181/100000</f>
        <v>-15581.251873977833</v>
      </c>
      <c r="T181">
        <f t="shared" ref="T181" si="884">S181/1000</f>
        <v>-15.581251873977834</v>
      </c>
    </row>
    <row r="182" spans="1:20" x14ac:dyDescent="0.25">
      <c r="A182" s="5">
        <v>44411</v>
      </c>
      <c r="B182">
        <v>0.43153000000000002</v>
      </c>
      <c r="C182">
        <v>0.48132000000000003</v>
      </c>
      <c r="D182">
        <v>0.42219000000000001</v>
      </c>
      <c r="E182">
        <v>0.43</v>
      </c>
      <c r="F182">
        <v>33710948.5</v>
      </c>
      <c r="G182">
        <v>0.43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-0.73583629291391905</v>
      </c>
      <c r="Q182">
        <f t="shared" ref="Q182" si="886">F182*P182</f>
        <v>-24805739.374852039</v>
      </c>
      <c r="R182">
        <f t="shared" ref="R182" si="887">R183+Q182</f>
        <v>-1563591126.3114719</v>
      </c>
      <c r="S182">
        <f t="shared" ref="S182" si="888">R182/100000</f>
        <v>-15635.91126311472</v>
      </c>
      <c r="T182">
        <f t="shared" ref="T182" si="889">S182/1000</f>
        <v>-15.635911263114719</v>
      </c>
    </row>
    <row r="183" spans="1:20" x14ac:dyDescent="0.25">
      <c r="A183" s="5">
        <v>44410</v>
      </c>
      <c r="B183">
        <v>0.41356999999999999</v>
      </c>
      <c r="C183">
        <v>0.44500000000000001</v>
      </c>
      <c r="D183">
        <v>0.41</v>
      </c>
      <c r="E183">
        <v>0.43195</v>
      </c>
      <c r="F183">
        <v>8215786.7999999998</v>
      </c>
      <c r="G183">
        <v>0.43195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0.25428571428571461</v>
      </c>
      <c r="Q183">
        <f t="shared" ref="Q183" si="891">F183*P183</f>
        <v>2089157.2148571454</v>
      </c>
      <c r="R183">
        <f t="shared" ref="R183" si="892">R184+Q183</f>
        <v>-1538785386.93662</v>
      </c>
      <c r="S183">
        <f t="shared" ref="S183" si="893">R183/100000</f>
        <v>-15387.853869366199</v>
      </c>
      <c r="T183">
        <f t="shared" ref="T183" si="894">S183/1000</f>
        <v>-15.3878538693662</v>
      </c>
    </row>
    <row r="184" spans="1:20" x14ac:dyDescent="0.25">
      <c r="A184" s="5">
        <v>44409</v>
      </c>
      <c r="B184">
        <v>0.43034</v>
      </c>
      <c r="C184">
        <v>0.45350000000000001</v>
      </c>
      <c r="D184">
        <v>0.41199999999999998</v>
      </c>
      <c r="E184">
        <v>0.41438999999999998</v>
      </c>
      <c r="F184">
        <v>13744851.6</v>
      </c>
      <c r="G184">
        <v>0.41438999999999998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-0.88481927710843367</v>
      </c>
      <c r="Q184">
        <f t="shared" ref="Q184" si="896">F184*P184</f>
        <v>-12161709.656674698</v>
      </c>
      <c r="R184">
        <f t="shared" ref="R184" si="897">R185+Q184</f>
        <v>-1540874544.1514771</v>
      </c>
      <c r="S184">
        <f t="shared" ref="S184" si="898">R184/100000</f>
        <v>-15408.745441514771</v>
      </c>
      <c r="T184">
        <f t="shared" ref="T184" si="899">S184/1000</f>
        <v>-15.408745441514771</v>
      </c>
    </row>
    <row r="185" spans="1:20" x14ac:dyDescent="0.25">
      <c r="A185" s="5">
        <v>44408</v>
      </c>
      <c r="B185">
        <v>0.42152000000000001</v>
      </c>
      <c r="C185">
        <v>0.45430999999999999</v>
      </c>
      <c r="D185">
        <v>0.40484999999999999</v>
      </c>
      <c r="E185">
        <v>0.43184</v>
      </c>
      <c r="F185">
        <v>14611714</v>
      </c>
      <c r="G185">
        <v>0.43184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9.1386979377275038E-2</v>
      </c>
      <c r="Q185">
        <f t="shared" ref="Q185" si="901">F185*P185</f>
        <v>1335320.4059846411</v>
      </c>
      <c r="R185">
        <f t="shared" ref="R185" si="902">R186+Q185</f>
        <v>-1528712834.4948025</v>
      </c>
      <c r="S185">
        <f t="shared" ref="S185" si="903">R185/100000</f>
        <v>-15287.128344948025</v>
      </c>
      <c r="T185">
        <f t="shared" ref="T185" si="904">S185/1000</f>
        <v>-15.287128344948025</v>
      </c>
    </row>
    <row r="186" spans="1:20" x14ac:dyDescent="0.25">
      <c r="A186" s="5">
        <v>44407</v>
      </c>
      <c r="B186">
        <v>0.41236</v>
      </c>
      <c r="C186">
        <v>0.43</v>
      </c>
      <c r="D186">
        <v>0.38761000000000001</v>
      </c>
      <c r="E186">
        <v>0.42148999999999998</v>
      </c>
      <c r="F186">
        <v>17899916</v>
      </c>
      <c r="G186">
        <v>0.42148999999999998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0.5984902099551771</v>
      </c>
      <c r="Q186">
        <f t="shared" ref="Q186" si="906">F186*P186</f>
        <v>10712924.485020034</v>
      </c>
      <c r="R186">
        <f t="shared" ref="R186" si="907">R187+Q186</f>
        <v>-1530048154.9007871</v>
      </c>
      <c r="S186">
        <f t="shared" ref="S186" si="908">R186/100000</f>
        <v>-15300.481549007871</v>
      </c>
      <c r="T186">
        <f t="shared" ref="T186" si="909">S186/1000</f>
        <v>-15.300481549007872</v>
      </c>
    </row>
    <row r="187" spans="1:20" x14ac:dyDescent="0.25">
      <c r="A187" s="5">
        <v>44406</v>
      </c>
      <c r="B187">
        <v>0.40367999999999998</v>
      </c>
      <c r="C187">
        <v>0.41546</v>
      </c>
      <c r="D187">
        <v>0.39145999999999997</v>
      </c>
      <c r="E187">
        <v>0.41243999999999997</v>
      </c>
      <c r="F187">
        <v>8366199</v>
      </c>
      <c r="G187">
        <v>0.41243999999999997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0.74833333333333163</v>
      </c>
      <c r="Q187">
        <f t="shared" ref="Q187" si="911">F187*P187</f>
        <v>6260705.584999986</v>
      </c>
      <c r="R187">
        <f t="shared" ref="R187" si="912">R188+Q187</f>
        <v>-1540761079.385807</v>
      </c>
      <c r="S187">
        <f t="shared" ref="S187" si="913">R187/100000</f>
        <v>-15407.61079385807</v>
      </c>
      <c r="T187">
        <f t="shared" ref="T187" si="914">S187/1000</f>
        <v>-15.407610793858069</v>
      </c>
    </row>
    <row r="188" spans="1:20" x14ac:dyDescent="0.25">
      <c r="A188" s="5">
        <v>44405</v>
      </c>
      <c r="B188">
        <v>0.40584999999999999</v>
      </c>
      <c r="C188">
        <v>0.42673</v>
      </c>
      <c r="D188">
        <v>0.38697999999999999</v>
      </c>
      <c r="E188">
        <v>0.40393000000000001</v>
      </c>
      <c r="F188">
        <v>10609548.300000001</v>
      </c>
      <c r="G188">
        <v>0.40393000000000001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-0.14716981132075385</v>
      </c>
      <c r="Q188">
        <f t="shared" ref="Q188" si="916">F188*P188</f>
        <v>-1561405.221509425</v>
      </c>
      <c r="R188">
        <f t="shared" ref="R188" si="917">R189+Q188</f>
        <v>-1547021784.9708071</v>
      </c>
      <c r="S188">
        <f t="shared" ref="S188" si="918">R188/100000</f>
        <v>-15470.217849708071</v>
      </c>
      <c r="T188">
        <f t="shared" ref="T188" si="919">S188/1000</f>
        <v>-15.470217849708071</v>
      </c>
    </row>
    <row r="189" spans="1:20" x14ac:dyDescent="0.25">
      <c r="A189" s="5">
        <v>44404</v>
      </c>
      <c r="B189">
        <v>0.3911</v>
      </c>
      <c r="C189">
        <v>0.42201</v>
      </c>
      <c r="D189">
        <v>0.37536999999999998</v>
      </c>
      <c r="E189">
        <v>0.40595999999999999</v>
      </c>
      <c r="F189">
        <v>12863967.300000001</v>
      </c>
      <c r="G189">
        <v>0.40595999999999999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0.3117495711835333</v>
      </c>
      <c r="Q189">
        <f t="shared" ref="Q189" si="921">F189*P189</f>
        <v>4010336.2894939948</v>
      </c>
      <c r="R189">
        <f t="shared" ref="R189" si="922">R190+Q189</f>
        <v>-1545460379.7492976</v>
      </c>
      <c r="S189">
        <f t="shared" ref="S189" si="923">R189/100000</f>
        <v>-15454.603797492977</v>
      </c>
      <c r="T189">
        <f t="shared" ref="T189" si="924">S189/1000</f>
        <v>-15.454603797492977</v>
      </c>
    </row>
    <row r="190" spans="1:20" x14ac:dyDescent="0.25">
      <c r="A190" s="5">
        <v>44403</v>
      </c>
      <c r="B190">
        <v>0.37130000000000002</v>
      </c>
      <c r="C190">
        <v>0.48631000000000002</v>
      </c>
      <c r="D190">
        <v>0.37025000000000002</v>
      </c>
      <c r="E190">
        <v>0.39111000000000001</v>
      </c>
      <c r="F190">
        <v>38350995.299999997</v>
      </c>
      <c r="G190">
        <v>0.39111000000000001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-0.64053075995174924</v>
      </c>
      <c r="Q190">
        <f t="shared" ref="Q190" si="926">F190*P190</f>
        <v>-24564992.164414961</v>
      </c>
      <c r="R190">
        <f t="shared" ref="R190" si="927">R191+Q190</f>
        <v>-1549470716.0387917</v>
      </c>
      <c r="S190">
        <f t="shared" ref="S190" si="928">R190/100000</f>
        <v>-15494.707160387916</v>
      </c>
      <c r="T190">
        <f t="shared" ref="T190" si="929">S190/1000</f>
        <v>-15.494707160387916</v>
      </c>
    </row>
    <row r="191" spans="1:20" x14ac:dyDescent="0.25">
      <c r="A191" s="5">
        <v>44402</v>
      </c>
      <c r="B191">
        <v>0.37109999999999999</v>
      </c>
      <c r="C191">
        <v>0.38735000000000003</v>
      </c>
      <c r="D191">
        <v>0.35857</v>
      </c>
      <c r="E191">
        <v>0.37197999999999998</v>
      </c>
      <c r="F191">
        <v>8914489.8000000007</v>
      </c>
      <c r="G191">
        <v>0.37197999999999998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-6.8102849200836382E-2</v>
      </c>
      <c r="Q191">
        <f t="shared" ref="Q191" si="931">F191*P191</f>
        <v>-607102.15455179417</v>
      </c>
      <c r="R191">
        <f t="shared" ref="R191" si="932">R192+Q191</f>
        <v>-1524905723.8743768</v>
      </c>
      <c r="S191">
        <f t="shared" ref="S191" si="933">R191/100000</f>
        <v>-15249.057238743768</v>
      </c>
      <c r="T191">
        <f t="shared" ref="T191:T197" si="934">S191/1000</f>
        <v>-15.249057238743768</v>
      </c>
    </row>
    <row r="192" spans="1:20" x14ac:dyDescent="0.25">
      <c r="A192" s="5">
        <v>44401</v>
      </c>
      <c r="B192">
        <v>0.37108000000000002</v>
      </c>
      <c r="C192">
        <v>0.38211000000000001</v>
      </c>
      <c r="D192">
        <v>0.35927999999999999</v>
      </c>
      <c r="E192">
        <v>0.37108999999999998</v>
      </c>
      <c r="F192">
        <v>5659258.9000000004</v>
      </c>
      <c r="G192">
        <v>0.37108999999999998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3.4603591765219308E-2</v>
      </c>
      <c r="Q192">
        <f t="shared" ref="Q192" si="936">F192*P192</f>
        <v>195830.68466928409</v>
      </c>
      <c r="R192">
        <f t="shared" ref="R192" si="937">R193+Q192</f>
        <v>-1524298621.719825</v>
      </c>
      <c r="S192">
        <f t="shared" ref="S192" si="938">R192/100000</f>
        <v>-15242.98621719825</v>
      </c>
      <c r="T192">
        <f t="shared" si="934"/>
        <v>-15.242986217198249</v>
      </c>
    </row>
    <row r="193" spans="1:20" x14ac:dyDescent="0.25">
      <c r="A193" s="5">
        <v>44400</v>
      </c>
      <c r="B193">
        <v>0.36162</v>
      </c>
      <c r="C193">
        <v>0.38</v>
      </c>
      <c r="D193">
        <v>0.34444000000000002</v>
      </c>
      <c r="E193">
        <v>0.37059999999999998</v>
      </c>
      <c r="F193">
        <v>11003640.300000001</v>
      </c>
      <c r="G193">
        <v>0.37059999999999998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0.47131608548931248</v>
      </c>
      <c r="Q193">
        <f t="shared" ref="Q193" si="940">F193*P193</f>
        <v>5186192.6723284442</v>
      </c>
      <c r="R193">
        <f t="shared" ref="R193" si="941">R194+Q193</f>
        <v>-1524494452.4044943</v>
      </c>
      <c r="S193">
        <f t="shared" ref="S193" si="942">R193/100000</f>
        <v>-15244.944524044942</v>
      </c>
      <c r="T193">
        <f t="shared" si="934"/>
        <v>-15.244944524044943</v>
      </c>
    </row>
    <row r="194" spans="1:20" x14ac:dyDescent="0.25">
      <c r="A194" s="5">
        <v>44399</v>
      </c>
      <c r="B194">
        <v>0.34932000000000002</v>
      </c>
      <c r="C194">
        <v>0.36199999999999999</v>
      </c>
      <c r="D194">
        <v>0.34118999999999999</v>
      </c>
      <c r="E194">
        <v>0.36170999999999998</v>
      </c>
      <c r="F194">
        <v>5419574</v>
      </c>
      <c r="G194">
        <v>0.36170999999999998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0.9721287842383457</v>
      </c>
      <c r="Q194">
        <f t="shared" ref="Q194" si="944">F194*P194</f>
        <v>5268523.8837097483</v>
      </c>
      <c r="R194">
        <f t="shared" ref="R194" si="945">R195+Q194</f>
        <v>-1529680645.0768228</v>
      </c>
      <c r="S194">
        <f t="shared" ref="S194" si="946">R194/100000</f>
        <v>-15296.806450768228</v>
      </c>
      <c r="T194">
        <f t="shared" si="934"/>
        <v>-15.296806450768228</v>
      </c>
    </row>
    <row r="195" spans="1:20" x14ac:dyDescent="0.25">
      <c r="A195" s="5">
        <v>44398</v>
      </c>
      <c r="B195">
        <v>0.32197999999999999</v>
      </c>
      <c r="C195">
        <v>0.36649999999999999</v>
      </c>
      <c r="D195">
        <v>0.31379000000000001</v>
      </c>
      <c r="E195">
        <v>0.34782999999999997</v>
      </c>
      <c r="F195">
        <v>13062667.199999999</v>
      </c>
      <c r="G195">
        <v>0.34782999999999997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0.29159552267121885</v>
      </c>
      <c r="Q195">
        <f t="shared" ref="Q195" si="948">F195*P195</f>
        <v>3809015.2696641865</v>
      </c>
      <c r="R195">
        <f t="shared" ref="R195" si="949">R196+Q195</f>
        <v>-1534949168.9605324</v>
      </c>
      <c r="S195">
        <f t="shared" ref="S195" si="950">R195/100000</f>
        <v>-15349.491689605324</v>
      </c>
      <c r="T195">
        <f t="shared" si="934"/>
        <v>-15.349491689605324</v>
      </c>
    </row>
    <row r="196" spans="1:20" x14ac:dyDescent="0.25">
      <c r="A196" s="5">
        <v>44397</v>
      </c>
      <c r="B196">
        <v>0.35443999999999998</v>
      </c>
      <c r="C196">
        <v>0.36176999999999998</v>
      </c>
      <c r="D196">
        <v>0.31164999999999998</v>
      </c>
      <c r="E196">
        <v>0.3221</v>
      </c>
      <c r="F196">
        <v>10304598.4</v>
      </c>
      <c r="G196">
        <v>0.3221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-0.58300079808459637</v>
      </c>
      <c r="Q196">
        <f t="shared" ref="Q196" si="952">F196*P196</f>
        <v>-6007589.0911412546</v>
      </c>
      <c r="R196">
        <f t="shared" ref="R196" si="953">R197+Q196</f>
        <v>-1538758184.2301967</v>
      </c>
      <c r="S196">
        <f t="shared" ref="S196" si="954">R196/100000</f>
        <v>-15387.581842301966</v>
      </c>
      <c r="T196">
        <f t="shared" si="934"/>
        <v>-15.387581842301966</v>
      </c>
    </row>
    <row r="197" spans="1:20" x14ac:dyDescent="0.25">
      <c r="A197" s="5">
        <v>44396</v>
      </c>
      <c r="B197">
        <v>0.38738</v>
      </c>
      <c r="C197">
        <v>0.39393</v>
      </c>
      <c r="D197">
        <v>0.35337000000000002</v>
      </c>
      <c r="E197">
        <v>0.35377999999999998</v>
      </c>
      <c r="F197">
        <v>4730259.3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-0.97978303747534679</v>
      </c>
      <c r="Q197">
        <f t="shared" ref="Q197" si="956">F197*P197</f>
        <v>-4634627.8250000076</v>
      </c>
      <c r="R197">
        <f t="shared" ref="R197" si="957">R198+Q197</f>
        <v>-1532750595.1390555</v>
      </c>
      <c r="S197">
        <f t="shared" ref="S197" si="958">R197/100000</f>
        <v>-15327.505951390554</v>
      </c>
      <c r="T197">
        <f t="shared" si="934"/>
        <v>-15.327505951390554</v>
      </c>
    </row>
    <row r="198" spans="1:20" x14ac:dyDescent="0.25">
      <c r="A198" s="5">
        <v>44395</v>
      </c>
      <c r="B198">
        <v>0.39097999999999999</v>
      </c>
      <c r="C198">
        <v>0.40758</v>
      </c>
      <c r="D198">
        <v>0.38521</v>
      </c>
      <c r="E198">
        <v>0.38774999999999998</v>
      </c>
      <c r="F198">
        <v>4963189.7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-0.77291014751899989</v>
      </c>
      <c r="Q198">
        <f t="shared" ref="Q198:Q261" si="960">F198*P198</f>
        <v>-3836099.6831917809</v>
      </c>
      <c r="R198">
        <f t="shared" ref="R198:R261" si="961">R199+Q198</f>
        <v>-1528115967.3140554</v>
      </c>
      <c r="S198">
        <f t="shared" ref="S198:S261" si="962">R198/100000</f>
        <v>-15281.159673140555</v>
      </c>
      <c r="T198">
        <f t="shared" ref="T198:T261" si="963">S198/1000</f>
        <v>-15.281159673140555</v>
      </c>
    </row>
    <row r="199" spans="1:20" x14ac:dyDescent="0.25">
      <c r="A199" s="5">
        <v>44394</v>
      </c>
      <c r="B199">
        <v>0.40338000000000002</v>
      </c>
      <c r="C199">
        <v>0.41088000000000002</v>
      </c>
      <c r="D199">
        <v>0.38364999999999999</v>
      </c>
      <c r="E199">
        <v>0.39013999999999999</v>
      </c>
      <c r="F199">
        <v>6898488.2000000002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-0.52331986779287643</v>
      </c>
      <c r="Q199">
        <f t="shared" si="960"/>
        <v>-3610115.9327947181</v>
      </c>
      <c r="R199">
        <f t="shared" si="961"/>
        <v>-1524279867.6308637</v>
      </c>
      <c r="S199">
        <f t="shared" si="962"/>
        <v>-15242.798676308637</v>
      </c>
      <c r="T199">
        <f t="shared" si="963"/>
        <v>-15.242798676308638</v>
      </c>
    </row>
    <row r="200" spans="1:20" x14ac:dyDescent="0.25">
      <c r="A200" s="5">
        <v>44393</v>
      </c>
      <c r="B200">
        <v>0.41874</v>
      </c>
      <c r="C200">
        <v>0.4294</v>
      </c>
      <c r="D200">
        <v>0.40233999999999998</v>
      </c>
      <c r="E200">
        <v>0.40300000000000002</v>
      </c>
      <c r="F200">
        <v>14083232.800000001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-0.95121951219511836</v>
      </c>
      <c r="Q200">
        <f t="shared" si="960"/>
        <v>-13396245.834146291</v>
      </c>
      <c r="R200">
        <f t="shared" si="961"/>
        <v>-1520669751.6980689</v>
      </c>
      <c r="S200">
        <f t="shared" si="962"/>
        <v>-15206.697516980688</v>
      </c>
      <c r="T200">
        <f t="shared" si="963"/>
        <v>-15.206697516980688</v>
      </c>
    </row>
    <row r="201" spans="1:20" x14ac:dyDescent="0.25">
      <c r="A201" s="5">
        <v>44392</v>
      </c>
      <c r="B201">
        <v>0.43959999999999999</v>
      </c>
      <c r="C201">
        <v>0.45400000000000001</v>
      </c>
      <c r="D201">
        <v>0.40456999999999999</v>
      </c>
      <c r="E201">
        <v>0.41905999999999999</v>
      </c>
      <c r="F201">
        <v>9477720.4000000004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-0.41371636657900085</v>
      </c>
      <c r="Q201">
        <f t="shared" si="960"/>
        <v>-3921088.0473396746</v>
      </c>
      <c r="R201">
        <f t="shared" si="961"/>
        <v>-1507273505.8639226</v>
      </c>
      <c r="S201">
        <f t="shared" si="962"/>
        <v>-15072.735058639226</v>
      </c>
      <c r="T201">
        <f t="shared" si="963"/>
        <v>-15.072735058639227</v>
      </c>
    </row>
    <row r="202" spans="1:20" x14ac:dyDescent="0.25">
      <c r="A202" s="5">
        <v>44391</v>
      </c>
      <c r="B202">
        <v>0.42221999999999998</v>
      </c>
      <c r="C202">
        <v>0.45600000000000002</v>
      </c>
      <c r="D202">
        <v>0.40222000000000002</v>
      </c>
      <c r="E202">
        <v>0.43984000000000001</v>
      </c>
      <c r="F202">
        <v>17139818.399999999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0.39903309780587543</v>
      </c>
      <c r="Q202">
        <f t="shared" si="960"/>
        <v>6839354.8319821423</v>
      </c>
      <c r="R202">
        <f t="shared" si="961"/>
        <v>-1503352417.8165829</v>
      </c>
      <c r="S202">
        <f t="shared" si="962"/>
        <v>-15033.52417816583</v>
      </c>
      <c r="T202">
        <f t="shared" si="963"/>
        <v>-15.03352417816583</v>
      </c>
    </row>
    <row r="203" spans="1:20" x14ac:dyDescent="0.25">
      <c r="A203" s="5">
        <v>44390</v>
      </c>
      <c r="B203">
        <v>0.43540000000000001</v>
      </c>
      <c r="C203">
        <v>0.43617</v>
      </c>
      <c r="D203">
        <v>0.41489999999999999</v>
      </c>
      <c r="E203">
        <v>0.42149999999999999</v>
      </c>
      <c r="F203">
        <v>7506156.5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-0.37940761636107273</v>
      </c>
      <c r="Q203">
        <f t="shared" si="960"/>
        <v>-2847892.9456981723</v>
      </c>
      <c r="R203">
        <f t="shared" si="961"/>
        <v>-1510191772.6485651</v>
      </c>
      <c r="S203">
        <f t="shared" si="962"/>
        <v>-15101.91772648565</v>
      </c>
      <c r="T203">
        <f t="shared" si="963"/>
        <v>-15.101917726485651</v>
      </c>
    </row>
    <row r="204" spans="1:20" x14ac:dyDescent="0.25">
      <c r="A204" s="5">
        <v>44389</v>
      </c>
      <c r="B204">
        <v>0.45699000000000001</v>
      </c>
      <c r="C204">
        <v>0.46442</v>
      </c>
      <c r="D204">
        <v>0.42049999999999998</v>
      </c>
      <c r="E204">
        <v>0.43617</v>
      </c>
      <c r="F204">
        <v>8299059.4000000004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-0.28642987249544571</v>
      </c>
      <c r="Q204">
        <f t="shared" si="960"/>
        <v>-2377098.5257741301</v>
      </c>
      <c r="R204">
        <f t="shared" si="961"/>
        <v>-1507343879.7028668</v>
      </c>
      <c r="S204">
        <f t="shared" si="962"/>
        <v>-15073.438797028668</v>
      </c>
      <c r="T204">
        <f t="shared" si="963"/>
        <v>-15.073438797028668</v>
      </c>
    </row>
    <row r="205" spans="1:20" x14ac:dyDescent="0.25">
      <c r="A205" s="5">
        <v>44388</v>
      </c>
      <c r="B205">
        <v>0.45716000000000001</v>
      </c>
      <c r="C205">
        <v>0.47754000000000002</v>
      </c>
      <c r="D205">
        <v>0.44400000000000001</v>
      </c>
      <c r="E205">
        <v>0.45696999999999999</v>
      </c>
      <c r="F205">
        <v>16512437</v>
      </c>
      <c r="G205">
        <v>0</v>
      </c>
      <c r="L205" t="s">
        <v>7</v>
      </c>
      <c r="M205" t="s">
        <v>8</v>
      </c>
      <c r="N205" t="s">
        <v>7</v>
      </c>
      <c r="P205">
        <f t="shared" si="959"/>
        <v>-0.22659511031604199</v>
      </c>
      <c r="Q205">
        <f t="shared" si="960"/>
        <v>-3741637.4836016935</v>
      </c>
      <c r="R205">
        <f t="shared" si="961"/>
        <v>-1504966781.1770926</v>
      </c>
      <c r="S205">
        <f t="shared" si="962"/>
        <v>-15049.667811770925</v>
      </c>
      <c r="T205">
        <f t="shared" si="963"/>
        <v>-15.049667811770925</v>
      </c>
    </row>
    <row r="206" spans="1:20" x14ac:dyDescent="0.25">
      <c r="A206" s="5">
        <v>44387</v>
      </c>
      <c r="B206">
        <v>0.41369</v>
      </c>
      <c r="C206">
        <v>0.49302000000000001</v>
      </c>
      <c r="D206">
        <v>0.41210000000000002</v>
      </c>
      <c r="E206">
        <v>0.45707999999999999</v>
      </c>
      <c r="F206">
        <v>25629012.899999999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0.11171527434503137</v>
      </c>
      <c r="Q206">
        <f t="shared" si="960"/>
        <v>2863152.2073158477</v>
      </c>
      <c r="R206">
        <f t="shared" si="961"/>
        <v>-1501225143.6934907</v>
      </c>
      <c r="S206">
        <f t="shared" si="962"/>
        <v>-15012.251436934908</v>
      </c>
      <c r="T206">
        <f t="shared" si="963"/>
        <v>-15.012251436934909</v>
      </c>
    </row>
    <row r="207" spans="1:20" x14ac:dyDescent="0.25">
      <c r="A207" s="5">
        <v>44386</v>
      </c>
      <c r="B207">
        <v>0.40573999999999999</v>
      </c>
      <c r="C207">
        <v>0.42</v>
      </c>
      <c r="D207">
        <v>0.4</v>
      </c>
      <c r="E207">
        <v>0.41487000000000002</v>
      </c>
      <c r="F207">
        <v>6685380.5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0.48700000000000226</v>
      </c>
      <c r="Q207">
        <f t="shared" si="960"/>
        <v>3255780.3035000153</v>
      </c>
      <c r="R207">
        <f t="shared" si="961"/>
        <v>-1504088295.9008067</v>
      </c>
      <c r="S207">
        <f t="shared" si="962"/>
        <v>-15040.882959008066</v>
      </c>
      <c r="T207">
        <f t="shared" si="963"/>
        <v>-15.040882959008066</v>
      </c>
    </row>
    <row r="208" spans="1:20" x14ac:dyDescent="0.25">
      <c r="A208" s="5">
        <v>44385</v>
      </c>
      <c r="B208">
        <v>0.44374999999999998</v>
      </c>
      <c r="C208">
        <v>0.44547999999999999</v>
      </c>
      <c r="D208">
        <v>0.40100000000000002</v>
      </c>
      <c r="E208">
        <v>0.40550000000000003</v>
      </c>
      <c r="F208">
        <v>7543679.2000000002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-0.79766187050359683</v>
      </c>
      <c r="Q208">
        <f t="shared" si="960"/>
        <v>-6017305.2611510772</v>
      </c>
      <c r="R208">
        <f t="shared" si="961"/>
        <v>-1507344076.2043066</v>
      </c>
      <c r="S208">
        <f t="shared" si="962"/>
        <v>-15073.440762043067</v>
      </c>
      <c r="T208">
        <f t="shared" si="963"/>
        <v>-15.073440762043067</v>
      </c>
    </row>
    <row r="209" spans="1:20" x14ac:dyDescent="0.25">
      <c r="A209" s="5">
        <v>44384</v>
      </c>
      <c r="B209">
        <v>0.43408000000000002</v>
      </c>
      <c r="C209">
        <v>0.46911000000000003</v>
      </c>
      <c r="D209">
        <v>0.42399999999999999</v>
      </c>
      <c r="E209">
        <v>0.44374999999999998</v>
      </c>
      <c r="F209">
        <v>34266939.700000003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-0.12436266903125813</v>
      </c>
      <c r="Q209">
        <f t="shared" si="960"/>
        <v>-4261528.0806251802</v>
      </c>
      <c r="R209">
        <f t="shared" si="961"/>
        <v>-1501326770.9431555</v>
      </c>
      <c r="S209">
        <f t="shared" si="962"/>
        <v>-15013.267709431555</v>
      </c>
      <c r="T209">
        <f t="shared" si="963"/>
        <v>-15.013267709431554</v>
      </c>
    </row>
    <row r="210" spans="1:20" x14ac:dyDescent="0.25">
      <c r="A210" s="5">
        <v>44383</v>
      </c>
      <c r="B210">
        <v>0.41609000000000002</v>
      </c>
      <c r="C210">
        <v>0.43974000000000002</v>
      </c>
      <c r="D210">
        <v>0.41317999999999999</v>
      </c>
      <c r="E210">
        <v>0.43461</v>
      </c>
      <c r="F210">
        <v>11652777.6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0.61370481927710707</v>
      </c>
      <c r="Q210">
        <f t="shared" si="960"/>
        <v>7151365.7710843217</v>
      </c>
      <c r="R210">
        <f t="shared" si="961"/>
        <v>-1497065242.8625302</v>
      </c>
      <c r="S210">
        <f t="shared" si="962"/>
        <v>-14970.652428625302</v>
      </c>
      <c r="T210">
        <f t="shared" si="963"/>
        <v>-14.970652428625302</v>
      </c>
    </row>
    <row r="211" spans="1:20" x14ac:dyDescent="0.25">
      <c r="A211" s="5">
        <v>44382</v>
      </c>
      <c r="B211">
        <v>0.44024999999999997</v>
      </c>
      <c r="C211">
        <v>0.44030000000000002</v>
      </c>
      <c r="D211">
        <v>0.40799999999999997</v>
      </c>
      <c r="E211">
        <v>0.41535</v>
      </c>
      <c r="F211">
        <v>12034420.1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-0.54489164086687236</v>
      </c>
      <c r="Q211">
        <f t="shared" si="960"/>
        <v>-6557454.91517027</v>
      </c>
      <c r="R211">
        <f t="shared" si="961"/>
        <v>-1504216608.6336145</v>
      </c>
      <c r="S211">
        <f t="shared" si="962"/>
        <v>-15042.166086336145</v>
      </c>
      <c r="T211">
        <f t="shared" si="963"/>
        <v>-15.042166086336145</v>
      </c>
    </row>
    <row r="212" spans="1:20" x14ac:dyDescent="0.25">
      <c r="A212" s="5">
        <v>44381</v>
      </c>
      <c r="B212">
        <v>0.44188</v>
      </c>
      <c r="C212">
        <v>0.46251999999999999</v>
      </c>
      <c r="D212">
        <v>0.43336000000000002</v>
      </c>
      <c r="E212">
        <v>0.44024999999999997</v>
      </c>
      <c r="F212">
        <v>9326124.8000000007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-0.52743484224965975</v>
      </c>
      <c r="Q212">
        <f t="shared" si="960"/>
        <v>-4918923.1626886399</v>
      </c>
      <c r="R212">
        <f t="shared" si="961"/>
        <v>-1497659153.7184443</v>
      </c>
      <c r="S212">
        <f t="shared" si="962"/>
        <v>-14976.591537184444</v>
      </c>
      <c r="T212">
        <f t="shared" si="963"/>
        <v>-14.976591537184444</v>
      </c>
    </row>
    <row r="213" spans="1:20" x14ac:dyDescent="0.25">
      <c r="A213" s="5">
        <v>44380</v>
      </c>
      <c r="B213">
        <v>0.44835000000000003</v>
      </c>
      <c r="C213">
        <v>0.45397999999999999</v>
      </c>
      <c r="D213">
        <v>0.43139</v>
      </c>
      <c r="E213">
        <v>0.44194</v>
      </c>
      <c r="F213">
        <v>7966867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-6.5958388667551632E-2</v>
      </c>
      <c r="Q213">
        <f t="shared" si="960"/>
        <v>-525481.71004869102</v>
      </c>
      <c r="R213">
        <f t="shared" si="961"/>
        <v>-1492740230.5557556</v>
      </c>
      <c r="S213">
        <f t="shared" si="962"/>
        <v>-14927.402305557556</v>
      </c>
      <c r="T213">
        <f t="shared" si="963"/>
        <v>-14.927402305557557</v>
      </c>
    </row>
    <row r="214" spans="1:20" x14ac:dyDescent="0.25">
      <c r="A214" s="5">
        <v>44379</v>
      </c>
      <c r="B214">
        <v>0.41560999999999998</v>
      </c>
      <c r="C214">
        <v>0.48671999999999999</v>
      </c>
      <c r="D214">
        <v>0.39760000000000001</v>
      </c>
      <c r="E214">
        <v>0.44838</v>
      </c>
      <c r="F214">
        <v>22335109.300000001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0.13958707360861772</v>
      </c>
      <c r="Q214">
        <f t="shared" si="960"/>
        <v>3117692.5459156223</v>
      </c>
      <c r="R214">
        <f t="shared" si="961"/>
        <v>-1492214748.8457069</v>
      </c>
      <c r="S214">
        <f t="shared" si="962"/>
        <v>-14922.147488457069</v>
      </c>
      <c r="T214">
        <f t="shared" si="963"/>
        <v>-14.922147488457069</v>
      </c>
    </row>
    <row r="215" spans="1:20" x14ac:dyDescent="0.25">
      <c r="A215" s="5">
        <v>44378</v>
      </c>
      <c r="B215">
        <v>0.44936999999999999</v>
      </c>
      <c r="C215">
        <v>0.45184999999999997</v>
      </c>
      <c r="D215">
        <v>0.40699999999999997</v>
      </c>
      <c r="E215">
        <v>0.41602</v>
      </c>
      <c r="F215">
        <v>7776436.9000000004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-0.59777034559643127</v>
      </c>
      <c r="Q215">
        <f t="shared" si="960"/>
        <v>-4648523.3732218407</v>
      </c>
      <c r="R215">
        <f t="shared" si="961"/>
        <v>-1495332441.3916225</v>
      </c>
      <c r="S215">
        <f t="shared" si="962"/>
        <v>-14953.324413916225</v>
      </c>
      <c r="T215">
        <f t="shared" si="963"/>
        <v>-14.953324413916226</v>
      </c>
    </row>
    <row r="216" spans="1:20" x14ac:dyDescent="0.25">
      <c r="A216" s="5">
        <v>44377</v>
      </c>
      <c r="B216">
        <v>0.47644999999999998</v>
      </c>
      <c r="C216">
        <v>0.47783999999999999</v>
      </c>
      <c r="D216">
        <v>0.42343999999999998</v>
      </c>
      <c r="E216">
        <v>0.44875999999999999</v>
      </c>
      <c r="F216">
        <v>10918880.199999999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-6.9117647058823256E-2</v>
      </c>
      <c r="Q216">
        <f t="shared" si="960"/>
        <v>-754687.30794117344</v>
      </c>
      <c r="R216">
        <f t="shared" si="961"/>
        <v>-1490683918.0184007</v>
      </c>
      <c r="S216">
        <f t="shared" si="962"/>
        <v>-14906.839180184006</v>
      </c>
      <c r="T216">
        <f t="shared" si="963"/>
        <v>-14.906839180184006</v>
      </c>
    </row>
    <row r="217" spans="1:20" x14ac:dyDescent="0.25">
      <c r="A217" s="5">
        <v>44376</v>
      </c>
      <c r="B217">
        <v>0.47170000000000001</v>
      </c>
      <c r="C217">
        <v>0.51890000000000003</v>
      </c>
      <c r="D217">
        <v>0.46405000000000002</v>
      </c>
      <c r="E217">
        <v>0.4768</v>
      </c>
      <c r="F217">
        <v>20471267.699999999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-0.53509571558796787</v>
      </c>
      <c r="Q217">
        <f t="shared" si="960"/>
        <v>-10954087.638924353</v>
      </c>
      <c r="R217">
        <f t="shared" si="961"/>
        <v>-1489929230.7104595</v>
      </c>
      <c r="S217">
        <f t="shared" si="962"/>
        <v>-14899.292307104595</v>
      </c>
      <c r="T217">
        <f t="shared" si="963"/>
        <v>-14.899292307104595</v>
      </c>
    </row>
    <row r="218" spans="1:20" x14ac:dyDescent="0.25">
      <c r="A218" s="5">
        <v>44375</v>
      </c>
      <c r="B218">
        <v>0.49209999999999998</v>
      </c>
      <c r="C218">
        <v>0.50663000000000002</v>
      </c>
      <c r="D218">
        <v>0.45050000000000001</v>
      </c>
      <c r="E218">
        <v>0.47088999999999998</v>
      </c>
      <c r="F218">
        <v>30993909.199999999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-0.27347229645466031</v>
      </c>
      <c r="Q218">
        <f t="shared" si="960"/>
        <v>-8475975.5250312239</v>
      </c>
      <c r="R218">
        <f t="shared" si="961"/>
        <v>-1478975143.0715351</v>
      </c>
      <c r="S218">
        <f t="shared" si="962"/>
        <v>-14789.751430715351</v>
      </c>
      <c r="T218">
        <f t="shared" si="963"/>
        <v>-14.78975143071535</v>
      </c>
    </row>
    <row r="219" spans="1:20" x14ac:dyDescent="0.25">
      <c r="A219" s="5">
        <v>44374</v>
      </c>
      <c r="B219">
        <v>0.41376000000000002</v>
      </c>
      <c r="C219">
        <v>0.58496999999999999</v>
      </c>
      <c r="D219">
        <v>0.39113999999999999</v>
      </c>
      <c r="E219">
        <v>0.49181999999999998</v>
      </c>
      <c r="F219">
        <v>137303382.09999999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3.8848475468193679E-2</v>
      </c>
      <c r="Q219">
        <f t="shared" si="960"/>
        <v>5334027.0712118726</v>
      </c>
      <c r="R219">
        <f t="shared" si="961"/>
        <v>-1470499167.5465038</v>
      </c>
      <c r="S219">
        <f t="shared" si="962"/>
        <v>-14704.991675465038</v>
      </c>
      <c r="T219">
        <f t="shared" si="963"/>
        <v>-14.704991675465038</v>
      </c>
    </row>
    <row r="220" spans="1:20" x14ac:dyDescent="0.25">
      <c r="A220" s="5">
        <v>44373</v>
      </c>
      <c r="B220">
        <v>0.35104000000000002</v>
      </c>
      <c r="C220">
        <v>0.43</v>
      </c>
      <c r="D220">
        <v>0.32283000000000001</v>
      </c>
      <c r="E220">
        <v>0.41365000000000002</v>
      </c>
      <c r="F220">
        <v>28355252.600000001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0.69487729775123674</v>
      </c>
      <c r="Q220">
        <f t="shared" si="960"/>
        <v>19703421.303741731</v>
      </c>
      <c r="R220">
        <f t="shared" si="961"/>
        <v>-1475833194.6177156</v>
      </c>
      <c r="S220">
        <f t="shared" si="962"/>
        <v>-14758.331946177155</v>
      </c>
      <c r="T220">
        <f t="shared" si="963"/>
        <v>-14.758331946177154</v>
      </c>
    </row>
    <row r="221" spans="1:20" x14ac:dyDescent="0.25">
      <c r="A221" s="5">
        <v>44372</v>
      </c>
      <c r="B221">
        <v>0.38790000000000002</v>
      </c>
      <c r="C221">
        <v>0.40351999999999999</v>
      </c>
      <c r="D221">
        <v>0.34388000000000002</v>
      </c>
      <c r="E221">
        <v>0.35104999999999997</v>
      </c>
      <c r="F221">
        <v>6544962.7000000002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-0.75955734406438769</v>
      </c>
      <c r="Q221">
        <f t="shared" si="960"/>
        <v>-4971274.485412484</v>
      </c>
      <c r="R221">
        <f t="shared" si="961"/>
        <v>-1495536615.9214573</v>
      </c>
      <c r="S221">
        <f t="shared" si="962"/>
        <v>-14955.366159214573</v>
      </c>
      <c r="T221">
        <f t="shared" si="963"/>
        <v>-14.955366159214572</v>
      </c>
    </row>
    <row r="222" spans="1:20" x14ac:dyDescent="0.25">
      <c r="A222" s="5">
        <v>44371</v>
      </c>
      <c r="B222">
        <v>0.37694</v>
      </c>
      <c r="C222">
        <v>0.39995999999999998</v>
      </c>
      <c r="D222">
        <v>0.35476000000000002</v>
      </c>
      <c r="E222">
        <v>0.38700000000000001</v>
      </c>
      <c r="F222">
        <v>5660868.5999999996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0.42654867256637247</v>
      </c>
      <c r="Q222">
        <f t="shared" si="960"/>
        <v>2414635.9869026593</v>
      </c>
      <c r="R222">
        <f t="shared" si="961"/>
        <v>-1490565341.4360447</v>
      </c>
      <c r="S222">
        <f t="shared" si="962"/>
        <v>-14905.653414360448</v>
      </c>
      <c r="T222">
        <f t="shared" si="963"/>
        <v>-14.905653414360447</v>
      </c>
    </row>
    <row r="223" spans="1:20" x14ac:dyDescent="0.25">
      <c r="A223" s="5">
        <v>44370</v>
      </c>
      <c r="B223">
        <v>0.35348000000000002</v>
      </c>
      <c r="C223">
        <v>0.42299999999999999</v>
      </c>
      <c r="D223">
        <v>0.34137000000000001</v>
      </c>
      <c r="E223">
        <v>0.37786999999999998</v>
      </c>
      <c r="F223">
        <v>11559733.800000001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-0.10572093593041809</v>
      </c>
      <c r="Q223">
        <f t="shared" si="960"/>
        <v>-1222105.8764424885</v>
      </c>
      <c r="R223">
        <f t="shared" si="961"/>
        <v>-1492979977.4229474</v>
      </c>
      <c r="S223">
        <f t="shared" si="962"/>
        <v>-14929.799774229474</v>
      </c>
      <c r="T223">
        <f t="shared" si="963"/>
        <v>-14.929799774229474</v>
      </c>
    </row>
    <row r="224" spans="1:20" x14ac:dyDescent="0.25">
      <c r="A224" s="5">
        <v>44369</v>
      </c>
      <c r="B224">
        <v>0.39759</v>
      </c>
      <c r="C224">
        <v>0.42299999999999999</v>
      </c>
      <c r="D224">
        <v>0.31137999999999999</v>
      </c>
      <c r="E224">
        <v>0.35352</v>
      </c>
      <c r="F224">
        <v>21157390.800000001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-0.24493818312130422</v>
      </c>
      <c r="Q224">
        <f t="shared" si="960"/>
        <v>-5182252.8621393973</v>
      </c>
      <c r="R224">
        <f t="shared" si="961"/>
        <v>-1491757871.546505</v>
      </c>
      <c r="S224">
        <f t="shared" si="962"/>
        <v>-14917.57871546505</v>
      </c>
      <c r="T224">
        <f t="shared" si="963"/>
        <v>-14.91757871546505</v>
      </c>
    </row>
    <row r="225" spans="1:20" x14ac:dyDescent="0.25">
      <c r="A225" s="5">
        <v>44368</v>
      </c>
      <c r="B225">
        <v>0.50749</v>
      </c>
      <c r="C225">
        <v>0.51010999999999995</v>
      </c>
      <c r="D225">
        <v>0.39494000000000001</v>
      </c>
      <c r="E225">
        <v>0.39787</v>
      </c>
      <c r="F225">
        <v>14042415.699999999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-0.94911869410436767</v>
      </c>
      <c r="Q225">
        <f t="shared" si="960"/>
        <v>-13327919.251254668</v>
      </c>
      <c r="R225">
        <f t="shared" si="961"/>
        <v>-1486575618.6843655</v>
      </c>
      <c r="S225">
        <f t="shared" si="962"/>
        <v>-14865.756186843655</v>
      </c>
      <c r="T225">
        <f t="shared" si="963"/>
        <v>-14.865756186843655</v>
      </c>
    </row>
    <row r="226" spans="1:20" x14ac:dyDescent="0.25">
      <c r="A226" s="5">
        <v>44367</v>
      </c>
      <c r="B226">
        <v>0.50761000000000001</v>
      </c>
      <c r="C226">
        <v>0.52298</v>
      </c>
      <c r="D226">
        <v>0.46733999999999998</v>
      </c>
      <c r="E226">
        <v>0.50634999999999997</v>
      </c>
      <c r="F226">
        <v>9825640.9000000004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0.40222861250898539</v>
      </c>
      <c r="Q226">
        <f t="shared" si="960"/>
        <v>3952153.9062185385</v>
      </c>
      <c r="R226">
        <f t="shared" si="961"/>
        <v>-1473247699.433111</v>
      </c>
      <c r="S226">
        <f t="shared" si="962"/>
        <v>-14732.476994331109</v>
      </c>
      <c r="T226">
        <f t="shared" si="963"/>
        <v>-14.73247699433111</v>
      </c>
    </row>
    <row r="227" spans="1:20" x14ac:dyDescent="0.25">
      <c r="A227" s="5">
        <v>44366</v>
      </c>
      <c r="B227">
        <v>0.53885000000000005</v>
      </c>
      <c r="C227">
        <v>0.54654999999999998</v>
      </c>
      <c r="D227">
        <v>0.50524999999999998</v>
      </c>
      <c r="E227">
        <v>0.50760000000000005</v>
      </c>
      <c r="F227">
        <v>5403657.5999999996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-0.88619854721549274</v>
      </c>
      <c r="Q227">
        <f t="shared" si="960"/>
        <v>-4788713.5147699555</v>
      </c>
      <c r="R227">
        <f t="shared" si="961"/>
        <v>-1477199853.3393295</v>
      </c>
      <c r="S227">
        <f t="shared" si="962"/>
        <v>-14771.998533393295</v>
      </c>
      <c r="T227">
        <f t="shared" si="963"/>
        <v>-14.771998533393294</v>
      </c>
    </row>
    <row r="228" spans="1:20" x14ac:dyDescent="0.25">
      <c r="A228" s="5">
        <v>44365</v>
      </c>
      <c r="B228">
        <v>0.55718000000000001</v>
      </c>
      <c r="C228">
        <v>0.61499999999999999</v>
      </c>
      <c r="D228">
        <v>0.50705</v>
      </c>
      <c r="E228">
        <v>0.53854000000000002</v>
      </c>
      <c r="F228">
        <v>40015220.200000003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-0.41658175081056004</v>
      </c>
      <c r="Q228">
        <f t="shared" si="960"/>
        <v>-16669610.48998609</v>
      </c>
      <c r="R228">
        <f t="shared" si="961"/>
        <v>-1472411139.8245595</v>
      </c>
      <c r="S228">
        <f t="shared" si="962"/>
        <v>-14724.111398245595</v>
      </c>
      <c r="T228">
        <f t="shared" si="963"/>
        <v>-14.724111398245595</v>
      </c>
    </row>
    <row r="229" spans="1:20" x14ac:dyDescent="0.25">
      <c r="A229" s="5">
        <v>44364</v>
      </c>
      <c r="B229">
        <v>0.56652000000000002</v>
      </c>
      <c r="C229">
        <v>0.58481000000000005</v>
      </c>
      <c r="D229">
        <v>0.52595000000000003</v>
      </c>
      <c r="E229">
        <v>0.55711999999999995</v>
      </c>
      <c r="F229">
        <v>36105369.100000001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5.9123343527010111E-2</v>
      </c>
      <c r="Q229">
        <f t="shared" si="960"/>
        <v>2134670.1404687958</v>
      </c>
      <c r="R229">
        <f t="shared" si="961"/>
        <v>-1455741529.3345733</v>
      </c>
      <c r="S229">
        <f t="shared" si="962"/>
        <v>-14557.415293345734</v>
      </c>
      <c r="T229">
        <f t="shared" si="963"/>
        <v>-14.557415293345734</v>
      </c>
    </row>
    <row r="230" spans="1:20" x14ac:dyDescent="0.25">
      <c r="A230" s="5">
        <v>44363</v>
      </c>
      <c r="B230">
        <v>0.58650000000000002</v>
      </c>
      <c r="C230">
        <v>0.58940000000000003</v>
      </c>
      <c r="D230">
        <v>0.54688000000000003</v>
      </c>
      <c r="E230">
        <v>0.56642999999999999</v>
      </c>
      <c r="F230">
        <v>13417932.199999999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-8.0432737535279616E-2</v>
      </c>
      <c r="Q230">
        <f t="shared" si="960"/>
        <v>-1079241.018908777</v>
      </c>
      <c r="R230">
        <f t="shared" si="961"/>
        <v>-1457876199.4750421</v>
      </c>
      <c r="S230">
        <f t="shared" si="962"/>
        <v>-14578.761994750421</v>
      </c>
      <c r="T230">
        <f t="shared" si="963"/>
        <v>-14.578761994750421</v>
      </c>
    </row>
    <row r="231" spans="1:20" x14ac:dyDescent="0.25">
      <c r="A231" s="5">
        <v>44362</v>
      </c>
      <c r="B231">
        <v>0.59514999999999996</v>
      </c>
      <c r="C231">
        <v>0.62</v>
      </c>
      <c r="D231">
        <v>0.57723999999999998</v>
      </c>
      <c r="E231">
        <v>0.58657999999999999</v>
      </c>
      <c r="F231">
        <v>11715530.4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-0.56314312441534098</v>
      </c>
      <c r="Q231">
        <f t="shared" si="960"/>
        <v>-6597520.3936389098</v>
      </c>
      <c r="R231">
        <f t="shared" si="961"/>
        <v>-1456796958.4561334</v>
      </c>
      <c r="S231">
        <f t="shared" si="962"/>
        <v>-14567.969584561333</v>
      </c>
      <c r="T231">
        <f t="shared" si="963"/>
        <v>-14.567969584561332</v>
      </c>
    </row>
    <row r="232" spans="1:20" x14ac:dyDescent="0.25">
      <c r="A232" s="5">
        <v>44361</v>
      </c>
      <c r="B232">
        <v>0.59145999999999999</v>
      </c>
      <c r="C232">
        <v>0.61</v>
      </c>
      <c r="D232">
        <v>0.57696000000000003</v>
      </c>
      <c r="E232">
        <v>0.59474000000000005</v>
      </c>
      <c r="F232">
        <v>6415163.4000000004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7.6271186440680414E-2</v>
      </c>
      <c r="Q232">
        <f t="shared" si="960"/>
        <v>489292.12372882926</v>
      </c>
      <c r="R232">
        <f t="shared" si="961"/>
        <v>-1450199438.0624945</v>
      </c>
      <c r="S232">
        <f t="shared" si="962"/>
        <v>-14501.994380624945</v>
      </c>
      <c r="T232">
        <f t="shared" si="963"/>
        <v>-14.501994380624945</v>
      </c>
    </row>
    <row r="233" spans="1:20" x14ac:dyDescent="0.25">
      <c r="A233" s="5">
        <v>44360</v>
      </c>
      <c r="B233">
        <v>0.55034000000000005</v>
      </c>
      <c r="C233">
        <v>0.60638999999999998</v>
      </c>
      <c r="D233">
        <v>0.53132000000000001</v>
      </c>
      <c r="E233">
        <v>0.59211999999999998</v>
      </c>
      <c r="F233">
        <v>10236177.4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0.61982149993339519</v>
      </c>
      <c r="Q233">
        <f t="shared" si="960"/>
        <v>6344602.8296523215</v>
      </c>
      <c r="R233">
        <f t="shared" si="961"/>
        <v>-1450688730.1862233</v>
      </c>
      <c r="S233">
        <f t="shared" si="962"/>
        <v>-14506.887301862233</v>
      </c>
      <c r="T233">
        <f t="shared" si="963"/>
        <v>-14.506887301862232</v>
      </c>
    </row>
    <row r="234" spans="1:20" x14ac:dyDescent="0.25">
      <c r="A234" s="5">
        <v>44359</v>
      </c>
      <c r="B234">
        <v>0.57611999999999997</v>
      </c>
      <c r="C234">
        <v>0.58521999999999996</v>
      </c>
      <c r="D234">
        <v>0.53652999999999995</v>
      </c>
      <c r="E234">
        <v>0.55035000000000001</v>
      </c>
      <c r="F234">
        <v>13605926.9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-0.43232696652289787</v>
      </c>
      <c r="Q234">
        <f t="shared" si="960"/>
        <v>-5882209.1034092959</v>
      </c>
      <c r="R234">
        <f t="shared" si="961"/>
        <v>-1457033333.0158756</v>
      </c>
      <c r="S234">
        <f t="shared" si="962"/>
        <v>-14570.333330158755</v>
      </c>
      <c r="T234">
        <f t="shared" si="963"/>
        <v>-14.570333330158755</v>
      </c>
    </row>
    <row r="235" spans="1:20" x14ac:dyDescent="0.25">
      <c r="A235" s="5">
        <v>44358</v>
      </c>
      <c r="B235">
        <v>0.63785999999999998</v>
      </c>
      <c r="C235">
        <v>0.65347</v>
      </c>
      <c r="D235">
        <v>0.56999999999999995</v>
      </c>
      <c r="E235">
        <v>0.57601000000000002</v>
      </c>
      <c r="F235">
        <v>16802967.5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-0.85599616628728725</v>
      </c>
      <c r="Q235">
        <f t="shared" si="960"/>
        <v>-14383275.762249883</v>
      </c>
      <c r="R235">
        <f t="shared" si="961"/>
        <v>-1451151123.9124663</v>
      </c>
      <c r="S235">
        <f t="shared" si="962"/>
        <v>-14511.511239124662</v>
      </c>
      <c r="T235">
        <f t="shared" si="963"/>
        <v>-14.511511239124662</v>
      </c>
    </row>
    <row r="236" spans="1:20" x14ac:dyDescent="0.25">
      <c r="A236" s="5">
        <v>44357</v>
      </c>
      <c r="B236">
        <v>0.62470000000000003</v>
      </c>
      <c r="C236">
        <v>0.77986999999999995</v>
      </c>
      <c r="D236">
        <v>0.60106000000000004</v>
      </c>
      <c r="E236">
        <v>0.63785000000000003</v>
      </c>
      <c r="F236">
        <v>50913194.899999999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-0.5885017616464403</v>
      </c>
      <c r="Q236">
        <f t="shared" si="960"/>
        <v>-29962504.889698558</v>
      </c>
      <c r="R236">
        <f t="shared" si="961"/>
        <v>-1436767848.1502163</v>
      </c>
      <c r="S236">
        <f t="shared" si="962"/>
        <v>-14367.678481502164</v>
      </c>
      <c r="T236">
        <f t="shared" si="963"/>
        <v>-14.367678481502164</v>
      </c>
    </row>
    <row r="237" spans="1:20" x14ac:dyDescent="0.25">
      <c r="A237" s="5">
        <v>44356</v>
      </c>
      <c r="B237">
        <v>0.60477000000000003</v>
      </c>
      <c r="C237">
        <v>0.62483</v>
      </c>
      <c r="D237">
        <v>0.56686000000000003</v>
      </c>
      <c r="E237">
        <v>0.62470000000000003</v>
      </c>
      <c r="F237">
        <v>14243651.800000001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0.99551492151112775</v>
      </c>
      <c r="Q237">
        <f t="shared" si="960"/>
        <v>14179767.903708834</v>
      </c>
      <c r="R237">
        <f t="shared" si="961"/>
        <v>-1406805343.2605178</v>
      </c>
      <c r="S237">
        <f t="shared" si="962"/>
        <v>-14068.053432605178</v>
      </c>
      <c r="T237">
        <f t="shared" si="963"/>
        <v>-14.068053432605179</v>
      </c>
    </row>
    <row r="238" spans="1:20" x14ac:dyDescent="0.25">
      <c r="A238" s="5">
        <v>44355</v>
      </c>
      <c r="B238">
        <v>0.64429000000000003</v>
      </c>
      <c r="C238">
        <v>0.65022999999999997</v>
      </c>
      <c r="D238">
        <v>0.53580000000000005</v>
      </c>
      <c r="E238">
        <v>0.60540000000000005</v>
      </c>
      <c r="F238">
        <v>19401462.899999999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0.21646421392991425</v>
      </c>
      <c r="Q238">
        <f t="shared" si="960"/>
        <v>4199722.4157388937</v>
      </c>
      <c r="R238">
        <f t="shared" si="961"/>
        <v>-1420985111.1642268</v>
      </c>
      <c r="S238">
        <f t="shared" si="962"/>
        <v>-14209.851111642267</v>
      </c>
      <c r="T238">
        <f t="shared" si="963"/>
        <v>-14.209851111642267</v>
      </c>
    </row>
    <row r="239" spans="1:20" x14ac:dyDescent="0.25">
      <c r="A239" s="5">
        <v>44354</v>
      </c>
      <c r="B239">
        <v>0.69535999999999998</v>
      </c>
      <c r="C239">
        <v>0.72370000000000001</v>
      </c>
      <c r="D239">
        <v>0.61399999999999999</v>
      </c>
      <c r="E239">
        <v>0.64705000000000001</v>
      </c>
      <c r="F239">
        <v>17001550.899999999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-0.39744758432087479</v>
      </c>
      <c r="Q239">
        <f t="shared" si="960"/>
        <v>-6757225.3349133944</v>
      </c>
      <c r="R239">
        <f t="shared" si="961"/>
        <v>-1425184833.5799656</v>
      </c>
      <c r="S239">
        <f t="shared" si="962"/>
        <v>-14251.848335799656</v>
      </c>
      <c r="T239">
        <f t="shared" si="963"/>
        <v>-14.251848335799655</v>
      </c>
    </row>
    <row r="240" spans="1:20" x14ac:dyDescent="0.25">
      <c r="A240" s="5">
        <v>44353</v>
      </c>
      <c r="B240">
        <v>0.67269000000000001</v>
      </c>
      <c r="C240">
        <v>0.70909</v>
      </c>
      <c r="D240">
        <v>0.66886000000000001</v>
      </c>
      <c r="E240">
        <v>0.69535999999999998</v>
      </c>
      <c r="F240">
        <v>6334654.2999999998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0.31742480735769207</v>
      </c>
      <c r="Q240">
        <f t="shared" si="960"/>
        <v>2010776.4208550756</v>
      </c>
      <c r="R240">
        <f t="shared" si="961"/>
        <v>-1418427608.2450521</v>
      </c>
      <c r="S240">
        <f t="shared" si="962"/>
        <v>-14184.27608245052</v>
      </c>
      <c r="T240">
        <f t="shared" si="963"/>
        <v>-14.18427608245052</v>
      </c>
    </row>
    <row r="241" spans="1:20" x14ac:dyDescent="0.25">
      <c r="A241" s="5">
        <v>44352</v>
      </c>
      <c r="B241">
        <v>0.70701999999999998</v>
      </c>
      <c r="C241">
        <v>0.75</v>
      </c>
      <c r="D241">
        <v>0.65</v>
      </c>
      <c r="E241">
        <v>0.67171000000000003</v>
      </c>
      <c r="F241">
        <v>20020071.5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-0.56579999999999975</v>
      </c>
      <c r="Q241">
        <f t="shared" si="960"/>
        <v>-11327356.454699995</v>
      </c>
      <c r="R241">
        <f t="shared" si="961"/>
        <v>-1420438384.6659071</v>
      </c>
      <c r="S241">
        <f t="shared" si="962"/>
        <v>-14204.383846659071</v>
      </c>
      <c r="T241">
        <f t="shared" si="963"/>
        <v>-14.204383846659072</v>
      </c>
    </row>
    <row r="242" spans="1:20" x14ac:dyDescent="0.25">
      <c r="A242" s="5">
        <v>44351</v>
      </c>
      <c r="B242">
        <v>0.81108000000000002</v>
      </c>
      <c r="C242">
        <v>0.82111000000000001</v>
      </c>
      <c r="D242">
        <v>0.65190999999999999</v>
      </c>
      <c r="E242">
        <v>0.70591000000000004</v>
      </c>
      <c r="F242">
        <v>31429359.199999999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-0.36170212765957399</v>
      </c>
      <c r="Q242">
        <f t="shared" si="960"/>
        <v>-11368066.093617005</v>
      </c>
      <c r="R242">
        <f t="shared" si="961"/>
        <v>-1409111028.2112072</v>
      </c>
      <c r="S242">
        <f t="shared" si="962"/>
        <v>-14091.110282112071</v>
      </c>
      <c r="T242">
        <f t="shared" si="963"/>
        <v>-14.091110282112071</v>
      </c>
    </row>
    <row r="243" spans="1:20" x14ac:dyDescent="0.25">
      <c r="A243" s="5">
        <v>44350</v>
      </c>
      <c r="B243">
        <v>0.71101000000000003</v>
      </c>
      <c r="C243">
        <v>0.871</v>
      </c>
      <c r="D243">
        <v>0.69779000000000002</v>
      </c>
      <c r="E243">
        <v>0.81159000000000003</v>
      </c>
      <c r="F243">
        <v>24998051.5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0.31401189307776722</v>
      </c>
      <c r="Q243">
        <f t="shared" si="960"/>
        <v>7849685.474770519</v>
      </c>
      <c r="R243">
        <f t="shared" si="961"/>
        <v>-1397742962.1175902</v>
      </c>
      <c r="S243">
        <f t="shared" si="962"/>
        <v>-13977.429621175901</v>
      </c>
      <c r="T243">
        <f t="shared" si="963"/>
        <v>-13.977429621175901</v>
      </c>
    </row>
    <row r="244" spans="1:20" x14ac:dyDescent="0.25">
      <c r="A244" s="5">
        <v>44349</v>
      </c>
      <c r="B244">
        <v>0.68491000000000002</v>
      </c>
      <c r="C244">
        <v>0.77498999999999996</v>
      </c>
      <c r="D244">
        <v>0.65820999999999996</v>
      </c>
      <c r="E244">
        <v>0.71099999999999997</v>
      </c>
      <c r="F244">
        <v>20952209.699999999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-9.5906833361876928E-2</v>
      </c>
      <c r="Q244">
        <f t="shared" si="960"/>
        <v>-2009460.0842610013</v>
      </c>
      <c r="R244">
        <f t="shared" si="961"/>
        <v>-1405592647.5923607</v>
      </c>
      <c r="S244">
        <f t="shared" si="962"/>
        <v>-14055.926475923607</v>
      </c>
      <c r="T244">
        <f t="shared" si="963"/>
        <v>-14.055926475923606</v>
      </c>
    </row>
    <row r="245" spans="1:20" x14ac:dyDescent="0.25">
      <c r="A245" s="5">
        <v>44348</v>
      </c>
      <c r="B245">
        <v>0.71553</v>
      </c>
      <c r="C245">
        <v>0.75166999999999995</v>
      </c>
      <c r="D245">
        <v>0.66554999999999997</v>
      </c>
      <c r="E245">
        <v>0.68317000000000005</v>
      </c>
      <c r="F245">
        <v>11961704.9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-0.59080352995819585</v>
      </c>
      <c r="Q245">
        <f t="shared" si="960"/>
        <v>-7067017.4792382484</v>
      </c>
      <c r="R245">
        <f t="shared" si="961"/>
        <v>-1403583187.5080998</v>
      </c>
      <c r="S245">
        <f t="shared" si="962"/>
        <v>-14035.831875080998</v>
      </c>
      <c r="T245">
        <f t="shared" si="963"/>
        <v>-14.035831875080998</v>
      </c>
    </row>
    <row r="246" spans="1:20" x14ac:dyDescent="0.25">
      <c r="A246" s="5">
        <v>44347</v>
      </c>
      <c r="B246">
        <v>0.63956000000000002</v>
      </c>
      <c r="C246">
        <v>0.72999000000000003</v>
      </c>
      <c r="D246">
        <v>0.60723000000000005</v>
      </c>
      <c r="E246">
        <v>0.71587999999999996</v>
      </c>
      <c r="F246">
        <v>15286629.199999999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0.77012056044313992</v>
      </c>
      <c r="Q246">
        <f t="shared" si="960"/>
        <v>11772547.446790468</v>
      </c>
      <c r="R246">
        <f t="shared" si="961"/>
        <v>-1396516170.0288615</v>
      </c>
      <c r="S246">
        <f t="shared" si="962"/>
        <v>-13965.161700288616</v>
      </c>
      <c r="T246">
        <f t="shared" si="963"/>
        <v>-13.965161700288617</v>
      </c>
    </row>
    <row r="247" spans="1:20" x14ac:dyDescent="0.25">
      <c r="A247" s="5">
        <v>44346</v>
      </c>
      <c r="B247">
        <v>0.61431000000000002</v>
      </c>
      <c r="C247">
        <v>0.67500000000000004</v>
      </c>
      <c r="D247">
        <v>0.57247000000000003</v>
      </c>
      <c r="E247">
        <v>0.64102999999999999</v>
      </c>
      <c r="F247">
        <v>13152209.4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0.33736467375402218</v>
      </c>
      <c r="Q247">
        <f t="shared" si="960"/>
        <v>4437090.8333755843</v>
      </c>
      <c r="R247">
        <f t="shared" si="961"/>
        <v>-1408288717.475652</v>
      </c>
      <c r="S247">
        <f t="shared" si="962"/>
        <v>-14082.887174756519</v>
      </c>
      <c r="T247">
        <f t="shared" si="963"/>
        <v>-14.08288717475652</v>
      </c>
    </row>
    <row r="248" spans="1:20" x14ac:dyDescent="0.25">
      <c r="A248" s="5">
        <v>44345</v>
      </c>
      <c r="B248">
        <v>0.68364999999999998</v>
      </c>
      <c r="C248">
        <v>0.72499999999999998</v>
      </c>
      <c r="D248">
        <v>0.57181999999999999</v>
      </c>
      <c r="E248">
        <v>0.61395999999999995</v>
      </c>
      <c r="F248">
        <v>13774676.9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-0.44979762371066773</v>
      </c>
      <c r="Q248">
        <f t="shared" si="960"/>
        <v>-6195816.9370022276</v>
      </c>
      <c r="R248">
        <f t="shared" si="961"/>
        <v>-1412725808.3090277</v>
      </c>
      <c r="S248">
        <f t="shared" si="962"/>
        <v>-14127.258083090277</v>
      </c>
      <c r="T248">
        <f t="shared" si="963"/>
        <v>-14.127258083090277</v>
      </c>
    </row>
    <row r="249" spans="1:20" x14ac:dyDescent="0.25">
      <c r="A249" s="5">
        <v>44344</v>
      </c>
      <c r="B249">
        <v>0.77934000000000003</v>
      </c>
      <c r="C249">
        <v>0.80510000000000004</v>
      </c>
      <c r="D249">
        <v>0.64600000000000002</v>
      </c>
      <c r="E249">
        <v>0.68569000000000002</v>
      </c>
      <c r="F249">
        <v>18261746.800000001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-0.501068510370836</v>
      </c>
      <c r="Q249">
        <f t="shared" si="960"/>
        <v>-9150386.2658453807</v>
      </c>
      <c r="R249">
        <f t="shared" si="961"/>
        <v>-1406529991.3720255</v>
      </c>
      <c r="S249">
        <f t="shared" si="962"/>
        <v>-14065.299913720255</v>
      </c>
      <c r="T249">
        <f t="shared" si="963"/>
        <v>-14.065299913720255</v>
      </c>
    </row>
    <row r="250" spans="1:20" x14ac:dyDescent="0.25">
      <c r="A250" s="5">
        <v>44343</v>
      </c>
      <c r="B250">
        <v>0.86824000000000001</v>
      </c>
      <c r="C250">
        <v>0.86824000000000001</v>
      </c>
      <c r="D250">
        <v>0.74585999999999997</v>
      </c>
      <c r="E250">
        <v>0.77868999999999999</v>
      </c>
      <c r="F250">
        <v>16684597.6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-0.46347442392547777</v>
      </c>
      <c r="Q250">
        <f t="shared" si="960"/>
        <v>-7732884.2610884085</v>
      </c>
      <c r="R250">
        <f t="shared" si="961"/>
        <v>-1397379605.1061802</v>
      </c>
      <c r="S250">
        <f t="shared" si="962"/>
        <v>-13973.796051061801</v>
      </c>
      <c r="T250">
        <f t="shared" si="963"/>
        <v>-13.973796051061802</v>
      </c>
    </row>
    <row r="251" spans="1:20" x14ac:dyDescent="0.25">
      <c r="A251" s="5">
        <v>44342</v>
      </c>
      <c r="B251">
        <v>0.69921</v>
      </c>
      <c r="C251">
        <v>0.92791999999999997</v>
      </c>
      <c r="D251">
        <v>0.67689999999999995</v>
      </c>
      <c r="E251">
        <v>0.86868000000000001</v>
      </c>
      <c r="F251">
        <v>27380093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0.52800573659469396</v>
      </c>
      <c r="Q251">
        <f t="shared" si="960"/>
        <v>14456846.172496224</v>
      </c>
      <c r="R251">
        <f t="shared" si="961"/>
        <v>-1389646720.8450918</v>
      </c>
      <c r="S251">
        <f t="shared" si="962"/>
        <v>-13896.467208450918</v>
      </c>
      <c r="T251">
        <f t="shared" si="963"/>
        <v>-13.896467208450918</v>
      </c>
    </row>
    <row r="252" spans="1:20" x14ac:dyDescent="0.25">
      <c r="A252" s="5">
        <v>44341</v>
      </c>
      <c r="B252">
        <v>0.73629999999999995</v>
      </c>
      <c r="C252">
        <v>0.75746000000000002</v>
      </c>
      <c r="D252">
        <v>0.62055000000000005</v>
      </c>
      <c r="E252">
        <v>0.7</v>
      </c>
      <c r="F252">
        <v>19566846.699999999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0.16061646337009602</v>
      </c>
      <c r="Q252">
        <f t="shared" si="960"/>
        <v>3142757.7162588341</v>
      </c>
      <c r="R252">
        <f t="shared" si="961"/>
        <v>-1404103567.0175881</v>
      </c>
      <c r="S252">
        <f t="shared" si="962"/>
        <v>-14041.035670175881</v>
      </c>
      <c r="T252">
        <f t="shared" si="963"/>
        <v>-14.041035670175882</v>
      </c>
    </row>
    <row r="253" spans="1:20" x14ac:dyDescent="0.25">
      <c r="A253" s="5">
        <v>44340</v>
      </c>
      <c r="B253">
        <v>0.56196000000000002</v>
      </c>
      <c r="C253">
        <v>0.76449999999999996</v>
      </c>
      <c r="D253">
        <v>0.54040999999999995</v>
      </c>
      <c r="E253">
        <v>0.73629999999999995</v>
      </c>
      <c r="F253">
        <v>24696191.800000001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0.74831540898746041</v>
      </c>
      <c r="Q253">
        <f t="shared" si="960"/>
        <v>18480540.867249768</v>
      </c>
      <c r="R253">
        <f t="shared" si="961"/>
        <v>-1407246324.7338469</v>
      </c>
      <c r="S253">
        <f t="shared" si="962"/>
        <v>-14072.463247338468</v>
      </c>
      <c r="T253">
        <f t="shared" si="963"/>
        <v>-14.072463247338469</v>
      </c>
    </row>
    <row r="254" spans="1:20" x14ac:dyDescent="0.25">
      <c r="A254" s="5">
        <v>44339</v>
      </c>
      <c r="B254">
        <v>0.69137999999999999</v>
      </c>
      <c r="C254">
        <v>0.73579000000000006</v>
      </c>
      <c r="D254">
        <v>0.44188</v>
      </c>
      <c r="E254">
        <v>0.55923</v>
      </c>
      <c r="F254">
        <v>24129626.800000001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-0.20145622809703662</v>
      </c>
      <c r="Q254">
        <f t="shared" si="960"/>
        <v>-4861063.6005171677</v>
      </c>
      <c r="R254">
        <f t="shared" si="961"/>
        <v>-1425726865.6010966</v>
      </c>
      <c r="S254">
        <f t="shared" si="962"/>
        <v>-14257.268656010967</v>
      </c>
      <c r="T254">
        <f t="shared" si="963"/>
        <v>-14.257268656010966</v>
      </c>
    </row>
    <row r="255" spans="1:20" x14ac:dyDescent="0.25">
      <c r="A255" s="5">
        <v>44338</v>
      </c>
      <c r="B255">
        <v>0.78300999999999998</v>
      </c>
      <c r="C255">
        <v>0.79925000000000002</v>
      </c>
      <c r="D255">
        <v>0.66671000000000002</v>
      </c>
      <c r="E255">
        <v>0.69452999999999998</v>
      </c>
      <c r="F255">
        <v>15909582.9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-0.58020220310849624</v>
      </c>
      <c r="Q255">
        <f t="shared" si="960"/>
        <v>-9230775.0491172597</v>
      </c>
      <c r="R255">
        <f t="shared" si="961"/>
        <v>-1420865802.0005794</v>
      </c>
      <c r="S255">
        <f t="shared" si="962"/>
        <v>-14208.658020005794</v>
      </c>
      <c r="T255">
        <f t="shared" si="963"/>
        <v>-14.208658020005794</v>
      </c>
    </row>
    <row r="256" spans="1:20" x14ac:dyDescent="0.25">
      <c r="A256" s="5">
        <v>44337</v>
      </c>
      <c r="B256">
        <v>0.93154000000000003</v>
      </c>
      <c r="C256">
        <v>0.95032000000000005</v>
      </c>
      <c r="D256">
        <v>0.65193999999999996</v>
      </c>
      <c r="E256">
        <v>0.78300000000000003</v>
      </c>
      <c r="F256">
        <v>27103338.399999999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-0.12152289027414688</v>
      </c>
      <c r="Q256">
        <f t="shared" si="960"/>
        <v>-3293676.0184462713</v>
      </c>
      <c r="R256">
        <f t="shared" si="961"/>
        <v>-1411635026.951462</v>
      </c>
      <c r="S256">
        <f t="shared" si="962"/>
        <v>-14116.35026951462</v>
      </c>
      <c r="T256">
        <f t="shared" si="963"/>
        <v>-14.116350269514619</v>
      </c>
    </row>
    <row r="257" spans="1:20" x14ac:dyDescent="0.25">
      <c r="A257" s="5">
        <v>44336</v>
      </c>
      <c r="B257">
        <v>0.70228999999999997</v>
      </c>
      <c r="C257">
        <v>1.01999</v>
      </c>
      <c r="D257">
        <v>0.64124000000000003</v>
      </c>
      <c r="E257">
        <v>0.92983000000000005</v>
      </c>
      <c r="F257">
        <v>37235254.799999997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0.52390759075907634</v>
      </c>
      <c r="Q257">
        <f t="shared" si="960"/>
        <v>19507832.633568332</v>
      </c>
      <c r="R257">
        <f t="shared" si="961"/>
        <v>-1408341350.9330158</v>
      </c>
      <c r="S257">
        <f t="shared" si="962"/>
        <v>-14083.413509330157</v>
      </c>
      <c r="T257">
        <f t="shared" si="963"/>
        <v>-14.083413509330157</v>
      </c>
    </row>
    <row r="258" spans="1:20" x14ac:dyDescent="0.25">
      <c r="A258" s="5">
        <v>44335</v>
      </c>
      <c r="B258">
        <v>1.0960000000000001</v>
      </c>
      <c r="C258">
        <v>1.1083099999999999</v>
      </c>
      <c r="D258">
        <v>0.55000000000000004</v>
      </c>
      <c r="E258">
        <v>0.70506000000000002</v>
      </c>
      <c r="F258">
        <v>50593767.399999999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-0.44453798069173034</v>
      </c>
      <c r="Q258">
        <f t="shared" si="960"/>
        <v>-22490851.195583094</v>
      </c>
      <c r="R258">
        <f t="shared" si="961"/>
        <v>-1427849183.5665841</v>
      </c>
      <c r="S258">
        <f t="shared" si="962"/>
        <v>-14278.491835665842</v>
      </c>
      <c r="T258">
        <f t="shared" si="963"/>
        <v>-14.278491835665841</v>
      </c>
    </row>
    <row r="259" spans="1:20" x14ac:dyDescent="0.25">
      <c r="A259" s="5">
        <v>44334</v>
      </c>
      <c r="B259">
        <v>1.11069</v>
      </c>
      <c r="C259">
        <v>1.21963</v>
      </c>
      <c r="D259">
        <v>1.0580000000000001</v>
      </c>
      <c r="E259">
        <v>1.0961799999999999</v>
      </c>
      <c r="F259">
        <v>35363991.799999997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-0.52756295242220019</v>
      </c>
      <c r="Q259">
        <f t="shared" si="960"/>
        <v>-18656731.923442475</v>
      </c>
      <c r="R259">
        <f t="shared" si="961"/>
        <v>-1405358332.371001</v>
      </c>
      <c r="S259">
        <f t="shared" si="962"/>
        <v>-14053.583323710011</v>
      </c>
      <c r="T259">
        <f t="shared" si="963"/>
        <v>-14.053583323710011</v>
      </c>
    </row>
    <row r="260" spans="1:20" x14ac:dyDescent="0.25">
      <c r="A260" s="5">
        <v>44333</v>
      </c>
      <c r="B260">
        <v>1.145</v>
      </c>
      <c r="C260">
        <v>1.2999000000000001</v>
      </c>
      <c r="D260">
        <v>0.99685999999999997</v>
      </c>
      <c r="E260">
        <v>1.11069</v>
      </c>
      <c r="F260">
        <v>78637029.099999994</v>
      </c>
      <c r="G260">
        <v>0</v>
      </c>
      <c r="L260" t="s">
        <v>8</v>
      </c>
      <c r="M260" t="s">
        <v>8</v>
      </c>
      <c r="N260" t="s">
        <v>7</v>
      </c>
      <c r="P260">
        <f t="shared" si="959"/>
        <v>-0.24874604012671625</v>
      </c>
      <c r="Q260">
        <f t="shared" si="960"/>
        <v>-19560649.595954351</v>
      </c>
      <c r="R260">
        <f t="shared" si="961"/>
        <v>-1386701600.4475586</v>
      </c>
      <c r="S260">
        <f t="shared" si="962"/>
        <v>-13867.016004475587</v>
      </c>
      <c r="T260">
        <f t="shared" si="963"/>
        <v>-13.867016004475587</v>
      </c>
    </row>
    <row r="261" spans="1:20" x14ac:dyDescent="0.25">
      <c r="A261" s="5">
        <v>44332</v>
      </c>
      <c r="B261">
        <v>1.0169900000000001</v>
      </c>
      <c r="C261">
        <v>1.1983200000000001</v>
      </c>
      <c r="D261">
        <v>0.96001000000000003</v>
      </c>
      <c r="E261">
        <v>1.14476</v>
      </c>
      <c r="F261">
        <v>58797263.299999997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0.55050144769417941</v>
      </c>
      <c r="Q261">
        <f t="shared" si="960"/>
        <v>32367978.567105845</v>
      </c>
      <c r="R261">
        <f t="shared" si="961"/>
        <v>-1367140950.8516042</v>
      </c>
      <c r="S261">
        <f t="shared" si="962"/>
        <v>-13671.409508516042</v>
      </c>
      <c r="T261">
        <f t="shared" si="963"/>
        <v>-13.671409508516042</v>
      </c>
    </row>
    <row r="262" spans="1:20" x14ac:dyDescent="0.25">
      <c r="A262" s="5">
        <v>44331</v>
      </c>
      <c r="B262">
        <v>1.12544</v>
      </c>
      <c r="C262">
        <v>1.2213700000000001</v>
      </c>
      <c r="D262">
        <v>1.0114399999999999</v>
      </c>
      <c r="E262">
        <v>1.0165299999999999</v>
      </c>
      <c r="F262">
        <v>41766432.5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-0.95150764540561106</v>
      </c>
      <c r="Q262">
        <f t="shared" ref="Q262:Q325" si="965">F262*P262</f>
        <v>-39741079.845067389</v>
      </c>
      <c r="R262">
        <f t="shared" ref="R262:R325" si="966">R263+Q262</f>
        <v>-1399508929.41871</v>
      </c>
      <c r="S262">
        <f t="shared" ref="S262:S325" si="967">R262/100000</f>
        <v>-13995.089294187101</v>
      </c>
      <c r="T262">
        <f t="shared" ref="T262:T325" si="968">S262/1000</f>
        <v>-13.995089294187101</v>
      </c>
    </row>
    <row r="263" spans="1:20" x14ac:dyDescent="0.25">
      <c r="A263" s="5">
        <v>44330</v>
      </c>
      <c r="B263">
        <v>0.87787999999999999</v>
      </c>
      <c r="C263">
        <v>1.3480000000000001</v>
      </c>
      <c r="D263">
        <v>0.87451999999999996</v>
      </c>
      <c r="E263">
        <v>1.12544</v>
      </c>
      <c r="F263">
        <v>135964829.40000001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5.9896933344597308E-2</v>
      </c>
      <c r="Q263">
        <f t="shared" si="965"/>
        <v>8143876.323781345</v>
      </c>
      <c r="R263">
        <f t="shared" si="966"/>
        <v>-1359767849.5736425</v>
      </c>
      <c r="S263">
        <f t="shared" si="967"/>
        <v>-13597.678495736425</v>
      </c>
      <c r="T263">
        <f t="shared" si="968"/>
        <v>-13.597678495736425</v>
      </c>
    </row>
    <row r="264" spans="1:20" x14ac:dyDescent="0.25">
      <c r="A264" s="5">
        <v>44329</v>
      </c>
      <c r="B264">
        <v>0.90002000000000004</v>
      </c>
      <c r="C264">
        <v>1.0337799999999999</v>
      </c>
      <c r="D264">
        <v>0.8</v>
      </c>
      <c r="E264">
        <v>0.87799000000000005</v>
      </c>
      <c r="F264">
        <v>37726988.100000001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-0.33279151338865559</v>
      </c>
      <c r="Q264">
        <f t="shared" si="965"/>
        <v>-12555221.465394801</v>
      </c>
      <c r="R264">
        <f t="shared" si="966"/>
        <v>-1367911725.8974237</v>
      </c>
      <c r="S264">
        <f t="shared" si="967"/>
        <v>-13679.117258974238</v>
      </c>
      <c r="T264">
        <f t="shared" si="968"/>
        <v>-13.679117258974237</v>
      </c>
    </row>
    <row r="265" spans="1:20" x14ac:dyDescent="0.25">
      <c r="A265" s="5">
        <v>44328</v>
      </c>
      <c r="B265">
        <v>1.13565</v>
      </c>
      <c r="C265">
        <v>1.1692100000000001</v>
      </c>
      <c r="D265">
        <v>0.9</v>
      </c>
      <c r="E265">
        <v>0.90498000000000001</v>
      </c>
      <c r="F265">
        <v>28748907.300000001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-0.96300286022064574</v>
      </c>
      <c r="Q265">
        <f t="shared" si="965"/>
        <v>-27685279.958118204</v>
      </c>
      <c r="R265">
        <f t="shared" si="966"/>
        <v>-1355356504.432029</v>
      </c>
      <c r="S265">
        <f t="shared" si="967"/>
        <v>-13553.56504432029</v>
      </c>
      <c r="T265">
        <f t="shared" si="968"/>
        <v>-13.55356504432029</v>
      </c>
    </row>
    <row r="266" spans="1:20" x14ac:dyDescent="0.25">
      <c r="A266" s="5">
        <v>44327</v>
      </c>
      <c r="B266">
        <v>1.13548</v>
      </c>
      <c r="C266">
        <v>1.23638</v>
      </c>
      <c r="D266">
        <v>1.07</v>
      </c>
      <c r="E266">
        <v>1.13531</v>
      </c>
      <c r="F266">
        <v>34819803.399999999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-0.21492967904796262</v>
      </c>
      <c r="Q266">
        <f t="shared" si="965"/>
        <v>-7483809.1692751572</v>
      </c>
      <c r="R266">
        <f t="shared" si="966"/>
        <v>-1327671224.4739108</v>
      </c>
      <c r="S266">
        <f t="shared" si="967"/>
        <v>-13276.712244739108</v>
      </c>
      <c r="T266">
        <f t="shared" si="968"/>
        <v>-13.276712244739109</v>
      </c>
    </row>
    <row r="267" spans="1:20" x14ac:dyDescent="0.25">
      <c r="A267" s="5">
        <v>44326</v>
      </c>
      <c r="B267">
        <v>1.45373</v>
      </c>
      <c r="C267">
        <v>1.54</v>
      </c>
      <c r="D267">
        <v>1.06</v>
      </c>
      <c r="E267">
        <v>1.14188</v>
      </c>
      <c r="F267">
        <v>66076982.299999997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-0.65883333333333349</v>
      </c>
      <c r="Q267">
        <f t="shared" si="965"/>
        <v>-43533718.505316675</v>
      </c>
      <c r="R267">
        <f t="shared" si="966"/>
        <v>-1320187415.3046358</v>
      </c>
      <c r="S267">
        <f t="shared" si="967"/>
        <v>-13201.874153046358</v>
      </c>
      <c r="T267">
        <f t="shared" si="968"/>
        <v>-13.201874153046358</v>
      </c>
    </row>
    <row r="268" spans="1:20" x14ac:dyDescent="0.25">
      <c r="A268" s="5">
        <v>44325</v>
      </c>
      <c r="B268">
        <v>1.7167699999999999</v>
      </c>
      <c r="C268">
        <v>1.75</v>
      </c>
      <c r="D268">
        <v>1.22041</v>
      </c>
      <c r="E268">
        <v>1.4579500000000001</v>
      </c>
      <c r="F268">
        <v>187298260.80000001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-0.10292868067750494</v>
      </c>
      <c r="Q268">
        <f t="shared" si="965"/>
        <v>-19278362.877335243</v>
      </c>
      <c r="R268">
        <f t="shared" si="966"/>
        <v>-1276653696.799319</v>
      </c>
      <c r="S268">
        <f t="shared" si="967"/>
        <v>-12766.53696799319</v>
      </c>
      <c r="T268">
        <f t="shared" si="968"/>
        <v>-12.76653696799319</v>
      </c>
    </row>
    <row r="269" spans="1:20" x14ac:dyDescent="0.25">
      <c r="A269" s="5">
        <v>44324</v>
      </c>
      <c r="B269">
        <v>0.97751999999999994</v>
      </c>
      <c r="C269">
        <v>1.73</v>
      </c>
      <c r="D269">
        <v>0.93600000000000005</v>
      </c>
      <c r="E269">
        <v>1.71871</v>
      </c>
      <c r="F269">
        <v>351018303.39999998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0.97156171284634751</v>
      </c>
      <c r="Q269">
        <f t="shared" si="965"/>
        <v>341035944.09172285</v>
      </c>
      <c r="R269">
        <f t="shared" si="966"/>
        <v>-1257375333.9219837</v>
      </c>
      <c r="S269">
        <f t="shared" si="967"/>
        <v>-12573.753339219837</v>
      </c>
      <c r="T269">
        <f t="shared" si="968"/>
        <v>-12.573753339219836</v>
      </c>
    </row>
    <row r="270" spans="1:20" x14ac:dyDescent="0.25">
      <c r="A270" s="5">
        <v>44323</v>
      </c>
      <c r="B270">
        <v>0.81181000000000003</v>
      </c>
      <c r="C270">
        <v>1.05</v>
      </c>
      <c r="D270">
        <v>0.76244999999999996</v>
      </c>
      <c r="E270">
        <v>0.97797000000000001</v>
      </c>
      <c r="F270">
        <v>77040084.599999994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0.49900886802295241</v>
      </c>
      <c r="Q270">
        <f t="shared" si="965"/>
        <v>38443685.408638485</v>
      </c>
      <c r="R270">
        <f t="shared" si="966"/>
        <v>-1598411278.0137067</v>
      </c>
      <c r="S270">
        <f t="shared" si="967"/>
        <v>-15984.112780137068</v>
      </c>
      <c r="T270">
        <f t="shared" si="968"/>
        <v>-15.984112780137067</v>
      </c>
    </row>
    <row r="271" spans="1:20" x14ac:dyDescent="0.25">
      <c r="A271" s="5">
        <v>44322</v>
      </c>
      <c r="B271">
        <v>0.93764000000000003</v>
      </c>
      <c r="C271">
        <v>1.03</v>
      </c>
      <c r="D271">
        <v>0.81152999999999997</v>
      </c>
      <c r="E271">
        <v>0.81154000000000004</v>
      </c>
      <c r="F271">
        <v>81355167.599999994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-0.99990845425001085</v>
      </c>
      <c r="Q271">
        <f t="shared" si="965"/>
        <v>-81347719.88016656</v>
      </c>
      <c r="R271">
        <f t="shared" si="966"/>
        <v>-1636854963.4223452</v>
      </c>
      <c r="S271">
        <f t="shared" si="967"/>
        <v>-16368.549634223451</v>
      </c>
      <c r="T271">
        <f t="shared" si="968"/>
        <v>-16.368549634223452</v>
      </c>
    </row>
    <row r="272" spans="1:20" x14ac:dyDescent="0.25">
      <c r="A272" s="5">
        <v>44321</v>
      </c>
      <c r="B272">
        <v>1.0049999999999999</v>
      </c>
      <c r="C272">
        <v>1.01</v>
      </c>
      <c r="D272">
        <v>0.85033999999999998</v>
      </c>
      <c r="E272">
        <v>0.93762999999999996</v>
      </c>
      <c r="F272">
        <v>113544862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9.3448578228735632E-2</v>
      </c>
      <c r="Q272">
        <f t="shared" si="965"/>
        <v>10610605.919077992</v>
      </c>
      <c r="R272">
        <f t="shared" si="966"/>
        <v>-1555507243.5421786</v>
      </c>
      <c r="S272">
        <f t="shared" si="967"/>
        <v>-15555.072435421785</v>
      </c>
      <c r="T272">
        <f t="shared" si="968"/>
        <v>-15.555072435421785</v>
      </c>
    </row>
    <row r="273" spans="1:20" x14ac:dyDescent="0.25">
      <c r="A273" s="5">
        <v>44320</v>
      </c>
      <c r="B273">
        <v>0.73597000000000001</v>
      </c>
      <c r="C273">
        <v>1.07</v>
      </c>
      <c r="D273">
        <v>0.6754</v>
      </c>
      <c r="E273">
        <v>1.0049999999999999</v>
      </c>
      <c r="F273">
        <v>201507955.80000001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0.67055245818550346</v>
      </c>
      <c r="Q273">
        <f t="shared" si="965"/>
        <v>135121655.10562578</v>
      </c>
      <c r="R273">
        <f t="shared" si="966"/>
        <v>-1566117849.4612565</v>
      </c>
      <c r="S273">
        <f t="shared" si="967"/>
        <v>-15661.178494612564</v>
      </c>
      <c r="T273">
        <f t="shared" si="968"/>
        <v>-15.661178494612564</v>
      </c>
    </row>
    <row r="274" spans="1:20" x14ac:dyDescent="0.25">
      <c r="A274" s="5">
        <v>44319</v>
      </c>
      <c r="B274">
        <v>0.72809000000000001</v>
      </c>
      <c r="C274">
        <v>0.78691</v>
      </c>
      <c r="D274">
        <v>0.70118000000000003</v>
      </c>
      <c r="E274">
        <v>0.73438999999999999</v>
      </c>
      <c r="F274">
        <v>25951718.899999999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-0.22524203895952474</v>
      </c>
      <c r="Q274">
        <f t="shared" si="965"/>
        <v>-5845418.0795404343</v>
      </c>
      <c r="R274">
        <f t="shared" si="966"/>
        <v>-1701239504.5668824</v>
      </c>
      <c r="S274">
        <f t="shared" si="967"/>
        <v>-17012.395045668825</v>
      </c>
      <c r="T274">
        <f t="shared" si="968"/>
        <v>-17.012395045668825</v>
      </c>
    </row>
    <row r="275" spans="1:20" x14ac:dyDescent="0.25">
      <c r="A275" s="5">
        <v>44318</v>
      </c>
      <c r="B275">
        <v>0.66579999999999995</v>
      </c>
      <c r="C275">
        <v>0.77988999999999997</v>
      </c>
      <c r="D275">
        <v>0.61377000000000004</v>
      </c>
      <c r="E275">
        <v>0.72807999999999995</v>
      </c>
      <c r="F275">
        <v>35509651.5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0.37623404767637803</v>
      </c>
      <c r="Q275">
        <f t="shared" si="965"/>
        <v>13359939.915422568</v>
      </c>
      <c r="R275">
        <f t="shared" si="966"/>
        <v>-1695394086.4873419</v>
      </c>
      <c r="S275">
        <f t="shared" si="967"/>
        <v>-16953.940864873417</v>
      </c>
      <c r="T275">
        <f t="shared" si="968"/>
        <v>-16.953940864873417</v>
      </c>
    </row>
    <row r="276" spans="1:20" x14ac:dyDescent="0.25">
      <c r="A276" s="5">
        <v>44317</v>
      </c>
      <c r="B276">
        <v>0.63680000000000003</v>
      </c>
      <c r="C276">
        <v>0.68378000000000005</v>
      </c>
      <c r="D276">
        <v>0.62956999999999996</v>
      </c>
      <c r="E276">
        <v>0.66613</v>
      </c>
      <c r="F276">
        <v>16373528.5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0.34882862940416803</v>
      </c>
      <c r="Q276">
        <f t="shared" si="965"/>
        <v>5711555.5051650833</v>
      </c>
      <c r="R276">
        <f t="shared" si="966"/>
        <v>-1708754026.4027646</v>
      </c>
      <c r="S276">
        <f t="shared" si="967"/>
        <v>-17087.540264027644</v>
      </c>
      <c r="T276">
        <f t="shared" si="968"/>
        <v>-17.087540264027645</v>
      </c>
    </row>
    <row r="277" spans="1:20" x14ac:dyDescent="0.25">
      <c r="A277" s="5">
        <v>44316</v>
      </c>
      <c r="B277">
        <v>0.59787999999999997</v>
      </c>
      <c r="C277">
        <v>0.71579999999999999</v>
      </c>
      <c r="D277">
        <v>0.59555999999999998</v>
      </c>
      <c r="E277">
        <v>0.63746000000000003</v>
      </c>
      <c r="F277">
        <v>31527838.199999999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-0.30306054557551493</v>
      </c>
      <c r="Q277">
        <f t="shared" si="965"/>
        <v>-9554843.8457085602</v>
      </c>
      <c r="R277">
        <f t="shared" si="966"/>
        <v>-1714465581.9079297</v>
      </c>
      <c r="S277">
        <f t="shared" si="967"/>
        <v>-17144.655819079297</v>
      </c>
      <c r="T277">
        <f t="shared" si="968"/>
        <v>-17.144655819079297</v>
      </c>
    </row>
    <row r="278" spans="1:20" x14ac:dyDescent="0.25">
      <c r="A278" s="5">
        <v>44315</v>
      </c>
      <c r="B278">
        <v>0.60141</v>
      </c>
      <c r="C278">
        <v>0.62836000000000003</v>
      </c>
      <c r="D278">
        <v>0.57745999999999997</v>
      </c>
      <c r="E278">
        <v>0.59787000000000001</v>
      </c>
      <c r="F278">
        <v>20734891.899999999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-0.19803536345775966</v>
      </c>
      <c r="Q278">
        <f t="shared" si="965"/>
        <v>-4106241.8536738562</v>
      </c>
      <c r="R278">
        <f t="shared" si="966"/>
        <v>-1704910738.0622211</v>
      </c>
      <c r="S278">
        <f t="shared" si="967"/>
        <v>-17049.107380622212</v>
      </c>
      <c r="T278">
        <f t="shared" si="968"/>
        <v>-17.04910738062221</v>
      </c>
    </row>
    <row r="279" spans="1:20" x14ac:dyDescent="0.25">
      <c r="A279" s="5">
        <v>44314</v>
      </c>
      <c r="B279">
        <v>0.63685999999999998</v>
      </c>
      <c r="C279">
        <v>0.69964000000000004</v>
      </c>
      <c r="D279">
        <v>0.56764999999999999</v>
      </c>
      <c r="E279">
        <v>0.60141</v>
      </c>
      <c r="F279">
        <v>49113148.799999997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-0.48844609440109099</v>
      </c>
      <c r="Q279">
        <f t="shared" si="965"/>
        <v>-23989125.715099629</v>
      </c>
      <c r="R279">
        <f t="shared" si="966"/>
        <v>-1700804496.2085471</v>
      </c>
      <c r="S279">
        <f t="shared" si="967"/>
        <v>-17008.044962085471</v>
      </c>
      <c r="T279">
        <f t="shared" si="968"/>
        <v>-17.008044962085471</v>
      </c>
    </row>
    <row r="280" spans="1:20" x14ac:dyDescent="0.25">
      <c r="A280" s="5">
        <v>44313</v>
      </c>
      <c r="B280">
        <v>0.63800999999999997</v>
      </c>
      <c r="C280">
        <v>0.74</v>
      </c>
      <c r="D280">
        <v>0.62004000000000004</v>
      </c>
      <c r="E280">
        <v>0.63600999999999996</v>
      </c>
      <c r="F280">
        <v>79383175.900000006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-0.73374458152717681</v>
      </c>
      <c r="Q280">
        <f t="shared" si="965"/>
        <v>-58246975.181043774</v>
      </c>
      <c r="R280">
        <f t="shared" si="966"/>
        <v>-1676815370.4934475</v>
      </c>
      <c r="S280">
        <f t="shared" si="967"/>
        <v>-16768.153704934477</v>
      </c>
      <c r="T280">
        <f t="shared" si="968"/>
        <v>-16.768153704934477</v>
      </c>
    </row>
    <row r="281" spans="1:20" x14ac:dyDescent="0.25">
      <c r="A281" s="5">
        <v>44312</v>
      </c>
      <c r="B281">
        <v>0.41774</v>
      </c>
      <c r="C281">
        <v>0.71999000000000002</v>
      </c>
      <c r="D281">
        <v>0.41066999999999998</v>
      </c>
      <c r="E281">
        <v>0.63829999999999998</v>
      </c>
      <c r="F281">
        <v>82158656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0.47180912970386635</v>
      </c>
      <c r="Q281">
        <f t="shared" si="965"/>
        <v>38763203.984999336</v>
      </c>
      <c r="R281">
        <f t="shared" si="966"/>
        <v>-1618568395.3124037</v>
      </c>
      <c r="S281">
        <f t="shared" si="967"/>
        <v>-16185.683953124037</v>
      </c>
      <c r="T281">
        <f t="shared" si="968"/>
        <v>-16.185683953124038</v>
      </c>
    </row>
    <row r="282" spans="1:20" x14ac:dyDescent="0.25">
      <c r="A282" s="5">
        <v>44311</v>
      </c>
      <c r="B282">
        <v>0.44144</v>
      </c>
      <c r="C282">
        <v>0.48025000000000001</v>
      </c>
      <c r="D282">
        <v>0.40000999999999998</v>
      </c>
      <c r="E282">
        <v>0.41770000000000002</v>
      </c>
      <c r="F282">
        <v>30211607.300000001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-0.55907278165503416</v>
      </c>
      <c r="Q282">
        <f t="shared" si="965"/>
        <v>-16890487.331480537</v>
      </c>
      <c r="R282">
        <f t="shared" si="966"/>
        <v>-1657331599.2974031</v>
      </c>
      <c r="S282">
        <f t="shared" si="967"/>
        <v>-16573.315992974032</v>
      </c>
      <c r="T282">
        <f t="shared" si="968"/>
        <v>-16.573315992974031</v>
      </c>
    </row>
    <row r="283" spans="1:20" x14ac:dyDescent="0.25">
      <c r="A283" s="5">
        <v>44310</v>
      </c>
      <c r="B283">
        <v>0.48499999999999999</v>
      </c>
      <c r="C283">
        <v>0.56308999999999998</v>
      </c>
      <c r="D283">
        <v>0.44005</v>
      </c>
      <c r="E283">
        <v>0.44146999999999997</v>
      </c>
      <c r="F283">
        <v>34443560.200000003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-0.97691807542262721</v>
      </c>
      <c r="Q283">
        <f t="shared" si="965"/>
        <v>-33648536.541287407</v>
      </c>
      <c r="R283">
        <f t="shared" si="966"/>
        <v>-1640441111.9659226</v>
      </c>
      <c r="S283">
        <f t="shared" si="967"/>
        <v>-16404.411119659228</v>
      </c>
      <c r="T283">
        <f t="shared" si="968"/>
        <v>-16.404411119659226</v>
      </c>
    </row>
    <row r="284" spans="1:20" x14ac:dyDescent="0.25">
      <c r="A284" s="5">
        <v>44309</v>
      </c>
      <c r="B284">
        <v>0.52676000000000001</v>
      </c>
      <c r="C284">
        <v>0.54010999999999998</v>
      </c>
      <c r="D284">
        <v>0.42320000000000002</v>
      </c>
      <c r="E284">
        <v>0.48533999999999999</v>
      </c>
      <c r="F284">
        <v>29127823.800000001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6.303994525703524E-2</v>
      </c>
      <c r="Q284">
        <f t="shared" si="965"/>
        <v>1836216.4178085683</v>
      </c>
      <c r="R284">
        <f t="shared" si="966"/>
        <v>-1606792575.4246352</v>
      </c>
      <c r="S284">
        <f t="shared" si="967"/>
        <v>-16067.925754246351</v>
      </c>
      <c r="T284">
        <f t="shared" si="968"/>
        <v>-16.06792575424635</v>
      </c>
    </row>
    <row r="285" spans="1:20" x14ac:dyDescent="0.25">
      <c r="A285" s="5">
        <v>44308</v>
      </c>
      <c r="B285">
        <v>0.58370999999999995</v>
      </c>
      <c r="C285">
        <v>0.60699000000000003</v>
      </c>
      <c r="D285">
        <v>0.51</v>
      </c>
      <c r="E285">
        <v>0.52678000000000003</v>
      </c>
      <c r="F285">
        <v>25391036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-0.65398494690174214</v>
      </c>
      <c r="Q285">
        <f t="shared" si="965"/>
        <v>-16605355.330240224</v>
      </c>
      <c r="R285">
        <f t="shared" si="966"/>
        <v>-1608628791.8424437</v>
      </c>
      <c r="S285">
        <f t="shared" si="967"/>
        <v>-16086.287918424438</v>
      </c>
      <c r="T285">
        <f t="shared" si="968"/>
        <v>-16.086287918424439</v>
      </c>
    </row>
    <row r="286" spans="1:20" x14ac:dyDescent="0.25">
      <c r="A286" s="5">
        <v>44307</v>
      </c>
      <c r="B286">
        <v>0.61675000000000002</v>
      </c>
      <c r="C286">
        <v>0.66600000000000004</v>
      </c>
      <c r="D286">
        <v>0.56672</v>
      </c>
      <c r="E286">
        <v>0.58338999999999996</v>
      </c>
      <c r="F286">
        <v>38973886.799999997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-0.66418211120064552</v>
      </c>
      <c r="Q286">
        <f t="shared" si="965"/>
        <v>-25885758.416518968</v>
      </c>
      <c r="R286">
        <f t="shared" si="966"/>
        <v>-1592023436.5122035</v>
      </c>
      <c r="S286">
        <f t="shared" si="967"/>
        <v>-15920.234365122034</v>
      </c>
      <c r="T286">
        <f t="shared" si="968"/>
        <v>-15.920234365122035</v>
      </c>
    </row>
    <row r="287" spans="1:20" x14ac:dyDescent="0.25">
      <c r="A287" s="5">
        <v>44306</v>
      </c>
      <c r="B287">
        <v>0.66203000000000001</v>
      </c>
      <c r="C287">
        <v>0.72499999999999998</v>
      </c>
      <c r="D287">
        <v>0.5323</v>
      </c>
      <c r="E287">
        <v>0.61677000000000004</v>
      </c>
      <c r="F287">
        <v>146936676</v>
      </c>
      <c r="G287">
        <v>0</v>
      </c>
      <c r="L287" t="s">
        <v>8</v>
      </c>
      <c r="M287" t="s">
        <v>8</v>
      </c>
      <c r="N287" t="s">
        <v>7</v>
      </c>
      <c r="P287">
        <f t="shared" si="964"/>
        <v>-0.12330046704722311</v>
      </c>
      <c r="Q287">
        <f t="shared" si="965"/>
        <v>-18117360.777166501</v>
      </c>
      <c r="R287">
        <f t="shared" si="966"/>
        <v>-1566137678.0956845</v>
      </c>
      <c r="S287">
        <f t="shared" si="967"/>
        <v>-15661.376780956845</v>
      </c>
      <c r="T287">
        <f t="shared" si="968"/>
        <v>-15.661376780956845</v>
      </c>
    </row>
    <row r="288" spans="1:20" x14ac:dyDescent="0.25">
      <c r="A288" s="5">
        <v>44305</v>
      </c>
      <c r="B288">
        <v>0.52712000000000003</v>
      </c>
      <c r="C288">
        <v>0.83494000000000002</v>
      </c>
      <c r="D288">
        <v>0.47544999999999998</v>
      </c>
      <c r="E288">
        <v>0.66147999999999996</v>
      </c>
      <c r="F288">
        <v>121554968.90000001</v>
      </c>
      <c r="G288">
        <v>0</v>
      </c>
      <c r="L288" t="s">
        <v>7</v>
      </c>
      <c r="M288" t="s">
        <v>7</v>
      </c>
      <c r="N288" t="s">
        <v>8</v>
      </c>
      <c r="P288">
        <f t="shared" si="964"/>
        <v>3.496620211966929E-2</v>
      </c>
      <c r="Q288">
        <f t="shared" si="965"/>
        <v>4250315.611207515</v>
      </c>
      <c r="R288">
        <f t="shared" si="966"/>
        <v>-1548020317.3185179</v>
      </c>
      <c r="S288">
        <f t="shared" si="967"/>
        <v>-15480.203173185178</v>
      </c>
      <c r="T288">
        <f t="shared" si="968"/>
        <v>-15.480203173185178</v>
      </c>
    </row>
    <row r="289" spans="1:20" x14ac:dyDescent="0.25">
      <c r="A289" s="5">
        <v>44304</v>
      </c>
      <c r="B289">
        <v>0.60767000000000004</v>
      </c>
      <c r="C289">
        <v>0.61026999999999998</v>
      </c>
      <c r="D289">
        <v>0.48653999999999997</v>
      </c>
      <c r="E289">
        <v>0.52727000000000002</v>
      </c>
      <c r="F289">
        <v>21565633.800000001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-0.34163097066192449</v>
      </c>
      <c r="Q289">
        <f t="shared" si="965"/>
        <v>-7367488.4080336075</v>
      </c>
      <c r="R289">
        <f t="shared" si="966"/>
        <v>-1552270632.9297254</v>
      </c>
      <c r="S289">
        <f t="shared" si="967"/>
        <v>-15522.706329297254</v>
      </c>
      <c r="T289">
        <f t="shared" si="968"/>
        <v>-15.522706329297254</v>
      </c>
    </row>
    <row r="290" spans="1:20" x14ac:dyDescent="0.25">
      <c r="A290" s="5">
        <v>44303</v>
      </c>
      <c r="B290">
        <v>0.60474000000000006</v>
      </c>
      <c r="C290">
        <v>0.65744000000000002</v>
      </c>
      <c r="D290">
        <v>0.59131</v>
      </c>
      <c r="E290">
        <v>0.60772000000000004</v>
      </c>
      <c r="F290">
        <v>16415925.800000001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-0.50370482383184545</v>
      </c>
      <c r="Q290">
        <f t="shared" si="965"/>
        <v>-8268781.0131256469</v>
      </c>
      <c r="R290">
        <f t="shared" si="966"/>
        <v>-1544903144.5216918</v>
      </c>
      <c r="S290">
        <f t="shared" si="967"/>
        <v>-15449.031445216919</v>
      </c>
      <c r="T290">
        <f t="shared" si="968"/>
        <v>-15.449031445216919</v>
      </c>
    </row>
    <row r="291" spans="1:20" x14ac:dyDescent="0.25">
      <c r="A291" s="5">
        <v>44302</v>
      </c>
      <c r="B291">
        <v>0.66000999999999999</v>
      </c>
      <c r="C291">
        <v>0.66376999999999997</v>
      </c>
      <c r="D291">
        <v>0.59004000000000001</v>
      </c>
      <c r="E291">
        <v>0.60597999999999996</v>
      </c>
      <c r="F291">
        <v>20129189.399999999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-0.56761155567611654</v>
      </c>
      <c r="Q291">
        <f t="shared" si="965"/>
        <v>-11425560.509833194</v>
      </c>
      <c r="R291">
        <f t="shared" si="966"/>
        <v>-1536634363.5085661</v>
      </c>
      <c r="S291">
        <f t="shared" si="967"/>
        <v>-15366.343635085661</v>
      </c>
      <c r="T291">
        <f t="shared" si="968"/>
        <v>-15.366343635085661</v>
      </c>
    </row>
    <row r="292" spans="1:20" x14ac:dyDescent="0.25">
      <c r="A292" s="5">
        <v>44301</v>
      </c>
      <c r="B292">
        <v>0.63893999999999995</v>
      </c>
      <c r="C292">
        <v>0.7389</v>
      </c>
      <c r="D292">
        <v>0.62995999999999996</v>
      </c>
      <c r="E292">
        <v>0.66000999999999999</v>
      </c>
      <c r="F292">
        <v>57734095.600000001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-0.44832017624380371</v>
      </c>
      <c r="Q292">
        <f t="shared" si="965"/>
        <v>-25883359.914668612</v>
      </c>
      <c r="R292">
        <f t="shared" si="966"/>
        <v>-1525208802.998733</v>
      </c>
      <c r="S292">
        <f t="shared" si="967"/>
        <v>-15252.08802998733</v>
      </c>
      <c r="T292">
        <f t="shared" si="968"/>
        <v>-15.25208802998733</v>
      </c>
    </row>
    <row r="293" spans="1:20" x14ac:dyDescent="0.25">
      <c r="A293" s="5">
        <v>44300</v>
      </c>
      <c r="B293">
        <v>0.56474000000000002</v>
      </c>
      <c r="C293">
        <v>0.67523</v>
      </c>
      <c r="D293">
        <v>0.53978999999999999</v>
      </c>
      <c r="E293">
        <v>0.63787000000000005</v>
      </c>
      <c r="F293">
        <v>36536271.100000001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0.44831659775546445</v>
      </c>
      <c r="Q293">
        <f t="shared" si="965"/>
        <v>16379816.754223302</v>
      </c>
      <c r="R293">
        <f t="shared" si="966"/>
        <v>-1499325443.0840645</v>
      </c>
      <c r="S293">
        <f t="shared" si="967"/>
        <v>-14993.254430840645</v>
      </c>
      <c r="T293">
        <f t="shared" si="968"/>
        <v>-14.993254430840645</v>
      </c>
    </row>
    <row r="294" spans="1:20" x14ac:dyDescent="0.25">
      <c r="A294" s="5">
        <v>44299</v>
      </c>
      <c r="B294">
        <v>0.59399000000000002</v>
      </c>
      <c r="C294">
        <v>0.60060000000000002</v>
      </c>
      <c r="D294">
        <v>0.55793999999999999</v>
      </c>
      <c r="E294">
        <v>0.56462999999999997</v>
      </c>
      <c r="F294">
        <v>18371849.699999999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-0.68635724331927006</v>
      </c>
      <c r="Q294">
        <f t="shared" si="965"/>
        <v>-12609652.114767957</v>
      </c>
      <c r="R294">
        <f t="shared" si="966"/>
        <v>-1515705259.8382878</v>
      </c>
      <c r="S294">
        <f t="shared" si="967"/>
        <v>-15157.052598382877</v>
      </c>
      <c r="T294">
        <f t="shared" si="968"/>
        <v>-15.157052598382878</v>
      </c>
    </row>
    <row r="295" spans="1:20" x14ac:dyDescent="0.25">
      <c r="A295" s="5">
        <v>44298</v>
      </c>
      <c r="B295">
        <v>0.67900000000000005</v>
      </c>
      <c r="C295">
        <v>0.67964999999999998</v>
      </c>
      <c r="D295">
        <v>0.59048999999999996</v>
      </c>
      <c r="E295">
        <v>0.59596000000000005</v>
      </c>
      <c r="F295">
        <v>26451485.399999999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-0.87729923732615334</v>
      </c>
      <c r="Q295">
        <f t="shared" si="965"/>
        <v>-23205867.967563879</v>
      </c>
      <c r="R295">
        <f t="shared" si="966"/>
        <v>-1503095607.7235198</v>
      </c>
      <c r="S295">
        <f t="shared" si="967"/>
        <v>-15030.956077235198</v>
      </c>
      <c r="T295">
        <f t="shared" si="968"/>
        <v>-15.030956077235198</v>
      </c>
    </row>
    <row r="296" spans="1:20" x14ac:dyDescent="0.25">
      <c r="A296" s="5">
        <v>44297</v>
      </c>
      <c r="B296">
        <v>0.69396000000000002</v>
      </c>
      <c r="C296">
        <v>0.71799999999999997</v>
      </c>
      <c r="D296">
        <v>0.59487000000000001</v>
      </c>
      <c r="E296">
        <v>0.67900000000000005</v>
      </c>
      <c r="F296">
        <v>50055817.600000001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0.36652318687566093</v>
      </c>
      <c r="Q296">
        <f t="shared" si="965"/>
        <v>18346617.7884188</v>
      </c>
      <c r="R296">
        <f t="shared" si="966"/>
        <v>-1479889739.7559559</v>
      </c>
      <c r="S296">
        <f t="shared" si="967"/>
        <v>-14798.89739755956</v>
      </c>
      <c r="T296">
        <f t="shared" si="968"/>
        <v>-14.798897397559561</v>
      </c>
    </row>
    <row r="297" spans="1:20" x14ac:dyDescent="0.25">
      <c r="A297" s="5">
        <v>44296</v>
      </c>
      <c r="B297">
        <v>0.59136999999999995</v>
      </c>
      <c r="C297">
        <v>0.74358999999999997</v>
      </c>
      <c r="D297">
        <v>0.55313000000000001</v>
      </c>
      <c r="E297">
        <v>0.69396000000000002</v>
      </c>
      <c r="F297">
        <v>96804526.299999997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0.47884070145962448</v>
      </c>
      <c r="Q297">
        <f t="shared" si="965"/>
        <v>46353947.277958669</v>
      </c>
      <c r="R297">
        <f t="shared" si="966"/>
        <v>-1498236357.5443747</v>
      </c>
      <c r="S297">
        <f t="shared" si="967"/>
        <v>-14982.363575443747</v>
      </c>
      <c r="T297">
        <f t="shared" si="968"/>
        <v>-14.982363575443747</v>
      </c>
    </row>
    <row r="298" spans="1:20" x14ac:dyDescent="0.25">
      <c r="A298" s="5">
        <v>44295</v>
      </c>
      <c r="B298">
        <v>0.56838</v>
      </c>
      <c r="C298">
        <v>0.63</v>
      </c>
      <c r="D298">
        <v>0.54032000000000002</v>
      </c>
      <c r="E298">
        <v>0.59131</v>
      </c>
      <c r="F298">
        <v>27655405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0.1371543264942014</v>
      </c>
      <c r="Q298">
        <f t="shared" si="965"/>
        <v>3793058.4466993697</v>
      </c>
      <c r="R298">
        <f t="shared" si="966"/>
        <v>-1544590304.8223333</v>
      </c>
      <c r="S298">
        <f t="shared" si="967"/>
        <v>-15445.903048223334</v>
      </c>
      <c r="T298">
        <f t="shared" si="968"/>
        <v>-15.445903048223334</v>
      </c>
    </row>
    <row r="299" spans="1:20" x14ac:dyDescent="0.25">
      <c r="A299" s="5">
        <v>44294</v>
      </c>
      <c r="B299">
        <v>0.55574000000000001</v>
      </c>
      <c r="C299">
        <v>0.65200000000000002</v>
      </c>
      <c r="D299">
        <v>0.53676000000000001</v>
      </c>
      <c r="E299">
        <v>0.57006000000000001</v>
      </c>
      <c r="F299">
        <v>55712180.299999997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-0.42207566817077413</v>
      </c>
      <c r="Q299">
        <f t="shared" si="965"/>
        <v>-23514755.725373138</v>
      </c>
      <c r="R299">
        <f t="shared" si="966"/>
        <v>-1548383363.2690327</v>
      </c>
      <c r="S299">
        <f t="shared" si="967"/>
        <v>-15483.833632690326</v>
      </c>
      <c r="T299">
        <f t="shared" si="968"/>
        <v>-15.483833632690326</v>
      </c>
    </row>
    <row r="300" spans="1:20" x14ac:dyDescent="0.25">
      <c r="A300" s="5">
        <v>44293</v>
      </c>
      <c r="B300">
        <v>0.52298999999999995</v>
      </c>
      <c r="C300">
        <v>0.6</v>
      </c>
      <c r="D300">
        <v>0.45815</v>
      </c>
      <c r="E300">
        <v>0.55574999999999997</v>
      </c>
      <c r="F300">
        <v>49725947.399999999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0.37610151568558309</v>
      </c>
      <c r="Q300">
        <f t="shared" si="965"/>
        <v>18702004.186041579</v>
      </c>
      <c r="R300">
        <f t="shared" si="966"/>
        <v>-1524868607.5436597</v>
      </c>
      <c r="S300">
        <f t="shared" si="967"/>
        <v>-15248.686075436597</v>
      </c>
      <c r="T300">
        <f t="shared" si="968"/>
        <v>-15.248686075436597</v>
      </c>
    </row>
    <row r="301" spans="1:20" x14ac:dyDescent="0.25">
      <c r="A301" s="5">
        <v>44292</v>
      </c>
      <c r="B301">
        <v>0.57562000000000002</v>
      </c>
      <c r="C301">
        <v>0.6653</v>
      </c>
      <c r="D301">
        <v>0.50261</v>
      </c>
      <c r="E301">
        <v>0.52476999999999996</v>
      </c>
      <c r="F301">
        <v>79104806.200000003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-0.72758006023726163</v>
      </c>
      <c r="Q301">
        <f t="shared" si="965"/>
        <v>-57555079.66005291</v>
      </c>
      <c r="R301">
        <f t="shared" si="966"/>
        <v>-1543570611.7297013</v>
      </c>
      <c r="S301">
        <f t="shared" si="967"/>
        <v>-15435.706117297013</v>
      </c>
      <c r="T301">
        <f t="shared" si="968"/>
        <v>-15.435706117297013</v>
      </c>
    </row>
    <row r="302" spans="1:20" x14ac:dyDescent="0.25">
      <c r="A302" s="5">
        <v>44291</v>
      </c>
      <c r="B302">
        <v>0.6502</v>
      </c>
      <c r="C302">
        <v>0.79898999999999998</v>
      </c>
      <c r="D302">
        <v>0.55515000000000003</v>
      </c>
      <c r="E302">
        <v>0.57562000000000002</v>
      </c>
      <c r="F302">
        <v>248723157.5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-0.83210301837270351</v>
      </c>
      <c r="Q302">
        <f t="shared" si="965"/>
        <v>-206963290.09493932</v>
      </c>
      <c r="R302">
        <f t="shared" si="966"/>
        <v>-1486015532.0696483</v>
      </c>
      <c r="S302">
        <f t="shared" si="967"/>
        <v>-14860.155320696482</v>
      </c>
      <c r="T302">
        <f t="shared" si="968"/>
        <v>-14.860155320696482</v>
      </c>
    </row>
    <row r="303" spans="1:20" x14ac:dyDescent="0.25">
      <c r="A303" s="5">
        <v>44290</v>
      </c>
      <c r="B303">
        <v>0.37121999999999999</v>
      </c>
      <c r="C303">
        <v>0.89649999999999996</v>
      </c>
      <c r="D303">
        <v>0.36584</v>
      </c>
      <c r="E303">
        <v>0.65278999999999998</v>
      </c>
      <c r="F303">
        <v>435324128.19999999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8.1483435721554309E-2</v>
      </c>
      <c r="Q303">
        <f t="shared" si="965"/>
        <v>35471705.618226364</v>
      </c>
      <c r="R303">
        <f t="shared" si="966"/>
        <v>-1279052241.974709</v>
      </c>
      <c r="S303">
        <f t="shared" si="967"/>
        <v>-12790.522419747091</v>
      </c>
      <c r="T303">
        <f t="shared" si="968"/>
        <v>-12.790522419747091</v>
      </c>
    </row>
    <row r="304" spans="1:20" x14ac:dyDescent="0.25">
      <c r="A304" s="5">
        <v>44289</v>
      </c>
      <c r="B304">
        <v>0.38080999999999998</v>
      </c>
      <c r="C304">
        <v>0.39922000000000002</v>
      </c>
      <c r="D304">
        <v>0.34399999999999997</v>
      </c>
      <c r="E304">
        <v>0.372</v>
      </c>
      <c r="F304">
        <v>30836198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1.4125316914161577E-2</v>
      </c>
      <c r="Q304">
        <f t="shared" si="965"/>
        <v>435571.06917783536</v>
      </c>
      <c r="R304">
        <f t="shared" si="966"/>
        <v>-1314523947.5929353</v>
      </c>
      <c r="S304">
        <f t="shared" si="967"/>
        <v>-13145.239475929353</v>
      </c>
      <c r="T304">
        <f t="shared" si="968"/>
        <v>-13.145239475929353</v>
      </c>
    </row>
    <row r="305" spans="1:20" x14ac:dyDescent="0.25">
      <c r="A305" s="5">
        <v>44288</v>
      </c>
      <c r="B305">
        <v>0.40200000000000002</v>
      </c>
      <c r="C305">
        <v>0.40694000000000002</v>
      </c>
      <c r="D305">
        <v>0.37957000000000002</v>
      </c>
      <c r="E305">
        <v>0.38038</v>
      </c>
      <c r="F305">
        <v>20181150.899999999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-0.94081110705151794</v>
      </c>
      <c r="Q305">
        <f t="shared" si="965"/>
        <v>-18986650.919802736</v>
      </c>
      <c r="R305">
        <f t="shared" si="966"/>
        <v>-1314959518.6621132</v>
      </c>
      <c r="S305">
        <f t="shared" si="967"/>
        <v>-13149.595186621133</v>
      </c>
      <c r="T305">
        <f t="shared" si="968"/>
        <v>-13.149595186621132</v>
      </c>
    </row>
    <row r="306" spans="1:20" x14ac:dyDescent="0.25">
      <c r="A306" s="5">
        <v>44287</v>
      </c>
      <c r="B306">
        <v>0.38429999999999997</v>
      </c>
      <c r="C306">
        <v>0.4289</v>
      </c>
      <c r="D306">
        <v>0.37401000000000001</v>
      </c>
      <c r="E306">
        <v>0.40233999999999998</v>
      </c>
      <c r="F306">
        <v>28778211.100000001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3.2246310803423911E-2</v>
      </c>
      <c r="Q306">
        <f t="shared" si="965"/>
        <v>927991.13949714391</v>
      </c>
      <c r="R306">
        <f t="shared" si="966"/>
        <v>-1295972867.7423105</v>
      </c>
      <c r="S306">
        <f t="shared" si="967"/>
        <v>-12959.728677423105</v>
      </c>
      <c r="T306">
        <f t="shared" si="968"/>
        <v>-12.959728677423104</v>
      </c>
    </row>
    <row r="307" spans="1:20" x14ac:dyDescent="0.25">
      <c r="A307" s="5">
        <v>44286</v>
      </c>
      <c r="B307">
        <v>0.39957999999999999</v>
      </c>
      <c r="C307">
        <v>0.40350000000000003</v>
      </c>
      <c r="D307">
        <v>0.36886999999999998</v>
      </c>
      <c r="E307">
        <v>0.38585000000000003</v>
      </c>
      <c r="F307">
        <v>24566986.300000001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-1.9347386658964696E-2</v>
      </c>
      <c r="Q307">
        <f t="shared" si="965"/>
        <v>-475306.98299158848</v>
      </c>
      <c r="R307">
        <f t="shared" si="966"/>
        <v>-1296900858.8818076</v>
      </c>
      <c r="S307">
        <f t="shared" si="967"/>
        <v>-12969.008588818077</v>
      </c>
      <c r="T307">
        <f t="shared" si="968"/>
        <v>-12.969008588818076</v>
      </c>
    </row>
    <row r="308" spans="1:20" x14ac:dyDescent="0.25">
      <c r="A308" s="5">
        <v>44285</v>
      </c>
      <c r="B308">
        <v>0.41808000000000001</v>
      </c>
      <c r="C308">
        <v>0.41998999999999997</v>
      </c>
      <c r="D308">
        <v>0.39430999999999999</v>
      </c>
      <c r="E308">
        <v>0.39959</v>
      </c>
      <c r="F308">
        <v>17139639.699999999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-0.58878504672897114</v>
      </c>
      <c r="Q308">
        <f t="shared" si="965"/>
        <v>-10091563.561682228</v>
      </c>
      <c r="R308">
        <f t="shared" si="966"/>
        <v>-1296425551.8988159</v>
      </c>
      <c r="S308">
        <f t="shared" si="967"/>
        <v>-12964.255518988159</v>
      </c>
      <c r="T308">
        <f t="shared" si="968"/>
        <v>-12.964255518988159</v>
      </c>
    </row>
    <row r="309" spans="1:20" x14ac:dyDescent="0.25">
      <c r="A309" s="5">
        <v>44284</v>
      </c>
      <c r="B309">
        <v>0.43830000000000002</v>
      </c>
      <c r="C309">
        <v>0.44</v>
      </c>
      <c r="D309">
        <v>0.39158999999999999</v>
      </c>
      <c r="E309">
        <v>0.41909999999999997</v>
      </c>
      <c r="F309">
        <v>33407632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0.13654203676926147</v>
      </c>
      <c r="Q309">
        <f t="shared" si="965"/>
        <v>4561546.1169179557</v>
      </c>
      <c r="R309">
        <f t="shared" si="966"/>
        <v>-1286333988.3371336</v>
      </c>
      <c r="S309">
        <f t="shared" si="967"/>
        <v>-12863.339883371336</v>
      </c>
      <c r="T309">
        <f t="shared" si="968"/>
        <v>-12.863339883371337</v>
      </c>
    </row>
    <row r="310" spans="1:20" x14ac:dyDescent="0.25">
      <c r="A310" s="5">
        <v>44283</v>
      </c>
      <c r="B310">
        <v>0.38019999999999998</v>
      </c>
      <c r="C310">
        <v>0.44779999999999998</v>
      </c>
      <c r="D310">
        <v>0.37841999999999998</v>
      </c>
      <c r="E310">
        <v>0.43824000000000002</v>
      </c>
      <c r="F310">
        <v>41609973.200000003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0.72441625828769218</v>
      </c>
      <c r="Q310">
        <f t="shared" si="965"/>
        <v>30142941.092995152</v>
      </c>
      <c r="R310">
        <f t="shared" si="966"/>
        <v>-1290895534.4540515</v>
      </c>
      <c r="S310">
        <f t="shared" si="967"/>
        <v>-12908.955344540514</v>
      </c>
      <c r="T310">
        <f t="shared" si="968"/>
        <v>-12.908955344540514</v>
      </c>
    </row>
    <row r="311" spans="1:20" x14ac:dyDescent="0.25">
      <c r="A311" s="5">
        <v>44282</v>
      </c>
      <c r="B311">
        <v>0.34400999999999998</v>
      </c>
      <c r="C311">
        <v>0.41</v>
      </c>
      <c r="D311">
        <v>0.34072000000000002</v>
      </c>
      <c r="E311">
        <v>0.38109999999999999</v>
      </c>
      <c r="F311">
        <v>38020287.600000001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0.16570438799076209</v>
      </c>
      <c r="Q311">
        <f t="shared" si="965"/>
        <v>6300128.4879907612</v>
      </c>
      <c r="R311">
        <f t="shared" si="966"/>
        <v>-1321038475.5470467</v>
      </c>
      <c r="S311">
        <f t="shared" si="967"/>
        <v>-13210.384755470466</v>
      </c>
      <c r="T311">
        <f t="shared" si="968"/>
        <v>-13.210384755470466</v>
      </c>
    </row>
    <row r="312" spans="1:20" x14ac:dyDescent="0.25">
      <c r="A312" s="5">
        <v>44281</v>
      </c>
      <c r="B312">
        <v>0.33517000000000002</v>
      </c>
      <c r="C312">
        <v>0.38</v>
      </c>
      <c r="D312">
        <v>0.33300999999999997</v>
      </c>
      <c r="E312">
        <v>0.34400999999999998</v>
      </c>
      <c r="F312">
        <v>37020931.600000001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-0.53181527984677579</v>
      </c>
      <c r="Q312">
        <f t="shared" si="965"/>
        <v>-19688297.099042345</v>
      </c>
      <c r="R312">
        <f t="shared" si="966"/>
        <v>-1327338604.0350375</v>
      </c>
      <c r="S312">
        <f t="shared" si="967"/>
        <v>-13273.386040350375</v>
      </c>
      <c r="T312">
        <f t="shared" si="968"/>
        <v>-13.273386040350376</v>
      </c>
    </row>
    <row r="313" spans="1:20" x14ac:dyDescent="0.25">
      <c r="A313" s="5">
        <v>44280</v>
      </c>
      <c r="B313">
        <v>0.31925999999999999</v>
      </c>
      <c r="C313">
        <v>0.37444</v>
      </c>
      <c r="D313">
        <v>0.29609000000000002</v>
      </c>
      <c r="E313">
        <v>0.33532000000000001</v>
      </c>
      <c r="F313">
        <v>56143536.5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1.4039566049776518E-3</v>
      </c>
      <c r="Q313">
        <f t="shared" si="965"/>
        <v>78823.088895978872</v>
      </c>
      <c r="R313">
        <f t="shared" si="966"/>
        <v>-1307650306.9359951</v>
      </c>
      <c r="S313">
        <f t="shared" si="967"/>
        <v>-13076.503069359951</v>
      </c>
      <c r="T313">
        <f t="shared" si="968"/>
        <v>-13.076503069359951</v>
      </c>
    </row>
    <row r="314" spans="1:20" x14ac:dyDescent="0.25">
      <c r="A314" s="5">
        <v>44279</v>
      </c>
      <c r="B314">
        <v>0.34760000000000002</v>
      </c>
      <c r="C314">
        <v>0.44900000000000001</v>
      </c>
      <c r="D314">
        <v>0.31</v>
      </c>
      <c r="E314">
        <v>0.31870999999999999</v>
      </c>
      <c r="F314">
        <v>139171510.19999999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-0.87467625899280588</v>
      </c>
      <c r="Q314">
        <f t="shared" si="965"/>
        <v>-121730015.90011512</v>
      </c>
      <c r="R314">
        <f t="shared" si="966"/>
        <v>-1307729130.0248911</v>
      </c>
      <c r="S314">
        <f t="shared" si="967"/>
        <v>-13077.291300248911</v>
      </c>
      <c r="T314">
        <f t="shared" si="968"/>
        <v>-13.077291300248911</v>
      </c>
    </row>
    <row r="315" spans="1:20" x14ac:dyDescent="0.25">
      <c r="A315" s="5">
        <v>44278</v>
      </c>
      <c r="B315">
        <v>0.29450999999999999</v>
      </c>
      <c r="C315">
        <v>0.376</v>
      </c>
      <c r="D315">
        <v>0.27410000000000001</v>
      </c>
      <c r="E315">
        <v>0.34758</v>
      </c>
      <c r="F315">
        <v>55384073.299999997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0.44219823356231591</v>
      </c>
      <c r="Q315">
        <f t="shared" si="965"/>
        <v>24490739.380745824</v>
      </c>
      <c r="R315">
        <f t="shared" si="966"/>
        <v>-1185999114.1247761</v>
      </c>
      <c r="S315">
        <f t="shared" si="967"/>
        <v>-11859.991141247761</v>
      </c>
      <c r="T315">
        <f t="shared" si="968"/>
        <v>-11.859991141247761</v>
      </c>
    </row>
    <row r="316" spans="1:20" x14ac:dyDescent="0.25">
      <c r="A316" s="5">
        <v>44277</v>
      </c>
      <c r="B316">
        <v>0.30753999999999998</v>
      </c>
      <c r="C316">
        <v>0.33818999999999999</v>
      </c>
      <c r="D316">
        <v>0.28974</v>
      </c>
      <c r="E316">
        <v>0.29476999999999998</v>
      </c>
      <c r="F316">
        <v>26567699.899999999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-0.79236326109391209</v>
      </c>
      <c r="Q316">
        <f t="shared" si="965"/>
        <v>-21051269.332528401</v>
      </c>
      <c r="R316">
        <f t="shared" si="966"/>
        <v>-1210489853.505522</v>
      </c>
      <c r="S316">
        <f t="shared" si="967"/>
        <v>-12104.898535055219</v>
      </c>
      <c r="T316">
        <f t="shared" si="968"/>
        <v>-12.10489853505522</v>
      </c>
    </row>
    <row r="317" spans="1:20" x14ac:dyDescent="0.25">
      <c r="A317" s="5">
        <v>44276</v>
      </c>
      <c r="B317">
        <v>0.32116</v>
      </c>
      <c r="C317">
        <v>0.33071</v>
      </c>
      <c r="D317">
        <v>0.30005999999999999</v>
      </c>
      <c r="E317">
        <v>0.30760999999999999</v>
      </c>
      <c r="F317">
        <v>18415695.300000001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-0.50734094616639491</v>
      </c>
      <c r="Q317">
        <f t="shared" si="965"/>
        <v>-9343036.2778140325</v>
      </c>
      <c r="R317">
        <f t="shared" si="966"/>
        <v>-1189438584.1729937</v>
      </c>
      <c r="S317">
        <f t="shared" si="967"/>
        <v>-11894.385841729936</v>
      </c>
      <c r="T317">
        <f t="shared" si="968"/>
        <v>-11.894385841729935</v>
      </c>
    </row>
    <row r="318" spans="1:20" x14ac:dyDescent="0.25">
      <c r="A318" s="5">
        <v>44275</v>
      </c>
      <c r="B318">
        <v>0.311</v>
      </c>
      <c r="C318">
        <v>0.35</v>
      </c>
      <c r="D318">
        <v>0.31073000000000001</v>
      </c>
      <c r="E318">
        <v>0.32162000000000002</v>
      </c>
      <c r="F318">
        <v>24968341.899999999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-0.44537815126050323</v>
      </c>
      <c r="Q318">
        <f t="shared" si="965"/>
        <v>-11120353.95546216</v>
      </c>
      <c r="R318">
        <f t="shared" si="966"/>
        <v>-1180095547.8951795</v>
      </c>
      <c r="S318">
        <f t="shared" si="967"/>
        <v>-11800.955478951795</v>
      </c>
      <c r="T318">
        <f t="shared" si="968"/>
        <v>-11.800955478951796</v>
      </c>
    </row>
    <row r="319" spans="1:20" x14ac:dyDescent="0.25">
      <c r="A319" s="5">
        <v>44274</v>
      </c>
      <c r="B319">
        <v>0.31646999999999997</v>
      </c>
      <c r="C319">
        <v>0.33400000000000002</v>
      </c>
      <c r="D319">
        <v>0.30208000000000002</v>
      </c>
      <c r="E319">
        <v>0.311</v>
      </c>
      <c r="F319">
        <v>26934674.800000001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-0.44110275689223166</v>
      </c>
      <c r="Q319">
        <f t="shared" si="965"/>
        <v>-11880959.310275719</v>
      </c>
      <c r="R319">
        <f t="shared" si="966"/>
        <v>-1168975193.9397173</v>
      </c>
      <c r="S319">
        <f t="shared" si="967"/>
        <v>-11689.751939397172</v>
      </c>
      <c r="T319">
        <f t="shared" si="968"/>
        <v>-11.689751939397173</v>
      </c>
    </row>
    <row r="320" spans="1:20" x14ac:dyDescent="0.25">
      <c r="A320" s="5">
        <v>44273</v>
      </c>
      <c r="B320">
        <v>0.32500000000000001</v>
      </c>
      <c r="C320">
        <v>0.34994999999999998</v>
      </c>
      <c r="D320">
        <v>0.31165999999999999</v>
      </c>
      <c r="E320">
        <v>0.31659999999999999</v>
      </c>
      <c r="F320">
        <v>44607955.200000003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-0.74196918255419164</v>
      </c>
      <c r="Q320">
        <f t="shared" si="965"/>
        <v>-33097728.055158004</v>
      </c>
      <c r="R320">
        <f t="shared" si="966"/>
        <v>-1157094234.6294415</v>
      </c>
      <c r="S320">
        <f t="shared" si="967"/>
        <v>-11570.942346294414</v>
      </c>
      <c r="T320">
        <f t="shared" si="968"/>
        <v>-11.570942346294414</v>
      </c>
    </row>
    <row r="321" spans="1:20" x14ac:dyDescent="0.25">
      <c r="A321" s="5">
        <v>44272</v>
      </c>
      <c r="B321">
        <v>0.34666999999999998</v>
      </c>
      <c r="C321">
        <v>0.35121999999999998</v>
      </c>
      <c r="D321">
        <v>0.30913000000000002</v>
      </c>
      <c r="E321">
        <v>0.32500000000000001</v>
      </c>
      <c r="F321">
        <v>67558966.200000003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-0.24590163934426182</v>
      </c>
      <c r="Q321">
        <f t="shared" si="965"/>
        <v>-16612860.540983574</v>
      </c>
      <c r="R321">
        <f t="shared" si="966"/>
        <v>-1123996506.5742836</v>
      </c>
      <c r="S321">
        <f t="shared" si="967"/>
        <v>-11239.965065742836</v>
      </c>
      <c r="T321">
        <f t="shared" si="968"/>
        <v>-11.239965065742835</v>
      </c>
    </row>
    <row r="322" spans="1:20" x14ac:dyDescent="0.25">
      <c r="A322" s="5">
        <v>44271</v>
      </c>
      <c r="B322">
        <v>0.27639000000000002</v>
      </c>
      <c r="C322">
        <v>0.39500000000000002</v>
      </c>
      <c r="D322">
        <v>0.2525</v>
      </c>
      <c r="E322">
        <v>0.34653</v>
      </c>
      <c r="F322">
        <v>154175281.40000001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0.3197192982456139</v>
      </c>
      <c r="Q322">
        <f t="shared" si="965"/>
        <v>49292812.776028052</v>
      </c>
      <c r="R322">
        <f t="shared" si="966"/>
        <v>-1107383646.0332999</v>
      </c>
      <c r="S322">
        <f t="shared" si="967"/>
        <v>-11073.836460332999</v>
      </c>
      <c r="T322">
        <f t="shared" si="968"/>
        <v>-11.073836460332998</v>
      </c>
    </row>
    <row r="323" spans="1:20" x14ac:dyDescent="0.25">
      <c r="A323" s="5">
        <v>44270</v>
      </c>
      <c r="B323">
        <v>0.28249000000000002</v>
      </c>
      <c r="C323">
        <v>0.30363000000000001</v>
      </c>
      <c r="D323">
        <v>0.25008999999999998</v>
      </c>
      <c r="E323">
        <v>0.27633999999999997</v>
      </c>
      <c r="F323">
        <v>32325933.600000001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-1.9424729174449762E-2</v>
      </c>
      <c r="Q323">
        <f t="shared" si="965"/>
        <v>-627922.50549124589</v>
      </c>
      <c r="R323">
        <f t="shared" si="966"/>
        <v>-1156676458.8093281</v>
      </c>
      <c r="S323">
        <f t="shared" si="967"/>
        <v>-11566.764588093281</v>
      </c>
      <c r="T323">
        <f t="shared" si="968"/>
        <v>-11.566764588093282</v>
      </c>
    </row>
    <row r="324" spans="1:20" x14ac:dyDescent="0.25">
      <c r="A324" s="5">
        <v>44269</v>
      </c>
      <c r="B324">
        <v>0.26757999999999998</v>
      </c>
      <c r="C324">
        <v>0.32401999999999997</v>
      </c>
      <c r="D324">
        <v>0.2555</v>
      </c>
      <c r="E324">
        <v>0.28249000000000002</v>
      </c>
      <c r="F324">
        <v>57648206.899999999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-0.21220081727962564</v>
      </c>
      <c r="Q324">
        <f t="shared" si="965"/>
        <v>-12232996.618884955</v>
      </c>
      <c r="R324">
        <f t="shared" si="966"/>
        <v>-1156048536.3038368</v>
      </c>
      <c r="S324">
        <f t="shared" si="967"/>
        <v>-11560.485363038368</v>
      </c>
      <c r="T324">
        <f t="shared" si="968"/>
        <v>-11.560485363038367</v>
      </c>
    </row>
    <row r="325" spans="1:20" x14ac:dyDescent="0.25">
      <c r="A325" s="5">
        <v>44268</v>
      </c>
      <c r="B325">
        <v>0.22900000000000001</v>
      </c>
      <c r="C325">
        <v>0.29376999999999998</v>
      </c>
      <c r="D325">
        <v>0.22</v>
      </c>
      <c r="E325">
        <v>0.26690000000000003</v>
      </c>
      <c r="F325">
        <v>51454378.100000001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0.27151958790836495</v>
      </c>
      <c r="Q325">
        <f t="shared" si="965"/>
        <v>13970871.537793199</v>
      </c>
      <c r="R325">
        <f t="shared" si="966"/>
        <v>-1143815539.6849518</v>
      </c>
      <c r="S325">
        <f t="shared" si="967"/>
        <v>-11438.155396849517</v>
      </c>
      <c r="T325">
        <f t="shared" si="968"/>
        <v>-11.438155396849517</v>
      </c>
    </row>
    <row r="326" spans="1:20" x14ac:dyDescent="0.25">
      <c r="A326" s="5">
        <v>44267</v>
      </c>
      <c r="B326">
        <v>0.26163999999999998</v>
      </c>
      <c r="C326">
        <v>0.26307000000000003</v>
      </c>
      <c r="D326">
        <v>0.21826999999999999</v>
      </c>
      <c r="E326">
        <v>0.22900000000000001</v>
      </c>
      <c r="F326">
        <v>39279878.100000001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-0.52098214285714251</v>
      </c>
      <c r="Q326">
        <f t="shared" ref="Q326:Q389" si="970">F326*P326</f>
        <v>-20464115.063705344</v>
      </c>
      <c r="R326">
        <f t="shared" ref="R326:R389" si="971">R327+Q326</f>
        <v>-1157786411.2227449</v>
      </c>
      <c r="S326">
        <f t="shared" ref="S326:S389" si="972">R326/100000</f>
        <v>-11577.864112227449</v>
      </c>
      <c r="T326">
        <f t="shared" ref="T326:T389" si="973">S326/1000</f>
        <v>-11.577864112227449</v>
      </c>
    </row>
    <row r="327" spans="1:20" x14ac:dyDescent="0.25">
      <c r="A327" s="5">
        <v>44266</v>
      </c>
      <c r="B327">
        <v>0.25683</v>
      </c>
      <c r="C327">
        <v>0.2656</v>
      </c>
      <c r="D327">
        <v>0.24612999999999999</v>
      </c>
      <c r="E327">
        <v>0.26272000000000001</v>
      </c>
      <c r="F327">
        <v>19021114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0.70416024653312881</v>
      </c>
      <c r="Q327">
        <f t="shared" si="970"/>
        <v>13393912.323574748</v>
      </c>
      <c r="R327">
        <f t="shared" si="971"/>
        <v>-1137322296.1590395</v>
      </c>
      <c r="S327">
        <f t="shared" si="972"/>
        <v>-11373.222961590394</v>
      </c>
      <c r="T327">
        <f t="shared" si="973"/>
        <v>-11.373222961590395</v>
      </c>
    </row>
    <row r="328" spans="1:20" x14ac:dyDescent="0.25">
      <c r="A328" s="5">
        <v>44265</v>
      </c>
      <c r="B328">
        <v>0.27745999999999998</v>
      </c>
      <c r="C328">
        <v>0.28744999999999998</v>
      </c>
      <c r="D328">
        <v>0.25076999999999999</v>
      </c>
      <c r="E328">
        <v>0.25685000000000002</v>
      </c>
      <c r="F328">
        <v>22402312.100000001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-0.66848418756815531</v>
      </c>
      <c r="Q328">
        <f t="shared" si="970"/>
        <v>-14975591.403816756</v>
      </c>
      <c r="R328">
        <f t="shared" si="971"/>
        <v>-1150716208.4826143</v>
      </c>
      <c r="S328">
        <f t="shared" si="972"/>
        <v>-11507.162084826143</v>
      </c>
      <c r="T328">
        <f t="shared" si="973"/>
        <v>-11.507162084826144</v>
      </c>
    </row>
    <row r="329" spans="1:20" x14ac:dyDescent="0.25">
      <c r="A329" s="5">
        <v>44264</v>
      </c>
      <c r="B329">
        <v>0.28059000000000001</v>
      </c>
      <c r="C329">
        <v>0.29880000000000001</v>
      </c>
      <c r="D329">
        <v>0.27</v>
      </c>
      <c r="E329">
        <v>0.27760000000000001</v>
      </c>
      <c r="F329">
        <v>33067441.800000001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-0.47222222222222238</v>
      </c>
      <c r="Q329">
        <f t="shared" si="970"/>
        <v>-15615180.850000005</v>
      </c>
      <c r="R329">
        <f t="shared" si="971"/>
        <v>-1135740617.0787976</v>
      </c>
      <c r="S329">
        <f t="shared" si="972"/>
        <v>-11357.406170787975</v>
      </c>
      <c r="T329">
        <f t="shared" si="973"/>
        <v>-11.357406170787975</v>
      </c>
    </row>
    <row r="330" spans="1:20" x14ac:dyDescent="0.25">
      <c r="A330" s="5">
        <v>44263</v>
      </c>
      <c r="B330">
        <v>0.25411</v>
      </c>
      <c r="C330">
        <v>0.29430000000000001</v>
      </c>
      <c r="D330">
        <v>0.24575</v>
      </c>
      <c r="E330">
        <v>0.28054000000000001</v>
      </c>
      <c r="F330">
        <v>44990042.700000003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0.43316168898043289</v>
      </c>
      <c r="Q330">
        <f t="shared" si="970"/>
        <v>19487962.883233797</v>
      </c>
      <c r="R330">
        <f t="shared" si="971"/>
        <v>-1120125436.2287977</v>
      </c>
      <c r="S330">
        <f t="shared" si="972"/>
        <v>-11201.254362287977</v>
      </c>
      <c r="T330">
        <f t="shared" si="973"/>
        <v>-11.201254362287976</v>
      </c>
    </row>
    <row r="331" spans="1:20" x14ac:dyDescent="0.25">
      <c r="A331" s="5">
        <v>44262</v>
      </c>
      <c r="B331">
        <v>0.23249</v>
      </c>
      <c r="C331">
        <v>0.25900000000000001</v>
      </c>
      <c r="D331">
        <v>0.22148000000000001</v>
      </c>
      <c r="E331">
        <v>0.25419999999999998</v>
      </c>
      <c r="F331">
        <v>23873352.600000001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0.74413646055436955</v>
      </c>
      <c r="Q331">
        <f t="shared" si="970"/>
        <v>17765032.105330456</v>
      </c>
      <c r="R331">
        <f t="shared" si="971"/>
        <v>-1139613399.1120315</v>
      </c>
      <c r="S331">
        <f t="shared" si="972"/>
        <v>-11396.133991120314</v>
      </c>
      <c r="T331">
        <f t="shared" si="973"/>
        <v>-11.396133991120314</v>
      </c>
    </row>
    <row r="332" spans="1:20" x14ac:dyDescent="0.25">
      <c r="A332" s="5">
        <v>44261</v>
      </c>
      <c r="B332">
        <v>0.23544999999999999</v>
      </c>
      <c r="C332">
        <v>0.24</v>
      </c>
      <c r="D332">
        <v>0.21342</v>
      </c>
      <c r="E332">
        <v>0.2321</v>
      </c>
      <c r="F332">
        <v>21011947.199999999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0.40556809631301788</v>
      </c>
      <c r="Q332">
        <f t="shared" si="970"/>
        <v>8521775.4257336464</v>
      </c>
      <c r="R332">
        <f t="shared" si="971"/>
        <v>-1157378431.2173619</v>
      </c>
      <c r="S332">
        <f t="shared" si="972"/>
        <v>-11573.784312173619</v>
      </c>
      <c r="T332">
        <f t="shared" si="973"/>
        <v>-11.573784312173618</v>
      </c>
    </row>
    <row r="333" spans="1:20" x14ac:dyDescent="0.25">
      <c r="A333" s="5">
        <v>44260</v>
      </c>
      <c r="B333">
        <v>0.22131999999999999</v>
      </c>
      <c r="C333">
        <v>0.25800000000000001</v>
      </c>
      <c r="D333">
        <v>0.2</v>
      </c>
      <c r="E333">
        <v>0.23447999999999999</v>
      </c>
      <c r="F333">
        <v>44174386.299999997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0.18896551724137881</v>
      </c>
      <c r="Q333">
        <f t="shared" si="970"/>
        <v>8347435.7559999768</v>
      </c>
      <c r="R333">
        <f t="shared" si="971"/>
        <v>-1165900206.6430955</v>
      </c>
      <c r="S333">
        <f t="shared" si="972"/>
        <v>-11659.002066430954</v>
      </c>
      <c r="T333">
        <f t="shared" si="973"/>
        <v>-11.659002066430954</v>
      </c>
    </row>
    <row r="334" spans="1:20" x14ac:dyDescent="0.25">
      <c r="A334" s="5">
        <v>44259</v>
      </c>
      <c r="B334">
        <v>0.20899000000000001</v>
      </c>
      <c r="C334">
        <v>0.25900000000000001</v>
      </c>
      <c r="D334">
        <v>0.20050999999999999</v>
      </c>
      <c r="E334">
        <v>0.22128</v>
      </c>
      <c r="F334">
        <v>65670176.5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-0.28979312703026139</v>
      </c>
      <c r="Q334">
        <f t="shared" si="970"/>
        <v>-19030765.800564185</v>
      </c>
      <c r="R334">
        <f t="shared" si="971"/>
        <v>-1174247642.3990955</v>
      </c>
      <c r="S334">
        <f t="shared" si="972"/>
        <v>-11742.476423990955</v>
      </c>
      <c r="T334">
        <f t="shared" si="973"/>
        <v>-11.742476423990954</v>
      </c>
    </row>
    <row r="335" spans="1:20" x14ac:dyDescent="0.25">
      <c r="A335" s="5">
        <v>44258</v>
      </c>
      <c r="B335">
        <v>0.19556000000000001</v>
      </c>
      <c r="C335">
        <v>0.24299999999999999</v>
      </c>
      <c r="D335">
        <v>0.19208</v>
      </c>
      <c r="E335">
        <v>0.20849999999999999</v>
      </c>
      <c r="F335">
        <v>40836381.899999999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-0.35506677140612758</v>
      </c>
      <c r="Q335">
        <f t="shared" si="970"/>
        <v>-14499642.277140625</v>
      </c>
      <c r="R335">
        <f t="shared" si="971"/>
        <v>-1155216876.5985312</v>
      </c>
      <c r="S335">
        <f t="shared" si="972"/>
        <v>-11552.168765985312</v>
      </c>
      <c r="T335">
        <f t="shared" si="973"/>
        <v>-11.552168765985313</v>
      </c>
    </row>
    <row r="336" spans="1:20" x14ac:dyDescent="0.25">
      <c r="A336" s="5">
        <v>44257</v>
      </c>
      <c r="B336">
        <v>0.19645000000000001</v>
      </c>
      <c r="C336">
        <v>0.21587999999999999</v>
      </c>
      <c r="D336">
        <v>0.18587999999999999</v>
      </c>
      <c r="E336">
        <v>0.19555</v>
      </c>
      <c r="F336">
        <v>22350645.199999999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-0.3553333333333325</v>
      </c>
      <c r="Q336">
        <f t="shared" si="970"/>
        <v>-7941929.2610666482</v>
      </c>
      <c r="R336">
        <f t="shared" si="971"/>
        <v>-1140717234.3213906</v>
      </c>
      <c r="S336">
        <f t="shared" si="972"/>
        <v>-11407.172343213906</v>
      </c>
      <c r="T336">
        <f t="shared" si="973"/>
        <v>-11.407172343213906</v>
      </c>
    </row>
    <row r="337" spans="1:20" x14ac:dyDescent="0.25">
      <c r="A337" s="5">
        <v>44256</v>
      </c>
      <c r="B337">
        <v>0.17197999999999999</v>
      </c>
      <c r="C337">
        <v>0.20499999999999999</v>
      </c>
      <c r="D337">
        <v>0.17016000000000001</v>
      </c>
      <c r="E337">
        <v>0.19655</v>
      </c>
      <c r="F337">
        <v>32287307.300000001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0.51492537313432896</v>
      </c>
      <c r="Q337">
        <f t="shared" si="970"/>
        <v>16625553.758955244</v>
      </c>
      <c r="R337">
        <f t="shared" si="971"/>
        <v>-1132775305.060324</v>
      </c>
      <c r="S337">
        <f t="shared" si="972"/>
        <v>-11327.75305060324</v>
      </c>
      <c r="T337">
        <f t="shared" si="973"/>
        <v>-11.32775305060324</v>
      </c>
    </row>
    <row r="338" spans="1:20" x14ac:dyDescent="0.25">
      <c r="A338" s="5">
        <v>44255</v>
      </c>
      <c r="B338">
        <v>0.19181000000000001</v>
      </c>
      <c r="C338">
        <v>0.19700000000000001</v>
      </c>
      <c r="D338">
        <v>0.15637000000000001</v>
      </c>
      <c r="E338">
        <v>0.1719</v>
      </c>
      <c r="F338">
        <v>31421574.699999999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-0.23554024120108352</v>
      </c>
      <c r="Q338">
        <f t="shared" si="970"/>
        <v>-7401045.2837558631</v>
      </c>
      <c r="R338">
        <f t="shared" si="971"/>
        <v>-1149400858.8192792</v>
      </c>
      <c r="S338">
        <f t="shared" si="972"/>
        <v>-11494.008588192792</v>
      </c>
      <c r="T338">
        <f t="shared" si="973"/>
        <v>-11.494008588192791</v>
      </c>
    </row>
    <row r="339" spans="1:20" x14ac:dyDescent="0.25">
      <c r="A339" s="5">
        <v>44254</v>
      </c>
      <c r="B339">
        <v>0.20016</v>
      </c>
      <c r="C339">
        <v>0.21485000000000001</v>
      </c>
      <c r="D339">
        <v>0.18329999999999999</v>
      </c>
      <c r="E339">
        <v>0.19120000000000001</v>
      </c>
      <c r="F339">
        <v>53939129.600000001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-0.49920760697305783</v>
      </c>
      <c r="Q339">
        <f t="shared" si="970"/>
        <v>-26926823.809825629</v>
      </c>
      <c r="R339">
        <f t="shared" si="971"/>
        <v>-1141999813.5355234</v>
      </c>
      <c r="S339">
        <f t="shared" si="972"/>
        <v>-11419.998135355234</v>
      </c>
      <c r="T339">
        <f t="shared" si="973"/>
        <v>-11.419998135355234</v>
      </c>
    </row>
    <row r="340" spans="1:20" x14ac:dyDescent="0.25">
      <c r="A340" s="5">
        <v>44253</v>
      </c>
      <c r="B340">
        <v>0.20813999999999999</v>
      </c>
      <c r="C340">
        <v>0.27294000000000002</v>
      </c>
      <c r="D340">
        <v>0.19402</v>
      </c>
      <c r="E340">
        <v>0.20016999999999999</v>
      </c>
      <c r="F340">
        <v>167107335.90000001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-0.84414597060314278</v>
      </c>
      <c r="Q340">
        <f t="shared" si="970"/>
        <v>-141062984.2582109</v>
      </c>
      <c r="R340">
        <f t="shared" si="971"/>
        <v>-1115072989.7256978</v>
      </c>
      <c r="S340">
        <f t="shared" si="972"/>
        <v>-11150.729897256977</v>
      </c>
      <c r="T340">
        <f t="shared" si="973"/>
        <v>-11.150729897256976</v>
      </c>
    </row>
    <row r="341" spans="1:20" x14ac:dyDescent="0.25">
      <c r="A341" s="5">
        <v>44252</v>
      </c>
      <c r="B341">
        <v>0.17007</v>
      </c>
      <c r="C341">
        <v>0.24499000000000001</v>
      </c>
      <c r="D341">
        <v>0.16500999999999999</v>
      </c>
      <c r="E341">
        <v>0.20996999999999999</v>
      </c>
      <c r="F341">
        <v>93870143.400000006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0.12428107026756656</v>
      </c>
      <c r="Q341">
        <f t="shared" si="970"/>
        <v>11666281.88792195</v>
      </c>
      <c r="R341">
        <f t="shared" si="971"/>
        <v>-974010005.46748686</v>
      </c>
      <c r="S341">
        <f t="shared" si="972"/>
        <v>-9740.1000546748692</v>
      </c>
      <c r="T341">
        <f t="shared" si="973"/>
        <v>-9.7401000546748691</v>
      </c>
    </row>
    <row r="342" spans="1:20" x14ac:dyDescent="0.25">
      <c r="A342" s="5">
        <v>44251</v>
      </c>
      <c r="B342">
        <v>0.15495999999999999</v>
      </c>
      <c r="C342">
        <v>0.19248999999999999</v>
      </c>
      <c r="D342">
        <v>0.14255999999999999</v>
      </c>
      <c r="E342">
        <v>0.17007</v>
      </c>
      <c r="F342">
        <v>35306615.600000001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0.10194271980773104</v>
      </c>
      <c r="Q342">
        <f t="shared" si="970"/>
        <v>3599252.4214700656</v>
      </c>
      <c r="R342">
        <f t="shared" si="971"/>
        <v>-985676287.35540879</v>
      </c>
      <c r="S342">
        <f t="shared" si="972"/>
        <v>-9856.7628735540875</v>
      </c>
      <c r="T342">
        <f t="shared" si="973"/>
        <v>-9.8567628735540875</v>
      </c>
    </row>
    <row r="343" spans="1:20" x14ac:dyDescent="0.25">
      <c r="A343" s="5">
        <v>44250</v>
      </c>
      <c r="B343">
        <v>0.19449</v>
      </c>
      <c r="C343">
        <v>0.19646</v>
      </c>
      <c r="D343">
        <v>0.12433</v>
      </c>
      <c r="E343">
        <v>0.15495999999999999</v>
      </c>
      <c r="F343">
        <v>40304415.600000001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-0.15070012477471259</v>
      </c>
      <c r="Q343">
        <f t="shared" si="970"/>
        <v>-6073880.4598918725</v>
      </c>
      <c r="R343">
        <f t="shared" si="971"/>
        <v>-989275539.77687883</v>
      </c>
      <c r="S343">
        <f t="shared" si="972"/>
        <v>-9892.7553977687876</v>
      </c>
      <c r="T343">
        <f t="shared" si="973"/>
        <v>-9.8927553977687879</v>
      </c>
    </row>
    <row r="344" spans="1:20" x14ac:dyDescent="0.25">
      <c r="A344" s="5">
        <v>44249</v>
      </c>
      <c r="B344">
        <v>0.22867999999999999</v>
      </c>
      <c r="C344">
        <v>0.22869</v>
      </c>
      <c r="D344">
        <v>0.157</v>
      </c>
      <c r="E344">
        <v>0.19389999999999999</v>
      </c>
      <c r="F344">
        <v>44075068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2.9432277863020963E-2</v>
      </c>
      <c r="Q344">
        <f t="shared" si="970"/>
        <v>1297229.6482075437</v>
      </c>
      <c r="R344">
        <f t="shared" si="971"/>
        <v>-983201659.31698692</v>
      </c>
      <c r="S344">
        <f t="shared" si="972"/>
        <v>-9832.0165931698684</v>
      </c>
      <c r="T344">
        <f t="shared" si="973"/>
        <v>-9.8320165931698682</v>
      </c>
    </row>
    <row r="345" spans="1:20" x14ac:dyDescent="0.25">
      <c r="A345" s="5">
        <v>44248</v>
      </c>
      <c r="B345">
        <v>0.20129</v>
      </c>
      <c r="C345">
        <v>0.24568000000000001</v>
      </c>
      <c r="D345">
        <v>0.19989000000000001</v>
      </c>
      <c r="E345">
        <v>0.22788</v>
      </c>
      <c r="F345">
        <v>68488154.5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0.22253767198078134</v>
      </c>
      <c r="Q345">
        <f t="shared" si="970"/>
        <v>15241194.460690074</v>
      </c>
      <c r="R345">
        <f t="shared" si="971"/>
        <v>-984498888.96519446</v>
      </c>
      <c r="S345">
        <f t="shared" si="972"/>
        <v>-9844.9888896519442</v>
      </c>
      <c r="T345">
        <f t="shared" si="973"/>
        <v>-9.844988889651944</v>
      </c>
    </row>
    <row r="346" spans="1:20" x14ac:dyDescent="0.25">
      <c r="A346" s="5">
        <v>44247</v>
      </c>
      <c r="B346">
        <v>0.2107</v>
      </c>
      <c r="C346">
        <v>0.22</v>
      </c>
      <c r="D346">
        <v>0.19094</v>
      </c>
      <c r="E346">
        <v>0.20069000000000001</v>
      </c>
      <c r="F346">
        <v>38385455.600000001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-0.32897453544390859</v>
      </c>
      <c r="Q346">
        <f t="shared" si="970"/>
        <v>-12627837.423812781</v>
      </c>
      <c r="R346">
        <f t="shared" si="971"/>
        <v>-999740083.42588449</v>
      </c>
      <c r="S346">
        <f t="shared" si="972"/>
        <v>-9997.400834258844</v>
      </c>
      <c r="T346">
        <f t="shared" si="973"/>
        <v>-9.9974008342588441</v>
      </c>
    </row>
    <row r="347" spans="1:20" x14ac:dyDescent="0.25">
      <c r="A347" s="5">
        <v>44246</v>
      </c>
      <c r="B347">
        <v>0.22103</v>
      </c>
      <c r="C347">
        <v>0.22364000000000001</v>
      </c>
      <c r="D347">
        <v>0.20699000000000001</v>
      </c>
      <c r="E347">
        <v>0.21174000000000001</v>
      </c>
      <c r="F347">
        <v>29125532.800000001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-0.42942942942942885</v>
      </c>
      <c r="Q347">
        <f t="shared" si="970"/>
        <v>-12507360.932132116</v>
      </c>
      <c r="R347">
        <f t="shared" si="971"/>
        <v>-987112246.00207174</v>
      </c>
      <c r="S347">
        <f t="shared" si="972"/>
        <v>-9871.122460020717</v>
      </c>
      <c r="T347">
        <f t="shared" si="973"/>
        <v>-9.8711224600207164</v>
      </c>
    </row>
    <row r="348" spans="1:20" x14ac:dyDescent="0.25">
      <c r="A348" s="5">
        <v>44245</v>
      </c>
      <c r="B348">
        <v>0.22928999999999999</v>
      </c>
      <c r="C348">
        <v>0.23943999999999999</v>
      </c>
      <c r="D348">
        <v>0.219</v>
      </c>
      <c r="E348">
        <v>0.22161</v>
      </c>
      <c r="F348">
        <v>31784852.5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-0.74461839530332652</v>
      </c>
      <c r="Q348">
        <f t="shared" si="970"/>
        <v>-23667585.863502927</v>
      </c>
      <c r="R348">
        <f t="shared" si="971"/>
        <v>-974604885.06993961</v>
      </c>
      <c r="S348">
        <f t="shared" si="972"/>
        <v>-9746.048850699397</v>
      </c>
      <c r="T348">
        <f t="shared" si="973"/>
        <v>-9.7460488506993972</v>
      </c>
    </row>
    <row r="349" spans="1:20" x14ac:dyDescent="0.25">
      <c r="A349" s="5">
        <v>44244</v>
      </c>
      <c r="B349">
        <v>0.22508</v>
      </c>
      <c r="C349">
        <v>0.25</v>
      </c>
      <c r="D349">
        <v>0.21551000000000001</v>
      </c>
      <c r="E349">
        <v>0.22711000000000001</v>
      </c>
      <c r="F349">
        <v>40414263.299999997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-0.3273412583357494</v>
      </c>
      <c r="Q349">
        <f t="shared" si="970"/>
        <v>-13229255.803334296</v>
      </c>
      <c r="R349">
        <f t="shared" si="971"/>
        <v>-950937299.20643663</v>
      </c>
      <c r="S349">
        <f t="shared" si="972"/>
        <v>-9509.3729920643655</v>
      </c>
      <c r="T349">
        <f t="shared" si="973"/>
        <v>-9.5093729920643657</v>
      </c>
    </row>
    <row r="350" spans="1:20" x14ac:dyDescent="0.25">
      <c r="A350" s="5">
        <v>44243</v>
      </c>
      <c r="B350">
        <v>0.219</v>
      </c>
      <c r="C350">
        <v>0.254</v>
      </c>
      <c r="D350">
        <v>0.21218999999999999</v>
      </c>
      <c r="E350">
        <v>0.22550000000000001</v>
      </c>
      <c r="F350">
        <v>58798133.200000003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-0.36331021286773441</v>
      </c>
      <c r="Q350">
        <f t="shared" si="970"/>
        <v>-21361962.289117403</v>
      </c>
      <c r="R350">
        <f t="shared" si="971"/>
        <v>-937708043.4031024</v>
      </c>
      <c r="S350">
        <f t="shared" si="972"/>
        <v>-9377.0804340310242</v>
      </c>
      <c r="T350">
        <f t="shared" si="973"/>
        <v>-9.3770804340310239</v>
      </c>
    </row>
    <row r="351" spans="1:20" x14ac:dyDescent="0.25">
      <c r="A351" s="5">
        <v>44242</v>
      </c>
      <c r="B351">
        <v>0.21278</v>
      </c>
      <c r="C351">
        <v>0.28199000000000002</v>
      </c>
      <c r="D351">
        <v>0.18032999999999999</v>
      </c>
      <c r="E351">
        <v>0.21887999999999999</v>
      </c>
      <c r="F351">
        <v>128562427.09999999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-0.24158961243360239</v>
      </c>
      <c r="Q351">
        <f t="shared" si="970"/>
        <v>-31059346.93661226</v>
      </c>
      <c r="R351">
        <f t="shared" si="971"/>
        <v>-916346081.11398494</v>
      </c>
      <c r="S351">
        <f t="shared" si="972"/>
        <v>-9163.4608111398502</v>
      </c>
      <c r="T351">
        <f t="shared" si="973"/>
        <v>-9.163460811139851</v>
      </c>
    </row>
    <row r="352" spans="1:20" x14ac:dyDescent="0.25">
      <c r="A352" s="5">
        <v>44241</v>
      </c>
      <c r="B352">
        <v>0.25029000000000001</v>
      </c>
      <c r="C352">
        <v>0.254</v>
      </c>
      <c r="D352">
        <v>0.20499999999999999</v>
      </c>
      <c r="E352">
        <v>0.21265000000000001</v>
      </c>
      <c r="F352">
        <v>82527576.700000003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-0.68775510204081569</v>
      </c>
      <c r="Q352">
        <f t="shared" si="970"/>
        <v>-56758761.934489742</v>
      </c>
      <c r="R352">
        <f t="shared" si="971"/>
        <v>-885286734.17737269</v>
      </c>
      <c r="S352">
        <f t="shared" si="972"/>
        <v>-8852.8673417737264</v>
      </c>
      <c r="T352">
        <f t="shared" si="973"/>
        <v>-8.8528673417737256</v>
      </c>
    </row>
    <row r="353" spans="1:20" x14ac:dyDescent="0.25">
      <c r="A353" s="5">
        <v>44240</v>
      </c>
      <c r="B353">
        <v>0.2858</v>
      </c>
      <c r="C353">
        <v>0.29499999999999998</v>
      </c>
      <c r="D353">
        <v>0.23966000000000001</v>
      </c>
      <c r="E353">
        <v>0.25030999999999998</v>
      </c>
      <c r="F353">
        <v>103550454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-0.61510661366100572</v>
      </c>
      <c r="Q353">
        <f t="shared" si="970"/>
        <v>-63694569.102999747</v>
      </c>
      <c r="R353">
        <f t="shared" si="971"/>
        <v>-828527972.24288297</v>
      </c>
      <c r="S353">
        <f t="shared" si="972"/>
        <v>-8285.2797224288297</v>
      </c>
      <c r="T353">
        <f t="shared" si="973"/>
        <v>-8.2852797224288288</v>
      </c>
    </row>
    <row r="354" spans="1:20" x14ac:dyDescent="0.25">
      <c r="A354" s="5">
        <v>44239</v>
      </c>
      <c r="B354">
        <v>0.31602000000000002</v>
      </c>
      <c r="C354">
        <v>0.34936</v>
      </c>
      <c r="D354">
        <v>0.255</v>
      </c>
      <c r="E354">
        <v>0.28531000000000001</v>
      </c>
      <c r="F354">
        <v>183860595.69999999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-0.35756676557863493</v>
      </c>
      <c r="Q354">
        <f t="shared" si="970"/>
        <v>-65742438.52181007</v>
      </c>
      <c r="R354">
        <f t="shared" si="971"/>
        <v>-764833403.13988328</v>
      </c>
      <c r="S354">
        <f t="shared" si="972"/>
        <v>-7648.3340313988328</v>
      </c>
      <c r="T354">
        <f t="shared" si="973"/>
        <v>-7.6483340313988331</v>
      </c>
    </row>
    <row r="355" spans="1:20" x14ac:dyDescent="0.25">
      <c r="A355" s="5">
        <v>44238</v>
      </c>
      <c r="B355">
        <v>0.25929999999999997</v>
      </c>
      <c r="C355">
        <v>0.44840000000000002</v>
      </c>
      <c r="D355">
        <v>0.21476000000000001</v>
      </c>
      <c r="E355">
        <v>0.316</v>
      </c>
      <c r="F355">
        <v>905188223.20000005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-0.13336757404554023</v>
      </c>
      <c r="Q355">
        <f t="shared" si="970"/>
        <v>-120722757.38277701</v>
      </c>
      <c r="R355">
        <f t="shared" si="971"/>
        <v>-699090964.61807323</v>
      </c>
      <c r="S355">
        <f t="shared" si="972"/>
        <v>-6990.9096461807321</v>
      </c>
      <c r="T355">
        <f t="shared" si="973"/>
        <v>-6.9909096461807323</v>
      </c>
    </row>
    <row r="356" spans="1:20" x14ac:dyDescent="0.25">
      <c r="A356" s="5">
        <v>44237</v>
      </c>
      <c r="B356">
        <v>9.9080000000000001E-2</v>
      </c>
      <c r="C356">
        <v>0.46697</v>
      </c>
      <c r="D356">
        <v>9.1619999999999993E-2</v>
      </c>
      <c r="E356">
        <v>0.25902999999999998</v>
      </c>
      <c r="F356">
        <v>861833313.20000005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-0.10797921939523114</v>
      </c>
      <c r="Q356">
        <f t="shared" si="970"/>
        <v>-93060088.408141762</v>
      </c>
      <c r="R356">
        <f t="shared" si="971"/>
        <v>-578368207.23529625</v>
      </c>
      <c r="S356">
        <f t="shared" si="972"/>
        <v>-5783.6820723529627</v>
      </c>
      <c r="T356">
        <f t="shared" si="973"/>
        <v>-5.7836820723529625</v>
      </c>
    </row>
    <row r="357" spans="1:20" x14ac:dyDescent="0.25">
      <c r="A357" s="5">
        <v>44236</v>
      </c>
      <c r="B357">
        <v>8.5519999999999999E-2</v>
      </c>
      <c r="C357">
        <v>9.9699999999999997E-2</v>
      </c>
      <c r="D357">
        <v>8.3589999999999998E-2</v>
      </c>
      <c r="E357">
        <v>9.9089999999999998E-2</v>
      </c>
      <c r="F357">
        <v>24675362.600000001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0.92427063935443832</v>
      </c>
      <c r="Q357">
        <f t="shared" si="970"/>
        <v>22806713.166604597</v>
      </c>
      <c r="R357">
        <f t="shared" si="971"/>
        <v>-485308118.82715446</v>
      </c>
      <c r="S357">
        <f t="shared" si="972"/>
        <v>-4853.0811882715443</v>
      </c>
      <c r="T357">
        <f t="shared" si="973"/>
        <v>-4.8530811882715446</v>
      </c>
    </row>
    <row r="358" spans="1:20" x14ac:dyDescent="0.25">
      <c r="A358" s="5">
        <v>44235</v>
      </c>
      <c r="B358">
        <v>7.9009999999999997E-2</v>
      </c>
      <c r="C358">
        <v>8.7900000000000006E-2</v>
      </c>
      <c r="D358">
        <v>7.7829999999999996E-2</v>
      </c>
      <c r="E358">
        <v>8.5519999999999999E-2</v>
      </c>
      <c r="F358">
        <v>14396627.300000001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0.5273088381330675</v>
      </c>
      <c r="Q358">
        <f t="shared" si="970"/>
        <v>7591468.8145978013</v>
      </c>
      <c r="R358">
        <f t="shared" si="971"/>
        <v>-508114831.99375904</v>
      </c>
      <c r="S358">
        <f t="shared" si="972"/>
        <v>-5081.1483199375907</v>
      </c>
      <c r="T358">
        <f t="shared" si="973"/>
        <v>-5.0811483199375909</v>
      </c>
    </row>
    <row r="359" spans="1:20" x14ac:dyDescent="0.25">
      <c r="A359" s="5">
        <v>44234</v>
      </c>
      <c r="B359">
        <v>8.1420000000000006E-2</v>
      </c>
      <c r="C359">
        <v>8.8400000000000006E-2</v>
      </c>
      <c r="D359">
        <v>7.5120000000000006E-2</v>
      </c>
      <c r="E359">
        <v>7.9009999999999997E-2</v>
      </c>
      <c r="F359">
        <v>18100624.399999999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-0.41415662650602553</v>
      </c>
      <c r="Q359">
        <f t="shared" si="970"/>
        <v>-7496493.5391566521</v>
      </c>
      <c r="R359">
        <f t="shared" si="971"/>
        <v>-515706300.80835682</v>
      </c>
      <c r="S359">
        <f t="shared" si="972"/>
        <v>-5157.0630080835681</v>
      </c>
      <c r="T359">
        <f t="shared" si="973"/>
        <v>-5.1570630080835684</v>
      </c>
    </row>
    <row r="360" spans="1:20" x14ac:dyDescent="0.25">
      <c r="A360" s="5">
        <v>44233</v>
      </c>
      <c r="B360">
        <v>8.6499999999999994E-2</v>
      </c>
      <c r="C360">
        <v>8.6580000000000004E-2</v>
      </c>
      <c r="D360">
        <v>7.4230000000000004E-2</v>
      </c>
      <c r="E360">
        <v>8.1629999999999994E-2</v>
      </c>
      <c r="F360">
        <v>15804410.4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0.19838056680161781</v>
      </c>
      <c r="Q360">
        <f t="shared" si="970"/>
        <v>3135287.8931173831</v>
      </c>
      <c r="R360">
        <f t="shared" si="971"/>
        <v>-508209807.26920015</v>
      </c>
      <c r="S360">
        <f t="shared" si="972"/>
        <v>-5082.0980726920016</v>
      </c>
      <c r="T360">
        <f t="shared" si="973"/>
        <v>-5.082098072692002</v>
      </c>
    </row>
    <row r="361" spans="1:20" x14ac:dyDescent="0.25">
      <c r="A361" s="5">
        <v>44232</v>
      </c>
      <c r="B361">
        <v>7.5749999999999998E-2</v>
      </c>
      <c r="C361">
        <v>8.72E-2</v>
      </c>
      <c r="D361">
        <v>7.4899999999999994E-2</v>
      </c>
      <c r="E361">
        <v>8.6499999999999994E-2</v>
      </c>
      <c r="F361">
        <v>18495146.699999999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0.88617886178861693</v>
      </c>
      <c r="Q361">
        <f t="shared" si="970"/>
        <v>16390008.051219493</v>
      </c>
      <c r="R361">
        <f t="shared" si="971"/>
        <v>-511345095.16231751</v>
      </c>
      <c r="S361">
        <f t="shared" si="972"/>
        <v>-5113.4509516231756</v>
      </c>
      <c r="T361">
        <f t="shared" si="973"/>
        <v>-5.1134509516231752</v>
      </c>
    </row>
    <row r="362" spans="1:20" x14ac:dyDescent="0.25">
      <c r="A362" s="5">
        <v>44231</v>
      </c>
      <c r="B362">
        <v>7.7530000000000002E-2</v>
      </c>
      <c r="C362">
        <v>8.1490000000000007E-2</v>
      </c>
      <c r="D362">
        <v>7.2169999999999998E-2</v>
      </c>
      <c r="E362">
        <v>7.5660000000000005E-2</v>
      </c>
      <c r="F362">
        <v>20110373.899999999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-0.25107296137338975</v>
      </c>
      <c r="Q362">
        <f t="shared" si="970"/>
        <v>-5049171.1293991245</v>
      </c>
      <c r="R362">
        <f t="shared" si="971"/>
        <v>-527735103.21353698</v>
      </c>
      <c r="S362">
        <f t="shared" si="972"/>
        <v>-5277.3510321353697</v>
      </c>
      <c r="T362">
        <f t="shared" si="973"/>
        <v>-5.2773510321353694</v>
      </c>
    </row>
    <row r="363" spans="1:20" x14ac:dyDescent="0.25">
      <c r="A363" s="5">
        <v>44230</v>
      </c>
      <c r="B363">
        <v>6.9540000000000005E-2</v>
      </c>
      <c r="C363">
        <v>7.9280000000000003E-2</v>
      </c>
      <c r="D363">
        <v>6.7890000000000006E-2</v>
      </c>
      <c r="E363">
        <v>7.7929999999999999E-2</v>
      </c>
      <c r="F363">
        <v>26372177.199999999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0.76294995610184302</v>
      </c>
      <c r="Q363">
        <f t="shared" si="970"/>
        <v>20120651.437050026</v>
      </c>
      <c r="R363">
        <f t="shared" si="971"/>
        <v>-522685932.08413786</v>
      </c>
      <c r="S363">
        <f t="shared" si="972"/>
        <v>-5226.8593208413786</v>
      </c>
      <c r="T363">
        <f t="shared" si="973"/>
        <v>-5.2268593208413785</v>
      </c>
    </row>
    <row r="364" spans="1:20" x14ac:dyDescent="0.25">
      <c r="A364" s="5">
        <v>44229</v>
      </c>
      <c r="B364">
        <v>6.9040000000000004E-2</v>
      </c>
      <c r="C364">
        <v>6.966E-2</v>
      </c>
      <c r="D364">
        <v>6.5610000000000002E-2</v>
      </c>
      <c r="E364">
        <v>6.9529999999999995E-2</v>
      </c>
      <c r="F364">
        <v>13792040.300000001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0.9358024691357999</v>
      </c>
      <c r="Q364">
        <f t="shared" si="970"/>
        <v>12906625.367160458</v>
      </c>
      <c r="R364">
        <f t="shared" si="971"/>
        <v>-542806583.5211879</v>
      </c>
      <c r="S364">
        <f t="shared" si="972"/>
        <v>-5428.0658352118789</v>
      </c>
      <c r="T364">
        <f t="shared" si="973"/>
        <v>-5.4280658352118794</v>
      </c>
    </row>
    <row r="365" spans="1:20" x14ac:dyDescent="0.25">
      <c r="A365" s="5">
        <v>44228</v>
      </c>
      <c r="B365">
        <v>7.0360000000000006E-2</v>
      </c>
      <c r="C365">
        <v>7.0449999999999999E-2</v>
      </c>
      <c r="D365">
        <v>6.5509999999999999E-2</v>
      </c>
      <c r="E365">
        <v>6.9010000000000002E-2</v>
      </c>
      <c r="F365">
        <v>13219872.800000001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0.41700404858299722</v>
      </c>
      <c r="Q365">
        <f t="shared" si="970"/>
        <v>5512740.4793522442</v>
      </c>
      <c r="R365">
        <f t="shared" si="971"/>
        <v>-555713208.88834834</v>
      </c>
      <c r="S365">
        <f t="shared" si="972"/>
        <v>-5557.1320888834834</v>
      </c>
      <c r="T365">
        <f t="shared" si="973"/>
        <v>-5.5571320888834839</v>
      </c>
    </row>
    <row r="366" spans="1:20" x14ac:dyDescent="0.25">
      <c r="A366" s="5">
        <v>44227</v>
      </c>
      <c r="B366">
        <v>6.633E-2</v>
      </c>
      <c r="C366">
        <v>7.2859999999999994E-2</v>
      </c>
      <c r="D366">
        <v>6.3200000000000006E-2</v>
      </c>
      <c r="E366">
        <v>6.9650000000000004E-2</v>
      </c>
      <c r="F366">
        <v>24732621.5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0.33540372670807567</v>
      </c>
      <c r="Q366">
        <f t="shared" si="970"/>
        <v>8295413.4223602768</v>
      </c>
      <c r="R366">
        <f t="shared" si="971"/>
        <v>-561225949.36770058</v>
      </c>
      <c r="S366">
        <f t="shared" si="972"/>
        <v>-5612.2594936770056</v>
      </c>
      <c r="T366">
        <f t="shared" si="973"/>
        <v>-5.6122594936770058</v>
      </c>
    </row>
    <row r="367" spans="1:20" x14ac:dyDescent="0.25">
      <c r="A367" s="5">
        <v>44226</v>
      </c>
      <c r="B367">
        <v>6.1060000000000003E-2</v>
      </c>
      <c r="C367">
        <v>6.9900000000000004E-2</v>
      </c>
      <c r="D367">
        <v>6.0490000000000002E-2</v>
      </c>
      <c r="E367">
        <v>6.633E-2</v>
      </c>
      <c r="F367">
        <v>19848433.800000001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0.24123273113708754</v>
      </c>
      <c r="Q367">
        <f t="shared" si="970"/>
        <v>4788091.8943676809</v>
      </c>
      <c r="R367">
        <f t="shared" si="971"/>
        <v>-569521362.79006088</v>
      </c>
      <c r="S367">
        <f t="shared" si="972"/>
        <v>-5695.213627900609</v>
      </c>
      <c r="T367">
        <f t="shared" si="973"/>
        <v>-5.6952136279006087</v>
      </c>
    </row>
    <row r="368" spans="1:20" x14ac:dyDescent="0.25">
      <c r="A368" s="5">
        <v>44225</v>
      </c>
      <c r="B368">
        <v>6.0789999999999997E-2</v>
      </c>
      <c r="C368">
        <v>6.5000000000000002E-2</v>
      </c>
      <c r="D368">
        <v>5.8700000000000002E-2</v>
      </c>
      <c r="E368">
        <v>6.0440000000000001E-2</v>
      </c>
      <c r="F368">
        <v>24424999.899999999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-0.44761904761904808</v>
      </c>
      <c r="Q368">
        <f t="shared" si="970"/>
        <v>-10933095.193333345</v>
      </c>
      <c r="R368">
        <f t="shared" si="971"/>
        <v>-574309454.68442857</v>
      </c>
      <c r="S368">
        <f t="shared" si="972"/>
        <v>-5743.094546844286</v>
      </c>
      <c r="T368">
        <f t="shared" si="973"/>
        <v>-5.7430945468442864</v>
      </c>
    </row>
    <row r="369" spans="1:20" x14ac:dyDescent="0.25">
      <c r="A369" s="5">
        <v>44224</v>
      </c>
      <c r="B369">
        <v>6.3E-2</v>
      </c>
      <c r="C369">
        <v>6.515E-2</v>
      </c>
      <c r="D369">
        <v>5.9610000000000003E-2</v>
      </c>
      <c r="E369">
        <v>6.0789999999999997E-2</v>
      </c>
      <c r="F369">
        <v>41116444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-0.57400722021660855</v>
      </c>
      <c r="Q369">
        <f t="shared" si="970"/>
        <v>-23601135.725631852</v>
      </c>
      <c r="R369">
        <f t="shared" si="971"/>
        <v>-563376359.49109519</v>
      </c>
      <c r="S369">
        <f t="shared" si="972"/>
        <v>-5633.7635949109517</v>
      </c>
      <c r="T369">
        <f t="shared" si="973"/>
        <v>-5.6337635949109517</v>
      </c>
    </row>
    <row r="370" spans="1:20" x14ac:dyDescent="0.25">
      <c r="A370" s="5">
        <v>44223</v>
      </c>
      <c r="B370">
        <v>5.7079999999999999E-2</v>
      </c>
      <c r="C370">
        <v>6.4750000000000002E-2</v>
      </c>
      <c r="D370">
        <v>5.3580000000000003E-2</v>
      </c>
      <c r="E370">
        <v>6.2969999999999998E-2</v>
      </c>
      <c r="F370">
        <v>36316510.899999999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0.68128916741271195</v>
      </c>
      <c r="Q370">
        <f t="shared" si="970"/>
        <v>24742045.474395677</v>
      </c>
      <c r="R370">
        <f t="shared" si="971"/>
        <v>-539775223.76546335</v>
      </c>
      <c r="S370">
        <f t="shared" si="972"/>
        <v>-5397.752237654634</v>
      </c>
      <c r="T370">
        <f t="shared" si="973"/>
        <v>-5.3977522376546343</v>
      </c>
    </row>
    <row r="371" spans="1:20" x14ac:dyDescent="0.25">
      <c r="A371" s="5">
        <v>44222</v>
      </c>
      <c r="B371">
        <v>5.876E-2</v>
      </c>
      <c r="C371">
        <v>5.9990000000000002E-2</v>
      </c>
      <c r="D371">
        <v>5.4010000000000002E-2</v>
      </c>
      <c r="E371">
        <v>5.7200000000000001E-2</v>
      </c>
      <c r="F371">
        <v>13417912.800000001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6.688963210702302E-2</v>
      </c>
      <c r="Q371">
        <f t="shared" si="970"/>
        <v>897519.25083611521</v>
      </c>
      <c r="R371">
        <f t="shared" si="971"/>
        <v>-564517269.23985898</v>
      </c>
      <c r="S371">
        <f t="shared" si="972"/>
        <v>-5645.1726923985898</v>
      </c>
      <c r="T371">
        <f t="shared" si="973"/>
        <v>-5.6451726923985897</v>
      </c>
    </row>
    <row r="372" spans="1:20" x14ac:dyDescent="0.25">
      <c r="A372" s="5">
        <v>44221</v>
      </c>
      <c r="B372">
        <v>5.9549999999999999E-2</v>
      </c>
      <c r="C372">
        <v>6.3E-2</v>
      </c>
      <c r="D372">
        <v>5.62E-2</v>
      </c>
      <c r="E372">
        <v>5.9159999999999997E-2</v>
      </c>
      <c r="F372">
        <v>17297814.5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-0.1294117647058832</v>
      </c>
      <c r="Q372">
        <f t="shared" si="970"/>
        <v>-2238540.7000000146</v>
      </c>
      <c r="R372">
        <f t="shared" si="971"/>
        <v>-565414788.49069512</v>
      </c>
      <c r="S372">
        <f t="shared" si="972"/>
        <v>-5654.1478849069508</v>
      </c>
      <c r="T372">
        <f t="shared" si="973"/>
        <v>-5.6541478849069504</v>
      </c>
    </row>
    <row r="373" spans="1:20" x14ac:dyDescent="0.25">
      <c r="A373" s="5">
        <v>44220</v>
      </c>
      <c r="B373">
        <v>5.8599999999999999E-2</v>
      </c>
      <c r="C373">
        <v>6.0999999999999999E-2</v>
      </c>
      <c r="D373">
        <v>5.493E-2</v>
      </c>
      <c r="E373">
        <v>5.9549999999999999E-2</v>
      </c>
      <c r="F373">
        <v>23257755.300000001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0.52224052718286651</v>
      </c>
      <c r="Q373">
        <f t="shared" si="970"/>
        <v>12146142.388962109</v>
      </c>
      <c r="R373">
        <f t="shared" si="971"/>
        <v>-563176247.79069507</v>
      </c>
      <c r="S373">
        <f t="shared" si="972"/>
        <v>-5631.7624779069511</v>
      </c>
      <c r="T373">
        <f t="shared" si="973"/>
        <v>-5.6317624779069515</v>
      </c>
    </row>
    <row r="374" spans="1:20" x14ac:dyDescent="0.25">
      <c r="A374" s="5">
        <v>44219</v>
      </c>
      <c r="B374">
        <v>5.2740000000000002E-2</v>
      </c>
      <c r="C374">
        <v>5.8770000000000003E-2</v>
      </c>
      <c r="D374">
        <v>5.1979999999999998E-2</v>
      </c>
      <c r="E374">
        <v>5.8749999999999997E-2</v>
      </c>
      <c r="F374">
        <v>20987797.300000001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0.99410898379970369</v>
      </c>
      <c r="Q374">
        <f t="shared" si="970"/>
        <v>20864157.846097164</v>
      </c>
      <c r="R374">
        <f t="shared" si="971"/>
        <v>-575322390.17965722</v>
      </c>
      <c r="S374">
        <f t="shared" si="972"/>
        <v>-5753.2239017965721</v>
      </c>
      <c r="T374">
        <f t="shared" si="973"/>
        <v>-5.7532239017965718</v>
      </c>
    </row>
    <row r="375" spans="1:20" x14ac:dyDescent="0.25">
      <c r="A375" s="5">
        <v>44218</v>
      </c>
      <c r="B375">
        <v>5.0529999999999999E-2</v>
      </c>
      <c r="C375">
        <v>5.6329999999999998E-2</v>
      </c>
      <c r="D375">
        <v>4.6469999999999997E-2</v>
      </c>
      <c r="E375">
        <v>5.2749999999999998E-2</v>
      </c>
      <c r="F375">
        <v>38005415.299999997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0.27383367139959441</v>
      </c>
      <c r="Q375">
        <f t="shared" si="970"/>
        <v>10407162.404665317</v>
      </c>
      <c r="R375">
        <f t="shared" si="971"/>
        <v>-596186548.02575433</v>
      </c>
      <c r="S375">
        <f t="shared" si="972"/>
        <v>-5961.8654802575429</v>
      </c>
      <c r="T375">
        <f t="shared" si="973"/>
        <v>-5.9618654802575426</v>
      </c>
    </row>
    <row r="376" spans="1:20" x14ac:dyDescent="0.25">
      <c r="A376" s="5">
        <v>44217</v>
      </c>
      <c r="B376">
        <v>5.3100000000000001E-2</v>
      </c>
      <c r="C376">
        <v>6.3E-2</v>
      </c>
      <c r="D376">
        <v>5.0020000000000002E-2</v>
      </c>
      <c r="E376">
        <v>5.0520000000000002E-2</v>
      </c>
      <c r="F376">
        <v>46400030.399999999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-0.92295839753466868</v>
      </c>
      <c r="Q376">
        <f t="shared" si="970"/>
        <v>-42825297.703543909</v>
      </c>
      <c r="R376">
        <f t="shared" si="971"/>
        <v>-606593710.43041968</v>
      </c>
      <c r="S376">
        <f t="shared" si="972"/>
        <v>-6065.9371043041965</v>
      </c>
      <c r="T376">
        <f t="shared" si="973"/>
        <v>-6.0659371043041963</v>
      </c>
    </row>
    <row r="377" spans="1:20" x14ac:dyDescent="0.25">
      <c r="A377" s="5">
        <v>44216</v>
      </c>
      <c r="B377">
        <v>5.2560000000000003E-2</v>
      </c>
      <c r="C377">
        <v>5.4120000000000001E-2</v>
      </c>
      <c r="D377">
        <v>4.854E-2</v>
      </c>
      <c r="E377">
        <v>5.3109999999999997E-2</v>
      </c>
      <c r="F377">
        <v>14044984.800000001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0.63799283154121733</v>
      </c>
      <c r="Q377">
        <f t="shared" si="970"/>
        <v>8960599.6215053592</v>
      </c>
      <c r="R377">
        <f t="shared" si="971"/>
        <v>-563768412.72687578</v>
      </c>
      <c r="S377">
        <f t="shared" si="972"/>
        <v>-5637.6841272687579</v>
      </c>
      <c r="T377">
        <f t="shared" si="973"/>
        <v>-5.6376841272687583</v>
      </c>
    </row>
    <row r="378" spans="1:20" x14ac:dyDescent="0.25">
      <c r="A378" s="5">
        <v>44215</v>
      </c>
      <c r="B378">
        <v>5.5910000000000001E-2</v>
      </c>
      <c r="C378">
        <v>5.7579999999999999E-2</v>
      </c>
      <c r="D378">
        <v>5.2089999999999997E-2</v>
      </c>
      <c r="E378">
        <v>5.2560000000000003E-2</v>
      </c>
      <c r="F378">
        <v>16557162.4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-0.82877959927140077</v>
      </c>
      <c r="Q378">
        <f t="shared" si="970"/>
        <v>-13722238.418943504</v>
      </c>
      <c r="R378">
        <f t="shared" si="971"/>
        <v>-572729012.34838116</v>
      </c>
      <c r="S378">
        <f t="shared" si="972"/>
        <v>-5727.2901234838118</v>
      </c>
      <c r="T378">
        <f t="shared" si="973"/>
        <v>-5.7272901234838116</v>
      </c>
    </row>
    <row r="379" spans="1:20" x14ac:dyDescent="0.25">
      <c r="A379" s="5">
        <v>44214</v>
      </c>
      <c r="B379">
        <v>5.4989999999999997E-2</v>
      </c>
      <c r="C379">
        <v>5.8500000000000003E-2</v>
      </c>
      <c r="D379">
        <v>5.2510000000000001E-2</v>
      </c>
      <c r="E379">
        <v>5.5899999999999998E-2</v>
      </c>
      <c r="F379">
        <v>14861231.699999999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0.13188647746243604</v>
      </c>
      <c r="Q379">
        <f t="shared" si="970"/>
        <v>1959995.4996660899</v>
      </c>
      <c r="R379">
        <f t="shared" si="971"/>
        <v>-559006773.92943764</v>
      </c>
      <c r="S379">
        <f t="shared" si="972"/>
        <v>-5590.0677392943762</v>
      </c>
      <c r="T379">
        <f t="shared" si="973"/>
        <v>-5.5900677392943763</v>
      </c>
    </row>
    <row r="380" spans="1:20" x14ac:dyDescent="0.25">
      <c r="A380" s="5">
        <v>44213</v>
      </c>
      <c r="B380">
        <v>5.2499999999999998E-2</v>
      </c>
      <c r="C380">
        <v>5.5E-2</v>
      </c>
      <c r="D380">
        <v>4.768E-2</v>
      </c>
      <c r="E380">
        <v>5.5E-2</v>
      </c>
      <c r="F380">
        <v>16108721.6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1</v>
      </c>
      <c r="Q380">
        <f t="shared" si="970"/>
        <v>16108721.6</v>
      </c>
      <c r="R380">
        <f t="shared" si="971"/>
        <v>-560966769.42910373</v>
      </c>
      <c r="S380">
        <f t="shared" si="972"/>
        <v>-5609.6676942910372</v>
      </c>
      <c r="T380">
        <f t="shared" si="973"/>
        <v>-5.6096676942910371</v>
      </c>
    </row>
    <row r="381" spans="1:20" x14ac:dyDescent="0.25">
      <c r="A381" s="5">
        <v>44212</v>
      </c>
      <c r="B381">
        <v>4.8259999999999997E-2</v>
      </c>
      <c r="C381">
        <v>5.3289999999999997E-2</v>
      </c>
      <c r="D381">
        <v>4.768E-2</v>
      </c>
      <c r="E381">
        <v>5.2499999999999998E-2</v>
      </c>
      <c r="F381">
        <v>20521051.100000001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0.71836007130124802</v>
      </c>
      <c r="Q381">
        <f t="shared" si="970"/>
        <v>14741503.731372556</v>
      </c>
      <c r="R381">
        <f t="shared" si="971"/>
        <v>-577075491.02910376</v>
      </c>
      <c r="S381">
        <f t="shared" si="972"/>
        <v>-5770.754910291038</v>
      </c>
      <c r="T381">
        <f t="shared" si="973"/>
        <v>-5.7707549102910383</v>
      </c>
    </row>
    <row r="382" spans="1:20" x14ac:dyDescent="0.25">
      <c r="A382" s="5">
        <v>44211</v>
      </c>
      <c r="B382">
        <v>4.8869999999999997E-2</v>
      </c>
      <c r="C382">
        <v>5.11E-2</v>
      </c>
      <c r="D382">
        <v>4.4999999999999998E-2</v>
      </c>
      <c r="E382">
        <v>4.8320000000000002E-2</v>
      </c>
      <c r="F382">
        <v>15945437.5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8.8524590163935352E-2</v>
      </c>
      <c r="Q382">
        <f t="shared" si="970"/>
        <v>1411563.3196721459</v>
      </c>
      <c r="R382">
        <f t="shared" si="971"/>
        <v>-591816994.76047635</v>
      </c>
      <c r="S382">
        <f t="shared" si="972"/>
        <v>-5918.1699476047634</v>
      </c>
      <c r="T382">
        <f t="shared" si="973"/>
        <v>-5.9181699476047633</v>
      </c>
    </row>
    <row r="383" spans="1:20" x14ac:dyDescent="0.25">
      <c r="A383" s="5">
        <v>44210</v>
      </c>
      <c r="B383">
        <v>5.015E-2</v>
      </c>
      <c r="C383">
        <v>5.0689999999999999E-2</v>
      </c>
      <c r="D383">
        <v>4.743E-2</v>
      </c>
      <c r="E383">
        <v>4.879E-2</v>
      </c>
      <c r="F383">
        <v>11436648.6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-0.16564417177914079</v>
      </c>
      <c r="Q383">
        <f t="shared" si="970"/>
        <v>-1894414.1852760699</v>
      </c>
      <c r="R383">
        <f t="shared" si="971"/>
        <v>-593228558.08014846</v>
      </c>
      <c r="S383">
        <f t="shared" si="972"/>
        <v>-5932.2855808014847</v>
      </c>
      <c r="T383">
        <f t="shared" si="973"/>
        <v>-5.9322855808014845</v>
      </c>
    </row>
    <row r="384" spans="1:20" x14ac:dyDescent="0.25">
      <c r="A384" s="5">
        <v>44209</v>
      </c>
      <c r="B384">
        <v>4.4859999999999997E-2</v>
      </c>
      <c r="C384">
        <v>5.1180000000000003E-2</v>
      </c>
      <c r="D384">
        <v>4.326E-2</v>
      </c>
      <c r="E384">
        <v>5.015E-2</v>
      </c>
      <c r="F384">
        <v>15068479.4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0.73989898989898917</v>
      </c>
      <c r="Q384">
        <f t="shared" si="970"/>
        <v>11149152.687373728</v>
      </c>
      <c r="R384">
        <f t="shared" si="971"/>
        <v>-591334143.89487243</v>
      </c>
      <c r="S384">
        <f t="shared" si="972"/>
        <v>-5913.3414389487243</v>
      </c>
      <c r="T384">
        <f t="shared" si="973"/>
        <v>-5.9133414389487244</v>
      </c>
    </row>
    <row r="385" spans="1:20" x14ac:dyDescent="0.25">
      <c r="A385" s="5">
        <v>44208</v>
      </c>
      <c r="B385">
        <v>4.7399999999999998E-2</v>
      </c>
      <c r="C385">
        <v>4.9230000000000003E-2</v>
      </c>
      <c r="D385">
        <v>4.3319999999999997E-2</v>
      </c>
      <c r="E385">
        <v>4.4909999999999999E-2</v>
      </c>
      <c r="F385">
        <v>12054740.5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-0.46192893401015239</v>
      </c>
      <c r="Q385">
        <f t="shared" si="970"/>
        <v>-5568433.4289340116</v>
      </c>
      <c r="R385">
        <f t="shared" si="971"/>
        <v>-602483296.58224618</v>
      </c>
      <c r="S385">
        <f t="shared" si="972"/>
        <v>-6024.832965822462</v>
      </c>
      <c r="T385">
        <f t="shared" si="973"/>
        <v>-6.024832965822462</v>
      </c>
    </row>
    <row r="386" spans="1:20" x14ac:dyDescent="0.25">
      <c r="A386" s="5">
        <v>44207</v>
      </c>
      <c r="B386">
        <v>5.4089999999999999E-2</v>
      </c>
      <c r="C386">
        <v>5.586E-2</v>
      </c>
      <c r="D386">
        <v>4.1009999999999998E-2</v>
      </c>
      <c r="E386">
        <v>4.7600000000000003E-2</v>
      </c>
      <c r="F386">
        <v>28292095.600000001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-0.11245791245791183</v>
      </c>
      <c r="Q386">
        <f t="shared" si="970"/>
        <v>-3181670.0102356724</v>
      </c>
      <c r="R386">
        <f t="shared" si="971"/>
        <v>-596914863.15331221</v>
      </c>
      <c r="S386">
        <f t="shared" si="972"/>
        <v>-5969.1486315331222</v>
      </c>
      <c r="T386">
        <f t="shared" si="973"/>
        <v>-5.9691486315331224</v>
      </c>
    </row>
    <row r="387" spans="1:20" x14ac:dyDescent="0.25">
      <c r="A387" s="5">
        <v>44206</v>
      </c>
      <c r="B387">
        <v>5.1959999999999999E-2</v>
      </c>
      <c r="C387">
        <v>6.1350000000000002E-2</v>
      </c>
      <c r="D387">
        <v>4.8259999999999997E-2</v>
      </c>
      <c r="E387">
        <v>5.4089999999999999E-2</v>
      </c>
      <c r="F387">
        <v>54974792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-0.10924369747899161</v>
      </c>
      <c r="Q387">
        <f t="shared" si="970"/>
        <v>-6005649.5462184884</v>
      </c>
      <c r="R387">
        <f t="shared" si="971"/>
        <v>-593733193.14307654</v>
      </c>
      <c r="S387">
        <f t="shared" si="972"/>
        <v>-5937.3319314307655</v>
      </c>
      <c r="T387">
        <f t="shared" si="973"/>
        <v>-5.9373319314307658</v>
      </c>
    </row>
    <row r="388" spans="1:20" x14ac:dyDescent="0.25">
      <c r="A388" s="5">
        <v>44205</v>
      </c>
      <c r="B388">
        <v>4.7160000000000001E-2</v>
      </c>
      <c r="C388">
        <v>5.5230000000000001E-2</v>
      </c>
      <c r="D388">
        <v>4.607E-2</v>
      </c>
      <c r="E388">
        <v>5.1630000000000002E-2</v>
      </c>
      <c r="F388">
        <v>28860116.600000001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0.21397379912663789</v>
      </c>
      <c r="Q388">
        <f t="shared" si="970"/>
        <v>6175308.7921397481</v>
      </c>
      <c r="R388">
        <f t="shared" si="971"/>
        <v>-587727543.59685802</v>
      </c>
      <c r="S388">
        <f t="shared" si="972"/>
        <v>-5877.2754359685805</v>
      </c>
      <c r="T388">
        <f t="shared" si="973"/>
        <v>-5.8772754359685804</v>
      </c>
    </row>
    <row r="389" spans="1:20" x14ac:dyDescent="0.25">
      <c r="A389" s="5">
        <v>44204</v>
      </c>
      <c r="B389">
        <v>4.759E-2</v>
      </c>
      <c r="C389">
        <v>0.05</v>
      </c>
      <c r="D389">
        <v>4.2999999999999997E-2</v>
      </c>
      <c r="E389">
        <v>4.7160000000000001E-2</v>
      </c>
      <c r="F389">
        <v>17788012.600000001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0.18857142857142864</v>
      </c>
      <c r="Q389">
        <f t="shared" si="970"/>
        <v>3354310.9474285729</v>
      </c>
      <c r="R389">
        <f t="shared" si="971"/>
        <v>-593902852.38899779</v>
      </c>
      <c r="S389">
        <f t="shared" si="972"/>
        <v>-5939.0285238899778</v>
      </c>
      <c r="T389">
        <f t="shared" si="973"/>
        <v>-5.939028523889978</v>
      </c>
    </row>
    <row r="390" spans="1:20" x14ac:dyDescent="0.25">
      <c r="A390" s="5">
        <v>44203</v>
      </c>
      <c r="B390">
        <v>4.6240000000000003E-2</v>
      </c>
      <c r="C390">
        <v>5.1310000000000001E-2</v>
      </c>
      <c r="D390">
        <v>4.2470000000000001E-2</v>
      </c>
      <c r="E390">
        <v>4.752E-2</v>
      </c>
      <c r="F390">
        <v>43501322.100000001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0.1425339366515834</v>
      </c>
      <c r="Q390">
        <f t="shared" ref="Q390:Q453" si="975">F390*P390</f>
        <v>6200414.6884615254</v>
      </c>
      <c r="R390">
        <f t="shared" ref="R390:R453" si="976">R391+Q390</f>
        <v>-597257163.33642638</v>
      </c>
      <c r="S390">
        <f t="shared" ref="S390:S453" si="977">R390/100000</f>
        <v>-5972.571633364264</v>
      </c>
      <c r="T390">
        <f t="shared" ref="T390:T453" si="978">S390/1000</f>
        <v>-5.9725716333642644</v>
      </c>
    </row>
    <row r="391" spans="1:20" x14ac:dyDescent="0.25">
      <c r="A391" s="5">
        <v>44202</v>
      </c>
      <c r="B391">
        <v>4.4650000000000002E-2</v>
      </c>
      <c r="C391">
        <v>4.7620000000000003E-2</v>
      </c>
      <c r="D391">
        <v>4.2340000000000003E-2</v>
      </c>
      <c r="E391">
        <v>4.6199999999999998E-2</v>
      </c>
      <c r="F391">
        <v>18335832.699999999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0.46212121212121038</v>
      </c>
      <c r="Q391">
        <f t="shared" si="975"/>
        <v>8473377.2325757258</v>
      </c>
      <c r="R391">
        <f t="shared" si="976"/>
        <v>-603457578.02488792</v>
      </c>
      <c r="S391">
        <f t="shared" si="977"/>
        <v>-6034.5757802488788</v>
      </c>
      <c r="T391">
        <f t="shared" si="978"/>
        <v>-6.0345757802488791</v>
      </c>
    </row>
    <row r="392" spans="1:20" x14ac:dyDescent="0.25">
      <c r="A392" s="5">
        <v>44201</v>
      </c>
      <c r="B392">
        <v>4.5199999999999997E-2</v>
      </c>
      <c r="C392">
        <v>4.7109999999999999E-2</v>
      </c>
      <c r="D392">
        <v>4.2369999999999998E-2</v>
      </c>
      <c r="E392">
        <v>4.4499999999999998E-2</v>
      </c>
      <c r="F392">
        <v>10993941.6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-0.10126582278481036</v>
      </c>
      <c r="Q392">
        <f t="shared" si="975"/>
        <v>-1113310.5417721544</v>
      </c>
      <c r="R392">
        <f t="shared" si="976"/>
        <v>-611930955.25746369</v>
      </c>
      <c r="S392">
        <f t="shared" si="977"/>
        <v>-6119.3095525746367</v>
      </c>
      <c r="T392">
        <f t="shared" si="978"/>
        <v>-6.119309552574637</v>
      </c>
    </row>
    <row r="393" spans="1:20" x14ac:dyDescent="0.25">
      <c r="A393" s="5">
        <v>44200</v>
      </c>
      <c r="B393">
        <v>4.58E-2</v>
      </c>
      <c r="C393">
        <v>4.8860000000000001E-2</v>
      </c>
      <c r="D393">
        <v>4.1000000000000002E-2</v>
      </c>
      <c r="E393">
        <v>4.5130000000000003E-2</v>
      </c>
      <c r="F393">
        <v>18384930.800000001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5.089058524173086E-2</v>
      </c>
      <c r="Q393">
        <f t="shared" si="975"/>
        <v>935619.88804072316</v>
      </c>
      <c r="R393">
        <f t="shared" si="976"/>
        <v>-610817644.71569157</v>
      </c>
      <c r="S393">
        <f t="shared" si="977"/>
        <v>-6108.1764471569159</v>
      </c>
      <c r="T393">
        <f t="shared" si="978"/>
        <v>-6.1081764471569162</v>
      </c>
    </row>
    <row r="394" spans="1:20" x14ac:dyDescent="0.25">
      <c r="A394" s="5">
        <v>44199</v>
      </c>
      <c r="B394">
        <v>4.2250000000000003E-2</v>
      </c>
      <c r="C394">
        <v>4.6190000000000002E-2</v>
      </c>
      <c r="D394">
        <v>4.0210000000000003E-2</v>
      </c>
      <c r="E394">
        <v>4.5780000000000001E-2</v>
      </c>
      <c r="F394">
        <v>13628978.300000001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0.86287625418060176</v>
      </c>
      <c r="Q394">
        <f t="shared" si="975"/>
        <v>11760121.743812706</v>
      </c>
      <c r="R394">
        <f t="shared" si="976"/>
        <v>-611753264.60373235</v>
      </c>
      <c r="S394">
        <f t="shared" si="977"/>
        <v>-6117.5326460373235</v>
      </c>
      <c r="T394">
        <f t="shared" si="978"/>
        <v>-6.1175326460373238</v>
      </c>
    </row>
    <row r="395" spans="1:20" x14ac:dyDescent="0.25">
      <c r="A395" s="5">
        <v>44198</v>
      </c>
      <c r="B395">
        <v>4.2200000000000001E-2</v>
      </c>
      <c r="C395">
        <v>4.3999999999999997E-2</v>
      </c>
      <c r="D395">
        <v>4.0399999999999998E-2</v>
      </c>
      <c r="E395">
        <v>4.2250000000000003E-2</v>
      </c>
      <c r="F395">
        <v>6201672.5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2.7777777777780507E-2</v>
      </c>
      <c r="Q395">
        <f t="shared" si="975"/>
        <v>172268.68055557247</v>
      </c>
      <c r="R395">
        <f t="shared" si="976"/>
        <v>-623513386.34754503</v>
      </c>
      <c r="S395">
        <f t="shared" si="977"/>
        <v>-6235.1338634754502</v>
      </c>
      <c r="T395">
        <f t="shared" si="978"/>
        <v>-6.2351338634754505</v>
      </c>
    </row>
    <row r="396" spans="1:20" x14ac:dyDescent="0.25">
      <c r="A396" s="5">
        <v>44197</v>
      </c>
      <c r="B396">
        <v>4.0340000000000001E-2</v>
      </c>
      <c r="C396">
        <v>4.5089999999999998E-2</v>
      </c>
      <c r="D396">
        <v>3.9949999999999999E-2</v>
      </c>
      <c r="E396">
        <v>4.181E-2</v>
      </c>
      <c r="F396">
        <v>10237073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-0.27626459143968835</v>
      </c>
      <c r="Q396">
        <f t="shared" si="975"/>
        <v>-2828140.7898832648</v>
      </c>
      <c r="R396">
        <f t="shared" si="976"/>
        <v>-623685655.02810061</v>
      </c>
      <c r="S396">
        <f t="shared" si="977"/>
        <v>-6236.8565502810061</v>
      </c>
      <c r="T396">
        <f t="shared" si="978"/>
        <v>-6.2368565502810061</v>
      </c>
    </row>
    <row r="397" spans="1:20" x14ac:dyDescent="0.25">
      <c r="A397" s="5">
        <v>44196</v>
      </c>
      <c r="B397">
        <v>4.3679999999999997E-2</v>
      </c>
      <c r="C397">
        <v>4.4499999999999998E-2</v>
      </c>
      <c r="D397">
        <v>3.9849999999999997E-2</v>
      </c>
      <c r="E397">
        <v>4.0340000000000001E-2</v>
      </c>
      <c r="F397">
        <v>7453549.7000000002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-0.78924731182795516</v>
      </c>
      <c r="Q397">
        <f t="shared" si="975"/>
        <v>-5882694.0643010614</v>
      </c>
      <c r="R397">
        <f t="shared" si="976"/>
        <v>-620857514.23821735</v>
      </c>
      <c r="S397">
        <f t="shared" si="977"/>
        <v>-6208.5751423821739</v>
      </c>
      <c r="T397">
        <f t="shared" si="978"/>
        <v>-6.2085751423821742</v>
      </c>
    </row>
    <row r="398" spans="1:20" x14ac:dyDescent="0.25">
      <c r="A398" s="5">
        <v>44195</v>
      </c>
      <c r="B398">
        <v>4.7350000000000003E-2</v>
      </c>
      <c r="C398">
        <v>4.7370000000000002E-2</v>
      </c>
      <c r="D398">
        <v>4.2209999999999998E-2</v>
      </c>
      <c r="E398">
        <v>4.3299999999999998E-2</v>
      </c>
      <c r="F398">
        <v>9908828.3000000007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-0.57751937984496138</v>
      </c>
      <c r="Q398">
        <f t="shared" si="975"/>
        <v>-5722540.3748062029</v>
      </c>
      <c r="R398">
        <f t="shared" si="976"/>
        <v>-614974820.17391634</v>
      </c>
      <c r="S398">
        <f t="shared" si="977"/>
        <v>-6149.7482017391631</v>
      </c>
      <c r="T398">
        <f t="shared" si="978"/>
        <v>-6.1497482017391629</v>
      </c>
    </row>
    <row r="399" spans="1:20" x14ac:dyDescent="0.25">
      <c r="A399" s="5">
        <v>44194</v>
      </c>
      <c r="B399">
        <v>4.5839999999999999E-2</v>
      </c>
      <c r="C399">
        <v>4.7440000000000003E-2</v>
      </c>
      <c r="D399">
        <v>3.9199999999999999E-2</v>
      </c>
      <c r="E399">
        <v>4.7350000000000003E-2</v>
      </c>
      <c r="F399">
        <v>13942576.1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0.97815533980582525</v>
      </c>
      <c r="Q399">
        <f t="shared" si="975"/>
        <v>13638005.262864077</v>
      </c>
      <c r="R399">
        <f t="shared" si="976"/>
        <v>-609252279.79911017</v>
      </c>
      <c r="S399">
        <f t="shared" si="977"/>
        <v>-6092.5227979911015</v>
      </c>
      <c r="T399">
        <f t="shared" si="978"/>
        <v>-6.0925227979911014</v>
      </c>
    </row>
    <row r="400" spans="1:20" x14ac:dyDescent="0.25">
      <c r="A400" s="5">
        <v>44193</v>
      </c>
      <c r="B400">
        <v>4.3740000000000001E-2</v>
      </c>
      <c r="C400">
        <v>4.743E-2</v>
      </c>
      <c r="D400">
        <v>4.3099999999999999E-2</v>
      </c>
      <c r="E400">
        <v>4.5949999999999998E-2</v>
      </c>
      <c r="F400">
        <v>14612578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0.31639722863741249</v>
      </c>
      <c r="Q400">
        <f t="shared" si="975"/>
        <v>4623379.1824480239</v>
      </c>
      <c r="R400">
        <f t="shared" si="976"/>
        <v>-622890285.06197429</v>
      </c>
      <c r="S400">
        <f t="shared" si="977"/>
        <v>-6228.9028506197428</v>
      </c>
      <c r="T400">
        <f t="shared" si="978"/>
        <v>-6.2289028506197432</v>
      </c>
    </row>
    <row r="401" spans="1:20" x14ac:dyDescent="0.25">
      <c r="A401" s="5">
        <v>44192</v>
      </c>
      <c r="B401">
        <v>4.3720000000000002E-2</v>
      </c>
      <c r="C401">
        <v>4.827E-2</v>
      </c>
      <c r="D401">
        <v>4.0410000000000001E-2</v>
      </c>
      <c r="E401">
        <v>4.3589999999999997E-2</v>
      </c>
      <c r="F401">
        <v>14314893.4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-0.19083969465648962</v>
      </c>
      <c r="Q401">
        <f t="shared" si="975"/>
        <v>-2731849.8854961987</v>
      </c>
      <c r="R401">
        <f t="shared" si="976"/>
        <v>-627513664.24442232</v>
      </c>
      <c r="S401">
        <f t="shared" si="977"/>
        <v>-6275.1366424442231</v>
      </c>
      <c r="T401">
        <f t="shared" si="978"/>
        <v>-6.275136642444223</v>
      </c>
    </row>
    <row r="402" spans="1:20" x14ac:dyDescent="0.25">
      <c r="A402" s="5">
        <v>44191</v>
      </c>
      <c r="B402">
        <v>4.5359999999999998E-2</v>
      </c>
      <c r="C402">
        <v>4.6949999999999999E-2</v>
      </c>
      <c r="D402">
        <v>4.3139999999999998E-2</v>
      </c>
      <c r="E402">
        <v>4.3709999999999999E-2</v>
      </c>
      <c r="F402">
        <v>13286848.9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-0.70078740157480268</v>
      </c>
      <c r="Q402">
        <f t="shared" si="975"/>
        <v>-9311256.3157480247</v>
      </c>
      <c r="R402">
        <f t="shared" si="976"/>
        <v>-624781814.35892618</v>
      </c>
      <c r="S402">
        <f t="shared" si="977"/>
        <v>-6247.818143589262</v>
      </c>
      <c r="T402">
        <f t="shared" si="978"/>
        <v>-6.2478181435892619</v>
      </c>
    </row>
    <row r="403" spans="1:20" x14ac:dyDescent="0.25">
      <c r="A403" s="5">
        <v>44190</v>
      </c>
      <c r="B403">
        <v>4.7399999999999998E-2</v>
      </c>
      <c r="C403">
        <v>4.9880000000000001E-2</v>
      </c>
      <c r="D403">
        <v>4.3220000000000001E-2</v>
      </c>
      <c r="E403">
        <v>4.5679999999999998E-2</v>
      </c>
      <c r="F403">
        <v>11721048.199999999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-0.26126126126126209</v>
      </c>
      <c r="Q403">
        <f t="shared" si="975"/>
        <v>-3062255.8360360456</v>
      </c>
      <c r="R403">
        <f t="shared" si="976"/>
        <v>-615470558.0431782</v>
      </c>
      <c r="S403">
        <f t="shared" si="977"/>
        <v>-6154.7055804317824</v>
      </c>
      <c r="T403">
        <f t="shared" si="978"/>
        <v>-6.1547055804317825</v>
      </c>
    </row>
    <row r="404" spans="1:20" x14ac:dyDescent="0.25">
      <c r="A404" s="5">
        <v>44189</v>
      </c>
      <c r="B404">
        <v>4.3830000000000001E-2</v>
      </c>
      <c r="C404">
        <v>4.8239999999999998E-2</v>
      </c>
      <c r="D404">
        <v>4.079E-2</v>
      </c>
      <c r="E404">
        <v>4.7199999999999999E-2</v>
      </c>
      <c r="F404">
        <v>9973304.0999999996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0.72080536912751692</v>
      </c>
      <c r="Q404">
        <f t="shared" si="975"/>
        <v>7188811.143221478</v>
      </c>
      <c r="R404">
        <f t="shared" si="976"/>
        <v>-612408302.20714211</v>
      </c>
      <c r="S404">
        <f t="shared" si="977"/>
        <v>-6124.0830220714215</v>
      </c>
      <c r="T404">
        <f t="shared" si="978"/>
        <v>-6.1240830220714217</v>
      </c>
    </row>
    <row r="405" spans="1:20" x14ac:dyDescent="0.25">
      <c r="A405" s="5">
        <v>44188</v>
      </c>
      <c r="B405">
        <v>5.1999999999999998E-2</v>
      </c>
      <c r="C405">
        <v>5.7140000000000003E-2</v>
      </c>
      <c r="D405">
        <v>3.918E-2</v>
      </c>
      <c r="E405">
        <v>4.3529999999999999E-2</v>
      </c>
      <c r="F405">
        <v>27695752.399999999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-0.51559020044543447</v>
      </c>
      <c r="Q405">
        <f t="shared" si="975"/>
        <v>-14279658.531403122</v>
      </c>
      <c r="R405">
        <f t="shared" si="976"/>
        <v>-619597113.35036361</v>
      </c>
      <c r="S405">
        <f t="shared" si="977"/>
        <v>-6195.9711335036363</v>
      </c>
      <c r="T405">
        <f t="shared" si="978"/>
        <v>-6.1959711335036367</v>
      </c>
    </row>
    <row r="406" spans="1:20" x14ac:dyDescent="0.25">
      <c r="A406" s="5">
        <v>44187</v>
      </c>
      <c r="B406">
        <v>5.1529999999999999E-2</v>
      </c>
      <c r="C406">
        <v>5.4989999999999997E-2</v>
      </c>
      <c r="D406">
        <v>4.7870000000000003E-2</v>
      </c>
      <c r="E406">
        <v>5.1889999999999999E-2</v>
      </c>
      <c r="F406">
        <v>14666984.9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0.12921348314606712</v>
      </c>
      <c r="Q406">
        <f t="shared" si="975"/>
        <v>1895172.2061797711</v>
      </c>
      <c r="R406">
        <f t="shared" si="976"/>
        <v>-605317454.81896055</v>
      </c>
      <c r="S406">
        <f t="shared" si="977"/>
        <v>-6053.174548189605</v>
      </c>
      <c r="T406">
        <f t="shared" si="978"/>
        <v>-6.0531745481896051</v>
      </c>
    </row>
    <row r="407" spans="1:20" x14ac:dyDescent="0.25">
      <c r="A407" s="5">
        <v>44186</v>
      </c>
      <c r="B407">
        <v>5.8090000000000003E-2</v>
      </c>
      <c r="C407">
        <v>5.985E-2</v>
      </c>
      <c r="D407">
        <v>4.9340000000000002E-2</v>
      </c>
      <c r="E407">
        <v>5.1520000000000003E-2</v>
      </c>
      <c r="F407">
        <v>13137556.699999999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-0.58515699333967619</v>
      </c>
      <c r="Q407">
        <f t="shared" si="975"/>
        <v>-7687533.1784015177</v>
      </c>
      <c r="R407">
        <f t="shared" si="976"/>
        <v>-607212627.02514029</v>
      </c>
      <c r="S407">
        <f t="shared" si="977"/>
        <v>-6072.1262702514032</v>
      </c>
      <c r="T407">
        <f t="shared" si="978"/>
        <v>-6.0721262702514034</v>
      </c>
    </row>
    <row r="408" spans="1:20" x14ac:dyDescent="0.25">
      <c r="A408" s="5">
        <v>44185</v>
      </c>
      <c r="B408">
        <v>5.6910000000000002E-2</v>
      </c>
      <c r="C408">
        <v>6.4329999999999998E-2</v>
      </c>
      <c r="D408">
        <v>5.5329999999999997E-2</v>
      </c>
      <c r="E408">
        <v>5.808E-2</v>
      </c>
      <c r="F408">
        <v>30784454.399999999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-0.3888888888888884</v>
      </c>
      <c r="Q408">
        <f t="shared" si="975"/>
        <v>-11971732.266666651</v>
      </c>
      <c r="R408">
        <f t="shared" si="976"/>
        <v>-599525093.84673882</v>
      </c>
      <c r="S408">
        <f t="shared" si="977"/>
        <v>-5995.2509384673886</v>
      </c>
      <c r="T408">
        <f t="shared" si="978"/>
        <v>-5.9952509384673887</v>
      </c>
    </row>
    <row r="409" spans="1:20" x14ac:dyDescent="0.25">
      <c r="A409" s="5">
        <v>44184</v>
      </c>
      <c r="B409">
        <v>5.1769999999999997E-2</v>
      </c>
      <c r="C409">
        <v>5.926E-2</v>
      </c>
      <c r="D409">
        <v>5.135E-2</v>
      </c>
      <c r="E409">
        <v>5.6910000000000002E-2</v>
      </c>
      <c r="F409">
        <v>25265643.800000001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0.40581542351453909</v>
      </c>
      <c r="Q409">
        <f t="shared" si="975"/>
        <v>10253187.93906449</v>
      </c>
      <c r="R409">
        <f t="shared" si="976"/>
        <v>-587553361.58007216</v>
      </c>
      <c r="S409">
        <f t="shared" si="977"/>
        <v>-5875.5336158007212</v>
      </c>
      <c r="T409">
        <f t="shared" si="978"/>
        <v>-5.8755336158007214</v>
      </c>
    </row>
    <row r="410" spans="1:20" x14ac:dyDescent="0.25">
      <c r="A410" s="5">
        <v>44183</v>
      </c>
      <c r="B410">
        <v>5.1090000000000003E-2</v>
      </c>
      <c r="C410">
        <v>5.5489999999999998E-2</v>
      </c>
      <c r="D410">
        <v>4.9599999999999998E-2</v>
      </c>
      <c r="E410">
        <v>5.1700000000000003E-2</v>
      </c>
      <c r="F410">
        <v>17183317.399999999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-0.28692699490661977</v>
      </c>
      <c r="Q410">
        <f t="shared" si="975"/>
        <v>-4930357.6241086302</v>
      </c>
      <c r="R410">
        <f t="shared" si="976"/>
        <v>-597806549.51913667</v>
      </c>
      <c r="S410">
        <f t="shared" si="977"/>
        <v>-5978.0654951913666</v>
      </c>
      <c r="T410">
        <f t="shared" si="978"/>
        <v>-5.978065495191367</v>
      </c>
    </row>
    <row r="411" spans="1:20" x14ac:dyDescent="0.25">
      <c r="A411" s="5">
        <v>44182</v>
      </c>
      <c r="B411">
        <v>5.2229999999999999E-2</v>
      </c>
      <c r="C411">
        <v>5.722E-2</v>
      </c>
      <c r="D411">
        <v>4.8559999999999999E-2</v>
      </c>
      <c r="E411">
        <v>5.1290000000000002E-2</v>
      </c>
      <c r="F411">
        <v>29397285.5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-0.36951501154734345</v>
      </c>
      <c r="Q411">
        <f t="shared" si="975"/>
        <v>-10862738.290993052</v>
      </c>
      <c r="R411">
        <f t="shared" si="976"/>
        <v>-592876191.895028</v>
      </c>
      <c r="S411">
        <f t="shared" si="977"/>
        <v>-5928.7619189502802</v>
      </c>
      <c r="T411">
        <f t="shared" si="978"/>
        <v>-5.92876191895028</v>
      </c>
    </row>
    <row r="412" spans="1:20" x14ac:dyDescent="0.25">
      <c r="A412" s="5">
        <v>44181</v>
      </c>
      <c r="B412">
        <v>4.8689999999999997E-2</v>
      </c>
      <c r="C412">
        <v>5.33E-2</v>
      </c>
      <c r="D412">
        <v>4.6780000000000002E-2</v>
      </c>
      <c r="E412">
        <v>5.2229999999999999E-2</v>
      </c>
      <c r="F412">
        <v>15284930.6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0.67177914110429393</v>
      </c>
      <c r="Q412">
        <f t="shared" si="975"/>
        <v>10268097.550306739</v>
      </c>
      <c r="R412">
        <f t="shared" si="976"/>
        <v>-582013453.6040349</v>
      </c>
      <c r="S412">
        <f t="shared" si="977"/>
        <v>-5820.1345360403493</v>
      </c>
      <c r="T412">
        <f t="shared" si="978"/>
        <v>-5.8201345360403494</v>
      </c>
    </row>
    <row r="413" spans="1:20" x14ac:dyDescent="0.25">
      <c r="A413" s="5">
        <v>44180</v>
      </c>
      <c r="B413">
        <v>5.067E-2</v>
      </c>
      <c r="C413">
        <v>5.2380000000000003E-2</v>
      </c>
      <c r="D413">
        <v>4.7750000000000001E-2</v>
      </c>
      <c r="E413">
        <v>4.9000000000000002E-2</v>
      </c>
      <c r="F413">
        <v>8482433.1999999993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-0.46004319654427622</v>
      </c>
      <c r="Q413">
        <f t="shared" si="975"/>
        <v>-3902285.6838012934</v>
      </c>
      <c r="R413">
        <f t="shared" si="976"/>
        <v>-592281551.1543417</v>
      </c>
      <c r="S413">
        <f t="shared" si="977"/>
        <v>-5922.8155115434174</v>
      </c>
      <c r="T413">
        <f t="shared" si="978"/>
        <v>-5.9228155115434173</v>
      </c>
    </row>
    <row r="414" spans="1:20" x14ac:dyDescent="0.25">
      <c r="A414" s="5">
        <v>44179</v>
      </c>
      <c r="B414">
        <v>4.9279999999999997E-2</v>
      </c>
      <c r="C414">
        <v>5.289E-2</v>
      </c>
      <c r="D414">
        <v>4.9059999999999999E-2</v>
      </c>
      <c r="E414">
        <v>5.11E-2</v>
      </c>
      <c r="F414">
        <v>9361058.1999999993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6.5274151436031394E-2</v>
      </c>
      <c r="Q414">
        <f t="shared" si="975"/>
        <v>611035.13054830336</v>
      </c>
      <c r="R414">
        <f t="shared" si="976"/>
        <v>-588379265.4705404</v>
      </c>
      <c r="S414">
        <f t="shared" si="977"/>
        <v>-5883.7926547054039</v>
      </c>
      <c r="T414">
        <f t="shared" si="978"/>
        <v>-5.8837926547054042</v>
      </c>
    </row>
    <row r="415" spans="1:20" x14ac:dyDescent="0.25">
      <c r="A415" s="5">
        <v>44178</v>
      </c>
      <c r="B415">
        <v>5.0500000000000003E-2</v>
      </c>
      <c r="C415">
        <v>5.1950000000000003E-2</v>
      </c>
      <c r="D415">
        <v>4.8439999999999997E-2</v>
      </c>
      <c r="E415">
        <v>4.9279999999999997E-2</v>
      </c>
      <c r="F415">
        <v>7937221.5999999996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-0.52136752136752196</v>
      </c>
      <c r="Q415">
        <f t="shared" si="975"/>
        <v>-4138209.5521367565</v>
      </c>
      <c r="R415">
        <f t="shared" si="976"/>
        <v>-588990300.60108876</v>
      </c>
      <c r="S415">
        <f t="shared" si="977"/>
        <v>-5889.903006010888</v>
      </c>
      <c r="T415">
        <f t="shared" si="978"/>
        <v>-5.8899030060108881</v>
      </c>
    </row>
    <row r="416" spans="1:20" x14ac:dyDescent="0.25">
      <c r="A416" s="5">
        <v>44177</v>
      </c>
      <c r="B416">
        <v>4.4699999999999997E-2</v>
      </c>
      <c r="C416">
        <v>5.2010000000000001E-2</v>
      </c>
      <c r="D416">
        <v>4.4699999999999997E-2</v>
      </c>
      <c r="E416">
        <v>5.0310000000000001E-2</v>
      </c>
      <c r="F416">
        <v>16547544.199999999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0.53488372093023273</v>
      </c>
      <c r="Q416">
        <f t="shared" si="975"/>
        <v>8851012.0139534902</v>
      </c>
      <c r="R416">
        <f t="shared" si="976"/>
        <v>-584852091.04895198</v>
      </c>
      <c r="S416">
        <f t="shared" si="977"/>
        <v>-5848.5209104895202</v>
      </c>
      <c r="T416">
        <f t="shared" si="978"/>
        <v>-5.8485209104895199</v>
      </c>
    </row>
    <row r="417" spans="1:20" x14ac:dyDescent="0.25">
      <c r="A417" s="5">
        <v>44176</v>
      </c>
      <c r="B417">
        <v>5.0349999999999999E-2</v>
      </c>
      <c r="C417">
        <v>5.0509999999999999E-2</v>
      </c>
      <c r="D417">
        <v>4.3770000000000003E-2</v>
      </c>
      <c r="E417">
        <v>4.4690000000000001E-2</v>
      </c>
      <c r="F417">
        <v>14522528.699999999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-0.72700296735905112</v>
      </c>
      <c r="Q417">
        <f t="shared" si="975"/>
        <v>-10557921.458456982</v>
      </c>
      <c r="R417">
        <f t="shared" si="976"/>
        <v>-593703103.06290543</v>
      </c>
      <c r="S417">
        <f t="shared" si="977"/>
        <v>-5937.0310306290539</v>
      </c>
      <c r="T417">
        <f t="shared" si="978"/>
        <v>-5.9370310306290541</v>
      </c>
    </row>
    <row r="418" spans="1:20" x14ac:dyDescent="0.25">
      <c r="A418" s="5">
        <v>44175</v>
      </c>
      <c r="B418">
        <v>5.6570000000000002E-2</v>
      </c>
      <c r="C418">
        <v>5.7360000000000001E-2</v>
      </c>
      <c r="D418">
        <v>4.7899999999999998E-2</v>
      </c>
      <c r="E418">
        <v>5.0349999999999999E-2</v>
      </c>
      <c r="F418">
        <v>40132469.299999997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-0.48202959830866809</v>
      </c>
      <c r="Q418">
        <f t="shared" si="975"/>
        <v>-19345038.055813953</v>
      </c>
      <c r="R418">
        <f t="shared" si="976"/>
        <v>-583145181.60444844</v>
      </c>
      <c r="S418">
        <f t="shared" si="977"/>
        <v>-5831.4518160444841</v>
      </c>
      <c r="T418">
        <f t="shared" si="978"/>
        <v>-5.8314518160444839</v>
      </c>
    </row>
    <row r="419" spans="1:20" x14ac:dyDescent="0.25">
      <c r="A419" s="5">
        <v>44174</v>
      </c>
      <c r="B419">
        <v>4.496E-2</v>
      </c>
      <c r="C419">
        <v>6.2399999999999997E-2</v>
      </c>
      <c r="D419">
        <v>4.2909999999999997E-2</v>
      </c>
      <c r="E419">
        <v>5.6820000000000002E-2</v>
      </c>
      <c r="F419">
        <v>93395786.700000003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0.42739866598255571</v>
      </c>
      <c r="Q419">
        <f t="shared" si="975"/>
        <v>39917234.643971324</v>
      </c>
      <c r="R419">
        <f t="shared" si="976"/>
        <v>-563800143.54863453</v>
      </c>
      <c r="S419">
        <f t="shared" si="977"/>
        <v>-5638.0014354863451</v>
      </c>
      <c r="T419">
        <f t="shared" si="978"/>
        <v>-5.6380014354863448</v>
      </c>
    </row>
    <row r="420" spans="1:20" x14ac:dyDescent="0.25">
      <c r="A420" s="5">
        <v>44173</v>
      </c>
      <c r="B420">
        <v>4.1169999999999998E-2</v>
      </c>
      <c r="C420">
        <v>4.7750000000000001E-2</v>
      </c>
      <c r="D420">
        <v>4.104E-2</v>
      </c>
      <c r="E420">
        <v>4.5030000000000001E-2</v>
      </c>
      <c r="F420">
        <v>27103025.199999999</v>
      </c>
      <c r="G420">
        <v>0</v>
      </c>
      <c r="L420" t="s">
        <v>8</v>
      </c>
      <c r="M420" t="s">
        <v>8</v>
      </c>
      <c r="N420" t="s">
        <v>7</v>
      </c>
      <c r="P420">
        <f t="shared" si="974"/>
        <v>0.18926974664679586</v>
      </c>
      <c r="Q420">
        <f t="shared" si="975"/>
        <v>5129782.7129657231</v>
      </c>
      <c r="R420">
        <f t="shared" si="976"/>
        <v>-603717378.19260585</v>
      </c>
      <c r="S420">
        <f t="shared" si="977"/>
        <v>-6037.1737819260588</v>
      </c>
      <c r="T420">
        <f t="shared" si="978"/>
        <v>-6.0371737819260591</v>
      </c>
    </row>
    <row r="421" spans="1:20" x14ac:dyDescent="0.25">
      <c r="A421" s="5">
        <v>44172</v>
      </c>
      <c r="B421">
        <v>3.9739999999999998E-2</v>
      </c>
      <c r="C421">
        <v>4.2729999999999997E-2</v>
      </c>
      <c r="D421">
        <v>3.9210000000000002E-2</v>
      </c>
      <c r="E421">
        <v>4.1200000000000001E-2</v>
      </c>
      <c r="F421">
        <v>12182758.4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0.13068181818181895</v>
      </c>
      <c r="Q421">
        <f t="shared" si="975"/>
        <v>1592065.0181818276</v>
      </c>
      <c r="R421">
        <f t="shared" si="976"/>
        <v>-608847160.90557158</v>
      </c>
      <c r="S421">
        <f t="shared" si="977"/>
        <v>-6088.4716090557158</v>
      </c>
      <c r="T421">
        <f t="shared" si="978"/>
        <v>-6.0884716090557154</v>
      </c>
    </row>
    <row r="422" spans="1:20" x14ac:dyDescent="0.25">
      <c r="A422" s="5">
        <v>44171</v>
      </c>
      <c r="B422">
        <v>4.0899999999999999E-2</v>
      </c>
      <c r="C422">
        <v>4.1250000000000002E-2</v>
      </c>
      <c r="D422">
        <v>3.8559999999999997E-2</v>
      </c>
      <c r="E422">
        <v>3.9660000000000001E-2</v>
      </c>
      <c r="F422">
        <v>22995846.300000001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-0.18215613382899498</v>
      </c>
      <c r="Q422">
        <f t="shared" si="975"/>
        <v>-4188834.4561337992</v>
      </c>
      <c r="R422">
        <f t="shared" si="976"/>
        <v>-610439225.92375338</v>
      </c>
      <c r="S422">
        <f t="shared" si="977"/>
        <v>-6104.3922592375338</v>
      </c>
      <c r="T422">
        <f t="shared" si="978"/>
        <v>-6.1043922592375335</v>
      </c>
    </row>
    <row r="423" spans="1:20" x14ac:dyDescent="0.25">
      <c r="A423" s="5">
        <v>44170</v>
      </c>
      <c r="B423">
        <v>3.943E-2</v>
      </c>
      <c r="C423">
        <v>4.1300000000000003E-2</v>
      </c>
      <c r="D423">
        <v>3.8899999999999997E-2</v>
      </c>
      <c r="E423">
        <v>4.0899999999999999E-2</v>
      </c>
      <c r="F423">
        <v>3038187.4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0.66666666666666374</v>
      </c>
      <c r="Q423">
        <f t="shared" si="975"/>
        <v>2025458.2666666578</v>
      </c>
      <c r="R423">
        <f t="shared" si="976"/>
        <v>-606250391.46761954</v>
      </c>
      <c r="S423">
        <f t="shared" si="977"/>
        <v>-6062.5039146761956</v>
      </c>
      <c r="T423">
        <f t="shared" si="978"/>
        <v>-6.0625039146761956</v>
      </c>
    </row>
    <row r="424" spans="1:20" x14ac:dyDescent="0.25">
      <c r="A424" s="5">
        <v>44169</v>
      </c>
      <c r="B424">
        <v>4.2450000000000002E-2</v>
      </c>
      <c r="C424">
        <v>4.2700000000000002E-2</v>
      </c>
      <c r="D424">
        <v>3.9E-2</v>
      </c>
      <c r="E424">
        <v>3.943E-2</v>
      </c>
      <c r="F424">
        <v>12750425.5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-0.76756756756756783</v>
      </c>
      <c r="Q424">
        <f t="shared" si="975"/>
        <v>-9786813.0864864904</v>
      </c>
      <c r="R424">
        <f t="shared" si="976"/>
        <v>-608275849.73428619</v>
      </c>
      <c r="S424">
        <f t="shared" si="977"/>
        <v>-6082.758497342862</v>
      </c>
      <c r="T424">
        <f t="shared" si="978"/>
        <v>-6.0827584973428621</v>
      </c>
    </row>
    <row r="425" spans="1:20" x14ac:dyDescent="0.25">
      <c r="A425" s="5">
        <v>44168</v>
      </c>
      <c r="B425">
        <v>4.274E-2</v>
      </c>
      <c r="C425">
        <v>4.376E-2</v>
      </c>
      <c r="D425">
        <v>4.163E-2</v>
      </c>
      <c r="E425">
        <v>4.2459999999999998E-2</v>
      </c>
      <c r="F425">
        <v>18623295.5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-0.22065727699530757</v>
      </c>
      <c r="Q425">
        <f t="shared" si="975"/>
        <v>-4109365.6737089651</v>
      </c>
      <c r="R425">
        <f t="shared" si="976"/>
        <v>-598489036.64779973</v>
      </c>
      <c r="S425">
        <f t="shared" si="977"/>
        <v>-5984.8903664779973</v>
      </c>
      <c r="T425">
        <f t="shared" si="978"/>
        <v>-5.9848903664779973</v>
      </c>
    </row>
    <row r="426" spans="1:20" x14ac:dyDescent="0.25">
      <c r="A426" s="5">
        <v>44167</v>
      </c>
      <c r="B426">
        <v>4.1230000000000003E-2</v>
      </c>
      <c r="C426">
        <v>4.3209999999999998E-2</v>
      </c>
      <c r="D426">
        <v>4.0320000000000002E-2</v>
      </c>
      <c r="E426">
        <v>4.2619999999999998E-2</v>
      </c>
      <c r="F426">
        <v>7905310.5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0.59169550173010321</v>
      </c>
      <c r="Q426">
        <f t="shared" si="975"/>
        <v>4677536.6626297534</v>
      </c>
      <c r="R426">
        <f t="shared" si="976"/>
        <v>-594379670.97409081</v>
      </c>
      <c r="S426">
        <f t="shared" si="977"/>
        <v>-5943.7967097409082</v>
      </c>
      <c r="T426">
        <f t="shared" si="978"/>
        <v>-5.9437967097409086</v>
      </c>
    </row>
    <row r="427" spans="1:20" x14ac:dyDescent="0.25">
      <c r="A427" s="5">
        <v>44166</v>
      </c>
      <c r="B427">
        <v>4.394E-2</v>
      </c>
      <c r="C427">
        <v>4.6170000000000003E-2</v>
      </c>
      <c r="D427">
        <v>4.0579999999999998E-2</v>
      </c>
      <c r="E427">
        <v>4.1099999999999998E-2</v>
      </c>
      <c r="F427">
        <v>23906992.399999999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-0.81395348837209336</v>
      </c>
      <c r="Q427">
        <f t="shared" si="975"/>
        <v>-19459179.860465124</v>
      </c>
      <c r="R427">
        <f t="shared" si="976"/>
        <v>-599057207.63672054</v>
      </c>
      <c r="S427">
        <f t="shared" si="977"/>
        <v>-5990.5720763672052</v>
      </c>
      <c r="T427">
        <f t="shared" si="978"/>
        <v>-5.9905720763672052</v>
      </c>
    </row>
    <row r="428" spans="1:20" x14ac:dyDescent="0.25">
      <c r="A428" s="5">
        <v>44165</v>
      </c>
      <c r="B428">
        <v>4.1110000000000001E-2</v>
      </c>
      <c r="C428">
        <v>4.478E-2</v>
      </c>
      <c r="D428">
        <v>4.0529999999999997E-2</v>
      </c>
      <c r="E428">
        <v>4.36E-2</v>
      </c>
      <c r="F428">
        <v>8638608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0.44470588235294145</v>
      </c>
      <c r="Q428">
        <f t="shared" si="975"/>
        <v>3841639.7929411787</v>
      </c>
      <c r="R428">
        <f t="shared" si="976"/>
        <v>-579598027.77625537</v>
      </c>
      <c r="S428">
        <f t="shared" si="977"/>
        <v>-5795.9802777625537</v>
      </c>
      <c r="T428">
        <f t="shared" si="978"/>
        <v>-5.7959802777625535</v>
      </c>
    </row>
    <row r="429" spans="1:20" x14ac:dyDescent="0.25">
      <c r="A429" s="5">
        <v>44164</v>
      </c>
      <c r="B429">
        <v>4.3459999999999999E-2</v>
      </c>
      <c r="C429">
        <v>4.3470000000000002E-2</v>
      </c>
      <c r="D429">
        <v>4.02E-2</v>
      </c>
      <c r="E429">
        <v>4.1110000000000001E-2</v>
      </c>
      <c r="F429">
        <v>6181544.5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-0.4434250764525991</v>
      </c>
      <c r="Q429">
        <f t="shared" si="975"/>
        <v>-2741051.8425076436</v>
      </c>
      <c r="R429">
        <f t="shared" si="976"/>
        <v>-583439667.56919658</v>
      </c>
      <c r="S429">
        <f t="shared" si="977"/>
        <v>-5834.3966756919663</v>
      </c>
      <c r="T429">
        <f t="shared" si="978"/>
        <v>-5.8343966756919663</v>
      </c>
    </row>
    <row r="430" spans="1:20" x14ac:dyDescent="0.25">
      <c r="A430" s="5">
        <v>44163</v>
      </c>
      <c r="B430">
        <v>4.2049999999999997E-2</v>
      </c>
      <c r="C430">
        <v>4.4970000000000003E-2</v>
      </c>
      <c r="D430">
        <v>4.079E-2</v>
      </c>
      <c r="E430">
        <v>4.3200000000000002E-2</v>
      </c>
      <c r="F430">
        <v>5426135.2999999998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0.15311004784689025</v>
      </c>
      <c r="Q430">
        <f t="shared" si="975"/>
        <v>830795.83540670015</v>
      </c>
      <c r="R430">
        <f t="shared" si="976"/>
        <v>-580698615.72668898</v>
      </c>
      <c r="S430">
        <f t="shared" si="977"/>
        <v>-5806.9861572668897</v>
      </c>
      <c r="T430">
        <f t="shared" si="978"/>
        <v>-5.8069861572668895</v>
      </c>
    </row>
    <row r="431" spans="1:20" x14ac:dyDescent="0.25">
      <c r="A431" s="5">
        <v>44162</v>
      </c>
      <c r="B431">
        <v>4.1980000000000003E-2</v>
      </c>
      <c r="C431">
        <v>4.369E-2</v>
      </c>
      <c r="D431">
        <v>3.909E-2</v>
      </c>
      <c r="E431">
        <v>4.1869999999999997E-2</v>
      </c>
      <c r="F431">
        <v>10096617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0.20869565217391209</v>
      </c>
      <c r="Q431">
        <f t="shared" si="975"/>
        <v>2107120.0695652077</v>
      </c>
      <c r="R431">
        <f t="shared" si="976"/>
        <v>-581529411.56209564</v>
      </c>
      <c r="S431">
        <f t="shared" si="977"/>
        <v>-5815.2941156209563</v>
      </c>
      <c r="T431">
        <f t="shared" si="978"/>
        <v>-5.8152941156209561</v>
      </c>
    </row>
    <row r="432" spans="1:20" x14ac:dyDescent="0.25">
      <c r="A432" s="5">
        <v>44161</v>
      </c>
      <c r="B432">
        <v>5.0040000000000001E-2</v>
      </c>
      <c r="C432">
        <v>5.1999999999999998E-2</v>
      </c>
      <c r="D432">
        <v>3.7999999999999999E-2</v>
      </c>
      <c r="E432">
        <v>4.199E-2</v>
      </c>
      <c r="F432">
        <v>25344802.399999999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-0.42999999999999988</v>
      </c>
      <c r="Q432">
        <f t="shared" si="975"/>
        <v>-10898265.031999996</v>
      </c>
      <c r="R432">
        <f t="shared" si="976"/>
        <v>-583636531.63166082</v>
      </c>
      <c r="S432">
        <f t="shared" si="977"/>
        <v>-5836.3653163166082</v>
      </c>
      <c r="T432">
        <f t="shared" si="978"/>
        <v>-5.8363653163166083</v>
      </c>
    </row>
    <row r="433" spans="1:20" x14ac:dyDescent="0.25">
      <c r="A433" s="5">
        <v>44160</v>
      </c>
      <c r="B433">
        <v>4.7E-2</v>
      </c>
      <c r="C433">
        <v>5.3330000000000002E-2</v>
      </c>
      <c r="D433">
        <v>4.5039999999999997E-2</v>
      </c>
      <c r="E433">
        <v>5.0040000000000001E-2</v>
      </c>
      <c r="F433">
        <v>26075513.899999999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0.20627261761158047</v>
      </c>
      <c r="Q433">
        <f t="shared" si="975"/>
        <v>5378664.507720151</v>
      </c>
      <c r="R433">
        <f t="shared" si="976"/>
        <v>-572738266.59966087</v>
      </c>
      <c r="S433">
        <f t="shared" si="977"/>
        <v>-5727.3826659966089</v>
      </c>
      <c r="T433">
        <f t="shared" si="978"/>
        <v>-5.7273826659966085</v>
      </c>
    </row>
    <row r="434" spans="1:20" x14ac:dyDescent="0.25">
      <c r="A434" s="5">
        <v>44159</v>
      </c>
      <c r="B434">
        <v>4.4650000000000002E-2</v>
      </c>
      <c r="C434">
        <v>0.05</v>
      </c>
      <c r="D434">
        <v>4.3200000000000002E-2</v>
      </c>
      <c r="E434">
        <v>4.6989999999999997E-2</v>
      </c>
      <c r="F434">
        <v>24219302.899999999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0.11470588235293956</v>
      </c>
      <c r="Q434">
        <f t="shared" si="975"/>
        <v>2778096.509117608</v>
      </c>
      <c r="R434">
        <f t="shared" si="976"/>
        <v>-578116931.10738099</v>
      </c>
      <c r="S434">
        <f t="shared" si="977"/>
        <v>-5781.1693110738097</v>
      </c>
      <c r="T434">
        <f t="shared" si="978"/>
        <v>-5.7811693110738096</v>
      </c>
    </row>
    <row r="435" spans="1:20" x14ac:dyDescent="0.25">
      <c r="A435" s="5">
        <v>44158</v>
      </c>
      <c r="B435">
        <v>4.088E-2</v>
      </c>
      <c r="C435">
        <v>4.725E-2</v>
      </c>
      <c r="D435">
        <v>3.9210000000000002E-2</v>
      </c>
      <c r="E435">
        <v>4.4639999999999999E-2</v>
      </c>
      <c r="F435">
        <v>21813687.300000001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0.35074626865671599</v>
      </c>
      <c r="Q435">
        <f t="shared" si="975"/>
        <v>7651069.4261193937</v>
      </c>
      <c r="R435">
        <f t="shared" si="976"/>
        <v>-580895027.61649859</v>
      </c>
      <c r="S435">
        <f t="shared" si="977"/>
        <v>-5808.9502761649856</v>
      </c>
      <c r="T435">
        <f t="shared" si="978"/>
        <v>-5.8089502761649854</v>
      </c>
    </row>
    <row r="436" spans="1:20" x14ac:dyDescent="0.25">
      <c r="A436" s="5">
        <v>44157</v>
      </c>
      <c r="B436">
        <v>4.2110000000000002E-2</v>
      </c>
      <c r="C436">
        <v>4.2900000000000001E-2</v>
      </c>
      <c r="D436">
        <v>3.78E-2</v>
      </c>
      <c r="E436">
        <v>4.0669999999999998E-2</v>
      </c>
      <c r="F436">
        <v>10809202.9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0.12549019607843034</v>
      </c>
      <c r="Q436">
        <f t="shared" si="975"/>
        <v>1356448.991372538</v>
      </c>
      <c r="R436">
        <f t="shared" si="976"/>
        <v>-588546097.04261804</v>
      </c>
      <c r="S436">
        <f t="shared" si="977"/>
        <v>-5885.4609704261802</v>
      </c>
      <c r="T436">
        <f t="shared" si="978"/>
        <v>-5.8854609704261804</v>
      </c>
    </row>
    <row r="437" spans="1:20" x14ac:dyDescent="0.25">
      <c r="A437" s="5">
        <v>44156</v>
      </c>
      <c r="B437">
        <v>4.0300000000000002E-2</v>
      </c>
      <c r="C437">
        <v>4.2979999999999997E-2</v>
      </c>
      <c r="D437">
        <v>0.04</v>
      </c>
      <c r="E437">
        <v>4.2099999999999999E-2</v>
      </c>
      <c r="F437">
        <v>9775840.0999999996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0.40939597315436249</v>
      </c>
      <c r="Q437">
        <f t="shared" si="975"/>
        <v>4002189.5711409403</v>
      </c>
      <c r="R437">
        <f t="shared" si="976"/>
        <v>-589902546.03399062</v>
      </c>
      <c r="S437">
        <f t="shared" si="977"/>
        <v>-5899.0254603399062</v>
      </c>
      <c r="T437">
        <f t="shared" si="978"/>
        <v>-5.8990254603399066</v>
      </c>
    </row>
    <row r="438" spans="1:20" x14ac:dyDescent="0.25">
      <c r="A438" s="5">
        <v>44155</v>
      </c>
      <c r="B438">
        <v>3.8179999999999999E-2</v>
      </c>
      <c r="C438">
        <v>4.2500000000000003E-2</v>
      </c>
      <c r="D438">
        <v>3.7990000000000003E-2</v>
      </c>
      <c r="E438">
        <v>4.0280000000000003E-2</v>
      </c>
      <c r="F438">
        <v>16849621.100000001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1.5521064301552243E-2</v>
      </c>
      <c r="Q438">
        <f t="shared" si="975"/>
        <v>261524.05254989146</v>
      </c>
      <c r="R438">
        <f t="shared" si="976"/>
        <v>-593904735.60513151</v>
      </c>
      <c r="S438">
        <f t="shared" si="977"/>
        <v>-5939.0473560513146</v>
      </c>
      <c r="T438">
        <f t="shared" si="978"/>
        <v>-5.9390473560513151</v>
      </c>
    </row>
    <row r="439" spans="1:20" x14ac:dyDescent="0.25">
      <c r="A439" s="5">
        <v>44154</v>
      </c>
      <c r="B439">
        <v>3.9390000000000001E-2</v>
      </c>
      <c r="C439">
        <v>4.0160000000000001E-2</v>
      </c>
      <c r="D439">
        <v>3.7170000000000002E-2</v>
      </c>
      <c r="E439">
        <v>3.7999999999999999E-2</v>
      </c>
      <c r="F439">
        <v>19137990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-0.44481605351170733</v>
      </c>
      <c r="Q439">
        <f t="shared" si="975"/>
        <v>-8512885.1839465201</v>
      </c>
      <c r="R439">
        <f t="shared" si="976"/>
        <v>-594166259.65768135</v>
      </c>
      <c r="S439">
        <f t="shared" si="977"/>
        <v>-5941.6625965768135</v>
      </c>
      <c r="T439">
        <f t="shared" si="978"/>
        <v>-5.9416625965768137</v>
      </c>
    </row>
    <row r="440" spans="1:20" x14ac:dyDescent="0.25">
      <c r="A440" s="5">
        <v>44153</v>
      </c>
      <c r="B440">
        <v>4.1730000000000003E-2</v>
      </c>
      <c r="C440">
        <v>4.2509999999999999E-2</v>
      </c>
      <c r="D440">
        <v>3.7769999999999998E-2</v>
      </c>
      <c r="E440">
        <v>3.9379999999999998E-2</v>
      </c>
      <c r="F440">
        <v>32338488.5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-0.32067510548523209</v>
      </c>
      <c r="Q440">
        <f t="shared" si="975"/>
        <v>-10370148.210970465</v>
      </c>
      <c r="R440">
        <f t="shared" si="976"/>
        <v>-585653374.47373486</v>
      </c>
      <c r="S440">
        <f t="shared" si="977"/>
        <v>-5856.5337447373486</v>
      </c>
      <c r="T440">
        <f t="shared" si="978"/>
        <v>-5.8565337447373489</v>
      </c>
    </row>
    <row r="441" spans="1:20" x14ac:dyDescent="0.25">
      <c r="A441" s="5">
        <v>44152</v>
      </c>
      <c r="B441">
        <v>3.8420000000000003E-2</v>
      </c>
      <c r="C441">
        <v>4.3720000000000002E-2</v>
      </c>
      <c r="D441">
        <v>3.8300000000000001E-2</v>
      </c>
      <c r="E441">
        <v>4.1709999999999997E-2</v>
      </c>
      <c r="F441">
        <v>26634162.100000001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0.25830258302582865</v>
      </c>
      <c r="Q441">
        <f t="shared" si="975"/>
        <v>6879672.867158629</v>
      </c>
      <c r="R441">
        <f t="shared" si="976"/>
        <v>-575283226.26276433</v>
      </c>
      <c r="S441">
        <f t="shared" si="977"/>
        <v>-5752.8322626276431</v>
      </c>
      <c r="T441">
        <f t="shared" si="978"/>
        <v>-5.7528322626276429</v>
      </c>
    </row>
    <row r="442" spans="1:20" x14ac:dyDescent="0.25">
      <c r="A442" s="5">
        <v>44151</v>
      </c>
      <c r="B442">
        <v>3.6979999999999999E-2</v>
      </c>
      <c r="C442">
        <v>3.8710000000000001E-2</v>
      </c>
      <c r="D442">
        <v>3.5999999999999997E-2</v>
      </c>
      <c r="E442">
        <v>3.8420000000000003E-2</v>
      </c>
      <c r="F442">
        <v>10641723.9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0.78597785977859913</v>
      </c>
      <c r="Q442">
        <f t="shared" si="975"/>
        <v>8364159.3752767676</v>
      </c>
      <c r="R442">
        <f t="shared" si="976"/>
        <v>-582162899.12992299</v>
      </c>
      <c r="S442">
        <f t="shared" si="977"/>
        <v>-5821.6289912992297</v>
      </c>
      <c r="T442">
        <f t="shared" si="978"/>
        <v>-5.8216289912992298</v>
      </c>
    </row>
    <row r="443" spans="1:20" x14ac:dyDescent="0.25">
      <c r="A443" s="5">
        <v>44150</v>
      </c>
      <c r="B443">
        <v>3.8890000000000001E-2</v>
      </c>
      <c r="C443">
        <v>0.04</v>
      </c>
      <c r="D443">
        <v>3.6299999999999999E-2</v>
      </c>
      <c r="E443">
        <v>3.6940000000000001E-2</v>
      </c>
      <c r="F443">
        <v>7989392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-0.65405405405405337</v>
      </c>
      <c r="Q443">
        <f t="shared" si="975"/>
        <v>-5225494.2270270213</v>
      </c>
      <c r="R443">
        <f t="shared" si="976"/>
        <v>-590527058.50519979</v>
      </c>
      <c r="S443">
        <f t="shared" si="977"/>
        <v>-5905.2705850519978</v>
      </c>
      <c r="T443">
        <f t="shared" si="978"/>
        <v>-5.9052705850519978</v>
      </c>
    </row>
    <row r="444" spans="1:20" x14ac:dyDescent="0.25">
      <c r="A444" s="5">
        <v>44149</v>
      </c>
      <c r="B444">
        <v>4.0340000000000001E-2</v>
      </c>
      <c r="C444">
        <v>4.1459999999999997E-2</v>
      </c>
      <c r="D444">
        <v>3.7999999999999999E-2</v>
      </c>
      <c r="E444">
        <v>3.8890000000000001E-2</v>
      </c>
      <c r="F444">
        <v>4166867.5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-0.48554913294797547</v>
      </c>
      <c r="Q444">
        <f t="shared" si="975"/>
        <v>-2023218.9017340981</v>
      </c>
      <c r="R444">
        <f t="shared" si="976"/>
        <v>-585301564.27817273</v>
      </c>
      <c r="S444">
        <f t="shared" si="977"/>
        <v>-5853.0156427817274</v>
      </c>
      <c r="T444">
        <f t="shared" si="978"/>
        <v>-5.8530156427817275</v>
      </c>
    </row>
    <row r="445" spans="1:20" x14ac:dyDescent="0.25">
      <c r="A445" s="5">
        <v>44148</v>
      </c>
      <c r="B445">
        <v>3.7289999999999997E-2</v>
      </c>
      <c r="C445">
        <v>4.2000000000000003E-2</v>
      </c>
      <c r="D445">
        <v>3.7220000000000003E-2</v>
      </c>
      <c r="E445">
        <v>4.0090000000000001E-2</v>
      </c>
      <c r="F445">
        <v>7402122.2000000002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0.20083682008368112</v>
      </c>
      <c r="Q445">
        <f t="shared" si="975"/>
        <v>1486618.684518822</v>
      </c>
      <c r="R445">
        <f t="shared" si="976"/>
        <v>-583278345.37643862</v>
      </c>
      <c r="S445">
        <f t="shared" si="977"/>
        <v>-5832.7834537643857</v>
      </c>
      <c r="T445">
        <f t="shared" si="978"/>
        <v>-5.8327834537643861</v>
      </c>
    </row>
    <row r="446" spans="1:20" x14ac:dyDescent="0.25">
      <c r="A446" s="5">
        <v>44147</v>
      </c>
      <c r="B446">
        <v>3.9019999999999999E-2</v>
      </c>
      <c r="C446">
        <v>4.4110000000000003E-2</v>
      </c>
      <c r="D446">
        <v>3.5999999999999997E-2</v>
      </c>
      <c r="E446">
        <v>3.7109999999999997E-2</v>
      </c>
      <c r="F446">
        <v>14907401.800000001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-0.72626387176325546</v>
      </c>
      <c r="Q446">
        <f t="shared" si="975"/>
        <v>-10826707.349198524</v>
      </c>
      <c r="R446">
        <f t="shared" si="976"/>
        <v>-584764964.06095743</v>
      </c>
      <c r="S446">
        <f t="shared" si="977"/>
        <v>-5847.6496406095739</v>
      </c>
      <c r="T446">
        <f t="shared" si="978"/>
        <v>-5.8476496406095739</v>
      </c>
    </row>
    <row r="447" spans="1:20" x14ac:dyDescent="0.25">
      <c r="A447" s="5">
        <v>44146</v>
      </c>
      <c r="B447">
        <v>3.7409999999999999E-2</v>
      </c>
      <c r="C447">
        <v>4.1799999999999997E-2</v>
      </c>
      <c r="D447">
        <v>3.7159999999999999E-2</v>
      </c>
      <c r="E447">
        <v>3.9030000000000002E-2</v>
      </c>
      <c r="F447">
        <v>17748466.300000001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-0.19396551724137745</v>
      </c>
      <c r="Q447">
        <f t="shared" si="975"/>
        <v>-3442590.4461206566</v>
      </c>
      <c r="R447">
        <f t="shared" si="976"/>
        <v>-573938256.71175885</v>
      </c>
      <c r="S447">
        <f t="shared" si="977"/>
        <v>-5739.3825671175882</v>
      </c>
      <c r="T447">
        <f t="shared" si="978"/>
        <v>-5.7393825671175884</v>
      </c>
    </row>
    <row r="448" spans="1:20" x14ac:dyDescent="0.25">
      <c r="A448" s="5">
        <v>44145</v>
      </c>
      <c r="B448">
        <v>3.3959999999999997E-2</v>
      </c>
      <c r="C448">
        <v>4.0300000000000002E-2</v>
      </c>
      <c r="D448">
        <v>3.3750000000000002E-2</v>
      </c>
      <c r="E448">
        <v>3.73E-2</v>
      </c>
      <c r="F448">
        <v>33499444.800000001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8.3969465648854186E-2</v>
      </c>
      <c r="Q448">
        <f t="shared" si="975"/>
        <v>2812930.4793892871</v>
      </c>
      <c r="R448">
        <f t="shared" si="976"/>
        <v>-570495666.26563823</v>
      </c>
      <c r="S448">
        <f t="shared" si="977"/>
        <v>-5704.9566626563819</v>
      </c>
      <c r="T448">
        <f t="shared" si="978"/>
        <v>-5.7049566626563823</v>
      </c>
    </row>
    <row r="449" spans="1:20" x14ac:dyDescent="0.25">
      <c r="A449" s="5">
        <v>44144</v>
      </c>
      <c r="B449">
        <v>3.4209999999999997E-2</v>
      </c>
      <c r="C449">
        <v>3.5999999999999997E-2</v>
      </c>
      <c r="D449">
        <v>3.2509999999999997E-2</v>
      </c>
      <c r="E449">
        <v>3.3919999999999999E-2</v>
      </c>
      <c r="F449">
        <v>24023315.899999999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-0.19197707736389599</v>
      </c>
      <c r="Q449">
        <f t="shared" si="975"/>
        <v>-4611925.9750716127</v>
      </c>
      <c r="R449">
        <f t="shared" si="976"/>
        <v>-573308596.74502754</v>
      </c>
      <c r="S449">
        <f t="shared" si="977"/>
        <v>-5733.0859674502753</v>
      </c>
      <c r="T449">
        <f t="shared" si="978"/>
        <v>-5.7330859674502754</v>
      </c>
    </row>
    <row r="450" spans="1:20" x14ac:dyDescent="0.25">
      <c r="A450" s="5">
        <v>44143</v>
      </c>
      <c r="B450">
        <v>3.2649999999999998E-2</v>
      </c>
      <c r="C450">
        <v>3.5709999999999999E-2</v>
      </c>
      <c r="D450">
        <v>3.2640000000000002E-2</v>
      </c>
      <c r="E450">
        <v>3.4209999999999997E-2</v>
      </c>
      <c r="F450">
        <v>8700741.6999999993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2.2801302931594058E-2</v>
      </c>
      <c r="Q450">
        <f t="shared" si="975"/>
        <v>198388.24723125264</v>
      </c>
      <c r="R450">
        <f t="shared" si="976"/>
        <v>-568696670.76995587</v>
      </c>
      <c r="S450">
        <f t="shared" si="977"/>
        <v>-5686.9667076995584</v>
      </c>
      <c r="T450">
        <f t="shared" si="978"/>
        <v>-5.6869667076995585</v>
      </c>
    </row>
    <row r="451" spans="1:20" x14ac:dyDescent="0.25">
      <c r="A451" s="5">
        <v>44142</v>
      </c>
      <c r="B451">
        <v>3.3890000000000003E-2</v>
      </c>
      <c r="C451">
        <v>3.6790000000000003E-2</v>
      </c>
      <c r="D451">
        <v>3.1730000000000001E-2</v>
      </c>
      <c r="E451">
        <v>3.2640000000000002E-2</v>
      </c>
      <c r="F451">
        <v>20977679.600000001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-0.64031620553359658</v>
      </c>
      <c r="Q451">
        <f t="shared" si="975"/>
        <v>-13432348.202371538</v>
      </c>
      <c r="R451">
        <f t="shared" si="976"/>
        <v>-568895059.01718712</v>
      </c>
      <c r="S451">
        <f t="shared" si="977"/>
        <v>-5688.9505901718712</v>
      </c>
      <c r="T451">
        <f t="shared" si="978"/>
        <v>-5.6889505901718715</v>
      </c>
    </row>
    <row r="452" spans="1:20" x14ac:dyDescent="0.25">
      <c r="A452" s="5">
        <v>44141</v>
      </c>
      <c r="B452">
        <v>3.015E-2</v>
      </c>
      <c r="C452">
        <v>3.5159999999999997E-2</v>
      </c>
      <c r="D452">
        <v>3.007E-2</v>
      </c>
      <c r="E452">
        <v>3.3849999999999998E-2</v>
      </c>
      <c r="F452">
        <v>23295766.899999999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0.48526522593320259</v>
      </c>
      <c r="Q452">
        <f t="shared" si="975"/>
        <v>11304625.588015722</v>
      </c>
      <c r="R452">
        <f t="shared" si="976"/>
        <v>-555462710.81481552</v>
      </c>
      <c r="S452">
        <f t="shared" si="977"/>
        <v>-5554.6271081481555</v>
      </c>
      <c r="T452">
        <f t="shared" si="978"/>
        <v>-5.5546271081481553</v>
      </c>
    </row>
    <row r="453" spans="1:20" x14ac:dyDescent="0.25">
      <c r="A453" s="5">
        <v>44140</v>
      </c>
      <c r="B453">
        <v>2.9770000000000001E-2</v>
      </c>
      <c r="C453">
        <v>3.0259999999999999E-2</v>
      </c>
      <c r="D453">
        <v>2.8660000000000001E-2</v>
      </c>
      <c r="E453">
        <v>3.014E-2</v>
      </c>
      <c r="F453">
        <v>14806825.6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0.85000000000000153</v>
      </c>
      <c r="Q453">
        <f t="shared" si="975"/>
        <v>12585801.760000022</v>
      </c>
      <c r="R453">
        <f t="shared" si="976"/>
        <v>-566767336.4028312</v>
      </c>
      <c r="S453">
        <f t="shared" si="977"/>
        <v>-5667.6733640283119</v>
      </c>
      <c r="T453">
        <f t="shared" si="978"/>
        <v>-5.6676733640283121</v>
      </c>
    </row>
    <row r="454" spans="1:20" x14ac:dyDescent="0.25">
      <c r="A454" s="5">
        <v>44139</v>
      </c>
      <c r="B454">
        <v>2.896E-2</v>
      </c>
      <c r="C454">
        <v>2.9989999999999999E-2</v>
      </c>
      <c r="D454">
        <v>2.8199999999999999E-2</v>
      </c>
      <c r="E454">
        <v>2.9790000000000001E-2</v>
      </c>
      <c r="F454">
        <v>9303638.5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0.77653631284916336</v>
      </c>
      <c r="Q454">
        <f t="shared" ref="Q454:Q517" si="980">F454*P454</f>
        <v>7224613.1368715214</v>
      </c>
      <c r="R454">
        <f t="shared" ref="R454:R517" si="981">R455+Q454</f>
        <v>-579353138.16283119</v>
      </c>
      <c r="S454">
        <f t="shared" ref="S454:S517" si="982">R454/100000</f>
        <v>-5793.5313816283115</v>
      </c>
      <c r="T454">
        <f t="shared" ref="T454:T517" si="983">S454/1000</f>
        <v>-5.7935313816283118</v>
      </c>
    </row>
    <row r="455" spans="1:20" x14ac:dyDescent="0.25">
      <c r="A455" s="5">
        <v>44138</v>
      </c>
      <c r="B455">
        <v>2.921E-2</v>
      </c>
      <c r="C455">
        <v>2.954E-2</v>
      </c>
      <c r="D455">
        <v>2.7650000000000001E-2</v>
      </c>
      <c r="E455">
        <v>2.896E-2</v>
      </c>
      <c r="F455">
        <v>13932003.300000001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0.38624338624338533</v>
      </c>
      <c r="Q455">
        <f t="shared" si="980"/>
        <v>5381144.1317460192</v>
      </c>
      <c r="R455">
        <f t="shared" si="981"/>
        <v>-586577751.29970276</v>
      </c>
      <c r="S455">
        <f t="shared" si="982"/>
        <v>-5865.7775129970278</v>
      </c>
      <c r="T455">
        <f t="shared" si="983"/>
        <v>-5.8657775129970275</v>
      </c>
    </row>
    <row r="456" spans="1:20" x14ac:dyDescent="0.25">
      <c r="A456" s="5">
        <v>44137</v>
      </c>
      <c r="B456">
        <v>3.0599999999999999E-2</v>
      </c>
      <c r="C456">
        <v>3.1550000000000002E-2</v>
      </c>
      <c r="D456">
        <v>2.8559999999999999E-2</v>
      </c>
      <c r="E456">
        <v>2.9260000000000001E-2</v>
      </c>
      <c r="F456">
        <v>2088164.4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-0.53177257525083477</v>
      </c>
      <c r="Q456">
        <f t="shared" si="980"/>
        <v>-1110428.5605351143</v>
      </c>
      <c r="R456">
        <f t="shared" si="981"/>
        <v>-591958895.43144882</v>
      </c>
      <c r="S456">
        <f t="shared" si="982"/>
        <v>-5919.5889543144885</v>
      </c>
      <c r="T456">
        <f t="shared" si="983"/>
        <v>-5.9195889543144888</v>
      </c>
    </row>
    <row r="457" spans="1:20" x14ac:dyDescent="0.25">
      <c r="A457" s="5">
        <v>44136</v>
      </c>
      <c r="B457">
        <v>2.9530000000000001E-2</v>
      </c>
      <c r="C457">
        <v>3.1640000000000001E-2</v>
      </c>
      <c r="D457">
        <v>2.903E-2</v>
      </c>
      <c r="E457">
        <v>3.056E-2</v>
      </c>
      <c r="F457">
        <v>3624554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0.17241379310344782</v>
      </c>
      <c r="Q457">
        <f t="shared" si="980"/>
        <v>624923.1034482742</v>
      </c>
      <c r="R457">
        <f t="shared" si="981"/>
        <v>-590848466.87091374</v>
      </c>
      <c r="S457">
        <f t="shared" si="982"/>
        <v>-5908.4846687091376</v>
      </c>
      <c r="T457">
        <f t="shared" si="983"/>
        <v>-5.9084846687091375</v>
      </c>
    </row>
    <row r="458" spans="1:20" x14ac:dyDescent="0.25">
      <c r="A458" s="5">
        <v>44135</v>
      </c>
      <c r="B458">
        <v>2.9350000000000001E-2</v>
      </c>
      <c r="C458">
        <v>3.2370000000000003E-2</v>
      </c>
      <c r="D458">
        <v>2.9180000000000001E-2</v>
      </c>
      <c r="E458">
        <v>2.9669999999999998E-2</v>
      </c>
      <c r="F458">
        <v>7392232.9000000004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-0.69278996865203946</v>
      </c>
      <c r="Q458">
        <f t="shared" si="980"/>
        <v>-5121264.7990595754</v>
      </c>
      <c r="R458">
        <f t="shared" si="981"/>
        <v>-591473389.97436202</v>
      </c>
      <c r="S458">
        <f t="shared" si="982"/>
        <v>-5914.73389974362</v>
      </c>
      <c r="T458">
        <f t="shared" si="983"/>
        <v>-5.9147338997436201</v>
      </c>
    </row>
    <row r="459" spans="1:20" x14ac:dyDescent="0.25">
      <c r="A459" s="5">
        <v>44134</v>
      </c>
      <c r="B459">
        <v>2.8590000000000001E-2</v>
      </c>
      <c r="C459">
        <v>2.9319999999999999E-2</v>
      </c>
      <c r="D459">
        <v>2.6610000000000002E-2</v>
      </c>
      <c r="E459">
        <v>2.9250000000000002E-2</v>
      </c>
      <c r="F459">
        <v>6227270.9000000004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0.94833948339483598</v>
      </c>
      <c r="Q459">
        <f t="shared" si="980"/>
        <v>5905566.8682656959</v>
      </c>
      <c r="R459">
        <f t="shared" si="981"/>
        <v>-586352125.17530239</v>
      </c>
      <c r="S459">
        <f t="shared" si="982"/>
        <v>-5863.5212517530235</v>
      </c>
      <c r="T459">
        <f t="shared" si="983"/>
        <v>-5.8635212517530233</v>
      </c>
    </row>
    <row r="460" spans="1:20" x14ac:dyDescent="0.25">
      <c r="A460" s="5">
        <v>44133</v>
      </c>
      <c r="B460">
        <v>3.048E-2</v>
      </c>
      <c r="C460">
        <v>3.0949999999999998E-2</v>
      </c>
      <c r="D460">
        <v>2.8469999999999999E-2</v>
      </c>
      <c r="E460">
        <v>2.8570000000000002E-2</v>
      </c>
      <c r="F460">
        <v>6002264.2999999998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-0.91935483870967505</v>
      </c>
      <c r="Q460">
        <f t="shared" si="980"/>
        <v>-5518210.7274193401</v>
      </c>
      <c r="R460">
        <f t="shared" si="981"/>
        <v>-592257692.04356813</v>
      </c>
      <c r="S460">
        <f t="shared" si="982"/>
        <v>-5922.5769204356811</v>
      </c>
      <c r="T460">
        <f t="shared" si="983"/>
        <v>-5.9225769204356808</v>
      </c>
    </row>
    <row r="461" spans="1:20" x14ac:dyDescent="0.25">
      <c r="A461" s="5">
        <v>44132</v>
      </c>
      <c r="B461">
        <v>3.3000000000000002E-2</v>
      </c>
      <c r="C461">
        <v>3.329E-2</v>
      </c>
      <c r="D461">
        <v>3.0089999999999999E-2</v>
      </c>
      <c r="E461">
        <v>3.0300000000000001E-2</v>
      </c>
      <c r="F461">
        <v>8368813.4000000004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-0.86874999999999891</v>
      </c>
      <c r="Q461">
        <f t="shared" si="980"/>
        <v>-7270406.641249991</v>
      </c>
      <c r="R461">
        <f t="shared" si="981"/>
        <v>-586739481.31614876</v>
      </c>
      <c r="S461">
        <f t="shared" si="982"/>
        <v>-5867.3948131614879</v>
      </c>
      <c r="T461">
        <f t="shared" si="983"/>
        <v>-5.8673948131614884</v>
      </c>
    </row>
    <row r="462" spans="1:20" x14ac:dyDescent="0.25">
      <c r="A462" s="5">
        <v>44131</v>
      </c>
      <c r="B462">
        <v>3.4250000000000003E-2</v>
      </c>
      <c r="C462">
        <v>3.5999999999999997E-2</v>
      </c>
      <c r="D462">
        <v>3.2779999999999997E-2</v>
      </c>
      <c r="E462">
        <v>3.2980000000000002E-2</v>
      </c>
      <c r="F462">
        <v>6117328.9000000004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-0.87577639751552439</v>
      </c>
      <c r="Q462">
        <f t="shared" si="980"/>
        <v>-5357412.2664596057</v>
      </c>
      <c r="R462">
        <f t="shared" si="981"/>
        <v>-579469074.67489874</v>
      </c>
      <c r="S462">
        <f t="shared" si="982"/>
        <v>-5794.6907467489873</v>
      </c>
      <c r="T462">
        <f t="shared" si="983"/>
        <v>-5.7946907467489872</v>
      </c>
    </row>
    <row r="463" spans="1:20" x14ac:dyDescent="0.25">
      <c r="A463" s="5">
        <v>44130</v>
      </c>
      <c r="B463">
        <v>3.5470000000000002E-2</v>
      </c>
      <c r="C463">
        <v>3.5770000000000003E-2</v>
      </c>
      <c r="D463">
        <v>3.252E-2</v>
      </c>
      <c r="E463">
        <v>3.3989999999999999E-2</v>
      </c>
      <c r="F463">
        <v>4268464.0999999996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-9.5384615384616747E-2</v>
      </c>
      <c r="Q463">
        <f t="shared" si="980"/>
        <v>-407145.80646154424</v>
      </c>
      <c r="R463">
        <f t="shared" si="981"/>
        <v>-574111662.40843916</v>
      </c>
      <c r="S463">
        <f t="shared" si="982"/>
        <v>-5741.1166240843913</v>
      </c>
      <c r="T463">
        <f t="shared" si="983"/>
        <v>-5.7411166240843912</v>
      </c>
    </row>
    <row r="464" spans="1:20" x14ac:dyDescent="0.25">
      <c r="A464" s="5">
        <v>44129</v>
      </c>
      <c r="B464">
        <v>3.6749999999999998E-2</v>
      </c>
      <c r="C464">
        <v>3.6749999999999998E-2</v>
      </c>
      <c r="D464">
        <v>3.5009999999999999E-2</v>
      </c>
      <c r="E464">
        <v>3.5450000000000002E-2</v>
      </c>
      <c r="F464">
        <v>2520051.2000000002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-0.49425287356321462</v>
      </c>
      <c r="Q464">
        <f t="shared" si="980"/>
        <v>-1245542.5471264273</v>
      </c>
      <c r="R464">
        <f t="shared" si="981"/>
        <v>-573704516.60197759</v>
      </c>
      <c r="S464">
        <f t="shared" si="982"/>
        <v>-5737.0451660197759</v>
      </c>
      <c r="T464">
        <f t="shared" si="983"/>
        <v>-5.7370451660197759</v>
      </c>
    </row>
    <row r="465" spans="1:20" x14ac:dyDescent="0.25">
      <c r="A465" s="5">
        <v>44128</v>
      </c>
      <c r="B465">
        <v>3.5310000000000001E-2</v>
      </c>
      <c r="C465">
        <v>3.7810000000000003E-2</v>
      </c>
      <c r="D465">
        <v>3.465E-2</v>
      </c>
      <c r="E465">
        <v>3.6760000000000001E-2</v>
      </c>
      <c r="F465">
        <v>3479902.2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0.33544303797468272</v>
      </c>
      <c r="Q465">
        <f t="shared" si="980"/>
        <v>1167308.9658227819</v>
      </c>
      <c r="R465">
        <f t="shared" si="981"/>
        <v>-572458974.05485117</v>
      </c>
      <c r="S465">
        <f t="shared" si="982"/>
        <v>-5724.5897405485121</v>
      </c>
      <c r="T465">
        <f t="shared" si="983"/>
        <v>-5.7245897405485122</v>
      </c>
    </row>
    <row r="466" spans="1:20" x14ac:dyDescent="0.25">
      <c r="A466" s="5">
        <v>44127</v>
      </c>
      <c r="B466">
        <v>3.5569999999999997E-2</v>
      </c>
      <c r="C466">
        <v>3.9E-2</v>
      </c>
      <c r="D466">
        <v>3.4779999999999998E-2</v>
      </c>
      <c r="E466">
        <v>3.5310000000000001E-2</v>
      </c>
      <c r="F466">
        <v>8199142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-0.7488151658767761</v>
      </c>
      <c r="Q466">
        <f t="shared" si="980"/>
        <v>-6139641.8767772419</v>
      </c>
      <c r="R466">
        <f t="shared" si="981"/>
        <v>-573626283.02067399</v>
      </c>
      <c r="S466">
        <f t="shared" si="982"/>
        <v>-5736.2628302067396</v>
      </c>
      <c r="T466">
        <f t="shared" si="983"/>
        <v>-5.7362628302067398</v>
      </c>
    </row>
    <row r="467" spans="1:20" x14ac:dyDescent="0.25">
      <c r="A467" s="5">
        <v>44126</v>
      </c>
      <c r="B467">
        <v>3.1989999999999998E-2</v>
      </c>
      <c r="C467">
        <v>3.7359999999999997E-2</v>
      </c>
      <c r="D467">
        <v>3.1980000000000001E-2</v>
      </c>
      <c r="E467">
        <v>3.5580000000000001E-2</v>
      </c>
      <c r="F467">
        <v>10795556.699999999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0.33828996282527946</v>
      </c>
      <c r="Q467">
        <f t="shared" si="980"/>
        <v>3652028.4747211961</v>
      </c>
      <c r="R467">
        <f t="shared" si="981"/>
        <v>-567486641.1438967</v>
      </c>
      <c r="S467">
        <f t="shared" si="982"/>
        <v>-5674.8664114389667</v>
      </c>
      <c r="T467">
        <f t="shared" si="983"/>
        <v>-5.6748664114389671</v>
      </c>
    </row>
    <row r="468" spans="1:20" x14ac:dyDescent="0.25">
      <c r="A468" s="5">
        <v>44125</v>
      </c>
      <c r="B468">
        <v>3.1350000000000003E-2</v>
      </c>
      <c r="C468">
        <v>3.295E-2</v>
      </c>
      <c r="D468">
        <v>3.0630000000000001E-2</v>
      </c>
      <c r="E468">
        <v>3.1980000000000001E-2</v>
      </c>
      <c r="F468">
        <v>7299586.7999999998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0.16379310344827672</v>
      </c>
      <c r="Q468">
        <f t="shared" si="980"/>
        <v>1195621.9758620751</v>
      </c>
      <c r="R468">
        <f t="shared" si="981"/>
        <v>-571138669.61861789</v>
      </c>
      <c r="S468">
        <f t="shared" si="982"/>
        <v>-5711.3866961861786</v>
      </c>
      <c r="T468">
        <f t="shared" si="983"/>
        <v>-5.711386696186179</v>
      </c>
    </row>
    <row r="469" spans="1:20" x14ac:dyDescent="0.25">
      <c r="A469" s="5">
        <v>44124</v>
      </c>
      <c r="B469">
        <v>3.39E-2</v>
      </c>
      <c r="C469">
        <v>3.4169999999999999E-2</v>
      </c>
      <c r="D469">
        <v>3.075E-2</v>
      </c>
      <c r="E469">
        <v>3.1350000000000003E-2</v>
      </c>
      <c r="F469">
        <v>8128562.2000000002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-0.64912280701754188</v>
      </c>
      <c r="Q469">
        <f t="shared" si="980"/>
        <v>-5276435.1122806855</v>
      </c>
      <c r="R469">
        <f t="shared" si="981"/>
        <v>-572334291.59447992</v>
      </c>
      <c r="S469">
        <f t="shared" si="982"/>
        <v>-5723.3429159447987</v>
      </c>
      <c r="T469">
        <f t="shared" si="983"/>
        <v>-5.7233429159447988</v>
      </c>
    </row>
    <row r="470" spans="1:20" x14ac:dyDescent="0.25">
      <c r="A470" s="5">
        <v>44123</v>
      </c>
      <c r="B470">
        <v>3.5119999999999998E-2</v>
      </c>
      <c r="C470">
        <v>3.5729999999999998E-2</v>
      </c>
      <c r="D470">
        <v>3.3570000000000003E-2</v>
      </c>
      <c r="E470">
        <v>3.39E-2</v>
      </c>
      <c r="F470">
        <v>4490859.3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-0.69444444444444664</v>
      </c>
      <c r="Q470">
        <f t="shared" si="980"/>
        <v>-3118652.2916666763</v>
      </c>
      <c r="R470">
        <f t="shared" si="981"/>
        <v>-567057856.48219919</v>
      </c>
      <c r="S470">
        <f t="shared" si="982"/>
        <v>-5670.5785648219917</v>
      </c>
      <c r="T470">
        <f t="shared" si="983"/>
        <v>-5.6705785648219917</v>
      </c>
    </row>
    <row r="471" spans="1:20" x14ac:dyDescent="0.25">
      <c r="A471" s="5">
        <v>44122</v>
      </c>
      <c r="B471">
        <v>3.4119999999999998E-2</v>
      </c>
      <c r="C471">
        <v>3.5290000000000002E-2</v>
      </c>
      <c r="D471">
        <v>3.3369999999999997E-2</v>
      </c>
      <c r="E471">
        <v>3.49E-2</v>
      </c>
      <c r="F471">
        <v>5084224.2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0.59374999999999956</v>
      </c>
      <c r="Q471">
        <f t="shared" si="980"/>
        <v>3018758.118749998</v>
      </c>
      <c r="R471">
        <f t="shared" si="981"/>
        <v>-563939204.19053257</v>
      </c>
      <c r="S471">
        <f t="shared" si="982"/>
        <v>-5639.3920419053256</v>
      </c>
      <c r="T471">
        <f t="shared" si="983"/>
        <v>-5.6393920419053254</v>
      </c>
    </row>
    <row r="472" spans="1:20" x14ac:dyDescent="0.25">
      <c r="A472" s="5">
        <v>44121</v>
      </c>
      <c r="B472">
        <v>3.322E-2</v>
      </c>
      <c r="C472">
        <v>3.4750000000000003E-2</v>
      </c>
      <c r="D472">
        <v>3.2719999999999999E-2</v>
      </c>
      <c r="E472">
        <v>3.3829999999999999E-2</v>
      </c>
      <c r="F472">
        <v>3261087.2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9.3596059113298199E-2</v>
      </c>
      <c r="Q472">
        <f t="shared" si="980"/>
        <v>305224.91034482012</v>
      </c>
      <c r="R472">
        <f t="shared" si="981"/>
        <v>-566957962.30928254</v>
      </c>
      <c r="S472">
        <f t="shared" si="982"/>
        <v>-5669.5796230928254</v>
      </c>
      <c r="T472">
        <f t="shared" si="983"/>
        <v>-5.669579623092825</v>
      </c>
    </row>
    <row r="473" spans="1:20" x14ac:dyDescent="0.25">
      <c r="A473" s="5">
        <v>44120</v>
      </c>
      <c r="B473">
        <v>3.5569999999999997E-2</v>
      </c>
      <c r="C473">
        <v>3.585E-2</v>
      </c>
      <c r="D473">
        <v>3.2930000000000001E-2</v>
      </c>
      <c r="E473">
        <v>3.3459999999999997E-2</v>
      </c>
      <c r="F473">
        <v>5318207.0999999996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-0.63698630136986578</v>
      </c>
      <c r="Q473">
        <f t="shared" si="980"/>
        <v>-3387625.0705479598</v>
      </c>
      <c r="R473">
        <f t="shared" si="981"/>
        <v>-567263187.21962738</v>
      </c>
      <c r="S473">
        <f t="shared" si="982"/>
        <v>-5672.6318721962734</v>
      </c>
      <c r="T473">
        <f t="shared" si="983"/>
        <v>-5.6726318721962734</v>
      </c>
    </row>
    <row r="474" spans="1:20" x14ac:dyDescent="0.25">
      <c r="A474" s="5">
        <v>44119</v>
      </c>
      <c r="B474">
        <v>3.7310000000000003E-2</v>
      </c>
      <c r="C474">
        <v>3.7310000000000003E-2</v>
      </c>
      <c r="D474">
        <v>3.5049999999999998E-2</v>
      </c>
      <c r="E474">
        <v>3.5799999999999998E-2</v>
      </c>
      <c r="F474">
        <v>3513011.9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-0.33628318584070888</v>
      </c>
      <c r="Q474">
        <f t="shared" si="980"/>
        <v>-1181366.8336283218</v>
      </c>
      <c r="R474">
        <f t="shared" si="981"/>
        <v>-563875562.14907944</v>
      </c>
      <c r="S474">
        <f t="shared" si="982"/>
        <v>-5638.7556214907945</v>
      </c>
      <c r="T474">
        <f t="shared" si="983"/>
        <v>-5.6387556214907946</v>
      </c>
    </row>
    <row r="475" spans="1:20" x14ac:dyDescent="0.25">
      <c r="A475" s="5">
        <v>44118</v>
      </c>
      <c r="B475">
        <v>3.9739999999999998E-2</v>
      </c>
      <c r="C475">
        <v>4.1799999999999997E-2</v>
      </c>
      <c r="D475">
        <v>3.6409999999999998E-2</v>
      </c>
      <c r="E475">
        <v>3.7449999999999997E-2</v>
      </c>
      <c r="F475">
        <v>8680377.8000000007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-0.61410018552875711</v>
      </c>
      <c r="Q475">
        <f t="shared" si="980"/>
        <v>-5330621.6174397049</v>
      </c>
      <c r="R475">
        <f t="shared" si="981"/>
        <v>-562694195.31545115</v>
      </c>
      <c r="S475">
        <f t="shared" si="982"/>
        <v>-5626.9419531545118</v>
      </c>
      <c r="T475">
        <f t="shared" si="983"/>
        <v>-5.6269419531545122</v>
      </c>
    </row>
    <row r="476" spans="1:20" x14ac:dyDescent="0.25">
      <c r="A476" s="5">
        <v>44117</v>
      </c>
      <c r="B476">
        <v>4.0719999999999999E-2</v>
      </c>
      <c r="C476">
        <v>4.1959999999999997E-2</v>
      </c>
      <c r="D476">
        <v>3.807E-2</v>
      </c>
      <c r="E476">
        <v>3.9879999999999999E-2</v>
      </c>
      <c r="F476">
        <v>5539647.7999999998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-6.9408740359897067E-2</v>
      </c>
      <c r="Q476">
        <f t="shared" si="980"/>
        <v>-384499.97583547496</v>
      </c>
      <c r="R476">
        <f t="shared" si="981"/>
        <v>-557363573.6980114</v>
      </c>
      <c r="S476">
        <f t="shared" si="982"/>
        <v>-5573.6357369801144</v>
      </c>
      <c r="T476">
        <f t="shared" si="983"/>
        <v>-5.5736357369801146</v>
      </c>
    </row>
    <row r="477" spans="1:20" x14ac:dyDescent="0.25">
      <c r="A477" s="5">
        <v>44116</v>
      </c>
      <c r="B477">
        <v>3.8730000000000001E-2</v>
      </c>
      <c r="C477">
        <v>4.2599999999999999E-2</v>
      </c>
      <c r="D477">
        <v>3.669E-2</v>
      </c>
      <c r="E477">
        <v>4.0800000000000003E-2</v>
      </c>
      <c r="F477">
        <v>11709935.6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0.39086294416243772</v>
      </c>
      <c r="Q477">
        <f t="shared" si="980"/>
        <v>4576979.9045685418</v>
      </c>
      <c r="R477">
        <f t="shared" si="981"/>
        <v>-556979073.72217596</v>
      </c>
      <c r="S477">
        <f t="shared" si="982"/>
        <v>-5569.7907372217596</v>
      </c>
      <c r="T477">
        <f t="shared" si="983"/>
        <v>-5.5697907372217594</v>
      </c>
    </row>
    <row r="478" spans="1:20" x14ac:dyDescent="0.25">
      <c r="A478" s="5">
        <v>44115</v>
      </c>
      <c r="B478">
        <v>3.6600000000000001E-2</v>
      </c>
      <c r="C478">
        <v>3.8960000000000002E-2</v>
      </c>
      <c r="D478">
        <v>3.5700000000000003E-2</v>
      </c>
      <c r="E478">
        <v>3.8649999999999997E-2</v>
      </c>
      <c r="F478">
        <v>5018555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0.8098159509202425</v>
      </c>
      <c r="Q478">
        <f t="shared" si="980"/>
        <v>4064105.8895705375</v>
      </c>
      <c r="R478">
        <f t="shared" si="981"/>
        <v>-561556053.62674451</v>
      </c>
      <c r="S478">
        <f t="shared" si="982"/>
        <v>-5615.5605362674451</v>
      </c>
      <c r="T478">
        <f t="shared" si="983"/>
        <v>-5.615560536267445</v>
      </c>
    </row>
    <row r="479" spans="1:20" x14ac:dyDescent="0.25">
      <c r="A479" s="5">
        <v>44114</v>
      </c>
      <c r="B479">
        <v>3.7470000000000003E-2</v>
      </c>
      <c r="C479">
        <v>3.8249999999999999E-2</v>
      </c>
      <c r="D479">
        <v>3.6299999999999999E-2</v>
      </c>
      <c r="E479">
        <v>3.6700000000000003E-2</v>
      </c>
      <c r="F479">
        <v>3857274.4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-0.58974358974358521</v>
      </c>
      <c r="Q479">
        <f t="shared" si="980"/>
        <v>-2274802.8512820336</v>
      </c>
      <c r="R479">
        <f t="shared" si="981"/>
        <v>-565620159.5163151</v>
      </c>
      <c r="S479">
        <f t="shared" si="982"/>
        <v>-5656.2015951631511</v>
      </c>
      <c r="T479">
        <f t="shared" si="983"/>
        <v>-5.656201595163151</v>
      </c>
    </row>
    <row r="480" spans="1:20" x14ac:dyDescent="0.25">
      <c r="A480" s="5">
        <v>44113</v>
      </c>
      <c r="B480">
        <v>3.4909999999999997E-2</v>
      </c>
      <c r="C480">
        <v>3.7879999999999997E-2</v>
      </c>
      <c r="D480">
        <v>3.4459999999999998E-2</v>
      </c>
      <c r="E480">
        <v>3.7440000000000001E-2</v>
      </c>
      <c r="F480">
        <v>5071008.8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0.74269005847953451</v>
      </c>
      <c r="Q480">
        <f t="shared" si="980"/>
        <v>3766187.8222222337</v>
      </c>
      <c r="R480">
        <f t="shared" si="981"/>
        <v>-563345356.6650331</v>
      </c>
      <c r="S480">
        <f t="shared" si="982"/>
        <v>-5633.4535666503307</v>
      </c>
      <c r="T480">
        <f t="shared" si="983"/>
        <v>-5.6334535666503305</v>
      </c>
    </row>
    <row r="481" spans="1:20" x14ac:dyDescent="0.25">
      <c r="A481" s="5">
        <v>44112</v>
      </c>
      <c r="B481">
        <v>3.3509999999999998E-2</v>
      </c>
      <c r="C481">
        <v>3.5729999999999998E-2</v>
      </c>
      <c r="D481">
        <v>3.2149999999999998E-2</v>
      </c>
      <c r="E481">
        <v>3.5049999999999998E-2</v>
      </c>
      <c r="F481">
        <v>4682233.5999999996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0.62011173184357538</v>
      </c>
      <c r="Q481">
        <f t="shared" si="980"/>
        <v>2903507.9865921782</v>
      </c>
      <c r="R481">
        <f t="shared" si="981"/>
        <v>-567111544.48725533</v>
      </c>
      <c r="S481">
        <f t="shared" si="982"/>
        <v>-5671.1154448725538</v>
      </c>
      <c r="T481">
        <f t="shared" si="983"/>
        <v>-5.6711154448725534</v>
      </c>
    </row>
    <row r="482" spans="1:20" x14ac:dyDescent="0.25">
      <c r="A482" s="5">
        <v>44111</v>
      </c>
      <c r="B482">
        <v>3.3009999999999998E-2</v>
      </c>
      <c r="C482">
        <v>3.3869999999999997E-2</v>
      </c>
      <c r="D482">
        <v>3.1850000000000003E-2</v>
      </c>
      <c r="E482">
        <v>3.3399999999999999E-2</v>
      </c>
      <c r="F482">
        <v>3959972.9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0.53465346534653502</v>
      </c>
      <c r="Q482">
        <f t="shared" si="980"/>
        <v>2117213.2336633676</v>
      </c>
      <c r="R482">
        <f t="shared" si="981"/>
        <v>-570015052.47384751</v>
      </c>
      <c r="S482">
        <f t="shared" si="982"/>
        <v>-5700.1505247384748</v>
      </c>
      <c r="T482">
        <f t="shared" si="983"/>
        <v>-5.7001505247384747</v>
      </c>
    </row>
    <row r="483" spans="1:20" x14ac:dyDescent="0.25">
      <c r="A483" s="5">
        <v>44110</v>
      </c>
      <c r="B483">
        <v>3.959E-2</v>
      </c>
      <c r="C483">
        <v>3.9809999999999998E-2</v>
      </c>
      <c r="D483">
        <v>3.2820000000000002E-2</v>
      </c>
      <c r="E483">
        <v>3.3070000000000002E-2</v>
      </c>
      <c r="F483">
        <v>11391336.1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-0.92846924177396273</v>
      </c>
      <c r="Q483">
        <f t="shared" si="980"/>
        <v>-10576505.191559369</v>
      </c>
      <c r="R483">
        <f t="shared" si="981"/>
        <v>-572132265.70751083</v>
      </c>
      <c r="S483">
        <f t="shared" si="982"/>
        <v>-5721.3226570751085</v>
      </c>
      <c r="T483">
        <f t="shared" si="983"/>
        <v>-5.7213226570751088</v>
      </c>
    </row>
    <row r="484" spans="1:20" x14ac:dyDescent="0.25">
      <c r="A484" s="5">
        <v>44109</v>
      </c>
      <c r="B484">
        <v>3.984E-2</v>
      </c>
      <c r="C484">
        <v>4.0599999999999997E-2</v>
      </c>
      <c r="D484">
        <v>3.8620000000000002E-2</v>
      </c>
      <c r="E484">
        <v>3.9669999999999997E-2</v>
      </c>
      <c r="F484">
        <v>3037288.7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6.0606060606058269E-2</v>
      </c>
      <c r="Q484">
        <f t="shared" si="980"/>
        <v>184078.10303029596</v>
      </c>
      <c r="R484">
        <f t="shared" si="981"/>
        <v>-561555760.51595151</v>
      </c>
      <c r="S484">
        <f t="shared" si="982"/>
        <v>-5615.5576051595153</v>
      </c>
      <c r="T484">
        <f t="shared" si="983"/>
        <v>-5.6155576051595153</v>
      </c>
    </row>
    <row r="485" spans="1:20" x14ac:dyDescent="0.25">
      <c r="A485" s="5">
        <v>44108</v>
      </c>
      <c r="B485">
        <v>3.9530000000000003E-2</v>
      </c>
      <c r="C485">
        <v>0.04</v>
      </c>
      <c r="D485">
        <v>3.8249999999999999E-2</v>
      </c>
      <c r="E485">
        <v>3.968E-2</v>
      </c>
      <c r="F485">
        <v>4753602.0999999996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0.63428571428571368</v>
      </c>
      <c r="Q485">
        <f t="shared" si="980"/>
        <v>3015141.9034285685</v>
      </c>
      <c r="R485">
        <f t="shared" si="981"/>
        <v>-561739838.61898184</v>
      </c>
      <c r="S485">
        <f t="shared" si="982"/>
        <v>-5617.3983861898187</v>
      </c>
      <c r="T485">
        <f t="shared" si="983"/>
        <v>-5.6173983861898185</v>
      </c>
    </row>
    <row r="486" spans="1:20" x14ac:dyDescent="0.25">
      <c r="A486" s="5">
        <v>44107</v>
      </c>
      <c r="B486">
        <v>4.0419999999999998E-2</v>
      </c>
      <c r="C486">
        <v>4.1209999999999997E-2</v>
      </c>
      <c r="D486">
        <v>3.9199999999999999E-2</v>
      </c>
      <c r="E486">
        <v>3.9379999999999998E-2</v>
      </c>
      <c r="F486">
        <v>5197379.4000000004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-0.82089552238805996</v>
      </c>
      <c r="Q486">
        <f t="shared" si="980"/>
        <v>-4266505.4776119422</v>
      </c>
      <c r="R486">
        <f t="shared" si="981"/>
        <v>-564754980.52241039</v>
      </c>
      <c r="S486">
        <f t="shared" si="982"/>
        <v>-5647.5498052241037</v>
      </c>
      <c r="T486">
        <f t="shared" si="983"/>
        <v>-5.647549805224104</v>
      </c>
    </row>
    <row r="487" spans="1:20" x14ac:dyDescent="0.25">
      <c r="A487" s="5">
        <v>44106</v>
      </c>
      <c r="B487">
        <v>4.4330000000000001E-2</v>
      </c>
      <c r="C487">
        <v>4.4690000000000001E-2</v>
      </c>
      <c r="D487">
        <v>3.8309999999999997E-2</v>
      </c>
      <c r="E487">
        <v>4.0469999999999999E-2</v>
      </c>
      <c r="F487">
        <v>17088220.399999999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-0.32288401253918464</v>
      </c>
      <c r="Q487">
        <f t="shared" si="980"/>
        <v>-5517513.1699059503</v>
      </c>
      <c r="R487">
        <f t="shared" si="981"/>
        <v>-560488475.04479849</v>
      </c>
      <c r="S487">
        <f t="shared" si="982"/>
        <v>-5604.8847504479845</v>
      </c>
      <c r="T487">
        <f t="shared" si="983"/>
        <v>-5.6048847504479848</v>
      </c>
    </row>
    <row r="488" spans="1:20" x14ac:dyDescent="0.25">
      <c r="A488" s="5">
        <v>44105</v>
      </c>
      <c r="B488">
        <v>4.897E-2</v>
      </c>
      <c r="C488">
        <v>5.0700000000000002E-2</v>
      </c>
      <c r="D488">
        <v>4.2250000000000003E-2</v>
      </c>
      <c r="E488">
        <v>4.4339999999999997E-2</v>
      </c>
      <c r="F488">
        <v>14606761.9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-0.50532544378698352</v>
      </c>
      <c r="Q488">
        <f t="shared" si="980"/>
        <v>-7381168.4394083023</v>
      </c>
      <c r="R488">
        <f t="shared" si="981"/>
        <v>-554970961.87489259</v>
      </c>
      <c r="S488">
        <f t="shared" si="982"/>
        <v>-5549.709618748926</v>
      </c>
      <c r="T488">
        <f t="shared" si="983"/>
        <v>-5.5497096187489259</v>
      </c>
    </row>
    <row r="489" spans="1:20" x14ac:dyDescent="0.25">
      <c r="A489" s="5">
        <v>44104</v>
      </c>
      <c r="B489">
        <v>5.1920000000000001E-2</v>
      </c>
      <c r="C489">
        <v>5.2400000000000002E-2</v>
      </c>
      <c r="D489">
        <v>4.8390000000000002E-2</v>
      </c>
      <c r="E489">
        <v>4.9000000000000002E-2</v>
      </c>
      <c r="F489">
        <v>4514741.5999999996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-0.69576059850374095</v>
      </c>
      <c r="Q489">
        <f t="shared" si="980"/>
        <v>-3141179.317705737</v>
      </c>
      <c r="R489">
        <f t="shared" si="981"/>
        <v>-547589793.43548429</v>
      </c>
      <c r="S489">
        <f t="shared" si="982"/>
        <v>-5475.8979343548426</v>
      </c>
      <c r="T489">
        <f t="shared" si="983"/>
        <v>-5.4758979343548422</v>
      </c>
    </row>
    <row r="490" spans="1:20" x14ac:dyDescent="0.25">
      <c r="A490" s="5">
        <v>44103</v>
      </c>
      <c r="B490">
        <v>5.076E-2</v>
      </c>
      <c r="C490">
        <v>5.5E-2</v>
      </c>
      <c r="D490">
        <v>4.9840000000000002E-2</v>
      </c>
      <c r="E490">
        <v>5.1499999999999997E-2</v>
      </c>
      <c r="F490">
        <v>8578333.0999999996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-0.35658914728682345</v>
      </c>
      <c r="Q490">
        <f t="shared" si="980"/>
        <v>-3058940.4852713328</v>
      </c>
      <c r="R490">
        <f t="shared" si="981"/>
        <v>-544448614.11777854</v>
      </c>
      <c r="S490">
        <f t="shared" si="982"/>
        <v>-5444.4861411777856</v>
      </c>
      <c r="T490">
        <f t="shared" si="983"/>
        <v>-5.4444861411777854</v>
      </c>
    </row>
    <row r="491" spans="1:20" x14ac:dyDescent="0.25">
      <c r="A491" s="5">
        <v>44102</v>
      </c>
      <c r="B491">
        <v>5.092E-2</v>
      </c>
      <c r="C491">
        <v>5.3999999999999999E-2</v>
      </c>
      <c r="D491">
        <v>4.9820000000000003E-2</v>
      </c>
      <c r="E491">
        <v>5.0889999999999998E-2</v>
      </c>
      <c r="F491">
        <v>4881374.5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-0.48803827751196388</v>
      </c>
      <c r="Q491">
        <f t="shared" si="980"/>
        <v>-2382297.6028708238</v>
      </c>
      <c r="R491">
        <f t="shared" si="981"/>
        <v>-541389673.63250721</v>
      </c>
      <c r="S491">
        <f t="shared" si="982"/>
        <v>-5413.8967363250722</v>
      </c>
      <c r="T491">
        <f t="shared" si="983"/>
        <v>-5.4138967363250723</v>
      </c>
    </row>
    <row r="492" spans="1:20" x14ac:dyDescent="0.25">
      <c r="A492" s="5">
        <v>44101</v>
      </c>
      <c r="B492">
        <v>5.0779999999999999E-2</v>
      </c>
      <c r="C492">
        <v>5.3499999999999999E-2</v>
      </c>
      <c r="D492">
        <v>4.8250000000000001E-2</v>
      </c>
      <c r="E492">
        <v>5.0540000000000002E-2</v>
      </c>
      <c r="F492">
        <v>10717307.800000001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-0.1276190476190471</v>
      </c>
      <c r="Q492">
        <f t="shared" si="980"/>
        <v>-1367732.6144761851</v>
      </c>
      <c r="R492">
        <f t="shared" si="981"/>
        <v>-539007376.02963638</v>
      </c>
      <c r="S492">
        <f t="shared" si="982"/>
        <v>-5390.0737602963636</v>
      </c>
      <c r="T492">
        <f t="shared" si="983"/>
        <v>-5.3900737602963638</v>
      </c>
    </row>
    <row r="493" spans="1:20" x14ac:dyDescent="0.25">
      <c r="A493" s="5">
        <v>44100</v>
      </c>
      <c r="B493">
        <v>4.462E-2</v>
      </c>
      <c r="C493">
        <v>5.3010000000000002E-2</v>
      </c>
      <c r="D493">
        <v>4.4339999999999997E-2</v>
      </c>
      <c r="E493">
        <v>5.0819999999999997E-2</v>
      </c>
      <c r="F493">
        <v>18841443.300000001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0.49480968858131408</v>
      </c>
      <c r="Q493">
        <f t="shared" si="980"/>
        <v>9322928.6916954871</v>
      </c>
      <c r="R493">
        <f t="shared" si="981"/>
        <v>-537639643.41516018</v>
      </c>
      <c r="S493">
        <f t="shared" si="982"/>
        <v>-5376.3964341516021</v>
      </c>
      <c r="T493">
        <f t="shared" si="983"/>
        <v>-5.3763964341516024</v>
      </c>
    </row>
    <row r="494" spans="1:20" x14ac:dyDescent="0.25">
      <c r="A494" s="5">
        <v>44099</v>
      </c>
      <c r="B494">
        <v>4.3889999999999998E-2</v>
      </c>
      <c r="C494">
        <v>4.4999999999999998E-2</v>
      </c>
      <c r="D494">
        <v>4.1590000000000002E-2</v>
      </c>
      <c r="E494">
        <v>4.4290000000000003E-2</v>
      </c>
      <c r="F494">
        <v>4232480.3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0.58357771260997293</v>
      </c>
      <c r="Q494">
        <f t="shared" si="980"/>
        <v>2469981.172140772</v>
      </c>
      <c r="R494">
        <f t="shared" si="981"/>
        <v>-546962572.10685563</v>
      </c>
      <c r="S494">
        <f t="shared" si="982"/>
        <v>-5469.6257210685562</v>
      </c>
      <c r="T494">
        <f t="shared" si="983"/>
        <v>-5.4696257210685566</v>
      </c>
    </row>
    <row r="495" spans="1:20" x14ac:dyDescent="0.25">
      <c r="A495" s="5">
        <v>44098</v>
      </c>
      <c r="B495">
        <v>4.0349999999999997E-2</v>
      </c>
      <c r="C495">
        <v>4.4290000000000003E-2</v>
      </c>
      <c r="D495">
        <v>4.0160000000000001E-2</v>
      </c>
      <c r="E495">
        <v>4.3580000000000001E-2</v>
      </c>
      <c r="F495">
        <v>5388239.4000000004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0.65617433414043491</v>
      </c>
      <c r="Q495">
        <f t="shared" si="980"/>
        <v>3535624.4004842569</v>
      </c>
      <c r="R495">
        <f t="shared" si="981"/>
        <v>-549432553.27899635</v>
      </c>
      <c r="S495">
        <f t="shared" si="982"/>
        <v>-5494.3255327899633</v>
      </c>
      <c r="T495">
        <f t="shared" si="983"/>
        <v>-5.4943255327899632</v>
      </c>
    </row>
    <row r="496" spans="1:20" x14ac:dyDescent="0.25">
      <c r="A496" s="5">
        <v>44097</v>
      </c>
      <c r="B496">
        <v>4.2700000000000002E-2</v>
      </c>
      <c r="C496">
        <v>4.5900000000000003E-2</v>
      </c>
      <c r="D496">
        <v>0.04</v>
      </c>
      <c r="E496">
        <v>4.0349999999999997E-2</v>
      </c>
      <c r="F496">
        <v>4805180.4000000004</v>
      </c>
      <c r="G496">
        <v>0</v>
      </c>
      <c r="L496" t="s">
        <v>7</v>
      </c>
      <c r="M496" t="s">
        <v>8</v>
      </c>
      <c r="N496" t="s">
        <v>7</v>
      </c>
      <c r="P496">
        <f t="shared" si="979"/>
        <v>-0.88135593220339115</v>
      </c>
      <c r="Q496">
        <f t="shared" si="980"/>
        <v>-4235074.2508474644</v>
      </c>
      <c r="R496">
        <f t="shared" si="981"/>
        <v>-552968177.67948055</v>
      </c>
      <c r="S496">
        <f t="shared" si="982"/>
        <v>-5529.681776794806</v>
      </c>
      <c r="T496">
        <f t="shared" si="983"/>
        <v>-5.5296817767948063</v>
      </c>
    </row>
    <row r="497" spans="1:20" x14ac:dyDescent="0.25">
      <c r="A497" s="5">
        <v>44096</v>
      </c>
      <c r="B497">
        <v>4.07E-2</v>
      </c>
      <c r="C497">
        <v>4.6260000000000003E-2</v>
      </c>
      <c r="D497">
        <v>3.9410000000000001E-2</v>
      </c>
      <c r="E497">
        <v>4.2709999999999998E-2</v>
      </c>
      <c r="F497">
        <v>8262258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-3.6496350364964542E-2</v>
      </c>
      <c r="Q497">
        <f t="shared" si="980"/>
        <v>-301542.2627737312</v>
      </c>
      <c r="R497">
        <f t="shared" si="981"/>
        <v>-548733103.42863309</v>
      </c>
      <c r="S497">
        <f t="shared" si="982"/>
        <v>-5487.3310342863306</v>
      </c>
      <c r="T497">
        <f t="shared" si="983"/>
        <v>-5.4873310342863304</v>
      </c>
    </row>
    <row r="498" spans="1:20" x14ac:dyDescent="0.25">
      <c r="A498" s="5">
        <v>44095</v>
      </c>
      <c r="B498">
        <v>4.5519999999999998E-2</v>
      </c>
      <c r="C498">
        <v>4.7980000000000002E-2</v>
      </c>
      <c r="D498">
        <v>3.9469999999999998E-2</v>
      </c>
      <c r="E498">
        <v>4.07E-2</v>
      </c>
      <c r="F498">
        <v>4795763.3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-0.71092831962397152</v>
      </c>
      <c r="Q498">
        <f t="shared" si="980"/>
        <v>-3409443.9441833124</v>
      </c>
      <c r="R498">
        <f t="shared" si="981"/>
        <v>-548431561.16585934</v>
      </c>
      <c r="S498">
        <f t="shared" si="982"/>
        <v>-5484.3156116585933</v>
      </c>
      <c r="T498">
        <f t="shared" si="983"/>
        <v>-5.4843156116585936</v>
      </c>
    </row>
    <row r="499" spans="1:20" x14ac:dyDescent="0.25">
      <c r="A499" s="5">
        <v>44094</v>
      </c>
      <c r="B499">
        <v>4.9230000000000003E-2</v>
      </c>
      <c r="C499">
        <v>4.9750000000000003E-2</v>
      </c>
      <c r="D499">
        <v>4.4479999999999999E-2</v>
      </c>
      <c r="E499">
        <v>4.5490000000000003E-2</v>
      </c>
      <c r="F499">
        <v>3519157.2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-0.61669829222011263</v>
      </c>
      <c r="Q499">
        <f t="shared" si="980"/>
        <v>-2170258.2352941134</v>
      </c>
      <c r="R499">
        <f t="shared" si="981"/>
        <v>-545022117.22167599</v>
      </c>
      <c r="S499">
        <f t="shared" si="982"/>
        <v>-5450.2211722167604</v>
      </c>
      <c r="T499">
        <f t="shared" si="983"/>
        <v>-5.4502211722167599</v>
      </c>
    </row>
    <row r="500" spans="1:20" x14ac:dyDescent="0.25">
      <c r="A500" s="5">
        <v>44093</v>
      </c>
      <c r="B500">
        <v>4.7829999999999998E-2</v>
      </c>
      <c r="C500">
        <v>5.0729999999999997E-2</v>
      </c>
      <c r="D500">
        <v>4.7460000000000002E-2</v>
      </c>
      <c r="E500">
        <v>4.9299999999999997E-2</v>
      </c>
      <c r="F500">
        <v>4836831.9000000004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0.12538226299694016</v>
      </c>
      <c r="Q500">
        <f t="shared" si="980"/>
        <v>606452.92935778981</v>
      </c>
      <c r="R500">
        <f t="shared" si="981"/>
        <v>-542851858.98638189</v>
      </c>
      <c r="S500">
        <f t="shared" si="982"/>
        <v>-5428.5185898638192</v>
      </c>
      <c r="T500">
        <f t="shared" si="983"/>
        <v>-5.4285185898638195</v>
      </c>
    </row>
    <row r="501" spans="1:20" x14ac:dyDescent="0.25">
      <c r="A501" s="5">
        <v>44092</v>
      </c>
      <c r="B501">
        <v>5.2170000000000001E-2</v>
      </c>
      <c r="C501">
        <v>5.2240000000000002E-2</v>
      </c>
      <c r="D501">
        <v>4.65E-2</v>
      </c>
      <c r="E501">
        <v>4.7829999999999998E-2</v>
      </c>
      <c r="F501">
        <v>7412361.7999999998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-0.53658536585365946</v>
      </c>
      <c r="Q501">
        <f t="shared" si="980"/>
        <v>-3977364.8682926898</v>
      </c>
      <c r="R501">
        <f t="shared" si="981"/>
        <v>-543458311.91573966</v>
      </c>
      <c r="S501">
        <f t="shared" si="982"/>
        <v>-5434.5831191573961</v>
      </c>
      <c r="T501">
        <f t="shared" si="983"/>
        <v>-5.4345831191573959</v>
      </c>
    </row>
    <row r="502" spans="1:20" x14ac:dyDescent="0.25">
      <c r="A502" s="5">
        <v>44091</v>
      </c>
      <c r="B502">
        <v>4.709E-2</v>
      </c>
      <c r="C502">
        <v>5.4149999999999997E-2</v>
      </c>
      <c r="D502">
        <v>4.709E-2</v>
      </c>
      <c r="E502">
        <v>5.1869999999999999E-2</v>
      </c>
      <c r="F502">
        <v>12171675.1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0.35410764872521294</v>
      </c>
      <c r="Q502">
        <f t="shared" si="980"/>
        <v>4310083.2507082205</v>
      </c>
      <c r="R502">
        <f t="shared" si="981"/>
        <v>-539480947.04744697</v>
      </c>
      <c r="S502">
        <f t="shared" si="982"/>
        <v>-5394.8094704744699</v>
      </c>
      <c r="T502">
        <f t="shared" si="983"/>
        <v>-5.3948094704744696</v>
      </c>
    </row>
    <row r="503" spans="1:20" x14ac:dyDescent="0.25">
      <c r="A503" s="5">
        <v>44090</v>
      </c>
      <c r="B503">
        <v>4.6080000000000003E-2</v>
      </c>
      <c r="C503">
        <v>4.8419999999999998E-2</v>
      </c>
      <c r="D503">
        <v>4.369E-2</v>
      </c>
      <c r="E503">
        <v>4.7100000000000003E-2</v>
      </c>
      <c r="F503">
        <v>5148641.3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0.44186046511628108</v>
      </c>
      <c r="Q503">
        <f t="shared" si="980"/>
        <v>2274981.0395348938</v>
      </c>
      <c r="R503">
        <f t="shared" si="981"/>
        <v>-543791030.29815519</v>
      </c>
      <c r="S503">
        <f t="shared" si="982"/>
        <v>-5437.9103029815515</v>
      </c>
      <c r="T503">
        <f t="shared" si="983"/>
        <v>-5.4379103029815514</v>
      </c>
    </row>
    <row r="504" spans="1:20" x14ac:dyDescent="0.25">
      <c r="A504" s="5">
        <v>44089</v>
      </c>
      <c r="B504">
        <v>5.1929999999999997E-2</v>
      </c>
      <c r="C504">
        <v>5.2470000000000003E-2</v>
      </c>
      <c r="D504">
        <v>4.6080000000000003E-2</v>
      </c>
      <c r="E504">
        <v>4.616E-2</v>
      </c>
      <c r="F504">
        <v>6745591.2000000002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-0.97496087636932804</v>
      </c>
      <c r="Q504">
        <f t="shared" si="980"/>
        <v>-6576687.5079812277</v>
      </c>
      <c r="R504">
        <f t="shared" si="981"/>
        <v>-546066011.33769011</v>
      </c>
      <c r="S504">
        <f t="shared" si="982"/>
        <v>-5460.6601133769009</v>
      </c>
      <c r="T504">
        <f t="shared" si="983"/>
        <v>-5.4606601133769006</v>
      </c>
    </row>
    <row r="505" spans="1:20" x14ac:dyDescent="0.25">
      <c r="A505" s="5">
        <v>44088</v>
      </c>
      <c r="B505">
        <v>5.1290000000000002E-2</v>
      </c>
      <c r="C505">
        <v>5.4399999999999997E-2</v>
      </c>
      <c r="D505">
        <v>4.9669999999999999E-2</v>
      </c>
      <c r="E505">
        <v>5.1819999999999998E-2</v>
      </c>
      <c r="F505">
        <v>5751543.0999999996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-9.0909090909090912E-2</v>
      </c>
      <c r="Q505">
        <f t="shared" si="980"/>
        <v>-522867.55454545451</v>
      </c>
      <c r="R505">
        <f t="shared" si="981"/>
        <v>-539489323.82970893</v>
      </c>
      <c r="S505">
        <f t="shared" si="982"/>
        <v>-5394.8932382970897</v>
      </c>
      <c r="T505">
        <f t="shared" si="983"/>
        <v>-5.3948932382970893</v>
      </c>
    </row>
    <row r="506" spans="1:20" x14ac:dyDescent="0.25">
      <c r="A506" s="5">
        <v>44087</v>
      </c>
      <c r="B506">
        <v>5.5899999999999998E-2</v>
      </c>
      <c r="C506">
        <v>5.7590000000000002E-2</v>
      </c>
      <c r="D506">
        <v>4.9730000000000003E-2</v>
      </c>
      <c r="E506">
        <v>5.0970000000000001E-2</v>
      </c>
      <c r="F506">
        <v>12618376.6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-0.68447837150127266</v>
      </c>
      <c r="Q506">
        <f t="shared" si="980"/>
        <v>-8637005.8661577664</v>
      </c>
      <c r="R506">
        <f t="shared" si="981"/>
        <v>-538966456.27516353</v>
      </c>
      <c r="S506">
        <f t="shared" si="982"/>
        <v>-5389.6645627516355</v>
      </c>
      <c r="T506">
        <f t="shared" si="983"/>
        <v>-5.3896645627516353</v>
      </c>
    </row>
    <row r="507" spans="1:20" x14ac:dyDescent="0.25">
      <c r="A507" s="5">
        <v>44086</v>
      </c>
      <c r="B507">
        <v>5.6050000000000003E-2</v>
      </c>
      <c r="C507">
        <v>6.3479999999999995E-2</v>
      </c>
      <c r="D507">
        <v>5.5129999999999998E-2</v>
      </c>
      <c r="E507">
        <v>5.5890000000000002E-2</v>
      </c>
      <c r="F507">
        <v>19113213.800000001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-0.8179640718562865</v>
      </c>
      <c r="Q507">
        <f t="shared" si="980"/>
        <v>-15633922.186107768</v>
      </c>
      <c r="R507">
        <f t="shared" si="981"/>
        <v>-530329450.40900582</v>
      </c>
      <c r="S507">
        <f t="shared" si="982"/>
        <v>-5303.2945040900586</v>
      </c>
      <c r="T507">
        <f t="shared" si="983"/>
        <v>-5.3032945040900588</v>
      </c>
    </row>
    <row r="508" spans="1:20" x14ac:dyDescent="0.25">
      <c r="A508" s="5">
        <v>44085</v>
      </c>
      <c r="B508">
        <v>5.3740000000000003E-2</v>
      </c>
      <c r="C508">
        <v>5.7500000000000002E-2</v>
      </c>
      <c r="D508">
        <v>5.1200000000000002E-2</v>
      </c>
      <c r="E508">
        <v>5.6180000000000001E-2</v>
      </c>
      <c r="F508">
        <v>7233082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0.58095238095238044</v>
      </c>
      <c r="Q508">
        <f t="shared" si="980"/>
        <v>4202076.2095238054</v>
      </c>
      <c r="R508">
        <f t="shared" si="981"/>
        <v>-514695528.22289807</v>
      </c>
      <c r="S508">
        <f t="shared" si="982"/>
        <v>-5146.9552822289806</v>
      </c>
      <c r="T508">
        <f t="shared" si="983"/>
        <v>-5.1469552822289808</v>
      </c>
    </row>
    <row r="509" spans="1:20" x14ac:dyDescent="0.25">
      <c r="A509" s="5">
        <v>44084</v>
      </c>
      <c r="B509">
        <v>5.2549999999999999E-2</v>
      </c>
      <c r="C509">
        <v>5.8799999999999998E-2</v>
      </c>
      <c r="D509">
        <v>5.2470000000000003E-2</v>
      </c>
      <c r="E509">
        <v>5.3659999999999999E-2</v>
      </c>
      <c r="F509">
        <v>15329421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-0.62401263823064845</v>
      </c>
      <c r="Q509">
        <f t="shared" si="980"/>
        <v>-9565752.4407583047</v>
      </c>
      <c r="R509">
        <f t="shared" si="981"/>
        <v>-518897604.43242186</v>
      </c>
      <c r="S509">
        <f t="shared" si="982"/>
        <v>-5188.9760443242185</v>
      </c>
      <c r="T509">
        <f t="shared" si="983"/>
        <v>-5.1889760443242183</v>
      </c>
    </row>
    <row r="510" spans="1:20" x14ac:dyDescent="0.25">
      <c r="A510" s="5">
        <v>44083</v>
      </c>
      <c r="B510">
        <v>4.7460000000000002E-2</v>
      </c>
      <c r="C510">
        <v>5.3999999999999999E-2</v>
      </c>
      <c r="D510">
        <v>4.7260000000000003E-2</v>
      </c>
      <c r="E510">
        <v>5.2560000000000003E-2</v>
      </c>
      <c r="F510">
        <v>14948823.1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0.57270029673590572</v>
      </c>
      <c r="Q510">
        <f t="shared" si="980"/>
        <v>8561195.4252225626</v>
      </c>
      <c r="R510">
        <f t="shared" si="981"/>
        <v>-509331851.99166358</v>
      </c>
      <c r="S510">
        <f t="shared" si="982"/>
        <v>-5093.3185199166355</v>
      </c>
      <c r="T510">
        <f t="shared" si="983"/>
        <v>-5.0933185199166351</v>
      </c>
    </row>
    <row r="511" spans="1:20" x14ac:dyDescent="0.25">
      <c r="A511" s="5">
        <v>44082</v>
      </c>
      <c r="B511">
        <v>4.6739999999999997E-2</v>
      </c>
      <c r="C511">
        <v>5.16E-2</v>
      </c>
      <c r="D511">
        <v>4.4420000000000001E-2</v>
      </c>
      <c r="E511">
        <v>4.8059999999999999E-2</v>
      </c>
      <c r="F511">
        <v>15807743.800000001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1.3927576601670743E-2</v>
      </c>
      <c r="Q511">
        <f t="shared" si="980"/>
        <v>220163.56267408578</v>
      </c>
      <c r="R511">
        <f t="shared" si="981"/>
        <v>-517893047.41688615</v>
      </c>
      <c r="S511">
        <f t="shared" si="982"/>
        <v>-5178.9304741688611</v>
      </c>
      <c r="T511">
        <f t="shared" si="983"/>
        <v>-5.1789304741688609</v>
      </c>
    </row>
    <row r="512" spans="1:20" x14ac:dyDescent="0.25">
      <c r="A512" s="5">
        <v>44081</v>
      </c>
      <c r="B512">
        <v>4.8189999999999997E-2</v>
      </c>
      <c r="C512">
        <v>4.861E-2</v>
      </c>
      <c r="D512">
        <v>3.9410000000000001E-2</v>
      </c>
      <c r="E512">
        <v>4.6980000000000001E-2</v>
      </c>
      <c r="F512">
        <v>13884875.300000001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0.64565217391304353</v>
      </c>
      <c r="Q512">
        <f t="shared" si="980"/>
        <v>8964799.9219565224</v>
      </c>
      <c r="R512">
        <f t="shared" si="981"/>
        <v>-518113210.97956026</v>
      </c>
      <c r="S512">
        <f t="shared" si="982"/>
        <v>-5181.1321097956024</v>
      </c>
      <c r="T512">
        <f t="shared" si="983"/>
        <v>-5.1811321097956027</v>
      </c>
    </row>
    <row r="513" spans="1:20" x14ac:dyDescent="0.25">
      <c r="A513" s="5">
        <v>44080</v>
      </c>
      <c r="B513">
        <v>4.3499999999999997E-2</v>
      </c>
      <c r="C513">
        <v>4.8619999999999997E-2</v>
      </c>
      <c r="D513">
        <v>3.9879999999999999E-2</v>
      </c>
      <c r="E513">
        <v>4.82E-2</v>
      </c>
      <c r="F513">
        <v>11146584.300000001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0.90389016018306712</v>
      </c>
      <c r="Q513">
        <f t="shared" si="980"/>
        <v>10075287.868421061</v>
      </c>
      <c r="R513">
        <f t="shared" si="981"/>
        <v>-527078010.9015168</v>
      </c>
      <c r="S513">
        <f t="shared" si="982"/>
        <v>-5270.7801090151679</v>
      </c>
      <c r="T513">
        <f t="shared" si="983"/>
        <v>-5.2707801090151678</v>
      </c>
    </row>
    <row r="514" spans="1:20" x14ac:dyDescent="0.25">
      <c r="A514" s="5">
        <v>44079</v>
      </c>
      <c r="B514">
        <v>5.57E-2</v>
      </c>
      <c r="C514">
        <v>6.0690000000000001E-2</v>
      </c>
      <c r="D514">
        <v>3.9E-2</v>
      </c>
      <c r="E514">
        <v>4.3470000000000002E-2</v>
      </c>
      <c r="F514">
        <v>30131172.199999999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-0.58782849239280766</v>
      </c>
      <c r="Q514">
        <f t="shared" si="980"/>
        <v>-17711961.528354079</v>
      </c>
      <c r="R514">
        <f t="shared" si="981"/>
        <v>-537153298.76993787</v>
      </c>
      <c r="S514">
        <f t="shared" si="982"/>
        <v>-5371.5329876993783</v>
      </c>
      <c r="T514">
        <f t="shared" si="983"/>
        <v>-5.3715329876993785</v>
      </c>
    </row>
    <row r="515" spans="1:20" x14ac:dyDescent="0.25">
      <c r="A515" s="5">
        <v>44078</v>
      </c>
      <c r="B515">
        <v>5.2089999999999997E-2</v>
      </c>
      <c r="C515">
        <v>6.1420000000000002E-2</v>
      </c>
      <c r="D515">
        <v>5.0430000000000003E-2</v>
      </c>
      <c r="E515">
        <v>5.602E-2</v>
      </c>
      <c r="F515">
        <v>13441085.1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1.7288444040036009E-2</v>
      </c>
      <c r="Q515">
        <f t="shared" si="980"/>
        <v>232375.4475887118</v>
      </c>
      <c r="R515">
        <f t="shared" si="981"/>
        <v>-519441337.24158376</v>
      </c>
      <c r="S515">
        <f t="shared" si="982"/>
        <v>-5194.4133724158373</v>
      </c>
      <c r="T515">
        <f t="shared" si="983"/>
        <v>-5.1944133724158377</v>
      </c>
    </row>
    <row r="516" spans="1:20" x14ac:dyDescent="0.25">
      <c r="A516" s="5">
        <v>44077</v>
      </c>
      <c r="B516">
        <v>7.3200000000000001E-2</v>
      </c>
      <c r="C516">
        <v>7.4469999999999995E-2</v>
      </c>
      <c r="D516">
        <v>5.0470000000000001E-2</v>
      </c>
      <c r="E516">
        <v>5.2429999999999997E-2</v>
      </c>
      <c r="F516">
        <v>25570948.800000001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-0.83666666666666689</v>
      </c>
      <c r="Q516">
        <f t="shared" si="980"/>
        <v>-21394360.496000007</v>
      </c>
      <c r="R516">
        <f t="shared" si="981"/>
        <v>-519673712.68917245</v>
      </c>
      <c r="S516">
        <f t="shared" si="982"/>
        <v>-5196.7371268917241</v>
      </c>
      <c r="T516">
        <f t="shared" si="983"/>
        <v>-5.1967371268917244</v>
      </c>
    </row>
    <row r="517" spans="1:20" x14ac:dyDescent="0.25">
      <c r="A517" s="5">
        <v>44076</v>
      </c>
      <c r="B517">
        <v>8.133E-2</v>
      </c>
      <c r="C517">
        <v>8.2239999999999994E-2</v>
      </c>
      <c r="D517">
        <v>6.8650000000000003E-2</v>
      </c>
      <c r="E517">
        <v>7.3179999999999995E-2</v>
      </c>
      <c r="F517">
        <v>25724464.600000001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-0.33333333333333404</v>
      </c>
      <c r="Q517">
        <f t="shared" si="980"/>
        <v>-8574821.5333333518</v>
      </c>
      <c r="R517">
        <f t="shared" si="981"/>
        <v>-498279352.19317245</v>
      </c>
      <c r="S517">
        <f t="shared" si="982"/>
        <v>-4982.7935219317242</v>
      </c>
      <c r="T517">
        <f t="shared" si="983"/>
        <v>-4.9827935219317245</v>
      </c>
    </row>
    <row r="518" spans="1:20" x14ac:dyDescent="0.25">
      <c r="A518" s="5">
        <v>44075</v>
      </c>
      <c r="B518">
        <v>8.3909999999999998E-2</v>
      </c>
      <c r="C518">
        <v>9.0370000000000006E-2</v>
      </c>
      <c r="D518">
        <v>8.1000000000000003E-2</v>
      </c>
      <c r="E518">
        <v>8.1339999999999996E-2</v>
      </c>
      <c r="F518">
        <v>15818841.4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-0.92742796157951057</v>
      </c>
      <c r="Q518">
        <f t="shared" ref="Q518:Q581" si="985">F518*P518</f>
        <v>-14670835.834151572</v>
      </c>
      <c r="R518">
        <f t="shared" ref="R518:R581" si="986">R519+Q518</f>
        <v>-489704530.65983909</v>
      </c>
      <c r="S518">
        <f t="shared" ref="S518:S581" si="987">R518/100000</f>
        <v>-4897.0453065983911</v>
      </c>
      <c r="T518">
        <f t="shared" ref="T518:T581" si="988">S518/1000</f>
        <v>-4.8970453065983914</v>
      </c>
    </row>
    <row r="519" spans="1:20" x14ac:dyDescent="0.25">
      <c r="A519" s="5">
        <v>44074</v>
      </c>
      <c r="B519">
        <v>8.9039999999999994E-2</v>
      </c>
      <c r="C519">
        <v>9.64E-2</v>
      </c>
      <c r="D519">
        <v>8.3750000000000005E-2</v>
      </c>
      <c r="E519">
        <v>8.3940000000000001E-2</v>
      </c>
      <c r="F519">
        <v>19565477.100000001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-0.96996047430830101</v>
      </c>
      <c r="Q519">
        <f t="shared" si="985"/>
        <v>-18977739.447984204</v>
      </c>
      <c r="R519">
        <f t="shared" si="986"/>
        <v>-475033694.82568753</v>
      </c>
      <c r="S519">
        <f t="shared" si="987"/>
        <v>-4750.3369482568751</v>
      </c>
      <c r="T519">
        <f t="shared" si="988"/>
        <v>-4.7503369482568747</v>
      </c>
    </row>
    <row r="520" spans="1:20" x14ac:dyDescent="0.25">
      <c r="A520" s="5">
        <v>44073</v>
      </c>
      <c r="B520">
        <v>8.1490000000000007E-2</v>
      </c>
      <c r="C520">
        <v>9.3090000000000006E-2</v>
      </c>
      <c r="D520">
        <v>8.1379999999999994E-2</v>
      </c>
      <c r="E520">
        <v>8.9029999999999998E-2</v>
      </c>
      <c r="F520">
        <v>13805940.9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0.30657557643040073</v>
      </c>
      <c r="Q520">
        <f t="shared" si="985"/>
        <v>4232564.2895815456</v>
      </c>
      <c r="R520">
        <f t="shared" si="986"/>
        <v>-456055955.37770331</v>
      </c>
      <c r="S520">
        <f t="shared" si="987"/>
        <v>-4560.5595537770332</v>
      </c>
      <c r="T520">
        <f t="shared" si="988"/>
        <v>-4.5605595537770336</v>
      </c>
    </row>
    <row r="521" spans="1:20" x14ac:dyDescent="0.25">
      <c r="A521" s="5">
        <v>44072</v>
      </c>
      <c r="B521">
        <v>8.2750000000000004E-2</v>
      </c>
      <c r="C521">
        <v>8.5059999999999997E-2</v>
      </c>
      <c r="D521">
        <v>8.0519999999999994E-2</v>
      </c>
      <c r="E521">
        <v>8.1559999999999994E-2</v>
      </c>
      <c r="F521">
        <v>5638626.4000000004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-0.54185022026431773</v>
      </c>
      <c r="Q521">
        <f t="shared" si="985"/>
        <v>-3055290.956828197</v>
      </c>
      <c r="R521">
        <f t="shared" si="986"/>
        <v>-460288519.66728485</v>
      </c>
      <c r="S521">
        <f t="shared" si="987"/>
        <v>-4602.8851966728489</v>
      </c>
      <c r="T521">
        <f t="shared" si="988"/>
        <v>-4.6028851966728492</v>
      </c>
    </row>
    <row r="522" spans="1:20" x14ac:dyDescent="0.25">
      <c r="A522" s="5">
        <v>44071</v>
      </c>
      <c r="B522">
        <v>7.7979999999999994E-2</v>
      </c>
      <c r="C522">
        <v>8.5040000000000004E-2</v>
      </c>
      <c r="D522">
        <v>7.7270000000000005E-2</v>
      </c>
      <c r="E522">
        <v>8.2650000000000001E-2</v>
      </c>
      <c r="F522">
        <v>8137915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0.3848133848133839</v>
      </c>
      <c r="Q522">
        <f t="shared" si="985"/>
        <v>3131578.6164736091</v>
      </c>
      <c r="R522">
        <f t="shared" si="986"/>
        <v>-457233228.71045667</v>
      </c>
      <c r="S522">
        <f t="shared" si="987"/>
        <v>-4572.3322871045666</v>
      </c>
      <c r="T522">
        <f t="shared" si="988"/>
        <v>-4.5723322871045662</v>
      </c>
    </row>
    <row r="523" spans="1:20" x14ac:dyDescent="0.25">
      <c r="A523" s="5">
        <v>44070</v>
      </c>
      <c r="B523">
        <v>8.2949999999999996E-2</v>
      </c>
      <c r="C523">
        <v>8.3909999999999998E-2</v>
      </c>
      <c r="D523">
        <v>7.5139999999999998E-2</v>
      </c>
      <c r="E523">
        <v>7.7590000000000006E-2</v>
      </c>
      <c r="F523">
        <v>10013407.9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-0.44127708095780893</v>
      </c>
      <c r="Q523">
        <f t="shared" si="985"/>
        <v>-4418687.4085518634</v>
      </c>
      <c r="R523">
        <f t="shared" si="986"/>
        <v>-460364807.32693028</v>
      </c>
      <c r="S523">
        <f t="shared" si="987"/>
        <v>-4603.6480732693026</v>
      </c>
      <c r="T523">
        <f t="shared" si="988"/>
        <v>-4.6036480732693024</v>
      </c>
    </row>
    <row r="524" spans="1:20" x14ac:dyDescent="0.25">
      <c r="A524" s="5">
        <v>44069</v>
      </c>
      <c r="B524">
        <v>7.8109999999999999E-2</v>
      </c>
      <c r="C524">
        <v>8.5589999999999999E-2</v>
      </c>
      <c r="D524">
        <v>7.6069999999999999E-2</v>
      </c>
      <c r="E524">
        <v>8.3110000000000003E-2</v>
      </c>
      <c r="F524">
        <v>14656000.199999999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0.47899159663865631</v>
      </c>
      <c r="Q524">
        <f t="shared" si="985"/>
        <v>7020100.936134466</v>
      </c>
      <c r="R524">
        <f t="shared" si="986"/>
        <v>-455946119.91837841</v>
      </c>
      <c r="S524">
        <f t="shared" si="987"/>
        <v>-4559.4611991837837</v>
      </c>
      <c r="T524">
        <f t="shared" si="988"/>
        <v>-4.5594611991837839</v>
      </c>
    </row>
    <row r="525" spans="1:20" x14ac:dyDescent="0.25">
      <c r="A525" s="5">
        <v>44068</v>
      </c>
      <c r="B525">
        <v>8.8880000000000001E-2</v>
      </c>
      <c r="C525">
        <v>8.9700000000000002E-2</v>
      </c>
      <c r="D525">
        <v>7.3429999999999995E-2</v>
      </c>
      <c r="E525">
        <v>7.8140000000000001E-2</v>
      </c>
      <c r="F525">
        <v>24581579.699999999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-0.42102028272894848</v>
      </c>
      <c r="Q525">
        <f t="shared" si="985"/>
        <v>-10349343.635218181</v>
      </c>
      <c r="R525">
        <f t="shared" si="986"/>
        <v>-462966220.85451287</v>
      </c>
      <c r="S525">
        <f t="shared" si="987"/>
        <v>-4629.662208545129</v>
      </c>
      <c r="T525">
        <f t="shared" si="988"/>
        <v>-4.6296622085451293</v>
      </c>
    </row>
    <row r="526" spans="1:20" x14ac:dyDescent="0.25">
      <c r="A526" s="5">
        <v>44067</v>
      </c>
      <c r="B526">
        <v>8.0930000000000002E-2</v>
      </c>
      <c r="C526">
        <v>8.9849999999999999E-2</v>
      </c>
      <c r="D526">
        <v>7.7869999999999995E-2</v>
      </c>
      <c r="E526">
        <v>8.8880000000000001E-2</v>
      </c>
      <c r="F526">
        <v>14248004.1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0.83806343906510883</v>
      </c>
      <c r="Q526">
        <f t="shared" si="985"/>
        <v>11940731.31585977</v>
      </c>
      <c r="R526">
        <f t="shared" si="986"/>
        <v>-452616877.21929467</v>
      </c>
      <c r="S526">
        <f t="shared" si="987"/>
        <v>-4526.1687721929466</v>
      </c>
      <c r="T526">
        <f t="shared" si="988"/>
        <v>-4.5261687721929462</v>
      </c>
    </row>
    <row r="527" spans="1:20" x14ac:dyDescent="0.25">
      <c r="A527" s="5">
        <v>44066</v>
      </c>
      <c r="B527">
        <v>8.3909999999999998E-2</v>
      </c>
      <c r="C527">
        <v>8.6150000000000004E-2</v>
      </c>
      <c r="D527">
        <v>8.0369999999999997E-2</v>
      </c>
      <c r="E527">
        <v>8.0939999999999998E-2</v>
      </c>
      <c r="F527">
        <v>8123838.7999999998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-0.80276816608996526</v>
      </c>
      <c r="Q527">
        <f t="shared" si="985"/>
        <v>-6521559.1750865038</v>
      </c>
      <c r="R527">
        <f t="shared" si="986"/>
        <v>-464557608.53515446</v>
      </c>
      <c r="S527">
        <f t="shared" si="987"/>
        <v>-4645.5760853515449</v>
      </c>
      <c r="T527">
        <f t="shared" si="988"/>
        <v>-4.6455760853515446</v>
      </c>
    </row>
    <row r="528" spans="1:20" x14ac:dyDescent="0.25">
      <c r="A528" s="5">
        <v>44065</v>
      </c>
      <c r="B528">
        <v>8.6349999999999996E-2</v>
      </c>
      <c r="C528">
        <v>8.7989999999999999E-2</v>
      </c>
      <c r="D528">
        <v>7.7509999999999996E-2</v>
      </c>
      <c r="E528">
        <v>8.4000000000000005E-2</v>
      </c>
      <c r="F528">
        <v>13129827.6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0.23854961832061214</v>
      </c>
      <c r="Q528">
        <f t="shared" si="985"/>
        <v>3132115.362595439</v>
      </c>
      <c r="R528">
        <f t="shared" si="986"/>
        <v>-458036049.36006796</v>
      </c>
      <c r="S528">
        <f t="shared" si="987"/>
        <v>-4580.3604936006795</v>
      </c>
      <c r="T528">
        <f t="shared" si="988"/>
        <v>-4.5803604936006792</v>
      </c>
    </row>
    <row r="529" spans="1:20" x14ac:dyDescent="0.25">
      <c r="A529" s="5">
        <v>44064</v>
      </c>
      <c r="B529">
        <v>9.708E-2</v>
      </c>
      <c r="C529">
        <v>9.8599999999999993E-2</v>
      </c>
      <c r="D529">
        <v>8.5400000000000004E-2</v>
      </c>
      <c r="E529">
        <v>8.6169999999999997E-2</v>
      </c>
      <c r="F529">
        <v>18024661.5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-0.8833333333333343</v>
      </c>
      <c r="Q529">
        <f t="shared" si="985"/>
        <v>-15921784.325000018</v>
      </c>
      <c r="R529">
        <f t="shared" si="986"/>
        <v>-461168164.7226634</v>
      </c>
      <c r="S529">
        <f t="shared" si="987"/>
        <v>-4611.6816472266337</v>
      </c>
      <c r="T529">
        <f t="shared" si="988"/>
        <v>-4.611681647226634</v>
      </c>
    </row>
    <row r="530" spans="1:20" x14ac:dyDescent="0.25">
      <c r="A530" s="5">
        <v>44063</v>
      </c>
      <c r="B530">
        <v>9.0200000000000002E-2</v>
      </c>
      <c r="C530">
        <v>9.9849999999999994E-2</v>
      </c>
      <c r="D530">
        <v>8.6580000000000004E-2</v>
      </c>
      <c r="E530">
        <v>9.7070000000000004E-2</v>
      </c>
      <c r="F530">
        <v>23622606.899999999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0.58100979653353535</v>
      </c>
      <c r="Q530">
        <f t="shared" si="985"/>
        <v>13724966.028560687</v>
      </c>
      <c r="R530">
        <f t="shared" si="986"/>
        <v>-445246380.39766341</v>
      </c>
      <c r="S530">
        <f t="shared" si="987"/>
        <v>-4452.4638039766342</v>
      </c>
      <c r="T530">
        <f t="shared" si="988"/>
        <v>-4.4524638039766344</v>
      </c>
    </row>
    <row r="531" spans="1:20" x14ac:dyDescent="0.25">
      <c r="A531" s="5">
        <v>44062</v>
      </c>
      <c r="B531">
        <v>0.10215</v>
      </c>
      <c r="C531">
        <v>0.10238</v>
      </c>
      <c r="D531">
        <v>8.8889999999999997E-2</v>
      </c>
      <c r="E531">
        <v>0.09</v>
      </c>
      <c r="F531">
        <v>25280425.600000001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-0.83543365455893259</v>
      </c>
      <c r="Q531">
        <f t="shared" si="985"/>
        <v>-21120118.347813196</v>
      </c>
      <c r="R531">
        <f t="shared" si="986"/>
        <v>-458971346.42622411</v>
      </c>
      <c r="S531">
        <f t="shared" si="987"/>
        <v>-4589.7134642622414</v>
      </c>
      <c r="T531">
        <f t="shared" si="988"/>
        <v>-4.5897134642622417</v>
      </c>
    </row>
    <row r="532" spans="1:20" x14ac:dyDescent="0.25">
      <c r="A532" s="5">
        <v>44061</v>
      </c>
      <c r="B532">
        <v>0.10499</v>
      </c>
      <c r="C532">
        <v>0.14899999999999999</v>
      </c>
      <c r="D532">
        <v>9.4500000000000001E-2</v>
      </c>
      <c r="E532">
        <v>0.10216</v>
      </c>
      <c r="F532">
        <v>80445601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-0.7188990825688073</v>
      </c>
      <c r="Q532">
        <f t="shared" si="985"/>
        <v>-57832268.755596325</v>
      </c>
      <c r="R532">
        <f t="shared" si="986"/>
        <v>-437851228.07841092</v>
      </c>
      <c r="S532">
        <f t="shared" si="987"/>
        <v>-4378.512280784109</v>
      </c>
      <c r="T532">
        <f t="shared" si="988"/>
        <v>-4.3785122807841086</v>
      </c>
    </row>
    <row r="533" spans="1:20" x14ac:dyDescent="0.25">
      <c r="A533" s="5">
        <v>44060</v>
      </c>
      <c r="B533">
        <v>9.9949999999999997E-2</v>
      </c>
      <c r="C533">
        <v>0.11355999999999999</v>
      </c>
      <c r="D533">
        <v>9.9500000000000005E-2</v>
      </c>
      <c r="E533">
        <v>0.10503</v>
      </c>
      <c r="F533">
        <v>21523744.100000001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-0.21337126600284531</v>
      </c>
      <c r="Q533">
        <f t="shared" si="985"/>
        <v>-4592548.5277382722</v>
      </c>
      <c r="R533">
        <f t="shared" si="986"/>
        <v>-380018959.32281458</v>
      </c>
      <c r="S533">
        <f t="shared" si="987"/>
        <v>-3800.1895932281459</v>
      </c>
      <c r="T533">
        <f t="shared" si="988"/>
        <v>-3.8001895932281458</v>
      </c>
    </row>
    <row r="534" spans="1:20" x14ac:dyDescent="0.25">
      <c r="A534" s="5">
        <v>44059</v>
      </c>
      <c r="B534">
        <v>0.10167</v>
      </c>
      <c r="C534">
        <v>0.1041</v>
      </c>
      <c r="D534">
        <v>9.2530000000000001E-2</v>
      </c>
      <c r="E534">
        <v>9.9500000000000005E-2</v>
      </c>
      <c r="F534">
        <v>16733635.300000001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0.20484010371650921</v>
      </c>
      <c r="Q534">
        <f t="shared" si="985"/>
        <v>3427719.59040624</v>
      </c>
      <c r="R534">
        <f t="shared" si="986"/>
        <v>-375426410.79507631</v>
      </c>
      <c r="S534">
        <f t="shared" si="987"/>
        <v>-3754.264107950763</v>
      </c>
      <c r="T534">
        <f t="shared" si="988"/>
        <v>-3.754264107950763</v>
      </c>
    </row>
    <row r="535" spans="1:20" x14ac:dyDescent="0.25">
      <c r="A535" s="5">
        <v>44058</v>
      </c>
      <c r="B535">
        <v>9.3530000000000002E-2</v>
      </c>
      <c r="C535">
        <v>0.11354</v>
      </c>
      <c r="D535">
        <v>0.09</v>
      </c>
      <c r="E535">
        <v>0.1018</v>
      </c>
      <c r="F535">
        <v>22147528.5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2.5488530161429262E-3</v>
      </c>
      <c r="Q535">
        <f t="shared" si="985"/>
        <v>56450.79481733642</v>
      </c>
      <c r="R535">
        <f t="shared" si="986"/>
        <v>-378854130.38548255</v>
      </c>
      <c r="S535">
        <f t="shared" si="987"/>
        <v>-3788.5413038548254</v>
      </c>
      <c r="T535">
        <f t="shared" si="988"/>
        <v>-3.7885413038548252</v>
      </c>
    </row>
    <row r="536" spans="1:20" x14ac:dyDescent="0.25">
      <c r="A536" s="5">
        <v>44057</v>
      </c>
      <c r="B536">
        <v>9.1289999999999996E-2</v>
      </c>
      <c r="C536">
        <v>9.9000000000000005E-2</v>
      </c>
      <c r="D536">
        <v>8.9090000000000003E-2</v>
      </c>
      <c r="E536">
        <v>9.3530000000000002E-2</v>
      </c>
      <c r="F536">
        <v>15961455.699999999</v>
      </c>
      <c r="G536">
        <v>0</v>
      </c>
      <c r="L536" t="s">
        <v>7</v>
      </c>
      <c r="M536" t="s">
        <v>8</v>
      </c>
      <c r="N536" t="s">
        <v>7</v>
      </c>
      <c r="P536">
        <f t="shared" si="984"/>
        <v>-0.10393541876892058</v>
      </c>
      <c r="Q536">
        <f t="shared" si="985"/>
        <v>-1658960.5823410742</v>
      </c>
      <c r="R536">
        <f t="shared" si="986"/>
        <v>-378910581.18029988</v>
      </c>
      <c r="S536">
        <f t="shared" si="987"/>
        <v>-3789.1058118029987</v>
      </c>
      <c r="T536">
        <f t="shared" si="988"/>
        <v>-3.7891058118029988</v>
      </c>
    </row>
    <row r="537" spans="1:20" x14ac:dyDescent="0.25">
      <c r="A537" s="5">
        <v>44056</v>
      </c>
      <c r="B537">
        <v>0.10201</v>
      </c>
      <c r="C537">
        <v>0.10449</v>
      </c>
      <c r="D537">
        <v>8.7999999999999995E-2</v>
      </c>
      <c r="E537">
        <v>9.1670000000000001E-2</v>
      </c>
      <c r="F537">
        <v>19180436.5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-0.55488174651303757</v>
      </c>
      <c r="Q537">
        <f t="shared" si="985"/>
        <v>-10642874.104002414</v>
      </c>
      <c r="R537">
        <f t="shared" si="986"/>
        <v>-377251620.5979588</v>
      </c>
      <c r="S537">
        <f t="shared" si="987"/>
        <v>-3772.516205979588</v>
      </c>
      <c r="T537">
        <f t="shared" si="988"/>
        <v>-3.772516205979588</v>
      </c>
    </row>
    <row r="538" spans="1:20" x14ac:dyDescent="0.25">
      <c r="A538" s="5">
        <v>44055</v>
      </c>
      <c r="B538">
        <v>9.4020000000000006E-2</v>
      </c>
      <c r="C538">
        <v>0.10305</v>
      </c>
      <c r="D538">
        <v>8.3019999999999997E-2</v>
      </c>
      <c r="E538">
        <v>0.10199999999999999</v>
      </c>
      <c r="F538">
        <v>23960631.5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0.89515726410384333</v>
      </c>
      <c r="Q538">
        <f t="shared" si="985"/>
        <v>21448533.339740369</v>
      </c>
      <c r="R538">
        <f t="shared" si="986"/>
        <v>-366608746.49395639</v>
      </c>
      <c r="S538">
        <f t="shared" si="987"/>
        <v>-3666.0874649395637</v>
      </c>
      <c r="T538">
        <f t="shared" si="988"/>
        <v>-3.6660874649395638</v>
      </c>
    </row>
    <row r="539" spans="1:20" x14ac:dyDescent="0.25">
      <c r="A539" s="5">
        <v>44054</v>
      </c>
      <c r="B539">
        <v>0.10579</v>
      </c>
      <c r="C539">
        <v>0.10886999999999999</v>
      </c>
      <c r="D539">
        <v>8.6999999999999994E-2</v>
      </c>
      <c r="E539">
        <v>9.3469999999999998E-2</v>
      </c>
      <c r="F539">
        <v>28768341.600000001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-0.40832190214906233</v>
      </c>
      <c r="Q539">
        <f t="shared" si="985"/>
        <v>-11746743.963786</v>
      </c>
      <c r="R539">
        <f t="shared" si="986"/>
        <v>-388057279.83369678</v>
      </c>
      <c r="S539">
        <f t="shared" si="987"/>
        <v>-3880.5727983369679</v>
      </c>
      <c r="T539">
        <f t="shared" si="988"/>
        <v>-3.880572798336968</v>
      </c>
    </row>
    <row r="540" spans="1:20" x14ac:dyDescent="0.25">
      <c r="A540" s="5">
        <v>44053</v>
      </c>
      <c r="B540">
        <v>8.7080000000000005E-2</v>
      </c>
      <c r="C540">
        <v>0.115</v>
      </c>
      <c r="D540">
        <v>8.3449999999999996E-2</v>
      </c>
      <c r="E540">
        <v>0.10580000000000001</v>
      </c>
      <c r="F540">
        <v>53475823.600000001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0.41679873217115704</v>
      </c>
      <c r="Q540">
        <f t="shared" si="985"/>
        <v>22288655.478288438</v>
      </c>
      <c r="R540">
        <f t="shared" si="986"/>
        <v>-376310535.86991078</v>
      </c>
      <c r="S540">
        <f t="shared" si="987"/>
        <v>-3763.1053586991079</v>
      </c>
      <c r="T540">
        <f t="shared" si="988"/>
        <v>-3.7631053586991081</v>
      </c>
    </row>
    <row r="541" spans="1:20" x14ac:dyDescent="0.25">
      <c r="A541" s="5">
        <v>44052</v>
      </c>
      <c r="B541">
        <v>8.3449999999999996E-2</v>
      </c>
      <c r="C541">
        <v>9.1579999999999995E-2</v>
      </c>
      <c r="D541">
        <v>8.1000000000000003E-2</v>
      </c>
      <c r="E541">
        <v>8.6749999999999994E-2</v>
      </c>
      <c r="F541">
        <v>26130998.699999999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8.6956521739129586E-2</v>
      </c>
      <c r="Q541">
        <f t="shared" si="985"/>
        <v>2272260.7565217167</v>
      </c>
      <c r="R541">
        <f t="shared" si="986"/>
        <v>-398599191.34819919</v>
      </c>
      <c r="S541">
        <f t="shared" si="987"/>
        <v>-3985.991913481992</v>
      </c>
      <c r="T541">
        <f t="shared" si="988"/>
        <v>-3.9859919134819921</v>
      </c>
    </row>
    <row r="542" spans="1:20" x14ac:dyDescent="0.25">
      <c r="A542" s="5">
        <v>44051</v>
      </c>
      <c r="B542">
        <v>7.893E-2</v>
      </c>
      <c r="C542">
        <v>8.6940000000000003E-2</v>
      </c>
      <c r="D542">
        <v>7.7660000000000007E-2</v>
      </c>
      <c r="E542">
        <v>8.3409999999999998E-2</v>
      </c>
      <c r="F542">
        <v>36647130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0.23922413793103306</v>
      </c>
      <c r="Q542">
        <f t="shared" si="985"/>
        <v>8766878.0818964988</v>
      </c>
      <c r="R542">
        <f t="shared" si="986"/>
        <v>-400871452.10472089</v>
      </c>
      <c r="S542">
        <f t="shared" si="987"/>
        <v>-4008.714521047209</v>
      </c>
      <c r="T542">
        <f t="shared" si="988"/>
        <v>-4.0087145210472093</v>
      </c>
    </row>
    <row r="543" spans="1:20" x14ac:dyDescent="0.25">
      <c r="A543" s="5">
        <v>44050</v>
      </c>
      <c r="B543">
        <v>7.1650000000000005E-2</v>
      </c>
      <c r="C543">
        <v>8.0799999999999997E-2</v>
      </c>
      <c r="D543">
        <v>6.3270000000000007E-2</v>
      </c>
      <c r="E543">
        <v>7.893E-2</v>
      </c>
      <c r="F543">
        <v>30553837.199999999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0.78665145464917308</v>
      </c>
      <c r="Q543">
        <f t="shared" si="985"/>
        <v>24035220.478494018</v>
      </c>
      <c r="R543">
        <f t="shared" si="986"/>
        <v>-409638330.18661737</v>
      </c>
      <c r="S543">
        <f t="shared" si="987"/>
        <v>-4096.3833018661735</v>
      </c>
      <c r="T543">
        <f t="shared" si="988"/>
        <v>-4.0963833018661733</v>
      </c>
    </row>
    <row r="544" spans="1:20" x14ac:dyDescent="0.25">
      <c r="A544" s="5">
        <v>44049</v>
      </c>
      <c r="B544">
        <v>6.7339999999999997E-2</v>
      </c>
      <c r="C544">
        <v>7.2249999999999995E-2</v>
      </c>
      <c r="D544">
        <v>6.5559999999999993E-2</v>
      </c>
      <c r="E544">
        <v>7.1650000000000005E-2</v>
      </c>
      <c r="F544">
        <v>23073945.600000001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0.82062780269058611</v>
      </c>
      <c r="Q544">
        <f t="shared" si="985"/>
        <v>18935121.27713012</v>
      </c>
      <c r="R544">
        <f t="shared" si="986"/>
        <v>-433673550.66511142</v>
      </c>
      <c r="S544">
        <f t="shared" si="987"/>
        <v>-4336.7355066511145</v>
      </c>
      <c r="T544">
        <f t="shared" si="988"/>
        <v>-4.3367355066511148</v>
      </c>
    </row>
    <row r="545" spans="1:20" x14ac:dyDescent="0.25">
      <c r="A545" s="5">
        <v>44048</v>
      </c>
      <c r="B545">
        <v>5.9729999999999998E-2</v>
      </c>
      <c r="C545">
        <v>6.8430000000000005E-2</v>
      </c>
      <c r="D545">
        <v>5.919E-2</v>
      </c>
      <c r="E545">
        <v>6.7339999999999997E-2</v>
      </c>
      <c r="F545">
        <v>20279716.100000001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0.76406926406926257</v>
      </c>
      <c r="Q545">
        <f t="shared" si="985"/>
        <v>15495107.756060576</v>
      </c>
      <c r="R545">
        <f t="shared" si="986"/>
        <v>-452608671.94224155</v>
      </c>
      <c r="S545">
        <f t="shared" si="987"/>
        <v>-4526.0867194224156</v>
      </c>
      <c r="T545">
        <f t="shared" si="988"/>
        <v>-4.5260867194224152</v>
      </c>
    </row>
    <row r="546" spans="1:20" x14ac:dyDescent="0.25">
      <c r="A546" s="5">
        <v>44047</v>
      </c>
      <c r="B546">
        <v>5.8630000000000002E-2</v>
      </c>
      <c r="C546">
        <v>6.1370000000000001E-2</v>
      </c>
      <c r="D546">
        <v>5.7459999999999997E-2</v>
      </c>
      <c r="E546">
        <v>5.9729999999999998E-2</v>
      </c>
      <c r="F546">
        <v>11786961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0.16112531969309413</v>
      </c>
      <c r="Q546">
        <f t="shared" si="985"/>
        <v>1899177.8593350325</v>
      </c>
      <c r="R546">
        <f t="shared" si="986"/>
        <v>-468103779.69830215</v>
      </c>
      <c r="S546">
        <f t="shared" si="987"/>
        <v>-4681.0377969830215</v>
      </c>
      <c r="T546">
        <f t="shared" si="988"/>
        <v>-4.6810377969830217</v>
      </c>
    </row>
    <row r="547" spans="1:20" x14ac:dyDescent="0.25">
      <c r="A547" s="5">
        <v>44046</v>
      </c>
      <c r="B547">
        <v>5.6529999999999997E-2</v>
      </c>
      <c r="C547">
        <v>6.2E-2</v>
      </c>
      <c r="D547">
        <v>5.5989999999999998E-2</v>
      </c>
      <c r="E547">
        <v>5.8619999999999998E-2</v>
      </c>
      <c r="F547">
        <v>19402478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-0.12479201331114817</v>
      </c>
      <c r="Q547">
        <f t="shared" si="985"/>
        <v>-2421274.2928452594</v>
      </c>
      <c r="R547">
        <f t="shared" si="986"/>
        <v>-470002957.55763716</v>
      </c>
      <c r="S547">
        <f t="shared" si="987"/>
        <v>-4700.0295755763718</v>
      </c>
      <c r="T547">
        <f t="shared" si="988"/>
        <v>-4.7000295755763721</v>
      </c>
    </row>
    <row r="548" spans="1:20" x14ac:dyDescent="0.25">
      <c r="A548" s="5">
        <v>44045</v>
      </c>
      <c r="B548">
        <v>5.4030000000000002E-2</v>
      </c>
      <c r="C548">
        <v>5.8959999999999999E-2</v>
      </c>
      <c r="D548">
        <v>4.9009999999999998E-2</v>
      </c>
      <c r="E548">
        <v>5.6419999999999998E-2</v>
      </c>
      <c r="F548">
        <v>25194460.600000001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0.48944723618090441</v>
      </c>
      <c r="Q548">
        <f t="shared" si="985"/>
        <v>12331359.10773869</v>
      </c>
      <c r="R548">
        <f t="shared" si="986"/>
        <v>-467581683.26479191</v>
      </c>
      <c r="S548">
        <f t="shared" si="987"/>
        <v>-4675.816832647919</v>
      </c>
      <c r="T548">
        <f t="shared" si="988"/>
        <v>-4.6758168326479188</v>
      </c>
    </row>
    <row r="549" spans="1:20" x14ac:dyDescent="0.25">
      <c r="A549" s="5">
        <v>44044</v>
      </c>
      <c r="B549">
        <v>5.2819999999999999E-2</v>
      </c>
      <c r="C549">
        <v>5.6000000000000001E-2</v>
      </c>
      <c r="D549">
        <v>5.21E-2</v>
      </c>
      <c r="E549">
        <v>5.4280000000000002E-2</v>
      </c>
      <c r="F549">
        <v>6510771.7999999998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0.11794871794871846</v>
      </c>
      <c r="Q549">
        <f t="shared" si="985"/>
        <v>767937.18666667002</v>
      </c>
      <c r="R549">
        <f t="shared" si="986"/>
        <v>-479913042.37253058</v>
      </c>
      <c r="S549">
        <f t="shared" si="987"/>
        <v>-4799.1304237253062</v>
      </c>
      <c r="T549">
        <f t="shared" si="988"/>
        <v>-4.7991304237253063</v>
      </c>
    </row>
    <row r="550" spans="1:20" x14ac:dyDescent="0.25">
      <c r="A550" s="5">
        <v>44043</v>
      </c>
      <c r="B550">
        <v>5.4120000000000001E-2</v>
      </c>
      <c r="C550">
        <v>5.5E-2</v>
      </c>
      <c r="D550">
        <v>5.2260000000000001E-2</v>
      </c>
      <c r="E550">
        <v>5.2819999999999999E-2</v>
      </c>
      <c r="F550">
        <v>6572163.4000000004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-0.59124087591241015</v>
      </c>
      <c r="Q550">
        <f t="shared" si="985"/>
        <v>-3885731.6452554837</v>
      </c>
      <c r="R550">
        <f t="shared" si="986"/>
        <v>-480680979.55919725</v>
      </c>
      <c r="S550">
        <f t="shared" si="987"/>
        <v>-4806.809795591972</v>
      </c>
      <c r="T550">
        <f t="shared" si="988"/>
        <v>-4.8068097955919722</v>
      </c>
    </row>
    <row r="551" spans="1:20" x14ac:dyDescent="0.25">
      <c r="A551" s="5">
        <v>44042</v>
      </c>
      <c r="B551">
        <v>5.11E-2</v>
      </c>
      <c r="C551">
        <v>5.595E-2</v>
      </c>
      <c r="D551">
        <v>5.0279999999999998E-2</v>
      </c>
      <c r="E551">
        <v>5.4120000000000001E-2</v>
      </c>
      <c r="F551">
        <v>12308964.300000001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0.35449735449735525</v>
      </c>
      <c r="Q551">
        <f t="shared" si="985"/>
        <v>4363495.2809523903</v>
      </c>
      <c r="R551">
        <f t="shared" si="986"/>
        <v>-476795247.91394174</v>
      </c>
      <c r="S551">
        <f t="shared" si="987"/>
        <v>-4767.9524791394178</v>
      </c>
      <c r="T551">
        <f t="shared" si="988"/>
        <v>-4.7679524791394181</v>
      </c>
    </row>
    <row r="552" spans="1:20" x14ac:dyDescent="0.25">
      <c r="A552" s="5">
        <v>44041</v>
      </c>
      <c r="B552">
        <v>5.2830000000000002E-2</v>
      </c>
      <c r="C552">
        <v>5.3780000000000001E-2</v>
      </c>
      <c r="D552">
        <v>0.05</v>
      </c>
      <c r="E552">
        <v>5.1279999999999999E-2</v>
      </c>
      <c r="F552">
        <v>10197528.5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-0.3227513227513244</v>
      </c>
      <c r="Q552">
        <f t="shared" si="985"/>
        <v>-3291265.8121693288</v>
      </c>
      <c r="R552">
        <f t="shared" si="986"/>
        <v>-481158743.19489413</v>
      </c>
      <c r="S552">
        <f t="shared" si="987"/>
        <v>-4811.5874319489412</v>
      </c>
      <c r="T552">
        <f t="shared" si="988"/>
        <v>-4.8115874319489409</v>
      </c>
    </row>
    <row r="553" spans="1:20" x14ac:dyDescent="0.25">
      <c r="A553" s="5">
        <v>44040</v>
      </c>
      <c r="B553">
        <v>4.981E-2</v>
      </c>
      <c r="C553">
        <v>5.6800000000000003E-2</v>
      </c>
      <c r="D553">
        <v>4.8000000000000001E-2</v>
      </c>
      <c r="E553">
        <v>5.28E-2</v>
      </c>
      <c r="F553">
        <v>20530531.5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9.0909090909090329E-2</v>
      </c>
      <c r="Q553">
        <f t="shared" si="985"/>
        <v>1866411.9545454427</v>
      </c>
      <c r="R553">
        <f t="shared" si="986"/>
        <v>-477867477.38272482</v>
      </c>
      <c r="S553">
        <f t="shared" si="987"/>
        <v>-4778.6747738272479</v>
      </c>
      <c r="T553">
        <f t="shared" si="988"/>
        <v>-4.7786747738272481</v>
      </c>
    </row>
    <row r="554" spans="1:20" x14ac:dyDescent="0.25">
      <c r="A554" s="5">
        <v>44039</v>
      </c>
      <c r="B554">
        <v>5.1909999999999998E-2</v>
      </c>
      <c r="C554">
        <v>5.6000000000000001E-2</v>
      </c>
      <c r="D554">
        <v>4.5659999999999999E-2</v>
      </c>
      <c r="E554">
        <v>4.965E-2</v>
      </c>
      <c r="F554">
        <v>45478436.399999999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-0.2282398452611219</v>
      </c>
      <c r="Q554">
        <f t="shared" si="985"/>
        <v>-10379991.286653774</v>
      </c>
      <c r="R554">
        <f t="shared" si="986"/>
        <v>-479733889.33727026</v>
      </c>
      <c r="S554">
        <f t="shared" si="987"/>
        <v>-4797.3388933727028</v>
      </c>
      <c r="T554">
        <f t="shared" si="988"/>
        <v>-4.7973388933727028</v>
      </c>
    </row>
    <row r="555" spans="1:20" x14ac:dyDescent="0.25">
      <c r="A555" s="5">
        <v>44038</v>
      </c>
      <c r="B555">
        <v>5.3600000000000002E-2</v>
      </c>
      <c r="C555">
        <v>5.4489999999999997E-2</v>
      </c>
      <c r="D555">
        <v>4.4699999999999997E-2</v>
      </c>
      <c r="E555">
        <v>5.1740000000000001E-2</v>
      </c>
      <c r="F555">
        <v>28644494.699999999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0.43820224719101214</v>
      </c>
      <c r="Q555">
        <f t="shared" si="985"/>
        <v>12552081.947191037</v>
      </c>
      <c r="R555">
        <f t="shared" si="986"/>
        <v>-469353898.0506165</v>
      </c>
      <c r="S555">
        <f t="shared" si="987"/>
        <v>-4693.538980506165</v>
      </c>
      <c r="T555">
        <f t="shared" si="988"/>
        <v>-4.6935389805061654</v>
      </c>
    </row>
    <row r="556" spans="1:20" x14ac:dyDescent="0.25">
      <c r="A556" s="5">
        <v>44037</v>
      </c>
      <c r="B556">
        <v>5.5259999999999997E-2</v>
      </c>
      <c r="C556">
        <v>5.7919999999999999E-2</v>
      </c>
      <c r="D556">
        <v>5.2679999999999998E-2</v>
      </c>
      <c r="E556">
        <v>5.3530000000000001E-2</v>
      </c>
      <c r="F556">
        <v>18430526.399999999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-0.6755725190839682</v>
      </c>
      <c r="Q556">
        <f t="shared" si="985"/>
        <v>-12451157.148091579</v>
      </c>
      <c r="R556">
        <f t="shared" si="986"/>
        <v>-481905979.99780756</v>
      </c>
      <c r="S556">
        <f t="shared" si="987"/>
        <v>-4819.0597999780757</v>
      </c>
      <c r="T556">
        <f t="shared" si="988"/>
        <v>-4.819059799978076</v>
      </c>
    </row>
    <row r="557" spans="1:20" x14ac:dyDescent="0.25">
      <c r="A557" s="5">
        <v>44036</v>
      </c>
      <c r="B557">
        <v>5.1499999999999997E-2</v>
      </c>
      <c r="C557">
        <v>5.6500000000000002E-2</v>
      </c>
      <c r="D557">
        <v>5.117E-2</v>
      </c>
      <c r="E557">
        <v>5.5050000000000002E-2</v>
      </c>
      <c r="F557">
        <v>18550402.600000001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0.45590994371482196</v>
      </c>
      <c r="Q557">
        <f t="shared" si="985"/>
        <v>8457313.005253287</v>
      </c>
      <c r="R557">
        <f t="shared" si="986"/>
        <v>-469454822.84971601</v>
      </c>
      <c r="S557">
        <f t="shared" si="987"/>
        <v>-4694.5482284971604</v>
      </c>
      <c r="T557">
        <f t="shared" si="988"/>
        <v>-4.69454822849716</v>
      </c>
    </row>
    <row r="558" spans="1:20" x14ac:dyDescent="0.25">
      <c r="A558" s="5">
        <v>44035</v>
      </c>
      <c r="B558">
        <v>5.3469999999999997E-2</v>
      </c>
      <c r="C558">
        <v>5.6300000000000003E-2</v>
      </c>
      <c r="D558">
        <v>5.0590000000000003E-2</v>
      </c>
      <c r="E558">
        <v>5.1499999999999997E-2</v>
      </c>
      <c r="F558">
        <v>21661650.800000001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-0.68126094570928397</v>
      </c>
      <c r="Q558">
        <f t="shared" si="985"/>
        <v>-14757236.709632268</v>
      </c>
      <c r="R558">
        <f t="shared" si="986"/>
        <v>-477912135.85496932</v>
      </c>
      <c r="S558">
        <f t="shared" si="987"/>
        <v>-4779.1213585496935</v>
      </c>
      <c r="T558">
        <f t="shared" si="988"/>
        <v>-4.7791213585496939</v>
      </c>
    </row>
    <row r="559" spans="1:20" x14ac:dyDescent="0.25">
      <c r="A559" s="5">
        <v>44034</v>
      </c>
      <c r="B559">
        <v>5.9200000000000003E-2</v>
      </c>
      <c r="C559">
        <v>5.9360000000000003E-2</v>
      </c>
      <c r="D559">
        <v>5.0869999999999999E-2</v>
      </c>
      <c r="E559">
        <v>5.3469999999999997E-2</v>
      </c>
      <c r="F559">
        <v>42883122.700000003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-0.3875147232037699</v>
      </c>
      <c r="Q559">
        <f t="shared" si="985"/>
        <v>-16617841.423203804</v>
      </c>
      <c r="R559">
        <f t="shared" si="986"/>
        <v>-463154899.14533705</v>
      </c>
      <c r="S559">
        <f t="shared" si="987"/>
        <v>-4631.54899145337</v>
      </c>
      <c r="T559">
        <f t="shared" si="988"/>
        <v>-4.6315489914533696</v>
      </c>
    </row>
    <row r="560" spans="1:20" x14ac:dyDescent="0.25">
      <c r="A560" s="5">
        <v>44033</v>
      </c>
      <c r="B560">
        <v>5.0410000000000003E-2</v>
      </c>
      <c r="C560">
        <v>6.1620000000000001E-2</v>
      </c>
      <c r="D560">
        <v>5.0099999999999999E-2</v>
      </c>
      <c r="E560">
        <v>5.9240000000000001E-2</v>
      </c>
      <c r="F560">
        <v>43501766.299999997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0.58680555555555558</v>
      </c>
      <c r="Q560">
        <f t="shared" si="985"/>
        <v>25527078.141319443</v>
      </c>
      <c r="R560">
        <f t="shared" si="986"/>
        <v>-446537057.72213322</v>
      </c>
      <c r="S560">
        <f t="shared" si="987"/>
        <v>-4465.3705772213325</v>
      </c>
      <c r="T560">
        <f t="shared" si="988"/>
        <v>-4.4653705772213321</v>
      </c>
    </row>
    <row r="561" spans="1:104" x14ac:dyDescent="0.25">
      <c r="A561" s="5">
        <v>44032</v>
      </c>
      <c r="B561">
        <v>4.6440000000000002E-2</v>
      </c>
      <c r="C561">
        <v>5.4780000000000002E-2</v>
      </c>
      <c r="D561">
        <v>4.4600000000000001E-2</v>
      </c>
      <c r="E561">
        <v>5.0340000000000003E-2</v>
      </c>
      <c r="F561">
        <v>32522862.5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0.12770137524557978</v>
      </c>
      <c r="Q561">
        <f t="shared" si="985"/>
        <v>4153214.2681728951</v>
      </c>
      <c r="R561">
        <f t="shared" si="986"/>
        <v>-472064135.86345267</v>
      </c>
      <c r="S561">
        <f t="shared" si="987"/>
        <v>-4720.641358634527</v>
      </c>
      <c r="T561">
        <f t="shared" si="988"/>
        <v>-4.7206413586345271</v>
      </c>
      <c r="CZ561" t="s">
        <v>7</v>
      </c>
    </row>
    <row r="562" spans="1:104" x14ac:dyDescent="0.25">
      <c r="A562" s="5">
        <v>44031</v>
      </c>
      <c r="B562">
        <v>4.7509999999999997E-2</v>
      </c>
      <c r="C562">
        <v>0.05</v>
      </c>
      <c r="D562">
        <v>4.4569999999999999E-2</v>
      </c>
      <c r="E562">
        <v>4.6440000000000002E-2</v>
      </c>
      <c r="F562">
        <v>19046309.399999999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-0.31123388581952038</v>
      </c>
      <c r="Q562">
        <f t="shared" si="985"/>
        <v>-5927856.8850828577</v>
      </c>
      <c r="R562">
        <f t="shared" si="986"/>
        <v>-476217350.13162559</v>
      </c>
      <c r="S562">
        <f t="shared" si="987"/>
        <v>-4762.1735013162561</v>
      </c>
      <c r="T562">
        <f t="shared" si="988"/>
        <v>-4.7621735013162558</v>
      </c>
      <c r="CZ562" t="s">
        <v>7</v>
      </c>
    </row>
    <row r="563" spans="1:104" x14ac:dyDescent="0.25">
      <c r="A563" s="5">
        <v>44030</v>
      </c>
      <c r="B563">
        <v>4.5010000000000001E-2</v>
      </c>
      <c r="C563">
        <v>4.7730000000000002E-2</v>
      </c>
      <c r="D563">
        <v>4.2909999999999997E-2</v>
      </c>
      <c r="E563">
        <v>4.7509999999999997E-2</v>
      </c>
      <c r="F563">
        <v>11134857.5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0.9087136929460562</v>
      </c>
      <c r="Q563">
        <f t="shared" si="985"/>
        <v>10118397.479253091</v>
      </c>
      <c r="R563">
        <f t="shared" si="986"/>
        <v>-470289493.24654275</v>
      </c>
      <c r="S563">
        <f t="shared" si="987"/>
        <v>-4702.8949324654277</v>
      </c>
      <c r="T563">
        <f t="shared" si="988"/>
        <v>-4.7028949324654281</v>
      </c>
      <c r="CZ563" t="s">
        <v>7</v>
      </c>
    </row>
    <row r="564" spans="1:104" x14ac:dyDescent="0.25">
      <c r="A564" s="5">
        <v>44029</v>
      </c>
      <c r="B564">
        <v>4.3290000000000002E-2</v>
      </c>
      <c r="C564">
        <v>4.6870000000000002E-2</v>
      </c>
      <c r="D564">
        <v>4.2160000000000003E-2</v>
      </c>
      <c r="E564">
        <v>4.5010000000000001E-2</v>
      </c>
      <c r="F564">
        <v>17258326.300000001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0.21019108280254736</v>
      </c>
      <c r="Q564">
        <f t="shared" si="985"/>
        <v>3627546.2923566811</v>
      </c>
      <c r="R564">
        <f t="shared" si="986"/>
        <v>-480407890.72579587</v>
      </c>
      <c r="S564">
        <f t="shared" si="987"/>
        <v>-4804.0789072579582</v>
      </c>
      <c r="T564">
        <f t="shared" si="988"/>
        <v>-4.8040789072579582</v>
      </c>
    </row>
    <row r="565" spans="1:104" x14ac:dyDescent="0.25">
      <c r="A565" s="5">
        <v>44028</v>
      </c>
      <c r="B565">
        <v>4.4690000000000001E-2</v>
      </c>
      <c r="C565">
        <v>4.6109999999999998E-2</v>
      </c>
      <c r="D565">
        <v>3.9570000000000001E-2</v>
      </c>
      <c r="E565">
        <v>4.3270000000000003E-2</v>
      </c>
      <c r="F565">
        <v>37726841.299999997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0.13149847094801329</v>
      </c>
      <c r="Q565">
        <f t="shared" si="985"/>
        <v>4961021.9446483571</v>
      </c>
      <c r="R565">
        <f t="shared" si="986"/>
        <v>-484035437.01815253</v>
      </c>
      <c r="S565">
        <f t="shared" si="987"/>
        <v>-4840.3543701815252</v>
      </c>
      <c r="T565">
        <f t="shared" si="988"/>
        <v>-4.840354370181525</v>
      </c>
    </row>
    <row r="566" spans="1:104" x14ac:dyDescent="0.25">
      <c r="A566" s="5">
        <v>44027</v>
      </c>
      <c r="B566">
        <v>4.7660000000000001E-2</v>
      </c>
      <c r="C566">
        <v>4.8090000000000001E-2</v>
      </c>
      <c r="D566">
        <v>4.3439999999999999E-2</v>
      </c>
      <c r="E566">
        <v>4.4729999999999999E-2</v>
      </c>
      <c r="F566">
        <v>19184698.800000001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-0.445161290322581</v>
      </c>
      <c r="Q566">
        <f t="shared" si="985"/>
        <v>-8540285.2722580712</v>
      </c>
      <c r="R566">
        <f t="shared" si="986"/>
        <v>-488996458.96280092</v>
      </c>
      <c r="S566">
        <f t="shared" si="987"/>
        <v>-4889.964589628009</v>
      </c>
      <c r="T566">
        <f t="shared" si="988"/>
        <v>-4.8899645896280086</v>
      </c>
    </row>
    <row r="567" spans="1:104" x14ac:dyDescent="0.25">
      <c r="A567" s="5">
        <v>44026</v>
      </c>
      <c r="B567">
        <v>4.376E-2</v>
      </c>
      <c r="C567">
        <v>4.8050000000000002E-2</v>
      </c>
      <c r="D567">
        <v>4.1230000000000003E-2</v>
      </c>
      <c r="E567">
        <v>4.759E-2</v>
      </c>
      <c r="F567">
        <v>22921136.899999999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0.86510263929618703</v>
      </c>
      <c r="Q567">
        <f t="shared" si="985"/>
        <v>19829136.027859222</v>
      </c>
      <c r="R567">
        <f t="shared" si="986"/>
        <v>-480456173.69054288</v>
      </c>
      <c r="S567">
        <f t="shared" si="987"/>
        <v>-4804.5617369054289</v>
      </c>
      <c r="T567">
        <f t="shared" si="988"/>
        <v>-4.8045617369054288</v>
      </c>
    </row>
    <row r="568" spans="1:104" x14ac:dyDescent="0.25">
      <c r="A568" s="5">
        <v>44025</v>
      </c>
      <c r="B568">
        <v>4.648E-2</v>
      </c>
      <c r="C568">
        <v>4.7070000000000001E-2</v>
      </c>
      <c r="D568">
        <v>4.2599999999999999E-2</v>
      </c>
      <c r="E568">
        <v>4.3770000000000003E-2</v>
      </c>
      <c r="F568">
        <v>27986188.600000001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-0.47651006711409222</v>
      </c>
      <c r="Q568">
        <f t="shared" si="985"/>
        <v>-13335700.608053643</v>
      </c>
      <c r="R568">
        <f t="shared" si="986"/>
        <v>-500285309.71840209</v>
      </c>
      <c r="S568">
        <f t="shared" si="987"/>
        <v>-5002.853097184021</v>
      </c>
      <c r="T568">
        <f t="shared" si="988"/>
        <v>-5.0028530971840208</v>
      </c>
    </row>
    <row r="569" spans="1:104" x14ac:dyDescent="0.25">
      <c r="A569" s="5">
        <v>44024</v>
      </c>
      <c r="B569">
        <v>5.2859999999999997E-2</v>
      </c>
      <c r="C569">
        <v>5.2859999999999997E-2</v>
      </c>
      <c r="D569">
        <v>4.5449999999999997E-2</v>
      </c>
      <c r="E569">
        <v>4.648E-2</v>
      </c>
      <c r="F569">
        <v>25631706.5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-0.72199730094466852</v>
      </c>
      <c r="Q569">
        <f t="shared" si="985"/>
        <v>-18506022.911605917</v>
      </c>
      <c r="R569">
        <f t="shared" si="986"/>
        <v>-486949609.11034846</v>
      </c>
      <c r="S569">
        <f t="shared" si="987"/>
        <v>-4869.496091103485</v>
      </c>
      <c r="T569">
        <f t="shared" si="988"/>
        <v>-4.8694960911034846</v>
      </c>
    </row>
    <row r="570" spans="1:104" x14ac:dyDescent="0.25">
      <c r="A570" s="5">
        <v>44023</v>
      </c>
      <c r="B570">
        <v>4.9669999999999999E-2</v>
      </c>
      <c r="C570">
        <v>5.629E-2</v>
      </c>
      <c r="D570">
        <v>4.7820000000000001E-2</v>
      </c>
      <c r="E570">
        <v>5.2789999999999997E-2</v>
      </c>
      <c r="F570">
        <v>26365719.199999999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0.17355371900826358</v>
      </c>
      <c r="Q570">
        <f t="shared" si="985"/>
        <v>4575868.6214875802</v>
      </c>
      <c r="R570">
        <f t="shared" si="986"/>
        <v>-468443586.19874257</v>
      </c>
      <c r="S570">
        <f t="shared" si="987"/>
        <v>-4684.4358619874256</v>
      </c>
      <c r="T570">
        <f t="shared" si="988"/>
        <v>-4.684435861987426</v>
      </c>
    </row>
    <row r="571" spans="1:104" x14ac:dyDescent="0.25">
      <c r="A571" s="5">
        <v>44022</v>
      </c>
      <c r="B571">
        <v>4.2720000000000001E-2</v>
      </c>
      <c r="C571">
        <v>5.2109999999999997E-2</v>
      </c>
      <c r="D571">
        <v>4.2229999999999997E-2</v>
      </c>
      <c r="E571">
        <v>4.9630000000000001E-2</v>
      </c>
      <c r="F571">
        <v>65403749.899999999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0.49797570850202505</v>
      </c>
      <c r="Q571">
        <f t="shared" si="985"/>
        <v>32569478.695141748</v>
      </c>
      <c r="R571">
        <f t="shared" si="986"/>
        <v>-473019454.82023013</v>
      </c>
      <c r="S571">
        <f t="shared" si="987"/>
        <v>-4730.1945482023011</v>
      </c>
      <c r="T571">
        <f t="shared" si="988"/>
        <v>-4.7301945482023013</v>
      </c>
    </row>
    <row r="572" spans="1:104" x14ac:dyDescent="0.25">
      <c r="A572" s="5">
        <v>44021</v>
      </c>
      <c r="B572">
        <v>4.1369999999999997E-2</v>
      </c>
      <c r="C572">
        <v>4.4069999999999998E-2</v>
      </c>
      <c r="D572">
        <v>4.0230000000000002E-2</v>
      </c>
      <c r="E572">
        <v>4.2549999999999998E-2</v>
      </c>
      <c r="F572">
        <v>19256996.399999999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0.20833333333333229</v>
      </c>
      <c r="Q572">
        <f t="shared" si="985"/>
        <v>4011874.2499999795</v>
      </c>
      <c r="R572">
        <f t="shared" si="986"/>
        <v>-505588933.51537186</v>
      </c>
      <c r="S572">
        <f t="shared" si="987"/>
        <v>-5055.889335153719</v>
      </c>
      <c r="T572">
        <f t="shared" si="988"/>
        <v>-5.0558893351537186</v>
      </c>
    </row>
    <row r="573" spans="1:104" x14ac:dyDescent="0.25">
      <c r="A573" s="5">
        <v>44020</v>
      </c>
      <c r="B573">
        <v>3.9940000000000003E-2</v>
      </c>
      <c r="C573">
        <v>4.1540000000000001E-2</v>
      </c>
      <c r="D573">
        <v>3.8949999999999999E-2</v>
      </c>
      <c r="E573">
        <v>4.1239999999999999E-2</v>
      </c>
      <c r="F573">
        <v>15029390.5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0.76833976833976725</v>
      </c>
      <c r="Q573">
        <f t="shared" si="985"/>
        <v>11547678.415057899</v>
      </c>
      <c r="R573">
        <f t="shared" si="986"/>
        <v>-509600807.76537186</v>
      </c>
      <c r="S573">
        <f t="shared" si="987"/>
        <v>-5096.0080776537188</v>
      </c>
      <c r="T573">
        <f t="shared" si="988"/>
        <v>-5.0960080776537184</v>
      </c>
    </row>
    <row r="574" spans="1:104" x14ac:dyDescent="0.25">
      <c r="A574" s="5">
        <v>44019</v>
      </c>
      <c r="B574">
        <v>3.8019999999999998E-2</v>
      </c>
      <c r="C574">
        <v>4.1430000000000002E-2</v>
      </c>
      <c r="D574">
        <v>3.6499999999999998E-2</v>
      </c>
      <c r="E574">
        <v>3.9820000000000001E-2</v>
      </c>
      <c r="F574">
        <v>21279096.699999999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0.34685598377281984</v>
      </c>
      <c r="Q574">
        <f t="shared" si="985"/>
        <v>7380782.0196754644</v>
      </c>
      <c r="R574">
        <f t="shared" si="986"/>
        <v>-521148486.18042976</v>
      </c>
      <c r="S574">
        <f t="shared" si="987"/>
        <v>-5211.4848618042979</v>
      </c>
      <c r="T574">
        <f t="shared" si="988"/>
        <v>-5.2114848618042977</v>
      </c>
    </row>
    <row r="575" spans="1:104" x14ac:dyDescent="0.25">
      <c r="A575" s="5">
        <v>44018</v>
      </c>
      <c r="B575">
        <v>3.4619999999999998E-2</v>
      </c>
      <c r="C575">
        <v>3.8800000000000001E-2</v>
      </c>
      <c r="D575">
        <v>3.4599999999999999E-2</v>
      </c>
      <c r="E575">
        <v>3.7909999999999999E-2</v>
      </c>
      <c r="F575">
        <v>20719699.100000001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0.57619047619047548</v>
      </c>
      <c r="Q575">
        <f t="shared" si="985"/>
        <v>11938493.290952368</v>
      </c>
      <c r="R575">
        <f t="shared" si="986"/>
        <v>-528529268.20010525</v>
      </c>
      <c r="S575">
        <f t="shared" si="987"/>
        <v>-5285.2926820010525</v>
      </c>
      <c r="T575">
        <f t="shared" si="988"/>
        <v>-5.2852926820010522</v>
      </c>
    </row>
    <row r="576" spans="1:104" x14ac:dyDescent="0.25">
      <c r="A576" s="5">
        <v>44017</v>
      </c>
      <c r="B576">
        <v>3.5970000000000002E-2</v>
      </c>
      <c r="C576">
        <v>3.6209999999999999E-2</v>
      </c>
      <c r="D576">
        <v>3.4270000000000002E-2</v>
      </c>
      <c r="E576">
        <v>3.4790000000000001E-2</v>
      </c>
      <c r="F576">
        <v>6973044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-0.4639175257731955</v>
      </c>
      <c r="Q576">
        <f t="shared" si="985"/>
        <v>-3234917.3195876265</v>
      </c>
      <c r="R576">
        <f t="shared" si="986"/>
        <v>-540467761.49105763</v>
      </c>
      <c r="S576">
        <f t="shared" si="987"/>
        <v>-5404.6776149105763</v>
      </c>
      <c r="T576">
        <f t="shared" si="988"/>
        <v>-5.4046776149105762</v>
      </c>
    </row>
    <row r="577" spans="1:20" x14ac:dyDescent="0.25">
      <c r="A577" s="5">
        <v>44016</v>
      </c>
      <c r="B577">
        <v>3.5650000000000001E-2</v>
      </c>
      <c r="C577">
        <v>3.6200000000000003E-2</v>
      </c>
      <c r="D577">
        <v>3.5000000000000003E-2</v>
      </c>
      <c r="E577">
        <v>3.5819999999999998E-2</v>
      </c>
      <c r="F577">
        <v>5629045.0999999996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0.36666666666665759</v>
      </c>
      <c r="Q577">
        <f t="shared" si="985"/>
        <v>2063983.2033332821</v>
      </c>
      <c r="R577">
        <f t="shared" si="986"/>
        <v>-537232844.17147005</v>
      </c>
      <c r="S577">
        <f t="shared" si="987"/>
        <v>-5372.3284417147006</v>
      </c>
      <c r="T577">
        <f t="shared" si="988"/>
        <v>-5.3723284417147008</v>
      </c>
    </row>
    <row r="578" spans="1:20" x14ac:dyDescent="0.25">
      <c r="A578" s="5">
        <v>44015</v>
      </c>
      <c r="B578">
        <v>3.5819999999999998E-2</v>
      </c>
      <c r="C578">
        <v>3.628E-2</v>
      </c>
      <c r="D578">
        <v>3.4549999999999997E-2</v>
      </c>
      <c r="E578">
        <v>3.5839999999999997E-2</v>
      </c>
      <c r="F578">
        <v>8222023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0.49132947976878349</v>
      </c>
      <c r="Q578">
        <f t="shared" si="985"/>
        <v>4039722.2832369725</v>
      </c>
      <c r="R578">
        <f t="shared" si="986"/>
        <v>-539296827.3748033</v>
      </c>
      <c r="S578">
        <f t="shared" si="987"/>
        <v>-5392.9682737480334</v>
      </c>
      <c r="T578">
        <f t="shared" si="988"/>
        <v>-5.3929682737480338</v>
      </c>
    </row>
    <row r="579" spans="1:20" x14ac:dyDescent="0.25">
      <c r="A579" s="5">
        <v>44014</v>
      </c>
      <c r="B579">
        <v>3.5650000000000001E-2</v>
      </c>
      <c r="C579">
        <v>3.6799999999999999E-2</v>
      </c>
      <c r="D579">
        <v>3.2660000000000002E-2</v>
      </c>
      <c r="E579">
        <v>3.585E-2</v>
      </c>
      <c r="F579">
        <v>15390769.6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0.54106280193236722</v>
      </c>
      <c r="Q579">
        <f t="shared" si="985"/>
        <v>8327372.9236714989</v>
      </c>
      <c r="R579">
        <f t="shared" si="986"/>
        <v>-543336549.65804029</v>
      </c>
      <c r="S579">
        <f t="shared" si="987"/>
        <v>-5433.3654965804026</v>
      </c>
      <c r="T579">
        <f t="shared" si="988"/>
        <v>-5.4333654965804028</v>
      </c>
    </row>
    <row r="580" spans="1:20" x14ac:dyDescent="0.25">
      <c r="A580" s="5">
        <v>44013</v>
      </c>
      <c r="B580">
        <v>3.5589999999999997E-2</v>
      </c>
      <c r="C580">
        <v>3.6519999999999997E-2</v>
      </c>
      <c r="D580">
        <v>3.4500000000000003E-2</v>
      </c>
      <c r="E580">
        <v>3.5749999999999997E-2</v>
      </c>
      <c r="F580">
        <v>17202154.600000001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0.2376237623762355</v>
      </c>
      <c r="Q580">
        <f t="shared" si="985"/>
        <v>4087640.697029667</v>
      </c>
      <c r="R580">
        <f t="shared" si="986"/>
        <v>-551663922.58171177</v>
      </c>
      <c r="S580">
        <f t="shared" si="987"/>
        <v>-5516.6392258171181</v>
      </c>
      <c r="T580">
        <f t="shared" si="988"/>
        <v>-5.5166392258171184</v>
      </c>
    </row>
    <row r="581" spans="1:20" x14ac:dyDescent="0.25">
      <c r="A581" s="5">
        <v>44012</v>
      </c>
      <c r="B581">
        <v>3.4270000000000002E-2</v>
      </c>
      <c r="C581">
        <v>3.7420000000000002E-2</v>
      </c>
      <c r="D581">
        <v>3.3000000000000002E-2</v>
      </c>
      <c r="E581">
        <v>3.5580000000000001E-2</v>
      </c>
      <c r="F581">
        <v>30586074.899999999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0.16742081447963744</v>
      </c>
      <c r="Q581">
        <f t="shared" si="985"/>
        <v>5120745.5714931954</v>
      </c>
      <c r="R581">
        <f t="shared" si="986"/>
        <v>-555751563.27874148</v>
      </c>
      <c r="S581">
        <f t="shared" si="987"/>
        <v>-5557.5156327874147</v>
      </c>
      <c r="T581">
        <f t="shared" si="988"/>
        <v>-5.5575156327874149</v>
      </c>
    </row>
    <row r="582" spans="1:20" x14ac:dyDescent="0.25">
      <c r="A582" s="5">
        <v>44011</v>
      </c>
      <c r="B582">
        <v>3.372E-2</v>
      </c>
      <c r="C582">
        <v>3.4270000000000002E-2</v>
      </c>
      <c r="D582">
        <v>3.2329999999999998E-2</v>
      </c>
      <c r="E582">
        <v>3.4020000000000002E-2</v>
      </c>
      <c r="F582">
        <v>10299356.4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0.74226804123711376</v>
      </c>
      <c r="Q582">
        <f t="shared" ref="Q582:Q645" si="990">F582*P582</f>
        <v>7644883.1010309318</v>
      </c>
      <c r="R582">
        <f t="shared" ref="R582:R645" si="991">R583+Q582</f>
        <v>-560872308.85023463</v>
      </c>
      <c r="S582">
        <f t="shared" ref="S582:S645" si="992">R582/100000</f>
        <v>-5608.7230885023464</v>
      </c>
      <c r="T582">
        <f t="shared" ref="T582:T645" si="993">S582/1000</f>
        <v>-5.6087230885023462</v>
      </c>
    </row>
    <row r="583" spans="1:20" x14ac:dyDescent="0.25">
      <c r="A583" s="5">
        <v>44010</v>
      </c>
      <c r="B583">
        <v>3.2800000000000003E-2</v>
      </c>
      <c r="C583">
        <v>3.4819999999999997E-2</v>
      </c>
      <c r="D583">
        <v>3.1649999999999998E-2</v>
      </c>
      <c r="E583">
        <v>3.3849999999999998E-2</v>
      </c>
      <c r="F583">
        <v>15782229.9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0.38801261829653066</v>
      </c>
      <c r="Q583">
        <f t="shared" si="990"/>
        <v>6123704.3460567938</v>
      </c>
      <c r="R583">
        <f t="shared" si="991"/>
        <v>-568517191.95126557</v>
      </c>
      <c r="S583">
        <f t="shared" si="992"/>
        <v>-5685.1719195126561</v>
      </c>
      <c r="T583">
        <f t="shared" si="993"/>
        <v>-5.6851719195126558</v>
      </c>
    </row>
    <row r="584" spans="1:20" x14ac:dyDescent="0.25">
      <c r="A584" s="5">
        <v>44009</v>
      </c>
      <c r="B584">
        <v>3.7530000000000001E-2</v>
      </c>
      <c r="C584">
        <v>3.8490000000000003E-2</v>
      </c>
      <c r="D584">
        <v>3.15E-2</v>
      </c>
      <c r="E584">
        <v>3.2800000000000003E-2</v>
      </c>
      <c r="F584">
        <v>25174027.899999999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-0.62804005722460599</v>
      </c>
      <c r="Q584">
        <f t="shared" si="990"/>
        <v>-15810297.922889827</v>
      </c>
      <c r="R584">
        <f t="shared" si="991"/>
        <v>-574640896.29732239</v>
      </c>
      <c r="S584">
        <f t="shared" si="992"/>
        <v>-5746.4089629732243</v>
      </c>
      <c r="T584">
        <f t="shared" si="993"/>
        <v>-5.7464089629732245</v>
      </c>
    </row>
    <row r="585" spans="1:20" x14ac:dyDescent="0.25">
      <c r="A585" s="5">
        <v>44008</v>
      </c>
      <c r="B585">
        <v>3.9269999999999999E-2</v>
      </c>
      <c r="C585">
        <v>3.9609999999999999E-2</v>
      </c>
      <c r="D585">
        <v>3.662E-2</v>
      </c>
      <c r="E585">
        <v>3.7650000000000003E-2</v>
      </c>
      <c r="F585">
        <v>18441904.399999999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-0.31103678929765666</v>
      </c>
      <c r="Q585">
        <f t="shared" si="990"/>
        <v>-5736110.7331103263</v>
      </c>
      <c r="R585">
        <f t="shared" si="991"/>
        <v>-558830598.37443256</v>
      </c>
      <c r="S585">
        <f t="shared" si="992"/>
        <v>-5588.3059837443252</v>
      </c>
      <c r="T585">
        <f t="shared" si="993"/>
        <v>-5.5883059837443252</v>
      </c>
    </row>
    <row r="586" spans="1:20" x14ac:dyDescent="0.25">
      <c r="A586" s="5">
        <v>44007</v>
      </c>
      <c r="B586">
        <v>3.6420000000000001E-2</v>
      </c>
      <c r="C586">
        <v>3.9489999999999997E-2</v>
      </c>
      <c r="D586">
        <v>3.508E-2</v>
      </c>
      <c r="E586">
        <v>3.9050000000000001E-2</v>
      </c>
      <c r="F586">
        <v>18758621.399999999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0.80045351473923076</v>
      </c>
      <c r="Q586">
        <f t="shared" si="990"/>
        <v>15015404.431292549</v>
      </c>
      <c r="R586">
        <f t="shared" si="991"/>
        <v>-553094487.64132226</v>
      </c>
      <c r="S586">
        <f t="shared" si="992"/>
        <v>-5530.9448764132221</v>
      </c>
      <c r="T586">
        <f t="shared" si="993"/>
        <v>-5.5309448764132219</v>
      </c>
    </row>
    <row r="587" spans="1:20" x14ac:dyDescent="0.25">
      <c r="A587" s="5">
        <v>44006</v>
      </c>
      <c r="B587">
        <v>3.8379999999999997E-2</v>
      </c>
      <c r="C587">
        <v>3.8490000000000003E-2</v>
      </c>
      <c r="D587">
        <v>3.5499999999999997E-2</v>
      </c>
      <c r="E587">
        <v>3.6429999999999997E-2</v>
      </c>
      <c r="F587">
        <v>18196231.300000001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-0.37792642140468347</v>
      </c>
      <c r="Q587">
        <f t="shared" si="990"/>
        <v>-6876836.5782608911</v>
      </c>
      <c r="R587">
        <f t="shared" si="991"/>
        <v>-568109892.07261479</v>
      </c>
      <c r="S587">
        <f t="shared" si="992"/>
        <v>-5681.0989207261482</v>
      </c>
      <c r="T587">
        <f t="shared" si="993"/>
        <v>-5.6810989207261482</v>
      </c>
    </row>
    <row r="588" spans="1:20" x14ac:dyDescent="0.25">
      <c r="A588" s="5">
        <v>44005</v>
      </c>
      <c r="B588">
        <v>3.9289999999999999E-2</v>
      </c>
      <c r="C588">
        <v>4.1000000000000002E-2</v>
      </c>
      <c r="D588">
        <v>3.7499999999999999E-2</v>
      </c>
      <c r="E588">
        <v>3.8170000000000003E-2</v>
      </c>
      <c r="F588">
        <v>29787016.199999999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-0.61714285714285522</v>
      </c>
      <c r="Q588">
        <f t="shared" si="990"/>
        <v>-18382844.283428513</v>
      </c>
      <c r="R588">
        <f t="shared" si="991"/>
        <v>-561233055.49435389</v>
      </c>
      <c r="S588">
        <f t="shared" si="992"/>
        <v>-5612.330554943539</v>
      </c>
      <c r="T588">
        <f t="shared" si="993"/>
        <v>-5.6123305549435392</v>
      </c>
    </row>
    <row r="589" spans="1:20" x14ac:dyDescent="0.25">
      <c r="A589" s="5">
        <v>44004</v>
      </c>
      <c r="B589">
        <v>3.5389999999999998E-2</v>
      </c>
      <c r="C589">
        <v>3.9489999999999997E-2</v>
      </c>
      <c r="D589">
        <v>3.4869999999999998E-2</v>
      </c>
      <c r="E589">
        <v>3.9120000000000002E-2</v>
      </c>
      <c r="F589">
        <v>23419276.699999999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0.83982683982684181</v>
      </c>
      <c r="Q589">
        <f t="shared" si="990"/>
        <v>19668137.141991388</v>
      </c>
      <c r="R589">
        <f t="shared" si="991"/>
        <v>-542850211.21092534</v>
      </c>
      <c r="S589">
        <f t="shared" si="992"/>
        <v>-5428.5021121092532</v>
      </c>
      <c r="T589">
        <f t="shared" si="993"/>
        <v>-5.4285021121092534</v>
      </c>
    </row>
    <row r="590" spans="1:20" x14ac:dyDescent="0.25">
      <c r="A590" s="5">
        <v>44003</v>
      </c>
      <c r="B590">
        <v>3.6549999999999999E-2</v>
      </c>
      <c r="C590">
        <v>3.7249999999999998E-2</v>
      </c>
      <c r="D590">
        <v>3.5000000000000003E-2</v>
      </c>
      <c r="E590">
        <v>3.5279999999999999E-2</v>
      </c>
      <c r="F590">
        <v>8921284.3000000007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-0.7511111111111145</v>
      </c>
      <c r="Q590">
        <f t="shared" si="990"/>
        <v>-6700875.7631111415</v>
      </c>
      <c r="R590">
        <f t="shared" si="991"/>
        <v>-562518348.35291672</v>
      </c>
      <c r="S590">
        <f t="shared" si="992"/>
        <v>-5625.1834835291675</v>
      </c>
      <c r="T590">
        <f t="shared" si="993"/>
        <v>-5.6251834835291676</v>
      </c>
    </row>
    <row r="591" spans="1:20" x14ac:dyDescent="0.25">
      <c r="A591" s="5">
        <v>44002</v>
      </c>
      <c r="B591">
        <v>3.739E-2</v>
      </c>
      <c r="C591">
        <v>3.771E-2</v>
      </c>
      <c r="D591">
        <v>3.4619999999999998E-2</v>
      </c>
      <c r="E591">
        <v>3.6330000000000001E-2</v>
      </c>
      <c r="F591">
        <v>17715995.399999999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0.10679611650485554</v>
      </c>
      <c r="Q591">
        <f t="shared" si="990"/>
        <v>1891999.5087378847</v>
      </c>
      <c r="R591">
        <f t="shared" si="991"/>
        <v>-555817472.5898056</v>
      </c>
      <c r="S591">
        <f t="shared" si="992"/>
        <v>-5558.1747258980558</v>
      </c>
      <c r="T591">
        <f t="shared" si="993"/>
        <v>-5.5581747258980556</v>
      </c>
    </row>
    <row r="592" spans="1:20" x14ac:dyDescent="0.25">
      <c r="A592" s="5">
        <v>44001</v>
      </c>
      <c r="B592">
        <v>3.8190000000000002E-2</v>
      </c>
      <c r="C592">
        <v>3.9829999999999997E-2</v>
      </c>
      <c r="D592">
        <v>3.6089999999999997E-2</v>
      </c>
      <c r="E592">
        <v>3.7409999999999999E-2</v>
      </c>
      <c r="F592">
        <v>28684516.800000001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-0.29411764705882265</v>
      </c>
      <c r="Q592">
        <f t="shared" si="990"/>
        <v>-8436622.5882352684</v>
      </c>
      <c r="R592">
        <f t="shared" si="991"/>
        <v>-557709472.09854352</v>
      </c>
      <c r="S592">
        <f t="shared" si="992"/>
        <v>-5577.0947209854348</v>
      </c>
      <c r="T592">
        <f t="shared" si="993"/>
        <v>-5.5770947209854347</v>
      </c>
    </row>
    <row r="593" spans="1:20" x14ac:dyDescent="0.25">
      <c r="A593" s="5">
        <v>44000</v>
      </c>
      <c r="B593">
        <v>3.551E-2</v>
      </c>
      <c r="C593">
        <v>3.85E-2</v>
      </c>
      <c r="D593">
        <v>3.5000000000000003E-2</v>
      </c>
      <c r="E593">
        <v>3.8190000000000002E-2</v>
      </c>
      <c r="F593">
        <v>22800625.100000001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0.82285714285714395</v>
      </c>
      <c r="Q593">
        <f t="shared" si="990"/>
        <v>18761657.225142885</v>
      </c>
      <c r="R593">
        <f t="shared" si="991"/>
        <v>-549272849.51030827</v>
      </c>
      <c r="S593">
        <f t="shared" si="992"/>
        <v>-5492.7284951030824</v>
      </c>
      <c r="T593">
        <f t="shared" si="993"/>
        <v>-5.4927284951030826</v>
      </c>
    </row>
    <row r="594" spans="1:20" x14ac:dyDescent="0.25">
      <c r="A594" s="5">
        <v>43999</v>
      </c>
      <c r="B594">
        <v>3.7629999999999997E-2</v>
      </c>
      <c r="C594">
        <v>3.7960000000000001E-2</v>
      </c>
      <c r="D594">
        <v>3.4720000000000001E-2</v>
      </c>
      <c r="E594">
        <v>3.5400000000000001E-2</v>
      </c>
      <c r="F594">
        <v>19189514.199999999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-0.58024691358024683</v>
      </c>
      <c r="Q594">
        <f t="shared" si="990"/>
        <v>-11134656.387654319</v>
      </c>
      <c r="R594">
        <f t="shared" si="991"/>
        <v>-568034506.7354511</v>
      </c>
      <c r="S594">
        <f t="shared" si="992"/>
        <v>-5680.3450673545112</v>
      </c>
      <c r="T594">
        <f t="shared" si="993"/>
        <v>-5.6803450673545113</v>
      </c>
    </row>
    <row r="595" spans="1:20" x14ac:dyDescent="0.25">
      <c r="A595" s="5">
        <v>43998</v>
      </c>
      <c r="B595">
        <v>3.7039999999999997E-2</v>
      </c>
      <c r="C595">
        <v>3.9980000000000002E-2</v>
      </c>
      <c r="D595">
        <v>3.687E-2</v>
      </c>
      <c r="E595">
        <v>3.7589999999999998E-2</v>
      </c>
      <c r="F595">
        <v>20628895.5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-0.53697749196141609</v>
      </c>
      <c r="Q595">
        <f t="shared" si="990"/>
        <v>-11077252.567524143</v>
      </c>
      <c r="R595">
        <f t="shared" si="991"/>
        <v>-556899850.3477968</v>
      </c>
      <c r="S595">
        <f t="shared" si="992"/>
        <v>-5568.9985034779684</v>
      </c>
      <c r="T595">
        <f t="shared" si="993"/>
        <v>-5.5689985034779683</v>
      </c>
    </row>
    <row r="596" spans="1:20" x14ac:dyDescent="0.25">
      <c r="A596" s="5">
        <v>43997</v>
      </c>
      <c r="B596">
        <v>4.0300000000000002E-2</v>
      </c>
      <c r="C596">
        <v>4.054E-2</v>
      </c>
      <c r="D596">
        <v>3.4599999999999999E-2</v>
      </c>
      <c r="E596">
        <v>3.6990000000000002E-2</v>
      </c>
      <c r="F596">
        <v>61186820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-0.19528619528619431</v>
      </c>
      <c r="Q596">
        <f t="shared" si="990"/>
        <v>-11948941.27946122</v>
      </c>
      <c r="R596">
        <f t="shared" si="991"/>
        <v>-545822597.7802726</v>
      </c>
      <c r="S596">
        <f t="shared" si="992"/>
        <v>-5458.2259778027264</v>
      </c>
      <c r="T596">
        <f t="shared" si="993"/>
        <v>-5.4582259778027264</v>
      </c>
    </row>
    <row r="597" spans="1:20" x14ac:dyDescent="0.25">
      <c r="A597" s="5">
        <v>43996</v>
      </c>
      <c r="B597">
        <v>3.9849999999999997E-2</v>
      </c>
      <c r="C597">
        <v>4.5929999999999999E-2</v>
      </c>
      <c r="D597">
        <v>3.9050000000000001E-2</v>
      </c>
      <c r="E597">
        <v>4.0230000000000002E-2</v>
      </c>
      <c r="F597">
        <v>63359644.600000001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-0.65697674418604624</v>
      </c>
      <c r="Q597">
        <f t="shared" si="990"/>
        <v>-41625813.022093005</v>
      </c>
      <c r="R597">
        <f t="shared" si="991"/>
        <v>-533873656.50081134</v>
      </c>
      <c r="S597">
        <f t="shared" si="992"/>
        <v>-5338.7365650081138</v>
      </c>
      <c r="T597">
        <f t="shared" si="993"/>
        <v>-5.338736565008114</v>
      </c>
    </row>
    <row r="598" spans="1:20" x14ac:dyDescent="0.25">
      <c r="A598" s="5">
        <v>43995</v>
      </c>
      <c r="B598">
        <v>3.9710000000000002E-2</v>
      </c>
      <c r="C598">
        <v>4.1200000000000001E-2</v>
      </c>
      <c r="D598">
        <v>3.6110000000000003E-2</v>
      </c>
      <c r="E598">
        <v>3.9820000000000001E-2</v>
      </c>
      <c r="F598">
        <v>36913200.600000001</v>
      </c>
      <c r="G598">
        <v>0</v>
      </c>
      <c r="L598" t="s">
        <v>7</v>
      </c>
      <c r="M598" t="s">
        <v>7</v>
      </c>
      <c r="N598" t="s">
        <v>7</v>
      </c>
      <c r="P598">
        <f t="shared" si="989"/>
        <v>0.45776031434184677</v>
      </c>
      <c r="Q598">
        <f t="shared" si="990"/>
        <v>16897398.310019646</v>
      </c>
      <c r="R598">
        <f t="shared" si="991"/>
        <v>-492247843.47871834</v>
      </c>
      <c r="S598">
        <f t="shared" si="992"/>
        <v>-4922.4784347871837</v>
      </c>
      <c r="T598">
        <f t="shared" si="993"/>
        <v>-4.9224784347871839</v>
      </c>
    </row>
    <row r="599" spans="1:20" x14ac:dyDescent="0.25">
      <c r="A599" s="5">
        <v>43994</v>
      </c>
      <c r="B599">
        <v>3.635E-2</v>
      </c>
      <c r="C599">
        <v>4.2900000000000001E-2</v>
      </c>
      <c r="D599">
        <v>3.388E-2</v>
      </c>
      <c r="E599">
        <v>3.9710000000000002E-2</v>
      </c>
      <c r="F599">
        <v>105459523.3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0.29268292682926866</v>
      </c>
      <c r="Q599">
        <f t="shared" si="990"/>
        <v>30866201.941463452</v>
      </c>
      <c r="R599">
        <f t="shared" si="991"/>
        <v>-509145241.78873801</v>
      </c>
      <c r="S599">
        <f t="shared" si="992"/>
        <v>-5091.4524178873799</v>
      </c>
      <c r="T599">
        <f t="shared" si="993"/>
        <v>-5.0914524178873801</v>
      </c>
    </row>
    <row r="600" spans="1:20" x14ac:dyDescent="0.25">
      <c r="A600" s="5">
        <v>43993</v>
      </c>
      <c r="B600">
        <v>3.3509999999999998E-2</v>
      </c>
      <c r="C600">
        <v>3.635E-2</v>
      </c>
      <c r="D600">
        <v>3.1289999999999998E-2</v>
      </c>
      <c r="E600">
        <v>3.6319999999999998E-2</v>
      </c>
      <c r="F600">
        <v>38058775.700000003</v>
      </c>
      <c r="G600">
        <v>0</v>
      </c>
      <c r="L600" t="s">
        <v>8</v>
      </c>
      <c r="M600" t="s">
        <v>7</v>
      </c>
      <c r="N600" t="s">
        <v>7</v>
      </c>
      <c r="P600">
        <f t="shared" si="989"/>
        <v>0.98814229249011765</v>
      </c>
      <c r="Q600">
        <f t="shared" si="990"/>
        <v>37607485.869565181</v>
      </c>
      <c r="R600">
        <f t="shared" si="991"/>
        <v>-540011443.73020148</v>
      </c>
      <c r="S600">
        <f t="shared" si="992"/>
        <v>-5400.1144373020152</v>
      </c>
      <c r="T600">
        <f t="shared" si="993"/>
        <v>-5.4001144373020153</v>
      </c>
    </row>
    <row r="601" spans="1:20" x14ac:dyDescent="0.25">
      <c r="A601" s="5">
        <v>43992</v>
      </c>
      <c r="B601">
        <v>3.245E-2</v>
      </c>
      <c r="C601">
        <v>3.5400000000000001E-2</v>
      </c>
      <c r="D601">
        <v>3.2320000000000002E-2</v>
      </c>
      <c r="E601">
        <v>3.3500000000000002E-2</v>
      </c>
      <c r="F601">
        <v>25961534.100000001</v>
      </c>
      <c r="G601">
        <v>0</v>
      </c>
      <c r="L601" t="s">
        <v>8</v>
      </c>
      <c r="M601" t="s">
        <v>8</v>
      </c>
      <c r="N601" t="s">
        <v>7</v>
      </c>
      <c r="P601">
        <f t="shared" si="989"/>
        <v>-0.23376623376623329</v>
      </c>
      <c r="Q601">
        <f t="shared" si="990"/>
        <v>-6068930.049350637</v>
      </c>
      <c r="R601">
        <f t="shared" si="991"/>
        <v>-577618929.59976661</v>
      </c>
      <c r="S601">
        <f t="shared" si="992"/>
        <v>-5776.1892959976658</v>
      </c>
      <c r="T601">
        <f t="shared" si="993"/>
        <v>-5.776189295997666</v>
      </c>
    </row>
    <row r="602" spans="1:20" x14ac:dyDescent="0.25">
      <c r="A602" s="5">
        <v>43991</v>
      </c>
      <c r="B602">
        <v>3.2779999999999997E-2</v>
      </c>
      <c r="C602">
        <v>3.3300000000000003E-2</v>
      </c>
      <c r="D602">
        <v>3.1699999999999999E-2</v>
      </c>
      <c r="E602">
        <v>3.245E-2</v>
      </c>
      <c r="F602">
        <v>18914118.5</v>
      </c>
      <c r="G602">
        <v>0</v>
      </c>
      <c r="L602" t="s">
        <v>7</v>
      </c>
      <c r="M602" t="s">
        <v>8</v>
      </c>
      <c r="N602" t="s">
        <v>7</v>
      </c>
      <c r="P602">
        <f t="shared" si="989"/>
        <v>-6.2500000000001624E-2</v>
      </c>
      <c r="Q602">
        <f t="shared" si="990"/>
        <v>-1182132.4062500307</v>
      </c>
      <c r="R602">
        <f t="shared" si="991"/>
        <v>-571549999.55041599</v>
      </c>
      <c r="S602">
        <f t="shared" si="992"/>
        <v>-5715.4999955041603</v>
      </c>
      <c r="T602">
        <f t="shared" si="993"/>
        <v>-5.7154999955041603</v>
      </c>
    </row>
    <row r="603" spans="1:20" x14ac:dyDescent="0.25">
      <c r="A603" s="5">
        <v>43990</v>
      </c>
      <c r="B603">
        <v>3.3239999999999999E-2</v>
      </c>
      <c r="C603">
        <v>3.5860000000000003E-2</v>
      </c>
      <c r="D603">
        <v>3.2329999999999998E-2</v>
      </c>
      <c r="E603">
        <v>3.2640000000000002E-2</v>
      </c>
      <c r="F603">
        <v>21706851.300000001</v>
      </c>
      <c r="G603">
        <v>0</v>
      </c>
      <c r="L603" t="s">
        <v>8</v>
      </c>
      <c r="M603" t="s">
        <v>8</v>
      </c>
      <c r="N603" t="s">
        <v>7</v>
      </c>
      <c r="P603">
        <f t="shared" si="989"/>
        <v>-0.82436260623229218</v>
      </c>
      <c r="Q603">
        <f t="shared" si="990"/>
        <v>-17894316.510764819</v>
      </c>
      <c r="R603">
        <f t="shared" si="991"/>
        <v>-570367867.14416599</v>
      </c>
      <c r="S603">
        <f t="shared" si="992"/>
        <v>-5703.6786714416603</v>
      </c>
      <c r="T603">
        <f t="shared" si="993"/>
        <v>-5.7036786714416605</v>
      </c>
    </row>
    <row r="604" spans="1:20" x14ac:dyDescent="0.25">
      <c r="A604" s="5">
        <v>43989</v>
      </c>
      <c r="B604">
        <v>3.492E-2</v>
      </c>
      <c r="C604">
        <v>3.5889999999999998E-2</v>
      </c>
      <c r="D604">
        <v>3.2219999999999999E-2</v>
      </c>
      <c r="E604">
        <v>3.3309999999999999E-2</v>
      </c>
      <c r="F604">
        <v>16261047.800000001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-0.4059945504087189</v>
      </c>
      <c r="Q604">
        <f t="shared" si="990"/>
        <v>-6601896.7907356881</v>
      </c>
      <c r="R604">
        <f t="shared" si="991"/>
        <v>-552473550.63340116</v>
      </c>
      <c r="S604">
        <f t="shared" si="992"/>
        <v>-5524.7355063340119</v>
      </c>
      <c r="T604">
        <f t="shared" si="993"/>
        <v>-5.5247355063340118</v>
      </c>
    </row>
    <row r="605" spans="1:20" x14ac:dyDescent="0.25">
      <c r="A605" s="5">
        <v>43988</v>
      </c>
      <c r="B605">
        <v>3.3869999999999997E-2</v>
      </c>
      <c r="C605">
        <v>3.7479999999999999E-2</v>
      </c>
      <c r="D605">
        <v>3.3279999999999997E-2</v>
      </c>
      <c r="E605">
        <v>3.492E-2</v>
      </c>
      <c r="F605">
        <v>30022067.199999999</v>
      </c>
      <c r="G605">
        <v>0</v>
      </c>
      <c r="L605" t="s">
        <v>8</v>
      </c>
      <c r="M605" t="s">
        <v>8</v>
      </c>
      <c r="N605" t="s">
        <v>7</v>
      </c>
      <c r="P605">
        <f t="shared" si="989"/>
        <v>-0.21904761904761827</v>
      </c>
      <c r="Q605">
        <f t="shared" si="990"/>
        <v>-6576262.3390475959</v>
      </c>
      <c r="R605">
        <f t="shared" si="991"/>
        <v>-545871653.84266543</v>
      </c>
      <c r="S605">
        <f t="shared" si="992"/>
        <v>-5458.7165384266546</v>
      </c>
      <c r="T605">
        <f t="shared" si="993"/>
        <v>-5.4587165384266543</v>
      </c>
    </row>
    <row r="606" spans="1:20" x14ac:dyDescent="0.25">
      <c r="A606" s="5">
        <v>43987</v>
      </c>
      <c r="B606">
        <v>3.1980000000000001E-2</v>
      </c>
      <c r="C606">
        <v>3.5490000000000001E-2</v>
      </c>
      <c r="D606">
        <v>3.1829999999999997E-2</v>
      </c>
      <c r="E606">
        <v>3.3939999999999998E-2</v>
      </c>
      <c r="F606">
        <v>17128964.899999999</v>
      </c>
      <c r="G606">
        <v>0</v>
      </c>
      <c r="L606" t="s">
        <v>8</v>
      </c>
      <c r="M606" t="s">
        <v>7</v>
      </c>
      <c r="N606" t="s">
        <v>7</v>
      </c>
      <c r="P606">
        <f t="shared" si="989"/>
        <v>0.15300546448087363</v>
      </c>
      <c r="Q606">
        <f t="shared" si="990"/>
        <v>2620825.2306010807</v>
      </c>
      <c r="R606">
        <f t="shared" si="991"/>
        <v>-539295391.50361788</v>
      </c>
      <c r="S606">
        <f t="shared" si="992"/>
        <v>-5392.9539150361788</v>
      </c>
      <c r="T606">
        <f t="shared" si="993"/>
        <v>-5.3929539150361787</v>
      </c>
    </row>
    <row r="607" spans="1:20" x14ac:dyDescent="0.25">
      <c r="A607" s="5">
        <v>43986</v>
      </c>
      <c r="B607">
        <v>3.175E-2</v>
      </c>
      <c r="C607">
        <v>3.2890000000000003E-2</v>
      </c>
      <c r="D607">
        <v>3.1510000000000003E-2</v>
      </c>
      <c r="E607">
        <v>3.1980000000000001E-2</v>
      </c>
      <c r="F607">
        <v>9314989.4000000004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-0.31884057971014718</v>
      </c>
      <c r="Q607">
        <f t="shared" si="990"/>
        <v>-2969996.6202898761</v>
      </c>
      <c r="R607">
        <f t="shared" si="991"/>
        <v>-541916216.73421896</v>
      </c>
      <c r="S607">
        <f t="shared" si="992"/>
        <v>-5419.1621673421896</v>
      </c>
      <c r="T607">
        <f t="shared" si="993"/>
        <v>-5.4191621673421899</v>
      </c>
    </row>
    <row r="608" spans="1:20" x14ac:dyDescent="0.25">
      <c r="A608" s="5">
        <v>43985</v>
      </c>
      <c r="B608">
        <v>3.1829999999999997E-2</v>
      </c>
      <c r="C608">
        <v>3.2899999999999999E-2</v>
      </c>
      <c r="D608">
        <v>3.108E-2</v>
      </c>
      <c r="E608">
        <v>3.175E-2</v>
      </c>
      <c r="F608">
        <v>10226872.300000001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-0.26373626373626269</v>
      </c>
      <c r="Q608">
        <f t="shared" si="990"/>
        <v>-2697197.0901098796</v>
      </c>
      <c r="R608">
        <f t="shared" si="991"/>
        <v>-538946220.11392903</v>
      </c>
      <c r="S608">
        <f t="shared" si="992"/>
        <v>-5389.4622011392903</v>
      </c>
      <c r="T608">
        <f t="shared" si="993"/>
        <v>-5.3894622011392901</v>
      </c>
    </row>
    <row r="609" spans="1:20" x14ac:dyDescent="0.25">
      <c r="A609" s="5">
        <v>43984</v>
      </c>
      <c r="B609">
        <v>3.2689999999999997E-2</v>
      </c>
      <c r="C609">
        <v>3.3399999999999999E-2</v>
      </c>
      <c r="D609">
        <v>3.0259999999999999E-2</v>
      </c>
      <c r="E609">
        <v>3.1980000000000001E-2</v>
      </c>
      <c r="F609">
        <v>12312931.6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9.5541401273886967E-2</v>
      </c>
      <c r="Q609">
        <f t="shared" si="990"/>
        <v>1176394.738853523</v>
      </c>
      <c r="R609">
        <f t="shared" si="991"/>
        <v>-536249023.02381915</v>
      </c>
      <c r="S609">
        <f t="shared" si="992"/>
        <v>-5362.4902302381915</v>
      </c>
      <c r="T609">
        <f t="shared" si="993"/>
        <v>-5.3624902302381914</v>
      </c>
    </row>
    <row r="610" spans="1:20" x14ac:dyDescent="0.25">
      <c r="A610" s="5">
        <v>43983</v>
      </c>
      <c r="B610">
        <v>3.1899999999999998E-2</v>
      </c>
      <c r="C610">
        <v>3.3950000000000001E-2</v>
      </c>
      <c r="D610">
        <v>3.1809999999999998E-2</v>
      </c>
      <c r="E610">
        <v>3.27E-2</v>
      </c>
      <c r="F610">
        <v>10520334.199999999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-0.16822429906541994</v>
      </c>
      <c r="Q610">
        <f t="shared" si="990"/>
        <v>-1769775.8467289654</v>
      </c>
      <c r="R610">
        <f t="shared" si="991"/>
        <v>-537425417.76267266</v>
      </c>
      <c r="S610">
        <f t="shared" si="992"/>
        <v>-5374.2541776267262</v>
      </c>
      <c r="T610">
        <f t="shared" si="993"/>
        <v>-5.3742541776267263</v>
      </c>
    </row>
    <row r="611" spans="1:20" x14ac:dyDescent="0.25">
      <c r="A611" s="5">
        <v>43982</v>
      </c>
      <c r="B611">
        <v>3.4439999999999998E-2</v>
      </c>
      <c r="C611">
        <v>3.5720000000000002E-2</v>
      </c>
      <c r="D611">
        <v>3.1820000000000001E-2</v>
      </c>
      <c r="E611">
        <v>3.1980000000000001E-2</v>
      </c>
      <c r="F611">
        <v>14906613</v>
      </c>
      <c r="G611">
        <v>0</v>
      </c>
      <c r="L611" t="s">
        <v>7</v>
      </c>
      <c r="M611" t="s">
        <v>8</v>
      </c>
      <c r="N611" t="s">
        <v>7</v>
      </c>
      <c r="P611">
        <f t="shared" si="989"/>
        <v>-0.9179487179487178</v>
      </c>
      <c r="Q611">
        <f t="shared" si="990"/>
        <v>-13683506.29230769</v>
      </c>
      <c r="R611">
        <f t="shared" si="991"/>
        <v>-535655641.91594374</v>
      </c>
      <c r="S611">
        <f t="shared" si="992"/>
        <v>-5356.5564191594376</v>
      </c>
      <c r="T611">
        <f t="shared" si="993"/>
        <v>-5.3565564191594373</v>
      </c>
    </row>
    <row r="612" spans="1:20" x14ac:dyDescent="0.25">
      <c r="A612" s="5">
        <v>43981</v>
      </c>
      <c r="B612">
        <v>3.6060000000000002E-2</v>
      </c>
      <c r="C612">
        <v>3.7199999999999997E-2</v>
      </c>
      <c r="D612">
        <v>3.3250000000000002E-2</v>
      </c>
      <c r="E612">
        <v>3.4439999999999998E-2</v>
      </c>
      <c r="F612">
        <v>28277049.600000001</v>
      </c>
      <c r="G612">
        <v>0</v>
      </c>
      <c r="L612" t="s">
        <v>7</v>
      </c>
      <c r="M612" t="s">
        <v>8</v>
      </c>
      <c r="N612" t="s">
        <v>7</v>
      </c>
      <c r="P612">
        <f t="shared" si="989"/>
        <v>-0.3974683544303807</v>
      </c>
      <c r="Q612">
        <f t="shared" si="990"/>
        <v>-11239232.372658255</v>
      </c>
      <c r="R612">
        <f t="shared" si="991"/>
        <v>-521972135.62363607</v>
      </c>
      <c r="S612">
        <f t="shared" si="992"/>
        <v>-5219.7213562363604</v>
      </c>
      <c r="T612">
        <f t="shared" si="993"/>
        <v>-5.2197213562363602</v>
      </c>
    </row>
    <row r="613" spans="1:20" x14ac:dyDescent="0.25">
      <c r="A613" s="5">
        <v>43980</v>
      </c>
      <c r="B613">
        <v>3.1210000000000002E-2</v>
      </c>
      <c r="C613">
        <v>3.7969999999999997E-2</v>
      </c>
      <c r="D613">
        <v>3.09E-2</v>
      </c>
      <c r="E613">
        <v>3.5889999999999998E-2</v>
      </c>
      <c r="F613">
        <v>47464691.399999999</v>
      </c>
      <c r="G613">
        <v>0</v>
      </c>
      <c r="L613" t="s">
        <v>8</v>
      </c>
      <c r="M613" t="s">
        <v>8</v>
      </c>
      <c r="N613" t="s">
        <v>7</v>
      </c>
      <c r="P613">
        <f t="shared" si="989"/>
        <v>0.41159830268741171</v>
      </c>
      <c r="Q613">
        <f t="shared" si="990"/>
        <v>19536386.417821787</v>
      </c>
      <c r="R613">
        <f t="shared" si="991"/>
        <v>-510732903.25097781</v>
      </c>
      <c r="S613">
        <f t="shared" si="992"/>
        <v>-5107.3290325097778</v>
      </c>
      <c r="T613">
        <f t="shared" si="993"/>
        <v>-5.107329032509778</v>
      </c>
    </row>
    <row r="614" spans="1:20" x14ac:dyDescent="0.25">
      <c r="A614" s="5">
        <v>43979</v>
      </c>
      <c r="B614">
        <v>3.124E-2</v>
      </c>
      <c r="C614">
        <v>3.2599999999999997E-2</v>
      </c>
      <c r="D614">
        <v>0.03</v>
      </c>
      <c r="E614">
        <v>3.125E-2</v>
      </c>
      <c r="F614">
        <v>14618964.5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-3.8461538461536923E-2</v>
      </c>
      <c r="Q614">
        <f t="shared" si="990"/>
        <v>-562267.86538459291</v>
      </c>
      <c r="R614">
        <f t="shared" si="991"/>
        <v>-530269289.66879958</v>
      </c>
      <c r="S614">
        <f t="shared" si="992"/>
        <v>-5302.6928966879959</v>
      </c>
      <c r="T614">
        <f t="shared" si="993"/>
        <v>-5.3026928966879963</v>
      </c>
    </row>
    <row r="615" spans="1:20" x14ac:dyDescent="0.25">
      <c r="A615" s="5">
        <v>43978</v>
      </c>
      <c r="B615">
        <v>3.2399999999999998E-2</v>
      </c>
      <c r="C615">
        <v>3.3140000000000003E-2</v>
      </c>
      <c r="D615">
        <v>3.1E-2</v>
      </c>
      <c r="E615">
        <v>3.1230000000000001E-2</v>
      </c>
      <c r="F615">
        <v>15985995.6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-0.78504672897196193</v>
      </c>
      <c r="Q615">
        <f t="shared" si="990"/>
        <v>-12549753.555140175</v>
      </c>
      <c r="R615">
        <f t="shared" si="991"/>
        <v>-529707021.803415</v>
      </c>
      <c r="S615">
        <f t="shared" si="992"/>
        <v>-5297.0702180341505</v>
      </c>
      <c r="T615">
        <f t="shared" si="993"/>
        <v>-5.2970702180341505</v>
      </c>
    </row>
    <row r="616" spans="1:20" x14ac:dyDescent="0.25">
      <c r="A616" s="5">
        <v>43977</v>
      </c>
      <c r="B616">
        <v>3.3869999999999997E-2</v>
      </c>
      <c r="C616">
        <v>3.6760000000000001E-2</v>
      </c>
      <c r="D616">
        <v>3.1809999999999998E-2</v>
      </c>
      <c r="E616">
        <v>3.2419999999999997E-2</v>
      </c>
      <c r="F616">
        <v>31828475.399999999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-0.75353535353535395</v>
      </c>
      <c r="Q616">
        <f t="shared" si="990"/>
        <v>-23983881.463030316</v>
      </c>
      <c r="R616">
        <f t="shared" si="991"/>
        <v>-517157268.2482748</v>
      </c>
      <c r="S616">
        <f t="shared" si="992"/>
        <v>-5171.572682482748</v>
      </c>
      <c r="T616">
        <f t="shared" si="993"/>
        <v>-5.1715726824827479</v>
      </c>
    </row>
    <row r="617" spans="1:20" x14ac:dyDescent="0.25">
      <c r="A617" s="5">
        <v>43976</v>
      </c>
      <c r="B617">
        <v>3.04E-2</v>
      </c>
      <c r="C617">
        <v>3.4840000000000003E-2</v>
      </c>
      <c r="D617">
        <v>2.962E-2</v>
      </c>
      <c r="E617">
        <v>3.3759999999999998E-2</v>
      </c>
      <c r="F617">
        <v>25887493.100000001</v>
      </c>
      <c r="G617">
        <v>0</v>
      </c>
      <c r="L617" t="s">
        <v>7</v>
      </c>
      <c r="M617" t="s">
        <v>7</v>
      </c>
      <c r="N617" t="s">
        <v>7</v>
      </c>
      <c r="P617">
        <f t="shared" si="989"/>
        <v>0.58620689655172253</v>
      </c>
      <c r="Q617">
        <f t="shared" si="990"/>
        <v>15175426.989655131</v>
      </c>
      <c r="R617">
        <f t="shared" si="991"/>
        <v>-493173386.78524446</v>
      </c>
      <c r="S617">
        <f t="shared" si="992"/>
        <v>-4931.7338678524447</v>
      </c>
      <c r="T617">
        <f t="shared" si="993"/>
        <v>-4.9317338678524445</v>
      </c>
    </row>
    <row r="618" spans="1:20" x14ac:dyDescent="0.25">
      <c r="A618" s="5">
        <v>43975</v>
      </c>
      <c r="B618">
        <v>3.2550000000000003E-2</v>
      </c>
      <c r="C618">
        <v>3.4000000000000002E-2</v>
      </c>
      <c r="D618">
        <v>3.04E-2</v>
      </c>
      <c r="E618">
        <v>3.0679999999999999E-2</v>
      </c>
      <c r="F618">
        <v>15559085.4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-0.84444444444444511</v>
      </c>
      <c r="Q618">
        <f t="shared" si="990"/>
        <v>-13138783.226666678</v>
      </c>
      <c r="R618">
        <f t="shared" si="991"/>
        <v>-508348813.7748996</v>
      </c>
      <c r="S618">
        <f t="shared" si="992"/>
        <v>-5083.4881377489965</v>
      </c>
      <c r="T618">
        <f t="shared" si="993"/>
        <v>-5.0834881377489962</v>
      </c>
    </row>
    <row r="619" spans="1:20" x14ac:dyDescent="0.25">
      <c r="A619" s="5">
        <v>43974</v>
      </c>
      <c r="B619">
        <v>3.3660000000000002E-2</v>
      </c>
      <c r="C619">
        <v>3.49E-2</v>
      </c>
      <c r="D619">
        <v>3.2099999999999997E-2</v>
      </c>
      <c r="E619">
        <v>3.2539999999999999E-2</v>
      </c>
      <c r="F619">
        <v>12711586.5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-0.68571428571428406</v>
      </c>
      <c r="Q619">
        <f t="shared" si="990"/>
        <v>-8716516.4571428355</v>
      </c>
      <c r="R619">
        <f t="shared" si="991"/>
        <v>-495210030.54823291</v>
      </c>
      <c r="S619">
        <f t="shared" si="992"/>
        <v>-4952.1003054823295</v>
      </c>
      <c r="T619">
        <f t="shared" si="993"/>
        <v>-4.9521003054823298</v>
      </c>
    </row>
    <row r="620" spans="1:20" x14ac:dyDescent="0.25">
      <c r="A620" s="5">
        <v>43973</v>
      </c>
      <c r="B620">
        <v>3.3000000000000002E-2</v>
      </c>
      <c r="C620">
        <v>3.6889999999999999E-2</v>
      </c>
      <c r="D620">
        <v>3.2099999999999997E-2</v>
      </c>
      <c r="E620">
        <v>3.3610000000000001E-2</v>
      </c>
      <c r="F620">
        <v>33644934.899999999</v>
      </c>
      <c r="G620">
        <v>0</v>
      </c>
      <c r="L620" t="s">
        <v>7</v>
      </c>
      <c r="M620" t="s">
        <v>7</v>
      </c>
      <c r="N620" t="s">
        <v>7</v>
      </c>
      <c r="P620">
        <f t="shared" si="989"/>
        <v>-0.36951983298538471</v>
      </c>
      <c r="Q620">
        <f t="shared" si="990"/>
        <v>-12432470.725052141</v>
      </c>
      <c r="R620">
        <f t="shared" si="991"/>
        <v>-486493514.09109008</v>
      </c>
      <c r="S620">
        <f t="shared" si="992"/>
        <v>-4864.9351409109013</v>
      </c>
      <c r="T620">
        <f t="shared" si="993"/>
        <v>-4.8649351409109016</v>
      </c>
    </row>
    <row r="621" spans="1:20" x14ac:dyDescent="0.25">
      <c r="A621" s="5">
        <v>43972</v>
      </c>
      <c r="B621">
        <v>3.9010000000000003E-2</v>
      </c>
      <c r="C621">
        <v>4.3659999999999997E-2</v>
      </c>
      <c r="D621">
        <v>3.2009999999999997E-2</v>
      </c>
      <c r="E621">
        <v>3.2820000000000002E-2</v>
      </c>
      <c r="F621">
        <v>57820058.100000001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-0.86094420600858279</v>
      </c>
      <c r="Q621">
        <f t="shared" si="990"/>
        <v>-49779844.01227463</v>
      </c>
      <c r="R621">
        <f t="shared" si="991"/>
        <v>-474061043.36603796</v>
      </c>
      <c r="S621">
        <f t="shared" si="992"/>
        <v>-4740.6104336603794</v>
      </c>
      <c r="T621">
        <f t="shared" si="993"/>
        <v>-4.7406104336603798</v>
      </c>
    </row>
    <row r="622" spans="1:20" x14ac:dyDescent="0.25">
      <c r="A622" s="5">
        <v>43971</v>
      </c>
      <c r="B622">
        <v>3.7780000000000001E-2</v>
      </c>
      <c r="C622">
        <v>4.0579999999999998E-2</v>
      </c>
      <c r="D622">
        <v>3.5209999999999998E-2</v>
      </c>
      <c r="E622">
        <v>3.9010000000000003E-2</v>
      </c>
      <c r="F622">
        <v>47233419.700000003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0.41527001862197577</v>
      </c>
      <c r="Q622">
        <f t="shared" si="990"/>
        <v>19614623.078398596</v>
      </c>
      <c r="R622">
        <f t="shared" si="991"/>
        <v>-424281199.35376334</v>
      </c>
      <c r="S622">
        <f t="shared" si="992"/>
        <v>-4242.8119935376335</v>
      </c>
      <c r="T622">
        <f t="shared" si="993"/>
        <v>-4.2428119935376332</v>
      </c>
    </row>
    <row r="623" spans="1:20" x14ac:dyDescent="0.25">
      <c r="A623" s="5">
        <v>43970</v>
      </c>
      <c r="B623">
        <v>3.6020000000000003E-2</v>
      </c>
      <c r="C623">
        <v>3.9620000000000002E-2</v>
      </c>
      <c r="D623">
        <v>3.3410000000000002E-2</v>
      </c>
      <c r="E623">
        <v>3.7929999999999998E-2</v>
      </c>
      <c r="F623">
        <v>53704827.100000001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0.45571658615136751</v>
      </c>
      <c r="Q623">
        <f t="shared" si="990"/>
        <v>24474180.465861447</v>
      </c>
      <c r="R623">
        <f t="shared" si="991"/>
        <v>-443895822.43216193</v>
      </c>
      <c r="S623">
        <f t="shared" si="992"/>
        <v>-4438.9582243216191</v>
      </c>
      <c r="T623">
        <f t="shared" si="993"/>
        <v>-4.4389582243216195</v>
      </c>
    </row>
    <row r="624" spans="1:20" x14ac:dyDescent="0.25">
      <c r="A624" s="5">
        <v>43969</v>
      </c>
      <c r="B624">
        <v>3.7100000000000001E-2</v>
      </c>
      <c r="C624">
        <v>4.2000000000000003E-2</v>
      </c>
      <c r="D624">
        <v>3.5400000000000001E-2</v>
      </c>
      <c r="E624">
        <v>3.601E-2</v>
      </c>
      <c r="F624">
        <v>70954549.700000003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-0.8151515151515154</v>
      </c>
      <c r="Q624">
        <f t="shared" si="990"/>
        <v>-57838708.694848508</v>
      </c>
      <c r="R624">
        <f t="shared" si="991"/>
        <v>-468370002.89802337</v>
      </c>
      <c r="S624">
        <f t="shared" si="992"/>
        <v>-4683.7000289802336</v>
      </c>
      <c r="T624">
        <f t="shared" si="993"/>
        <v>-4.6837000289802333</v>
      </c>
    </row>
    <row r="625" spans="1:20" x14ac:dyDescent="0.25">
      <c r="A625" s="5">
        <v>43968</v>
      </c>
      <c r="B625">
        <v>2.8979999999999999E-2</v>
      </c>
      <c r="C625">
        <v>3.9890000000000002E-2</v>
      </c>
      <c r="D625">
        <v>2.8910000000000002E-2</v>
      </c>
      <c r="E625">
        <v>3.7100000000000001E-2</v>
      </c>
      <c r="F625">
        <v>51217692.5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0.49180327868852447</v>
      </c>
      <c r="Q625">
        <f t="shared" si="990"/>
        <v>25189029.09836065</v>
      </c>
      <c r="R625">
        <f t="shared" si="991"/>
        <v>-410531294.20317489</v>
      </c>
      <c r="S625">
        <f t="shared" si="992"/>
        <v>-4105.3129420317491</v>
      </c>
      <c r="T625">
        <f t="shared" si="993"/>
        <v>-4.1053129420317491</v>
      </c>
    </row>
    <row r="626" spans="1:20" x14ac:dyDescent="0.25">
      <c r="A626" s="5">
        <v>43967</v>
      </c>
      <c r="B626">
        <v>2.8150000000000001E-2</v>
      </c>
      <c r="C626">
        <v>2.9020000000000001E-2</v>
      </c>
      <c r="D626">
        <v>2.7660000000000001E-2</v>
      </c>
      <c r="E626">
        <v>2.8879999999999999E-2</v>
      </c>
      <c r="F626">
        <v>6972997.9000000004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0.79411764705882171</v>
      </c>
      <c r="Q626">
        <f t="shared" si="990"/>
        <v>5537380.6852941057</v>
      </c>
      <c r="R626">
        <f t="shared" si="991"/>
        <v>-435720323.30153555</v>
      </c>
      <c r="S626">
        <f t="shared" si="992"/>
        <v>-4357.2032330153552</v>
      </c>
      <c r="T626">
        <f t="shared" si="993"/>
        <v>-4.3572032330153556</v>
      </c>
    </row>
    <row r="627" spans="1:20" x14ac:dyDescent="0.25">
      <c r="A627" s="5">
        <v>43966</v>
      </c>
      <c r="B627">
        <v>2.8639999999999999E-2</v>
      </c>
      <c r="C627">
        <v>2.9440000000000001E-2</v>
      </c>
      <c r="D627">
        <v>2.777E-2</v>
      </c>
      <c r="E627">
        <v>2.793E-2</v>
      </c>
      <c r="F627">
        <v>6969870.4000000004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-0.80838323353293373</v>
      </c>
      <c r="Q627">
        <f t="shared" si="990"/>
        <v>-5634326.3712574821</v>
      </c>
      <c r="R627">
        <f t="shared" si="991"/>
        <v>-441257703.98682964</v>
      </c>
      <c r="S627">
        <f t="shared" si="992"/>
        <v>-4412.5770398682962</v>
      </c>
      <c r="T627">
        <f t="shared" si="993"/>
        <v>-4.412577039868296</v>
      </c>
    </row>
    <row r="628" spans="1:20" x14ac:dyDescent="0.25">
      <c r="A628" s="5">
        <v>43965</v>
      </c>
      <c r="B628">
        <v>2.9780000000000001E-2</v>
      </c>
      <c r="C628">
        <v>3.066E-2</v>
      </c>
      <c r="D628">
        <v>2.826E-2</v>
      </c>
      <c r="E628">
        <v>2.8539999999999999E-2</v>
      </c>
      <c r="F628">
        <v>12654325.6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-0.76666666666666738</v>
      </c>
      <c r="Q628">
        <f t="shared" si="990"/>
        <v>-9701649.6266666763</v>
      </c>
      <c r="R628">
        <f t="shared" si="991"/>
        <v>-435623377.61557215</v>
      </c>
      <c r="S628">
        <f t="shared" si="992"/>
        <v>-4356.2337761557219</v>
      </c>
      <c r="T628">
        <f t="shared" si="993"/>
        <v>-4.3562337761557215</v>
      </c>
    </row>
    <row r="629" spans="1:20" x14ac:dyDescent="0.25">
      <c r="A629" s="5">
        <v>43964</v>
      </c>
      <c r="B629">
        <v>2.9000000000000001E-2</v>
      </c>
      <c r="C629">
        <v>3.0159999999999999E-2</v>
      </c>
      <c r="D629">
        <v>2.843E-2</v>
      </c>
      <c r="E629">
        <v>2.9780000000000001E-2</v>
      </c>
      <c r="F629">
        <v>11061721.699999999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0.56069364161849866</v>
      </c>
      <c r="Q629">
        <f t="shared" si="990"/>
        <v>6202237.0225433698</v>
      </c>
      <c r="R629">
        <f t="shared" si="991"/>
        <v>-425921727.98890549</v>
      </c>
      <c r="S629">
        <f t="shared" si="992"/>
        <v>-4259.2172798890551</v>
      </c>
      <c r="T629">
        <f t="shared" si="993"/>
        <v>-4.2592172798890555</v>
      </c>
    </row>
    <row r="630" spans="1:20" x14ac:dyDescent="0.25">
      <c r="A630" s="5">
        <v>43963</v>
      </c>
      <c r="B630">
        <v>2.751E-2</v>
      </c>
      <c r="C630">
        <v>3.1099999999999999E-2</v>
      </c>
      <c r="D630">
        <v>2.699E-2</v>
      </c>
      <c r="E630">
        <v>2.8899999999999999E-2</v>
      </c>
      <c r="F630">
        <v>17895866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-7.0559610705596632E-2</v>
      </c>
      <c r="Q630">
        <f t="shared" si="990"/>
        <v>-1262725.3381995228</v>
      </c>
      <c r="R630">
        <f t="shared" si="991"/>
        <v>-432123965.01144886</v>
      </c>
      <c r="S630">
        <f t="shared" si="992"/>
        <v>-4321.2396501144885</v>
      </c>
      <c r="T630">
        <f t="shared" si="993"/>
        <v>-4.3212396501144887</v>
      </c>
    </row>
    <row r="631" spans="1:20" x14ac:dyDescent="0.25">
      <c r="A631" s="5">
        <v>43962</v>
      </c>
      <c r="B631">
        <v>2.921E-2</v>
      </c>
      <c r="C631">
        <v>3.125E-2</v>
      </c>
      <c r="D631">
        <v>2.7130000000000001E-2</v>
      </c>
      <c r="E631">
        <v>2.751E-2</v>
      </c>
      <c r="F631">
        <v>16118332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-0.81553398058252502</v>
      </c>
      <c r="Q631">
        <f t="shared" si="990"/>
        <v>-13145047.456310691</v>
      </c>
      <c r="R631">
        <f t="shared" si="991"/>
        <v>-430861239.67324936</v>
      </c>
      <c r="S631">
        <f t="shared" si="992"/>
        <v>-4308.6123967324938</v>
      </c>
      <c r="T631">
        <f t="shared" si="993"/>
        <v>-4.3086123967324941</v>
      </c>
    </row>
    <row r="632" spans="1:20" x14ac:dyDescent="0.25">
      <c r="A632" s="5">
        <v>43961</v>
      </c>
      <c r="B632">
        <v>3.2349999999999997E-2</v>
      </c>
      <c r="C632">
        <v>3.2390000000000002E-2</v>
      </c>
      <c r="D632">
        <v>2.639E-2</v>
      </c>
      <c r="E632">
        <v>2.921E-2</v>
      </c>
      <c r="F632">
        <v>24370566.699999999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-6.0000000000000428E-2</v>
      </c>
      <c r="Q632">
        <f t="shared" si="990"/>
        <v>-1462234.0020000103</v>
      </c>
      <c r="R632">
        <f t="shared" si="991"/>
        <v>-417716192.21693867</v>
      </c>
      <c r="S632">
        <f t="shared" si="992"/>
        <v>-4177.1619221693863</v>
      </c>
      <c r="T632">
        <f t="shared" si="993"/>
        <v>-4.1771619221693861</v>
      </c>
    </row>
    <row r="633" spans="1:20" x14ac:dyDescent="0.25">
      <c r="A633" s="5">
        <v>43960</v>
      </c>
      <c r="B633">
        <v>3.1899999999999998E-2</v>
      </c>
      <c r="C633">
        <v>3.4459999999999998E-2</v>
      </c>
      <c r="D633">
        <v>3.1539999999999999E-2</v>
      </c>
      <c r="E633">
        <v>3.2190000000000003E-2</v>
      </c>
      <c r="F633">
        <v>18005208.399999999</v>
      </c>
      <c r="G633">
        <v>0</v>
      </c>
      <c r="L633" t="s">
        <v>7</v>
      </c>
      <c r="M633" t="s">
        <v>7</v>
      </c>
      <c r="N633" t="s">
        <v>7</v>
      </c>
      <c r="P633">
        <f t="shared" si="989"/>
        <v>-0.55479452054794176</v>
      </c>
      <c r="Q633">
        <f t="shared" si="990"/>
        <v>-9989190.9616437722</v>
      </c>
      <c r="R633">
        <f t="shared" si="991"/>
        <v>-416253958.21493864</v>
      </c>
      <c r="S633">
        <f t="shared" si="992"/>
        <v>-4162.5395821493867</v>
      </c>
      <c r="T633">
        <f t="shared" si="993"/>
        <v>-4.1625395821493862</v>
      </c>
    </row>
    <row r="634" spans="1:20" x14ac:dyDescent="0.25">
      <c r="A634" s="5">
        <v>43959</v>
      </c>
      <c r="B634">
        <v>3.2230000000000002E-2</v>
      </c>
      <c r="C634">
        <v>3.3849999999999998E-2</v>
      </c>
      <c r="D634">
        <v>3.0669999999999999E-2</v>
      </c>
      <c r="E634">
        <v>3.2140000000000002E-2</v>
      </c>
      <c r="F634">
        <v>19856403.699999999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-7.5471698113205588E-2</v>
      </c>
      <c r="Q634">
        <f t="shared" si="990"/>
        <v>-1498596.5056603383</v>
      </c>
      <c r="R634">
        <f t="shared" si="991"/>
        <v>-406264767.25329489</v>
      </c>
      <c r="S634">
        <f t="shared" si="992"/>
        <v>-4062.6476725329489</v>
      </c>
      <c r="T634">
        <f t="shared" si="993"/>
        <v>-4.0626476725329486</v>
      </c>
    </row>
    <row r="635" spans="1:20" x14ac:dyDescent="0.25">
      <c r="A635" s="5">
        <v>43958</v>
      </c>
      <c r="B635">
        <v>3.4569999999999997E-2</v>
      </c>
      <c r="C635">
        <v>3.56E-2</v>
      </c>
      <c r="D635">
        <v>3.1009999999999999E-2</v>
      </c>
      <c r="E635">
        <v>3.2230000000000002E-2</v>
      </c>
      <c r="F635">
        <v>26032105.300000001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-0.4684095860566439</v>
      </c>
      <c r="Q635">
        <f t="shared" si="990"/>
        <v>-12193687.667755967</v>
      </c>
      <c r="R635">
        <f t="shared" si="991"/>
        <v>-404766170.74763453</v>
      </c>
      <c r="S635">
        <f t="shared" si="992"/>
        <v>-4047.6617074763453</v>
      </c>
      <c r="T635">
        <f t="shared" si="993"/>
        <v>-4.0476617074763457</v>
      </c>
    </row>
    <row r="636" spans="1:20" x14ac:dyDescent="0.25">
      <c r="A636" s="5">
        <v>43957</v>
      </c>
      <c r="B636">
        <v>3.7310000000000003E-2</v>
      </c>
      <c r="C636">
        <v>3.9419999999999997E-2</v>
      </c>
      <c r="D636">
        <v>3.4569999999999997E-2</v>
      </c>
      <c r="E636">
        <v>3.4569999999999997E-2</v>
      </c>
      <c r="F636">
        <v>28419853.800000001</v>
      </c>
      <c r="G636">
        <v>0</v>
      </c>
      <c r="L636" t="s">
        <v>7</v>
      </c>
      <c r="M636" t="s">
        <v>8</v>
      </c>
      <c r="N636" t="s">
        <v>7</v>
      </c>
      <c r="P636">
        <f t="shared" si="989"/>
        <v>-1</v>
      </c>
      <c r="Q636">
        <f t="shared" si="990"/>
        <v>-28419853.800000001</v>
      </c>
      <c r="R636">
        <f t="shared" si="991"/>
        <v>-392572483.07987857</v>
      </c>
      <c r="S636">
        <f t="shared" si="992"/>
        <v>-3925.7248307987857</v>
      </c>
      <c r="T636">
        <f t="shared" si="993"/>
        <v>-3.9257248307987855</v>
      </c>
    </row>
    <row r="637" spans="1:20" x14ac:dyDescent="0.25">
      <c r="A637" s="5">
        <v>43956</v>
      </c>
      <c r="B637">
        <v>3.789E-2</v>
      </c>
      <c r="C637">
        <v>4.1110000000000001E-2</v>
      </c>
      <c r="D637">
        <v>3.6290000000000003E-2</v>
      </c>
      <c r="E637">
        <v>3.7310000000000003E-2</v>
      </c>
      <c r="F637">
        <v>44610026.100000001</v>
      </c>
      <c r="G637">
        <v>0</v>
      </c>
      <c r="L637" t="s">
        <v>7</v>
      </c>
      <c r="M637" t="s">
        <v>8</v>
      </c>
      <c r="N637" t="s">
        <v>7</v>
      </c>
      <c r="P637">
        <f t="shared" si="989"/>
        <v>-0.57676348547717826</v>
      </c>
      <c r="Q637">
        <f t="shared" si="990"/>
        <v>-25729434.140663896</v>
      </c>
      <c r="R637">
        <f t="shared" si="991"/>
        <v>-364152629.27987856</v>
      </c>
      <c r="S637">
        <f t="shared" si="992"/>
        <v>-3641.5262927987856</v>
      </c>
      <c r="T637">
        <f t="shared" si="993"/>
        <v>-3.6415262927987855</v>
      </c>
    </row>
    <row r="638" spans="1:20" x14ac:dyDescent="0.25">
      <c r="A638" s="5">
        <v>43955</v>
      </c>
      <c r="B638">
        <v>3.7440000000000001E-2</v>
      </c>
      <c r="C638">
        <v>4.1119999999999997E-2</v>
      </c>
      <c r="D638">
        <v>3.39E-2</v>
      </c>
      <c r="E638">
        <v>3.789E-2</v>
      </c>
      <c r="F638">
        <v>59845238.700000003</v>
      </c>
      <c r="G638">
        <v>0</v>
      </c>
      <c r="L638" t="s">
        <v>8</v>
      </c>
      <c r="M638" t="s">
        <v>8</v>
      </c>
      <c r="N638" t="s">
        <v>7</v>
      </c>
      <c r="P638">
        <f t="shared" si="989"/>
        <v>0.10526315789473741</v>
      </c>
      <c r="Q638">
        <f t="shared" si="990"/>
        <v>6299498.8105263496</v>
      </c>
      <c r="R638">
        <f t="shared" si="991"/>
        <v>-338423195.13921463</v>
      </c>
      <c r="S638">
        <f t="shared" si="992"/>
        <v>-3384.2319513921461</v>
      </c>
      <c r="T638">
        <f t="shared" si="993"/>
        <v>-3.3842319513921462</v>
      </c>
    </row>
    <row r="639" spans="1:20" x14ac:dyDescent="0.25">
      <c r="A639" s="5">
        <v>43954</v>
      </c>
      <c r="B639">
        <v>3.7519999999999998E-2</v>
      </c>
      <c r="C639">
        <v>3.8150000000000003E-2</v>
      </c>
      <c r="D639">
        <v>3.3820000000000003E-2</v>
      </c>
      <c r="E639">
        <v>3.7449999999999997E-2</v>
      </c>
      <c r="F639">
        <v>31198843.600000001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0.67667436489607113</v>
      </c>
      <c r="Q639">
        <f t="shared" si="990"/>
        <v>21111457.678521853</v>
      </c>
      <c r="R639">
        <f t="shared" si="991"/>
        <v>-344722693.94974101</v>
      </c>
      <c r="S639">
        <f t="shared" si="992"/>
        <v>-3447.2269394974101</v>
      </c>
      <c r="T639">
        <f t="shared" si="993"/>
        <v>-3.4472269394974102</v>
      </c>
    </row>
    <row r="640" spans="1:20" x14ac:dyDescent="0.25">
      <c r="A640" s="5">
        <v>43953</v>
      </c>
      <c r="B640">
        <v>3.918E-2</v>
      </c>
      <c r="C640">
        <v>3.9690000000000003E-2</v>
      </c>
      <c r="D640">
        <v>3.6560000000000002E-2</v>
      </c>
      <c r="E640">
        <v>3.755E-2</v>
      </c>
      <c r="F640">
        <v>20869197.5</v>
      </c>
      <c r="G640">
        <v>0</v>
      </c>
      <c r="L640" t="s">
        <v>7</v>
      </c>
      <c r="M640" t="s">
        <v>7</v>
      </c>
      <c r="N640" t="s">
        <v>7</v>
      </c>
      <c r="P640">
        <f t="shared" si="989"/>
        <v>-0.36741214057508143</v>
      </c>
      <c r="Q640">
        <f t="shared" si="990"/>
        <v>-7667596.5255591376</v>
      </c>
      <c r="R640">
        <f t="shared" si="991"/>
        <v>-365834151.62826288</v>
      </c>
      <c r="S640">
        <f t="shared" si="992"/>
        <v>-3658.3415162826286</v>
      </c>
      <c r="T640">
        <f t="shared" si="993"/>
        <v>-3.6583415162826287</v>
      </c>
    </row>
    <row r="641" spans="1:20" x14ac:dyDescent="0.25">
      <c r="A641" s="5">
        <v>43952</v>
      </c>
      <c r="B641">
        <v>3.9469999999999998E-2</v>
      </c>
      <c r="C641">
        <v>4.1700000000000001E-2</v>
      </c>
      <c r="D641">
        <v>3.7019999999999997E-2</v>
      </c>
      <c r="E641">
        <v>3.9199999999999999E-2</v>
      </c>
      <c r="F641">
        <v>31746955.199999999</v>
      </c>
      <c r="G641">
        <v>0</v>
      </c>
      <c r="L641" t="s">
        <v>7</v>
      </c>
      <c r="M641" t="s">
        <v>7</v>
      </c>
      <c r="N641" t="s">
        <v>7</v>
      </c>
      <c r="P641">
        <f t="shared" si="989"/>
        <v>-6.8376068376068508E-2</v>
      </c>
      <c r="Q641">
        <f t="shared" si="990"/>
        <v>-2170731.9794871835</v>
      </c>
      <c r="R641">
        <f t="shared" si="991"/>
        <v>-358166555.10270375</v>
      </c>
      <c r="S641">
        <f t="shared" si="992"/>
        <v>-3581.6655510270375</v>
      </c>
      <c r="T641">
        <f t="shared" si="993"/>
        <v>-3.5816655510270374</v>
      </c>
    </row>
    <row r="642" spans="1:20" x14ac:dyDescent="0.25">
      <c r="A642" s="5">
        <v>43951</v>
      </c>
      <c r="B642">
        <v>4.1599999999999998E-2</v>
      </c>
      <c r="C642">
        <v>4.4110000000000003E-2</v>
      </c>
      <c r="D642">
        <v>3.8679999999999999E-2</v>
      </c>
      <c r="E642">
        <v>3.9600000000000003E-2</v>
      </c>
      <c r="F642">
        <v>60379275.399999999</v>
      </c>
      <c r="G642">
        <v>0</v>
      </c>
      <c r="L642" t="s">
        <v>7</v>
      </c>
      <c r="M642" t="s">
        <v>7</v>
      </c>
      <c r="N642" t="s">
        <v>7</v>
      </c>
      <c r="P642">
        <f t="shared" si="989"/>
        <v>-0.66114180478821238</v>
      </c>
      <c r="Q642">
        <f t="shared" si="990"/>
        <v>-39919263.109760515</v>
      </c>
      <c r="R642">
        <f t="shared" si="991"/>
        <v>-355995823.12321657</v>
      </c>
      <c r="S642">
        <f t="shared" si="992"/>
        <v>-3559.9582312321659</v>
      </c>
      <c r="T642">
        <f t="shared" si="993"/>
        <v>-3.5599582312321658</v>
      </c>
    </row>
    <row r="643" spans="1:20" x14ac:dyDescent="0.25">
      <c r="A643" s="5">
        <v>43950</v>
      </c>
      <c r="B643">
        <v>4.1000000000000002E-2</v>
      </c>
      <c r="C643">
        <v>4.5609999999999998E-2</v>
      </c>
      <c r="D643">
        <v>3.9750000000000001E-2</v>
      </c>
      <c r="E643">
        <v>4.1599999999999998E-2</v>
      </c>
      <c r="F643">
        <v>77503703.099999994</v>
      </c>
      <c r="G643">
        <v>0</v>
      </c>
      <c r="L643" t="s">
        <v>7</v>
      </c>
      <c r="M643" t="s">
        <v>7</v>
      </c>
      <c r="N643" t="s">
        <v>7</v>
      </c>
      <c r="P643">
        <f t="shared" si="989"/>
        <v>-0.3686006825938572</v>
      </c>
      <c r="Q643">
        <f t="shared" si="990"/>
        <v>-28567917.866211645</v>
      </c>
      <c r="R643">
        <f t="shared" si="991"/>
        <v>-316076560.01345605</v>
      </c>
      <c r="S643">
        <f t="shared" si="992"/>
        <v>-3160.7656001345604</v>
      </c>
      <c r="T643">
        <f t="shared" si="993"/>
        <v>-3.1607656001345603</v>
      </c>
    </row>
    <row r="644" spans="1:20" x14ac:dyDescent="0.25">
      <c r="A644" s="5">
        <v>43949</v>
      </c>
      <c r="B644">
        <v>4.1910000000000003E-2</v>
      </c>
      <c r="C644">
        <v>4.9799999999999997E-2</v>
      </c>
      <c r="D644">
        <v>3.9039999999999998E-2</v>
      </c>
      <c r="E644">
        <v>4.1009999999999998E-2</v>
      </c>
      <c r="F644">
        <v>128555005</v>
      </c>
      <c r="G644">
        <v>0</v>
      </c>
      <c r="L644" t="s">
        <v>8</v>
      </c>
      <c r="M644" t="s">
        <v>8</v>
      </c>
      <c r="N644" t="s">
        <v>7</v>
      </c>
      <c r="P644">
        <f t="shared" si="989"/>
        <v>-0.63382899628252798</v>
      </c>
      <c r="Q644">
        <f t="shared" si="990"/>
        <v>-81481889.786245361</v>
      </c>
      <c r="R644">
        <f t="shared" si="991"/>
        <v>-287508642.14724439</v>
      </c>
      <c r="S644">
        <f t="shared" si="992"/>
        <v>-2875.0864214724438</v>
      </c>
      <c r="T644">
        <f t="shared" si="993"/>
        <v>-2.8750864214724436</v>
      </c>
    </row>
    <row r="645" spans="1:20" x14ac:dyDescent="0.25">
      <c r="A645" s="5">
        <v>43948</v>
      </c>
      <c r="B645">
        <v>4.6449999999999998E-2</v>
      </c>
      <c r="C645">
        <v>4.6690000000000002E-2</v>
      </c>
      <c r="D645">
        <v>3.8609999999999998E-2</v>
      </c>
      <c r="E645">
        <v>4.1910000000000003E-2</v>
      </c>
      <c r="F645">
        <v>90008813.900000006</v>
      </c>
      <c r="G645">
        <v>0</v>
      </c>
      <c r="L645" t="s">
        <v>7</v>
      </c>
      <c r="M645" t="s">
        <v>7</v>
      </c>
      <c r="N645" t="s">
        <v>7</v>
      </c>
      <c r="P645">
        <f t="shared" si="989"/>
        <v>-0.1831683168316825</v>
      </c>
      <c r="Q645">
        <f t="shared" si="990"/>
        <v>-16486762.942079149</v>
      </c>
      <c r="R645">
        <f t="shared" si="991"/>
        <v>-206026752.36099902</v>
      </c>
      <c r="S645">
        <f t="shared" si="992"/>
        <v>-2060.2675236099903</v>
      </c>
      <c r="T645">
        <f t="shared" si="993"/>
        <v>-2.0602675236099905</v>
      </c>
    </row>
    <row r="646" spans="1:20" x14ac:dyDescent="0.25">
      <c r="A646" s="5">
        <v>43947</v>
      </c>
      <c r="B646">
        <v>5.1979999999999998E-2</v>
      </c>
      <c r="C646">
        <v>5.4359999999999999E-2</v>
      </c>
      <c r="D646">
        <v>4.5100000000000001E-2</v>
      </c>
      <c r="E646">
        <v>4.6359999999999998E-2</v>
      </c>
      <c r="F646">
        <v>80267163.099999994</v>
      </c>
      <c r="G646">
        <v>0</v>
      </c>
      <c r="L646" t="s">
        <v>7</v>
      </c>
      <c r="M646" t="s">
        <v>7</v>
      </c>
      <c r="N646" t="s">
        <v>7</v>
      </c>
      <c r="P646">
        <f t="shared" ref="P646:P709" si="994">IF(C646=D646,0,((E646-D646)-(C646-E646))/(C646-D646))</f>
        <v>-0.72786177105831584</v>
      </c>
      <c r="Q646">
        <f t="shared" ref="Q646:Q709" si="995">F646*P646</f>
        <v>-58423399.491792694</v>
      </c>
      <c r="R646">
        <f t="shared" ref="R646:R709" si="996">R647+Q646</f>
        <v>-189539989.41891986</v>
      </c>
      <c r="S646">
        <f t="shared" ref="S646:S709" si="997">R646/100000</f>
        <v>-1895.3998941891987</v>
      </c>
      <c r="T646">
        <f t="shared" ref="T646:T709" si="998">S646/1000</f>
        <v>-1.8953998941891987</v>
      </c>
    </row>
    <row r="647" spans="1:20" x14ac:dyDescent="0.25">
      <c r="A647" s="5">
        <v>43946</v>
      </c>
      <c r="B647">
        <v>5.176E-2</v>
      </c>
      <c r="C647">
        <v>5.6000000000000001E-2</v>
      </c>
      <c r="D647">
        <v>5.0889999999999998E-2</v>
      </c>
      <c r="E647">
        <v>5.1979999999999998E-2</v>
      </c>
      <c r="F647">
        <v>60880303.799999997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-0.57338551859099807</v>
      </c>
      <c r="Q647">
        <f t="shared" si="995"/>
        <v>-34907884.566340506</v>
      </c>
      <c r="R647">
        <f t="shared" si="996"/>
        <v>-131116589.92712717</v>
      </c>
      <c r="S647">
        <f t="shared" si="997"/>
        <v>-1311.1658992712717</v>
      </c>
      <c r="T647">
        <f t="shared" si="998"/>
        <v>-1.3111658992712716</v>
      </c>
    </row>
    <row r="648" spans="1:20" x14ac:dyDescent="0.25">
      <c r="A648" s="5">
        <v>43945</v>
      </c>
      <c r="B648">
        <v>5.731E-2</v>
      </c>
      <c r="C648">
        <v>6.3880000000000006E-2</v>
      </c>
      <c r="D648">
        <v>5.0639999999999998E-2</v>
      </c>
      <c r="E648">
        <v>5.1709999999999999E-2</v>
      </c>
      <c r="F648">
        <v>126658921</v>
      </c>
      <c r="G648">
        <v>0</v>
      </c>
      <c r="L648" t="s">
        <v>7</v>
      </c>
      <c r="M648" t="s">
        <v>7</v>
      </c>
      <c r="N648" t="s">
        <v>7</v>
      </c>
      <c r="P648">
        <f t="shared" si="994"/>
        <v>-0.83836858006042281</v>
      </c>
      <c r="Q648">
        <f t="shared" si="995"/>
        <v>-106186859.75075527</v>
      </c>
      <c r="R648">
        <f t="shared" si="996"/>
        <v>-96208705.360786662</v>
      </c>
      <c r="S648">
        <f t="shared" si="997"/>
        <v>-962.08705360786666</v>
      </c>
      <c r="T648">
        <f t="shared" si="998"/>
        <v>-0.96208705360786662</v>
      </c>
    </row>
    <row r="649" spans="1:20" x14ac:dyDescent="0.25">
      <c r="A649" s="5">
        <v>43944</v>
      </c>
      <c r="B649">
        <v>1.506E-2</v>
      </c>
      <c r="C649">
        <v>9.8000000000000004E-2</v>
      </c>
      <c r="D649">
        <v>1.506E-2</v>
      </c>
      <c r="E649">
        <v>5.731E-2</v>
      </c>
      <c r="F649">
        <v>530505208.39999998</v>
      </c>
      <c r="G649">
        <v>0</v>
      </c>
      <c r="P649">
        <f t="shared" si="994"/>
        <v>1.8808777429466988E-2</v>
      </c>
      <c r="Q649">
        <f t="shared" si="995"/>
        <v>9978154.3899686001</v>
      </c>
      <c r="R649">
        <f t="shared" si="996"/>
        <v>9978154.3899686001</v>
      </c>
      <c r="S649">
        <f t="shared" si="997"/>
        <v>99.781543899686</v>
      </c>
      <c r="T649">
        <f t="shared" si="998"/>
        <v>9.9781543899685993E-2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D628" sqref="ND62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$A$627</v>
      </c>
      <c r="D111" s="1" t="str">
        <f>ADDRESS(C121-1,D121,1,1)</f>
        <v>$ND$627</v>
      </c>
      <c r="E111"/>
    </row>
    <row r="112" spans="1:5" x14ac:dyDescent="0.25">
      <c r="A112" s="7">
        <v>12164.144957890772</v>
      </c>
      <c r="C112" s="1" t="str">
        <f>ADDRESS(C121,1,1,1)</f>
        <v>$A$628</v>
      </c>
      <c r="D112" s="1" t="str">
        <f>ADDRESS(C121,D121-1,1,1)</f>
        <v>$NC$628</v>
      </c>
      <c r="E112"/>
    </row>
    <row r="113" spans="1:5" x14ac:dyDescent="0.25">
      <c r="A113" s="7">
        <v>11925.63231165762</v>
      </c>
      <c r="C113" s="1" t="str">
        <f>ADDRESS(C121+1,1,1,1)</f>
        <v>$A$629</v>
      </c>
      <c r="D113" s="1" t="str">
        <f>ADDRESS(C121-1,D121+1,1,1)</f>
        <v>$NE$627</v>
      </c>
    </row>
    <row r="114" spans="1:5" x14ac:dyDescent="0.25">
      <c r="A114" s="7">
        <v>11691.796383978059</v>
      </c>
      <c r="C114" s="1" t="str">
        <f>ADDRESS(C121,D121,1,1)</f>
        <v>$ND$628</v>
      </c>
      <c r="D114" s="1" t="str">
        <f>ADDRESS(C121+1,D121+1,1,1)</f>
        <v>$NE$629</v>
      </c>
    </row>
    <row r="115" spans="1:5" x14ac:dyDescent="0.25">
      <c r="A115" s="7">
        <v>11462.545474488292</v>
      </c>
      <c r="C115" s="1" t="str">
        <f>ADDRESS(C121+1,D121,1,1)</f>
        <v>$ND$629</v>
      </c>
    </row>
    <row r="116" spans="1:5" x14ac:dyDescent="0.25">
      <c r="A116" s="7">
        <v>11237.789680870874</v>
      </c>
      <c r="C116" s="1">
        <f>C117-1</f>
        <v>627</v>
      </c>
    </row>
    <row r="117" spans="1:5" x14ac:dyDescent="0.25">
      <c r="A117" s="7">
        <v>11017.440863598895</v>
      </c>
      <c r="C117" s="1">
        <f>C121</f>
        <v>628</v>
      </c>
      <c r="D117" s="1">
        <f>D121</f>
        <v>368</v>
      </c>
    </row>
    <row r="118" spans="1:5" x14ac:dyDescent="0.25">
      <c r="A118" s="7">
        <v>10801.412611371465</v>
      </c>
      <c r="C118" s="1">
        <f>C117+1</f>
        <v>629</v>
      </c>
      <c r="D118" s="1">
        <f>D117+1</f>
        <v>369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628</v>
      </c>
      <c r="D121" s="19">
        <v>368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R628</v>
      </c>
      <c r="D123" s="1" t="str">
        <f>"C"&amp;D121</f>
        <v>C368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0.44401021096591808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325" x14ac:dyDescent="0.25">
      <c r="A545" s="7">
        <v>2.2972444660248938</v>
      </c>
      <c r="B545"/>
      <c r="C545"/>
      <c r="D545"/>
      <c r="E545"/>
    </row>
    <row r="546" spans="1:325" x14ac:dyDescent="0.25">
      <c r="A546" s="7">
        <v>2.252200456887151</v>
      </c>
      <c r="B546"/>
      <c r="C546"/>
      <c r="D546"/>
      <c r="E546"/>
    </row>
    <row r="547" spans="1:325" x14ac:dyDescent="0.25">
      <c r="A547" s="7">
        <v>2.208039663614854</v>
      </c>
      <c r="B547"/>
      <c r="C547"/>
      <c r="D547"/>
      <c r="E547"/>
    </row>
    <row r="548" spans="1:325" x14ac:dyDescent="0.25">
      <c r="A548" s="7">
        <v>2.1647447682498568</v>
      </c>
      <c r="B548"/>
      <c r="C548"/>
      <c r="D548"/>
      <c r="E548"/>
    </row>
    <row r="549" spans="1:325" x14ac:dyDescent="0.25">
      <c r="A549" s="7">
        <v>2.1222987924018204</v>
      </c>
      <c r="B549"/>
      <c r="C549"/>
      <c r="D549"/>
      <c r="E549"/>
    </row>
    <row r="550" spans="1:325" x14ac:dyDescent="0.25">
      <c r="A550" s="7">
        <v>2.0806850905900198</v>
      </c>
      <c r="B550"/>
      <c r="C550"/>
      <c r="D550"/>
      <c r="E550"/>
    </row>
    <row r="551" spans="1:325" x14ac:dyDescent="0.25">
      <c r="A551" s="7">
        <v>2.0398873437157055</v>
      </c>
      <c r="B551"/>
      <c r="C551"/>
      <c r="D551"/>
      <c r="E551"/>
    </row>
    <row r="552" spans="1:325" x14ac:dyDescent="0.25">
      <c r="A552" s="7">
        <v>1.9998895526624565</v>
      </c>
      <c r="B552"/>
      <c r="C552"/>
      <c r="D552"/>
      <c r="E552"/>
    </row>
    <row r="553" spans="1:325" x14ac:dyDescent="0.25">
      <c r="A553" s="7">
        <v>1.9606760320220162</v>
      </c>
      <c r="B553"/>
      <c r="C553"/>
      <c r="D553"/>
      <c r="E553"/>
    </row>
    <row r="554" spans="1:325" x14ac:dyDescent="0.25">
      <c r="A554" s="7">
        <v>1.9222314039431532</v>
      </c>
      <c r="B554"/>
      <c r="C554"/>
      <c r="D554"/>
      <c r="E554"/>
    </row>
    <row r="555" spans="1:325" x14ac:dyDescent="0.25">
      <c r="A555" s="7">
        <v>1.8845405921011305</v>
      </c>
      <c r="B555"/>
      <c r="C555"/>
      <c r="D555"/>
      <c r="E555"/>
    </row>
    <row r="556" spans="1:325" x14ac:dyDescent="0.25">
      <c r="A556" s="7">
        <v>1.8475888157854219</v>
      </c>
      <c r="B556"/>
      <c r="C556"/>
      <c r="D556"/>
      <c r="E556"/>
    </row>
    <row r="557" spans="1:325" x14ac:dyDescent="0.25">
      <c r="A557" s="7">
        <v>1.8113615841033548</v>
      </c>
      <c r="B557"/>
      <c r="C557"/>
      <c r="D557"/>
      <c r="E557"/>
    </row>
    <row r="558" spans="1:325" x14ac:dyDescent="0.25">
      <c r="A558" s="7">
        <v>1.7758446902974065</v>
      </c>
      <c r="B558"/>
      <c r="C558"/>
      <c r="D558"/>
      <c r="E558"/>
    </row>
    <row r="559" spans="1:325" x14ac:dyDescent="0.25">
      <c r="A559" s="7">
        <v>1.7410242061739281</v>
      </c>
      <c r="B559"/>
      <c r="C559"/>
      <c r="D559"/>
      <c r="E559"/>
      <c r="HM559" s="27" t="s">
        <v>8</v>
      </c>
    </row>
    <row r="560" spans="1:325" x14ac:dyDescent="0.25">
      <c r="A560" s="7">
        <v>1.7068864766411058</v>
      </c>
      <c r="B560"/>
      <c r="C560"/>
      <c r="D560"/>
      <c r="E560"/>
      <c r="HM560" s="27" t="s">
        <v>8</v>
      </c>
      <c r="HN560" s="27" t="s">
        <v>7</v>
      </c>
      <c r="LM560" s="27" t="s">
        <v>8</v>
      </c>
    </row>
    <row r="561" spans="1:326" x14ac:dyDescent="0.25">
      <c r="A561" s="7">
        <v>1.6734181143540252</v>
      </c>
      <c r="B561"/>
      <c r="C561"/>
      <c r="D561"/>
      <c r="E561"/>
      <c r="HM561" s="27" t="s">
        <v>8</v>
      </c>
      <c r="HN561" s="27" t="s">
        <v>7</v>
      </c>
      <c r="LM561" s="27" t="s">
        <v>8</v>
      </c>
      <c r="LN561" s="27" t="s">
        <v>7</v>
      </c>
    </row>
    <row r="562" spans="1:326" x14ac:dyDescent="0.25">
      <c r="A562" s="7">
        <v>1.6406059944647307</v>
      </c>
      <c r="B562"/>
      <c r="C562"/>
      <c r="D562"/>
      <c r="E562"/>
      <c r="HM562" s="27" t="s">
        <v>8</v>
      </c>
      <c r="HN562" s="27" t="s">
        <v>7</v>
      </c>
      <c r="LM562" s="27" t="s">
        <v>8</v>
      </c>
      <c r="LN562" s="27" t="s">
        <v>7</v>
      </c>
    </row>
    <row r="563" spans="1:326" x14ac:dyDescent="0.25">
      <c r="A563" s="7">
        <v>1.6084372494752261</v>
      </c>
      <c r="B563"/>
      <c r="C563"/>
      <c r="D563"/>
      <c r="E563"/>
      <c r="HM563" s="27" t="s">
        <v>8</v>
      </c>
      <c r="HN563" s="27" t="s">
        <v>7</v>
      </c>
      <c r="LM563" s="27" t="s">
        <v>8</v>
      </c>
      <c r="LN563" s="27" t="s">
        <v>7</v>
      </c>
    </row>
    <row r="564" spans="1:326" x14ac:dyDescent="0.25">
      <c r="A564" s="7">
        <v>1.5768992641913981</v>
      </c>
      <c r="B564"/>
      <c r="C564"/>
      <c r="D564"/>
      <c r="E564"/>
      <c r="HM564" s="27" t="s">
        <v>8</v>
      </c>
      <c r="HN564" s="27" t="s">
        <v>7</v>
      </c>
      <c r="LM564" s="27" t="s">
        <v>8</v>
      </c>
      <c r="LN564" s="27" t="s">
        <v>7</v>
      </c>
    </row>
    <row r="565" spans="1:326" x14ac:dyDescent="0.25">
      <c r="A565" s="7">
        <v>1.5459796707758806</v>
      </c>
      <c r="B565"/>
      <c r="C565"/>
      <c r="D565"/>
      <c r="E565"/>
      <c r="HM565" s="27" t="s">
        <v>8</v>
      </c>
      <c r="HN565" s="27" t="s">
        <v>7</v>
      </c>
      <c r="LM565" s="27" t="s">
        <v>8</v>
      </c>
      <c r="LN565" s="27" t="s">
        <v>7</v>
      </c>
    </row>
    <row r="566" spans="1:326" x14ac:dyDescent="0.25">
      <c r="A566" s="7">
        <v>1.5156663438979221</v>
      </c>
      <c r="B566"/>
      <c r="C566"/>
      <c r="D566"/>
      <c r="E566"/>
      <c r="HM566" s="27" t="s">
        <v>8</v>
      </c>
      <c r="HN566" s="27" t="s">
        <v>7</v>
      </c>
      <c r="LM566" s="27" t="s">
        <v>8</v>
      </c>
      <c r="LN566" s="27" t="s">
        <v>7</v>
      </c>
    </row>
    <row r="567" spans="1:326" x14ac:dyDescent="0.25">
      <c r="A567" s="7">
        <v>1.4859473959783549</v>
      </c>
      <c r="B567"/>
      <c r="C567"/>
      <c r="D567"/>
      <c r="E567"/>
      <c r="HM567" s="27" t="s">
        <v>8</v>
      </c>
      <c r="HN567" s="27" t="s">
        <v>7</v>
      </c>
      <c r="LM567" s="27" t="s">
        <v>8</v>
      </c>
      <c r="LN567" s="27" t="s">
        <v>7</v>
      </c>
    </row>
    <row r="568" spans="1:326" x14ac:dyDescent="0.25">
      <c r="A568" s="7">
        <v>1.4568111725277988</v>
      </c>
      <c r="B568"/>
      <c r="C568"/>
      <c r="D568"/>
      <c r="E568"/>
      <c r="HM568" s="27" t="s">
        <v>8</v>
      </c>
      <c r="HN568" s="27" t="s">
        <v>7</v>
      </c>
      <c r="LM568" s="27" t="s">
        <v>8</v>
      </c>
      <c r="LN568" s="27" t="s">
        <v>7</v>
      </c>
    </row>
    <row r="569" spans="1:326" x14ac:dyDescent="0.25">
      <c r="A569" s="7">
        <v>1.4282462475762734</v>
      </c>
      <c r="B569"/>
      <c r="C569"/>
      <c r="D569"/>
      <c r="E569"/>
      <c r="HM569" s="27" t="s">
        <v>8</v>
      </c>
      <c r="HN569" s="27" t="s">
        <v>7</v>
      </c>
      <c r="LM569" s="27" t="s">
        <v>8</v>
      </c>
      <c r="LN569" s="27" t="s">
        <v>7</v>
      </c>
    </row>
    <row r="570" spans="1:326" x14ac:dyDescent="0.25">
      <c r="A570" s="7">
        <v>1.4002414191924248</v>
      </c>
      <c r="B570"/>
      <c r="C570"/>
      <c r="D570"/>
      <c r="E570"/>
      <c r="HM570" s="27" t="s">
        <v>8</v>
      </c>
      <c r="HN570" s="27" t="s">
        <v>7</v>
      </c>
      <c r="LM570" s="27" t="s">
        <v>8</v>
      </c>
      <c r="LN570" s="27" t="s">
        <v>7</v>
      </c>
    </row>
    <row r="571" spans="1:326" x14ac:dyDescent="0.25">
      <c r="A571" s="7">
        <v>1.3727857050906125</v>
      </c>
      <c r="B571"/>
      <c r="C571"/>
      <c r="D571"/>
      <c r="E571"/>
      <c r="HM571" s="27" t="s">
        <v>8</v>
      </c>
      <c r="HN571" s="27" t="s">
        <v>7</v>
      </c>
      <c r="LM571" s="27" t="s">
        <v>8</v>
      </c>
      <c r="LN571" s="27" t="s">
        <v>7</v>
      </c>
    </row>
    <row r="572" spans="1:326" x14ac:dyDescent="0.25">
      <c r="A572" s="7">
        <v>1.3458683383241299</v>
      </c>
      <c r="B572"/>
      <c r="C572"/>
      <c r="D572"/>
      <c r="E572"/>
      <c r="HM572" s="27" t="s">
        <v>8</v>
      </c>
      <c r="HN572" s="27" t="s">
        <v>7</v>
      </c>
      <c r="HQ572" s="27" t="s">
        <v>8</v>
      </c>
      <c r="LM572" s="27" t="s">
        <v>8</v>
      </c>
      <c r="LN572" s="27" t="s">
        <v>7</v>
      </c>
    </row>
    <row r="573" spans="1:326" x14ac:dyDescent="0.25">
      <c r="A573" s="7">
        <v>1.3194787630628724</v>
      </c>
      <c r="B573"/>
      <c r="C573"/>
      <c r="D573"/>
      <c r="E573"/>
      <c r="HM573" s="27" t="s">
        <v>8</v>
      </c>
      <c r="HN573" s="27" t="s">
        <v>7</v>
      </c>
      <c r="HQ573" s="27" t="s">
        <v>8</v>
      </c>
      <c r="HR573" s="27" t="s">
        <v>7</v>
      </c>
      <c r="LM573" s="27" t="s">
        <v>8</v>
      </c>
      <c r="LN573" s="27" t="s">
        <v>7</v>
      </c>
    </row>
    <row r="574" spans="1:326" x14ac:dyDescent="0.25">
      <c r="A574" s="7">
        <v>1.2936066304537963</v>
      </c>
      <c r="B574"/>
      <c r="C574"/>
      <c r="D574"/>
      <c r="E574"/>
      <c r="HM574" s="27" t="s">
        <v>8</v>
      </c>
      <c r="HN574" s="27" t="s">
        <v>7</v>
      </c>
      <c r="HQ574" s="27" t="s">
        <v>8</v>
      </c>
      <c r="HR574" s="27" t="s">
        <v>7</v>
      </c>
      <c r="HS574" s="27" t="s">
        <v>8</v>
      </c>
      <c r="LM574" s="27" t="s">
        <v>8</v>
      </c>
      <c r="LN574" s="27" t="s">
        <v>7</v>
      </c>
    </row>
    <row r="575" spans="1:326" x14ac:dyDescent="0.25">
      <c r="A575" s="7">
        <v>1.2682417945625455</v>
      </c>
      <c r="B575"/>
      <c r="C575"/>
      <c r="D575"/>
      <c r="E575"/>
      <c r="HM575" s="27" t="s">
        <v>8</v>
      </c>
      <c r="HN575" s="27" t="s">
        <v>7</v>
      </c>
      <c r="HQ575" s="27" t="s">
        <v>8</v>
      </c>
      <c r="HR575" s="27" t="s">
        <v>7</v>
      </c>
      <c r="HS575" s="27" t="s">
        <v>8</v>
      </c>
      <c r="HT575" s="27" t="s">
        <v>7</v>
      </c>
      <c r="JM575" s="27" t="s">
        <v>8</v>
      </c>
      <c r="LM575" s="27" t="s">
        <v>8</v>
      </c>
      <c r="LN575" s="27" t="s">
        <v>7</v>
      </c>
    </row>
    <row r="576" spans="1:326" x14ac:dyDescent="0.25">
      <c r="A576" s="7">
        <v>1.2433743083946525</v>
      </c>
      <c r="B576"/>
      <c r="C576"/>
      <c r="D576"/>
      <c r="E576"/>
      <c r="HM576" s="27" t="s">
        <v>8</v>
      </c>
      <c r="HN576" s="27" t="s">
        <v>7</v>
      </c>
      <c r="HQ576" s="27" t="s">
        <v>8</v>
      </c>
      <c r="HR576" s="27" t="s">
        <v>7</v>
      </c>
      <c r="HS576" s="27" t="s">
        <v>8</v>
      </c>
      <c r="HT576" s="27" t="s">
        <v>7</v>
      </c>
      <c r="JM576" s="27" t="s">
        <v>8</v>
      </c>
      <c r="JN576" s="27" t="s">
        <v>7</v>
      </c>
      <c r="LM576" s="27" t="s">
        <v>8</v>
      </c>
      <c r="LN576" s="27" t="s">
        <v>7</v>
      </c>
    </row>
    <row r="577" spans="1:340" x14ac:dyDescent="0.25">
      <c r="A577" s="7">
        <v>1.2189944199947573</v>
      </c>
      <c r="B577"/>
      <c r="C577"/>
      <c r="D577"/>
      <c r="E577"/>
      <c r="HM577" s="27" t="s">
        <v>8</v>
      </c>
      <c r="HN577" s="27" t="s">
        <v>7</v>
      </c>
      <c r="HO577" s="27" t="s">
        <v>8</v>
      </c>
      <c r="HQ577" s="27" t="s">
        <v>8</v>
      </c>
      <c r="HR577" s="27" t="s">
        <v>7</v>
      </c>
      <c r="HS577" s="27" t="s">
        <v>8</v>
      </c>
      <c r="HT577" s="27" t="s">
        <v>7</v>
      </c>
      <c r="JM577" s="27" t="s">
        <v>8</v>
      </c>
      <c r="JN577" s="27" t="s">
        <v>7</v>
      </c>
      <c r="LM577" s="27" t="s">
        <v>8</v>
      </c>
      <c r="LN577" s="27" t="s">
        <v>7</v>
      </c>
    </row>
    <row r="578" spans="1:340" x14ac:dyDescent="0.25">
      <c r="A578" s="7">
        <v>1.1950925686223111</v>
      </c>
      <c r="B578"/>
      <c r="C578"/>
      <c r="D578"/>
      <c r="E578"/>
      <c r="HM578" s="27" t="s">
        <v>8</v>
      </c>
      <c r="HN578" s="27" t="s">
        <v>7</v>
      </c>
      <c r="HO578" s="27" t="s">
        <v>8</v>
      </c>
      <c r="HP578" s="27" t="s">
        <v>7</v>
      </c>
      <c r="HQ578" s="27" t="s">
        <v>8</v>
      </c>
      <c r="HR578" s="27" t="s">
        <v>7</v>
      </c>
      <c r="HS578" s="27" t="s">
        <v>8</v>
      </c>
      <c r="HT578" s="27" t="s">
        <v>7</v>
      </c>
      <c r="JM578" s="27" t="s">
        <v>8</v>
      </c>
      <c r="JN578" s="27" t="s">
        <v>7</v>
      </c>
      <c r="LM578" s="27" t="s">
        <v>8</v>
      </c>
      <c r="LN578" s="27" t="s">
        <v>7</v>
      </c>
      <c r="LU578" s="27" t="s">
        <v>8</v>
      </c>
    </row>
    <row r="579" spans="1:340" x14ac:dyDescent="0.25">
      <c r="A579" s="7">
        <v>1.1716593810022657</v>
      </c>
      <c r="B579"/>
      <c r="C579"/>
      <c r="D579"/>
      <c r="E579"/>
      <c r="HM579" s="27" t="s">
        <v>8</v>
      </c>
      <c r="HN579" s="27" t="s">
        <v>7</v>
      </c>
      <c r="HO579" s="27" t="s">
        <v>8</v>
      </c>
      <c r="HP579" s="27" t="s">
        <v>7</v>
      </c>
      <c r="HQ579" s="27" t="s">
        <v>8</v>
      </c>
      <c r="HR579" s="27" t="s">
        <v>7</v>
      </c>
      <c r="HS579" s="27" t="s">
        <v>8</v>
      </c>
      <c r="HT579" s="27" t="s">
        <v>7</v>
      </c>
      <c r="JM579" s="27" t="s">
        <v>8</v>
      </c>
      <c r="JN579" s="27" t="s">
        <v>7</v>
      </c>
      <c r="LM579" s="27" t="s">
        <v>8</v>
      </c>
      <c r="LN579" s="27" t="s">
        <v>7</v>
      </c>
      <c r="LU579" s="27" t="s">
        <v>8</v>
      </c>
      <c r="LV579" s="27" t="s">
        <v>7</v>
      </c>
    </row>
    <row r="580" spans="1:340" x14ac:dyDescent="0.25">
      <c r="A580" s="7">
        <v>1.14868566764928</v>
      </c>
      <c r="B580"/>
      <c r="C580"/>
      <c r="D580"/>
      <c r="E580"/>
      <c r="HM580" s="27" t="s">
        <v>8</v>
      </c>
      <c r="HN580" s="27" t="s">
        <v>7</v>
      </c>
      <c r="HO580" s="27" t="s">
        <v>8</v>
      </c>
      <c r="HP580" s="27" t="s">
        <v>7</v>
      </c>
      <c r="HQ580" s="27" t="s">
        <v>8</v>
      </c>
      <c r="HR580" s="27" t="s">
        <v>7</v>
      </c>
      <c r="HS580" s="27" t="s">
        <v>8</v>
      </c>
      <c r="HT580" s="27" t="s">
        <v>7</v>
      </c>
      <c r="JM580" s="27" t="s">
        <v>8</v>
      </c>
      <c r="JN580" s="27" t="s">
        <v>7</v>
      </c>
      <c r="LM580" s="27" t="s">
        <v>8</v>
      </c>
      <c r="LN580" s="27" t="s">
        <v>7</v>
      </c>
      <c r="LO580" s="27" t="s">
        <v>8</v>
      </c>
      <c r="LU580" s="27" t="s">
        <v>8</v>
      </c>
      <c r="LV580" s="27" t="s">
        <v>7</v>
      </c>
      <c r="LY580" s="27" t="s">
        <v>8</v>
      </c>
    </row>
    <row r="581" spans="1:340" x14ac:dyDescent="0.25">
      <c r="A581" s="7">
        <v>1.1261624192640001</v>
      </c>
      <c r="B581"/>
      <c r="C581"/>
      <c r="D581"/>
      <c r="E581"/>
      <c r="HM581" s="27" t="s">
        <v>8</v>
      </c>
      <c r="HN581" s="27" t="s">
        <v>7</v>
      </c>
      <c r="HO581" s="27" t="s">
        <v>8</v>
      </c>
      <c r="HP581" s="27" t="s">
        <v>7</v>
      </c>
      <c r="HQ581" s="27" t="s">
        <v>8</v>
      </c>
      <c r="HR581" s="27" t="s">
        <v>7</v>
      </c>
      <c r="HS581" s="27" t="s">
        <v>8</v>
      </c>
      <c r="HT581" s="27" t="s">
        <v>7</v>
      </c>
      <c r="JM581" s="27" t="s">
        <v>8</v>
      </c>
      <c r="JN581" s="27" t="s">
        <v>7</v>
      </c>
      <c r="LM581" s="27" t="s">
        <v>8</v>
      </c>
      <c r="LN581" s="27" t="s">
        <v>7</v>
      </c>
      <c r="LO581" s="27" t="s">
        <v>8</v>
      </c>
      <c r="LP581" s="27" t="s">
        <v>7</v>
      </c>
      <c r="LU581" s="27" t="s">
        <v>8</v>
      </c>
      <c r="LV581" s="27" t="s">
        <v>7</v>
      </c>
      <c r="LY581" s="27" t="s">
        <v>8</v>
      </c>
      <c r="LZ581" s="27" t="s">
        <v>7</v>
      </c>
      <c r="MA581" s="27" t="s">
        <v>8</v>
      </c>
    </row>
    <row r="582" spans="1:340" x14ac:dyDescent="0.25">
      <c r="A582" s="7">
        <v>1.1040808032</v>
      </c>
      <c r="B582"/>
      <c r="C582"/>
      <c r="D582"/>
      <c r="E582"/>
      <c r="HM582" s="27" t="s">
        <v>8</v>
      </c>
      <c r="HN582" s="27" t="s">
        <v>7</v>
      </c>
      <c r="HO582" s="27" t="s">
        <v>8</v>
      </c>
      <c r="HP582" s="27" t="s">
        <v>7</v>
      </c>
      <c r="HQ582" s="27" t="s">
        <v>8</v>
      </c>
      <c r="HR582" s="27" t="s">
        <v>7</v>
      </c>
      <c r="HS582" s="27" t="s">
        <v>8</v>
      </c>
      <c r="HT582" s="27" t="s">
        <v>7</v>
      </c>
      <c r="JM582" s="27" t="s">
        <v>8</v>
      </c>
      <c r="JN582" s="27" t="s">
        <v>7</v>
      </c>
      <c r="LM582" s="27" t="s">
        <v>8</v>
      </c>
      <c r="LN582" s="27" t="s">
        <v>7</v>
      </c>
      <c r="LO582" s="27" t="s">
        <v>8</v>
      </c>
      <c r="LP582" s="27" t="s">
        <v>7</v>
      </c>
      <c r="LQ582" s="27" t="s">
        <v>8</v>
      </c>
      <c r="LU582" s="27" t="s">
        <v>8</v>
      </c>
      <c r="LV582" s="27" t="s">
        <v>7</v>
      </c>
      <c r="LY582" s="27" t="s">
        <v>8</v>
      </c>
      <c r="LZ582" s="27" t="s">
        <v>7</v>
      </c>
      <c r="MA582" s="27" t="s">
        <v>8</v>
      </c>
      <c r="MB582" s="27" t="s">
        <v>7</v>
      </c>
    </row>
    <row r="583" spans="1:340" x14ac:dyDescent="0.25">
      <c r="A583" s="7">
        <v>1.08243216</v>
      </c>
      <c r="B583"/>
      <c r="C583"/>
      <c r="D583"/>
      <c r="E583"/>
      <c r="HM583" s="27" t="s">
        <v>8</v>
      </c>
      <c r="HN583" s="27" t="s">
        <v>7</v>
      </c>
      <c r="HO583" s="27" t="s">
        <v>8</v>
      </c>
      <c r="HP583" s="27" t="s">
        <v>7</v>
      </c>
      <c r="HQ583" s="27" t="s">
        <v>8</v>
      </c>
      <c r="HR583" s="27" t="s">
        <v>7</v>
      </c>
      <c r="HS583" s="27" t="s">
        <v>8</v>
      </c>
      <c r="HT583" s="27" t="s">
        <v>7</v>
      </c>
      <c r="JM583" s="27" t="s">
        <v>8</v>
      </c>
      <c r="JN583" s="27" t="s">
        <v>7</v>
      </c>
      <c r="LM583" s="27" t="s">
        <v>8</v>
      </c>
      <c r="LN583" s="27" t="s">
        <v>7</v>
      </c>
      <c r="LO583" s="27" t="s">
        <v>8</v>
      </c>
      <c r="LP583" s="27" t="s">
        <v>7</v>
      </c>
      <c r="LQ583" s="27" t="s">
        <v>8</v>
      </c>
      <c r="LR583" s="27" t="s">
        <v>7</v>
      </c>
      <c r="LU583" s="27" t="s">
        <v>8</v>
      </c>
      <c r="LV583" s="27" t="s">
        <v>7</v>
      </c>
      <c r="LY583" s="27" t="s">
        <v>8</v>
      </c>
      <c r="LZ583" s="27" t="s">
        <v>7</v>
      </c>
      <c r="MA583" s="27" t="s">
        <v>8</v>
      </c>
      <c r="MB583" s="27" t="s">
        <v>7</v>
      </c>
    </row>
    <row r="584" spans="1:340" x14ac:dyDescent="0.25">
      <c r="A584" s="7">
        <v>1.0612079999999999</v>
      </c>
      <c r="B584"/>
      <c r="C584"/>
      <c r="D584"/>
      <c r="E584"/>
      <c r="HK584" s="27" t="s">
        <v>8</v>
      </c>
      <c r="HM584" s="27" t="s">
        <v>8</v>
      </c>
      <c r="HN584" s="27" t="s">
        <v>7</v>
      </c>
      <c r="HP584" s="27" t="s">
        <v>7</v>
      </c>
      <c r="HQ584" s="27" t="s">
        <v>8</v>
      </c>
      <c r="HR584" s="27" t="s">
        <v>7</v>
      </c>
      <c r="HS584" s="27" t="s">
        <v>8</v>
      </c>
      <c r="HT584" s="27" t="s">
        <v>7</v>
      </c>
      <c r="JM584" s="27" t="s">
        <v>8</v>
      </c>
      <c r="JN584" s="27" t="s">
        <v>7</v>
      </c>
      <c r="LC584" s="27" t="s">
        <v>8</v>
      </c>
      <c r="LM584" s="27" t="s">
        <v>8</v>
      </c>
      <c r="LN584" s="27" t="s">
        <v>7</v>
      </c>
      <c r="LO584" s="27" t="s">
        <v>8</v>
      </c>
      <c r="LP584" s="27" t="s">
        <v>7</v>
      </c>
      <c r="LQ584" s="27" t="s">
        <v>8</v>
      </c>
      <c r="LR584" s="27" t="s">
        <v>7</v>
      </c>
      <c r="LU584" s="27" t="s">
        <v>8</v>
      </c>
      <c r="LV584" s="27" t="s">
        <v>7</v>
      </c>
      <c r="LW584" s="27" t="s">
        <v>8</v>
      </c>
      <c r="LY584" s="27" t="s">
        <v>8</v>
      </c>
      <c r="LZ584" s="27" t="s">
        <v>7</v>
      </c>
      <c r="MA584" s="27" t="s">
        <v>8</v>
      </c>
      <c r="MB584" s="27" t="s">
        <v>7</v>
      </c>
    </row>
    <row r="585" spans="1:340" x14ac:dyDescent="0.25">
      <c r="A585" s="7">
        <v>1.0404</v>
      </c>
      <c r="B585"/>
      <c r="C585"/>
      <c r="D585"/>
      <c r="E585"/>
      <c r="HK585" s="27" t="s">
        <v>8</v>
      </c>
      <c r="HL585" s="27" t="s">
        <v>7</v>
      </c>
      <c r="HM585" s="27" t="s">
        <v>8</v>
      </c>
      <c r="HP585" s="27" t="s">
        <v>7</v>
      </c>
      <c r="HQ585" s="27" t="s">
        <v>8</v>
      </c>
      <c r="HR585" s="27" t="s">
        <v>7</v>
      </c>
      <c r="HS585" s="27" t="s">
        <v>8</v>
      </c>
      <c r="HT585" s="27" t="s">
        <v>7</v>
      </c>
      <c r="JM585" s="27" t="s">
        <v>8</v>
      </c>
      <c r="JN585" s="27" t="s">
        <v>7</v>
      </c>
      <c r="LC585" s="27" t="s">
        <v>8</v>
      </c>
      <c r="LD585" s="27" t="s">
        <v>7</v>
      </c>
      <c r="LM585" s="27" t="s">
        <v>8</v>
      </c>
      <c r="LN585" s="27" t="s">
        <v>7</v>
      </c>
      <c r="LO585" s="27" t="s">
        <v>8</v>
      </c>
      <c r="LP585" s="27" t="s">
        <v>7</v>
      </c>
      <c r="LQ585" s="27" t="s">
        <v>8</v>
      </c>
      <c r="LR585" s="27" t="s">
        <v>7</v>
      </c>
      <c r="LU585" s="27" t="s">
        <v>8</v>
      </c>
      <c r="LV585" s="27" t="s">
        <v>7</v>
      </c>
      <c r="LW585" s="27" t="s">
        <v>8</v>
      </c>
      <c r="LX585" s="27" t="s">
        <v>7</v>
      </c>
      <c r="LY585" s="27" t="s">
        <v>8</v>
      </c>
      <c r="LZ585" s="27" t="s">
        <v>7</v>
      </c>
      <c r="MA585" s="27" t="s">
        <v>8</v>
      </c>
      <c r="MB585" s="27" t="s">
        <v>7</v>
      </c>
    </row>
    <row r="586" spans="1:340" x14ac:dyDescent="0.25">
      <c r="A586" s="7">
        <v>1.02</v>
      </c>
      <c r="B586"/>
      <c r="C586"/>
      <c r="D586"/>
      <c r="E586"/>
      <c r="HK586" s="27" t="s">
        <v>8</v>
      </c>
      <c r="HL586" s="27" t="s">
        <v>7</v>
      </c>
      <c r="HM586" s="27" t="s">
        <v>8</v>
      </c>
      <c r="HP586" s="27" t="s">
        <v>7</v>
      </c>
      <c r="HQ586" s="27" t="s">
        <v>8</v>
      </c>
      <c r="HR586" s="27" t="s">
        <v>7</v>
      </c>
      <c r="HS586" s="27" t="s">
        <v>8</v>
      </c>
      <c r="HT586" s="27" t="s">
        <v>7</v>
      </c>
      <c r="JM586" s="27" t="s">
        <v>8</v>
      </c>
      <c r="JN586" s="27" t="s">
        <v>7</v>
      </c>
      <c r="LC586" s="27" t="s">
        <v>8</v>
      </c>
      <c r="LD586" s="27" t="s">
        <v>7</v>
      </c>
      <c r="LM586" s="27" t="s">
        <v>8</v>
      </c>
      <c r="LN586" s="27" t="s">
        <v>7</v>
      </c>
      <c r="LO586" s="27" t="s">
        <v>8</v>
      </c>
      <c r="LP586" s="27" t="s">
        <v>7</v>
      </c>
      <c r="LQ586" s="27" t="s">
        <v>8</v>
      </c>
      <c r="LR586" s="27" t="s">
        <v>7</v>
      </c>
      <c r="LS586" s="27" t="s">
        <v>8</v>
      </c>
      <c r="LU586" s="27" t="s">
        <v>8</v>
      </c>
      <c r="LV586" s="27" t="s">
        <v>7</v>
      </c>
      <c r="LW586" s="27" t="s">
        <v>8</v>
      </c>
      <c r="LX586" s="27" t="s">
        <v>7</v>
      </c>
      <c r="LY586" s="27" t="s">
        <v>8</v>
      </c>
      <c r="LZ586" s="27" t="s">
        <v>7</v>
      </c>
      <c r="MA586" s="27" t="s">
        <v>8</v>
      </c>
      <c r="MB586" s="27" t="s">
        <v>7</v>
      </c>
    </row>
    <row r="587" spans="1:340" x14ac:dyDescent="0.25">
      <c r="A587" s="7">
        <v>1</v>
      </c>
      <c r="B587"/>
      <c r="C587"/>
      <c r="D587"/>
      <c r="E587" s="29" t="s">
        <v>8</v>
      </c>
      <c r="HK587" s="27" t="s">
        <v>8</v>
      </c>
      <c r="HL587" s="27" t="s">
        <v>7</v>
      </c>
      <c r="HM587" s="27" t="s">
        <v>8</v>
      </c>
      <c r="HP587" s="27" t="s">
        <v>7</v>
      </c>
      <c r="HQ587" s="27" t="s">
        <v>8</v>
      </c>
      <c r="HR587" s="27" t="s">
        <v>7</v>
      </c>
      <c r="HS587" s="27" t="s">
        <v>8</v>
      </c>
      <c r="HT587" s="27" t="s">
        <v>7</v>
      </c>
      <c r="HU587" s="27" t="s">
        <v>8</v>
      </c>
      <c r="JM587" s="27" t="s">
        <v>8</v>
      </c>
      <c r="JN587" s="27" t="s">
        <v>7</v>
      </c>
      <c r="LC587" s="27" t="s">
        <v>8</v>
      </c>
      <c r="LD587" s="27" t="s">
        <v>7</v>
      </c>
      <c r="LM587" s="27" t="s">
        <v>8</v>
      </c>
      <c r="LN587" s="27" t="s">
        <v>7</v>
      </c>
      <c r="LO587" s="27" t="s">
        <v>8</v>
      </c>
      <c r="LP587" s="27" t="s">
        <v>7</v>
      </c>
      <c r="LQ587" s="27" t="s">
        <v>8</v>
      </c>
      <c r="LR587" s="27" t="s">
        <v>7</v>
      </c>
      <c r="LS587" s="27" t="s">
        <v>8</v>
      </c>
      <c r="LT587" s="27" t="s">
        <v>7</v>
      </c>
      <c r="LU587" s="27" t="s">
        <v>8</v>
      </c>
      <c r="LV587" s="27" t="s">
        <v>7</v>
      </c>
      <c r="LW587" s="27" t="s">
        <v>8</v>
      </c>
      <c r="LX587" s="27" t="s">
        <v>7</v>
      </c>
      <c r="LY587" s="27" t="s">
        <v>8</v>
      </c>
      <c r="LZ587" s="27" t="s">
        <v>7</v>
      </c>
      <c r="MA587" s="27" t="s">
        <v>8</v>
      </c>
      <c r="MB587" s="27" t="s">
        <v>7</v>
      </c>
    </row>
    <row r="588" spans="1:340" x14ac:dyDescent="0.25">
      <c r="A588" s="7">
        <v>0.98039215686274506</v>
      </c>
      <c r="B588"/>
      <c r="C588"/>
      <c r="D588"/>
      <c r="E588"/>
      <c r="F588" s="27" t="s">
        <v>7</v>
      </c>
      <c r="HK588" s="27" t="s">
        <v>8</v>
      </c>
      <c r="HL588" s="27" t="s">
        <v>7</v>
      </c>
      <c r="HM588" s="27" t="s">
        <v>8</v>
      </c>
      <c r="HP588" s="27" t="s">
        <v>7</v>
      </c>
      <c r="HQ588" s="27" t="s">
        <v>8</v>
      </c>
      <c r="HR588" s="27" t="s">
        <v>7</v>
      </c>
      <c r="HS588" s="27" t="s">
        <v>8</v>
      </c>
      <c r="HT588" s="27" t="s">
        <v>7</v>
      </c>
      <c r="HU588" s="27" t="s">
        <v>8</v>
      </c>
      <c r="HV588" s="27" t="s">
        <v>7</v>
      </c>
      <c r="JM588" s="27" t="s">
        <v>8</v>
      </c>
      <c r="JN588" s="27" t="s">
        <v>7</v>
      </c>
      <c r="LC588" s="27" t="s">
        <v>8</v>
      </c>
      <c r="LD588" s="27" t="s">
        <v>7</v>
      </c>
      <c r="LE588" s="27" t="s">
        <v>8</v>
      </c>
      <c r="LM588" s="27" t="s">
        <v>8</v>
      </c>
      <c r="LN588" s="27" t="s">
        <v>7</v>
      </c>
      <c r="LO588" s="27" t="s">
        <v>8</v>
      </c>
      <c r="LP588" s="27" t="s">
        <v>7</v>
      </c>
      <c r="LQ588" s="27" t="s">
        <v>8</v>
      </c>
      <c r="LR588" s="27" t="s">
        <v>7</v>
      </c>
      <c r="LS588" s="27" t="s">
        <v>8</v>
      </c>
      <c r="LT588" s="27" t="s">
        <v>7</v>
      </c>
      <c r="LU588" s="27" t="s">
        <v>8</v>
      </c>
      <c r="LV588" s="27" t="s">
        <v>7</v>
      </c>
      <c r="LW588" s="27" t="s">
        <v>8</v>
      </c>
      <c r="LX588" s="27" t="s">
        <v>7</v>
      </c>
      <c r="LY588" s="27" t="s">
        <v>8</v>
      </c>
      <c r="LZ588" s="27" t="s">
        <v>7</v>
      </c>
      <c r="MB588" s="27" t="s">
        <v>7</v>
      </c>
    </row>
    <row r="589" spans="1:340" x14ac:dyDescent="0.25">
      <c r="A589" s="7">
        <v>0.96116878123798544</v>
      </c>
      <c r="B589"/>
      <c r="C589"/>
      <c r="D589"/>
      <c r="E589"/>
      <c r="F589" s="27" t="s">
        <v>7</v>
      </c>
      <c r="HK589" s="27" t="s">
        <v>8</v>
      </c>
      <c r="HL589" s="27" t="s">
        <v>7</v>
      </c>
      <c r="HM589" s="27" t="s">
        <v>8</v>
      </c>
      <c r="HP589" s="27" t="s">
        <v>7</v>
      </c>
      <c r="HQ589" s="27" t="s">
        <v>8</v>
      </c>
      <c r="HR589" s="27" t="s">
        <v>7</v>
      </c>
      <c r="HT589" s="27" t="s">
        <v>7</v>
      </c>
      <c r="HU589" s="27" t="s">
        <v>8</v>
      </c>
      <c r="HV589" s="27" t="s">
        <v>7</v>
      </c>
      <c r="JM589" s="27" t="s">
        <v>8</v>
      </c>
      <c r="JN589" s="27" t="s">
        <v>7</v>
      </c>
      <c r="LC589" s="27" t="s">
        <v>8</v>
      </c>
      <c r="LD589" s="27" t="s">
        <v>7</v>
      </c>
      <c r="LE589" s="27" t="s">
        <v>8</v>
      </c>
      <c r="LF589" s="27" t="s">
        <v>7</v>
      </c>
      <c r="LM589" s="27" t="s">
        <v>8</v>
      </c>
      <c r="LN589" s="27" t="s">
        <v>7</v>
      </c>
      <c r="LO589" s="27" t="s">
        <v>8</v>
      </c>
      <c r="LP589" s="27" t="s">
        <v>7</v>
      </c>
      <c r="LQ589" s="27" t="s">
        <v>8</v>
      </c>
      <c r="LR589" s="27" t="s">
        <v>7</v>
      </c>
      <c r="LS589" s="27" t="s">
        <v>8</v>
      </c>
      <c r="LT589" s="27" t="s">
        <v>7</v>
      </c>
      <c r="LU589" s="27" t="s">
        <v>8</v>
      </c>
      <c r="LV589" s="27" t="s">
        <v>7</v>
      </c>
      <c r="LW589" s="27" t="s">
        <v>8</v>
      </c>
      <c r="LX589" s="27" t="s">
        <v>7</v>
      </c>
      <c r="LY589" s="27" t="s">
        <v>8</v>
      </c>
      <c r="MB589" s="27" t="s">
        <v>7</v>
      </c>
    </row>
    <row r="590" spans="1:340" x14ac:dyDescent="0.25">
      <c r="A590" s="7">
        <v>0.94232233454704462</v>
      </c>
      <c r="B590"/>
      <c r="C590"/>
      <c r="D590"/>
      <c r="E590"/>
      <c r="F590" s="27" t="s">
        <v>7</v>
      </c>
      <c r="HK590" s="27" t="s">
        <v>8</v>
      </c>
      <c r="HL590" s="27" t="s">
        <v>7</v>
      </c>
      <c r="HM590" s="27" t="s">
        <v>8</v>
      </c>
      <c r="HP590" s="27" t="s">
        <v>7</v>
      </c>
      <c r="HQ590" s="27" t="s">
        <v>8</v>
      </c>
      <c r="HT590" s="27" t="s">
        <v>7</v>
      </c>
      <c r="HU590" s="27" t="s">
        <v>8</v>
      </c>
      <c r="HV590" s="27" t="s">
        <v>7</v>
      </c>
      <c r="JM590" s="27" t="s">
        <v>8</v>
      </c>
      <c r="JN590" s="27" t="s">
        <v>7</v>
      </c>
      <c r="JQ590" s="27" t="s">
        <v>8</v>
      </c>
      <c r="KC590" s="27" t="s">
        <v>8</v>
      </c>
      <c r="LC590" s="27" t="s">
        <v>8</v>
      </c>
      <c r="LD590" s="27" t="s">
        <v>7</v>
      </c>
      <c r="LE590" s="27" t="s">
        <v>8</v>
      </c>
      <c r="LF590" s="27" t="s">
        <v>7</v>
      </c>
      <c r="LK590" s="27" t="s">
        <v>8</v>
      </c>
      <c r="LM590" s="27" t="s">
        <v>8</v>
      </c>
      <c r="LN590" s="27" t="s">
        <v>7</v>
      </c>
      <c r="LO590" s="27" t="s">
        <v>8</v>
      </c>
      <c r="LP590" s="27" t="s">
        <v>7</v>
      </c>
      <c r="LQ590" s="27" t="s">
        <v>8</v>
      </c>
      <c r="LR590" s="27" t="s">
        <v>7</v>
      </c>
      <c r="LS590" s="27" t="s">
        <v>8</v>
      </c>
      <c r="LT590" s="27" t="s">
        <v>7</v>
      </c>
      <c r="LV590" s="27" t="s">
        <v>7</v>
      </c>
      <c r="LW590" s="27" t="s">
        <v>8</v>
      </c>
      <c r="LX590" s="27" t="s">
        <v>7</v>
      </c>
      <c r="LY590" s="27" t="s">
        <v>8</v>
      </c>
      <c r="MB590" s="27" t="s">
        <v>7</v>
      </c>
    </row>
    <row r="591" spans="1:340" x14ac:dyDescent="0.25">
      <c r="A591" s="7">
        <v>0.92384542602651432</v>
      </c>
      <c r="B591"/>
      <c r="C591"/>
      <c r="D591"/>
      <c r="E591"/>
      <c r="F591" s="27" t="s">
        <v>7</v>
      </c>
      <c r="HK591" s="27" t="s">
        <v>8</v>
      </c>
      <c r="HL591" s="27" t="s">
        <v>7</v>
      </c>
      <c r="HM591" s="27" t="s">
        <v>8</v>
      </c>
      <c r="HP591" s="27" t="s">
        <v>7</v>
      </c>
      <c r="HQ591" s="27" t="s">
        <v>8</v>
      </c>
      <c r="HT591" s="27" t="s">
        <v>7</v>
      </c>
      <c r="HU591" s="27" t="s">
        <v>8</v>
      </c>
      <c r="HV591" s="27" t="s">
        <v>7</v>
      </c>
      <c r="IA591" s="27" t="s">
        <v>8</v>
      </c>
      <c r="JM591" s="27" t="s">
        <v>8</v>
      </c>
      <c r="JN591" s="27" t="s">
        <v>7</v>
      </c>
      <c r="JQ591" s="27" t="s">
        <v>8</v>
      </c>
      <c r="JR591" s="27" t="s">
        <v>7</v>
      </c>
      <c r="JU591" s="27" t="s">
        <v>8</v>
      </c>
      <c r="KC591" s="27" t="s">
        <v>8</v>
      </c>
      <c r="KD591" s="27" t="s">
        <v>7</v>
      </c>
      <c r="LC591" s="27" t="s">
        <v>8</v>
      </c>
      <c r="LD591" s="27" t="s">
        <v>7</v>
      </c>
      <c r="LE591" s="27" t="s">
        <v>8</v>
      </c>
      <c r="LF591" s="27" t="s">
        <v>7</v>
      </c>
      <c r="LK591" s="27" t="s">
        <v>8</v>
      </c>
      <c r="LL591" s="27" t="s">
        <v>7</v>
      </c>
      <c r="LM591" s="27" t="s">
        <v>8</v>
      </c>
      <c r="LN591" s="27" t="s">
        <v>7</v>
      </c>
      <c r="LO591" s="27" t="s">
        <v>8</v>
      </c>
      <c r="LP591" s="27" t="s">
        <v>7</v>
      </c>
      <c r="LR591" s="27" t="s">
        <v>7</v>
      </c>
      <c r="LV591" s="27" t="s">
        <v>7</v>
      </c>
      <c r="LW591" s="27" t="s">
        <v>8</v>
      </c>
      <c r="LX591" s="27" t="s">
        <v>7</v>
      </c>
      <c r="MB591" s="27" t="s">
        <v>7</v>
      </c>
    </row>
    <row r="592" spans="1:340" x14ac:dyDescent="0.25">
      <c r="A592" s="7">
        <v>0.90573080982991594</v>
      </c>
      <c r="B592"/>
      <c r="C592"/>
      <c r="D592"/>
      <c r="E592"/>
      <c r="F592" s="27" t="s">
        <v>7</v>
      </c>
      <c r="HK592" s="27" t="s">
        <v>8</v>
      </c>
      <c r="HL592" s="27" t="s">
        <v>7</v>
      </c>
      <c r="HM592" s="27" t="s">
        <v>8</v>
      </c>
      <c r="HP592" s="27" t="s">
        <v>7</v>
      </c>
      <c r="HQ592" s="27" t="s">
        <v>8</v>
      </c>
      <c r="HT592" s="27" t="s">
        <v>7</v>
      </c>
      <c r="HU592" s="27" t="s">
        <v>8</v>
      </c>
      <c r="HV592" s="27" t="s">
        <v>7</v>
      </c>
      <c r="IA592" s="27" t="s">
        <v>8</v>
      </c>
      <c r="IB592" s="27" t="s">
        <v>7</v>
      </c>
      <c r="JM592" s="27" t="s">
        <v>8</v>
      </c>
      <c r="JN592" s="27" t="s">
        <v>7</v>
      </c>
      <c r="JQ592" s="27" t="s">
        <v>8</v>
      </c>
      <c r="JR592" s="27" t="s">
        <v>7</v>
      </c>
      <c r="JU592" s="27" t="s">
        <v>8</v>
      </c>
      <c r="JV592" s="27" t="s">
        <v>7</v>
      </c>
      <c r="KA592" s="27" t="s">
        <v>8</v>
      </c>
      <c r="KC592" s="27" t="s">
        <v>8</v>
      </c>
      <c r="KD592" s="27" t="s">
        <v>7</v>
      </c>
      <c r="LC592" s="27" t="s">
        <v>8</v>
      </c>
      <c r="LD592" s="27" t="s">
        <v>7</v>
      </c>
      <c r="LE592" s="27" t="s">
        <v>8</v>
      </c>
      <c r="LF592" s="27" t="s">
        <v>7</v>
      </c>
      <c r="LK592" s="27" t="s">
        <v>8</v>
      </c>
      <c r="LL592" s="27" t="s">
        <v>7</v>
      </c>
      <c r="LM592" s="27" t="s">
        <v>8</v>
      </c>
      <c r="LN592" s="27" t="s">
        <v>7</v>
      </c>
      <c r="LO592" s="27" t="s">
        <v>8</v>
      </c>
      <c r="LV592" s="27" t="s">
        <v>7</v>
      </c>
      <c r="MB592" s="27" t="s">
        <v>7</v>
      </c>
    </row>
    <row r="593" spans="1:364" x14ac:dyDescent="0.25">
      <c r="A593" s="7">
        <v>0.8879713821861922</v>
      </c>
      <c r="B593"/>
      <c r="C593"/>
      <c r="D593"/>
      <c r="E593"/>
      <c r="F593" s="27" t="s">
        <v>7</v>
      </c>
      <c r="GQ593" s="27" t="s">
        <v>8</v>
      </c>
      <c r="HK593" s="27" t="s">
        <v>8</v>
      </c>
      <c r="HL593" s="27" t="s">
        <v>7</v>
      </c>
      <c r="HM593" s="27" t="s">
        <v>8</v>
      </c>
      <c r="HP593" s="27" t="s">
        <v>7</v>
      </c>
      <c r="HQ593" s="27" t="s">
        <v>8</v>
      </c>
      <c r="HT593" s="27" t="s">
        <v>7</v>
      </c>
      <c r="HU593" s="27" t="s">
        <v>8</v>
      </c>
      <c r="HV593" s="27" t="s">
        <v>7</v>
      </c>
      <c r="IA593" s="27" t="s">
        <v>8</v>
      </c>
      <c r="IB593" s="27" t="s">
        <v>7</v>
      </c>
      <c r="JM593" s="27" t="s">
        <v>8</v>
      </c>
      <c r="JN593" s="27" t="s">
        <v>7</v>
      </c>
      <c r="JQ593" s="27" t="s">
        <v>8</v>
      </c>
      <c r="JR593" s="27" t="s">
        <v>7</v>
      </c>
      <c r="JU593" s="27" t="s">
        <v>8</v>
      </c>
      <c r="JV593" s="27" t="s">
        <v>7</v>
      </c>
      <c r="KA593" s="27" t="s">
        <v>8</v>
      </c>
      <c r="KB593" s="27" t="s">
        <v>7</v>
      </c>
      <c r="KC593" s="27" t="s">
        <v>8</v>
      </c>
      <c r="KD593" s="27" t="s">
        <v>7</v>
      </c>
      <c r="LC593" s="27" t="s">
        <v>8</v>
      </c>
      <c r="LD593" s="27" t="s">
        <v>7</v>
      </c>
      <c r="LE593" s="27" t="s">
        <v>8</v>
      </c>
      <c r="LF593" s="27" t="s">
        <v>7</v>
      </c>
      <c r="LK593" s="27" t="s">
        <v>8</v>
      </c>
      <c r="LL593" s="27" t="s">
        <v>7</v>
      </c>
      <c r="LM593" s="27" t="s">
        <v>8</v>
      </c>
      <c r="LN593" s="27" t="s">
        <v>7</v>
      </c>
      <c r="MB593" s="27" t="s">
        <v>7</v>
      </c>
    </row>
    <row r="594" spans="1:364" x14ac:dyDescent="0.25">
      <c r="A594" s="7">
        <v>0.87056017861391399</v>
      </c>
      <c r="B594"/>
      <c r="C594"/>
      <c r="D594"/>
      <c r="E594"/>
      <c r="F594" s="27" t="s">
        <v>7</v>
      </c>
      <c r="GQ594" s="27" t="s">
        <v>8</v>
      </c>
      <c r="GR594" s="27" t="s">
        <v>7</v>
      </c>
      <c r="HK594" s="27" t="s">
        <v>8</v>
      </c>
      <c r="HL594" s="27" t="s">
        <v>7</v>
      </c>
      <c r="HM594" s="27" t="s">
        <v>8</v>
      </c>
      <c r="HP594" s="27" t="s">
        <v>7</v>
      </c>
      <c r="HQ594" s="27" t="s">
        <v>8</v>
      </c>
      <c r="HT594" s="27" t="s">
        <v>7</v>
      </c>
      <c r="HU594" s="27" t="s">
        <v>8</v>
      </c>
      <c r="HV594" s="27" t="s">
        <v>7</v>
      </c>
      <c r="IA594" s="27" t="s">
        <v>8</v>
      </c>
      <c r="IB594" s="27" t="s">
        <v>7</v>
      </c>
      <c r="IC594" s="27" t="s">
        <v>8</v>
      </c>
      <c r="JM594" s="27" t="s">
        <v>8</v>
      </c>
      <c r="JN594" s="27" t="s">
        <v>7</v>
      </c>
      <c r="JQ594" s="27" t="s">
        <v>8</v>
      </c>
      <c r="JR594" s="27" t="s">
        <v>7</v>
      </c>
      <c r="JU594" s="27" t="s">
        <v>8</v>
      </c>
      <c r="JV594" s="27" t="s">
        <v>7</v>
      </c>
      <c r="JW594" s="27" t="s">
        <v>8</v>
      </c>
      <c r="KA594" s="27" t="s">
        <v>8</v>
      </c>
      <c r="KB594" s="27" t="s">
        <v>7</v>
      </c>
      <c r="KC594" s="27" t="s">
        <v>8</v>
      </c>
      <c r="KD594" s="27" t="s">
        <v>7</v>
      </c>
      <c r="LC594" s="27" t="s">
        <v>8</v>
      </c>
      <c r="LD594" s="27" t="s">
        <v>7</v>
      </c>
      <c r="LE594" s="27" t="s">
        <v>8</v>
      </c>
      <c r="LF594" s="27" t="s">
        <v>7</v>
      </c>
      <c r="LK594" s="27" t="s">
        <v>8</v>
      </c>
      <c r="LL594" s="27" t="s">
        <v>7</v>
      </c>
      <c r="LM594" s="27" t="s">
        <v>8</v>
      </c>
      <c r="MB594" s="27" t="s">
        <v>7</v>
      </c>
    </row>
    <row r="595" spans="1:364" x14ac:dyDescent="0.25">
      <c r="A595" s="7">
        <v>0.85349037119011173</v>
      </c>
      <c r="B595"/>
      <c r="C595"/>
      <c r="D595"/>
      <c r="E595"/>
      <c r="F595" s="27" t="s">
        <v>7</v>
      </c>
      <c r="GQ595" s="27" t="s">
        <v>8</v>
      </c>
      <c r="GR595" s="27" t="s">
        <v>7</v>
      </c>
      <c r="HK595" s="27" t="s">
        <v>8</v>
      </c>
      <c r="HL595" s="27" t="s">
        <v>7</v>
      </c>
      <c r="HM595" s="27" t="s">
        <v>8</v>
      </c>
      <c r="HP595" s="27" t="s">
        <v>7</v>
      </c>
      <c r="HQ595" s="27" t="s">
        <v>8</v>
      </c>
      <c r="HT595" s="27" t="s">
        <v>7</v>
      </c>
      <c r="HU595" s="27" t="s">
        <v>8</v>
      </c>
      <c r="HV595" s="27" t="s">
        <v>7</v>
      </c>
      <c r="IA595" s="27" t="s">
        <v>8</v>
      </c>
      <c r="IB595" s="27" t="s">
        <v>7</v>
      </c>
      <c r="IC595" s="27" t="s">
        <v>8</v>
      </c>
      <c r="ID595" s="27" t="s">
        <v>7</v>
      </c>
      <c r="JM595" s="27" t="s">
        <v>8</v>
      </c>
      <c r="JN595" s="27" t="s">
        <v>7</v>
      </c>
      <c r="JQ595" s="27" t="s">
        <v>8</v>
      </c>
      <c r="JR595" s="27" t="s">
        <v>7</v>
      </c>
      <c r="JU595" s="27" t="s">
        <v>8</v>
      </c>
      <c r="JV595" s="27" t="s">
        <v>7</v>
      </c>
      <c r="JW595" s="27" t="s">
        <v>8</v>
      </c>
      <c r="JX595" s="27" t="s">
        <v>7</v>
      </c>
      <c r="KA595" s="27" t="s">
        <v>8</v>
      </c>
      <c r="KB595" s="27" t="s">
        <v>7</v>
      </c>
      <c r="KC595" s="27" t="s">
        <v>8</v>
      </c>
      <c r="KD595" s="27" t="s">
        <v>7</v>
      </c>
      <c r="LC595" s="27" t="s">
        <v>8</v>
      </c>
      <c r="LD595" s="27" t="s">
        <v>7</v>
      </c>
      <c r="LE595" s="27" t="s">
        <v>8</v>
      </c>
      <c r="LF595" s="27" t="s">
        <v>7</v>
      </c>
      <c r="LK595" s="27" t="s">
        <v>8</v>
      </c>
      <c r="LL595" s="27" t="s">
        <v>7</v>
      </c>
      <c r="LM595" s="27" t="s">
        <v>8</v>
      </c>
      <c r="MB595" s="27" t="s">
        <v>7</v>
      </c>
      <c r="MC595" s="27" t="s">
        <v>8</v>
      </c>
    </row>
    <row r="596" spans="1:364" x14ac:dyDescent="0.25">
      <c r="A596" s="7">
        <v>0.83675526587265858</v>
      </c>
      <c r="B596"/>
      <c r="C596"/>
      <c r="D596"/>
      <c r="E596"/>
      <c r="F596" s="27" t="s">
        <v>7</v>
      </c>
      <c r="GQ596" s="27" t="s">
        <v>8</v>
      </c>
      <c r="GR596" s="27" t="s">
        <v>7</v>
      </c>
      <c r="HK596" s="27" t="s">
        <v>8</v>
      </c>
      <c r="HL596" s="27" t="s">
        <v>7</v>
      </c>
      <c r="HM596" s="27" t="s">
        <v>8</v>
      </c>
      <c r="HP596" s="27" t="s">
        <v>7</v>
      </c>
      <c r="HQ596" s="27" t="s">
        <v>8</v>
      </c>
      <c r="HT596" s="27" t="s">
        <v>7</v>
      </c>
      <c r="HU596" s="27" t="s">
        <v>8</v>
      </c>
      <c r="HV596" s="27" t="s">
        <v>7</v>
      </c>
      <c r="IA596" s="27" t="s">
        <v>8</v>
      </c>
      <c r="IB596" s="27" t="s">
        <v>7</v>
      </c>
      <c r="IC596" s="27" t="s">
        <v>8</v>
      </c>
      <c r="ID596" s="27" t="s">
        <v>7</v>
      </c>
      <c r="JM596" s="27" t="s">
        <v>8</v>
      </c>
      <c r="JN596" s="27" t="s">
        <v>7</v>
      </c>
      <c r="JQ596" s="27" t="s">
        <v>8</v>
      </c>
      <c r="JR596" s="27" t="s">
        <v>7</v>
      </c>
      <c r="JU596" s="27" t="s">
        <v>8</v>
      </c>
      <c r="JV596" s="27" t="s">
        <v>7</v>
      </c>
      <c r="JW596" s="27" t="s">
        <v>8</v>
      </c>
      <c r="JX596" s="27" t="s">
        <v>7</v>
      </c>
      <c r="KA596" s="27" t="s">
        <v>8</v>
      </c>
      <c r="KB596" s="27" t="s">
        <v>7</v>
      </c>
      <c r="KC596" s="27" t="s">
        <v>8</v>
      </c>
      <c r="KD596" s="27" t="s">
        <v>7</v>
      </c>
      <c r="LC596" s="27" t="s">
        <v>8</v>
      </c>
      <c r="LD596" s="27" t="s">
        <v>7</v>
      </c>
      <c r="LE596" s="27" t="s">
        <v>8</v>
      </c>
      <c r="LF596" s="27" t="s">
        <v>7</v>
      </c>
      <c r="LK596" s="27" t="s">
        <v>8</v>
      </c>
      <c r="LL596" s="27" t="s">
        <v>7</v>
      </c>
      <c r="LM596" s="27" t="s">
        <v>8</v>
      </c>
      <c r="MB596" s="27" t="s">
        <v>7</v>
      </c>
      <c r="MC596" s="27" t="s">
        <v>8</v>
      </c>
      <c r="MD596" s="27" t="s">
        <v>7</v>
      </c>
      <c r="ME596" s="27" t="s">
        <v>8</v>
      </c>
      <c r="MO596" s="27" t="s">
        <v>8</v>
      </c>
    </row>
    <row r="597" spans="1:364" x14ac:dyDescent="0.25">
      <c r="A597" s="7">
        <v>0.82034829987515545</v>
      </c>
      <c r="B597"/>
      <c r="C597"/>
      <c r="D597"/>
      <c r="E597"/>
      <c r="F597" s="27" t="s">
        <v>7</v>
      </c>
      <c r="GQ597" s="27" t="s">
        <v>8</v>
      </c>
      <c r="GR597" s="27" t="s">
        <v>7</v>
      </c>
      <c r="HK597" s="27" t="s">
        <v>8</v>
      </c>
      <c r="HL597" s="27" t="s">
        <v>7</v>
      </c>
      <c r="HM597" s="27" t="s">
        <v>8</v>
      </c>
      <c r="HP597" s="27" t="s">
        <v>7</v>
      </c>
      <c r="HQ597" s="27" t="s">
        <v>8</v>
      </c>
      <c r="HT597" s="27" t="s">
        <v>7</v>
      </c>
      <c r="HU597" s="27" t="s">
        <v>8</v>
      </c>
      <c r="HV597" s="27" t="s">
        <v>7</v>
      </c>
      <c r="IA597" s="27" t="s">
        <v>8</v>
      </c>
      <c r="IB597" s="27" t="s">
        <v>7</v>
      </c>
      <c r="IC597" s="27" t="s">
        <v>8</v>
      </c>
      <c r="ID597" s="27" t="s">
        <v>7</v>
      </c>
      <c r="JM597" s="27" t="s">
        <v>8</v>
      </c>
      <c r="JN597" s="27" t="s">
        <v>7</v>
      </c>
      <c r="JQ597" s="27" t="s">
        <v>8</v>
      </c>
      <c r="JR597" s="27" t="s">
        <v>7</v>
      </c>
      <c r="JS597" s="27" t="s">
        <v>8</v>
      </c>
      <c r="JU597" s="27" t="s">
        <v>8</v>
      </c>
      <c r="JV597" s="27" t="s">
        <v>7</v>
      </c>
      <c r="JW597" s="27" t="s">
        <v>8</v>
      </c>
      <c r="JX597" s="27" t="s">
        <v>7</v>
      </c>
      <c r="JY597" s="27" t="s">
        <v>8</v>
      </c>
      <c r="KA597" s="27" t="s">
        <v>8</v>
      </c>
      <c r="KB597" s="27" t="s">
        <v>7</v>
      </c>
      <c r="KC597" s="27" t="s">
        <v>8</v>
      </c>
      <c r="KD597" s="27" t="s">
        <v>7</v>
      </c>
      <c r="LC597" s="27" t="s">
        <v>8</v>
      </c>
      <c r="LD597" s="27" t="s">
        <v>7</v>
      </c>
      <c r="LE597" s="27" t="s">
        <v>8</v>
      </c>
      <c r="LF597" s="27" t="s">
        <v>7</v>
      </c>
      <c r="LK597" s="27" t="s">
        <v>8</v>
      </c>
      <c r="LL597" s="27" t="s">
        <v>7</v>
      </c>
      <c r="LM597" s="27" t="s">
        <v>8</v>
      </c>
      <c r="MB597" s="27" t="s">
        <v>7</v>
      </c>
      <c r="MC597" s="27" t="s">
        <v>8</v>
      </c>
      <c r="MD597" s="27" t="s">
        <v>7</v>
      </c>
      <c r="ME597" s="27" t="s">
        <v>8</v>
      </c>
      <c r="MF597" s="27" t="s">
        <v>7</v>
      </c>
      <c r="MO597" s="27" t="s">
        <v>8</v>
      </c>
      <c r="MP597" s="27" t="s">
        <v>7</v>
      </c>
    </row>
    <row r="598" spans="1:364" x14ac:dyDescent="0.25">
      <c r="A598" s="7">
        <v>0.80426303909328967</v>
      </c>
      <c r="B598"/>
      <c r="C598"/>
      <c r="D598"/>
      <c r="E598"/>
      <c r="F598" s="27" t="s">
        <v>7</v>
      </c>
      <c r="GQ598" s="27" t="s">
        <v>8</v>
      </c>
      <c r="GR598" s="27" t="s">
        <v>7</v>
      </c>
      <c r="HK598" s="27" t="s">
        <v>8</v>
      </c>
      <c r="HL598" s="27" t="s">
        <v>7</v>
      </c>
      <c r="HM598" s="27" t="s">
        <v>8</v>
      </c>
      <c r="HP598" s="27" t="s">
        <v>7</v>
      </c>
      <c r="HT598" s="27" t="s">
        <v>7</v>
      </c>
      <c r="HU598" s="27" t="s">
        <v>8</v>
      </c>
      <c r="HV598" s="27" t="s">
        <v>7</v>
      </c>
      <c r="IA598" s="27" t="s">
        <v>8</v>
      </c>
      <c r="IB598" s="27" t="s">
        <v>7</v>
      </c>
      <c r="IC598" s="27" t="s">
        <v>8</v>
      </c>
      <c r="ID598" s="27" t="s">
        <v>7</v>
      </c>
      <c r="JM598" s="27" t="s">
        <v>8</v>
      </c>
      <c r="JN598" s="27" t="s">
        <v>7</v>
      </c>
      <c r="JQ598" s="27" t="s">
        <v>8</v>
      </c>
      <c r="JR598" s="27" t="s">
        <v>7</v>
      </c>
      <c r="JS598" s="27" t="s">
        <v>8</v>
      </c>
      <c r="JT598" s="27" t="s">
        <v>7</v>
      </c>
      <c r="JU598" s="27" t="s">
        <v>8</v>
      </c>
      <c r="JV598" s="27" t="s">
        <v>7</v>
      </c>
      <c r="JW598" s="27" t="s">
        <v>8</v>
      </c>
      <c r="JX598" s="27" t="s">
        <v>7</v>
      </c>
      <c r="JY598" s="27" t="s">
        <v>8</v>
      </c>
      <c r="JZ598" s="27" t="s">
        <v>7</v>
      </c>
      <c r="KA598" s="27" t="s">
        <v>8</v>
      </c>
      <c r="KB598" s="27" t="s">
        <v>7</v>
      </c>
      <c r="KD598" s="27" t="s">
        <v>7</v>
      </c>
      <c r="LC598" s="27" t="s">
        <v>8</v>
      </c>
      <c r="LD598" s="27" t="s">
        <v>7</v>
      </c>
      <c r="LE598" s="27" t="s">
        <v>8</v>
      </c>
      <c r="LF598" s="27" t="s">
        <v>7</v>
      </c>
      <c r="LG598" s="27" t="s">
        <v>8</v>
      </c>
      <c r="LI598" s="27" t="s">
        <v>8</v>
      </c>
      <c r="LK598" s="27" t="s">
        <v>8</v>
      </c>
      <c r="LL598" s="27" t="s">
        <v>7</v>
      </c>
      <c r="LM598" s="27" t="s">
        <v>8</v>
      </c>
      <c r="MB598" s="27" t="s">
        <v>7</v>
      </c>
      <c r="MC598" s="27" t="s">
        <v>8</v>
      </c>
      <c r="MD598" s="27" t="s">
        <v>7</v>
      </c>
      <c r="ME598" s="27" t="s">
        <v>8</v>
      </c>
      <c r="MF598" s="27" t="s">
        <v>7</v>
      </c>
      <c r="MO598" s="27" t="s">
        <v>8</v>
      </c>
      <c r="MP598" s="27" t="s">
        <v>7</v>
      </c>
    </row>
    <row r="599" spans="1:364" x14ac:dyDescent="0.25">
      <c r="A599" s="7">
        <v>0.78849317558165644</v>
      </c>
      <c r="B599"/>
      <c r="C599"/>
      <c r="D599"/>
      <c r="E599"/>
      <c r="F599" s="27" t="s">
        <v>7</v>
      </c>
      <c r="GQ599" s="27" t="s">
        <v>8</v>
      </c>
      <c r="GR599" s="27" t="s">
        <v>7</v>
      </c>
      <c r="HK599" s="27" t="s">
        <v>8</v>
      </c>
      <c r="HL599" s="27" t="s">
        <v>7</v>
      </c>
      <c r="HM599" s="27" t="s">
        <v>8</v>
      </c>
      <c r="HT599" s="27" t="s">
        <v>7</v>
      </c>
      <c r="HU599" s="27" t="s">
        <v>8</v>
      </c>
      <c r="HV599" s="27" t="s">
        <v>7</v>
      </c>
      <c r="HW599" s="27" t="s">
        <v>8</v>
      </c>
      <c r="IA599" s="27" t="s">
        <v>8</v>
      </c>
      <c r="IB599" s="27" t="s">
        <v>7</v>
      </c>
      <c r="IC599" s="27" t="s">
        <v>8</v>
      </c>
      <c r="ID599" s="27" t="s">
        <v>7</v>
      </c>
      <c r="JM599" s="27" t="s">
        <v>8</v>
      </c>
      <c r="JN599" s="27" t="s">
        <v>7</v>
      </c>
      <c r="JQ599" s="27" t="s">
        <v>8</v>
      </c>
      <c r="JR599" s="27" t="s">
        <v>7</v>
      </c>
      <c r="JS599" s="27" t="s">
        <v>8</v>
      </c>
      <c r="JT599" s="27" t="s">
        <v>7</v>
      </c>
      <c r="JU599" s="27" t="s">
        <v>8</v>
      </c>
      <c r="JV599" s="27" t="s">
        <v>7</v>
      </c>
      <c r="JW599" s="27" t="s">
        <v>8</v>
      </c>
      <c r="JX599" s="27" t="s">
        <v>7</v>
      </c>
      <c r="JY599" s="27" t="s">
        <v>8</v>
      </c>
      <c r="JZ599" s="27" t="s">
        <v>7</v>
      </c>
      <c r="KA599" s="27" t="s">
        <v>8</v>
      </c>
      <c r="KD599" s="27" t="s">
        <v>7</v>
      </c>
      <c r="LA599" s="27" t="s">
        <v>8</v>
      </c>
      <c r="LC599" s="27" t="s">
        <v>8</v>
      </c>
      <c r="LD599" s="27" t="s">
        <v>7</v>
      </c>
      <c r="LE599" s="27" t="s">
        <v>8</v>
      </c>
      <c r="LF599" s="27" t="s">
        <v>7</v>
      </c>
      <c r="LG599" s="27" t="s">
        <v>8</v>
      </c>
      <c r="LH599" s="27" t="s">
        <v>7</v>
      </c>
      <c r="LI599" s="27" t="s">
        <v>8</v>
      </c>
      <c r="LJ599" s="27" t="s">
        <v>7</v>
      </c>
      <c r="LK599" s="27" t="s">
        <v>8</v>
      </c>
      <c r="LL599" s="27" t="s">
        <v>7</v>
      </c>
      <c r="MB599" s="27" t="s">
        <v>7</v>
      </c>
      <c r="MC599" s="27" t="s">
        <v>8</v>
      </c>
      <c r="MD599" s="27" t="s">
        <v>7</v>
      </c>
      <c r="ME599" s="27" t="s">
        <v>8</v>
      </c>
      <c r="MF599" s="27" t="s">
        <v>7</v>
      </c>
      <c r="MM599" s="27" t="s">
        <v>8</v>
      </c>
      <c r="MO599" s="27" t="s">
        <v>8</v>
      </c>
      <c r="MP599" s="27" t="s">
        <v>7</v>
      </c>
    </row>
    <row r="600" spans="1:364" x14ac:dyDescent="0.25">
      <c r="A600" s="7">
        <v>0.77303252508005538</v>
      </c>
      <c r="B600"/>
      <c r="C600"/>
      <c r="D600"/>
      <c r="E600"/>
      <c r="F600" s="27" t="s">
        <v>7</v>
      </c>
      <c r="GQ600" s="27" t="s">
        <v>8</v>
      </c>
      <c r="GR600" s="27" t="s">
        <v>7</v>
      </c>
      <c r="HK600" s="27" t="s">
        <v>8</v>
      </c>
      <c r="HL600" s="27" t="s">
        <v>7</v>
      </c>
      <c r="HT600" s="27" t="s">
        <v>7</v>
      </c>
      <c r="HU600" s="27" t="s">
        <v>8</v>
      </c>
      <c r="HV600" s="27" t="s">
        <v>7</v>
      </c>
      <c r="HW600" s="27" t="s">
        <v>8</v>
      </c>
      <c r="HX600" s="27" t="s">
        <v>7</v>
      </c>
      <c r="IA600" s="27" t="s">
        <v>8</v>
      </c>
      <c r="IB600" s="27" t="s">
        <v>7</v>
      </c>
      <c r="IC600" s="27" t="s">
        <v>8</v>
      </c>
      <c r="ID600" s="27" t="s">
        <v>7</v>
      </c>
      <c r="IG600" s="27" t="s">
        <v>8</v>
      </c>
      <c r="JM600" s="27" t="s">
        <v>8</v>
      </c>
      <c r="JN600" s="27" t="s">
        <v>7</v>
      </c>
      <c r="JQ600" s="27" t="s">
        <v>8</v>
      </c>
      <c r="JR600" s="27" t="s">
        <v>7</v>
      </c>
      <c r="JS600" s="27" t="s">
        <v>8</v>
      </c>
      <c r="JT600" s="27" t="s">
        <v>7</v>
      </c>
      <c r="JU600" s="27" t="s">
        <v>8</v>
      </c>
      <c r="JV600" s="27" t="s">
        <v>7</v>
      </c>
      <c r="JW600" s="27" t="s">
        <v>8</v>
      </c>
      <c r="JX600" s="27" t="s">
        <v>7</v>
      </c>
      <c r="JZ600" s="27" t="s">
        <v>7</v>
      </c>
      <c r="KA600" s="27" t="s">
        <v>8</v>
      </c>
      <c r="KD600" s="27" t="s">
        <v>7</v>
      </c>
      <c r="KS600" s="27" t="s">
        <v>8</v>
      </c>
      <c r="LA600" s="27" t="s">
        <v>8</v>
      </c>
      <c r="LB600" s="27" t="s">
        <v>7</v>
      </c>
      <c r="LC600" s="27" t="s">
        <v>8</v>
      </c>
      <c r="LD600" s="27" t="s">
        <v>7</v>
      </c>
      <c r="LE600" s="27" t="s">
        <v>8</v>
      </c>
      <c r="LF600" s="27" t="s">
        <v>7</v>
      </c>
      <c r="LG600" s="27" t="s">
        <v>8</v>
      </c>
      <c r="LH600" s="27" t="s">
        <v>7</v>
      </c>
      <c r="LI600" s="27" t="s">
        <v>8</v>
      </c>
      <c r="LJ600" s="27" t="s">
        <v>7</v>
      </c>
      <c r="LK600" s="27" t="s">
        <v>8</v>
      </c>
      <c r="MB600" s="27" t="s">
        <v>7</v>
      </c>
      <c r="MC600" s="27" t="s">
        <v>8</v>
      </c>
      <c r="MD600" s="27" t="s">
        <v>7</v>
      </c>
      <c r="ME600" s="27" t="s">
        <v>8</v>
      </c>
      <c r="MF600" s="27" t="s">
        <v>7</v>
      </c>
      <c r="MM600" s="27" t="s">
        <v>8</v>
      </c>
      <c r="MN600" s="27" t="s">
        <v>7</v>
      </c>
      <c r="MO600" s="27" t="s">
        <v>8</v>
      </c>
      <c r="MP600" s="27" t="s">
        <v>7</v>
      </c>
      <c r="MW600" s="27" t="s">
        <v>8</v>
      </c>
    </row>
    <row r="601" spans="1:364" x14ac:dyDescent="0.25">
      <c r="A601" s="7">
        <v>0.75787502458828959</v>
      </c>
      <c r="B601"/>
      <c r="C601"/>
      <c r="D601"/>
      <c r="E601"/>
      <c r="F601" s="27" t="s">
        <v>7</v>
      </c>
      <c r="GQ601" s="27" t="s">
        <v>8</v>
      </c>
      <c r="GR601" s="27" t="s">
        <v>7</v>
      </c>
      <c r="HK601" s="27" t="s">
        <v>8</v>
      </c>
      <c r="HT601" s="27" t="s">
        <v>7</v>
      </c>
      <c r="HU601" s="27" t="s">
        <v>8</v>
      </c>
      <c r="HV601" s="27" t="s">
        <v>7</v>
      </c>
      <c r="HW601" s="27" t="s">
        <v>8</v>
      </c>
      <c r="HX601" s="27" t="s">
        <v>7</v>
      </c>
      <c r="HY601" s="27" t="s">
        <v>8</v>
      </c>
      <c r="IA601" s="27" t="s">
        <v>8</v>
      </c>
      <c r="IB601" s="27" t="s">
        <v>7</v>
      </c>
      <c r="IC601" s="27" t="s">
        <v>8</v>
      </c>
      <c r="ID601" s="27" t="s">
        <v>7</v>
      </c>
      <c r="IG601" s="27" t="s">
        <v>8</v>
      </c>
      <c r="IH601" s="27" t="s">
        <v>7</v>
      </c>
      <c r="JM601" s="27" t="s">
        <v>8</v>
      </c>
      <c r="JN601" s="27" t="s">
        <v>7</v>
      </c>
      <c r="JQ601" s="27" t="s">
        <v>8</v>
      </c>
      <c r="JR601" s="27" t="s">
        <v>7</v>
      </c>
      <c r="JS601" s="27" t="s">
        <v>8</v>
      </c>
      <c r="JT601" s="27" t="s">
        <v>7</v>
      </c>
      <c r="JV601" s="27" t="s">
        <v>7</v>
      </c>
      <c r="JW601" s="27" t="s">
        <v>8</v>
      </c>
      <c r="JZ601" s="27" t="s">
        <v>7</v>
      </c>
      <c r="KD601" s="27" t="s">
        <v>7</v>
      </c>
      <c r="KI601" s="27" t="s">
        <v>8</v>
      </c>
      <c r="KS601" s="27" t="s">
        <v>8</v>
      </c>
      <c r="KT601" s="27" t="s">
        <v>7</v>
      </c>
      <c r="LA601" s="27" t="s">
        <v>8</v>
      </c>
      <c r="LB601" s="27" t="s">
        <v>7</v>
      </c>
      <c r="LC601" s="27" t="s">
        <v>8</v>
      </c>
      <c r="LD601" s="27" t="s">
        <v>7</v>
      </c>
      <c r="LE601" s="27" t="s">
        <v>8</v>
      </c>
      <c r="LF601" s="27" t="s">
        <v>7</v>
      </c>
      <c r="LG601" s="27" t="s">
        <v>8</v>
      </c>
      <c r="LH601" s="27" t="s">
        <v>7</v>
      </c>
      <c r="LI601" s="27" t="s">
        <v>8</v>
      </c>
      <c r="LJ601" s="27" t="s">
        <v>7</v>
      </c>
      <c r="MB601" s="27" t="s">
        <v>7</v>
      </c>
      <c r="MC601" s="27" t="s">
        <v>8</v>
      </c>
      <c r="MD601" s="27" t="s">
        <v>7</v>
      </c>
      <c r="ME601" s="27" t="s">
        <v>8</v>
      </c>
      <c r="MF601" s="27" t="s">
        <v>7</v>
      </c>
      <c r="MG601" s="27" t="s">
        <v>8</v>
      </c>
      <c r="MM601" s="27" t="s">
        <v>8</v>
      </c>
      <c r="MN601" s="27" t="s">
        <v>7</v>
      </c>
      <c r="MO601" s="27" t="s">
        <v>8</v>
      </c>
      <c r="MP601" s="27" t="s">
        <v>7</v>
      </c>
      <c r="MW601" s="27" t="s">
        <v>8</v>
      </c>
      <c r="MX601" s="27" t="s">
        <v>7</v>
      </c>
    </row>
    <row r="602" spans="1:364" x14ac:dyDescent="0.25">
      <c r="A602" s="7">
        <v>0.74301472998851925</v>
      </c>
      <c r="B602"/>
      <c r="C602"/>
      <c r="D602"/>
      <c r="E602"/>
      <c r="F602" s="27" t="s">
        <v>7</v>
      </c>
      <c r="GQ602" s="27" t="s">
        <v>8</v>
      </c>
      <c r="GR602" s="27" t="s">
        <v>7</v>
      </c>
      <c r="GU602" s="27" t="s">
        <v>8</v>
      </c>
      <c r="HK602" s="27" t="s">
        <v>8</v>
      </c>
      <c r="HT602" s="27" t="s">
        <v>7</v>
      </c>
      <c r="HU602" s="27" t="s">
        <v>8</v>
      </c>
      <c r="HV602" s="27" t="s">
        <v>7</v>
      </c>
      <c r="HW602" s="27" t="s">
        <v>8</v>
      </c>
      <c r="HX602" s="27" t="s">
        <v>7</v>
      </c>
      <c r="HY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  <c r="ID602" s="27" t="s">
        <v>7</v>
      </c>
      <c r="IE602" s="27" t="s">
        <v>8</v>
      </c>
      <c r="IG602" s="27" t="s">
        <v>8</v>
      </c>
      <c r="IH602" s="27" t="s">
        <v>7</v>
      </c>
      <c r="JM602" s="27" t="s">
        <v>8</v>
      </c>
      <c r="JN602" s="27" t="s">
        <v>7</v>
      </c>
      <c r="JO602" s="27" t="s">
        <v>8</v>
      </c>
      <c r="JQ602" s="27" t="s">
        <v>8</v>
      </c>
      <c r="JR602" s="27" t="s">
        <v>7</v>
      </c>
      <c r="JS602" s="27" t="s">
        <v>8</v>
      </c>
      <c r="JV602" s="27" t="s">
        <v>7</v>
      </c>
      <c r="JW602" s="27" t="s">
        <v>8</v>
      </c>
      <c r="KD602" s="27" t="s">
        <v>7</v>
      </c>
      <c r="KI602" s="27" t="s">
        <v>8</v>
      </c>
      <c r="KJ602" s="27" t="s">
        <v>7</v>
      </c>
      <c r="KS602" s="27" t="s">
        <v>8</v>
      </c>
      <c r="KT602" s="27" t="s">
        <v>7</v>
      </c>
      <c r="KY602" s="27" t="s">
        <v>8</v>
      </c>
      <c r="LA602" s="27" t="s">
        <v>8</v>
      </c>
      <c r="LB602" s="27" t="s">
        <v>7</v>
      </c>
      <c r="LC602" s="27" t="s">
        <v>8</v>
      </c>
      <c r="LD602" s="27" t="s">
        <v>7</v>
      </c>
      <c r="LE602" s="27" t="s">
        <v>8</v>
      </c>
      <c r="LF602" s="27" t="s">
        <v>7</v>
      </c>
      <c r="LG602" s="27" t="s">
        <v>8</v>
      </c>
      <c r="LH602" s="27" t="s">
        <v>7</v>
      </c>
      <c r="MB602" s="27" t="s">
        <v>7</v>
      </c>
      <c r="MC602" s="27" t="s">
        <v>8</v>
      </c>
      <c r="MD602" s="27" t="s">
        <v>7</v>
      </c>
      <c r="ME602" s="27" t="s">
        <v>8</v>
      </c>
      <c r="MF602" s="27" t="s">
        <v>7</v>
      </c>
      <c r="MG602" s="27" t="s">
        <v>8</v>
      </c>
      <c r="MH602" s="27" t="s">
        <v>7</v>
      </c>
      <c r="MM602" s="27" t="s">
        <v>8</v>
      </c>
      <c r="MN602" s="27" t="s">
        <v>7</v>
      </c>
      <c r="MP602" s="27" t="s">
        <v>7</v>
      </c>
      <c r="MS602" s="27" t="s">
        <v>8</v>
      </c>
      <c r="MW602" s="27" t="s">
        <v>8</v>
      </c>
      <c r="MX602" s="27" t="s">
        <v>7</v>
      </c>
    </row>
    <row r="603" spans="1:364" x14ac:dyDescent="0.25">
      <c r="A603" s="7">
        <v>0.72844581371423456</v>
      </c>
      <c r="B603"/>
      <c r="C603"/>
      <c r="D603"/>
      <c r="E603"/>
      <c r="F603" s="27" t="s">
        <v>7</v>
      </c>
      <c r="GQ603" s="27" t="s">
        <v>8</v>
      </c>
      <c r="GR603" s="27" t="s">
        <v>7</v>
      </c>
      <c r="GU603" s="27" t="s">
        <v>8</v>
      </c>
      <c r="GV603" s="27" t="s">
        <v>7</v>
      </c>
      <c r="GY603" s="27" t="s">
        <v>8</v>
      </c>
      <c r="HG603" s="27" t="s">
        <v>8</v>
      </c>
      <c r="HK603" s="27" t="s">
        <v>8</v>
      </c>
      <c r="HT603" s="27" t="s">
        <v>7</v>
      </c>
      <c r="HU603" s="27" t="s">
        <v>8</v>
      </c>
      <c r="HV603" s="27" t="s">
        <v>7</v>
      </c>
      <c r="HW603" s="27" t="s">
        <v>8</v>
      </c>
      <c r="HX603" s="27" t="s">
        <v>7</v>
      </c>
      <c r="HY603" s="27" t="s">
        <v>8</v>
      </c>
      <c r="HZ603" s="27" t="s">
        <v>7</v>
      </c>
      <c r="IA603" s="27" t="s">
        <v>8</v>
      </c>
      <c r="IB603" s="27" t="s">
        <v>7</v>
      </c>
      <c r="IC603" s="27" t="s">
        <v>8</v>
      </c>
      <c r="ID603" s="27" t="s">
        <v>7</v>
      </c>
      <c r="IE603" s="27" t="s">
        <v>8</v>
      </c>
      <c r="IF603" s="27" t="s">
        <v>7</v>
      </c>
      <c r="IG603" s="27" t="s">
        <v>8</v>
      </c>
      <c r="IH603" s="27" t="s">
        <v>7</v>
      </c>
      <c r="JM603" s="27" t="s">
        <v>8</v>
      </c>
      <c r="JN603" s="27" t="s">
        <v>7</v>
      </c>
      <c r="JO603" s="27" t="s">
        <v>8</v>
      </c>
      <c r="JP603" s="27" t="s">
        <v>7</v>
      </c>
      <c r="JQ603" s="27" t="s">
        <v>8</v>
      </c>
      <c r="JR603" s="27" t="s">
        <v>7</v>
      </c>
      <c r="JS603" s="27" t="s">
        <v>8</v>
      </c>
      <c r="JV603" s="27" t="s">
        <v>7</v>
      </c>
      <c r="JW603" s="27" t="s">
        <v>8</v>
      </c>
      <c r="KD603" s="27" t="s">
        <v>7</v>
      </c>
      <c r="KI603" s="27" t="s">
        <v>8</v>
      </c>
      <c r="KJ603" s="27" t="s">
        <v>7</v>
      </c>
      <c r="KS603" s="27" t="s">
        <v>8</v>
      </c>
      <c r="KT603" s="27" t="s">
        <v>7</v>
      </c>
      <c r="KY603" s="27" t="s">
        <v>8</v>
      </c>
      <c r="KZ603" s="27" t="s">
        <v>7</v>
      </c>
      <c r="LA603" s="27" t="s">
        <v>8</v>
      </c>
      <c r="LB603" s="27" t="s">
        <v>7</v>
      </c>
      <c r="LC603" s="27" t="s">
        <v>8</v>
      </c>
      <c r="LD603" s="27" t="s">
        <v>7</v>
      </c>
      <c r="LE603" s="27" t="s">
        <v>8</v>
      </c>
      <c r="LF603" s="27" t="s">
        <v>7</v>
      </c>
      <c r="LG603" s="27" t="s">
        <v>8</v>
      </c>
      <c r="MB603" s="27" t="s">
        <v>7</v>
      </c>
      <c r="MC603" s="27" t="s">
        <v>8</v>
      </c>
      <c r="MD603" s="27" t="s">
        <v>7</v>
      </c>
      <c r="ME603" s="27" t="s">
        <v>8</v>
      </c>
      <c r="MF603" s="27" t="s">
        <v>7</v>
      </c>
      <c r="MG603" s="27" t="s">
        <v>8</v>
      </c>
      <c r="MH603" s="27" t="s">
        <v>7</v>
      </c>
      <c r="MM603" s="27" t="s">
        <v>8</v>
      </c>
      <c r="MP603" s="27" t="s">
        <v>7</v>
      </c>
      <c r="MS603" s="27" t="s">
        <v>8</v>
      </c>
      <c r="MT603" s="27" t="s">
        <v>7</v>
      </c>
      <c r="MW603" s="27" t="s">
        <v>8</v>
      </c>
      <c r="MX603" s="27" t="s">
        <v>7</v>
      </c>
      <c r="MY603" s="27" t="s">
        <v>8</v>
      </c>
    </row>
    <row r="604" spans="1:364" x14ac:dyDescent="0.25">
      <c r="A604" s="7">
        <v>0.71416256246493581</v>
      </c>
      <c r="B604"/>
      <c r="C604"/>
      <c r="D604"/>
      <c r="E604"/>
      <c r="F604" s="27" t="s">
        <v>7</v>
      </c>
      <c r="GQ604" s="27" t="s">
        <v>8</v>
      </c>
      <c r="GR604" s="27" t="s">
        <v>7</v>
      </c>
      <c r="GU604" s="27" t="s">
        <v>8</v>
      </c>
      <c r="GV604" s="27" t="s">
        <v>7</v>
      </c>
      <c r="GY604" s="27" t="s">
        <v>8</v>
      </c>
      <c r="GZ604" s="27" t="s">
        <v>7</v>
      </c>
      <c r="HC604" s="27" t="s">
        <v>8</v>
      </c>
      <c r="HG604" s="27" t="s">
        <v>8</v>
      </c>
      <c r="HH604" s="27" t="s">
        <v>7</v>
      </c>
      <c r="HI604" s="27" t="s">
        <v>8</v>
      </c>
      <c r="HK604" s="27" t="s">
        <v>8</v>
      </c>
      <c r="HT604" s="27" t="s">
        <v>7</v>
      </c>
      <c r="HU604" s="27" t="s">
        <v>8</v>
      </c>
      <c r="HV604" s="27" t="s">
        <v>7</v>
      </c>
      <c r="HW604" s="27" t="s">
        <v>8</v>
      </c>
      <c r="HX604" s="27" t="s">
        <v>7</v>
      </c>
      <c r="HY604" s="27" t="s">
        <v>8</v>
      </c>
      <c r="HZ604" s="27" t="s">
        <v>7</v>
      </c>
      <c r="IA604" s="27" t="s">
        <v>8</v>
      </c>
      <c r="IB604" s="27" t="s">
        <v>7</v>
      </c>
      <c r="IC604" s="27" t="s">
        <v>8</v>
      </c>
      <c r="ID604" s="27" t="s">
        <v>7</v>
      </c>
      <c r="IE604" s="27" t="s">
        <v>8</v>
      </c>
      <c r="IF604" s="27" t="s">
        <v>7</v>
      </c>
      <c r="IG604" s="27" t="s">
        <v>8</v>
      </c>
      <c r="IH604" s="27" t="s">
        <v>7</v>
      </c>
      <c r="JM604" s="27" t="s">
        <v>8</v>
      </c>
      <c r="JN604" s="27" t="s">
        <v>7</v>
      </c>
      <c r="JO604" s="27" t="s">
        <v>8</v>
      </c>
      <c r="JP604" s="27" t="s">
        <v>7</v>
      </c>
      <c r="JQ604" s="27" t="s">
        <v>8</v>
      </c>
      <c r="JR604" s="27" t="s">
        <v>7</v>
      </c>
      <c r="JS604" s="27" t="s">
        <v>8</v>
      </c>
      <c r="JV604" s="27" t="s">
        <v>7</v>
      </c>
      <c r="KD604" s="27" t="s">
        <v>7</v>
      </c>
      <c r="KI604" s="27" t="s">
        <v>8</v>
      </c>
      <c r="KJ604" s="27" t="s">
        <v>7</v>
      </c>
      <c r="KK604" s="27" t="s">
        <v>8</v>
      </c>
      <c r="KS604" s="27" t="s">
        <v>8</v>
      </c>
      <c r="KT604" s="27" t="s">
        <v>7</v>
      </c>
      <c r="KW604" s="27" t="s">
        <v>8</v>
      </c>
      <c r="KY604" s="27" t="s">
        <v>8</v>
      </c>
      <c r="KZ604" s="27" t="s">
        <v>7</v>
      </c>
      <c r="LA604" s="27" t="s">
        <v>8</v>
      </c>
      <c r="LB604" s="27" t="s">
        <v>7</v>
      </c>
      <c r="LC604" s="27" t="s">
        <v>8</v>
      </c>
      <c r="LD604" s="27" t="s">
        <v>7</v>
      </c>
      <c r="LF604" s="27" t="s">
        <v>7</v>
      </c>
      <c r="LG604" s="27" t="s">
        <v>8</v>
      </c>
      <c r="MB604" s="27" t="s">
        <v>7</v>
      </c>
      <c r="MC604" s="27" t="s">
        <v>8</v>
      </c>
      <c r="MD604" s="27" t="s">
        <v>7</v>
      </c>
      <c r="ME604" s="27" t="s">
        <v>8</v>
      </c>
      <c r="MF604" s="27" t="s">
        <v>7</v>
      </c>
      <c r="MG604" s="27" t="s">
        <v>8</v>
      </c>
      <c r="MH604" s="27" t="s">
        <v>7</v>
      </c>
      <c r="MM604" s="27" t="s">
        <v>8</v>
      </c>
      <c r="MP604" s="27" t="s">
        <v>7</v>
      </c>
      <c r="MQ604" s="27" t="s">
        <v>8</v>
      </c>
      <c r="MS604" s="27" t="s">
        <v>8</v>
      </c>
      <c r="MT604" s="27" t="s">
        <v>7</v>
      </c>
      <c r="MW604" s="27" t="s">
        <v>8</v>
      </c>
      <c r="MX604" s="27" t="s">
        <v>7</v>
      </c>
      <c r="MY604" s="27" t="s">
        <v>8</v>
      </c>
      <c r="MZ604" s="27" t="s">
        <v>7</v>
      </c>
    </row>
    <row r="605" spans="1:364" x14ac:dyDescent="0.25">
      <c r="A605" s="7">
        <v>0.7001593749656233</v>
      </c>
      <c r="B605"/>
      <c r="C605"/>
      <c r="D605"/>
      <c r="E605"/>
      <c r="F605" s="27" t="s">
        <v>7</v>
      </c>
      <c r="GQ605" s="27" t="s">
        <v>8</v>
      </c>
      <c r="GR605" s="27" t="s">
        <v>7</v>
      </c>
      <c r="GU605" s="27" t="s">
        <v>8</v>
      </c>
      <c r="GV605" s="27" t="s">
        <v>7</v>
      </c>
      <c r="GY605" s="27" t="s">
        <v>8</v>
      </c>
      <c r="GZ605" s="27" t="s">
        <v>7</v>
      </c>
      <c r="HC605" s="27" t="s">
        <v>8</v>
      </c>
      <c r="HD605" s="27" t="s">
        <v>7</v>
      </c>
      <c r="HG605" s="27" t="s">
        <v>8</v>
      </c>
      <c r="HH605" s="27" t="s">
        <v>7</v>
      </c>
      <c r="HI605" s="27" t="s">
        <v>8</v>
      </c>
      <c r="HJ605" s="27" t="s">
        <v>7</v>
      </c>
      <c r="HK605" s="27" t="s">
        <v>8</v>
      </c>
      <c r="HT605" s="27" t="s">
        <v>7</v>
      </c>
      <c r="HU605" s="27" t="s">
        <v>8</v>
      </c>
      <c r="HV605" s="27" t="s">
        <v>7</v>
      </c>
      <c r="HW605" s="27" t="s">
        <v>8</v>
      </c>
      <c r="HX605" s="27" t="s">
        <v>7</v>
      </c>
      <c r="HY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D605" s="27" t="s">
        <v>7</v>
      </c>
      <c r="IE605" s="27" t="s">
        <v>8</v>
      </c>
      <c r="IF605" s="27" t="s">
        <v>7</v>
      </c>
      <c r="IG605" s="27" t="s">
        <v>8</v>
      </c>
      <c r="IH605" s="27" t="s">
        <v>7</v>
      </c>
      <c r="JM605" s="27" t="s">
        <v>8</v>
      </c>
      <c r="JN605" s="27" t="s">
        <v>7</v>
      </c>
      <c r="JO605" s="27" t="s">
        <v>8</v>
      </c>
      <c r="JP605" s="27" t="s">
        <v>7</v>
      </c>
      <c r="JQ605" s="27" t="s">
        <v>8</v>
      </c>
      <c r="JR605" s="27" t="s">
        <v>7</v>
      </c>
      <c r="KD605" s="27" t="s">
        <v>7</v>
      </c>
      <c r="KE605" s="27" t="s">
        <v>8</v>
      </c>
      <c r="KI605" s="27" t="s">
        <v>8</v>
      </c>
      <c r="KJ605" s="27" t="s">
        <v>7</v>
      </c>
      <c r="KK605" s="27" t="s">
        <v>8</v>
      </c>
      <c r="KL605" s="27" t="s">
        <v>7</v>
      </c>
      <c r="KS605" s="27" t="s">
        <v>8</v>
      </c>
      <c r="KT605" s="27" t="s">
        <v>7</v>
      </c>
      <c r="KW605" s="27" t="s">
        <v>8</v>
      </c>
      <c r="KX605" s="27" t="s">
        <v>7</v>
      </c>
      <c r="KY605" s="27" t="s">
        <v>8</v>
      </c>
      <c r="KZ605" s="27" t="s">
        <v>7</v>
      </c>
      <c r="LA605" s="27" t="s">
        <v>8</v>
      </c>
      <c r="LB605" s="27" t="s">
        <v>7</v>
      </c>
      <c r="LF605" s="27" t="s">
        <v>7</v>
      </c>
      <c r="MB605" s="27" t="s">
        <v>7</v>
      </c>
      <c r="MC605" s="27" t="s">
        <v>8</v>
      </c>
      <c r="MD605" s="27" t="s">
        <v>7</v>
      </c>
      <c r="ME605" s="27" t="s">
        <v>8</v>
      </c>
      <c r="MF605" s="27" t="s">
        <v>7</v>
      </c>
      <c r="MG605" s="27" t="s">
        <v>8</v>
      </c>
      <c r="MH605" s="27" t="s">
        <v>7</v>
      </c>
      <c r="MI605" s="27" t="s">
        <v>8</v>
      </c>
      <c r="MM605" s="27" t="s">
        <v>8</v>
      </c>
      <c r="MP605" s="27" t="s">
        <v>7</v>
      </c>
      <c r="MQ605" s="27" t="s">
        <v>8</v>
      </c>
      <c r="MR605" s="27" t="s">
        <v>7</v>
      </c>
      <c r="MS605" s="27" t="s">
        <v>8</v>
      </c>
      <c r="MT605" s="27" t="s">
        <v>7</v>
      </c>
      <c r="MW605" s="27" t="s">
        <v>8</v>
      </c>
      <c r="MX605" s="27" t="s">
        <v>7</v>
      </c>
      <c r="MY605" s="27" t="s">
        <v>8</v>
      </c>
      <c r="MZ605" s="27" t="s">
        <v>7</v>
      </c>
    </row>
    <row r="606" spans="1:364" x14ac:dyDescent="0.25">
      <c r="A606" s="7">
        <v>0.68643075977021883</v>
      </c>
      <c r="B606"/>
      <c r="C606"/>
      <c r="D606"/>
      <c r="E606"/>
      <c r="F606" s="27" t="s">
        <v>7</v>
      </c>
      <c r="GQ606" s="27" t="s">
        <v>8</v>
      </c>
      <c r="GR606" s="27" t="s">
        <v>7</v>
      </c>
      <c r="GU606" s="27" t="s">
        <v>8</v>
      </c>
      <c r="GV606" s="27" t="s">
        <v>7</v>
      </c>
      <c r="GY606" s="27" t="s">
        <v>8</v>
      </c>
      <c r="GZ606" s="27" t="s">
        <v>7</v>
      </c>
      <c r="HC606" s="27" t="s">
        <v>8</v>
      </c>
      <c r="HD606" s="27" t="s">
        <v>7</v>
      </c>
      <c r="HG606" s="27" t="s">
        <v>8</v>
      </c>
      <c r="HH606" s="27" t="s">
        <v>7</v>
      </c>
      <c r="HI606" s="27" t="s">
        <v>8</v>
      </c>
      <c r="HJ606" s="27" t="s">
        <v>7</v>
      </c>
      <c r="HK606" s="27" t="s">
        <v>8</v>
      </c>
      <c r="HT606" s="27" t="s">
        <v>7</v>
      </c>
      <c r="HU606" s="27" t="s">
        <v>8</v>
      </c>
      <c r="HV606" s="27" t="s">
        <v>7</v>
      </c>
      <c r="HW606" s="27" t="s">
        <v>8</v>
      </c>
      <c r="HX606" s="27" t="s">
        <v>7</v>
      </c>
      <c r="HY606" s="27" t="s">
        <v>8</v>
      </c>
      <c r="HZ606" s="27" t="s">
        <v>7</v>
      </c>
      <c r="IA606" s="27" t="s">
        <v>8</v>
      </c>
      <c r="IB606" s="27" t="s">
        <v>7</v>
      </c>
      <c r="IC606" s="27" t="s">
        <v>8</v>
      </c>
      <c r="ID606" s="27" t="s">
        <v>7</v>
      </c>
      <c r="IE606" s="27" t="s">
        <v>8</v>
      </c>
      <c r="IF606" s="27" t="s">
        <v>7</v>
      </c>
      <c r="IG606" s="27" t="s">
        <v>8</v>
      </c>
      <c r="IH606" s="27" t="s">
        <v>7</v>
      </c>
      <c r="JM606" s="27" t="s">
        <v>8</v>
      </c>
      <c r="JN606" s="27" t="s">
        <v>7</v>
      </c>
      <c r="JO606" s="27" t="s">
        <v>8</v>
      </c>
      <c r="JP606" s="27" t="s">
        <v>7</v>
      </c>
      <c r="KD606" s="27" t="s">
        <v>7</v>
      </c>
      <c r="KE606" s="27" t="s">
        <v>8</v>
      </c>
      <c r="KF606" s="27" t="s">
        <v>7</v>
      </c>
      <c r="KG606" s="27" t="s">
        <v>8</v>
      </c>
      <c r="KI606" s="27" t="s">
        <v>8</v>
      </c>
      <c r="KJ606" s="27" t="s">
        <v>7</v>
      </c>
      <c r="KK606" s="27" t="s">
        <v>8</v>
      </c>
      <c r="KL606" s="27" t="s">
        <v>7</v>
      </c>
      <c r="KS606" s="27" t="s">
        <v>8</v>
      </c>
      <c r="KT606" s="27" t="s">
        <v>7</v>
      </c>
      <c r="KW606" s="27" t="s">
        <v>8</v>
      </c>
      <c r="KX606" s="27" t="s">
        <v>7</v>
      </c>
      <c r="KY606" s="27" t="s">
        <v>8</v>
      </c>
      <c r="KZ606" s="27" t="s">
        <v>7</v>
      </c>
      <c r="LA606" s="27" t="s">
        <v>8</v>
      </c>
      <c r="MB606" s="27" t="s">
        <v>7</v>
      </c>
      <c r="MC606" s="27" t="s">
        <v>8</v>
      </c>
      <c r="MD606" s="27" t="s">
        <v>7</v>
      </c>
      <c r="ME606" s="27" t="s">
        <v>8</v>
      </c>
      <c r="MF606" s="27" t="s">
        <v>7</v>
      </c>
      <c r="MG606" s="27" t="s">
        <v>8</v>
      </c>
      <c r="MH606" s="27" t="s">
        <v>7</v>
      </c>
      <c r="MI606" s="27" t="s">
        <v>8</v>
      </c>
      <c r="MJ606" s="27" t="s">
        <v>7</v>
      </c>
      <c r="MM606" s="27" t="s">
        <v>8</v>
      </c>
      <c r="MP606" s="27" t="s">
        <v>7</v>
      </c>
      <c r="MQ606" s="27" t="s">
        <v>8</v>
      </c>
      <c r="MR606" s="27" t="s">
        <v>7</v>
      </c>
      <c r="MS606" s="27" t="s">
        <v>8</v>
      </c>
      <c r="MT606" s="27" t="s">
        <v>7</v>
      </c>
      <c r="MW606" s="27" t="s">
        <v>8</v>
      </c>
      <c r="MX606" s="27" t="s">
        <v>7</v>
      </c>
      <c r="MZ606" s="27" t="s">
        <v>7</v>
      </c>
    </row>
    <row r="607" spans="1:364" x14ac:dyDescent="0.25">
      <c r="A607" s="7">
        <v>0.67297133310805768</v>
      </c>
      <c r="B607"/>
      <c r="C607"/>
      <c r="D607"/>
      <c r="E607"/>
      <c r="F607" s="27" t="s">
        <v>7</v>
      </c>
      <c r="GQ607" s="27" t="s">
        <v>8</v>
      </c>
      <c r="GR607" s="27" t="s">
        <v>7</v>
      </c>
      <c r="GU607" s="27" t="s">
        <v>8</v>
      </c>
      <c r="GV607" s="27" t="s">
        <v>7</v>
      </c>
      <c r="GW607" s="27" t="s">
        <v>8</v>
      </c>
      <c r="GY607" s="27" t="s">
        <v>8</v>
      </c>
      <c r="GZ607" s="27" t="s">
        <v>7</v>
      </c>
      <c r="HC607" s="27" t="s">
        <v>8</v>
      </c>
      <c r="HD607" s="27" t="s">
        <v>7</v>
      </c>
      <c r="HG607" s="27" t="s">
        <v>8</v>
      </c>
      <c r="HH607" s="27" t="s">
        <v>7</v>
      </c>
      <c r="HI607" s="27" t="s">
        <v>8</v>
      </c>
      <c r="HJ607" s="27" t="s">
        <v>7</v>
      </c>
      <c r="HK607" s="27" t="s">
        <v>8</v>
      </c>
      <c r="HT607" s="27" t="s">
        <v>7</v>
      </c>
      <c r="HU607" s="27" t="s">
        <v>8</v>
      </c>
      <c r="HV607" s="27" t="s">
        <v>7</v>
      </c>
      <c r="HW607" s="27" t="s">
        <v>8</v>
      </c>
      <c r="HX607" s="27" t="s">
        <v>7</v>
      </c>
      <c r="HY607" s="27" t="s">
        <v>8</v>
      </c>
      <c r="HZ607" s="27" t="s">
        <v>7</v>
      </c>
      <c r="IA607" s="27" t="s">
        <v>8</v>
      </c>
      <c r="IB607" s="27" t="s">
        <v>7</v>
      </c>
      <c r="IC607" s="27" t="s">
        <v>8</v>
      </c>
      <c r="ID607" s="27" t="s">
        <v>7</v>
      </c>
      <c r="IE607" s="27" t="s">
        <v>8</v>
      </c>
      <c r="IF607" s="27" t="s">
        <v>7</v>
      </c>
      <c r="IG607" s="27" t="s">
        <v>8</v>
      </c>
      <c r="IH607" s="27" t="s">
        <v>7</v>
      </c>
      <c r="JM607" s="27" t="s">
        <v>8</v>
      </c>
      <c r="JN607" s="27" t="s">
        <v>7</v>
      </c>
      <c r="KD607" s="27" t="s">
        <v>7</v>
      </c>
      <c r="KE607" s="27" t="s">
        <v>8</v>
      </c>
      <c r="KF607" s="27" t="s">
        <v>7</v>
      </c>
      <c r="KG607" s="27" t="s">
        <v>8</v>
      </c>
      <c r="KH607" s="27" t="s">
        <v>7</v>
      </c>
      <c r="KI607" s="27" t="s">
        <v>8</v>
      </c>
      <c r="KJ607" s="27" t="s">
        <v>7</v>
      </c>
      <c r="KK607" s="27" t="s">
        <v>8</v>
      </c>
      <c r="KL607" s="27" t="s">
        <v>7</v>
      </c>
      <c r="KS607" s="27" t="s">
        <v>8</v>
      </c>
      <c r="KT607" s="27" t="s">
        <v>7</v>
      </c>
      <c r="KW607" s="27" t="s">
        <v>8</v>
      </c>
      <c r="KX607" s="27" t="s">
        <v>7</v>
      </c>
      <c r="KY607" s="27" t="s">
        <v>8</v>
      </c>
      <c r="KZ607" s="27" t="s">
        <v>7</v>
      </c>
      <c r="MB607" s="27" t="s">
        <v>7</v>
      </c>
      <c r="MD607" s="27" t="s">
        <v>7</v>
      </c>
      <c r="MF607" s="27" t="s">
        <v>7</v>
      </c>
      <c r="MH607" s="27" t="s">
        <v>7</v>
      </c>
      <c r="MI607" s="27" t="s">
        <v>8</v>
      </c>
      <c r="MJ607" s="27" t="s">
        <v>7</v>
      </c>
      <c r="MK607" s="27" t="s">
        <v>8</v>
      </c>
      <c r="MM607" s="27" t="s">
        <v>8</v>
      </c>
      <c r="MP607" s="27" t="s">
        <v>7</v>
      </c>
      <c r="MR607" s="27" t="s">
        <v>7</v>
      </c>
      <c r="MT607" s="27" t="s">
        <v>7</v>
      </c>
      <c r="MW607" s="27" t="s">
        <v>8</v>
      </c>
      <c r="MZ607" s="27" t="s">
        <v>7</v>
      </c>
    </row>
    <row r="608" spans="1:364" x14ac:dyDescent="0.25">
      <c r="A608" s="7">
        <v>0.65977581677260566</v>
      </c>
      <c r="B608"/>
      <c r="C608"/>
      <c r="D608"/>
      <c r="E608"/>
      <c r="F608" s="27" t="s">
        <v>7</v>
      </c>
      <c r="GQ608" s="27" t="s">
        <v>8</v>
      </c>
      <c r="GR608" s="27" t="s">
        <v>7</v>
      </c>
      <c r="GU608" s="27" t="s">
        <v>8</v>
      </c>
      <c r="GV608" s="27" t="s">
        <v>7</v>
      </c>
      <c r="GW608" s="27" t="s">
        <v>8</v>
      </c>
      <c r="GX608" s="27" t="s">
        <v>7</v>
      </c>
      <c r="GY608" s="27" t="s">
        <v>8</v>
      </c>
      <c r="GZ608" s="27" t="s">
        <v>7</v>
      </c>
      <c r="HC608" s="27" t="s">
        <v>8</v>
      </c>
      <c r="HD608" s="27" t="s">
        <v>7</v>
      </c>
      <c r="HG608" s="27" t="s">
        <v>8</v>
      </c>
      <c r="HH608" s="27" t="s">
        <v>7</v>
      </c>
      <c r="HI608" s="27" t="s">
        <v>8</v>
      </c>
      <c r="HJ608" s="27" t="s">
        <v>7</v>
      </c>
      <c r="HK608" s="27" t="s">
        <v>8</v>
      </c>
      <c r="HT608" s="27" t="s">
        <v>7</v>
      </c>
      <c r="HU608" s="27" t="s">
        <v>8</v>
      </c>
      <c r="HV608" s="27" t="s">
        <v>7</v>
      </c>
      <c r="HX608" s="27" t="s">
        <v>7</v>
      </c>
      <c r="HY608" s="27" t="s">
        <v>8</v>
      </c>
      <c r="HZ608" s="27" t="s">
        <v>7</v>
      </c>
      <c r="IA608" s="27" t="s">
        <v>8</v>
      </c>
      <c r="IB608" s="27" t="s">
        <v>7</v>
      </c>
      <c r="IC608" s="27" t="s">
        <v>8</v>
      </c>
      <c r="ID608" s="27" t="s">
        <v>7</v>
      </c>
      <c r="IF608" s="27" t="s">
        <v>7</v>
      </c>
      <c r="IG608" s="27" t="s">
        <v>8</v>
      </c>
      <c r="IH608" s="27" t="s">
        <v>7</v>
      </c>
      <c r="JM608" s="27" t="s">
        <v>8</v>
      </c>
      <c r="KD608" s="27" t="s">
        <v>7</v>
      </c>
      <c r="KE608" s="27" t="s">
        <v>8</v>
      </c>
      <c r="KF608" s="27" t="s">
        <v>7</v>
      </c>
      <c r="KG608" s="27" t="s">
        <v>8</v>
      </c>
      <c r="KH608" s="27" t="s">
        <v>7</v>
      </c>
      <c r="KI608" s="27" t="s">
        <v>8</v>
      </c>
      <c r="KJ608" s="27" t="s">
        <v>7</v>
      </c>
      <c r="KK608" s="27" t="s">
        <v>8</v>
      </c>
      <c r="KL608" s="27" t="s">
        <v>7</v>
      </c>
      <c r="KM608" s="27" t="s">
        <v>8</v>
      </c>
      <c r="KS608" s="27" t="s">
        <v>8</v>
      </c>
      <c r="KT608" s="27" t="s">
        <v>7</v>
      </c>
      <c r="KU608" s="27" t="s">
        <v>8</v>
      </c>
      <c r="KW608" s="27" t="s">
        <v>8</v>
      </c>
      <c r="KX608" s="27" t="s">
        <v>7</v>
      </c>
      <c r="KY608" s="27" t="s">
        <v>8</v>
      </c>
      <c r="MH608" s="27" t="s">
        <v>7</v>
      </c>
      <c r="MI608" s="27" t="s">
        <v>8</v>
      </c>
      <c r="MJ608" s="27" t="s">
        <v>7</v>
      </c>
      <c r="MK608" s="27" t="s">
        <v>8</v>
      </c>
      <c r="ML608" s="27" t="s">
        <v>7</v>
      </c>
      <c r="MM608" s="27" t="s">
        <v>8</v>
      </c>
      <c r="MT608" s="27" t="s">
        <v>7</v>
      </c>
      <c r="MW608" s="27" t="s">
        <v>8</v>
      </c>
      <c r="MZ608" s="27" t="s">
        <v>7</v>
      </c>
    </row>
    <row r="609" spans="1:368" x14ac:dyDescent="0.25">
      <c r="A609" s="7">
        <v>0.64683903605157422</v>
      </c>
      <c r="B609"/>
      <c r="C609"/>
      <c r="D609"/>
      <c r="E609"/>
      <c r="F609" s="27" t="s">
        <v>7</v>
      </c>
      <c r="GQ609" s="27" t="s">
        <v>8</v>
      </c>
      <c r="GR609" s="27" t="s">
        <v>7</v>
      </c>
      <c r="GS609" s="27" t="s">
        <v>8</v>
      </c>
      <c r="GU609" s="27" t="s">
        <v>8</v>
      </c>
      <c r="GV609" s="27" t="s">
        <v>7</v>
      </c>
      <c r="GW609" s="27" t="s">
        <v>8</v>
      </c>
      <c r="GX609" s="27" t="s">
        <v>7</v>
      </c>
      <c r="GY609" s="27" t="s">
        <v>8</v>
      </c>
      <c r="GZ609" s="27" t="s">
        <v>7</v>
      </c>
      <c r="HA609" s="27" t="s">
        <v>8</v>
      </c>
      <c r="HC609" s="27" t="s">
        <v>8</v>
      </c>
      <c r="HD609" s="27" t="s">
        <v>7</v>
      </c>
      <c r="HG609" s="27" t="s">
        <v>8</v>
      </c>
      <c r="HH609" s="27" t="s">
        <v>7</v>
      </c>
      <c r="HI609" s="27" t="s">
        <v>8</v>
      </c>
      <c r="HJ609" s="27" t="s">
        <v>7</v>
      </c>
      <c r="HK609" s="27" t="s">
        <v>8</v>
      </c>
      <c r="HT609" s="27" t="s">
        <v>7</v>
      </c>
      <c r="HU609" s="27" t="s">
        <v>8</v>
      </c>
      <c r="HX609" s="27" t="s">
        <v>7</v>
      </c>
      <c r="HY609" s="27" t="s">
        <v>8</v>
      </c>
      <c r="HZ609" s="27" t="s">
        <v>7</v>
      </c>
      <c r="IA609" s="27" t="s">
        <v>8</v>
      </c>
      <c r="IB609" s="27" t="s">
        <v>7</v>
      </c>
      <c r="IC609" s="27" t="s">
        <v>8</v>
      </c>
      <c r="IF609" s="27" t="s">
        <v>7</v>
      </c>
      <c r="IG609" s="27" t="s">
        <v>8</v>
      </c>
      <c r="IH609" s="27" t="s">
        <v>7</v>
      </c>
      <c r="JM609" s="27" t="s">
        <v>8</v>
      </c>
      <c r="KD609" s="27" t="s">
        <v>7</v>
      </c>
      <c r="KE609" s="27" t="s">
        <v>8</v>
      </c>
      <c r="KF609" s="27" t="s">
        <v>7</v>
      </c>
      <c r="KG609" s="27" t="s">
        <v>8</v>
      </c>
      <c r="KH609" s="27" t="s">
        <v>7</v>
      </c>
      <c r="KI609" s="27" t="s">
        <v>8</v>
      </c>
      <c r="KJ609" s="27" t="s">
        <v>7</v>
      </c>
      <c r="KK609" s="27" t="s">
        <v>8</v>
      </c>
      <c r="KL609" s="27" t="s">
        <v>7</v>
      </c>
      <c r="KM609" s="27" t="s">
        <v>8</v>
      </c>
      <c r="KN609" s="27" t="s">
        <v>7</v>
      </c>
      <c r="KS609" s="27" t="s">
        <v>8</v>
      </c>
      <c r="KT609" s="27" t="s">
        <v>7</v>
      </c>
      <c r="KU609" s="27" t="s">
        <v>8</v>
      </c>
      <c r="KV609" s="27" t="s">
        <v>7</v>
      </c>
      <c r="KW609" s="27" t="s">
        <v>8</v>
      </c>
      <c r="KX609" s="27" t="s">
        <v>7</v>
      </c>
      <c r="KY609" s="27" t="s">
        <v>8</v>
      </c>
      <c r="MH609" s="27" t="s">
        <v>7</v>
      </c>
      <c r="MI609" s="27" t="s">
        <v>8</v>
      </c>
      <c r="MJ609" s="27" t="s">
        <v>7</v>
      </c>
      <c r="MK609" s="27" t="s">
        <v>8</v>
      </c>
      <c r="ML609" s="27" t="s">
        <v>7</v>
      </c>
      <c r="MM609" s="27" t="s">
        <v>8</v>
      </c>
      <c r="MT609" s="27" t="s">
        <v>7</v>
      </c>
      <c r="MW609" s="27" t="s">
        <v>8</v>
      </c>
      <c r="MZ609" s="27" t="s">
        <v>7</v>
      </c>
    </row>
    <row r="610" spans="1:368" x14ac:dyDescent="0.25">
      <c r="A610" s="7">
        <v>0.63415591769762181</v>
      </c>
      <c r="B610"/>
      <c r="C610"/>
      <c r="D610"/>
      <c r="E610"/>
      <c r="F610" s="27" t="s">
        <v>7</v>
      </c>
      <c r="GQ610" s="27" t="s">
        <v>8</v>
      </c>
      <c r="GR610" s="27" t="s">
        <v>7</v>
      </c>
      <c r="GS610" s="27" t="s">
        <v>8</v>
      </c>
      <c r="GT610" s="27" t="s">
        <v>7</v>
      </c>
      <c r="GU610" s="27" t="s">
        <v>8</v>
      </c>
      <c r="GV610" s="27" t="s">
        <v>7</v>
      </c>
      <c r="GW610" s="27" t="s">
        <v>8</v>
      </c>
      <c r="GX610" s="27" t="s">
        <v>7</v>
      </c>
      <c r="GY610" s="27" t="s">
        <v>8</v>
      </c>
      <c r="GZ610" s="27" t="s">
        <v>7</v>
      </c>
      <c r="HA610" s="27" t="s">
        <v>8</v>
      </c>
      <c r="HB610" s="27" t="s">
        <v>7</v>
      </c>
      <c r="HC610" s="27" t="s">
        <v>8</v>
      </c>
      <c r="HD610" s="27" t="s">
        <v>7</v>
      </c>
      <c r="HG610" s="27" t="s">
        <v>8</v>
      </c>
      <c r="HH610" s="27" t="s">
        <v>7</v>
      </c>
      <c r="HI610" s="27" t="s">
        <v>8</v>
      </c>
      <c r="HJ610" s="27" t="s">
        <v>7</v>
      </c>
      <c r="HK610" s="27" t="s">
        <v>8</v>
      </c>
      <c r="HT610" s="27" t="s">
        <v>7</v>
      </c>
      <c r="HU610" s="27" t="s">
        <v>8</v>
      </c>
      <c r="HX610" s="27" t="s">
        <v>7</v>
      </c>
      <c r="HY610" s="27" t="s">
        <v>8</v>
      </c>
      <c r="HZ610" s="27" t="s">
        <v>7</v>
      </c>
      <c r="IA610" s="27" t="s">
        <v>8</v>
      </c>
      <c r="IB610" s="27" t="s">
        <v>7</v>
      </c>
      <c r="IC610" s="27" t="s">
        <v>8</v>
      </c>
      <c r="IF610" s="27" t="s">
        <v>7</v>
      </c>
      <c r="IG610" s="27" t="s">
        <v>8</v>
      </c>
      <c r="IH610" s="27" t="s">
        <v>7</v>
      </c>
      <c r="JM610" s="27" t="s">
        <v>8</v>
      </c>
      <c r="KD610" s="27" t="s">
        <v>7</v>
      </c>
      <c r="KE610" s="27" t="s">
        <v>8</v>
      </c>
      <c r="KF610" s="27" t="s">
        <v>7</v>
      </c>
      <c r="KG610" s="27" t="s">
        <v>8</v>
      </c>
      <c r="KH610" s="27" t="s">
        <v>7</v>
      </c>
      <c r="KI610" s="27" t="s">
        <v>8</v>
      </c>
      <c r="KJ610" s="27" t="s">
        <v>7</v>
      </c>
      <c r="KL610" s="27" t="s">
        <v>7</v>
      </c>
      <c r="KM610" s="27" t="s">
        <v>8</v>
      </c>
      <c r="KN610" s="27" t="s">
        <v>7</v>
      </c>
      <c r="KQ610" s="27" t="s">
        <v>8</v>
      </c>
      <c r="KS610" s="27" t="s">
        <v>8</v>
      </c>
      <c r="KT610" s="27" t="s">
        <v>7</v>
      </c>
      <c r="KU610" s="27" t="s">
        <v>8</v>
      </c>
      <c r="KV610" s="27" t="s">
        <v>7</v>
      </c>
      <c r="KW610" s="27" t="s">
        <v>8</v>
      </c>
      <c r="KX610" s="27" t="s">
        <v>7</v>
      </c>
      <c r="KY610" s="27" t="s">
        <v>8</v>
      </c>
      <c r="MH610" s="27" t="s">
        <v>7</v>
      </c>
      <c r="MI610" s="27" t="s">
        <v>8</v>
      </c>
      <c r="MJ610" s="27" t="s">
        <v>7</v>
      </c>
      <c r="MK610" s="27" t="s">
        <v>8</v>
      </c>
      <c r="ML610" s="27" t="s">
        <v>7</v>
      </c>
      <c r="MM610" s="27" t="s">
        <v>8</v>
      </c>
      <c r="MT610" s="27" t="s">
        <v>7</v>
      </c>
      <c r="MW610" s="27" t="s">
        <v>8</v>
      </c>
      <c r="MZ610" s="27" t="s">
        <v>7</v>
      </c>
    </row>
    <row r="611" spans="1:368" x14ac:dyDescent="0.25">
      <c r="A611" s="7">
        <v>0.62172148793884496</v>
      </c>
      <c r="B611"/>
      <c r="C611"/>
      <c r="D611"/>
      <c r="E611"/>
      <c r="F611" s="27" t="s">
        <v>7</v>
      </c>
      <c r="GQ611" s="27" t="s">
        <v>8</v>
      </c>
      <c r="GR611" s="27" t="s">
        <v>7</v>
      </c>
      <c r="GS611" s="27" t="s">
        <v>8</v>
      </c>
      <c r="GT611" s="27" t="s">
        <v>7</v>
      </c>
      <c r="GU611" s="27" t="s">
        <v>8</v>
      </c>
      <c r="GV611" s="27" t="s">
        <v>7</v>
      </c>
      <c r="GW611" s="27" t="s">
        <v>8</v>
      </c>
      <c r="GX611" s="27" t="s">
        <v>7</v>
      </c>
      <c r="GY611" s="27" t="s">
        <v>8</v>
      </c>
      <c r="GZ611" s="27" t="s">
        <v>7</v>
      </c>
      <c r="HA611" s="27" t="s">
        <v>8</v>
      </c>
      <c r="HB611" s="27" t="s">
        <v>7</v>
      </c>
      <c r="HC611" s="27" t="s">
        <v>8</v>
      </c>
      <c r="HD611" s="27" t="s">
        <v>7</v>
      </c>
      <c r="HG611" s="27" t="s">
        <v>8</v>
      </c>
      <c r="HH611" s="27" t="s">
        <v>7</v>
      </c>
      <c r="HI611" s="27" t="s">
        <v>8</v>
      </c>
      <c r="HJ611" s="27" t="s">
        <v>7</v>
      </c>
      <c r="HT611" s="27" t="s">
        <v>7</v>
      </c>
      <c r="HU611" s="27" t="s">
        <v>8</v>
      </c>
      <c r="HX611" s="27" t="s">
        <v>7</v>
      </c>
      <c r="HY611" s="27" t="s">
        <v>8</v>
      </c>
      <c r="HZ611" s="27" t="s">
        <v>7</v>
      </c>
      <c r="IB611" s="27" t="s">
        <v>7</v>
      </c>
      <c r="IC611" s="27" t="s">
        <v>8</v>
      </c>
      <c r="IF611" s="27" t="s">
        <v>7</v>
      </c>
      <c r="IG611" s="27" t="s">
        <v>8</v>
      </c>
      <c r="IH611" s="27" t="s">
        <v>7</v>
      </c>
      <c r="JM611" s="27" t="s">
        <v>8</v>
      </c>
      <c r="KD611" s="27" t="s">
        <v>7</v>
      </c>
      <c r="KE611" s="27" t="s">
        <v>8</v>
      </c>
      <c r="KF611" s="27" t="s">
        <v>7</v>
      </c>
      <c r="KH611" s="27" t="s">
        <v>7</v>
      </c>
      <c r="KI611" s="27" t="s">
        <v>8</v>
      </c>
      <c r="KL611" s="27" t="s">
        <v>7</v>
      </c>
      <c r="KM611" s="27" t="s">
        <v>8</v>
      </c>
      <c r="KN611" s="27" t="s">
        <v>7</v>
      </c>
      <c r="KO611" s="27" t="s">
        <v>8</v>
      </c>
      <c r="KQ611" s="27" t="s">
        <v>8</v>
      </c>
      <c r="KR611" s="27" t="s">
        <v>7</v>
      </c>
      <c r="KS611" s="27" t="s">
        <v>8</v>
      </c>
      <c r="KT611" s="27" t="s">
        <v>7</v>
      </c>
      <c r="KU611" s="27" t="s">
        <v>8</v>
      </c>
      <c r="KV611" s="27" t="s">
        <v>7</v>
      </c>
      <c r="KW611" s="27" t="s">
        <v>8</v>
      </c>
      <c r="KX611" s="27" t="s">
        <v>7</v>
      </c>
      <c r="KY611" s="27" t="s">
        <v>8</v>
      </c>
      <c r="MH611" s="27" t="s">
        <v>7</v>
      </c>
      <c r="MI611" s="27" t="s">
        <v>8</v>
      </c>
      <c r="MJ611" s="27" t="s">
        <v>7</v>
      </c>
      <c r="ML611" s="27" t="s">
        <v>7</v>
      </c>
      <c r="MM611" s="27" t="s">
        <v>8</v>
      </c>
      <c r="MT611" s="27" t="s">
        <v>7</v>
      </c>
      <c r="MW611" s="27" t="s">
        <v>8</v>
      </c>
      <c r="MZ611" s="27" t="s">
        <v>7</v>
      </c>
    </row>
    <row r="612" spans="1:368" x14ac:dyDescent="0.25">
      <c r="A612" s="7">
        <v>0.60953087052827937</v>
      </c>
      <c r="B612"/>
      <c r="C612"/>
      <c r="D612"/>
      <c r="E612"/>
      <c r="F612" s="27" t="s">
        <v>7</v>
      </c>
      <c r="GQ612" s="27" t="s">
        <v>8</v>
      </c>
      <c r="GR612" s="27" t="s">
        <v>7</v>
      </c>
      <c r="GS612" s="27" t="s">
        <v>8</v>
      </c>
      <c r="GT612" s="27" t="s">
        <v>7</v>
      </c>
      <c r="GU612" s="27" t="s">
        <v>8</v>
      </c>
      <c r="GV612" s="27" t="s">
        <v>7</v>
      </c>
      <c r="GW612" s="27" t="s">
        <v>8</v>
      </c>
      <c r="GX612" s="27" t="s">
        <v>7</v>
      </c>
      <c r="GY612" s="27" t="s">
        <v>8</v>
      </c>
      <c r="GZ612" s="27" t="s">
        <v>7</v>
      </c>
      <c r="HA612" s="27" t="s">
        <v>8</v>
      </c>
      <c r="HB612" s="27" t="s">
        <v>7</v>
      </c>
      <c r="HC612" s="27" t="s">
        <v>8</v>
      </c>
      <c r="HD612" s="27" t="s">
        <v>7</v>
      </c>
      <c r="HG612" s="27" t="s">
        <v>8</v>
      </c>
      <c r="HH612" s="27" t="s">
        <v>7</v>
      </c>
      <c r="HI612" s="27" t="s">
        <v>8</v>
      </c>
      <c r="HT612" s="27" t="s">
        <v>7</v>
      </c>
      <c r="HU612" s="27" t="s">
        <v>8</v>
      </c>
      <c r="HX612" s="27" t="s">
        <v>7</v>
      </c>
      <c r="HY612" s="27" t="s">
        <v>8</v>
      </c>
      <c r="IB612" s="27" t="s">
        <v>7</v>
      </c>
      <c r="IC612" s="27" t="s">
        <v>8</v>
      </c>
      <c r="IF612" s="27" t="s">
        <v>7</v>
      </c>
      <c r="IG612" s="27" t="s">
        <v>8</v>
      </c>
      <c r="IH612" s="27" t="s">
        <v>7</v>
      </c>
      <c r="II612" s="27" t="s">
        <v>8</v>
      </c>
      <c r="JM612" s="27" t="s">
        <v>8</v>
      </c>
      <c r="KD612" s="27" t="s">
        <v>7</v>
      </c>
      <c r="KE612" s="27" t="s">
        <v>8</v>
      </c>
      <c r="KH612" s="27" t="s">
        <v>7</v>
      </c>
      <c r="KI612" s="27" t="s">
        <v>8</v>
      </c>
      <c r="KL612" s="27" t="s">
        <v>7</v>
      </c>
      <c r="KM612" s="27" t="s">
        <v>8</v>
      </c>
      <c r="KN612" s="27" t="s">
        <v>7</v>
      </c>
      <c r="KO612" s="27" t="s">
        <v>8</v>
      </c>
      <c r="KP612" s="27" t="s">
        <v>7</v>
      </c>
      <c r="KQ612" s="27" t="s">
        <v>8</v>
      </c>
      <c r="KR612" s="27" t="s">
        <v>7</v>
      </c>
      <c r="KS612" s="27" t="s">
        <v>8</v>
      </c>
      <c r="KT612" s="27" t="s">
        <v>7</v>
      </c>
      <c r="KV612" s="27" t="s">
        <v>7</v>
      </c>
      <c r="KX612" s="27" t="s">
        <v>7</v>
      </c>
      <c r="KY612" s="27" t="s">
        <v>8</v>
      </c>
      <c r="MH612" s="27" t="s">
        <v>7</v>
      </c>
      <c r="MI612" s="27" t="s">
        <v>8</v>
      </c>
      <c r="ML612" s="27" t="s">
        <v>7</v>
      </c>
      <c r="MT612" s="27" t="s">
        <v>7</v>
      </c>
      <c r="MW612" s="27" t="s">
        <v>8</v>
      </c>
      <c r="MZ612" s="27" t="s">
        <v>7</v>
      </c>
    </row>
    <row r="613" spans="1:368" x14ac:dyDescent="0.25">
      <c r="A613" s="7">
        <v>0.59757928483164646</v>
      </c>
      <c r="B613"/>
      <c r="C613"/>
      <c r="D613"/>
      <c r="E613"/>
      <c r="F613" s="27" t="s">
        <v>7</v>
      </c>
      <c r="GQ613" s="27" t="s">
        <v>8</v>
      </c>
      <c r="GR613" s="27" t="s">
        <v>7</v>
      </c>
      <c r="GS613" s="27" t="s">
        <v>8</v>
      </c>
      <c r="GT613" s="27" t="s">
        <v>7</v>
      </c>
      <c r="GU613" s="27" t="s">
        <v>8</v>
      </c>
      <c r="GV613" s="27" t="s">
        <v>7</v>
      </c>
      <c r="GX613" s="27" t="s">
        <v>7</v>
      </c>
      <c r="GY613" s="27" t="s">
        <v>8</v>
      </c>
      <c r="GZ613" s="27" t="s">
        <v>7</v>
      </c>
      <c r="HB613" s="27" t="s">
        <v>7</v>
      </c>
      <c r="HC613" s="27" t="s">
        <v>8</v>
      </c>
      <c r="HD613" s="27" t="s">
        <v>7</v>
      </c>
      <c r="HG613" s="27" t="s">
        <v>8</v>
      </c>
      <c r="HH613" s="27" t="s">
        <v>7</v>
      </c>
      <c r="HI613" s="27" t="s">
        <v>8</v>
      </c>
      <c r="HT613" s="27" t="s">
        <v>7</v>
      </c>
      <c r="HU613" s="27" t="s">
        <v>8</v>
      </c>
      <c r="HX613" s="27" t="s">
        <v>7</v>
      </c>
      <c r="HY613" s="27" t="s">
        <v>8</v>
      </c>
      <c r="IB613" s="27" t="s">
        <v>7</v>
      </c>
      <c r="IC613" s="27" t="s">
        <v>8</v>
      </c>
      <c r="IF613" s="27" t="s">
        <v>7</v>
      </c>
      <c r="IG613" s="27" t="s">
        <v>8</v>
      </c>
      <c r="IH613" s="27" t="s">
        <v>7</v>
      </c>
      <c r="II613" s="27" t="s">
        <v>8</v>
      </c>
      <c r="IJ613" s="27" t="s">
        <v>7</v>
      </c>
      <c r="JM613" s="27" t="s">
        <v>8</v>
      </c>
      <c r="KD613" s="27" t="s">
        <v>7</v>
      </c>
      <c r="KH613" s="27" t="s">
        <v>7</v>
      </c>
      <c r="KL613" s="27" t="s">
        <v>7</v>
      </c>
      <c r="KM613" s="27" t="s">
        <v>8</v>
      </c>
      <c r="KN613" s="27" t="s">
        <v>7</v>
      </c>
      <c r="KO613" s="27" t="s">
        <v>8</v>
      </c>
      <c r="KP613" s="27" t="s">
        <v>7</v>
      </c>
      <c r="KQ613" s="27" t="s">
        <v>8</v>
      </c>
      <c r="KR613" s="27" t="s">
        <v>7</v>
      </c>
      <c r="KS613" s="27" t="s">
        <v>8</v>
      </c>
      <c r="KX613" s="27" t="s">
        <v>7</v>
      </c>
      <c r="KY613" s="27" t="s">
        <v>8</v>
      </c>
      <c r="MH613" s="27" t="s">
        <v>7</v>
      </c>
      <c r="MT613" s="27" t="s">
        <v>7</v>
      </c>
      <c r="MU613" s="27" t="s">
        <v>8</v>
      </c>
      <c r="MW613" s="27" t="s">
        <v>8</v>
      </c>
      <c r="MZ613" s="27" t="s">
        <v>7</v>
      </c>
    </row>
    <row r="614" spans="1:368" x14ac:dyDescent="0.25">
      <c r="A614" s="7">
        <v>0.58586204395259456</v>
      </c>
      <c r="B614"/>
      <c r="C614"/>
      <c r="D614"/>
      <c r="E614"/>
      <c r="F614" s="27" t="s">
        <v>7</v>
      </c>
      <c r="GQ614" s="27" t="s">
        <v>8</v>
      </c>
      <c r="GR614" s="27" t="s">
        <v>7</v>
      </c>
      <c r="GS614" s="27" t="s">
        <v>8</v>
      </c>
      <c r="GT614" s="27" t="s">
        <v>7</v>
      </c>
      <c r="GU614" s="27" t="s">
        <v>8</v>
      </c>
      <c r="GX614" s="27" t="s">
        <v>7</v>
      </c>
      <c r="GY614" s="27" t="s">
        <v>8</v>
      </c>
      <c r="HB614" s="27" t="s">
        <v>7</v>
      </c>
      <c r="HC614" s="27" t="s">
        <v>8</v>
      </c>
      <c r="HD614" s="27" t="s">
        <v>7</v>
      </c>
      <c r="HG614" s="27" t="s">
        <v>8</v>
      </c>
      <c r="HH614" s="27" t="s">
        <v>7</v>
      </c>
      <c r="HI614" s="27" t="s">
        <v>8</v>
      </c>
      <c r="HT614" s="27" t="s">
        <v>7</v>
      </c>
      <c r="HU614" s="27" t="s">
        <v>8</v>
      </c>
      <c r="HX614" s="27" t="s">
        <v>7</v>
      </c>
      <c r="HY614" s="27" t="s">
        <v>8</v>
      </c>
      <c r="IB614" s="27" t="s">
        <v>7</v>
      </c>
      <c r="IC614" s="27" t="s">
        <v>8</v>
      </c>
      <c r="IF614" s="27" t="s">
        <v>7</v>
      </c>
      <c r="IG614" s="27" t="s">
        <v>8</v>
      </c>
      <c r="IH614" s="27" t="s">
        <v>7</v>
      </c>
      <c r="II614" s="27" t="s">
        <v>8</v>
      </c>
      <c r="IJ614" s="27" t="s">
        <v>7</v>
      </c>
      <c r="JM614" s="27" t="s">
        <v>8</v>
      </c>
      <c r="KL614" s="27" t="s">
        <v>7</v>
      </c>
      <c r="KM614" s="27" t="s">
        <v>8</v>
      </c>
      <c r="KN614" s="27" t="s">
        <v>7</v>
      </c>
      <c r="KO614" s="27" t="s">
        <v>8</v>
      </c>
      <c r="KP614" s="27" t="s">
        <v>7</v>
      </c>
      <c r="KQ614" s="27" t="s">
        <v>8</v>
      </c>
      <c r="KR614" s="27" t="s">
        <v>7</v>
      </c>
      <c r="KS614" s="27" t="s">
        <v>8</v>
      </c>
      <c r="KX614" s="27" t="s">
        <v>7</v>
      </c>
      <c r="MT614" s="27" t="s">
        <v>7</v>
      </c>
      <c r="MU614" s="27" t="s">
        <v>8</v>
      </c>
      <c r="MV614" s="27" t="s">
        <v>7</v>
      </c>
      <c r="MW614" s="27" t="s">
        <v>8</v>
      </c>
      <c r="MZ614" s="27" t="s">
        <v>7</v>
      </c>
    </row>
    <row r="615" spans="1:368" x14ac:dyDescent="0.25">
      <c r="A615" s="7">
        <v>0.57437455289470052</v>
      </c>
      <c r="B615"/>
      <c r="C615"/>
      <c r="D615"/>
      <c r="E615"/>
      <c r="F615" s="27" t="s">
        <v>7</v>
      </c>
      <c r="GQ615" s="27" t="s">
        <v>8</v>
      </c>
      <c r="GR615" s="27" t="s">
        <v>7</v>
      </c>
      <c r="GS615" s="27" t="s">
        <v>8</v>
      </c>
      <c r="GT615" s="27" t="s">
        <v>7</v>
      </c>
      <c r="GU615" s="27" t="s">
        <v>8</v>
      </c>
      <c r="GX615" s="27" t="s">
        <v>7</v>
      </c>
      <c r="GY615" s="27" t="s">
        <v>8</v>
      </c>
      <c r="HB615" s="27" t="s">
        <v>7</v>
      </c>
      <c r="HC615" s="27" t="s">
        <v>8</v>
      </c>
      <c r="HD615" s="27" t="s">
        <v>7</v>
      </c>
      <c r="HG615" s="27" t="s">
        <v>8</v>
      </c>
      <c r="HH615" s="27" t="s">
        <v>7</v>
      </c>
      <c r="HT615" s="27" t="s">
        <v>7</v>
      </c>
      <c r="HU615" s="27" t="s">
        <v>8</v>
      </c>
      <c r="HX615" s="27" t="s">
        <v>7</v>
      </c>
      <c r="HY615" s="27" t="s">
        <v>8</v>
      </c>
      <c r="IB615" s="27" t="s">
        <v>7</v>
      </c>
      <c r="IF615" s="27" t="s">
        <v>7</v>
      </c>
      <c r="IG615" s="27" t="s">
        <v>8</v>
      </c>
      <c r="IH615" s="27" t="s">
        <v>7</v>
      </c>
      <c r="II615" s="27" t="s">
        <v>8</v>
      </c>
      <c r="IJ615" s="27" t="s">
        <v>7</v>
      </c>
      <c r="IO615" s="27" t="s">
        <v>8</v>
      </c>
      <c r="JM615" s="27" t="s">
        <v>8</v>
      </c>
      <c r="KL615" s="27" t="s">
        <v>7</v>
      </c>
      <c r="KM615" s="27" t="s">
        <v>8</v>
      </c>
      <c r="KN615" s="27" t="s">
        <v>7</v>
      </c>
      <c r="KO615" s="27" t="s">
        <v>8</v>
      </c>
      <c r="KP615" s="27" t="s">
        <v>7</v>
      </c>
      <c r="KQ615" s="27" t="s">
        <v>8</v>
      </c>
      <c r="KR615" s="27" t="s">
        <v>7</v>
      </c>
      <c r="KS615" s="27" t="s">
        <v>8</v>
      </c>
      <c r="MT615" s="27" t="s">
        <v>7</v>
      </c>
      <c r="MU615" s="27" t="s">
        <v>8</v>
      </c>
      <c r="MV615" s="27" t="s">
        <v>7</v>
      </c>
      <c r="MW615" s="27" t="s">
        <v>8</v>
      </c>
      <c r="MZ615" s="27" t="s">
        <v>7</v>
      </c>
    </row>
    <row r="616" spans="1:368" x14ac:dyDescent="0.25">
      <c r="A616" s="7">
        <v>0.56311230675951029</v>
      </c>
      <c r="B616"/>
      <c r="C616"/>
      <c r="D616"/>
      <c r="E616"/>
      <c r="F616" s="27" t="s">
        <v>7</v>
      </c>
      <c r="GQ616" s="27" t="s">
        <v>8</v>
      </c>
      <c r="GR616" s="27" t="s">
        <v>7</v>
      </c>
      <c r="GS616" s="27" t="s">
        <v>8</v>
      </c>
      <c r="GT616" s="27" t="s">
        <v>7</v>
      </c>
      <c r="GU616" s="27" t="s">
        <v>8</v>
      </c>
      <c r="GX616" s="27" t="s">
        <v>7</v>
      </c>
      <c r="GY616" s="27" t="s">
        <v>8</v>
      </c>
      <c r="HB616" s="27" t="s">
        <v>7</v>
      </c>
      <c r="HC616" s="27" t="s">
        <v>8</v>
      </c>
      <c r="HD616" s="27" t="s">
        <v>7</v>
      </c>
      <c r="HG616" s="27" t="s">
        <v>8</v>
      </c>
      <c r="HT616" s="27" t="s">
        <v>7</v>
      </c>
      <c r="HU616" s="27" t="s">
        <v>8</v>
      </c>
      <c r="HX616" s="27" t="s">
        <v>7</v>
      </c>
      <c r="HY616" s="27" t="s">
        <v>8</v>
      </c>
      <c r="IF616" s="27" t="s">
        <v>7</v>
      </c>
      <c r="IG616" s="27" t="s">
        <v>8</v>
      </c>
      <c r="IH616" s="27" t="s">
        <v>7</v>
      </c>
      <c r="II616" s="27" t="s">
        <v>8</v>
      </c>
      <c r="IJ616" s="27" t="s">
        <v>7</v>
      </c>
      <c r="IO616" s="27" t="s">
        <v>8</v>
      </c>
      <c r="IP616" s="27" t="s">
        <v>7</v>
      </c>
      <c r="JM616" s="27" t="s">
        <v>8</v>
      </c>
      <c r="KL616" s="27" t="s">
        <v>7</v>
      </c>
      <c r="KM616" s="27" t="s">
        <v>8</v>
      </c>
      <c r="KN616" s="27" t="s">
        <v>7</v>
      </c>
      <c r="KO616" s="27" t="s">
        <v>8</v>
      </c>
      <c r="KP616" s="27" t="s">
        <v>7</v>
      </c>
      <c r="KQ616" s="27" t="s">
        <v>8</v>
      </c>
      <c r="KR616" s="27" t="s">
        <v>7</v>
      </c>
      <c r="KS616" s="27" t="s">
        <v>8</v>
      </c>
      <c r="MT616" s="27" t="s">
        <v>7</v>
      </c>
      <c r="MV616" s="27" t="s">
        <v>7</v>
      </c>
      <c r="MW616" s="27" t="s">
        <v>8</v>
      </c>
      <c r="MZ616" s="27" t="s">
        <v>7</v>
      </c>
    </row>
    <row r="617" spans="1:368" x14ac:dyDescent="0.25">
      <c r="A617" s="7">
        <v>0.55207088897991208</v>
      </c>
      <c r="B617"/>
      <c r="C617"/>
      <c r="D617"/>
      <c r="E617"/>
      <c r="F617" s="27" t="s">
        <v>7</v>
      </c>
      <c r="GQ617" s="27" t="s">
        <v>8</v>
      </c>
      <c r="GR617" s="27" t="s">
        <v>7</v>
      </c>
      <c r="GS617" s="27" t="s">
        <v>8</v>
      </c>
      <c r="GT617" s="27" t="s">
        <v>7</v>
      </c>
      <c r="GU617" s="27" t="s">
        <v>8</v>
      </c>
      <c r="GX617" s="27" t="s">
        <v>7</v>
      </c>
      <c r="GY617" s="27" t="s">
        <v>8</v>
      </c>
      <c r="HB617" s="27" t="s">
        <v>7</v>
      </c>
      <c r="HC617" s="27" t="s">
        <v>8</v>
      </c>
      <c r="HD617" s="27" t="s">
        <v>7</v>
      </c>
      <c r="HE617" s="27" t="s">
        <v>8</v>
      </c>
      <c r="HG617" s="27" t="s">
        <v>8</v>
      </c>
      <c r="HT617" s="27" t="s">
        <v>7</v>
      </c>
      <c r="HX617" s="27" t="s">
        <v>7</v>
      </c>
      <c r="HY617" s="27" t="s">
        <v>8</v>
      </c>
      <c r="IF617" s="27" t="s">
        <v>7</v>
      </c>
      <c r="IG617" s="27" t="s">
        <v>8</v>
      </c>
      <c r="IH617" s="27" t="s">
        <v>7</v>
      </c>
      <c r="II617" s="27" t="s">
        <v>8</v>
      </c>
      <c r="IJ617" s="27" t="s">
        <v>7</v>
      </c>
      <c r="IO617" s="27" t="s">
        <v>8</v>
      </c>
      <c r="IP617" s="27" t="s">
        <v>7</v>
      </c>
      <c r="JM617" s="27" t="s">
        <v>8</v>
      </c>
      <c r="KL617" s="27" t="s">
        <v>7</v>
      </c>
      <c r="KM617" s="27" t="s">
        <v>8</v>
      </c>
      <c r="KN617" s="27" t="s">
        <v>7</v>
      </c>
      <c r="KO617" s="27" t="s">
        <v>8</v>
      </c>
      <c r="KP617" s="27" t="s">
        <v>7</v>
      </c>
      <c r="KQ617" s="27" t="s">
        <v>8</v>
      </c>
      <c r="KR617" s="27" t="s">
        <v>7</v>
      </c>
      <c r="KS617" s="27" t="s">
        <v>8</v>
      </c>
      <c r="MV617" s="27" t="s">
        <v>7</v>
      </c>
      <c r="MW617" s="27" t="s">
        <v>8</v>
      </c>
      <c r="MZ617" s="27" t="s">
        <v>7</v>
      </c>
    </row>
    <row r="618" spans="1:368" x14ac:dyDescent="0.25">
      <c r="A618" s="7">
        <v>0.54124596958814908</v>
      </c>
      <c r="B618"/>
      <c r="C618"/>
      <c r="D618"/>
      <c r="E618"/>
      <c r="F618" s="27" t="s">
        <v>7</v>
      </c>
      <c r="GQ618" s="27" t="s">
        <v>8</v>
      </c>
      <c r="GR618" s="27" t="s">
        <v>7</v>
      </c>
      <c r="GS618" s="27" t="s">
        <v>8</v>
      </c>
      <c r="GT618" s="27" t="s">
        <v>7</v>
      </c>
      <c r="GX618" s="27" t="s">
        <v>7</v>
      </c>
      <c r="HB618" s="27" t="s">
        <v>7</v>
      </c>
      <c r="HC618" s="27" t="s">
        <v>8</v>
      </c>
      <c r="HD618" s="27" t="s">
        <v>7</v>
      </c>
      <c r="HE618" s="27" t="s">
        <v>8</v>
      </c>
      <c r="HF618" s="27" t="s">
        <v>7</v>
      </c>
      <c r="HG618" s="27" t="s">
        <v>8</v>
      </c>
      <c r="HX618" s="27" t="s">
        <v>7</v>
      </c>
      <c r="HY618" s="27" t="s">
        <v>8</v>
      </c>
      <c r="IF618" s="27" t="s">
        <v>7</v>
      </c>
      <c r="IH618" s="27" t="s">
        <v>7</v>
      </c>
      <c r="IJ618" s="27" t="s">
        <v>7</v>
      </c>
      <c r="IK618" s="27" t="s">
        <v>8</v>
      </c>
      <c r="IO618" s="27" t="s">
        <v>8</v>
      </c>
      <c r="IP618" s="27" t="s">
        <v>7</v>
      </c>
      <c r="JM618" s="27" t="s">
        <v>8</v>
      </c>
      <c r="KL618" s="27" t="s">
        <v>7</v>
      </c>
      <c r="KM618" s="27" t="s">
        <v>8</v>
      </c>
      <c r="KN618" s="27" t="s">
        <v>7</v>
      </c>
      <c r="KO618" s="27" t="s">
        <v>8</v>
      </c>
      <c r="KP618" s="27" t="s">
        <v>7</v>
      </c>
      <c r="KQ618" s="27" t="s">
        <v>8</v>
      </c>
      <c r="KR618" s="27" t="s">
        <v>7</v>
      </c>
      <c r="MV618" s="27" t="s">
        <v>7</v>
      </c>
      <c r="MW618" s="27" t="s">
        <v>8</v>
      </c>
      <c r="MZ618" s="27" t="s">
        <v>7</v>
      </c>
    </row>
    <row r="619" spans="1:368" x14ac:dyDescent="0.25">
      <c r="A619" s="7">
        <v>0.53063330351779314</v>
      </c>
      <c r="B619"/>
      <c r="C619"/>
      <c r="D619"/>
      <c r="E619"/>
      <c r="F619" s="27" t="s">
        <v>7</v>
      </c>
      <c r="GQ619" s="27" t="s">
        <v>8</v>
      </c>
      <c r="GR619" s="27" t="s">
        <v>7</v>
      </c>
      <c r="GS619" s="27" t="s">
        <v>8</v>
      </c>
      <c r="HB619" s="27" t="s">
        <v>7</v>
      </c>
      <c r="HC619" s="27" t="s">
        <v>8</v>
      </c>
      <c r="HD619" s="27" t="s">
        <v>7</v>
      </c>
      <c r="HE619" s="27" t="s">
        <v>8</v>
      </c>
      <c r="HF619" s="27" t="s">
        <v>7</v>
      </c>
      <c r="HG619" s="27" t="s">
        <v>8</v>
      </c>
      <c r="HX619" s="27" t="s">
        <v>7</v>
      </c>
      <c r="HY619" s="27" t="s">
        <v>8</v>
      </c>
      <c r="IJ619" s="27" t="s">
        <v>7</v>
      </c>
      <c r="IK619" s="27" t="s">
        <v>8</v>
      </c>
      <c r="IL619" s="27" t="s">
        <v>7</v>
      </c>
      <c r="IO619" s="27" t="s">
        <v>8</v>
      </c>
      <c r="IP619" s="27" t="s">
        <v>7</v>
      </c>
      <c r="JM619" s="27" t="s">
        <v>8</v>
      </c>
      <c r="KL619" s="27" t="s">
        <v>7</v>
      </c>
      <c r="KM619" s="27" t="s">
        <v>8</v>
      </c>
      <c r="KN619" s="27" t="s">
        <v>7</v>
      </c>
      <c r="KP619" s="27" t="s">
        <v>7</v>
      </c>
      <c r="MV619" s="27" t="s">
        <v>7</v>
      </c>
      <c r="MZ619" s="27" t="s">
        <v>7</v>
      </c>
    </row>
    <row r="620" spans="1:368" x14ac:dyDescent="0.25">
      <c r="A620" s="7">
        <v>0.52022872893901284</v>
      </c>
      <c r="B620"/>
      <c r="C620"/>
      <c r="D620"/>
      <c r="E620"/>
      <c r="F620" s="27" t="s">
        <v>7</v>
      </c>
      <c r="GQ620" s="27" t="s">
        <v>8</v>
      </c>
      <c r="GR620" s="27" t="s">
        <v>7</v>
      </c>
      <c r="GS620" s="27" t="s">
        <v>8</v>
      </c>
      <c r="HB620" s="27" t="s">
        <v>7</v>
      </c>
      <c r="HC620" s="27" t="s">
        <v>8</v>
      </c>
      <c r="HD620" s="27" t="s">
        <v>7</v>
      </c>
      <c r="HE620" s="27" t="s">
        <v>8</v>
      </c>
      <c r="HF620" s="27" t="s">
        <v>7</v>
      </c>
      <c r="HG620" s="27" t="s">
        <v>8</v>
      </c>
      <c r="HX620" s="27" t="s">
        <v>7</v>
      </c>
      <c r="HY620" s="27" t="s">
        <v>8</v>
      </c>
      <c r="IJ620" s="27" t="s">
        <v>7</v>
      </c>
      <c r="IK620" s="27" t="s">
        <v>8</v>
      </c>
      <c r="IL620" s="27" t="s">
        <v>7</v>
      </c>
      <c r="IO620" s="27" t="s">
        <v>8</v>
      </c>
      <c r="IP620" s="27" t="s">
        <v>7</v>
      </c>
      <c r="JM620" s="27" t="s">
        <v>8</v>
      </c>
      <c r="KL620" s="27" t="s">
        <v>7</v>
      </c>
      <c r="KM620" s="27" t="s">
        <v>8</v>
      </c>
      <c r="MZ620" s="27" t="s">
        <v>7</v>
      </c>
    </row>
    <row r="621" spans="1:368" x14ac:dyDescent="0.25">
      <c r="A621" s="7">
        <v>0.51002816562648323</v>
      </c>
      <c r="B621"/>
      <c r="C621"/>
      <c r="D621"/>
      <c r="E621"/>
      <c r="F621" s="27" t="s">
        <v>7</v>
      </c>
      <c r="GQ621" s="27" t="s">
        <v>8</v>
      </c>
      <c r="GR621" s="27" t="s">
        <v>7</v>
      </c>
      <c r="GS621" s="27" t="s">
        <v>8</v>
      </c>
      <c r="HB621" s="27" t="s">
        <v>7</v>
      </c>
      <c r="HC621" s="27" t="s">
        <v>8</v>
      </c>
      <c r="HD621" s="27" t="s">
        <v>7</v>
      </c>
      <c r="HE621" s="27" t="s">
        <v>8</v>
      </c>
      <c r="HF621" s="27" t="s">
        <v>7</v>
      </c>
      <c r="HG621" s="27" t="s">
        <v>8</v>
      </c>
      <c r="HX621" s="27" t="s">
        <v>7</v>
      </c>
      <c r="HY621" s="27" t="s">
        <v>8</v>
      </c>
      <c r="IJ621" s="27" t="s">
        <v>7</v>
      </c>
      <c r="IL621" s="27" t="s">
        <v>7</v>
      </c>
      <c r="IO621" s="27" t="s">
        <v>8</v>
      </c>
      <c r="IP621" s="27" t="s">
        <v>7</v>
      </c>
      <c r="IQ621" s="27" t="s">
        <v>8</v>
      </c>
      <c r="JM621" s="27" t="s">
        <v>8</v>
      </c>
      <c r="KL621" s="27" t="s">
        <v>7</v>
      </c>
      <c r="KM621" s="27" t="s">
        <v>8</v>
      </c>
      <c r="MZ621" s="27" t="s">
        <v>7</v>
      </c>
    </row>
    <row r="622" spans="1:368" x14ac:dyDescent="0.25">
      <c r="A622" s="7">
        <v>0.50002761335929735</v>
      </c>
      <c r="B622"/>
      <c r="C622"/>
      <c r="D622"/>
      <c r="E622"/>
      <c r="F622" s="27" t="s">
        <v>7</v>
      </c>
      <c r="GQ622" s="27" t="s">
        <v>8</v>
      </c>
      <c r="GR622" s="27" t="s">
        <v>7</v>
      </c>
      <c r="GS622" s="27" t="s">
        <v>8</v>
      </c>
      <c r="HB622" s="27" t="s">
        <v>7</v>
      </c>
      <c r="HC622" s="27" t="s">
        <v>8</v>
      </c>
      <c r="HD622" s="27" t="s">
        <v>7</v>
      </c>
      <c r="HE622" s="27" t="s">
        <v>8</v>
      </c>
      <c r="HF622" s="27" t="s">
        <v>7</v>
      </c>
      <c r="HG622" s="27" t="s">
        <v>8</v>
      </c>
      <c r="HX622" s="27" t="s">
        <v>7</v>
      </c>
      <c r="HY622" s="27" t="s">
        <v>8</v>
      </c>
      <c r="IL622" s="27" t="s">
        <v>7</v>
      </c>
      <c r="IO622" s="27" t="s">
        <v>8</v>
      </c>
      <c r="IP622" s="27" t="s">
        <v>7</v>
      </c>
      <c r="IQ622" s="27" t="s">
        <v>8</v>
      </c>
      <c r="IR622" s="27" t="s">
        <v>7</v>
      </c>
      <c r="JM622" s="27" t="s">
        <v>8</v>
      </c>
      <c r="KL622" s="27" t="s">
        <v>7</v>
      </c>
      <c r="MZ622" s="27" t="s">
        <v>7</v>
      </c>
      <c r="NC622" s="27" t="s">
        <v>8</v>
      </c>
    </row>
    <row r="623" spans="1:368" x14ac:dyDescent="0.25">
      <c r="A623" s="7">
        <v>0.49022315035225228</v>
      </c>
      <c r="B623"/>
      <c r="C623"/>
      <c r="D623"/>
      <c r="E623"/>
      <c r="F623" s="27" t="s">
        <v>7</v>
      </c>
      <c r="GQ623" s="27" t="s">
        <v>8</v>
      </c>
      <c r="GR623" s="27" t="s">
        <v>7</v>
      </c>
      <c r="GS623" s="27" t="s">
        <v>8</v>
      </c>
      <c r="HB623" s="27" t="s">
        <v>7</v>
      </c>
      <c r="HC623" s="27" t="s">
        <v>8</v>
      </c>
      <c r="HD623" s="27" t="s">
        <v>7</v>
      </c>
      <c r="HE623" s="27" t="s">
        <v>8</v>
      </c>
      <c r="HF623" s="27" t="s">
        <v>7</v>
      </c>
      <c r="HG623" s="27" t="s">
        <v>8</v>
      </c>
      <c r="HX623" s="27" t="s">
        <v>7</v>
      </c>
      <c r="HY623" s="27" t="s">
        <v>8</v>
      </c>
      <c r="IL623" s="27" t="s">
        <v>7</v>
      </c>
      <c r="IO623" s="27" t="s">
        <v>8</v>
      </c>
      <c r="IP623" s="27" t="s">
        <v>7</v>
      </c>
      <c r="IQ623" s="27" t="s">
        <v>8</v>
      </c>
      <c r="IR623" s="27" t="s">
        <v>7</v>
      </c>
      <c r="IW623" s="27" t="s">
        <v>8</v>
      </c>
      <c r="JK623" s="27" t="s">
        <v>8</v>
      </c>
      <c r="JM623" s="27" t="s">
        <v>8</v>
      </c>
      <c r="MZ623" s="27" t="s">
        <v>7</v>
      </c>
      <c r="NC623" s="27" t="s">
        <v>8</v>
      </c>
      <c r="ND623" s="27" t="s">
        <v>7</v>
      </c>
    </row>
    <row r="624" spans="1:368" x14ac:dyDescent="0.25">
      <c r="A624" s="7">
        <v>0.48061093171789437</v>
      </c>
      <c r="B624"/>
      <c r="C624"/>
      <c r="D624"/>
      <c r="E624"/>
      <c r="F624" s="27" t="s">
        <v>7</v>
      </c>
      <c r="GQ624" s="27" t="s">
        <v>8</v>
      </c>
      <c r="GR624" s="27" t="s">
        <v>7</v>
      </c>
      <c r="GS624" s="27" t="s">
        <v>8</v>
      </c>
      <c r="HB624" s="27" t="s">
        <v>7</v>
      </c>
      <c r="HD624" s="27" t="s">
        <v>7</v>
      </c>
      <c r="HE624" s="27" t="s">
        <v>8</v>
      </c>
      <c r="HF624" s="27" t="s">
        <v>7</v>
      </c>
      <c r="HG624" s="27" t="s">
        <v>8</v>
      </c>
      <c r="HX624" s="27" t="s">
        <v>7</v>
      </c>
      <c r="HY624" s="27" t="s">
        <v>8</v>
      </c>
      <c r="IL624" s="27" t="s">
        <v>7</v>
      </c>
      <c r="IO624" s="27" t="s">
        <v>8</v>
      </c>
      <c r="IP624" s="27" t="s">
        <v>7</v>
      </c>
      <c r="IQ624" s="27" t="s">
        <v>8</v>
      </c>
      <c r="IR624" s="27" t="s">
        <v>7</v>
      </c>
      <c r="IW624" s="27" t="s">
        <v>8</v>
      </c>
      <c r="IX624" s="27" t="s">
        <v>7</v>
      </c>
      <c r="JC624" s="27" t="s">
        <v>8</v>
      </c>
      <c r="JI624" s="27" t="s">
        <v>8</v>
      </c>
      <c r="JK624" s="27" t="s">
        <v>8</v>
      </c>
      <c r="JL624" s="27" t="s">
        <v>7</v>
      </c>
      <c r="JM624" s="27" t="s">
        <v>8</v>
      </c>
      <c r="MZ624" s="27" t="s">
        <v>7</v>
      </c>
      <c r="NC624" s="27" t="s">
        <v>8</v>
      </c>
      <c r="ND624" s="27" t="s">
        <v>7</v>
      </c>
    </row>
    <row r="625" spans="1:368" x14ac:dyDescent="0.25">
      <c r="A625" s="7">
        <v>0.47118718795871994</v>
      </c>
      <c r="B625"/>
      <c r="C625"/>
      <c r="D625"/>
      <c r="E625"/>
      <c r="F625" s="27" t="s">
        <v>7</v>
      </c>
      <c r="GQ625" s="27" t="s">
        <v>8</v>
      </c>
      <c r="GR625" s="27" t="s">
        <v>7</v>
      </c>
      <c r="GS625" s="27" t="s">
        <v>8</v>
      </c>
      <c r="HD625" s="27" t="s">
        <v>7</v>
      </c>
      <c r="HE625" s="27" t="s">
        <v>8</v>
      </c>
      <c r="HF625" s="27" t="s">
        <v>7</v>
      </c>
      <c r="HG625" s="27" t="s">
        <v>8</v>
      </c>
      <c r="HX625" s="27" t="s">
        <v>7</v>
      </c>
      <c r="HY625" s="27" t="s">
        <v>8</v>
      </c>
      <c r="IL625" s="27" t="s">
        <v>7</v>
      </c>
      <c r="IO625" s="27" t="s">
        <v>8</v>
      </c>
      <c r="IP625" s="27" t="s">
        <v>7</v>
      </c>
      <c r="IQ625" s="27" t="s">
        <v>8</v>
      </c>
      <c r="IR625" s="27" t="s">
        <v>7</v>
      </c>
      <c r="IW625" s="27" t="s">
        <v>8</v>
      </c>
      <c r="IX625" s="27" t="s">
        <v>7</v>
      </c>
      <c r="JC625" s="27" t="s">
        <v>8</v>
      </c>
      <c r="JD625" s="27" t="s">
        <v>7</v>
      </c>
      <c r="JI625" s="27" t="s">
        <v>8</v>
      </c>
      <c r="JJ625" s="27" t="s">
        <v>7</v>
      </c>
      <c r="JK625" s="27" t="s">
        <v>8</v>
      </c>
      <c r="JL625" s="27" t="s">
        <v>7</v>
      </c>
      <c r="JM625" s="27" t="s">
        <v>8</v>
      </c>
      <c r="MZ625" s="27" t="s">
        <v>7</v>
      </c>
      <c r="NA625" s="27" t="s">
        <v>8</v>
      </c>
      <c r="NC625" s="27" t="s">
        <v>8</v>
      </c>
      <c r="ND625" s="27" t="s">
        <v>7</v>
      </c>
    </row>
    <row r="626" spans="1:368" x14ac:dyDescent="0.25">
      <c r="A626" s="7">
        <v>0.46194822348894116</v>
      </c>
      <c r="B626"/>
      <c r="C626"/>
      <c r="D626"/>
      <c r="E626"/>
      <c r="F626" s="27" t="s">
        <v>7</v>
      </c>
      <c r="FK626" s="27" t="s">
        <v>8</v>
      </c>
      <c r="GQ626" s="27" t="s">
        <v>8</v>
      </c>
      <c r="GR626" s="27" t="s">
        <v>7</v>
      </c>
      <c r="HD626" s="27" t="s">
        <v>7</v>
      </c>
      <c r="HE626" s="27" t="s">
        <v>8</v>
      </c>
      <c r="HF626" s="27" t="s">
        <v>7</v>
      </c>
      <c r="HG626" s="27" t="s">
        <v>8</v>
      </c>
      <c r="HX626" s="27" t="s">
        <v>7</v>
      </c>
      <c r="HY626" s="27" t="s">
        <v>8</v>
      </c>
      <c r="IL626" s="27" t="s">
        <v>7</v>
      </c>
      <c r="IO626" s="27" t="s">
        <v>8</v>
      </c>
      <c r="IP626" s="27" t="s">
        <v>7</v>
      </c>
      <c r="IQ626" s="27" t="s">
        <v>8</v>
      </c>
      <c r="IR626" s="27" t="s">
        <v>7</v>
      </c>
      <c r="IS626" s="27" t="s">
        <v>8</v>
      </c>
      <c r="IU626" s="27" t="s">
        <v>8</v>
      </c>
      <c r="IW626" s="27" t="s">
        <v>8</v>
      </c>
      <c r="IX626" s="27" t="s">
        <v>7</v>
      </c>
      <c r="JC626" s="27" t="s">
        <v>8</v>
      </c>
      <c r="JD626" s="27" t="s">
        <v>7</v>
      </c>
      <c r="JI626" s="27" t="s">
        <v>8</v>
      </c>
      <c r="JJ626" s="27" t="s">
        <v>7</v>
      </c>
      <c r="JK626" s="27" t="s">
        <v>8</v>
      </c>
      <c r="JL626" s="27" t="s">
        <v>7</v>
      </c>
      <c r="JM626" s="27" t="s">
        <v>8</v>
      </c>
      <c r="MZ626" s="27" t="s">
        <v>7</v>
      </c>
      <c r="NA626" s="27" t="s">
        <v>8</v>
      </c>
      <c r="NB626" s="27" t="s">
        <v>7</v>
      </c>
      <c r="NC626" s="27" t="s">
        <v>8</v>
      </c>
      <c r="ND626" s="27" t="s">
        <v>7</v>
      </c>
    </row>
    <row r="627" spans="1:368" x14ac:dyDescent="0.25">
      <c r="A627" s="7">
        <v>0.45289041518523643</v>
      </c>
      <c r="B627"/>
      <c r="C627"/>
      <c r="D627"/>
      <c r="E627"/>
      <c r="F627" s="27" t="s">
        <v>7</v>
      </c>
      <c r="FK627" s="27" t="s">
        <v>8</v>
      </c>
      <c r="FL627" s="27" t="s">
        <v>7</v>
      </c>
      <c r="GQ627" s="27" t="s">
        <v>8</v>
      </c>
      <c r="HD627" s="27" t="s">
        <v>7</v>
      </c>
      <c r="HE627" s="27" t="s">
        <v>8</v>
      </c>
      <c r="HF627" s="27" t="s">
        <v>7</v>
      </c>
      <c r="HG627" s="27" t="s">
        <v>8</v>
      </c>
      <c r="HX627" s="27" t="s">
        <v>7</v>
      </c>
      <c r="HY627" s="27" t="s">
        <v>8</v>
      </c>
      <c r="IL627" s="27" t="s">
        <v>7</v>
      </c>
      <c r="IO627" s="27" t="s">
        <v>8</v>
      </c>
      <c r="IP627" s="27" t="s">
        <v>7</v>
      </c>
      <c r="IR627" s="27" t="s">
        <v>7</v>
      </c>
      <c r="IS627" s="27" t="s">
        <v>8</v>
      </c>
      <c r="IT627" s="27" t="s">
        <v>7</v>
      </c>
      <c r="IU627" s="27" t="s">
        <v>8</v>
      </c>
      <c r="IV627" s="27" t="s">
        <v>7</v>
      </c>
      <c r="IW627" s="27" t="s">
        <v>8</v>
      </c>
      <c r="IX627" s="27" t="s">
        <v>7</v>
      </c>
      <c r="IY627" s="27" t="s">
        <v>8</v>
      </c>
      <c r="JC627" s="27" t="s">
        <v>8</v>
      </c>
      <c r="JD627" s="27" t="s">
        <v>7</v>
      </c>
      <c r="JG627" s="27" t="s">
        <v>8</v>
      </c>
      <c r="JI627" s="27" t="s">
        <v>8</v>
      </c>
      <c r="JJ627" s="27" t="s">
        <v>7</v>
      </c>
      <c r="JK627" s="27" t="s">
        <v>8</v>
      </c>
      <c r="JL627" s="27" t="s">
        <v>7</v>
      </c>
      <c r="JM627" s="27" t="s">
        <v>8</v>
      </c>
      <c r="MZ627" s="27" t="s">
        <v>7</v>
      </c>
      <c r="NA627" s="27" t="s">
        <v>8</v>
      </c>
      <c r="NB627" s="27" t="s">
        <v>7</v>
      </c>
      <c r="NC627" s="27" t="s">
        <v>8</v>
      </c>
      <c r="ND627" s="27" t="s">
        <v>7</v>
      </c>
    </row>
    <row r="628" spans="1:368" x14ac:dyDescent="0.25">
      <c r="A628" s="7">
        <v>0.44401021096591808</v>
      </c>
      <c r="B628"/>
      <c r="C628"/>
      <c r="D628"/>
      <c r="E628"/>
      <c r="F628" s="27" t="s">
        <v>7</v>
      </c>
      <c r="FK628" s="27" t="s">
        <v>8</v>
      </c>
      <c r="FL628" s="27" t="s">
        <v>7</v>
      </c>
      <c r="GI628" s="27" t="s">
        <v>8</v>
      </c>
      <c r="GK628" s="27" t="s">
        <v>8</v>
      </c>
      <c r="GQ628" s="27" t="s">
        <v>8</v>
      </c>
      <c r="HD628" s="27" t="s">
        <v>7</v>
      </c>
      <c r="HE628" s="27" t="s">
        <v>8</v>
      </c>
      <c r="HF628" s="27" t="s">
        <v>7</v>
      </c>
      <c r="HG628" s="27" t="s">
        <v>8</v>
      </c>
      <c r="HX628" s="27" t="s">
        <v>7</v>
      </c>
      <c r="IL628" s="27" t="s">
        <v>7</v>
      </c>
      <c r="IO628" s="27" t="s">
        <v>8</v>
      </c>
      <c r="IR628" s="27" t="s">
        <v>7</v>
      </c>
      <c r="IS628" s="27" t="s">
        <v>8</v>
      </c>
      <c r="IT628" s="27" t="s">
        <v>7</v>
      </c>
      <c r="IU628" s="27" t="s">
        <v>8</v>
      </c>
      <c r="IV628" s="27" t="s">
        <v>7</v>
      </c>
      <c r="IW628" s="27" t="s">
        <v>8</v>
      </c>
      <c r="IX628" s="27" t="s">
        <v>7</v>
      </c>
      <c r="IY628" s="27" t="s">
        <v>8</v>
      </c>
      <c r="IZ628" s="27" t="s">
        <v>7</v>
      </c>
      <c r="JC628" s="27" t="s">
        <v>8</v>
      </c>
      <c r="JD628" s="27" t="s">
        <v>7</v>
      </c>
      <c r="JG628" s="27" t="s">
        <v>8</v>
      </c>
      <c r="JH628" s="27" t="s">
        <v>7</v>
      </c>
      <c r="JI628" s="27" t="s">
        <v>8</v>
      </c>
      <c r="JJ628" s="27" t="s">
        <v>7</v>
      </c>
      <c r="JK628" s="27" t="s">
        <v>8</v>
      </c>
      <c r="JL628" s="27" t="s">
        <v>7</v>
      </c>
      <c r="MZ628" s="27" t="s">
        <v>7</v>
      </c>
      <c r="NA628" s="27" t="s">
        <v>8</v>
      </c>
      <c r="NB628" s="27" t="s">
        <v>7</v>
      </c>
      <c r="NC628" s="27" t="s">
        <v>8</v>
      </c>
      <c r="ND628" s="27" t="s">
        <v>7</v>
      </c>
    </row>
    <row r="629" spans="1:368" x14ac:dyDescent="0.25">
      <c r="A629" s="7">
        <v>0.4353041283979589</v>
      </c>
      <c r="B629"/>
      <c r="C629"/>
      <c r="D629"/>
      <c r="E629"/>
      <c r="F629" s="27" t="s">
        <v>7</v>
      </c>
      <c r="FK629" s="27" t="s">
        <v>8</v>
      </c>
      <c r="FL629" s="27" t="s">
        <v>7</v>
      </c>
      <c r="GI629" s="27" t="s">
        <v>8</v>
      </c>
      <c r="GJ629" s="27" t="s">
        <v>7</v>
      </c>
      <c r="GK629" s="27" t="s">
        <v>8</v>
      </c>
      <c r="GL629" s="27" t="s">
        <v>7</v>
      </c>
      <c r="GQ629" s="27" t="s">
        <v>8</v>
      </c>
      <c r="HD629" s="27" t="s">
        <v>7</v>
      </c>
      <c r="HE629" s="27" t="s">
        <v>8</v>
      </c>
      <c r="HF629" s="27" t="s">
        <v>7</v>
      </c>
      <c r="HG629" s="27" t="s">
        <v>8</v>
      </c>
      <c r="IL629" s="27" t="s">
        <v>7</v>
      </c>
      <c r="IO629" s="27" t="s">
        <v>8</v>
      </c>
      <c r="IR629" s="27" t="s">
        <v>7</v>
      </c>
      <c r="IS629" s="27" t="s">
        <v>8</v>
      </c>
      <c r="IT629" s="27" t="s">
        <v>7</v>
      </c>
      <c r="IU629" s="27" t="s">
        <v>8</v>
      </c>
      <c r="IV629" s="27" t="s">
        <v>7</v>
      </c>
      <c r="IW629" s="27" t="s">
        <v>8</v>
      </c>
      <c r="IX629" s="27" t="s">
        <v>7</v>
      </c>
      <c r="IY629" s="27" t="s">
        <v>8</v>
      </c>
      <c r="IZ629" s="27" t="s">
        <v>7</v>
      </c>
      <c r="JC629" s="27" t="s">
        <v>8</v>
      </c>
      <c r="JD629" s="27" t="s">
        <v>7</v>
      </c>
      <c r="JG629" s="27" t="s">
        <v>8</v>
      </c>
      <c r="JH629" s="27" t="s">
        <v>7</v>
      </c>
      <c r="JI629" s="27" t="s">
        <v>8</v>
      </c>
      <c r="JJ629" s="27" t="s">
        <v>7</v>
      </c>
      <c r="JK629" s="27" t="s">
        <v>8</v>
      </c>
      <c r="MZ629" s="27" t="s">
        <v>7</v>
      </c>
      <c r="NA629" s="27" t="s">
        <v>8</v>
      </c>
      <c r="NB629" s="27" t="s">
        <v>7</v>
      </c>
      <c r="NC629" s="27" t="s">
        <v>8</v>
      </c>
    </row>
    <row r="630" spans="1:368" x14ac:dyDescent="0.25">
      <c r="A630" s="7">
        <v>0.4267687533313323</v>
      </c>
      <c r="B630"/>
      <c r="C630"/>
      <c r="D630"/>
      <c r="E630"/>
      <c r="F630" s="27" t="s">
        <v>7</v>
      </c>
      <c r="FK630" s="27" t="s">
        <v>8</v>
      </c>
      <c r="FL630" s="27" t="s">
        <v>7</v>
      </c>
      <c r="GI630" s="27" t="s">
        <v>8</v>
      </c>
      <c r="GJ630" s="27" t="s">
        <v>7</v>
      </c>
      <c r="GK630" s="27" t="s">
        <v>8</v>
      </c>
      <c r="GL630" s="27" t="s">
        <v>7</v>
      </c>
      <c r="GO630" s="27" t="s">
        <v>8</v>
      </c>
      <c r="GQ630" s="27" t="s">
        <v>8</v>
      </c>
      <c r="HD630" s="27" t="s">
        <v>7</v>
      </c>
      <c r="HF630" s="27" t="s">
        <v>7</v>
      </c>
      <c r="HG630" s="27" t="s">
        <v>8</v>
      </c>
      <c r="IL630" s="27" t="s">
        <v>7</v>
      </c>
      <c r="IO630" s="27" t="s">
        <v>8</v>
      </c>
      <c r="IR630" s="27" t="s">
        <v>7</v>
      </c>
      <c r="IS630" s="27" t="s">
        <v>8</v>
      </c>
      <c r="IT630" s="27" t="s">
        <v>7</v>
      </c>
      <c r="IU630" s="27" t="s">
        <v>8</v>
      </c>
      <c r="IV630" s="27" t="s">
        <v>7</v>
      </c>
      <c r="IW630" s="27" t="s">
        <v>8</v>
      </c>
      <c r="IX630" s="27" t="s">
        <v>7</v>
      </c>
      <c r="IY630" s="27" t="s">
        <v>8</v>
      </c>
      <c r="IZ630" s="27" t="s">
        <v>7</v>
      </c>
      <c r="JC630" s="27" t="s">
        <v>8</v>
      </c>
      <c r="JD630" s="27" t="s">
        <v>7</v>
      </c>
      <c r="JG630" s="27" t="s">
        <v>8</v>
      </c>
      <c r="JH630" s="27" t="s">
        <v>7</v>
      </c>
      <c r="JI630" s="27" t="s">
        <v>8</v>
      </c>
      <c r="JJ630" s="27" t="s">
        <v>7</v>
      </c>
      <c r="MZ630" s="27" t="s">
        <v>7</v>
      </c>
      <c r="NA630" s="27" t="s">
        <v>8</v>
      </c>
      <c r="NB630" s="27" t="s">
        <v>7</v>
      </c>
      <c r="NC630" s="27" t="s">
        <v>8</v>
      </c>
    </row>
    <row r="631" spans="1:368" x14ac:dyDescent="0.25">
      <c r="A631" s="7">
        <v>0.41840073856012971</v>
      </c>
      <c r="B631"/>
      <c r="C631"/>
      <c r="D631"/>
      <c r="E631"/>
      <c r="F631" s="27" t="s">
        <v>7</v>
      </c>
      <c r="FK631" s="27" t="s">
        <v>8</v>
      </c>
      <c r="FL631" s="27" t="s">
        <v>7</v>
      </c>
      <c r="GI631" s="27" t="s">
        <v>8</v>
      </c>
      <c r="GJ631" s="27" t="s">
        <v>7</v>
      </c>
      <c r="GK631" s="27" t="s">
        <v>8</v>
      </c>
      <c r="GL631" s="27" t="s">
        <v>7</v>
      </c>
      <c r="GM631" s="27" t="s">
        <v>8</v>
      </c>
      <c r="GO631" s="27" t="s">
        <v>8</v>
      </c>
      <c r="GP631" s="27" t="s">
        <v>7</v>
      </c>
      <c r="GQ631" s="27" t="s">
        <v>8</v>
      </c>
      <c r="HF631" s="27" t="s">
        <v>7</v>
      </c>
      <c r="HG631" s="27" t="s">
        <v>8</v>
      </c>
      <c r="IL631" s="27" t="s">
        <v>7</v>
      </c>
      <c r="IM631" s="27" t="s">
        <v>8</v>
      </c>
      <c r="IO631" s="27" t="s">
        <v>8</v>
      </c>
      <c r="IR631" s="27" t="s">
        <v>7</v>
      </c>
      <c r="IS631" s="27" t="s">
        <v>8</v>
      </c>
      <c r="IT631" s="27" t="s">
        <v>7</v>
      </c>
      <c r="IU631" s="27" t="s">
        <v>8</v>
      </c>
      <c r="IV631" s="27" t="s">
        <v>7</v>
      </c>
      <c r="IW631" s="27" t="s">
        <v>8</v>
      </c>
      <c r="IX631" s="27" t="s">
        <v>7</v>
      </c>
      <c r="IY631" s="27" t="s">
        <v>8</v>
      </c>
      <c r="IZ631" s="27" t="s">
        <v>7</v>
      </c>
      <c r="JC631" s="27" t="s">
        <v>8</v>
      </c>
      <c r="JD631" s="27" t="s">
        <v>7</v>
      </c>
      <c r="JE631" s="27" t="s">
        <v>8</v>
      </c>
      <c r="JG631" s="27" t="s">
        <v>8</v>
      </c>
      <c r="JH631" s="27" t="s">
        <v>7</v>
      </c>
      <c r="JI631" s="27" t="s">
        <v>8</v>
      </c>
      <c r="MZ631" s="27" t="s">
        <v>7</v>
      </c>
      <c r="NA631" s="27" t="s">
        <v>8</v>
      </c>
      <c r="NB631" s="27" t="s">
        <v>7</v>
      </c>
      <c r="NC631" s="27" t="s">
        <v>8</v>
      </c>
    </row>
    <row r="632" spans="1:368" x14ac:dyDescent="0.25">
      <c r="A632" s="7">
        <v>0.41019680250993112</v>
      </c>
      <c r="B632"/>
      <c r="C632"/>
      <c r="D632"/>
      <c r="E632"/>
      <c r="F632" s="27" t="s">
        <v>7</v>
      </c>
      <c r="FK632" s="27" t="s">
        <v>8</v>
      </c>
      <c r="FL632" s="27" t="s">
        <v>7</v>
      </c>
      <c r="GI632" s="27" t="s">
        <v>8</v>
      </c>
      <c r="GJ632" s="27" t="s">
        <v>7</v>
      </c>
      <c r="GK632" s="27" t="s">
        <v>8</v>
      </c>
      <c r="GL632" s="27" t="s">
        <v>7</v>
      </c>
      <c r="GM632" s="27" t="s">
        <v>8</v>
      </c>
      <c r="GN632" s="27" t="s">
        <v>7</v>
      </c>
      <c r="GO632" s="27" t="s">
        <v>8</v>
      </c>
      <c r="GP632" s="27" t="s">
        <v>7</v>
      </c>
      <c r="GQ632" s="27" t="s">
        <v>8</v>
      </c>
      <c r="HF632" s="27" t="s">
        <v>7</v>
      </c>
      <c r="HG632" s="27" t="s">
        <v>8</v>
      </c>
      <c r="IL632" s="27" t="s">
        <v>7</v>
      </c>
      <c r="IM632" s="27" t="s">
        <v>8</v>
      </c>
      <c r="IN632" s="27" t="s">
        <v>7</v>
      </c>
      <c r="IO632" s="27" t="s">
        <v>8</v>
      </c>
      <c r="IR632" s="27" t="s">
        <v>7</v>
      </c>
      <c r="IS632" s="27" t="s">
        <v>8</v>
      </c>
      <c r="IT632" s="27" t="s">
        <v>7</v>
      </c>
      <c r="IV632" s="27" t="s">
        <v>7</v>
      </c>
      <c r="IW632" s="27" t="s">
        <v>8</v>
      </c>
      <c r="IX632" s="27" t="s">
        <v>7</v>
      </c>
      <c r="IZ632" s="27" t="s">
        <v>7</v>
      </c>
      <c r="JC632" s="27" t="s">
        <v>8</v>
      </c>
      <c r="JD632" s="27" t="s">
        <v>7</v>
      </c>
      <c r="JE632" s="27" t="s">
        <v>8</v>
      </c>
      <c r="JF632" s="27" t="s">
        <v>7</v>
      </c>
      <c r="JG632" s="27" t="s">
        <v>8</v>
      </c>
      <c r="JH632" s="27" t="s">
        <v>7</v>
      </c>
      <c r="MZ632" s="27" t="s">
        <v>7</v>
      </c>
      <c r="NA632" s="27" t="s">
        <v>8</v>
      </c>
      <c r="NB632" s="27" t="s">
        <v>7</v>
      </c>
      <c r="NC632" s="27" t="s">
        <v>8</v>
      </c>
    </row>
    <row r="633" spans="1:368" x14ac:dyDescent="0.25">
      <c r="A633" s="7">
        <v>0.40215372795091286</v>
      </c>
      <c r="B633"/>
      <c r="C633"/>
      <c r="D633"/>
      <c r="E633"/>
      <c r="F633" s="27" t="s">
        <v>7</v>
      </c>
      <c r="FK633" s="27" t="s">
        <v>8</v>
      </c>
      <c r="FL633" s="27" t="s">
        <v>7</v>
      </c>
      <c r="GI633" s="27" t="s">
        <v>8</v>
      </c>
      <c r="GJ633" s="27" t="s">
        <v>7</v>
      </c>
      <c r="GK633" s="27" t="s">
        <v>8</v>
      </c>
      <c r="GL633" s="27" t="s">
        <v>7</v>
      </c>
      <c r="GM633" s="27" t="s">
        <v>8</v>
      </c>
      <c r="GN633" s="27" t="s">
        <v>7</v>
      </c>
      <c r="GO633" s="27" t="s">
        <v>8</v>
      </c>
      <c r="GP633" s="27" t="s">
        <v>7</v>
      </c>
      <c r="GQ633" s="27" t="s">
        <v>8</v>
      </c>
      <c r="HF633" s="27" t="s">
        <v>7</v>
      </c>
      <c r="IL633" s="27" t="s">
        <v>7</v>
      </c>
      <c r="IM633" s="27" t="s">
        <v>8</v>
      </c>
      <c r="IN633" s="27" t="s">
        <v>7</v>
      </c>
      <c r="IO633" s="27" t="s">
        <v>8</v>
      </c>
      <c r="IR633" s="27" t="s">
        <v>7</v>
      </c>
      <c r="IV633" s="27" t="s">
        <v>7</v>
      </c>
      <c r="IZ633" s="27" t="s">
        <v>7</v>
      </c>
      <c r="JC633" s="27" t="s">
        <v>8</v>
      </c>
      <c r="JD633" s="27" t="s">
        <v>7</v>
      </c>
      <c r="JE633" s="27" t="s">
        <v>8</v>
      </c>
      <c r="JF633" s="27" t="s">
        <v>7</v>
      </c>
      <c r="JG633" s="27" t="s">
        <v>8</v>
      </c>
      <c r="MZ633" s="27" t="s">
        <v>7</v>
      </c>
      <c r="NB633" s="27" t="s">
        <v>7</v>
      </c>
      <c r="NC633" s="27" t="s">
        <v>8</v>
      </c>
    </row>
    <row r="634" spans="1:368" x14ac:dyDescent="0.25">
      <c r="A634" s="7">
        <v>0.39426836073618904</v>
      </c>
      <c r="B634"/>
      <c r="C634"/>
      <c r="D634"/>
      <c r="E634"/>
      <c r="F634" s="27" t="s">
        <v>7</v>
      </c>
      <c r="FK634" s="27" t="s">
        <v>8</v>
      </c>
      <c r="FL634" s="27" t="s">
        <v>7</v>
      </c>
      <c r="GC634" s="27" t="s">
        <v>8</v>
      </c>
      <c r="GI634" s="27" t="s">
        <v>8</v>
      </c>
      <c r="GJ634" s="27" t="s">
        <v>7</v>
      </c>
      <c r="GK634" s="27" t="s">
        <v>8</v>
      </c>
      <c r="GL634" s="27" t="s">
        <v>7</v>
      </c>
      <c r="GN634" s="27" t="s">
        <v>7</v>
      </c>
      <c r="GO634" s="27" t="s">
        <v>8</v>
      </c>
      <c r="GP634" s="27" t="s">
        <v>7</v>
      </c>
      <c r="GQ634" s="27" t="s">
        <v>8</v>
      </c>
      <c r="IL634" s="27" t="s">
        <v>7</v>
      </c>
      <c r="IM634" s="27" t="s">
        <v>8</v>
      </c>
      <c r="IN634" s="27" t="s">
        <v>7</v>
      </c>
      <c r="IO634" s="27" t="s">
        <v>8</v>
      </c>
      <c r="IZ634" s="27" t="s">
        <v>7</v>
      </c>
      <c r="JC634" s="27" t="s">
        <v>8</v>
      </c>
      <c r="JD634" s="27" t="s">
        <v>7</v>
      </c>
      <c r="JE634" s="27" t="s">
        <v>8</v>
      </c>
      <c r="JF634" s="27" t="s">
        <v>7</v>
      </c>
      <c r="NB634" s="27" t="s">
        <v>7</v>
      </c>
      <c r="NC634" s="27" t="s">
        <v>8</v>
      </c>
    </row>
    <row r="635" spans="1:368" x14ac:dyDescent="0.25">
      <c r="A635" s="7">
        <v>0.38653760856489122</v>
      </c>
      <c r="B635"/>
      <c r="C635"/>
      <c r="D635"/>
      <c r="E635"/>
      <c r="F635" s="27" t="s">
        <v>7</v>
      </c>
      <c r="FK635" s="27" t="s">
        <v>8</v>
      </c>
      <c r="FL635" s="27" t="s">
        <v>7</v>
      </c>
      <c r="GC635" s="27" t="s">
        <v>8</v>
      </c>
      <c r="GD635" s="27" t="s">
        <v>7</v>
      </c>
      <c r="GI635" s="27" t="s">
        <v>8</v>
      </c>
      <c r="GJ635" s="27" t="s">
        <v>7</v>
      </c>
      <c r="GK635" s="27" t="s">
        <v>8</v>
      </c>
      <c r="GN635" s="27" t="s">
        <v>7</v>
      </c>
      <c r="GO635" s="27" t="s">
        <v>8</v>
      </c>
      <c r="GP635" s="27" t="s">
        <v>7</v>
      </c>
      <c r="GQ635" s="27" t="s">
        <v>8</v>
      </c>
      <c r="IL635" s="27" t="s">
        <v>7</v>
      </c>
      <c r="IM635" s="27" t="s">
        <v>8</v>
      </c>
      <c r="IN635" s="27" t="s">
        <v>7</v>
      </c>
      <c r="IO635" s="27" t="s">
        <v>8</v>
      </c>
      <c r="IZ635" s="27" t="s">
        <v>7</v>
      </c>
      <c r="JC635" s="27" t="s">
        <v>8</v>
      </c>
      <c r="JD635" s="27" t="s">
        <v>7</v>
      </c>
      <c r="JE635" s="27" t="s">
        <v>8</v>
      </c>
      <c r="NB635" s="27" t="s">
        <v>7</v>
      </c>
      <c r="NC635" s="27" t="s">
        <v>8</v>
      </c>
    </row>
    <row r="636" spans="1:368" x14ac:dyDescent="0.25">
      <c r="A636" s="7">
        <v>0.37895843976950117</v>
      </c>
      <c r="B636"/>
      <c r="C636"/>
      <c r="D636"/>
      <c r="E636"/>
      <c r="F636" s="27" t="s">
        <v>7</v>
      </c>
      <c r="FK636" s="27" t="s">
        <v>8</v>
      </c>
      <c r="FL636" s="27" t="s">
        <v>7</v>
      </c>
      <c r="GC636" s="27" t="s">
        <v>8</v>
      </c>
      <c r="GD636" s="27" t="s">
        <v>7</v>
      </c>
      <c r="GI636" s="27" t="s">
        <v>8</v>
      </c>
      <c r="GJ636" s="27" t="s">
        <v>7</v>
      </c>
      <c r="GK636" s="27" t="s">
        <v>8</v>
      </c>
      <c r="GN636" s="27" t="s">
        <v>7</v>
      </c>
      <c r="GO636" s="27" t="s">
        <v>8</v>
      </c>
      <c r="GP636" s="27" t="s">
        <v>7</v>
      </c>
      <c r="GQ636" s="27" t="s">
        <v>8</v>
      </c>
      <c r="IL636" s="27" t="s">
        <v>7</v>
      </c>
      <c r="IM636" s="27" t="s">
        <v>8</v>
      </c>
      <c r="IN636" s="27" t="s">
        <v>7</v>
      </c>
      <c r="IO636" s="27" t="s">
        <v>8</v>
      </c>
      <c r="IZ636" s="27" t="s">
        <v>7</v>
      </c>
      <c r="JC636" s="27" t="s">
        <v>8</v>
      </c>
      <c r="JD636" s="27" t="s">
        <v>7</v>
      </c>
      <c r="NB636" s="27" t="s">
        <v>7</v>
      </c>
    </row>
    <row r="637" spans="1:368" x14ac:dyDescent="0.25">
      <c r="A637" s="7">
        <v>0.37152788212696197</v>
      </c>
      <c r="B637"/>
      <c r="C637"/>
      <c r="D637"/>
      <c r="E637"/>
      <c r="F637" s="27" t="s">
        <v>7</v>
      </c>
      <c r="FK637" s="27" t="s">
        <v>8</v>
      </c>
      <c r="FL637" s="27" t="s">
        <v>7</v>
      </c>
      <c r="GC637" s="27" t="s">
        <v>8</v>
      </c>
      <c r="GD637" s="27" t="s">
        <v>7</v>
      </c>
      <c r="GI637" s="27" t="s">
        <v>8</v>
      </c>
      <c r="GJ637" s="27" t="s">
        <v>7</v>
      </c>
      <c r="GK637" s="27" t="s">
        <v>8</v>
      </c>
      <c r="GN637" s="27" t="s">
        <v>7</v>
      </c>
      <c r="GP637" s="27" t="s">
        <v>7</v>
      </c>
      <c r="GQ637" s="27" t="s">
        <v>8</v>
      </c>
      <c r="IL637" s="27" t="s">
        <v>7</v>
      </c>
      <c r="IM637" s="27" t="s">
        <v>8</v>
      </c>
      <c r="IN637" s="27" t="s">
        <v>7</v>
      </c>
      <c r="IO637" s="27" t="s">
        <v>8</v>
      </c>
      <c r="IZ637" s="27" t="s">
        <v>7</v>
      </c>
      <c r="JC637" s="27" t="s">
        <v>8</v>
      </c>
    </row>
    <row r="638" spans="1:368" x14ac:dyDescent="0.25">
      <c r="A638" s="7">
        <v>0.36424302169310002</v>
      </c>
      <c r="B638"/>
      <c r="C638"/>
      <c r="D638"/>
      <c r="E638"/>
      <c r="F638" s="27" t="s">
        <v>7</v>
      </c>
      <c r="FK638" s="27" t="s">
        <v>8</v>
      </c>
      <c r="FL638" s="27" t="s">
        <v>7</v>
      </c>
      <c r="GC638" s="27" t="s">
        <v>8</v>
      </c>
      <c r="GD638" s="27" t="s">
        <v>7</v>
      </c>
      <c r="GI638" s="27" t="s">
        <v>8</v>
      </c>
      <c r="GJ638" s="27" t="s">
        <v>7</v>
      </c>
      <c r="GK638" s="27" t="s">
        <v>8</v>
      </c>
      <c r="GP638" s="27" t="s">
        <v>7</v>
      </c>
      <c r="GQ638" s="27" t="s">
        <v>8</v>
      </c>
      <c r="IL638" s="27" t="s">
        <v>7</v>
      </c>
      <c r="IM638" s="27" t="s">
        <v>8</v>
      </c>
      <c r="IN638" s="27" t="s">
        <v>7</v>
      </c>
      <c r="IO638" s="27" t="s">
        <v>8</v>
      </c>
      <c r="IZ638" s="27" t="s">
        <v>7</v>
      </c>
      <c r="JA638" s="27" t="s">
        <v>8</v>
      </c>
      <c r="JC638" s="27" t="s">
        <v>8</v>
      </c>
    </row>
    <row r="639" spans="1:368" x14ac:dyDescent="0.25">
      <c r="A639" s="7">
        <v>0.35710100165990194</v>
      </c>
      <c r="B639"/>
      <c r="C639"/>
      <c r="D639"/>
      <c r="E639"/>
      <c r="F639" s="27" t="s">
        <v>7</v>
      </c>
      <c r="FK639" s="27" t="s">
        <v>8</v>
      </c>
      <c r="FL639" s="27" t="s">
        <v>7</v>
      </c>
      <c r="GC639" s="27" t="s">
        <v>8</v>
      </c>
      <c r="GD639" s="27" t="s">
        <v>7</v>
      </c>
      <c r="GI639" s="27" t="s">
        <v>8</v>
      </c>
      <c r="GJ639" s="27" t="s">
        <v>7</v>
      </c>
      <c r="GK639" s="27" t="s">
        <v>8</v>
      </c>
      <c r="GP639" s="27" t="s">
        <v>7</v>
      </c>
      <c r="GQ639" s="27" t="s">
        <v>8</v>
      </c>
      <c r="IL639" s="27" t="s">
        <v>7</v>
      </c>
      <c r="IM639" s="27" t="s">
        <v>8</v>
      </c>
      <c r="IN639" s="27" t="s">
        <v>7</v>
      </c>
      <c r="IO639" s="27" t="s">
        <v>8</v>
      </c>
      <c r="IZ639" s="18" t="s">
        <v>7</v>
      </c>
      <c r="JA639" s="27" t="s">
        <v>8</v>
      </c>
      <c r="JB639" s="27" t="s">
        <v>7</v>
      </c>
      <c r="JC639" s="27" t="s">
        <v>8</v>
      </c>
    </row>
    <row r="640" spans="1:368" x14ac:dyDescent="0.25">
      <c r="A640" s="7">
        <v>0.35009902123519804</v>
      </c>
      <c r="B640"/>
      <c r="C640"/>
      <c r="D640"/>
      <c r="E640"/>
      <c r="F640" s="27" t="s">
        <v>7</v>
      </c>
      <c r="FK640" s="27" t="s">
        <v>8</v>
      </c>
      <c r="FL640" s="27" t="s">
        <v>7</v>
      </c>
      <c r="GC640" s="27" t="s">
        <v>8</v>
      </c>
      <c r="GD640" s="27" t="s">
        <v>7</v>
      </c>
      <c r="GI640" s="27" t="s">
        <v>8</v>
      </c>
      <c r="GJ640" s="27" t="s">
        <v>7</v>
      </c>
      <c r="GK640" s="27" t="s">
        <v>8</v>
      </c>
      <c r="GP640" s="27" t="s">
        <v>7</v>
      </c>
      <c r="IL640" s="27" t="s">
        <v>7</v>
      </c>
      <c r="IM640" s="27" t="s">
        <v>8</v>
      </c>
      <c r="IN640" s="27" t="s">
        <v>7</v>
      </c>
      <c r="IO640" s="27" t="s">
        <v>8</v>
      </c>
      <c r="IZ640" s="27" t="s">
        <v>7</v>
      </c>
      <c r="JA640" s="27" t="s">
        <v>8</v>
      </c>
      <c r="JB640" s="27" t="s">
        <v>7</v>
      </c>
      <c r="JC640" s="27" t="s">
        <v>8</v>
      </c>
    </row>
    <row r="641" spans="1:262" x14ac:dyDescent="0.25">
      <c r="A641" s="7">
        <v>0.34323433454431179</v>
      </c>
      <c r="B641"/>
      <c r="C641"/>
      <c r="D641"/>
      <c r="E641"/>
      <c r="F641" s="27" t="s">
        <v>7</v>
      </c>
      <c r="FK641" s="27" t="s">
        <v>8</v>
      </c>
      <c r="FL641" s="27" t="s">
        <v>7</v>
      </c>
      <c r="FM641" s="27" t="s">
        <v>8</v>
      </c>
      <c r="GC641" s="27" t="s">
        <v>8</v>
      </c>
      <c r="GD641" s="27" t="s">
        <v>7</v>
      </c>
      <c r="GE641" s="27" t="s">
        <v>8</v>
      </c>
      <c r="GG641" s="27" t="s">
        <v>8</v>
      </c>
      <c r="GI641" s="27" t="s">
        <v>8</v>
      </c>
      <c r="GJ641" s="27" t="s">
        <v>7</v>
      </c>
      <c r="GK641" s="27" t="s">
        <v>8</v>
      </c>
      <c r="IL641" s="27" t="s">
        <v>7</v>
      </c>
      <c r="IM641" s="27" t="s">
        <v>8</v>
      </c>
      <c r="IN641" s="27" t="s">
        <v>7</v>
      </c>
      <c r="IO641" s="27" t="s">
        <v>8</v>
      </c>
      <c r="IZ641" s="27" t="s">
        <v>7</v>
      </c>
      <c r="JA641" s="27" t="s">
        <v>8</v>
      </c>
      <c r="JB641" s="27" t="s">
        <v>7</v>
      </c>
    </row>
    <row r="642" spans="1:262" x14ac:dyDescent="0.25">
      <c r="A642" s="7">
        <v>0.33650424955324681</v>
      </c>
      <c r="B642"/>
      <c r="C642"/>
      <c r="D642"/>
      <c r="E642"/>
      <c r="F642" s="27" t="s">
        <v>7</v>
      </c>
      <c r="FK642" s="27" t="s">
        <v>8</v>
      </c>
      <c r="FL642" s="27" t="s">
        <v>7</v>
      </c>
      <c r="FM642" s="27" t="s">
        <v>8</v>
      </c>
      <c r="FN642" s="27" t="s">
        <v>7</v>
      </c>
      <c r="GC642" s="27" t="s">
        <v>8</v>
      </c>
      <c r="GD642" s="27" t="s">
        <v>7</v>
      </c>
      <c r="GE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J642" s="27" t="s">
        <v>7</v>
      </c>
      <c r="GK642" s="27" t="s">
        <v>8</v>
      </c>
      <c r="IL642" s="27" t="s">
        <v>7</v>
      </c>
      <c r="IM642" s="27" t="s">
        <v>8</v>
      </c>
      <c r="IN642" s="27" t="s">
        <v>7</v>
      </c>
      <c r="IO642" s="27" t="s">
        <v>8</v>
      </c>
      <c r="IZ642" s="27" t="s">
        <v>7</v>
      </c>
      <c r="JA642" s="27" t="s">
        <v>8</v>
      </c>
    </row>
    <row r="643" spans="1:262" x14ac:dyDescent="0.25">
      <c r="A643" s="7">
        <v>0.3299061270129871</v>
      </c>
      <c r="B643"/>
      <c r="C643"/>
      <c r="D643"/>
      <c r="E643"/>
      <c r="F643" s="27" t="s">
        <v>7</v>
      </c>
      <c r="FK643" s="27" t="s">
        <v>8</v>
      </c>
      <c r="FL643" s="27" t="s">
        <v>7</v>
      </c>
      <c r="FM643" s="27" t="s">
        <v>8</v>
      </c>
      <c r="FN643" s="27" t="s">
        <v>7</v>
      </c>
      <c r="GC643" s="27" t="s">
        <v>8</v>
      </c>
      <c r="GD643" s="27" t="s">
        <v>7</v>
      </c>
      <c r="GE643" s="27" t="s">
        <v>8</v>
      </c>
      <c r="GF643" s="27" t="s">
        <v>7</v>
      </c>
      <c r="GG643" s="27" t="s">
        <v>8</v>
      </c>
      <c r="GH643" s="27" t="s">
        <v>7</v>
      </c>
      <c r="GI643" s="27" t="s">
        <v>8</v>
      </c>
      <c r="GJ643" s="27" t="s">
        <v>7</v>
      </c>
      <c r="GK643" s="27" t="s">
        <v>8</v>
      </c>
      <c r="IL643" s="27" t="s">
        <v>7</v>
      </c>
      <c r="IM643" s="27" t="s">
        <v>8</v>
      </c>
      <c r="IN643" s="27" t="s">
        <v>7</v>
      </c>
      <c r="IO643" s="27" t="s">
        <v>8</v>
      </c>
      <c r="IZ643" s="27" t="s">
        <v>7</v>
      </c>
      <c r="JA643" s="27" t="s">
        <v>8</v>
      </c>
    </row>
    <row r="644" spans="1:262" x14ac:dyDescent="0.25">
      <c r="A644" s="7">
        <v>0.32343737942449713</v>
      </c>
      <c r="B644"/>
      <c r="C644"/>
      <c r="D644"/>
      <c r="E644"/>
      <c r="F644" s="27" t="s">
        <v>7</v>
      </c>
      <c r="FK644" s="27" t="s">
        <v>8</v>
      </c>
      <c r="FL644" s="27" t="s">
        <v>7</v>
      </c>
      <c r="FM644" s="27" t="s">
        <v>8</v>
      </c>
      <c r="FN644" s="27" t="s">
        <v>7</v>
      </c>
      <c r="GA644" s="27" t="s">
        <v>8</v>
      </c>
      <c r="GC644" s="27" t="s">
        <v>8</v>
      </c>
      <c r="GD644" s="27" t="s">
        <v>7</v>
      </c>
      <c r="GE644" s="27" t="s">
        <v>8</v>
      </c>
      <c r="GF644" s="27" t="s">
        <v>7</v>
      </c>
      <c r="GG644" s="27" t="s">
        <v>8</v>
      </c>
      <c r="GH644" s="27" t="s">
        <v>7</v>
      </c>
      <c r="GI644" s="27" t="s">
        <v>8</v>
      </c>
      <c r="GJ644" s="27" t="s">
        <v>7</v>
      </c>
      <c r="GK644" s="27" t="s">
        <v>8</v>
      </c>
      <c r="IL644" s="27" t="s">
        <v>7</v>
      </c>
      <c r="IM644" s="27" t="s">
        <v>8</v>
      </c>
      <c r="IN644" s="27" t="s">
        <v>7</v>
      </c>
      <c r="IZ644" s="27" t="s">
        <v>7</v>
      </c>
      <c r="JA644" s="27" t="s">
        <v>8</v>
      </c>
    </row>
    <row r="645" spans="1:262" x14ac:dyDescent="0.25">
      <c r="A645" s="7">
        <v>0.31709547002401678</v>
      </c>
      <c r="B645"/>
      <c r="C645"/>
      <c r="D645"/>
      <c r="E645"/>
      <c r="F645" s="27" t="s">
        <v>7</v>
      </c>
      <c r="FK645" s="27" t="s">
        <v>8</v>
      </c>
      <c r="FL645" s="27" t="s">
        <v>7</v>
      </c>
      <c r="FM645" s="27" t="s">
        <v>8</v>
      </c>
      <c r="FN645" s="27" t="s">
        <v>7</v>
      </c>
      <c r="GA645" s="27" t="s">
        <v>8</v>
      </c>
      <c r="GB645" s="27" t="s">
        <v>7</v>
      </c>
      <c r="GC645" s="27" t="s">
        <v>8</v>
      </c>
      <c r="GD645" s="27" t="s">
        <v>7</v>
      </c>
      <c r="GE645" s="27" t="s">
        <v>8</v>
      </c>
      <c r="GF645" s="27" t="s">
        <v>7</v>
      </c>
      <c r="GG645" s="27" t="s">
        <v>8</v>
      </c>
      <c r="GH645" s="27" t="s">
        <v>7</v>
      </c>
      <c r="GI645" s="27" t="s">
        <v>8</v>
      </c>
      <c r="GJ645" s="27" t="s">
        <v>7</v>
      </c>
      <c r="GK645" s="27" t="s">
        <v>8</v>
      </c>
      <c r="IL645" s="27" t="s">
        <v>7</v>
      </c>
      <c r="IZ645" s="27" t="s">
        <v>7</v>
      </c>
    </row>
    <row r="646" spans="1:262" x14ac:dyDescent="0.25">
      <c r="A646" s="7">
        <v>0.31087791178825175</v>
      </c>
      <c r="B646"/>
      <c r="C646"/>
      <c r="D646"/>
      <c r="E646"/>
      <c r="F646" s="27" t="s">
        <v>7</v>
      </c>
      <c r="FK646" s="27" t="s">
        <v>8</v>
      </c>
      <c r="FL646" s="27" t="s">
        <v>7</v>
      </c>
      <c r="FM646" s="27" t="s">
        <v>8</v>
      </c>
      <c r="FN646" s="27" t="s">
        <v>7</v>
      </c>
      <c r="GA646" s="27" t="s">
        <v>8</v>
      </c>
      <c r="GB646" s="27" t="s">
        <v>7</v>
      </c>
      <c r="GC646" s="27" t="s">
        <v>8</v>
      </c>
      <c r="GD646" s="27" t="s">
        <v>7</v>
      </c>
      <c r="GF646" s="27" t="s">
        <v>7</v>
      </c>
      <c r="GG646" s="27" t="s">
        <v>8</v>
      </c>
      <c r="GH646" s="27" t="s">
        <v>7</v>
      </c>
      <c r="GI646" s="27" t="s">
        <v>8</v>
      </c>
      <c r="GJ646" s="27" t="s">
        <v>7</v>
      </c>
      <c r="GK646" s="27" t="s">
        <v>8</v>
      </c>
    </row>
    <row r="647" spans="1:262" x14ac:dyDescent="0.25">
      <c r="A647" s="7">
        <v>0.30478226645907036</v>
      </c>
      <c r="B647"/>
      <c r="C647"/>
      <c r="D647"/>
      <c r="E647"/>
      <c r="F647" s="27" t="s">
        <v>7</v>
      </c>
      <c r="FK647" s="27" t="s">
        <v>8</v>
      </c>
      <c r="FL647" s="27" t="s">
        <v>7</v>
      </c>
      <c r="FM647" s="27" t="s">
        <v>8</v>
      </c>
      <c r="FN647" s="27" t="s">
        <v>7</v>
      </c>
      <c r="GA647" s="27" t="s">
        <v>8</v>
      </c>
      <c r="GB647" s="27" t="s">
        <v>7</v>
      </c>
      <c r="GC647" s="27" t="s">
        <v>8</v>
      </c>
      <c r="GF647" s="27" t="s">
        <v>7</v>
      </c>
      <c r="GH647" s="27" t="s">
        <v>7</v>
      </c>
      <c r="GI647" s="27" t="s">
        <v>8</v>
      </c>
      <c r="GJ647" s="27" t="s">
        <v>7</v>
      </c>
      <c r="GK647" s="27" t="s">
        <v>8</v>
      </c>
    </row>
    <row r="648" spans="1:262" x14ac:dyDescent="0.25">
      <c r="A648" s="7">
        <v>0.29880614358732388</v>
      </c>
      <c r="B648"/>
      <c r="C648"/>
      <c r="D648"/>
      <c r="E648"/>
      <c r="F648" s="27" t="s">
        <v>7</v>
      </c>
      <c r="FK648" s="27" t="s">
        <v>8</v>
      </c>
      <c r="FL648" s="27" t="s">
        <v>7</v>
      </c>
      <c r="FM648" s="27" t="s">
        <v>8</v>
      </c>
      <c r="FN648" s="27" t="s">
        <v>7</v>
      </c>
      <c r="GA648" s="27" t="s">
        <v>8</v>
      </c>
      <c r="GB648" s="27" t="s">
        <v>7</v>
      </c>
      <c r="GC648" s="27" t="s">
        <v>8</v>
      </c>
      <c r="GH648" s="27" t="s">
        <v>7</v>
      </c>
      <c r="GI648" s="27" t="s">
        <v>8</v>
      </c>
      <c r="GJ648" s="27" t="s">
        <v>7</v>
      </c>
    </row>
    <row r="649" spans="1:262" x14ac:dyDescent="0.25">
      <c r="A649" s="7">
        <v>0.2929471995954156</v>
      </c>
      <c r="B649"/>
      <c r="C649"/>
      <c r="D649"/>
      <c r="E649"/>
      <c r="F649" s="27" t="s">
        <v>7</v>
      </c>
      <c r="FK649" s="27" t="s">
        <v>8</v>
      </c>
      <c r="FL649" s="27" t="s">
        <v>7</v>
      </c>
      <c r="FM649" s="27" t="s">
        <v>8</v>
      </c>
      <c r="FN649" s="27" t="s">
        <v>7</v>
      </c>
      <c r="FY649" s="27" t="s">
        <v>8</v>
      </c>
      <c r="GA649" s="27" t="s">
        <v>8</v>
      </c>
      <c r="GB649" s="27" t="s">
        <v>7</v>
      </c>
      <c r="GC649" s="27" t="s">
        <v>8</v>
      </c>
      <c r="GH649" s="27" t="s">
        <v>7</v>
      </c>
      <c r="GI649" s="27" t="s">
        <v>8</v>
      </c>
    </row>
    <row r="650" spans="1:262" x14ac:dyDescent="0.25">
      <c r="A650" s="7">
        <v>0.28720313685825055</v>
      </c>
      <c r="B650"/>
      <c r="C650"/>
      <c r="D650"/>
      <c r="E650"/>
      <c r="F650" s="27" t="s">
        <v>7</v>
      </c>
      <c r="FK650" s="27" t="s">
        <v>8</v>
      </c>
      <c r="FL650" s="27" t="s">
        <v>7</v>
      </c>
      <c r="FM650" s="27" t="s">
        <v>8</v>
      </c>
      <c r="FN650" s="27" t="s">
        <v>7</v>
      </c>
      <c r="FY650" s="27" t="s">
        <v>8</v>
      </c>
      <c r="FZ650" s="27" t="s">
        <v>7</v>
      </c>
      <c r="GA650" s="27" t="s">
        <v>8</v>
      </c>
      <c r="GB650" s="27" t="s">
        <v>7</v>
      </c>
      <c r="GC650" s="27" t="s">
        <v>8</v>
      </c>
      <c r="GH650" s="27" t="s">
        <v>7</v>
      </c>
      <c r="GI650" s="27" t="s">
        <v>8</v>
      </c>
    </row>
    <row r="651" spans="1:262" x14ac:dyDescent="0.25">
      <c r="A651" s="7">
        <v>0.28157170280220645</v>
      </c>
      <c r="B651"/>
      <c r="C651"/>
      <c r="D651"/>
      <c r="E651"/>
      <c r="F651" s="27" t="s">
        <v>7</v>
      </c>
      <c r="FK651" s="27" t="s">
        <v>8</v>
      </c>
      <c r="FL651" s="27" t="s">
        <v>7</v>
      </c>
      <c r="FM651" s="27" t="s">
        <v>8</v>
      </c>
      <c r="FN651" s="27" t="s">
        <v>7</v>
      </c>
      <c r="FY651" s="27" t="s">
        <v>8</v>
      </c>
      <c r="FZ651" s="27" t="s">
        <v>7</v>
      </c>
      <c r="GA651" s="27" t="s">
        <v>8</v>
      </c>
      <c r="GB651" s="27" t="s">
        <v>7</v>
      </c>
      <c r="GC651" s="27" t="s">
        <v>8</v>
      </c>
      <c r="GH651" s="27" t="s">
        <v>7</v>
      </c>
      <c r="GI651" s="27" t="s">
        <v>8</v>
      </c>
    </row>
    <row r="652" spans="1:262" x14ac:dyDescent="0.25">
      <c r="A652" s="7">
        <v>0.27605068902177105</v>
      </c>
      <c r="B652"/>
      <c r="C652"/>
      <c r="D652"/>
      <c r="E652"/>
      <c r="F652" s="27" t="s">
        <v>7</v>
      </c>
      <c r="FK652" s="27" t="s">
        <v>8</v>
      </c>
      <c r="FL652" s="27" t="s">
        <v>7</v>
      </c>
      <c r="FM652" s="27" t="s">
        <v>8</v>
      </c>
      <c r="FN652" s="27" t="s">
        <v>7</v>
      </c>
      <c r="FY652" s="27" t="s">
        <v>8</v>
      </c>
      <c r="FZ652" s="27" t="s">
        <v>7</v>
      </c>
      <c r="GA652" s="27" t="s">
        <v>8</v>
      </c>
      <c r="GB652" s="27" t="s">
        <v>7</v>
      </c>
      <c r="GC652" s="27" t="s">
        <v>8</v>
      </c>
      <c r="GH652" s="27" t="s">
        <v>7</v>
      </c>
    </row>
    <row r="653" spans="1:262" x14ac:dyDescent="0.25">
      <c r="A653" s="7">
        <v>0.27063793041350104</v>
      </c>
      <c r="B653"/>
      <c r="C653"/>
      <c r="D653"/>
      <c r="E653"/>
      <c r="F653" s="27" t="s">
        <v>7</v>
      </c>
      <c r="FK653" s="27" t="s">
        <v>8</v>
      </c>
      <c r="FL653" s="27" t="s">
        <v>7</v>
      </c>
      <c r="FM653" s="27" t="s">
        <v>8</v>
      </c>
      <c r="FN653" s="27" t="s">
        <v>7</v>
      </c>
      <c r="FU653" s="27" t="s">
        <v>8</v>
      </c>
      <c r="FY653" s="27" t="s">
        <v>8</v>
      </c>
      <c r="FZ653" s="27" t="s">
        <v>7</v>
      </c>
      <c r="GA653" s="27" t="s">
        <v>8</v>
      </c>
      <c r="GB653" s="27" t="s">
        <v>7</v>
      </c>
      <c r="GC653" s="27" t="s">
        <v>8</v>
      </c>
    </row>
    <row r="654" spans="1:262" x14ac:dyDescent="0.25">
      <c r="A654" s="7">
        <v>0.26533130432696184</v>
      </c>
      <c r="B654"/>
      <c r="C654"/>
      <c r="D654"/>
      <c r="E654"/>
      <c r="F654" s="27" t="s">
        <v>7</v>
      </c>
      <c r="FK654" s="27" t="s">
        <v>8</v>
      </c>
      <c r="FL654" s="27" t="s">
        <v>7</v>
      </c>
      <c r="FM654" s="27" t="s">
        <v>8</v>
      </c>
      <c r="FN654" s="27" t="s">
        <v>7</v>
      </c>
      <c r="FU654" s="27" t="s">
        <v>8</v>
      </c>
      <c r="FV654" s="27" t="s">
        <v>7</v>
      </c>
      <c r="FY654" s="27" t="s">
        <v>8</v>
      </c>
      <c r="FZ654" s="27" t="s">
        <v>7</v>
      </c>
      <c r="GA654" s="27" t="s">
        <v>8</v>
      </c>
      <c r="GB654" s="27" t="s">
        <v>7</v>
      </c>
      <c r="GC654" s="27" t="s">
        <v>8</v>
      </c>
    </row>
    <row r="655" spans="1:262" x14ac:dyDescent="0.25">
      <c r="A655" s="7">
        <v>0.26012872973231554</v>
      </c>
      <c r="B655"/>
      <c r="C655"/>
      <c r="D655"/>
      <c r="E655"/>
      <c r="F655" s="27" t="s">
        <v>7</v>
      </c>
      <c r="FK655" s="27" t="s">
        <v>8</v>
      </c>
      <c r="FL655" s="27" t="s">
        <v>7</v>
      </c>
      <c r="FM655" s="27" t="s">
        <v>8</v>
      </c>
      <c r="FN655" s="27" t="s">
        <v>7</v>
      </c>
      <c r="FU655" s="27" t="s">
        <v>8</v>
      </c>
      <c r="FV655" s="27" t="s">
        <v>7</v>
      </c>
      <c r="FY655" s="27" t="s">
        <v>8</v>
      </c>
      <c r="FZ655" s="27" t="s">
        <v>7</v>
      </c>
      <c r="GA655" s="27" t="s">
        <v>8</v>
      </c>
      <c r="GB655" s="27" t="s">
        <v>7</v>
      </c>
      <c r="GC655" s="27" t="s">
        <v>8</v>
      </c>
    </row>
    <row r="656" spans="1:262" x14ac:dyDescent="0.25">
      <c r="A656" s="7">
        <v>0.25502816640423093</v>
      </c>
      <c r="B656"/>
      <c r="C656"/>
      <c r="D656"/>
      <c r="E656"/>
      <c r="F656" s="27" t="s">
        <v>7</v>
      </c>
      <c r="FK656" s="27" t="s">
        <v>8</v>
      </c>
      <c r="FL656" s="27" t="s">
        <v>7</v>
      </c>
      <c r="FM656" s="27" t="s">
        <v>8</v>
      </c>
      <c r="FN656" s="27" t="s">
        <v>7</v>
      </c>
      <c r="FU656" s="27" t="s">
        <v>8</v>
      </c>
      <c r="FV656" s="27" t="s">
        <v>7</v>
      </c>
      <c r="FW656" s="27" t="s">
        <v>8</v>
      </c>
      <c r="FY656" s="27" t="s">
        <v>8</v>
      </c>
      <c r="FZ656" s="27" t="s">
        <v>7</v>
      </c>
      <c r="GA656" s="27" t="s">
        <v>8</v>
      </c>
      <c r="GB656" s="27" t="s">
        <v>7</v>
      </c>
    </row>
    <row r="657" spans="1:183" x14ac:dyDescent="0.25">
      <c r="A657" s="7">
        <v>0.25002761412179503</v>
      </c>
      <c r="B657"/>
      <c r="C657"/>
      <c r="D657"/>
      <c r="E657"/>
      <c r="F657" s="27" t="s">
        <v>7</v>
      </c>
      <c r="FK657" s="27" t="s">
        <v>8</v>
      </c>
      <c r="FL657" s="27" t="s">
        <v>7</v>
      </c>
      <c r="FM657" s="27" t="s">
        <v>8</v>
      </c>
      <c r="FN657" s="27" t="s">
        <v>7</v>
      </c>
      <c r="FO657" s="27" t="s">
        <v>8</v>
      </c>
      <c r="FU657" s="27" t="s">
        <v>8</v>
      </c>
      <c r="FV657" s="27" t="s">
        <v>7</v>
      </c>
      <c r="FW657" s="27" t="s">
        <v>8</v>
      </c>
      <c r="FX657" s="27" t="s">
        <v>7</v>
      </c>
      <c r="FY657" s="27" t="s">
        <v>8</v>
      </c>
      <c r="FZ657" s="27" t="s">
        <v>7</v>
      </c>
      <c r="GA657" s="27" t="s">
        <v>8</v>
      </c>
    </row>
    <row r="658" spans="1:183" x14ac:dyDescent="0.25">
      <c r="A658" s="7">
        <v>0.24512511188411276</v>
      </c>
      <c r="B658"/>
      <c r="C658"/>
      <c r="D658"/>
      <c r="E658"/>
      <c r="F658" s="27" t="s">
        <v>7</v>
      </c>
      <c r="FK658" s="27" t="s">
        <v>8</v>
      </c>
      <c r="FL658" s="27" t="s">
        <v>7</v>
      </c>
      <c r="FM658" s="27" t="s">
        <v>8</v>
      </c>
      <c r="FN658" s="27" t="s">
        <v>7</v>
      </c>
      <c r="FO658" s="27" t="s">
        <v>8</v>
      </c>
      <c r="FP658" s="27" t="s">
        <v>7</v>
      </c>
      <c r="FS658" s="27" t="s">
        <v>8</v>
      </c>
      <c r="FU658" s="27" t="s">
        <v>8</v>
      </c>
      <c r="FV658" s="27" t="s">
        <v>7</v>
      </c>
      <c r="FW658" s="27" t="s">
        <v>8</v>
      </c>
      <c r="FX658" s="27" t="s">
        <v>7</v>
      </c>
      <c r="FY658" s="27" t="s">
        <v>8</v>
      </c>
      <c r="FZ658" s="27" t="s">
        <v>7</v>
      </c>
      <c r="GA658" s="27" t="s">
        <v>8</v>
      </c>
    </row>
    <row r="659" spans="1:183" x14ac:dyDescent="0.25">
      <c r="A659" s="7">
        <v>0.24031873714128701</v>
      </c>
      <c r="B659"/>
      <c r="C659"/>
      <c r="D659"/>
      <c r="E659"/>
      <c r="F659" s="27" t="s">
        <v>7</v>
      </c>
      <c r="FK659" s="27" t="s">
        <v>8</v>
      </c>
      <c r="FL659" s="27" t="s">
        <v>7</v>
      </c>
      <c r="FM659" s="27" t="s">
        <v>8</v>
      </c>
      <c r="FN659" s="27" t="s">
        <v>7</v>
      </c>
      <c r="FO659" s="27" t="s">
        <v>8</v>
      </c>
      <c r="FP659" s="27" t="s">
        <v>7</v>
      </c>
      <c r="FS659" s="27" t="s">
        <v>8</v>
      </c>
      <c r="FT659" s="27" t="s">
        <v>7</v>
      </c>
      <c r="FU659" s="27" t="s">
        <v>8</v>
      </c>
      <c r="FV659" s="27" t="s">
        <v>7</v>
      </c>
      <c r="FW659" s="27" t="s">
        <v>8</v>
      </c>
      <c r="FX659" s="27" t="s">
        <v>7</v>
      </c>
      <c r="FY659" s="27" t="s">
        <v>8</v>
      </c>
      <c r="FZ659" s="27" t="s">
        <v>7</v>
      </c>
      <c r="GA659" s="27" t="s">
        <v>8</v>
      </c>
    </row>
    <row r="660" spans="1:183" x14ac:dyDescent="0.25">
      <c r="A660" s="7">
        <v>0.23560660504047748</v>
      </c>
      <c r="B660"/>
      <c r="C660"/>
      <c r="D660"/>
      <c r="E660"/>
      <c r="F660" s="27" t="s">
        <v>7</v>
      </c>
      <c r="FK660" s="27" t="s">
        <v>8</v>
      </c>
      <c r="FL660" s="27" t="s">
        <v>7</v>
      </c>
      <c r="FM660" s="27" t="s">
        <v>8</v>
      </c>
      <c r="FN660" s="27" t="s">
        <v>7</v>
      </c>
      <c r="FO660" s="27" t="s">
        <v>8</v>
      </c>
      <c r="FP660" s="27" t="s">
        <v>7</v>
      </c>
      <c r="FQ660" s="27" t="s">
        <v>8</v>
      </c>
      <c r="FS660" s="27" t="s">
        <v>8</v>
      </c>
      <c r="FT660" s="27" t="s">
        <v>7</v>
      </c>
      <c r="FU660" s="27" t="s">
        <v>8</v>
      </c>
      <c r="FV660" s="27" t="s">
        <v>7</v>
      </c>
      <c r="FW660" s="27" t="s">
        <v>8</v>
      </c>
      <c r="FX660" s="27" t="s">
        <v>7</v>
      </c>
      <c r="FY660" s="27" t="s">
        <v>8</v>
      </c>
      <c r="FZ660" s="27" t="s">
        <v>7</v>
      </c>
      <c r="GA660" s="27" t="s">
        <v>8</v>
      </c>
    </row>
    <row r="661" spans="1:183" x14ac:dyDescent="0.25">
      <c r="A661" s="7">
        <v>0.23098686768674265</v>
      </c>
      <c r="B661"/>
      <c r="C661"/>
      <c r="D661"/>
      <c r="E661"/>
      <c r="F661" s="27" t="s">
        <v>7</v>
      </c>
      <c r="FK661" s="27" t="s">
        <v>8</v>
      </c>
      <c r="FL661" s="27" t="s">
        <v>7</v>
      </c>
      <c r="FM661" s="27" t="s">
        <v>8</v>
      </c>
      <c r="FN661" s="27" t="s">
        <v>7</v>
      </c>
      <c r="FO661" s="27" t="s">
        <v>8</v>
      </c>
      <c r="FP661" s="27" t="s">
        <v>7</v>
      </c>
      <c r="FQ661" s="27" t="s">
        <v>8</v>
      </c>
      <c r="FR661" s="27" t="s">
        <v>7</v>
      </c>
      <c r="FS661" s="27" t="s">
        <v>8</v>
      </c>
      <c r="FT661" s="27" t="s">
        <v>7</v>
      </c>
      <c r="FU661" s="27" t="s">
        <v>8</v>
      </c>
      <c r="FV661" s="27" t="s">
        <v>7</v>
      </c>
      <c r="FW661" s="27" t="s">
        <v>8</v>
      </c>
      <c r="FX661" s="27" t="s">
        <v>7</v>
      </c>
      <c r="FY661" s="27" t="s">
        <v>8</v>
      </c>
      <c r="FZ661" s="27" t="s">
        <v>7</v>
      </c>
      <c r="GA661" s="27" t="s">
        <v>8</v>
      </c>
    </row>
    <row r="662" spans="1:183" x14ac:dyDescent="0.25">
      <c r="A662" s="7">
        <v>0.22645771341837515</v>
      </c>
      <c r="B662"/>
      <c r="C662"/>
      <c r="D662"/>
      <c r="E662"/>
      <c r="F662" s="27" t="s">
        <v>7</v>
      </c>
      <c r="FK662" s="27" t="s">
        <v>8</v>
      </c>
      <c r="FL662" s="27" t="s">
        <v>7</v>
      </c>
      <c r="FM662" s="27" t="s">
        <v>8</v>
      </c>
      <c r="FN662" s="27" t="s">
        <v>7</v>
      </c>
      <c r="FO662" s="27" t="s">
        <v>8</v>
      </c>
      <c r="FP662" s="27" t="s">
        <v>7</v>
      </c>
      <c r="FQ662" s="27" t="s">
        <v>8</v>
      </c>
      <c r="FR662" s="27" t="s">
        <v>7</v>
      </c>
      <c r="FS662" s="27" t="s">
        <v>8</v>
      </c>
      <c r="FT662" s="27" t="s">
        <v>7</v>
      </c>
      <c r="FU662" s="27" t="s">
        <v>8</v>
      </c>
      <c r="FV662" s="27" t="s">
        <v>7</v>
      </c>
      <c r="FW662" s="27" t="s">
        <v>8</v>
      </c>
      <c r="FX662" s="27" t="s">
        <v>7</v>
      </c>
      <c r="FY662" s="27" t="s">
        <v>8</v>
      </c>
      <c r="FZ662" s="27" t="s">
        <v>7</v>
      </c>
      <c r="GA662" s="27" t="s">
        <v>8</v>
      </c>
    </row>
    <row r="663" spans="1:183" x14ac:dyDescent="0.25">
      <c r="A663" s="7">
        <v>0.22201736609644623</v>
      </c>
      <c r="B663"/>
      <c r="C663"/>
      <c r="D663"/>
      <c r="E663"/>
      <c r="F663" s="27" t="s">
        <v>7</v>
      </c>
      <c r="FK663" s="27" t="s">
        <v>8</v>
      </c>
      <c r="FL663" s="27" t="s">
        <v>7</v>
      </c>
      <c r="FM663" s="27" t="s">
        <v>8</v>
      </c>
      <c r="FN663" s="27" t="s">
        <v>7</v>
      </c>
      <c r="FO663" s="27" t="s">
        <v>8</v>
      </c>
      <c r="FP663" s="27" t="s">
        <v>7</v>
      </c>
      <c r="FQ663" s="27" t="s">
        <v>8</v>
      </c>
      <c r="FR663" s="27" t="s">
        <v>7</v>
      </c>
      <c r="FS663" s="27" t="s">
        <v>8</v>
      </c>
      <c r="FT663" s="27" t="s">
        <v>7</v>
      </c>
      <c r="FU663" s="27" t="s">
        <v>8</v>
      </c>
      <c r="FV663" s="27" t="s">
        <v>7</v>
      </c>
      <c r="FW663" s="27" t="s">
        <v>8</v>
      </c>
      <c r="FX663" s="27" t="s">
        <v>7</v>
      </c>
      <c r="FY663" s="27" t="s">
        <v>8</v>
      </c>
      <c r="FZ663" s="27" t="s">
        <v>7</v>
      </c>
    </row>
    <row r="664" spans="1:183" x14ac:dyDescent="0.25">
      <c r="A664" s="7">
        <v>0.21766408440828061</v>
      </c>
      <c r="B664"/>
      <c r="C664"/>
      <c r="D664"/>
      <c r="E664"/>
      <c r="F664" s="27" t="s">
        <v>7</v>
      </c>
      <c r="FK664" s="27" t="s">
        <v>8</v>
      </c>
      <c r="FL664" s="27" t="s">
        <v>7</v>
      </c>
      <c r="FN664" s="27" t="s">
        <v>7</v>
      </c>
      <c r="FO664" s="27" t="s">
        <v>8</v>
      </c>
      <c r="FP664" s="27" t="s">
        <v>7</v>
      </c>
      <c r="FR664" s="27" t="s">
        <v>7</v>
      </c>
      <c r="FS664" s="27" t="s">
        <v>8</v>
      </c>
      <c r="FT664" s="27" t="s">
        <v>7</v>
      </c>
      <c r="FU664" s="27" t="s">
        <v>8</v>
      </c>
      <c r="FV664" s="27" t="s">
        <v>7</v>
      </c>
      <c r="FW664" s="27" t="s">
        <v>8</v>
      </c>
      <c r="FX664" s="27" t="s">
        <v>7</v>
      </c>
      <c r="FY664" s="27" t="s">
        <v>8</v>
      </c>
    </row>
    <row r="665" spans="1:183" x14ac:dyDescent="0.25">
      <c r="A665" s="7">
        <v>0.21339616118458882</v>
      </c>
      <c r="B665"/>
      <c r="C665"/>
      <c r="D665"/>
      <c r="E665"/>
      <c r="F665" s="27" t="s">
        <v>7</v>
      </c>
      <c r="FK665" s="27" t="s">
        <v>8</v>
      </c>
      <c r="FN665" s="27" t="s">
        <v>7</v>
      </c>
      <c r="FO665" s="27" t="s">
        <v>8</v>
      </c>
      <c r="FR665" s="27" t="s">
        <v>7</v>
      </c>
      <c r="FS665" s="27" t="s">
        <v>8</v>
      </c>
      <c r="FT665" s="27" t="s">
        <v>7</v>
      </c>
      <c r="FU665" s="27" t="s">
        <v>8</v>
      </c>
      <c r="FV665" s="27" t="s">
        <v>7</v>
      </c>
      <c r="FW665" s="27" t="s">
        <v>8</v>
      </c>
      <c r="FX665" s="27" t="s">
        <v>7</v>
      </c>
      <c r="FY665" s="27" t="s">
        <v>8</v>
      </c>
    </row>
    <row r="666" spans="1:183" x14ac:dyDescent="0.25">
      <c r="A666" s="7">
        <v>0.20921192272998904</v>
      </c>
      <c r="B666"/>
      <c r="C666"/>
      <c r="D666"/>
      <c r="E666"/>
      <c r="F666" s="27" t="s">
        <v>7</v>
      </c>
      <c r="FK666" s="27" t="s">
        <v>8</v>
      </c>
      <c r="FN666" s="27" t="s">
        <v>7</v>
      </c>
      <c r="FO666" s="27" t="s">
        <v>8</v>
      </c>
      <c r="FR666" s="27" t="s">
        <v>7</v>
      </c>
      <c r="FS666" s="27" t="s">
        <v>8</v>
      </c>
      <c r="FT666" s="27" t="s">
        <v>7</v>
      </c>
      <c r="FU666" s="27" t="s">
        <v>8</v>
      </c>
      <c r="FV666" s="27" t="s">
        <v>7</v>
      </c>
      <c r="FW666" s="27" t="s">
        <v>8</v>
      </c>
      <c r="FX666" s="27" t="s">
        <v>7</v>
      </c>
      <c r="FY666" s="27" t="s">
        <v>8</v>
      </c>
    </row>
    <row r="667" spans="1:183" x14ac:dyDescent="0.25">
      <c r="A667" s="7">
        <v>0.20510972816665593</v>
      </c>
      <c r="B667"/>
      <c r="C667"/>
      <c r="D667"/>
      <c r="E667"/>
      <c r="F667" s="27" t="s">
        <v>7</v>
      </c>
      <c r="FK667" s="27" t="s">
        <v>8</v>
      </c>
      <c r="FN667" s="27" t="s">
        <v>7</v>
      </c>
      <c r="FO667" s="27" t="s">
        <v>8</v>
      </c>
      <c r="FR667" s="27" t="s">
        <v>7</v>
      </c>
      <c r="FS667" s="27" t="s">
        <v>8</v>
      </c>
      <c r="FT667" s="27" t="s">
        <v>7</v>
      </c>
      <c r="FU667" s="27" t="s">
        <v>8</v>
      </c>
      <c r="FV667" s="27" t="s">
        <v>7</v>
      </c>
      <c r="FW667" s="27" t="s">
        <v>8</v>
      </c>
      <c r="FX667" s="27" t="s">
        <v>7</v>
      </c>
      <c r="FY667" s="27" t="s">
        <v>8</v>
      </c>
    </row>
    <row r="668" spans="1:183" x14ac:dyDescent="0.25">
      <c r="A668" s="7">
        <v>0.20108796879083912</v>
      </c>
      <c r="B668"/>
      <c r="C668"/>
      <c r="D668"/>
      <c r="E668"/>
      <c r="F668" s="27" t="s">
        <v>7</v>
      </c>
      <c r="FK668" s="27" t="s">
        <v>8</v>
      </c>
      <c r="FN668" s="27" t="s">
        <v>7</v>
      </c>
      <c r="FO668" s="27" t="s">
        <v>8</v>
      </c>
      <c r="FR668" s="27" t="s">
        <v>7</v>
      </c>
      <c r="FS668" s="27" t="s">
        <v>8</v>
      </c>
      <c r="FT668" s="27" t="s">
        <v>7</v>
      </c>
      <c r="FU668" s="27" t="s">
        <v>8</v>
      </c>
      <c r="FV668" s="27" t="s">
        <v>7</v>
      </c>
      <c r="FW668" s="27" t="s">
        <v>8</v>
      </c>
      <c r="FX668" s="27" t="s">
        <v>7</v>
      </c>
    </row>
    <row r="669" spans="1:183" x14ac:dyDescent="0.25">
      <c r="A669" s="7">
        <v>0.19714506744199917</v>
      </c>
      <c r="B669"/>
      <c r="C669"/>
      <c r="D669"/>
      <c r="E669"/>
      <c r="F669" s="27" t="s">
        <v>7</v>
      </c>
      <c r="FK669" s="27" t="s">
        <v>8</v>
      </c>
      <c r="FN669" s="27" t="s">
        <v>7</v>
      </c>
      <c r="FO669" s="27" t="s">
        <v>8</v>
      </c>
      <c r="FR669" s="27" t="s">
        <v>7</v>
      </c>
      <c r="FS669" s="27" t="s">
        <v>8</v>
      </c>
      <c r="FT669" s="27" t="s">
        <v>7</v>
      </c>
      <c r="FU669" s="27" t="s">
        <v>8</v>
      </c>
      <c r="FV669" s="27" t="s">
        <v>7</v>
      </c>
      <c r="FW669" s="27" t="s">
        <v>8</v>
      </c>
    </row>
    <row r="670" spans="1:183" x14ac:dyDescent="0.25">
      <c r="A670" s="7">
        <v>0.19327947788431293</v>
      </c>
      <c r="B670"/>
      <c r="C670"/>
      <c r="D670"/>
      <c r="E670"/>
      <c r="F670" s="27" t="s">
        <v>7</v>
      </c>
      <c r="FK670" s="27" t="s">
        <v>8</v>
      </c>
      <c r="FN670" s="27" t="s">
        <v>7</v>
      </c>
      <c r="FO670" s="27" t="s">
        <v>8</v>
      </c>
      <c r="FR670" s="27" t="s">
        <v>7</v>
      </c>
      <c r="FT670" s="27" t="s">
        <v>7</v>
      </c>
      <c r="FU670" s="27" t="s">
        <v>8</v>
      </c>
      <c r="FV670" s="27" t="s">
        <v>7</v>
      </c>
      <c r="FW670" s="27" t="s">
        <v>8</v>
      </c>
    </row>
    <row r="671" spans="1:183" x14ac:dyDescent="0.25">
      <c r="A671" s="7">
        <v>0.18948968420030682</v>
      </c>
      <c r="B671"/>
      <c r="C671"/>
      <c r="D671"/>
      <c r="E671"/>
      <c r="F671" s="27" t="s">
        <v>7</v>
      </c>
      <c r="FK671" s="27" t="s">
        <v>8</v>
      </c>
      <c r="FN671" s="27" t="s">
        <v>7</v>
      </c>
      <c r="FO671" s="27" t="s">
        <v>8</v>
      </c>
      <c r="FT671" s="27" t="s">
        <v>7</v>
      </c>
      <c r="FU671" s="27" t="s">
        <v>8</v>
      </c>
      <c r="FV671" s="27" t="s">
        <v>7</v>
      </c>
      <c r="FW671" s="27" t="s">
        <v>8</v>
      </c>
    </row>
    <row r="672" spans="1:183" x14ac:dyDescent="0.25">
      <c r="A672" s="7">
        <v>0.18577420019637925</v>
      </c>
      <c r="B672"/>
      <c r="C672"/>
      <c r="D672"/>
      <c r="E672"/>
      <c r="F672" s="27" t="s">
        <v>7</v>
      </c>
      <c r="FK672" s="27" t="s">
        <v>8</v>
      </c>
      <c r="FN672" s="27" t="s">
        <v>7</v>
      </c>
      <c r="FO672" s="27" t="s">
        <v>8</v>
      </c>
      <c r="FT672" s="27" t="s">
        <v>7</v>
      </c>
      <c r="FU672" s="27" t="s">
        <v>8</v>
      </c>
      <c r="FV672" s="27" t="s">
        <v>7</v>
      </c>
      <c r="FW672" s="27" t="s">
        <v>8</v>
      </c>
    </row>
    <row r="673" spans="1:179" x14ac:dyDescent="0.25">
      <c r="A673" s="7">
        <v>0.18213156881997963</v>
      </c>
      <c r="B673"/>
      <c r="C673"/>
      <c r="D673"/>
      <c r="E673"/>
      <c r="F673" s="27" t="s">
        <v>7</v>
      </c>
      <c r="FK673" s="27" t="s">
        <v>8</v>
      </c>
      <c r="FN673" s="27" t="s">
        <v>7</v>
      </c>
      <c r="FT673" s="27" t="s">
        <v>7</v>
      </c>
      <c r="FU673" s="27" t="s">
        <v>8</v>
      </c>
      <c r="FV673" s="27" t="s">
        <v>7</v>
      </c>
      <c r="FW673" s="27" t="s">
        <v>8</v>
      </c>
    </row>
    <row r="674" spans="1:179" x14ac:dyDescent="0.25">
      <c r="A674" s="7">
        <v>0.17856036158821534</v>
      </c>
      <c r="B674"/>
      <c r="C674"/>
      <c r="D674"/>
      <c r="E674"/>
      <c r="F674" s="27" t="s">
        <v>7</v>
      </c>
      <c r="FK674" s="27" t="s">
        <v>8</v>
      </c>
      <c r="FT674" s="27" t="s">
        <v>7</v>
      </c>
      <c r="FU674" s="27" t="s">
        <v>8</v>
      </c>
      <c r="FV674" s="27" t="s">
        <v>7</v>
      </c>
      <c r="FW674" s="27" t="s">
        <v>8</v>
      </c>
    </row>
    <row r="675" spans="1:179" x14ac:dyDescent="0.25">
      <c r="A675" s="7">
        <v>0.17505917802766208</v>
      </c>
      <c r="B675"/>
      <c r="C675"/>
      <c r="D675"/>
      <c r="E675"/>
      <c r="F675" s="27" t="s">
        <v>7</v>
      </c>
      <c r="FK675" s="27" t="s">
        <v>8</v>
      </c>
      <c r="FT675" s="27" t="s">
        <v>7</v>
      </c>
      <c r="FU675" s="27" t="s">
        <v>8</v>
      </c>
      <c r="FV675" s="27" t="s">
        <v>7</v>
      </c>
      <c r="FW675" s="27" t="s">
        <v>8</v>
      </c>
    </row>
    <row r="676" spans="1:179" x14ac:dyDescent="0.25">
      <c r="A676" s="7">
        <v>0.17162664512515888</v>
      </c>
      <c r="B676"/>
      <c r="C676"/>
      <c r="D676"/>
      <c r="E676"/>
      <c r="F676" s="27" t="s">
        <v>7</v>
      </c>
      <c r="FK676" s="27" t="s">
        <v>8</v>
      </c>
      <c r="FT676" s="27" t="s">
        <v>7</v>
      </c>
      <c r="FU676" s="27" t="s">
        <v>8</v>
      </c>
      <c r="FV676" s="27" t="s">
        <v>7</v>
      </c>
      <c r="FW676" s="27" t="s">
        <v>8</v>
      </c>
    </row>
    <row r="677" spans="1:179" x14ac:dyDescent="0.25">
      <c r="A677" s="7">
        <v>0.16826141678937145</v>
      </c>
      <c r="B677"/>
      <c r="C677"/>
      <c r="D677"/>
      <c r="E677"/>
      <c r="F677" s="27" t="s">
        <v>7</v>
      </c>
      <c r="FK677" s="27" t="s">
        <v>8</v>
      </c>
      <c r="FT677" s="27" t="s">
        <v>7</v>
      </c>
      <c r="FU677" s="27" t="s">
        <v>8</v>
      </c>
      <c r="FV677" s="27" t="s">
        <v>7</v>
      </c>
      <c r="FW677" s="27" t="s">
        <v>8</v>
      </c>
    </row>
    <row r="678" spans="1:179" x14ac:dyDescent="0.25">
      <c r="A678" s="7">
        <v>0.16496217332291319</v>
      </c>
      <c r="B678"/>
      <c r="C678"/>
      <c r="D678"/>
      <c r="E678"/>
      <c r="F678" s="27" t="s">
        <v>7</v>
      </c>
      <c r="FK678" s="27" t="s">
        <v>8</v>
      </c>
      <c r="FT678" s="27" t="s">
        <v>7</v>
      </c>
      <c r="FU678" s="27" t="s">
        <v>8</v>
      </c>
      <c r="FV678" s="27" t="s">
        <v>7</v>
      </c>
      <c r="FW678" s="27" t="s">
        <v>8</v>
      </c>
    </row>
    <row r="679" spans="1:179" x14ac:dyDescent="0.25">
      <c r="A679" s="7">
        <v>0.16172762090481685</v>
      </c>
      <c r="B679"/>
      <c r="C679"/>
      <c r="D679"/>
      <c r="E679"/>
      <c r="F679" s="27" t="s">
        <v>7</v>
      </c>
      <c r="FK679" s="27" t="s">
        <v>8</v>
      </c>
      <c r="FT679" s="27" t="s">
        <v>7</v>
      </c>
      <c r="FU679" s="27" t="s">
        <v>8</v>
      </c>
      <c r="FV679" s="27" t="s">
        <v>7</v>
      </c>
      <c r="FW679" s="27" t="s">
        <v>8</v>
      </c>
    </row>
    <row r="680" spans="1:179" x14ac:dyDescent="0.25">
      <c r="A680" s="7">
        <v>0.15855649108315376</v>
      </c>
      <c r="B680"/>
      <c r="C680"/>
      <c r="D680"/>
      <c r="E680"/>
      <c r="F680" s="27" t="s">
        <v>7</v>
      </c>
      <c r="FK680" s="27" t="s">
        <v>8</v>
      </c>
      <c r="FT680" s="27" t="s">
        <v>7</v>
      </c>
      <c r="FU680" s="27" t="s">
        <v>8</v>
      </c>
      <c r="FV680" s="27" t="s">
        <v>7</v>
      </c>
    </row>
    <row r="681" spans="1:179" x14ac:dyDescent="0.25">
      <c r="A681" s="7">
        <v>0.15544754027760171</v>
      </c>
      <c r="B681"/>
      <c r="C681"/>
      <c r="D681"/>
      <c r="E681"/>
      <c r="F681" s="27" t="s">
        <v>7</v>
      </c>
      <c r="FK681" s="27" t="s">
        <v>8</v>
      </c>
      <c r="FT681" s="27" t="s">
        <v>7</v>
      </c>
      <c r="FU681" s="27" t="s">
        <v>8</v>
      </c>
    </row>
    <row r="682" spans="1:179" x14ac:dyDescent="0.25">
      <c r="A682" s="7">
        <v>0.15239954929176638</v>
      </c>
      <c r="B682"/>
      <c r="C682"/>
      <c r="D682"/>
      <c r="E682"/>
      <c r="F682" s="27" t="s">
        <v>7</v>
      </c>
      <c r="FK682" s="27" t="s">
        <v>8</v>
      </c>
      <c r="FT682" s="27" t="s">
        <v>7</v>
      </c>
      <c r="FU682" s="27" t="s">
        <v>8</v>
      </c>
    </row>
    <row r="683" spans="1:179" x14ac:dyDescent="0.25">
      <c r="A683" s="7">
        <v>0.14941132283506509</v>
      </c>
      <c r="B683"/>
      <c r="C683"/>
      <c r="D683"/>
      <c r="E683"/>
      <c r="F683" s="27" t="s">
        <v>7</v>
      </c>
      <c r="FK683" s="27" t="s">
        <v>8</v>
      </c>
      <c r="FT683" s="27" t="s">
        <v>7</v>
      </c>
      <c r="FU683" s="27" t="s">
        <v>8</v>
      </c>
    </row>
    <row r="684" spans="1:179" x14ac:dyDescent="0.25">
      <c r="A684" s="7">
        <v>0.14648168905398537</v>
      </c>
      <c r="B684"/>
      <c r="C684"/>
      <c r="D684"/>
      <c r="E684"/>
      <c r="F684" s="27" t="s">
        <v>7</v>
      </c>
      <c r="BU684" s="27" t="s">
        <v>8</v>
      </c>
      <c r="FK684" s="27" t="s">
        <v>8</v>
      </c>
      <c r="FT684" s="27" t="s">
        <v>7</v>
      </c>
      <c r="FU684" s="27" t="s">
        <v>8</v>
      </c>
    </row>
    <row r="685" spans="1:179" x14ac:dyDescent="0.25">
      <c r="A685" s="7">
        <v>0.14360949907253467</v>
      </c>
      <c r="B685"/>
      <c r="C685"/>
      <c r="D685"/>
      <c r="E685"/>
      <c r="F685" s="27" t="s">
        <v>7</v>
      </c>
      <c r="BU685" s="27" t="s">
        <v>8</v>
      </c>
      <c r="BV685" s="27" t="s">
        <v>7</v>
      </c>
      <c r="FK685" s="27" t="s">
        <v>8</v>
      </c>
      <c r="FT685" s="27" t="s">
        <v>7</v>
      </c>
      <c r="FU685" s="27" t="s">
        <v>8</v>
      </c>
    </row>
    <row r="686" spans="1:179" x14ac:dyDescent="0.25">
      <c r="A686" s="7">
        <v>0.14079362654170066</v>
      </c>
      <c r="B686"/>
      <c r="C686"/>
      <c r="D686"/>
      <c r="E686"/>
      <c r="F686" s="27" t="s">
        <v>7</v>
      </c>
      <c r="BU686" s="27" t="s">
        <v>8</v>
      </c>
      <c r="BV686" s="27" t="s">
        <v>7</v>
      </c>
      <c r="FK686" s="27" t="s">
        <v>8</v>
      </c>
      <c r="FT686" s="27" t="s">
        <v>7</v>
      </c>
      <c r="FU686" s="27" t="s">
        <v>8</v>
      </c>
    </row>
    <row r="687" spans="1:179" x14ac:dyDescent="0.25">
      <c r="A687" s="7">
        <v>0.13803296719774574</v>
      </c>
      <c r="B687"/>
      <c r="C687"/>
      <c r="D687"/>
      <c r="E687"/>
      <c r="F687" s="27" t="s">
        <v>7</v>
      </c>
      <c r="BU687" s="27" t="s">
        <v>8</v>
      </c>
      <c r="BV687" s="27" t="s">
        <v>7</v>
      </c>
      <c r="FK687" s="27" t="s">
        <v>8</v>
      </c>
      <c r="FT687" s="27" t="s">
        <v>7</v>
      </c>
      <c r="FU687" s="27" t="s">
        <v>8</v>
      </c>
    </row>
    <row r="688" spans="1:179" x14ac:dyDescent="0.25">
      <c r="A688" s="7">
        <v>0.1353264384291625</v>
      </c>
      <c r="B688"/>
      <c r="C688"/>
      <c r="D688"/>
      <c r="E688"/>
      <c r="F688" s="27" t="s">
        <v>7</v>
      </c>
      <c r="BU688" s="27" t="s">
        <v>8</v>
      </c>
      <c r="BV688" s="27" t="s">
        <v>7</v>
      </c>
      <c r="FK688" s="27" t="s">
        <v>8</v>
      </c>
      <c r="FT688" s="27" t="s">
        <v>7</v>
      </c>
      <c r="FU688" s="27" t="s">
        <v>8</v>
      </c>
    </row>
    <row r="689" spans="1:177" x14ac:dyDescent="0.25">
      <c r="A689" s="7">
        <v>0.13267297885212009</v>
      </c>
      <c r="B689"/>
      <c r="C689"/>
      <c r="D689"/>
      <c r="E689"/>
      <c r="F689" s="27" t="s">
        <v>7</v>
      </c>
      <c r="BU689" s="27" t="s">
        <v>8</v>
      </c>
      <c r="BV689" s="27" t="s">
        <v>7</v>
      </c>
      <c r="FK689" s="27" t="s">
        <v>8</v>
      </c>
      <c r="FT689" s="27" t="s">
        <v>7</v>
      </c>
      <c r="FU689" s="27" t="s">
        <v>8</v>
      </c>
    </row>
    <row r="690" spans="1:177" x14ac:dyDescent="0.25">
      <c r="A690" s="7">
        <v>0.13007154789423539</v>
      </c>
      <c r="B690"/>
      <c r="C690"/>
      <c r="D690"/>
      <c r="E690"/>
      <c r="F690" s="27" t="s">
        <v>7</v>
      </c>
      <c r="BU690" s="27" t="s">
        <v>8</v>
      </c>
      <c r="BV690" s="27" t="s">
        <v>7</v>
      </c>
      <c r="FK690" s="27" t="s">
        <v>8</v>
      </c>
      <c r="FT690" s="27" t="s">
        <v>7</v>
      </c>
      <c r="FU690" s="27" t="s">
        <v>8</v>
      </c>
    </row>
    <row r="691" spans="1:177" x14ac:dyDescent="0.25">
      <c r="A691" s="7">
        <v>0.12752112538650529</v>
      </c>
      <c r="B691"/>
      <c r="C691"/>
      <c r="D691"/>
      <c r="E691"/>
      <c r="F691" s="27" t="s">
        <v>7</v>
      </c>
      <c r="BU691" s="27" t="s">
        <v>8</v>
      </c>
      <c r="BV691" s="27" t="s">
        <v>7</v>
      </c>
      <c r="FK691" s="27" t="s">
        <v>8</v>
      </c>
      <c r="FT691" s="27" t="s">
        <v>7</v>
      </c>
      <c r="FU691" s="27" t="s">
        <v>8</v>
      </c>
    </row>
    <row r="692" spans="1:177" x14ac:dyDescent="0.25">
      <c r="A692" s="7">
        <v>0.12502071116324048</v>
      </c>
      <c r="B692"/>
      <c r="C692"/>
      <c r="D692"/>
      <c r="E692"/>
      <c r="F692" s="27" t="s">
        <v>7</v>
      </c>
      <c r="BU692" s="27" t="s">
        <v>8</v>
      </c>
      <c r="BV692" s="27" t="s">
        <v>7</v>
      </c>
      <c r="FK692" s="27" t="s">
        <v>8</v>
      </c>
      <c r="FT692" s="27" t="s">
        <v>7</v>
      </c>
    </row>
    <row r="693" spans="1:177" x14ac:dyDescent="0.25">
      <c r="A693" s="7">
        <v>0.1225693246698436</v>
      </c>
      <c r="B693"/>
      <c r="C693"/>
      <c r="D693"/>
      <c r="E693"/>
      <c r="F693" s="27" t="s">
        <v>7</v>
      </c>
      <c r="BU693" s="27" t="s">
        <v>8</v>
      </c>
      <c r="BV693" s="27" t="s">
        <v>7</v>
      </c>
      <c r="FK693" s="27" t="s">
        <v>8</v>
      </c>
    </row>
    <row r="694" spans="1:177" x14ac:dyDescent="0.25">
      <c r="A694" s="7">
        <v>0.12016600457827803</v>
      </c>
      <c r="B694"/>
      <c r="C694"/>
      <c r="D694"/>
      <c r="E694"/>
      <c r="F694" s="27" t="s">
        <v>7</v>
      </c>
      <c r="BU694" s="27" t="s">
        <v>8</v>
      </c>
      <c r="BV694" s="27" t="s">
        <v>7</v>
      </c>
      <c r="FK694" s="27" t="s">
        <v>8</v>
      </c>
    </row>
    <row r="695" spans="1:177" x14ac:dyDescent="0.25">
      <c r="A695" s="7">
        <v>0.1178098084100765</v>
      </c>
      <c r="B695"/>
      <c r="C695"/>
      <c r="D695"/>
      <c r="E695"/>
      <c r="F695" s="27" t="s">
        <v>7</v>
      </c>
      <c r="BU695" s="27" t="s">
        <v>8</v>
      </c>
      <c r="BV695" s="27" t="s">
        <v>7</v>
      </c>
      <c r="FK695" s="27" t="s">
        <v>8</v>
      </c>
    </row>
    <row r="696" spans="1:177" x14ac:dyDescent="0.25">
      <c r="A696" s="7">
        <v>0.11549981216674166</v>
      </c>
      <c r="B696"/>
      <c r="C696"/>
      <c r="D696"/>
      <c r="E696"/>
      <c r="F696" s="27" t="s">
        <v>7</v>
      </c>
      <c r="BU696" s="27" t="s">
        <v>8</v>
      </c>
      <c r="BV696" s="27" t="s">
        <v>7</v>
      </c>
      <c r="FK696" s="27" t="s">
        <v>8</v>
      </c>
    </row>
    <row r="697" spans="1:177" x14ac:dyDescent="0.25">
      <c r="A697" s="7">
        <v>0.11323510996739378</v>
      </c>
      <c r="B697"/>
      <c r="C697"/>
      <c r="D697"/>
      <c r="E697"/>
      <c r="F697" s="27" t="s">
        <v>7</v>
      </c>
      <c r="BO697" s="27" t="s">
        <v>8</v>
      </c>
      <c r="BS697" s="27" t="s">
        <v>8</v>
      </c>
      <c r="BU697" s="27" t="s">
        <v>8</v>
      </c>
      <c r="BV697" s="27" t="s">
        <v>7</v>
      </c>
      <c r="FK697" s="27" t="s">
        <v>8</v>
      </c>
    </row>
    <row r="698" spans="1:177" x14ac:dyDescent="0.25">
      <c r="A698" s="7">
        <v>0.11101481369352331</v>
      </c>
      <c r="B698"/>
      <c r="C698"/>
      <c r="D698"/>
      <c r="E698"/>
      <c r="F698" s="27" t="s">
        <v>7</v>
      </c>
      <c r="BO698" s="27" t="s">
        <v>8</v>
      </c>
      <c r="BP698" s="27" t="s">
        <v>7</v>
      </c>
      <c r="BS698" s="27" t="s">
        <v>8</v>
      </c>
      <c r="BT698" s="27" t="s">
        <v>7</v>
      </c>
      <c r="BU698" s="27" t="s">
        <v>8</v>
      </c>
      <c r="BV698" s="27" t="s">
        <v>7</v>
      </c>
      <c r="FK698" s="27" t="s">
        <v>8</v>
      </c>
    </row>
    <row r="699" spans="1:177" x14ac:dyDescent="0.25">
      <c r="A699" s="7">
        <v>0.10883805264070913</v>
      </c>
      <c r="B699"/>
      <c r="C699"/>
      <c r="D699"/>
      <c r="E699"/>
      <c r="F699" s="27" t="s">
        <v>7</v>
      </c>
      <c r="BO699" s="27" t="s">
        <v>8</v>
      </c>
      <c r="BP699" s="27" t="s">
        <v>7</v>
      </c>
      <c r="BS699" s="27" t="s">
        <v>8</v>
      </c>
      <c r="BT699" s="27" t="s">
        <v>7</v>
      </c>
      <c r="BU699" s="27" t="s">
        <v>8</v>
      </c>
      <c r="BV699" s="27" t="s">
        <v>7</v>
      </c>
      <c r="FK699" s="27" t="s">
        <v>8</v>
      </c>
    </row>
    <row r="700" spans="1:177" x14ac:dyDescent="0.25">
      <c r="A700" s="7">
        <v>0.10670397317716582</v>
      </c>
      <c r="B700"/>
      <c r="C700"/>
      <c r="D700"/>
      <c r="E700"/>
      <c r="F700" s="27" t="s">
        <v>7</v>
      </c>
      <c r="BO700" s="27" t="s">
        <v>8</v>
      </c>
      <c r="BP700" s="27" t="s">
        <v>7</v>
      </c>
      <c r="BS700" s="27" t="s">
        <v>8</v>
      </c>
      <c r="BT700" s="27" t="s">
        <v>7</v>
      </c>
      <c r="BU700" s="27" t="s">
        <v>8</v>
      </c>
      <c r="BV700" s="27" t="s">
        <v>7</v>
      </c>
      <c r="FK700" s="27" t="s">
        <v>8</v>
      </c>
    </row>
    <row r="701" spans="1:177" x14ac:dyDescent="0.25">
      <c r="A701" s="7">
        <v>0.1046117384089861</v>
      </c>
      <c r="B701"/>
      <c r="C701"/>
      <c r="D701"/>
      <c r="E701"/>
      <c r="F701" s="27" t="s">
        <v>7</v>
      </c>
      <c r="BO701" s="27" t="s">
        <v>8</v>
      </c>
      <c r="BP701" s="27" t="s">
        <v>7</v>
      </c>
      <c r="BS701" s="27" t="s">
        <v>8</v>
      </c>
      <c r="BT701" s="27" t="s">
        <v>7</v>
      </c>
      <c r="BU701" s="27" t="s">
        <v>8</v>
      </c>
      <c r="BV701" s="27" t="s">
        <v>7</v>
      </c>
      <c r="FK701" s="27" t="s">
        <v>8</v>
      </c>
    </row>
    <row r="702" spans="1:177" x14ac:dyDescent="0.25">
      <c r="A702" s="7">
        <v>0.10256052785194716</v>
      </c>
      <c r="B702"/>
      <c r="C702"/>
      <c r="D702"/>
      <c r="E702"/>
      <c r="F702" s="27" t="s">
        <v>7</v>
      </c>
      <c r="BO702" s="27" t="s">
        <v>8</v>
      </c>
      <c r="BP702" s="27" t="s">
        <v>7</v>
      </c>
      <c r="BQ702" s="27" t="s">
        <v>8</v>
      </c>
      <c r="BS702" s="27" t="s">
        <v>8</v>
      </c>
      <c r="BT702" s="27" t="s">
        <v>7</v>
      </c>
      <c r="BU702" s="27" t="s">
        <v>8</v>
      </c>
      <c r="BV702" s="27" t="s">
        <v>7</v>
      </c>
      <c r="FK702" s="27" t="s">
        <v>8</v>
      </c>
    </row>
    <row r="703" spans="1:177" x14ac:dyDescent="0.25">
      <c r="A703" s="7">
        <v>0.10054953710975212</v>
      </c>
      <c r="B703"/>
      <c r="C703"/>
      <c r="D703"/>
      <c r="E703"/>
      <c r="F703" s="27" t="s">
        <v>7</v>
      </c>
      <c r="BO703" s="27" t="s">
        <v>8</v>
      </c>
      <c r="BP703" s="27" t="s">
        <v>7</v>
      </c>
      <c r="BQ703" s="27" t="s">
        <v>8</v>
      </c>
      <c r="BR703" s="27" t="s">
        <v>7</v>
      </c>
      <c r="BS703" s="27" t="s">
        <v>8</v>
      </c>
      <c r="BT703" s="27" t="s">
        <v>7</v>
      </c>
      <c r="BU703" s="27" t="s">
        <v>8</v>
      </c>
      <c r="BV703" s="27" t="s">
        <v>7</v>
      </c>
      <c r="FK703" s="27" t="s">
        <v>8</v>
      </c>
    </row>
    <row r="704" spans="1:177" x14ac:dyDescent="0.25">
      <c r="A704" s="7">
        <v>9.8577977558580512E-2</v>
      </c>
      <c r="B704"/>
      <c r="C704"/>
      <c r="D704"/>
      <c r="E704"/>
      <c r="F704" s="27" t="s">
        <v>7</v>
      </c>
      <c r="BO704" s="27" t="s">
        <v>8</v>
      </c>
      <c r="BP704" s="27" t="s">
        <v>7</v>
      </c>
      <c r="BQ704" s="27" t="s">
        <v>8</v>
      </c>
      <c r="BR704" s="27" t="s">
        <v>7</v>
      </c>
      <c r="BS704" s="27" t="s">
        <v>8</v>
      </c>
      <c r="BT704" s="27" t="s">
        <v>7</v>
      </c>
      <c r="BU704" s="27" t="s">
        <v>8</v>
      </c>
      <c r="BV704" s="27" t="s">
        <v>7</v>
      </c>
      <c r="FK704" s="27" t="s">
        <v>8</v>
      </c>
    </row>
    <row r="705" spans="1:167" x14ac:dyDescent="0.25">
      <c r="A705" s="7">
        <v>9.6645076037824032E-2</v>
      </c>
      <c r="B705"/>
      <c r="C705"/>
      <c r="D705"/>
      <c r="E705"/>
      <c r="F705" s="27" t="s">
        <v>7</v>
      </c>
      <c r="BO705" s="27" t="s">
        <v>8</v>
      </c>
      <c r="BP705" s="27" t="s">
        <v>7</v>
      </c>
      <c r="BQ705" s="27" t="s">
        <v>8</v>
      </c>
      <c r="BR705" s="27" t="s">
        <v>7</v>
      </c>
      <c r="BS705" s="27" t="s">
        <v>8</v>
      </c>
      <c r="BT705" s="27" t="s">
        <v>7</v>
      </c>
      <c r="BU705" s="27" t="s">
        <v>8</v>
      </c>
      <c r="BV705" s="27" t="s">
        <v>7</v>
      </c>
      <c r="FK705" s="27" t="s">
        <v>8</v>
      </c>
    </row>
    <row r="706" spans="1:167" x14ac:dyDescent="0.25">
      <c r="A706" s="7">
        <v>9.4750074546886304E-2</v>
      </c>
      <c r="B706"/>
      <c r="C706"/>
      <c r="D706"/>
      <c r="E706"/>
      <c r="F706" s="27" t="s">
        <v>7</v>
      </c>
      <c r="BO706" s="27" t="s">
        <v>8</v>
      </c>
      <c r="BP706" s="27" t="s">
        <v>7</v>
      </c>
      <c r="BQ706" s="27" t="s">
        <v>8</v>
      </c>
      <c r="BR706" s="27" t="s">
        <v>7</v>
      </c>
      <c r="BS706" s="27" t="s">
        <v>8</v>
      </c>
      <c r="BT706" s="27" t="s">
        <v>7</v>
      </c>
      <c r="BU706" s="27" t="s">
        <v>8</v>
      </c>
      <c r="BV706" s="27" t="s">
        <v>7</v>
      </c>
      <c r="CA706" s="27" t="s">
        <v>8</v>
      </c>
      <c r="FK706" s="27" t="s">
        <v>8</v>
      </c>
    </row>
    <row r="707" spans="1:167" x14ac:dyDescent="0.25">
      <c r="A707" s="7">
        <v>9.2892229947927743E-2</v>
      </c>
      <c r="B707"/>
      <c r="C707"/>
      <c r="D707"/>
      <c r="E707"/>
      <c r="F707" s="27" t="s">
        <v>7</v>
      </c>
      <c r="BO707" s="27" t="s">
        <v>8</v>
      </c>
      <c r="BP707" s="27" t="s">
        <v>7</v>
      </c>
      <c r="BQ707" s="27" t="s">
        <v>8</v>
      </c>
      <c r="BR707" s="27" t="s">
        <v>7</v>
      </c>
      <c r="BS707" s="27" t="s">
        <v>8</v>
      </c>
      <c r="BT707" s="27" t="s">
        <v>7</v>
      </c>
      <c r="BV707" s="27" t="s">
        <v>7</v>
      </c>
      <c r="CA707" s="27" t="s">
        <v>8</v>
      </c>
      <c r="CB707" s="27" t="s">
        <v>7</v>
      </c>
      <c r="FK707" s="27" t="s">
        <v>8</v>
      </c>
    </row>
    <row r="708" spans="1:167" x14ac:dyDescent="0.25">
      <c r="A708" s="7">
        <v>9.1070813674438963E-2</v>
      </c>
      <c r="B708"/>
      <c r="C708"/>
      <c r="D708"/>
      <c r="E708"/>
      <c r="F708" s="27" t="s">
        <v>7</v>
      </c>
      <c r="BO708" s="27" t="s">
        <v>8</v>
      </c>
      <c r="BP708" s="27" t="s">
        <v>7</v>
      </c>
      <c r="BQ708" s="27" t="s">
        <v>8</v>
      </c>
      <c r="BR708" s="27" t="s">
        <v>7</v>
      </c>
      <c r="BS708" s="27" t="s">
        <v>8</v>
      </c>
      <c r="BV708" s="27" t="s">
        <v>7</v>
      </c>
      <c r="CA708" s="27" t="s">
        <v>8</v>
      </c>
      <c r="CB708" s="27" t="s">
        <v>7</v>
      </c>
      <c r="FK708" s="27" t="s">
        <v>8</v>
      </c>
    </row>
    <row r="709" spans="1:167" x14ac:dyDescent="0.25">
      <c r="A709" s="7">
        <v>8.9285111445528392E-2</v>
      </c>
      <c r="B709"/>
      <c r="C709"/>
      <c r="D709"/>
      <c r="E709"/>
      <c r="F709" s="27" t="s">
        <v>7</v>
      </c>
      <c r="BO709" s="27" t="s">
        <v>8</v>
      </c>
      <c r="BP709" s="27" t="s">
        <v>7</v>
      </c>
      <c r="BQ709" s="27" t="s">
        <v>8</v>
      </c>
      <c r="BR709" s="27" t="s">
        <v>7</v>
      </c>
      <c r="BV709" s="27" t="s">
        <v>7</v>
      </c>
      <c r="BW709" s="27" t="s">
        <v>8</v>
      </c>
      <c r="CA709" s="27" t="s">
        <v>8</v>
      </c>
      <c r="CB709" s="27" t="s">
        <v>7</v>
      </c>
      <c r="FK709" s="27" t="s">
        <v>8</v>
      </c>
    </row>
    <row r="710" spans="1:167" x14ac:dyDescent="0.25">
      <c r="A710" s="7">
        <v>8.7534422985812155E-2</v>
      </c>
      <c r="B710"/>
      <c r="C710"/>
      <c r="D710"/>
      <c r="E710"/>
      <c r="F710" s="27" t="s">
        <v>7</v>
      </c>
      <c r="BO710" s="27" t="s">
        <v>8</v>
      </c>
      <c r="BP710" s="27" t="s">
        <v>7</v>
      </c>
      <c r="BQ710" s="27" t="s">
        <v>8</v>
      </c>
      <c r="BV710" s="27" t="s">
        <v>7</v>
      </c>
      <c r="BW710" s="27" t="s">
        <v>8</v>
      </c>
      <c r="BX710" s="27" t="s">
        <v>7</v>
      </c>
      <c r="CA710" s="27" t="s">
        <v>8</v>
      </c>
      <c r="CB710" s="27" t="s">
        <v>7</v>
      </c>
      <c r="FI710" s="27" t="s">
        <v>8</v>
      </c>
      <c r="FK710" s="27" t="s">
        <v>8</v>
      </c>
    </row>
    <row r="711" spans="1:167" x14ac:dyDescent="0.25">
      <c r="A711" s="7">
        <v>8.5818061750796232E-2</v>
      </c>
      <c r="B711"/>
      <c r="C711"/>
      <c r="D711"/>
      <c r="E711"/>
      <c r="F711" s="27" t="s">
        <v>7</v>
      </c>
      <c r="BO711" s="27" t="s">
        <v>8</v>
      </c>
      <c r="BP711" s="27" t="s">
        <v>7</v>
      </c>
      <c r="BQ711" s="27" t="s">
        <v>8</v>
      </c>
      <c r="BV711" s="27" t="s">
        <v>7</v>
      </c>
      <c r="BW711" s="27" t="s">
        <v>8</v>
      </c>
      <c r="BX711" s="27" t="s">
        <v>7</v>
      </c>
      <c r="CA711" s="27" t="s">
        <v>8</v>
      </c>
      <c r="CB711" s="27" t="s">
        <v>7</v>
      </c>
      <c r="FG711" s="27" t="s">
        <v>8</v>
      </c>
      <c r="FI711" s="27" t="s">
        <v>8</v>
      </c>
      <c r="FJ711" s="27" t="s">
        <v>7</v>
      </c>
      <c r="FK711" s="27" t="s">
        <v>8</v>
      </c>
    </row>
    <row r="712" spans="1:167" x14ac:dyDescent="0.25">
      <c r="A712" s="7">
        <v>8.4135354657643366E-2</v>
      </c>
      <c r="B712"/>
      <c r="C712"/>
      <c r="D712"/>
      <c r="E712"/>
      <c r="F712" s="27" t="s">
        <v>7</v>
      </c>
      <c r="BO712" s="27" t="s">
        <v>8</v>
      </c>
      <c r="BP712" s="27" t="s">
        <v>7</v>
      </c>
      <c r="BV712" s="27" t="s">
        <v>7</v>
      </c>
      <c r="BW712" s="27" t="s">
        <v>8</v>
      </c>
      <c r="BX712" s="27" t="s">
        <v>7</v>
      </c>
      <c r="BY712" s="27" t="s">
        <v>8</v>
      </c>
      <c r="CA712" s="27" t="s">
        <v>8</v>
      </c>
      <c r="CB712" s="27" t="s">
        <v>7</v>
      </c>
      <c r="FG712" s="27" t="s">
        <v>8</v>
      </c>
      <c r="FH712" s="27" t="s">
        <v>7</v>
      </c>
      <c r="FI712" s="27" t="s">
        <v>8</v>
      </c>
      <c r="FJ712" s="27" t="s">
        <v>7</v>
      </c>
      <c r="FK712" s="27" t="s">
        <v>8</v>
      </c>
    </row>
    <row r="713" spans="1:167" x14ac:dyDescent="0.25">
      <c r="A713" s="7">
        <v>8.248564182121898E-2</v>
      </c>
      <c r="B713"/>
      <c r="C713"/>
      <c r="D713"/>
      <c r="E713"/>
      <c r="F713" s="27" t="s">
        <v>7</v>
      </c>
      <c r="BO713" s="27" t="s">
        <v>8</v>
      </c>
      <c r="BV713" s="27" t="s">
        <v>7</v>
      </c>
      <c r="BW713" s="27" t="s">
        <v>8</v>
      </c>
      <c r="BX713" s="27" t="s">
        <v>7</v>
      </c>
      <c r="BY713" s="27" t="s">
        <v>8</v>
      </c>
      <c r="BZ713" s="27" t="s">
        <v>7</v>
      </c>
      <c r="CA713" s="27" t="s">
        <v>8</v>
      </c>
      <c r="CB713" s="27" t="s">
        <v>7</v>
      </c>
      <c r="FG713" s="27" t="s">
        <v>8</v>
      </c>
      <c r="FH713" s="27" t="s">
        <v>7</v>
      </c>
      <c r="FI713" s="27" t="s">
        <v>8</v>
      </c>
      <c r="FJ713" s="27" t="s">
        <v>7</v>
      </c>
      <c r="FK713" s="27" t="s">
        <v>8</v>
      </c>
    </row>
    <row r="714" spans="1:167" x14ac:dyDescent="0.25">
      <c r="A714" s="7">
        <v>8.0868276295312735E-2</v>
      </c>
      <c r="B714"/>
      <c r="C714"/>
      <c r="D714"/>
      <c r="E714"/>
      <c r="F714" s="27" t="s">
        <v>7</v>
      </c>
      <c r="BO714" s="27" t="s">
        <v>8</v>
      </c>
      <c r="BV714" s="27" t="s">
        <v>7</v>
      </c>
      <c r="BW714" s="27" t="s">
        <v>8</v>
      </c>
      <c r="BX714" s="27" t="s">
        <v>7</v>
      </c>
      <c r="BY714" s="27" t="s">
        <v>8</v>
      </c>
      <c r="BZ714" s="27" t="s">
        <v>7</v>
      </c>
      <c r="CA714" s="27" t="s">
        <v>8</v>
      </c>
      <c r="CB714" s="27" t="s">
        <v>7</v>
      </c>
      <c r="FG714" s="27" t="s">
        <v>8</v>
      </c>
      <c r="FH714" s="27" t="s">
        <v>7</v>
      </c>
      <c r="FI714" s="27" t="s">
        <v>8</v>
      </c>
      <c r="FJ714" s="27" t="s">
        <v>7</v>
      </c>
      <c r="FK714" s="27" t="s">
        <v>8</v>
      </c>
    </row>
    <row r="715" spans="1:167" x14ac:dyDescent="0.25">
      <c r="A715" s="7">
        <v>7.9282623818934056E-2</v>
      </c>
      <c r="B715"/>
      <c r="C715"/>
      <c r="D715"/>
      <c r="E715"/>
      <c r="F715" s="27" t="s">
        <v>7</v>
      </c>
      <c r="BO715" s="27" t="s">
        <v>8</v>
      </c>
      <c r="BV715" s="27" t="s">
        <v>7</v>
      </c>
      <c r="BW715" s="27" t="s">
        <v>8</v>
      </c>
      <c r="BX715" s="27" t="s">
        <v>7</v>
      </c>
      <c r="BY715" s="27" t="s">
        <v>8</v>
      </c>
      <c r="BZ715" s="27" t="s">
        <v>7</v>
      </c>
      <c r="CA715" s="27" t="s">
        <v>8</v>
      </c>
      <c r="CB715" s="27" t="s">
        <v>7</v>
      </c>
      <c r="FG715" s="27" t="s">
        <v>8</v>
      </c>
      <c r="FH715" s="27" t="s">
        <v>7</v>
      </c>
      <c r="FI715" s="27" t="s">
        <v>8</v>
      </c>
      <c r="FJ715" s="27" t="s">
        <v>7</v>
      </c>
    </row>
    <row r="716" spans="1:167" x14ac:dyDescent="0.25">
      <c r="A716" s="7">
        <v>7.7728062567582412E-2</v>
      </c>
      <c r="B716"/>
      <c r="C716"/>
      <c r="D716"/>
      <c r="E716"/>
      <c r="F716" s="27" t="s">
        <v>7</v>
      </c>
      <c r="BO716" s="27" t="s">
        <v>8</v>
      </c>
      <c r="BV716" s="27" t="s">
        <v>7</v>
      </c>
      <c r="BX716" s="27" t="s">
        <v>7</v>
      </c>
      <c r="BY716" s="27" t="s">
        <v>8</v>
      </c>
      <c r="BZ716" s="27" t="s">
        <v>7</v>
      </c>
      <c r="CA716" s="27" t="s">
        <v>8</v>
      </c>
      <c r="CB716" s="27" t="s">
        <v>7</v>
      </c>
      <c r="FG716" s="27" t="s">
        <v>8</v>
      </c>
      <c r="FH716" s="27" t="s">
        <v>7</v>
      </c>
      <c r="FI716" s="27" t="s">
        <v>8</v>
      </c>
    </row>
    <row r="717" spans="1:167" x14ac:dyDescent="0.25">
      <c r="A717" s="7">
        <v>7.6203982909394521E-2</v>
      </c>
      <c r="B717"/>
      <c r="C717"/>
      <c r="D717"/>
      <c r="E717"/>
      <c r="F717" s="27" t="s">
        <v>7</v>
      </c>
      <c r="BO717" s="27" t="s">
        <v>8</v>
      </c>
      <c r="BX717" s="27" t="s">
        <v>7</v>
      </c>
      <c r="BY717" s="27" t="s">
        <v>8</v>
      </c>
      <c r="BZ717" s="27" t="s">
        <v>7</v>
      </c>
      <c r="CB717" s="27" t="s">
        <v>7</v>
      </c>
      <c r="FG717" s="27" t="s">
        <v>8</v>
      </c>
      <c r="FH717" s="27" t="s">
        <v>7</v>
      </c>
      <c r="FI717" s="27" t="s">
        <v>8</v>
      </c>
    </row>
    <row r="718" spans="1:167" x14ac:dyDescent="0.25">
      <c r="A718" s="7">
        <v>7.4709787166073058E-2</v>
      </c>
      <c r="B718"/>
      <c r="C718"/>
      <c r="D718"/>
      <c r="E718"/>
      <c r="F718" s="27" t="s">
        <v>7</v>
      </c>
      <c r="BO718" s="27" t="s">
        <v>8</v>
      </c>
      <c r="BX718" s="27" t="s">
        <v>7</v>
      </c>
      <c r="CB718" s="27" t="s">
        <v>7</v>
      </c>
      <c r="FG718" s="27" t="s">
        <v>8</v>
      </c>
      <c r="FH718" s="27" t="s">
        <v>7</v>
      </c>
    </row>
    <row r="719" spans="1:167" x14ac:dyDescent="0.25">
      <c r="A719" s="7">
        <v>7.3244889378503E-2</v>
      </c>
      <c r="B719"/>
      <c r="C719"/>
      <c r="D719"/>
      <c r="E719"/>
      <c r="F719" s="27" t="s">
        <v>7</v>
      </c>
      <c r="BO719" s="27" t="s">
        <v>8</v>
      </c>
      <c r="CB719" s="27" t="s">
        <v>7</v>
      </c>
      <c r="FG719" s="27" t="s">
        <v>8</v>
      </c>
    </row>
    <row r="720" spans="1:167" x14ac:dyDescent="0.25">
      <c r="A720" s="7">
        <v>7.1808715076963722E-2</v>
      </c>
      <c r="B720"/>
      <c r="C720"/>
      <c r="D720"/>
      <c r="E720"/>
      <c r="F720" s="27" t="s">
        <v>7</v>
      </c>
      <c r="BO720" s="27" t="s">
        <v>8</v>
      </c>
      <c r="CB720" s="27" t="s">
        <v>7</v>
      </c>
      <c r="FE720" s="27" t="s">
        <v>8</v>
      </c>
      <c r="FG720" s="27" t="s">
        <v>8</v>
      </c>
    </row>
    <row r="721" spans="1:163" x14ac:dyDescent="0.25">
      <c r="A721" s="7">
        <v>7.0400701055846782E-2</v>
      </c>
      <c r="B721"/>
      <c r="C721"/>
      <c r="D721"/>
      <c r="E721"/>
      <c r="F721" s="27" t="s">
        <v>7</v>
      </c>
      <c r="BO721" s="27" t="s">
        <v>8</v>
      </c>
      <c r="CB721" s="27" t="s">
        <v>7</v>
      </c>
      <c r="FE721" s="27" t="s">
        <v>8</v>
      </c>
      <c r="FF721" s="27" t="s">
        <v>7</v>
      </c>
      <c r="FG721" s="27" t="s">
        <v>8</v>
      </c>
    </row>
    <row r="722" spans="1:163" x14ac:dyDescent="0.25">
      <c r="A722" s="7">
        <v>6.9020295152790956E-2</v>
      </c>
      <c r="B722"/>
      <c r="C722"/>
      <c r="D722"/>
      <c r="E722"/>
      <c r="F722" s="27" t="s">
        <v>7</v>
      </c>
      <c r="BO722" s="27" t="s">
        <v>8</v>
      </c>
      <c r="CB722" s="27" t="s">
        <v>7</v>
      </c>
      <c r="FE722" s="27" t="s">
        <v>8</v>
      </c>
      <c r="FF722" s="27" t="s">
        <v>7</v>
      </c>
      <c r="FG722" s="27" t="s">
        <v>8</v>
      </c>
    </row>
    <row r="723" spans="1:163" x14ac:dyDescent="0.25">
      <c r="A723" s="7">
        <v>6.7666956032147993E-2</v>
      </c>
      <c r="B723"/>
      <c r="C723"/>
      <c r="D723"/>
      <c r="E723"/>
      <c r="F723" s="27" t="s">
        <v>7</v>
      </c>
      <c r="BO723" s="27" t="s">
        <v>8</v>
      </c>
      <c r="CB723" s="27" t="s">
        <v>7</v>
      </c>
      <c r="FE723" s="27" t="s">
        <v>8</v>
      </c>
      <c r="FF723" s="27" t="s">
        <v>7</v>
      </c>
      <c r="FG723" s="27" t="s">
        <v>8</v>
      </c>
    </row>
    <row r="724" spans="1:163" x14ac:dyDescent="0.25">
      <c r="A724" s="7">
        <v>6.6340152972694105E-2</v>
      </c>
      <c r="B724"/>
      <c r="C724"/>
      <c r="D724"/>
      <c r="E724"/>
      <c r="F724" s="27" t="s">
        <v>7</v>
      </c>
      <c r="BO724" s="27" t="s">
        <v>8</v>
      </c>
      <c r="CB724" s="27" t="s">
        <v>7</v>
      </c>
      <c r="FE724" s="27" t="s">
        <v>8</v>
      </c>
      <c r="FF724" s="27" t="s">
        <v>7</v>
      </c>
    </row>
    <row r="725" spans="1:163" x14ac:dyDescent="0.25">
      <c r="A725" s="7">
        <v>6.5039365659504023E-2</v>
      </c>
      <c r="B725"/>
      <c r="C725"/>
      <c r="D725"/>
      <c r="E725"/>
      <c r="F725" s="27" t="s">
        <v>7</v>
      </c>
      <c r="BO725" s="27" t="s">
        <v>8</v>
      </c>
      <c r="CB725" s="27" t="s">
        <v>7</v>
      </c>
      <c r="FC725" s="27" t="s">
        <v>8</v>
      </c>
      <c r="FE725" s="27" t="s">
        <v>8</v>
      </c>
    </row>
    <row r="726" spans="1:163" x14ac:dyDescent="0.25">
      <c r="A726" s="7">
        <v>6.3764083979905906E-2</v>
      </c>
      <c r="B726"/>
      <c r="C726"/>
      <c r="D726"/>
      <c r="E726"/>
      <c r="F726" s="27" t="s">
        <v>7</v>
      </c>
      <c r="BO726" s="27" t="s">
        <v>8</v>
      </c>
      <c r="CB726" s="27" t="s">
        <v>7</v>
      </c>
      <c r="EE726" s="27" t="s">
        <v>8</v>
      </c>
      <c r="FC726" s="27" t="s">
        <v>8</v>
      </c>
      <c r="FD726" s="27" t="s">
        <v>7</v>
      </c>
      <c r="FE726" s="27" t="s">
        <v>8</v>
      </c>
    </row>
    <row r="727" spans="1:163" x14ac:dyDescent="0.25">
      <c r="A727" s="7">
        <v>6.251380782343717E-2</v>
      </c>
      <c r="B727"/>
      <c r="C727"/>
      <c r="D727"/>
      <c r="E727"/>
      <c r="F727" s="27" t="s">
        <v>7</v>
      </c>
      <c r="BO727" s="27" t="s">
        <v>8</v>
      </c>
      <c r="CB727" s="27" t="s">
        <v>7</v>
      </c>
      <c r="CI727" s="27" t="s">
        <v>8</v>
      </c>
      <c r="EE727" s="27" t="s">
        <v>8</v>
      </c>
      <c r="EF727" s="27" t="s">
        <v>7</v>
      </c>
      <c r="EY727" s="27" t="s">
        <v>8</v>
      </c>
      <c r="FA727" s="27" t="s">
        <v>8</v>
      </c>
      <c r="FC727" s="27" t="s">
        <v>8</v>
      </c>
      <c r="FD727" s="27" t="s">
        <v>7</v>
      </c>
      <c r="FE727" s="27" t="s">
        <v>8</v>
      </c>
    </row>
    <row r="728" spans="1:163" x14ac:dyDescent="0.25">
      <c r="A728" s="7">
        <v>6.1288046885722716E-2</v>
      </c>
      <c r="B728"/>
      <c r="C728"/>
      <c r="D728"/>
      <c r="E728"/>
      <c r="F728" s="27" t="s">
        <v>7</v>
      </c>
      <c r="BC728" s="27" t="s">
        <v>8</v>
      </c>
      <c r="BM728" s="27" t="s">
        <v>8</v>
      </c>
      <c r="BO728" s="27" t="s">
        <v>8</v>
      </c>
      <c r="CB728" s="27" t="s">
        <v>7</v>
      </c>
      <c r="CC728" s="27" t="s">
        <v>8</v>
      </c>
      <c r="CI728" s="27" t="s">
        <v>8</v>
      </c>
      <c r="CJ728" s="27" t="s">
        <v>7</v>
      </c>
      <c r="DY728" s="27" t="s">
        <v>8</v>
      </c>
      <c r="EE728" s="27" t="s">
        <v>8</v>
      </c>
      <c r="EF728" s="27" t="s">
        <v>7</v>
      </c>
      <c r="ES728" s="27" t="s">
        <v>8</v>
      </c>
      <c r="EY728" s="27" t="s">
        <v>8</v>
      </c>
      <c r="EZ728" s="27" t="s">
        <v>7</v>
      </c>
      <c r="FA728" s="27" t="s">
        <v>8</v>
      </c>
      <c r="FB728" s="27" t="s">
        <v>7</v>
      </c>
      <c r="FC728" s="27" t="s">
        <v>8</v>
      </c>
      <c r="FD728" s="27" t="s">
        <v>7</v>
      </c>
      <c r="FE728" s="27" t="s">
        <v>8</v>
      </c>
    </row>
    <row r="729" spans="1:163" x14ac:dyDescent="0.25">
      <c r="A729" s="7">
        <v>6.0086320476198739E-2</v>
      </c>
      <c r="B729"/>
      <c r="C729"/>
      <c r="D729"/>
      <c r="E729"/>
      <c r="F729" s="27" t="s">
        <v>7</v>
      </c>
      <c r="BC729" s="27" t="s">
        <v>8</v>
      </c>
      <c r="BD729" s="27" t="s">
        <v>7</v>
      </c>
      <c r="BM729" s="27" t="s">
        <v>8</v>
      </c>
      <c r="BN729" s="27" t="s">
        <v>7</v>
      </c>
      <c r="BO729" s="27" t="s">
        <v>8</v>
      </c>
      <c r="CB729" s="27" t="s">
        <v>7</v>
      </c>
      <c r="CC729" s="27" t="s">
        <v>8</v>
      </c>
      <c r="CD729" s="27" t="s">
        <v>7</v>
      </c>
      <c r="CI729" s="27" t="s">
        <v>8</v>
      </c>
      <c r="CJ729" s="27" t="s">
        <v>7</v>
      </c>
      <c r="DY729" s="27" t="s">
        <v>8</v>
      </c>
      <c r="DZ729" s="27" t="s">
        <v>7</v>
      </c>
      <c r="EE729" s="27" t="s">
        <v>8</v>
      </c>
      <c r="EF729" s="27" t="s">
        <v>7</v>
      </c>
      <c r="ES729" s="27" t="s">
        <v>8</v>
      </c>
      <c r="ET729" s="27" t="s">
        <v>7</v>
      </c>
      <c r="EY729" s="27" t="s">
        <v>8</v>
      </c>
      <c r="EZ729" s="27" t="s">
        <v>7</v>
      </c>
      <c r="FA729" s="27" t="s">
        <v>8</v>
      </c>
      <c r="FB729" s="27" t="s">
        <v>7</v>
      </c>
      <c r="FC729" s="27" t="s">
        <v>8</v>
      </c>
      <c r="FD729" s="27" t="s">
        <v>7</v>
      </c>
      <c r="FE729" s="27" t="s">
        <v>8</v>
      </c>
    </row>
    <row r="730" spans="1:163" x14ac:dyDescent="0.25">
      <c r="A730" s="7">
        <v>5.8908157329606609E-2</v>
      </c>
      <c r="B730"/>
      <c r="C730"/>
      <c r="D730"/>
      <c r="E730"/>
      <c r="F730" s="27" t="s">
        <v>7</v>
      </c>
      <c r="BC730" s="27" t="s">
        <v>8</v>
      </c>
      <c r="BD730" s="27" t="s">
        <v>7</v>
      </c>
      <c r="BM730" s="27" t="s">
        <v>8</v>
      </c>
      <c r="BN730" s="27" t="s">
        <v>7</v>
      </c>
      <c r="BO730" s="27" t="s">
        <v>8</v>
      </c>
      <c r="CB730" s="27" t="s">
        <v>7</v>
      </c>
      <c r="CC730" s="27" t="s">
        <v>8</v>
      </c>
      <c r="CD730" s="27" t="s">
        <v>7</v>
      </c>
      <c r="CI730" s="27" t="s">
        <v>8</v>
      </c>
      <c r="CJ730" s="27" t="s">
        <v>7</v>
      </c>
      <c r="DY730" s="27" t="s">
        <v>8</v>
      </c>
      <c r="DZ730" s="27" t="s">
        <v>7</v>
      </c>
      <c r="EE730" s="27" t="s">
        <v>8</v>
      </c>
      <c r="EF730" s="27" t="s">
        <v>7</v>
      </c>
      <c r="ES730" s="27" t="s">
        <v>8</v>
      </c>
      <c r="ET730" s="27" t="s">
        <v>7</v>
      </c>
      <c r="EY730" s="27" t="s">
        <v>8</v>
      </c>
      <c r="EZ730" s="27" t="s">
        <v>7</v>
      </c>
      <c r="FA730" s="27" t="s">
        <v>8</v>
      </c>
      <c r="FB730" s="27" t="s">
        <v>7</v>
      </c>
      <c r="FC730" s="27" t="s">
        <v>8</v>
      </c>
      <c r="FD730" s="27" t="s">
        <v>7</v>
      </c>
    </row>
    <row r="731" spans="1:163" x14ac:dyDescent="0.25">
      <c r="A731" s="7">
        <v>5.7753095421182947E-2</v>
      </c>
      <c r="B731"/>
      <c r="C731"/>
      <c r="D731"/>
      <c r="E731"/>
      <c r="F731" s="27" t="s">
        <v>7</v>
      </c>
      <c r="BC731" s="27" t="s">
        <v>8</v>
      </c>
      <c r="BD731" s="27" t="s">
        <v>7</v>
      </c>
      <c r="BG731" s="27" t="s">
        <v>8</v>
      </c>
      <c r="BM731" s="27" t="s">
        <v>8</v>
      </c>
      <c r="BN731" s="27" t="s">
        <v>7</v>
      </c>
      <c r="CB731" s="27" t="s">
        <v>7</v>
      </c>
      <c r="CC731" s="27" t="s">
        <v>8</v>
      </c>
      <c r="CD731" s="27" t="s">
        <v>7</v>
      </c>
      <c r="CG731" s="27" t="s">
        <v>8</v>
      </c>
      <c r="CI731" s="27" t="s">
        <v>8</v>
      </c>
      <c r="CJ731" s="27" t="s">
        <v>7</v>
      </c>
      <c r="DY731" s="27" t="s">
        <v>8</v>
      </c>
      <c r="DZ731" s="27" t="s">
        <v>7</v>
      </c>
      <c r="EE731" s="27" t="s">
        <v>8</v>
      </c>
      <c r="EF731" s="27" t="s">
        <v>7</v>
      </c>
      <c r="ES731" s="27" t="s">
        <v>8</v>
      </c>
      <c r="ET731" s="27" t="s">
        <v>7</v>
      </c>
      <c r="EW731" s="27" t="s">
        <v>8</v>
      </c>
      <c r="EY731" s="27" t="s">
        <v>8</v>
      </c>
      <c r="EZ731" s="27" t="s">
        <v>7</v>
      </c>
      <c r="FA731" s="27" t="s">
        <v>8</v>
      </c>
      <c r="FB731" s="27" t="s">
        <v>7</v>
      </c>
      <c r="FC731" s="27" t="s">
        <v>8</v>
      </c>
    </row>
    <row r="732" spans="1:163" x14ac:dyDescent="0.25">
      <c r="A732" s="7">
        <v>5.6620681785473484E-2</v>
      </c>
      <c r="B732"/>
      <c r="C732"/>
      <c r="D732"/>
      <c r="E732"/>
      <c r="F732" s="27" t="s">
        <v>7</v>
      </c>
      <c r="BC732" s="27" t="s">
        <v>8</v>
      </c>
      <c r="BD732" s="27" t="s">
        <v>7</v>
      </c>
      <c r="BG732" s="27" t="s">
        <v>8</v>
      </c>
      <c r="BH732" s="27" t="s">
        <v>7</v>
      </c>
      <c r="BI732" s="27" t="s">
        <v>8</v>
      </c>
      <c r="BM732" s="27" t="s">
        <v>8</v>
      </c>
      <c r="CB732" s="27" t="s">
        <v>7</v>
      </c>
      <c r="CC732" s="27" t="s">
        <v>8</v>
      </c>
      <c r="CD732" s="27" t="s">
        <v>7</v>
      </c>
      <c r="CG732" s="27" t="s">
        <v>8</v>
      </c>
      <c r="CH732" s="27" t="s">
        <v>7</v>
      </c>
      <c r="CI732" s="27" t="s">
        <v>8</v>
      </c>
      <c r="CJ732" s="27" t="s">
        <v>7</v>
      </c>
      <c r="DY732" s="27" t="s">
        <v>8</v>
      </c>
      <c r="DZ732" s="27" t="s">
        <v>7</v>
      </c>
      <c r="EC732" s="27" t="s">
        <v>8</v>
      </c>
      <c r="EE732" s="27" t="s">
        <v>8</v>
      </c>
      <c r="EF732" s="27" t="s">
        <v>7</v>
      </c>
      <c r="ES732" s="27" t="s">
        <v>8</v>
      </c>
      <c r="ET732" s="27" t="s">
        <v>7</v>
      </c>
      <c r="EW732" s="27" t="s">
        <v>8</v>
      </c>
      <c r="EX732" s="27" t="s">
        <v>7</v>
      </c>
      <c r="EY732" s="27" t="s">
        <v>8</v>
      </c>
      <c r="EZ732" s="27" t="s">
        <v>7</v>
      </c>
      <c r="FA732" s="27" t="s">
        <v>8</v>
      </c>
      <c r="FB732" s="27" t="s">
        <v>7</v>
      </c>
      <c r="FC732" s="27" t="s">
        <v>8</v>
      </c>
    </row>
    <row r="733" spans="1:163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AY733" s="27" t="s">
        <v>8</v>
      </c>
      <c r="BC733" s="27" t="s">
        <v>8</v>
      </c>
      <c r="BD733" s="27" t="s">
        <v>7</v>
      </c>
      <c r="BE733" s="27" t="s">
        <v>8</v>
      </c>
      <c r="BG733" s="27" t="s">
        <v>8</v>
      </c>
      <c r="BH733" s="27" t="s">
        <v>7</v>
      </c>
      <c r="BI733" s="27" t="s">
        <v>8</v>
      </c>
      <c r="BJ733" s="27" t="s">
        <v>7</v>
      </c>
      <c r="BK733" s="27" t="s">
        <v>8</v>
      </c>
      <c r="BM733" s="27" t="s">
        <v>8</v>
      </c>
      <c r="CB733" s="27" t="s">
        <v>7</v>
      </c>
      <c r="CC733" s="27" t="s">
        <v>8</v>
      </c>
      <c r="CD733" s="27" t="s">
        <v>7</v>
      </c>
      <c r="CG733" s="27" t="s">
        <v>8</v>
      </c>
      <c r="CH733" s="27" t="s">
        <v>7</v>
      </c>
      <c r="CI733" s="27" t="s">
        <v>8</v>
      </c>
      <c r="CJ733" s="27" t="s">
        <v>7</v>
      </c>
      <c r="DY733" s="27" t="s">
        <v>8</v>
      </c>
      <c r="DZ733" s="27" t="s">
        <v>7</v>
      </c>
      <c r="EC733" s="27" t="s">
        <v>8</v>
      </c>
      <c r="ED733" s="27" t="s">
        <v>7</v>
      </c>
      <c r="EE733" s="27" t="s">
        <v>8</v>
      </c>
      <c r="EF733" s="27" t="s">
        <v>7</v>
      </c>
      <c r="ES733" s="27" t="s">
        <v>8</v>
      </c>
      <c r="ET733" s="27" t="s">
        <v>7</v>
      </c>
      <c r="EW733" s="27" t="s">
        <v>8</v>
      </c>
      <c r="EX733" s="27" t="s">
        <v>7</v>
      </c>
      <c r="EY733" s="27" t="s">
        <v>8</v>
      </c>
      <c r="EZ733" s="27" t="s">
        <v>7</v>
      </c>
      <c r="FA733" s="27" t="s">
        <v>8</v>
      </c>
      <c r="FB733" s="27" t="s">
        <v>7</v>
      </c>
      <c r="FC733" s="27" t="s">
        <v>8</v>
      </c>
    </row>
    <row r="734" spans="1:163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AY734" s="27" t="s">
        <v>8</v>
      </c>
      <c r="AZ734" s="27" t="s">
        <v>7</v>
      </c>
      <c r="BC734" s="27" t="s">
        <v>8</v>
      </c>
      <c r="BD734" s="27" t="s">
        <v>7</v>
      </c>
      <c r="BE734" s="27" t="s">
        <v>8</v>
      </c>
      <c r="BF734" s="27" t="s">
        <v>7</v>
      </c>
      <c r="BG734" s="27" t="s">
        <v>8</v>
      </c>
      <c r="BH734" s="27" t="s">
        <v>7</v>
      </c>
      <c r="BI734" s="27" t="s">
        <v>8</v>
      </c>
      <c r="BJ734" s="27" t="s">
        <v>7</v>
      </c>
      <c r="BK734" s="27" t="s">
        <v>8</v>
      </c>
      <c r="BL734" s="27" t="s">
        <v>7</v>
      </c>
      <c r="BM734" s="27" t="s">
        <v>8</v>
      </c>
      <c r="CB734" s="27" t="s">
        <v>7</v>
      </c>
      <c r="CC734" s="27" t="s">
        <v>8</v>
      </c>
      <c r="CD734" s="27" t="s">
        <v>7</v>
      </c>
      <c r="CG734" s="27" t="s">
        <v>8</v>
      </c>
      <c r="CH734" s="27" t="s">
        <v>7</v>
      </c>
      <c r="CI734" s="27" t="s">
        <v>8</v>
      </c>
      <c r="CJ734" s="27" t="s">
        <v>7</v>
      </c>
      <c r="CU734" s="27" t="s">
        <v>8</v>
      </c>
      <c r="DY734" s="27" t="s">
        <v>8</v>
      </c>
      <c r="DZ734" s="27" t="s">
        <v>7</v>
      </c>
      <c r="EC734" s="27" t="s">
        <v>8</v>
      </c>
      <c r="ED734" s="27" t="s">
        <v>7</v>
      </c>
      <c r="EE734" s="27" t="s">
        <v>8</v>
      </c>
      <c r="EF734" s="27" t="s">
        <v>7</v>
      </c>
      <c r="ES734" s="27" t="s">
        <v>8</v>
      </c>
      <c r="ET734" s="27" t="s">
        <v>7</v>
      </c>
      <c r="EW734" s="27" t="s">
        <v>8</v>
      </c>
      <c r="EX734" s="27" t="s">
        <v>7</v>
      </c>
      <c r="EY734" s="27" t="s">
        <v>8</v>
      </c>
      <c r="EZ734" s="27" t="s">
        <v>7</v>
      </c>
      <c r="FA734" s="27" t="s">
        <v>8</v>
      </c>
      <c r="FB734" s="27" t="s">
        <v>7</v>
      </c>
    </row>
    <row r="735" spans="1:163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AY735" s="27" t="s">
        <v>8</v>
      </c>
      <c r="AZ735" s="27" t="s">
        <v>7</v>
      </c>
      <c r="BC735" s="27" t="s">
        <v>8</v>
      </c>
      <c r="BD735" s="27" t="s">
        <v>7</v>
      </c>
      <c r="BE735" s="27" t="s">
        <v>8</v>
      </c>
      <c r="BF735" s="27" t="s">
        <v>7</v>
      </c>
      <c r="BG735" s="27" t="s">
        <v>8</v>
      </c>
      <c r="BH735" s="27" t="s">
        <v>7</v>
      </c>
      <c r="BI735" s="27" t="s">
        <v>8</v>
      </c>
      <c r="BJ735" s="27" t="s">
        <v>7</v>
      </c>
      <c r="BK735" s="27" t="s">
        <v>8</v>
      </c>
      <c r="BL735" s="27" t="s">
        <v>7</v>
      </c>
      <c r="BM735" s="27" t="s">
        <v>8</v>
      </c>
      <c r="CB735" s="27" t="s">
        <v>7</v>
      </c>
      <c r="CC735" s="27" t="s">
        <v>8</v>
      </c>
      <c r="CD735" s="27" t="s">
        <v>7</v>
      </c>
      <c r="CG735" s="27" t="s">
        <v>8</v>
      </c>
      <c r="CH735" s="27" t="s">
        <v>7</v>
      </c>
      <c r="CI735" s="27" t="s">
        <v>8</v>
      </c>
      <c r="CJ735" s="27" t="s">
        <v>7</v>
      </c>
      <c r="CK735" s="27" t="s">
        <v>8</v>
      </c>
      <c r="CM735" s="27" t="s">
        <v>8</v>
      </c>
      <c r="CS735" s="27" t="s">
        <v>8</v>
      </c>
      <c r="CU735" s="27" t="s">
        <v>8</v>
      </c>
      <c r="CV735" s="27" t="s">
        <v>7</v>
      </c>
      <c r="DY735" s="27" t="s">
        <v>8</v>
      </c>
      <c r="DZ735" s="27" t="s">
        <v>7</v>
      </c>
      <c r="EC735" s="27" t="s">
        <v>8</v>
      </c>
      <c r="ED735" s="27" t="s">
        <v>7</v>
      </c>
      <c r="EE735" s="27" t="s">
        <v>8</v>
      </c>
      <c r="EF735" s="27" t="s">
        <v>7</v>
      </c>
      <c r="ES735" s="27" t="s">
        <v>8</v>
      </c>
      <c r="ET735" s="27" t="s">
        <v>7</v>
      </c>
      <c r="EW735" s="27" t="s">
        <v>8</v>
      </c>
      <c r="EX735" s="27" t="s">
        <v>7</v>
      </c>
      <c r="EY735" s="27" t="s">
        <v>8</v>
      </c>
      <c r="EZ735" s="27" t="s">
        <v>7</v>
      </c>
      <c r="FA735" s="27" t="s">
        <v>8</v>
      </c>
    </row>
    <row r="736" spans="1:163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AY736" s="27" t="s">
        <v>8</v>
      </c>
      <c r="AZ736" s="27" t="s">
        <v>7</v>
      </c>
      <c r="BC736" s="27" t="s">
        <v>8</v>
      </c>
      <c r="BD736" s="27" t="s">
        <v>7</v>
      </c>
      <c r="BE736" s="27" t="s">
        <v>8</v>
      </c>
      <c r="BF736" s="27" t="s">
        <v>7</v>
      </c>
      <c r="BG736" s="27" t="s">
        <v>8</v>
      </c>
      <c r="BH736" s="27" t="s">
        <v>7</v>
      </c>
      <c r="BI736" s="27" t="s">
        <v>8</v>
      </c>
      <c r="BJ736" s="27" t="s">
        <v>7</v>
      </c>
      <c r="BK736" s="27" t="s">
        <v>8</v>
      </c>
      <c r="BL736" s="27" t="s">
        <v>7</v>
      </c>
      <c r="CB736" s="27" t="s">
        <v>7</v>
      </c>
      <c r="CC736" s="27" t="s">
        <v>8</v>
      </c>
      <c r="CD736" s="27" t="s">
        <v>7</v>
      </c>
      <c r="CG736" s="27" t="s">
        <v>8</v>
      </c>
      <c r="CH736" s="27" t="s">
        <v>7</v>
      </c>
      <c r="CI736" s="27" t="s">
        <v>8</v>
      </c>
      <c r="CJ736" s="27" t="s">
        <v>7</v>
      </c>
      <c r="CK736" s="27" t="s">
        <v>8</v>
      </c>
      <c r="CL736" s="27" t="s">
        <v>7</v>
      </c>
      <c r="CM736" s="27" t="s">
        <v>8</v>
      </c>
      <c r="CN736" s="27" t="s">
        <v>7</v>
      </c>
      <c r="CS736" s="27" t="s">
        <v>8</v>
      </c>
      <c r="CT736" s="27" t="s">
        <v>7</v>
      </c>
      <c r="CU736" s="27" t="s">
        <v>8</v>
      </c>
      <c r="CV736" s="27" t="s">
        <v>7</v>
      </c>
      <c r="DQ736" s="27" t="s">
        <v>8</v>
      </c>
      <c r="DY736" s="27" t="s">
        <v>8</v>
      </c>
      <c r="DZ736" s="27" t="s">
        <v>7</v>
      </c>
      <c r="EA736" s="27" t="s">
        <v>8</v>
      </c>
      <c r="EC736" s="27" t="s">
        <v>8</v>
      </c>
      <c r="ED736" s="27" t="s">
        <v>7</v>
      </c>
      <c r="EE736" s="27" t="s">
        <v>8</v>
      </c>
      <c r="EF736" s="27" t="s">
        <v>7</v>
      </c>
      <c r="ES736" s="27" t="s">
        <v>8</v>
      </c>
      <c r="ET736" s="27" t="s">
        <v>7</v>
      </c>
      <c r="EW736" s="27" t="s">
        <v>8</v>
      </c>
      <c r="EX736" s="27" t="s">
        <v>7</v>
      </c>
      <c r="EY736" s="27" t="s">
        <v>8</v>
      </c>
      <c r="EZ736" s="27" t="s">
        <v>7</v>
      </c>
      <c r="FA736" s="27" t="s">
        <v>8</v>
      </c>
    </row>
    <row r="737" spans="1:157" x14ac:dyDescent="0.25">
      <c r="A737" s="7">
        <v>5.1283095966678877E-2</v>
      </c>
      <c r="B737"/>
      <c r="C737"/>
      <c r="D737"/>
      <c r="E737"/>
      <c r="F737" s="27" t="s">
        <v>7</v>
      </c>
      <c r="H737" s="27" t="s">
        <v>7</v>
      </c>
      <c r="AY737" s="27" t="s">
        <v>8</v>
      </c>
      <c r="AZ737" s="27" t="s">
        <v>7</v>
      </c>
      <c r="BC737" s="27" t="s">
        <v>8</v>
      </c>
      <c r="BD737" s="27" t="s">
        <v>7</v>
      </c>
      <c r="BF737" s="27" t="s">
        <v>7</v>
      </c>
      <c r="BH737" s="27" t="s">
        <v>7</v>
      </c>
      <c r="BI737" s="27" t="s">
        <v>8</v>
      </c>
      <c r="BJ737" s="27" t="s">
        <v>7</v>
      </c>
      <c r="BK737" s="27" t="s">
        <v>8</v>
      </c>
      <c r="CB737" s="27" t="s">
        <v>7</v>
      </c>
      <c r="CD737" s="27" t="s">
        <v>7</v>
      </c>
      <c r="CG737" s="27" t="s">
        <v>8</v>
      </c>
      <c r="CH737" s="27" t="s">
        <v>7</v>
      </c>
      <c r="CJ737" s="27" t="s">
        <v>7</v>
      </c>
      <c r="CK737" s="27" t="s">
        <v>8</v>
      </c>
      <c r="CL737" s="27" t="s">
        <v>7</v>
      </c>
      <c r="CM737" s="27" t="s">
        <v>8</v>
      </c>
      <c r="CN737" s="27" t="s">
        <v>7</v>
      </c>
      <c r="CS737" s="27" t="s">
        <v>8</v>
      </c>
      <c r="CT737" s="27" t="s">
        <v>7</v>
      </c>
      <c r="CU737" s="27" t="s">
        <v>8</v>
      </c>
      <c r="CV737" s="27" t="s">
        <v>7</v>
      </c>
      <c r="DQ737" s="27" t="s">
        <v>8</v>
      </c>
      <c r="DR737" s="27" t="s">
        <v>7</v>
      </c>
      <c r="DY737" s="27" t="s">
        <v>8</v>
      </c>
      <c r="DZ737" s="27" t="s">
        <v>7</v>
      </c>
      <c r="EA737" s="27" t="s">
        <v>8</v>
      </c>
      <c r="EB737" s="27" t="s">
        <v>7</v>
      </c>
      <c r="EC737" s="27" t="s">
        <v>8</v>
      </c>
      <c r="ED737" s="27" t="s">
        <v>7</v>
      </c>
      <c r="EE737" s="27" t="s">
        <v>8</v>
      </c>
      <c r="EF737" s="27" t="s">
        <v>7</v>
      </c>
      <c r="EQ737" s="27" t="s">
        <v>8</v>
      </c>
      <c r="ES737" s="27" t="s">
        <v>8</v>
      </c>
      <c r="ET737" s="27" t="s">
        <v>7</v>
      </c>
      <c r="EW737" s="27" t="s">
        <v>8</v>
      </c>
      <c r="EX737" s="27" t="s">
        <v>7</v>
      </c>
      <c r="EY737" s="27" t="s">
        <v>8</v>
      </c>
      <c r="EZ737" s="27" t="s">
        <v>7</v>
      </c>
      <c r="FA737" s="27" t="s">
        <v>8</v>
      </c>
    </row>
    <row r="738" spans="1:157" x14ac:dyDescent="0.25">
      <c r="A738" s="7">
        <v>5.0277545065371444E-2</v>
      </c>
      <c r="B738"/>
      <c r="C738"/>
      <c r="D738"/>
      <c r="E738"/>
      <c r="H738" s="27" t="s">
        <v>7</v>
      </c>
      <c r="AY738" s="27" t="s">
        <v>8</v>
      </c>
      <c r="AZ738" s="27" t="s">
        <v>7</v>
      </c>
      <c r="BC738" s="27" t="s">
        <v>8</v>
      </c>
      <c r="BH738" s="27" t="s">
        <v>7</v>
      </c>
      <c r="BI738" s="27" t="s">
        <v>8</v>
      </c>
      <c r="BJ738" s="27" t="s">
        <v>7</v>
      </c>
      <c r="CD738" s="27" t="s">
        <v>7</v>
      </c>
      <c r="CG738" s="27" t="s">
        <v>8</v>
      </c>
      <c r="CJ738" s="27" t="s">
        <v>7</v>
      </c>
      <c r="CL738" s="27" t="s">
        <v>7</v>
      </c>
      <c r="CM738" s="27" t="s">
        <v>8</v>
      </c>
      <c r="CN738" s="27" t="s">
        <v>7</v>
      </c>
      <c r="CO738" s="27" t="s">
        <v>8</v>
      </c>
      <c r="CS738" s="27" t="s">
        <v>8</v>
      </c>
      <c r="CT738" s="27" t="s">
        <v>7</v>
      </c>
      <c r="CV738" s="27" t="s">
        <v>7</v>
      </c>
      <c r="DQ738" s="27" t="s">
        <v>8</v>
      </c>
      <c r="DR738" s="27" t="s">
        <v>7</v>
      </c>
      <c r="DY738" s="27" t="s">
        <v>8</v>
      </c>
      <c r="DZ738" s="27" t="s">
        <v>7</v>
      </c>
      <c r="EA738" s="27" t="s">
        <v>8</v>
      </c>
      <c r="EB738" s="27" t="s">
        <v>7</v>
      </c>
      <c r="EC738" s="27" t="s">
        <v>8</v>
      </c>
      <c r="ED738" s="27" t="s">
        <v>7</v>
      </c>
      <c r="EF738" s="27" t="s">
        <v>7</v>
      </c>
      <c r="EQ738" s="27" t="s">
        <v>8</v>
      </c>
      <c r="ER738" s="27" t="s">
        <v>7</v>
      </c>
      <c r="ES738" s="27" t="s">
        <v>8</v>
      </c>
      <c r="ET738" s="27" t="s">
        <v>7</v>
      </c>
      <c r="EU738" s="27" t="s">
        <v>8</v>
      </c>
      <c r="EW738" s="27" t="s">
        <v>8</v>
      </c>
      <c r="EX738" s="27" t="s">
        <v>7</v>
      </c>
      <c r="EY738" s="27" t="s">
        <v>8</v>
      </c>
      <c r="EZ738" s="27" t="s">
        <v>7</v>
      </c>
      <c r="FA738" s="27" t="s">
        <v>8</v>
      </c>
    </row>
    <row r="739" spans="1:157" x14ac:dyDescent="0.25">
      <c r="A739" s="7">
        <v>4.9291710848403378E-2</v>
      </c>
      <c r="B739"/>
      <c r="C739"/>
      <c r="D739"/>
      <c r="E739"/>
      <c r="H739" s="27" t="s">
        <v>7</v>
      </c>
      <c r="I739" s="27" t="s">
        <v>8</v>
      </c>
      <c r="AY739" s="27" t="s">
        <v>8</v>
      </c>
      <c r="AZ739" s="27" t="s">
        <v>7</v>
      </c>
      <c r="BC739" s="27" t="s">
        <v>8</v>
      </c>
      <c r="BH739" s="27" t="s">
        <v>7</v>
      </c>
      <c r="BI739" s="27" t="s">
        <v>8</v>
      </c>
      <c r="CD739" s="27" t="s">
        <v>7</v>
      </c>
      <c r="CG739" s="27" t="s">
        <v>8</v>
      </c>
      <c r="CL739" s="27" t="s">
        <v>7</v>
      </c>
      <c r="CM739" s="27" t="s">
        <v>8</v>
      </c>
      <c r="CN739" s="27" t="s">
        <v>7</v>
      </c>
      <c r="CO739" s="27" t="s">
        <v>8</v>
      </c>
      <c r="CP739" s="27" t="s">
        <v>7</v>
      </c>
      <c r="CS739" s="27" t="s">
        <v>8</v>
      </c>
      <c r="CV739" s="27" t="s">
        <v>7</v>
      </c>
      <c r="DQ739" s="27" t="s">
        <v>8</v>
      </c>
      <c r="DR739" s="27" t="s">
        <v>7</v>
      </c>
      <c r="DY739" s="27" t="s">
        <v>8</v>
      </c>
      <c r="DZ739" s="27" t="s">
        <v>7</v>
      </c>
      <c r="EA739" s="27" t="s">
        <v>8</v>
      </c>
      <c r="EB739" s="27" t="s">
        <v>7</v>
      </c>
      <c r="EC739" s="27" t="s">
        <v>8</v>
      </c>
      <c r="EF739" s="27" t="s">
        <v>7</v>
      </c>
      <c r="EG739" s="27" t="s">
        <v>8</v>
      </c>
      <c r="EQ739" s="27" t="s">
        <v>8</v>
      </c>
      <c r="ER739" s="27" t="s">
        <v>7</v>
      </c>
      <c r="ES739" s="27" t="s">
        <v>8</v>
      </c>
      <c r="ET739" s="27" t="s">
        <v>7</v>
      </c>
      <c r="EU739" s="27" t="s">
        <v>8</v>
      </c>
      <c r="EV739" s="27" t="s">
        <v>7</v>
      </c>
      <c r="EW739" s="27" t="s">
        <v>8</v>
      </c>
      <c r="EX739" s="27" t="s">
        <v>7</v>
      </c>
      <c r="EZ739" s="27" t="s">
        <v>7</v>
      </c>
      <c r="FA739" s="27" t="s">
        <v>8</v>
      </c>
    </row>
    <row r="740" spans="1:157" x14ac:dyDescent="0.25">
      <c r="A740" s="7">
        <v>4.8325206714120959E-2</v>
      </c>
      <c r="B740"/>
      <c r="C740"/>
      <c r="D740"/>
      <c r="E740"/>
      <c r="H740" s="27" t="s">
        <v>7</v>
      </c>
      <c r="I740" s="27" t="s">
        <v>8</v>
      </c>
      <c r="J740" s="27" t="s">
        <v>7</v>
      </c>
      <c r="AY740" s="27" t="s">
        <v>8</v>
      </c>
      <c r="AZ740" s="27" t="s">
        <v>7</v>
      </c>
      <c r="BC740" s="27" t="s">
        <v>8</v>
      </c>
      <c r="BH740" s="27" t="s">
        <v>7</v>
      </c>
      <c r="BI740" s="27" t="s">
        <v>8</v>
      </c>
      <c r="CD740" s="27" t="s">
        <v>7</v>
      </c>
      <c r="CE740" s="27" t="s">
        <v>8</v>
      </c>
      <c r="CG740" s="27" t="s">
        <v>8</v>
      </c>
      <c r="CL740" s="27" t="s">
        <v>7</v>
      </c>
      <c r="CM740" s="27" t="s">
        <v>8</v>
      </c>
      <c r="CN740" s="27" t="s">
        <v>7</v>
      </c>
      <c r="CO740" s="27" t="s">
        <v>8</v>
      </c>
      <c r="CP740" s="27" t="s">
        <v>7</v>
      </c>
      <c r="CS740" s="27" t="s">
        <v>8</v>
      </c>
      <c r="CV740" s="27" t="s">
        <v>7</v>
      </c>
      <c r="DQ740" s="27" t="s">
        <v>8</v>
      </c>
      <c r="DR740" s="27" t="s">
        <v>7</v>
      </c>
      <c r="DY740" s="27" t="s">
        <v>8</v>
      </c>
      <c r="DZ740" s="27" t="s">
        <v>7</v>
      </c>
      <c r="EA740" s="27" t="s">
        <v>8</v>
      </c>
      <c r="EB740" s="27" t="s">
        <v>7</v>
      </c>
      <c r="EC740" s="27" t="s">
        <v>8</v>
      </c>
      <c r="EF740" s="27" t="s">
        <v>7</v>
      </c>
      <c r="EG740" s="27" t="s">
        <v>8</v>
      </c>
      <c r="EH740" s="27" t="s">
        <v>7</v>
      </c>
      <c r="EO740" s="27" t="s">
        <v>8</v>
      </c>
      <c r="EQ740" s="27" t="s">
        <v>8</v>
      </c>
      <c r="ER740" s="27" t="s">
        <v>7</v>
      </c>
      <c r="ES740" s="27" t="s">
        <v>8</v>
      </c>
      <c r="ET740" s="27" t="s">
        <v>7</v>
      </c>
      <c r="EU740" s="27" t="s">
        <v>8</v>
      </c>
      <c r="EV740" s="27" t="s">
        <v>7</v>
      </c>
      <c r="EW740" s="27" t="s">
        <v>8</v>
      </c>
      <c r="EZ740" s="27" t="s">
        <v>7</v>
      </c>
      <c r="FA740" s="27" t="s">
        <v>8</v>
      </c>
    </row>
    <row r="741" spans="1:157" x14ac:dyDescent="0.25">
      <c r="A741" s="7">
        <v>4.7377653641295057E-2</v>
      </c>
      <c r="B741"/>
      <c r="C741"/>
      <c r="D741"/>
      <c r="E741"/>
      <c r="H741" s="27" t="s">
        <v>7</v>
      </c>
      <c r="I741" s="27" t="s">
        <v>8</v>
      </c>
      <c r="J741" s="27" t="s">
        <v>7</v>
      </c>
      <c r="AY741" s="27" t="s">
        <v>8</v>
      </c>
      <c r="AZ741" s="27" t="s">
        <v>7</v>
      </c>
      <c r="BA741" s="27" t="s">
        <v>8</v>
      </c>
      <c r="BC741" s="27" t="s">
        <v>8</v>
      </c>
      <c r="BH741" s="27" t="s">
        <v>7</v>
      </c>
      <c r="BI741" s="27" t="s">
        <v>8</v>
      </c>
      <c r="CD741" s="27" t="s">
        <v>7</v>
      </c>
      <c r="CE741" s="27" t="s">
        <v>8</v>
      </c>
      <c r="CF741" s="27" t="s">
        <v>7</v>
      </c>
      <c r="CG741" s="27" t="s">
        <v>8</v>
      </c>
      <c r="CL741" s="27" t="s">
        <v>7</v>
      </c>
      <c r="CM741" s="27" t="s">
        <v>8</v>
      </c>
      <c r="CN741" s="27" t="s">
        <v>7</v>
      </c>
      <c r="CP741" s="27" t="s">
        <v>7</v>
      </c>
      <c r="CS741" s="27" t="s">
        <v>8</v>
      </c>
      <c r="CV741" s="27" t="s">
        <v>7</v>
      </c>
      <c r="DQ741" s="27" t="s">
        <v>8</v>
      </c>
      <c r="DR741" s="27" t="s">
        <v>7</v>
      </c>
      <c r="DY741" s="27" t="s">
        <v>8</v>
      </c>
      <c r="DZ741" s="27" t="s">
        <v>7</v>
      </c>
      <c r="EA741" s="27" t="s">
        <v>8</v>
      </c>
      <c r="EB741" s="27" t="s">
        <v>7</v>
      </c>
      <c r="EF741" s="27" t="s">
        <v>7</v>
      </c>
      <c r="EG741" s="27" t="s">
        <v>8</v>
      </c>
      <c r="EH741" s="27" t="s">
        <v>7</v>
      </c>
      <c r="EI741" s="27" t="s">
        <v>8</v>
      </c>
      <c r="EO741" s="27" t="s">
        <v>8</v>
      </c>
      <c r="EP741" s="27" t="s">
        <v>7</v>
      </c>
      <c r="EQ741" s="27" t="s">
        <v>8</v>
      </c>
      <c r="ER741" s="27" t="s">
        <v>7</v>
      </c>
      <c r="ES741" s="27" t="s">
        <v>8</v>
      </c>
      <c r="ET741" s="27" t="s">
        <v>7</v>
      </c>
      <c r="EU741" s="27" t="s">
        <v>8</v>
      </c>
      <c r="EV741" s="27" t="s">
        <v>7</v>
      </c>
      <c r="EW741" s="27" t="s">
        <v>8</v>
      </c>
      <c r="EZ741" s="27" t="s">
        <v>7</v>
      </c>
    </row>
    <row r="742" spans="1:157" x14ac:dyDescent="0.25">
      <c r="A742" s="7">
        <v>4.644868004048535E-2</v>
      </c>
      <c r="B742"/>
      <c r="C742"/>
      <c r="D742"/>
      <c r="E742"/>
      <c r="H742" s="27" t="s">
        <v>7</v>
      </c>
      <c r="I742" s="27" t="s">
        <v>8</v>
      </c>
      <c r="J742" s="27" t="s">
        <v>7</v>
      </c>
      <c r="AY742" s="27" t="s">
        <v>8</v>
      </c>
      <c r="AZ742" s="27" t="s">
        <v>7</v>
      </c>
      <c r="BA742" s="27" t="s">
        <v>8</v>
      </c>
      <c r="BB742" s="27" t="s">
        <v>7</v>
      </c>
      <c r="BC742" s="27" t="s">
        <v>8</v>
      </c>
      <c r="BH742" s="27" t="s">
        <v>7</v>
      </c>
      <c r="BI742" s="27" t="s">
        <v>8</v>
      </c>
      <c r="CD742" s="27" t="s">
        <v>7</v>
      </c>
      <c r="CE742" s="27" t="s">
        <v>8</v>
      </c>
      <c r="CF742" s="27" t="s">
        <v>7</v>
      </c>
      <c r="CG742" s="27" t="s">
        <v>8</v>
      </c>
      <c r="CL742" s="27" t="s">
        <v>7</v>
      </c>
      <c r="CM742" s="27" t="s">
        <v>8</v>
      </c>
      <c r="CP742" s="27" t="s">
        <v>7</v>
      </c>
      <c r="CS742" s="27" t="s">
        <v>8</v>
      </c>
      <c r="CV742" s="27" t="s">
        <v>7</v>
      </c>
      <c r="DQ742" s="27" t="s">
        <v>8</v>
      </c>
      <c r="DR742" s="27" t="s">
        <v>7</v>
      </c>
      <c r="DY742" s="27" t="s">
        <v>8</v>
      </c>
      <c r="DZ742" s="27" t="s">
        <v>7</v>
      </c>
      <c r="EA742" s="27" t="s">
        <v>8</v>
      </c>
      <c r="EF742" s="27" t="s">
        <v>7</v>
      </c>
      <c r="EG742" s="27" t="s">
        <v>8</v>
      </c>
      <c r="EH742" s="27" t="s">
        <v>7</v>
      </c>
      <c r="EI742" s="27" t="s">
        <v>8</v>
      </c>
      <c r="EJ742" s="27" t="s">
        <v>7</v>
      </c>
      <c r="EK742" s="27" t="s">
        <v>8</v>
      </c>
      <c r="EO742" s="27" t="s">
        <v>8</v>
      </c>
      <c r="EP742" s="27" t="s">
        <v>7</v>
      </c>
      <c r="EQ742" s="27" t="s">
        <v>8</v>
      </c>
      <c r="ER742" s="27" t="s">
        <v>7</v>
      </c>
      <c r="ES742" s="27" t="s">
        <v>8</v>
      </c>
      <c r="ET742" s="27" t="s">
        <v>7</v>
      </c>
      <c r="EU742" s="27" t="s">
        <v>8</v>
      </c>
      <c r="EV742" s="27" t="s">
        <v>7</v>
      </c>
      <c r="EW742" s="27" t="s">
        <v>8</v>
      </c>
    </row>
    <row r="743" spans="1:157" x14ac:dyDescent="0.25">
      <c r="A743" s="7">
        <v>4.5537921608318974E-2</v>
      </c>
      <c r="B743"/>
      <c r="C743"/>
      <c r="D743"/>
      <c r="E743"/>
      <c r="H743" s="27" t="s">
        <v>7</v>
      </c>
      <c r="I743" s="27" t="s">
        <v>8</v>
      </c>
      <c r="J743" s="27" t="s">
        <v>7</v>
      </c>
      <c r="AK743" s="27" t="s">
        <v>8</v>
      </c>
      <c r="AY743" s="27" t="s">
        <v>8</v>
      </c>
      <c r="AZ743" s="27" t="s">
        <v>7</v>
      </c>
      <c r="BA743" s="27" t="s">
        <v>8</v>
      </c>
      <c r="BB743" s="27" t="s">
        <v>7</v>
      </c>
      <c r="BC743" s="27" t="s">
        <v>8</v>
      </c>
      <c r="BH743" s="27" t="s">
        <v>7</v>
      </c>
      <c r="CD743" s="27" t="s">
        <v>7</v>
      </c>
      <c r="CE743" s="27" t="s">
        <v>8</v>
      </c>
      <c r="CF743" s="27" t="s">
        <v>7</v>
      </c>
      <c r="CG743" s="27" t="s">
        <v>8</v>
      </c>
      <c r="CL743" s="27" t="s">
        <v>7</v>
      </c>
      <c r="CM743" s="27" t="s">
        <v>8</v>
      </c>
      <c r="CP743" s="27" t="s">
        <v>7</v>
      </c>
      <c r="CQ743" s="27" t="s">
        <v>8</v>
      </c>
      <c r="CS743" s="27" t="s">
        <v>8</v>
      </c>
      <c r="CV743" s="27" t="s">
        <v>7</v>
      </c>
      <c r="DQ743" s="27" t="s">
        <v>8</v>
      </c>
      <c r="DR743" s="27" t="s">
        <v>7</v>
      </c>
      <c r="DU743" s="27" t="s">
        <v>8</v>
      </c>
      <c r="DY743" s="27" t="s">
        <v>8</v>
      </c>
      <c r="DZ743" s="27" t="s">
        <v>7</v>
      </c>
      <c r="EA743" s="27" t="s">
        <v>8</v>
      </c>
      <c r="EF743" s="27" t="s">
        <v>7</v>
      </c>
      <c r="EG743" s="27" t="s">
        <v>8</v>
      </c>
      <c r="EH743" s="27" t="s">
        <v>7</v>
      </c>
      <c r="EI743" s="27" t="s">
        <v>8</v>
      </c>
      <c r="EJ743" s="27" t="s">
        <v>7</v>
      </c>
      <c r="EK743" s="27" t="s">
        <v>8</v>
      </c>
      <c r="EL743" s="27" t="s">
        <v>7</v>
      </c>
      <c r="EO743" s="27" t="s">
        <v>8</v>
      </c>
      <c r="EP743" s="27" t="s">
        <v>7</v>
      </c>
      <c r="EQ743" s="27" t="s">
        <v>8</v>
      </c>
      <c r="ER743" s="27" t="s">
        <v>7</v>
      </c>
      <c r="ES743" s="27" t="s">
        <v>8</v>
      </c>
      <c r="ET743" s="27" t="s">
        <v>7</v>
      </c>
      <c r="EU743" s="27" t="s">
        <v>8</v>
      </c>
      <c r="EV743" s="27" t="s">
        <v>7</v>
      </c>
    </row>
    <row r="744" spans="1:157" x14ac:dyDescent="0.25">
      <c r="A744" s="7">
        <v>4.4645021184626446E-2</v>
      </c>
      <c r="B744"/>
      <c r="C744"/>
      <c r="D744"/>
      <c r="E744"/>
      <c r="H744" s="27" t="s">
        <v>7</v>
      </c>
      <c r="I744" s="27" t="s">
        <v>8</v>
      </c>
      <c r="J744" s="27" t="s">
        <v>7</v>
      </c>
      <c r="AK744" s="27" t="s">
        <v>8</v>
      </c>
      <c r="AL744" s="27" t="s">
        <v>7</v>
      </c>
      <c r="AY744" s="27" t="s">
        <v>8</v>
      </c>
      <c r="AZ744" s="27" t="s">
        <v>7</v>
      </c>
      <c r="BA744" s="27" t="s">
        <v>8</v>
      </c>
      <c r="BB744" s="27" t="s">
        <v>7</v>
      </c>
      <c r="BC744" s="27" t="s">
        <v>8</v>
      </c>
      <c r="CD744" s="27" t="s">
        <v>7</v>
      </c>
      <c r="CE744" s="27" t="s">
        <v>8</v>
      </c>
      <c r="CF744" s="27" t="s">
        <v>7</v>
      </c>
      <c r="CG744" s="27" t="s">
        <v>8</v>
      </c>
      <c r="CL744" s="27" t="s">
        <v>7</v>
      </c>
      <c r="CM744" s="27" t="s">
        <v>8</v>
      </c>
      <c r="CP744" s="27" t="s">
        <v>7</v>
      </c>
      <c r="CQ744" s="27" t="s">
        <v>8</v>
      </c>
      <c r="CR744" s="27" t="s">
        <v>7</v>
      </c>
      <c r="CS744" s="27" t="s">
        <v>8</v>
      </c>
      <c r="CV744" s="27" t="s">
        <v>7</v>
      </c>
      <c r="DQ744" s="27" t="s">
        <v>8</v>
      </c>
      <c r="DR744" s="27" t="s">
        <v>7</v>
      </c>
      <c r="DS744" s="27" t="s">
        <v>8</v>
      </c>
      <c r="DU744" s="27" t="s">
        <v>8</v>
      </c>
      <c r="DV744" s="27" t="s">
        <v>7</v>
      </c>
      <c r="DY744" s="27" t="s">
        <v>8</v>
      </c>
      <c r="DZ744" s="27" t="s">
        <v>7</v>
      </c>
      <c r="EF744" s="27" t="s">
        <v>7</v>
      </c>
      <c r="EG744" s="27" t="s">
        <v>8</v>
      </c>
      <c r="EH744" s="27" t="s">
        <v>7</v>
      </c>
      <c r="EI744" s="27" t="s">
        <v>8</v>
      </c>
      <c r="EJ744" s="27" t="s">
        <v>7</v>
      </c>
      <c r="EK744" s="27" t="s">
        <v>8</v>
      </c>
      <c r="EL744" s="27" t="s">
        <v>7</v>
      </c>
      <c r="EM744" s="27" t="s">
        <v>8</v>
      </c>
      <c r="EO744" s="27" t="s">
        <v>8</v>
      </c>
      <c r="EP744" s="27" t="s">
        <v>7</v>
      </c>
      <c r="EQ744" s="27" t="s">
        <v>8</v>
      </c>
      <c r="ER744" s="27" t="s">
        <v>7</v>
      </c>
      <c r="ES744" s="27" t="s">
        <v>8</v>
      </c>
      <c r="ET744" s="27" t="s">
        <v>7</v>
      </c>
      <c r="EU744" s="27" t="s">
        <v>8</v>
      </c>
    </row>
    <row r="745" spans="1:157" x14ac:dyDescent="0.25">
      <c r="A745" s="7">
        <v>4.3769628612378868E-2</v>
      </c>
      <c r="B745"/>
      <c r="C745"/>
      <c r="D745"/>
      <c r="E745"/>
      <c r="H745" s="27" t="s">
        <v>7</v>
      </c>
      <c r="I745" s="27" t="s">
        <v>8</v>
      </c>
      <c r="J745" s="27" t="s">
        <v>7</v>
      </c>
      <c r="AK745" s="27" t="s">
        <v>8</v>
      </c>
      <c r="AL745" s="27" t="s">
        <v>7</v>
      </c>
      <c r="AY745" s="27" t="s">
        <v>8</v>
      </c>
      <c r="AZ745" s="27" t="s">
        <v>7</v>
      </c>
      <c r="BA745" s="27" t="s">
        <v>8</v>
      </c>
      <c r="BB745" s="27" t="s">
        <v>7</v>
      </c>
      <c r="BC745" s="27" t="s">
        <v>8</v>
      </c>
      <c r="CD745" s="27" t="s">
        <v>7</v>
      </c>
      <c r="CE745" s="27" t="s">
        <v>8</v>
      </c>
      <c r="CF745" s="27" t="s">
        <v>7</v>
      </c>
      <c r="CG745" s="27" t="s">
        <v>8</v>
      </c>
      <c r="CL745" s="27" t="s">
        <v>7</v>
      </c>
      <c r="CP745" s="27" t="s">
        <v>7</v>
      </c>
      <c r="CQ745" s="27" t="s">
        <v>8</v>
      </c>
      <c r="CR745" s="27" t="s">
        <v>7</v>
      </c>
      <c r="CS745" s="27" t="s">
        <v>8</v>
      </c>
      <c r="CV745" s="27" t="s">
        <v>7</v>
      </c>
      <c r="DI745" s="27" t="s">
        <v>8</v>
      </c>
      <c r="DQ745" s="27" t="s">
        <v>8</v>
      </c>
      <c r="DR745" s="27" t="s">
        <v>7</v>
      </c>
      <c r="DS745" s="27" t="s">
        <v>8</v>
      </c>
      <c r="DT745" s="27" t="s">
        <v>7</v>
      </c>
      <c r="DU745" s="27" t="s">
        <v>8</v>
      </c>
      <c r="DV745" s="27" t="s">
        <v>7</v>
      </c>
      <c r="DY745" s="27" t="s">
        <v>8</v>
      </c>
      <c r="EF745" s="27" t="s">
        <v>7</v>
      </c>
      <c r="EG745" s="27" t="s">
        <v>8</v>
      </c>
      <c r="EH745" s="27" t="s">
        <v>7</v>
      </c>
      <c r="EI745" s="27" t="s">
        <v>8</v>
      </c>
      <c r="EJ745" s="27" t="s">
        <v>7</v>
      </c>
      <c r="EK745" s="27" t="s">
        <v>8</v>
      </c>
      <c r="EL745" s="27" t="s">
        <v>7</v>
      </c>
      <c r="EM745" s="27" t="s">
        <v>8</v>
      </c>
      <c r="EN745" s="27" t="s">
        <v>7</v>
      </c>
      <c r="EO745" s="27" t="s">
        <v>8</v>
      </c>
      <c r="EP745" s="27" t="s">
        <v>7</v>
      </c>
      <c r="EQ745" s="27" t="s">
        <v>8</v>
      </c>
      <c r="ER745" s="27" t="s">
        <v>7</v>
      </c>
      <c r="ET745" s="27" t="s">
        <v>7</v>
      </c>
      <c r="EU745" s="27" t="s">
        <v>8</v>
      </c>
    </row>
    <row r="746" spans="1:157" x14ac:dyDescent="0.25">
      <c r="A746" s="7">
        <v>4.2911400600371442E-2</v>
      </c>
      <c r="B746"/>
      <c r="C746"/>
      <c r="D746"/>
      <c r="E746"/>
      <c r="H746" s="27" t="s">
        <v>7</v>
      </c>
      <c r="I746" s="27" t="s">
        <v>8</v>
      </c>
      <c r="J746" s="27" t="s">
        <v>7</v>
      </c>
      <c r="U746" s="27" t="s">
        <v>8</v>
      </c>
      <c r="AK746" s="27" t="s">
        <v>8</v>
      </c>
      <c r="AL746" s="27" t="s">
        <v>7</v>
      </c>
      <c r="AY746" s="27" t="s">
        <v>8</v>
      </c>
      <c r="AZ746" s="27" t="s">
        <v>7</v>
      </c>
      <c r="BA746" s="27" t="s">
        <v>8</v>
      </c>
      <c r="BB746" s="27" t="s">
        <v>7</v>
      </c>
      <c r="BC746" s="27" t="s">
        <v>8</v>
      </c>
      <c r="CD746" s="27" t="s">
        <v>7</v>
      </c>
      <c r="CE746" s="27" t="s">
        <v>8</v>
      </c>
      <c r="CF746" s="27" t="s">
        <v>7</v>
      </c>
      <c r="CG746" s="27" t="s">
        <v>8</v>
      </c>
      <c r="CP746" s="27" t="s">
        <v>7</v>
      </c>
      <c r="CQ746" s="27" t="s">
        <v>8</v>
      </c>
      <c r="CR746" s="27" t="s">
        <v>7</v>
      </c>
      <c r="CS746" s="27" t="s">
        <v>8</v>
      </c>
      <c r="CV746" s="27" t="s">
        <v>7</v>
      </c>
      <c r="DI746" s="27" t="s">
        <v>8</v>
      </c>
      <c r="DJ746" s="27" t="s">
        <v>7</v>
      </c>
      <c r="DM746" s="27" t="s">
        <v>8</v>
      </c>
      <c r="DO746" s="27" t="s">
        <v>8</v>
      </c>
      <c r="DQ746" s="27" t="s">
        <v>8</v>
      </c>
      <c r="DR746" s="27" t="s">
        <v>7</v>
      </c>
      <c r="DS746" s="27" t="s">
        <v>8</v>
      </c>
      <c r="DT746" s="27" t="s">
        <v>7</v>
      </c>
      <c r="DU746" s="27" t="s">
        <v>8</v>
      </c>
      <c r="DV746" s="27" t="s">
        <v>7</v>
      </c>
      <c r="DW746" s="27" t="s">
        <v>8</v>
      </c>
      <c r="DY746" s="27" t="s">
        <v>8</v>
      </c>
      <c r="EF746" s="27" t="s">
        <v>7</v>
      </c>
      <c r="EG746" s="27" t="s">
        <v>8</v>
      </c>
      <c r="EH746" s="27" t="s">
        <v>7</v>
      </c>
      <c r="EI746" s="27" t="s">
        <v>8</v>
      </c>
      <c r="EJ746" s="27" t="s">
        <v>7</v>
      </c>
      <c r="EK746" s="27" t="s">
        <v>8</v>
      </c>
      <c r="EL746" s="27" t="s">
        <v>7</v>
      </c>
      <c r="EM746" s="27" t="s">
        <v>8</v>
      </c>
      <c r="EN746" s="27" t="s">
        <v>7</v>
      </c>
      <c r="EO746" s="27" t="s">
        <v>8</v>
      </c>
      <c r="EP746" s="27" t="s">
        <v>7</v>
      </c>
      <c r="ET746" s="27" t="s">
        <v>7</v>
      </c>
      <c r="EU746" s="27" t="s">
        <v>8</v>
      </c>
    </row>
    <row r="747" spans="1:157" x14ac:dyDescent="0.25">
      <c r="A747" s="7">
        <v>4.2070000588599457E-2</v>
      </c>
      <c r="B747"/>
      <c r="C747"/>
      <c r="D747"/>
      <c r="E747"/>
      <c r="H747" s="27" t="s">
        <v>7</v>
      </c>
      <c r="I747" s="27" t="s">
        <v>8</v>
      </c>
      <c r="J747" s="27" t="s">
        <v>7</v>
      </c>
      <c r="U747" s="27" t="s">
        <v>8</v>
      </c>
      <c r="V747" s="27" t="s">
        <v>7</v>
      </c>
      <c r="AI747" s="27" t="s">
        <v>8</v>
      </c>
      <c r="AK747" s="27" t="s">
        <v>8</v>
      </c>
      <c r="AL747" s="27" t="s">
        <v>7</v>
      </c>
      <c r="AY747" s="27" t="s">
        <v>8</v>
      </c>
      <c r="AZ747" s="27" t="s">
        <v>7</v>
      </c>
      <c r="BA747" s="27" t="s">
        <v>8</v>
      </c>
      <c r="BB747" s="27" t="s">
        <v>7</v>
      </c>
      <c r="BC747" s="27" t="s">
        <v>8</v>
      </c>
      <c r="CD747" s="27" t="s">
        <v>7</v>
      </c>
      <c r="CE747" s="27" t="s">
        <v>8</v>
      </c>
      <c r="CF747" s="27" t="s">
        <v>7</v>
      </c>
      <c r="CG747" s="27" t="s">
        <v>8</v>
      </c>
      <c r="CP747" s="27" t="s">
        <v>7</v>
      </c>
      <c r="CQ747" s="27" t="s">
        <v>8</v>
      </c>
      <c r="CR747" s="27" t="s">
        <v>7</v>
      </c>
      <c r="CS747" s="27" t="s">
        <v>8</v>
      </c>
      <c r="CV747" s="27" t="s">
        <v>7</v>
      </c>
      <c r="CW747" s="27" t="s">
        <v>8</v>
      </c>
      <c r="DI747" s="27" t="s">
        <v>8</v>
      </c>
      <c r="DJ747" s="27" t="s">
        <v>7</v>
      </c>
      <c r="DM747" s="27" t="s">
        <v>8</v>
      </c>
      <c r="DN747" s="27" t="s">
        <v>7</v>
      </c>
      <c r="DO747" s="27" t="s">
        <v>8</v>
      </c>
      <c r="DP747" s="27" t="s">
        <v>7</v>
      </c>
      <c r="DQ747" s="27" t="s">
        <v>8</v>
      </c>
      <c r="DR747" s="27" t="s">
        <v>7</v>
      </c>
      <c r="DS747" s="27" t="s">
        <v>8</v>
      </c>
      <c r="DT747" s="27" t="s">
        <v>7</v>
      </c>
      <c r="DU747" s="27" t="s">
        <v>8</v>
      </c>
      <c r="DV747" s="27" t="s">
        <v>7</v>
      </c>
      <c r="DW747" s="27" t="s">
        <v>8</v>
      </c>
      <c r="DX747" s="27" t="s">
        <v>7</v>
      </c>
      <c r="DY747" s="27" t="s">
        <v>8</v>
      </c>
      <c r="EF747" s="27" t="s">
        <v>7</v>
      </c>
      <c r="EG747" s="27" t="s">
        <v>8</v>
      </c>
      <c r="EH747" s="27" t="s">
        <v>7</v>
      </c>
      <c r="EI747" s="27" t="s">
        <v>8</v>
      </c>
      <c r="EJ747" s="27" t="s">
        <v>7</v>
      </c>
      <c r="EK747" s="27" t="s">
        <v>8</v>
      </c>
      <c r="EL747" s="27" t="s">
        <v>7</v>
      </c>
      <c r="EM747" s="27" t="s">
        <v>8</v>
      </c>
      <c r="EN747" s="27" t="s">
        <v>7</v>
      </c>
      <c r="EO747" s="27" t="s">
        <v>8</v>
      </c>
      <c r="ET747" s="27" t="s">
        <v>7</v>
      </c>
      <c r="EU747" s="27" t="s">
        <v>8</v>
      </c>
    </row>
    <row r="748" spans="1:157" x14ac:dyDescent="0.25">
      <c r="A748" s="7">
        <v>4.1245098616273977E-2</v>
      </c>
      <c r="B748"/>
      <c r="C748"/>
      <c r="D748"/>
      <c r="E748"/>
      <c r="H748" s="27" t="s">
        <v>7</v>
      </c>
      <c r="I748" s="27" t="s">
        <v>8</v>
      </c>
      <c r="J748" s="27" t="s">
        <v>7</v>
      </c>
      <c r="S748" s="27" t="s">
        <v>8</v>
      </c>
      <c r="U748" s="27" t="s">
        <v>8</v>
      </c>
      <c r="V748" s="27" t="s">
        <v>7</v>
      </c>
      <c r="AI748" s="27" t="s">
        <v>8</v>
      </c>
      <c r="AJ748" s="27" t="s">
        <v>7</v>
      </c>
      <c r="AK748" s="27" t="s">
        <v>8</v>
      </c>
      <c r="AL748" s="27" t="s">
        <v>7</v>
      </c>
      <c r="AY748" s="27" t="s">
        <v>8</v>
      </c>
      <c r="AZ748" s="27" t="s">
        <v>7</v>
      </c>
      <c r="BB748" s="27" t="s">
        <v>7</v>
      </c>
      <c r="BC748" s="27" t="s">
        <v>8</v>
      </c>
      <c r="CD748" s="27" t="s">
        <v>7</v>
      </c>
      <c r="CE748" s="27" t="s">
        <v>8</v>
      </c>
      <c r="CF748" s="27" t="s">
        <v>7</v>
      </c>
      <c r="CG748" s="27" t="s">
        <v>8</v>
      </c>
      <c r="CP748" s="27" t="s">
        <v>7</v>
      </c>
      <c r="CQ748" s="27" t="s">
        <v>8</v>
      </c>
      <c r="CR748" s="27" t="s">
        <v>7</v>
      </c>
      <c r="CS748" s="27" t="s">
        <v>8</v>
      </c>
      <c r="CV748" s="27" t="s">
        <v>7</v>
      </c>
      <c r="CW748" s="27" t="s">
        <v>8</v>
      </c>
      <c r="CX748" s="27" t="s">
        <v>7</v>
      </c>
      <c r="DI748" s="27" t="s">
        <v>8</v>
      </c>
      <c r="DJ748" s="27" t="s">
        <v>7</v>
      </c>
      <c r="DK748" s="27" t="s">
        <v>8</v>
      </c>
      <c r="DM748" s="27" t="s">
        <v>8</v>
      </c>
      <c r="DN748" s="27" t="s">
        <v>7</v>
      </c>
      <c r="DO748" s="27" t="s">
        <v>8</v>
      </c>
      <c r="DP748" s="27" t="s">
        <v>7</v>
      </c>
      <c r="DQ748" s="27" t="s">
        <v>8</v>
      </c>
      <c r="DR748" s="27" t="s">
        <v>7</v>
      </c>
      <c r="DS748" s="27" t="s">
        <v>8</v>
      </c>
      <c r="DT748" s="27" t="s">
        <v>7</v>
      </c>
      <c r="DU748" s="27" t="s">
        <v>8</v>
      </c>
      <c r="DV748" s="27" t="s">
        <v>7</v>
      </c>
      <c r="DW748" s="27" t="s">
        <v>8</v>
      </c>
      <c r="DX748" s="27" t="s">
        <v>7</v>
      </c>
      <c r="DY748" s="27" t="s">
        <v>8</v>
      </c>
      <c r="EF748" s="27" t="s">
        <v>7</v>
      </c>
      <c r="EG748" s="27" t="s">
        <v>8</v>
      </c>
      <c r="EH748" s="27" t="s">
        <v>7</v>
      </c>
      <c r="EI748" s="27" t="s">
        <v>8</v>
      </c>
      <c r="EJ748" s="27" t="s">
        <v>7</v>
      </c>
      <c r="EK748" s="27" t="s">
        <v>8</v>
      </c>
      <c r="EL748" s="27" t="s">
        <v>7</v>
      </c>
      <c r="EM748" s="27" t="s">
        <v>8</v>
      </c>
      <c r="EN748" s="27" t="s">
        <v>7</v>
      </c>
      <c r="EO748" s="27" t="s">
        <v>8</v>
      </c>
      <c r="ET748" s="27" t="s">
        <v>7</v>
      </c>
    </row>
    <row r="749" spans="1:157" x14ac:dyDescent="0.25">
      <c r="A749" s="7">
        <v>4.043637119242547E-2</v>
      </c>
      <c r="B749"/>
      <c r="C749"/>
      <c r="D749"/>
      <c r="E749"/>
      <c r="H749" s="27" t="s">
        <v>7</v>
      </c>
      <c r="I749" s="27" t="s">
        <v>8</v>
      </c>
      <c r="J749" s="27" t="s">
        <v>7</v>
      </c>
      <c r="K749" s="27" t="s">
        <v>8</v>
      </c>
      <c r="S749" s="27" t="s">
        <v>8</v>
      </c>
      <c r="T749" s="27" t="s">
        <v>7</v>
      </c>
      <c r="U749" s="27" t="s">
        <v>8</v>
      </c>
      <c r="V749" s="27" t="s">
        <v>7</v>
      </c>
      <c r="AI749" s="27" t="s">
        <v>8</v>
      </c>
      <c r="AJ749" s="27" t="s">
        <v>7</v>
      </c>
      <c r="AK749" s="27" t="s">
        <v>8</v>
      </c>
      <c r="AL749" s="27" t="s">
        <v>7</v>
      </c>
      <c r="AQ749" s="27" t="s">
        <v>8</v>
      </c>
      <c r="AY749" s="27" t="s">
        <v>8</v>
      </c>
      <c r="BB749" s="27" t="s">
        <v>7</v>
      </c>
      <c r="BC749" s="27" t="s">
        <v>8</v>
      </c>
      <c r="CD749" s="27" t="s">
        <v>7</v>
      </c>
      <c r="CE749" s="27" t="s">
        <v>8</v>
      </c>
      <c r="CF749" s="27" t="s">
        <v>7</v>
      </c>
      <c r="CG749" s="27" t="s">
        <v>8</v>
      </c>
      <c r="CP749" s="27" t="s">
        <v>7</v>
      </c>
      <c r="CQ749" s="27" t="s">
        <v>8</v>
      </c>
      <c r="CR749" s="27" t="s">
        <v>7</v>
      </c>
      <c r="CV749" s="27" t="s">
        <v>7</v>
      </c>
      <c r="CW749" s="27" t="s">
        <v>8</v>
      </c>
      <c r="CX749" s="27" t="s">
        <v>7</v>
      </c>
      <c r="DI749" s="27" t="s">
        <v>8</v>
      </c>
      <c r="DJ749" s="27" t="s">
        <v>7</v>
      </c>
      <c r="DK749" s="27" t="s">
        <v>8</v>
      </c>
      <c r="DL749" s="27" t="s">
        <v>7</v>
      </c>
      <c r="DM749" s="27" t="s">
        <v>8</v>
      </c>
      <c r="DN749" s="27" t="s">
        <v>7</v>
      </c>
      <c r="DO749" s="27" t="s">
        <v>8</v>
      </c>
      <c r="DP749" s="27" t="s">
        <v>7</v>
      </c>
      <c r="DQ749" s="27" t="s">
        <v>8</v>
      </c>
      <c r="DR749" s="27" t="s">
        <v>7</v>
      </c>
      <c r="DS749" s="27" t="s">
        <v>8</v>
      </c>
      <c r="DT749" s="27" t="s">
        <v>7</v>
      </c>
      <c r="DV749" s="27" t="s">
        <v>7</v>
      </c>
      <c r="DX749" s="27" t="s">
        <v>7</v>
      </c>
      <c r="DY749" s="27" t="s">
        <v>8</v>
      </c>
      <c r="EF749" s="27" t="s">
        <v>7</v>
      </c>
      <c r="EG749" s="27" t="s">
        <v>8</v>
      </c>
      <c r="EH749" s="27" t="s">
        <v>7</v>
      </c>
      <c r="EJ749" s="27" t="s">
        <v>7</v>
      </c>
      <c r="EK749" s="27" t="s">
        <v>8</v>
      </c>
      <c r="EL749" s="27" t="s">
        <v>7</v>
      </c>
      <c r="EN749" s="27" t="s">
        <v>7</v>
      </c>
    </row>
    <row r="750" spans="1:157" x14ac:dyDescent="0.25">
      <c r="A750" s="7">
        <v>3.9643501169044582E-2</v>
      </c>
      <c r="B750"/>
      <c r="C750"/>
      <c r="D750"/>
      <c r="E750"/>
      <c r="H750" s="27" t="s">
        <v>7</v>
      </c>
      <c r="I750" s="27" t="s">
        <v>8</v>
      </c>
      <c r="J750" s="27" t="s">
        <v>7</v>
      </c>
      <c r="K750" s="27" t="s">
        <v>8</v>
      </c>
      <c r="L750" s="27" t="s">
        <v>7</v>
      </c>
      <c r="S750" s="27" t="s">
        <v>8</v>
      </c>
      <c r="T750" s="27" t="s">
        <v>7</v>
      </c>
      <c r="U750" s="27" t="s">
        <v>8</v>
      </c>
      <c r="V750" s="27" t="s">
        <v>7</v>
      </c>
      <c r="AI750" s="27" t="s">
        <v>8</v>
      </c>
      <c r="AJ750" s="27" t="s">
        <v>7</v>
      </c>
      <c r="AK750" s="27" t="s">
        <v>8</v>
      </c>
      <c r="AL750" s="27" t="s">
        <v>7</v>
      </c>
      <c r="AM750" s="27" t="s">
        <v>8</v>
      </c>
      <c r="AO750" s="27" t="s">
        <v>8</v>
      </c>
      <c r="AQ750" s="27" t="s">
        <v>8</v>
      </c>
      <c r="AR750" s="27" t="s">
        <v>7</v>
      </c>
      <c r="AY750" s="27" t="s">
        <v>8</v>
      </c>
      <c r="BB750" s="27" t="s">
        <v>7</v>
      </c>
      <c r="CD750" s="27" t="s">
        <v>7</v>
      </c>
      <c r="CF750" s="27" t="s">
        <v>7</v>
      </c>
      <c r="CP750" s="27" t="s">
        <v>7</v>
      </c>
      <c r="CV750" s="27" t="s">
        <v>7</v>
      </c>
      <c r="CW750" s="27" t="s">
        <v>8</v>
      </c>
      <c r="CX750" s="27" t="s">
        <v>7</v>
      </c>
      <c r="DI750" s="27" t="s">
        <v>8</v>
      </c>
      <c r="DJ750" s="27" t="s">
        <v>7</v>
      </c>
      <c r="DK750" s="27" t="s">
        <v>8</v>
      </c>
      <c r="DL750" s="27" t="s">
        <v>7</v>
      </c>
      <c r="DM750" s="27" t="s">
        <v>8</v>
      </c>
      <c r="DN750" s="27" t="s">
        <v>7</v>
      </c>
      <c r="DO750" s="27" t="s">
        <v>8</v>
      </c>
      <c r="DP750" s="27" t="s">
        <v>7</v>
      </c>
      <c r="DQ750" s="27" t="s">
        <v>8</v>
      </c>
      <c r="DR750" s="27" t="s">
        <v>7</v>
      </c>
      <c r="DS750" s="27" t="s">
        <v>8</v>
      </c>
      <c r="DX750" s="27" t="s">
        <v>7</v>
      </c>
      <c r="DY750" s="27" t="s">
        <v>8</v>
      </c>
      <c r="EF750" s="27" t="s">
        <v>7</v>
      </c>
      <c r="EJ750" s="27" t="s">
        <v>7</v>
      </c>
    </row>
    <row r="751" spans="1:157" x14ac:dyDescent="0.25">
      <c r="A751" s="7">
        <v>3.8866177616710372E-2</v>
      </c>
      <c r="B751"/>
      <c r="C751"/>
      <c r="D751"/>
      <c r="E751"/>
      <c r="H751" s="27" t="s">
        <v>7</v>
      </c>
      <c r="J751" s="27" t="s">
        <v>7</v>
      </c>
      <c r="K751" s="27" t="s">
        <v>8</v>
      </c>
      <c r="L751" s="27" t="s">
        <v>7</v>
      </c>
      <c r="S751" s="27" t="s">
        <v>8</v>
      </c>
      <c r="T751" s="27" t="s">
        <v>7</v>
      </c>
      <c r="U751" s="27" t="s">
        <v>8</v>
      </c>
      <c r="V751" s="27" t="s">
        <v>7</v>
      </c>
      <c r="AI751" s="27" t="s">
        <v>8</v>
      </c>
      <c r="AJ751" s="27" t="s">
        <v>7</v>
      </c>
      <c r="AK751" s="27" t="s">
        <v>8</v>
      </c>
      <c r="AL751" s="27" t="s">
        <v>7</v>
      </c>
      <c r="AM751" s="27" t="s">
        <v>8</v>
      </c>
      <c r="AN751" s="27" t="s">
        <v>7</v>
      </c>
      <c r="AO751" s="27" t="s">
        <v>8</v>
      </c>
      <c r="AP751" s="27" t="s">
        <v>7</v>
      </c>
      <c r="AQ751" s="27" t="s">
        <v>8</v>
      </c>
      <c r="AR751" s="27" t="s">
        <v>7</v>
      </c>
      <c r="AS751" s="27" t="s">
        <v>8</v>
      </c>
      <c r="AY751" s="27" t="s">
        <v>8</v>
      </c>
      <c r="CV751" s="27" t="s">
        <v>7</v>
      </c>
      <c r="CW751" s="27" t="s">
        <v>8</v>
      </c>
      <c r="CX751" s="27" t="s">
        <v>7</v>
      </c>
      <c r="DA751" s="27" t="s">
        <v>8</v>
      </c>
      <c r="DI751" s="27" t="s">
        <v>8</v>
      </c>
      <c r="DJ751" s="27" t="s">
        <v>7</v>
      </c>
      <c r="DK751" s="27" t="s">
        <v>8</v>
      </c>
      <c r="DL751" s="27" t="s">
        <v>7</v>
      </c>
      <c r="DM751" s="27" t="s">
        <v>8</v>
      </c>
      <c r="DN751" s="27" t="s">
        <v>7</v>
      </c>
      <c r="DO751" s="27" t="s">
        <v>8</v>
      </c>
      <c r="DP751" s="27" t="s">
        <v>7</v>
      </c>
      <c r="DQ751" s="27" t="s">
        <v>8</v>
      </c>
      <c r="DR751" s="27" t="s">
        <v>7</v>
      </c>
      <c r="DS751" s="27" t="s">
        <v>8</v>
      </c>
      <c r="DX751" s="27" t="s">
        <v>7</v>
      </c>
    </row>
    <row r="752" spans="1:157" x14ac:dyDescent="0.25">
      <c r="A752" s="7">
        <v>3.8104095702657229E-2</v>
      </c>
      <c r="B752"/>
      <c r="C752"/>
      <c r="D752"/>
      <c r="E752"/>
      <c r="J752" s="27" t="s">
        <v>7</v>
      </c>
      <c r="K752" s="27" t="s">
        <v>8</v>
      </c>
      <c r="L752" s="27" t="s">
        <v>7</v>
      </c>
      <c r="S752" s="27" t="s">
        <v>8</v>
      </c>
      <c r="T752" s="27" t="s">
        <v>7</v>
      </c>
      <c r="U752" s="27" t="s">
        <v>8</v>
      </c>
      <c r="V752" s="27" t="s">
        <v>7</v>
      </c>
      <c r="AI752" s="27" t="s">
        <v>8</v>
      </c>
      <c r="AJ752" s="27" t="s">
        <v>7</v>
      </c>
      <c r="AK752" s="27" t="s">
        <v>8</v>
      </c>
      <c r="AL752" s="27" t="s">
        <v>7</v>
      </c>
      <c r="AM752" s="27" t="s">
        <v>8</v>
      </c>
      <c r="AN752" s="27" t="s">
        <v>7</v>
      </c>
      <c r="AO752" s="27" t="s">
        <v>8</v>
      </c>
      <c r="AP752" s="27" t="s">
        <v>7</v>
      </c>
      <c r="AQ752" s="27" t="s">
        <v>8</v>
      </c>
      <c r="AR752" s="27" t="s">
        <v>7</v>
      </c>
      <c r="AS752" s="27" t="s">
        <v>8</v>
      </c>
      <c r="AT752" s="27" t="s">
        <v>7</v>
      </c>
      <c r="AY752" s="27" t="s">
        <v>8</v>
      </c>
      <c r="CV752" s="27" t="s">
        <v>7</v>
      </c>
      <c r="CW752" s="27" t="s">
        <v>8</v>
      </c>
      <c r="CX752" s="27" t="s">
        <v>7</v>
      </c>
      <c r="DA752" s="27" t="s">
        <v>8</v>
      </c>
      <c r="DB752" s="27" t="s">
        <v>7</v>
      </c>
      <c r="DI752" s="27" t="s">
        <v>8</v>
      </c>
      <c r="DJ752" s="27" t="s">
        <v>7</v>
      </c>
      <c r="DK752" s="27" t="s">
        <v>8</v>
      </c>
      <c r="DL752" s="27" t="s">
        <v>7</v>
      </c>
      <c r="DM752" s="27" t="s">
        <v>8</v>
      </c>
      <c r="DN752" s="27" t="s">
        <v>7</v>
      </c>
      <c r="DO752" s="27" t="s">
        <v>8</v>
      </c>
      <c r="DP752" s="27" t="s">
        <v>7</v>
      </c>
      <c r="DR752" s="27" t="s">
        <v>7</v>
      </c>
    </row>
    <row r="753" spans="1:118" x14ac:dyDescent="0.25">
      <c r="A753" s="7">
        <v>3.7356956571232579E-2</v>
      </c>
      <c r="B753"/>
      <c r="C753"/>
      <c r="D753"/>
      <c r="E753"/>
      <c r="J753" s="27" t="s">
        <v>7</v>
      </c>
      <c r="K753" s="27" t="s">
        <v>8</v>
      </c>
      <c r="L753" s="27" t="s">
        <v>7</v>
      </c>
      <c r="S753" s="27" t="s">
        <v>8</v>
      </c>
      <c r="T753" s="27" t="s">
        <v>7</v>
      </c>
      <c r="U753" s="27" t="s">
        <v>8</v>
      </c>
      <c r="V753" s="27" t="s">
        <v>7</v>
      </c>
      <c r="AA753" s="27" t="s">
        <v>8</v>
      </c>
      <c r="AE753" s="27" t="s">
        <v>8</v>
      </c>
      <c r="AI753" s="27" t="s">
        <v>8</v>
      </c>
      <c r="AJ753" s="27" t="s">
        <v>7</v>
      </c>
      <c r="AK753" s="27" t="s">
        <v>8</v>
      </c>
      <c r="AL753" s="27" t="s">
        <v>7</v>
      </c>
      <c r="AM753" s="27" t="s">
        <v>8</v>
      </c>
      <c r="AN753" s="27" t="s">
        <v>7</v>
      </c>
      <c r="AO753" s="27" t="s">
        <v>8</v>
      </c>
      <c r="AP753" s="27" t="s">
        <v>7</v>
      </c>
      <c r="AQ753" s="27" t="s">
        <v>8</v>
      </c>
      <c r="AR753" s="27" t="s">
        <v>7</v>
      </c>
      <c r="AS753" s="27" t="s">
        <v>8</v>
      </c>
      <c r="AT753" s="27" t="s">
        <v>7</v>
      </c>
      <c r="AW753" s="27" t="s">
        <v>8</v>
      </c>
      <c r="AY753" s="27" t="s">
        <v>8</v>
      </c>
      <c r="CV753" s="27" t="s">
        <v>7</v>
      </c>
      <c r="CW753" s="27" t="s">
        <v>8</v>
      </c>
      <c r="CX753" s="27" t="s">
        <v>7</v>
      </c>
      <c r="DA753" s="27" t="s">
        <v>8</v>
      </c>
      <c r="DB753" s="27" t="s">
        <v>7</v>
      </c>
      <c r="DI753" s="27" t="s">
        <v>8</v>
      </c>
      <c r="DJ753" s="27" t="s">
        <v>7</v>
      </c>
      <c r="DL753" s="27" t="s">
        <v>7</v>
      </c>
      <c r="DM753" s="27" t="s">
        <v>8</v>
      </c>
      <c r="DN753" s="27" t="s">
        <v>7</v>
      </c>
    </row>
    <row r="754" spans="1:118" x14ac:dyDescent="0.25">
      <c r="A754" s="7">
        <v>3.6624467226698605E-2</v>
      </c>
      <c r="B754"/>
      <c r="C754"/>
      <c r="D754"/>
      <c r="E754"/>
      <c r="J754" s="27" t="s">
        <v>7</v>
      </c>
      <c r="K754" s="27" t="s">
        <v>8</v>
      </c>
      <c r="L754" s="27" t="s">
        <v>7</v>
      </c>
      <c r="S754" s="27" t="s">
        <v>8</v>
      </c>
      <c r="T754" s="27" t="s">
        <v>7</v>
      </c>
      <c r="U754" s="27" t="s">
        <v>8</v>
      </c>
      <c r="V754" s="27" t="s">
        <v>7</v>
      </c>
      <c r="Y754" s="27" t="s">
        <v>8</v>
      </c>
      <c r="AA754" s="27" t="s">
        <v>8</v>
      </c>
      <c r="AB754" s="27" t="s">
        <v>7</v>
      </c>
      <c r="AE754" s="27" t="s">
        <v>8</v>
      </c>
      <c r="AF754" s="27" t="s">
        <v>7</v>
      </c>
      <c r="AI754" s="27" t="s">
        <v>8</v>
      </c>
      <c r="AJ754" s="27" t="s">
        <v>7</v>
      </c>
      <c r="AL754" s="27" t="s">
        <v>7</v>
      </c>
      <c r="AM754" s="27" t="s">
        <v>8</v>
      </c>
      <c r="AN754" s="27" t="s">
        <v>7</v>
      </c>
      <c r="AO754" s="27" t="s">
        <v>8</v>
      </c>
      <c r="AP754" s="27" t="s">
        <v>7</v>
      </c>
      <c r="AQ754" s="27" t="s">
        <v>8</v>
      </c>
      <c r="AR754" s="27" t="s">
        <v>7</v>
      </c>
      <c r="AS754" s="27" t="s">
        <v>8</v>
      </c>
      <c r="AT754" s="27" t="s">
        <v>7</v>
      </c>
      <c r="AW754" s="27" t="s">
        <v>8</v>
      </c>
      <c r="AX754" s="27" t="s">
        <v>7</v>
      </c>
      <c r="AY754" s="27" t="s">
        <v>8</v>
      </c>
      <c r="CV754" s="27" t="s">
        <v>7</v>
      </c>
      <c r="CW754" s="27" t="s">
        <v>8</v>
      </c>
      <c r="CX754" s="27" t="s">
        <v>7</v>
      </c>
      <c r="DA754" s="27" t="s">
        <v>8</v>
      </c>
      <c r="DB754" s="27" t="s">
        <v>7</v>
      </c>
      <c r="DG754" s="27" t="s">
        <v>8</v>
      </c>
      <c r="DI754" s="27" t="s">
        <v>8</v>
      </c>
      <c r="DL754" s="27" t="s">
        <v>7</v>
      </c>
    </row>
    <row r="755" spans="1:118" x14ac:dyDescent="0.25">
      <c r="A755" s="7">
        <v>3.5906340418331961E-2</v>
      </c>
      <c r="B755"/>
      <c r="C755"/>
      <c r="D755"/>
      <c r="E755"/>
      <c r="J755" s="27" t="s">
        <v>7</v>
      </c>
      <c r="K755" s="27" t="s">
        <v>8</v>
      </c>
      <c r="L755" s="27" t="s">
        <v>7</v>
      </c>
      <c r="S755" s="27" t="s">
        <v>8</v>
      </c>
      <c r="T755" s="27" t="s">
        <v>7</v>
      </c>
      <c r="U755" s="27" t="s">
        <v>8</v>
      </c>
      <c r="V755" s="27" t="s">
        <v>7</v>
      </c>
      <c r="Y755" s="27" t="s">
        <v>8</v>
      </c>
      <c r="Z755" s="27" t="s">
        <v>7</v>
      </c>
      <c r="AA755" s="27" t="s">
        <v>8</v>
      </c>
      <c r="AB755" s="27" t="s">
        <v>7</v>
      </c>
      <c r="AE755" s="27" t="s">
        <v>8</v>
      </c>
      <c r="AF755" s="27" t="s">
        <v>7</v>
      </c>
      <c r="AI755" s="27" t="s">
        <v>8</v>
      </c>
      <c r="AL755" s="27" t="s">
        <v>7</v>
      </c>
      <c r="AM755" s="27" t="s">
        <v>8</v>
      </c>
      <c r="AN755" s="27" t="s">
        <v>7</v>
      </c>
      <c r="AO755" s="27" t="s">
        <v>8</v>
      </c>
      <c r="AP755" s="27" t="s">
        <v>7</v>
      </c>
      <c r="AQ755" s="27" t="s">
        <v>8</v>
      </c>
      <c r="AR755" s="27" t="s">
        <v>7</v>
      </c>
      <c r="AS755" s="27" t="s">
        <v>8</v>
      </c>
      <c r="AT755" s="27" t="s">
        <v>7</v>
      </c>
      <c r="AW755" s="27" t="s">
        <v>8</v>
      </c>
      <c r="AX755" s="27" t="s">
        <v>7</v>
      </c>
      <c r="AY755" s="27" t="s">
        <v>8</v>
      </c>
      <c r="CV755" s="27" t="s">
        <v>7</v>
      </c>
      <c r="CW755" s="27" t="s">
        <v>8</v>
      </c>
      <c r="CX755" s="27" t="s">
        <v>7</v>
      </c>
      <c r="DA755" s="27" t="s">
        <v>8</v>
      </c>
      <c r="DB755" s="27" t="s">
        <v>7</v>
      </c>
      <c r="DC755" s="27" t="s">
        <v>8</v>
      </c>
      <c r="DG755" s="27" t="s">
        <v>8</v>
      </c>
      <c r="DH755" s="27" t="s">
        <v>7</v>
      </c>
      <c r="DI755" s="27" t="s">
        <v>8</v>
      </c>
    </row>
    <row r="756" spans="1:118" x14ac:dyDescent="0.25">
      <c r="A756" s="7">
        <v>3.5202294527776436E-2</v>
      </c>
      <c r="B756"/>
      <c r="C756"/>
      <c r="D756"/>
      <c r="E756"/>
      <c r="J756" s="27" t="s">
        <v>7</v>
      </c>
      <c r="K756" s="27" t="s">
        <v>8</v>
      </c>
      <c r="L756" s="27" t="s">
        <v>7</v>
      </c>
      <c r="S756" s="27" t="s">
        <v>8</v>
      </c>
      <c r="T756" s="27" t="s">
        <v>7</v>
      </c>
      <c r="U756" s="27" t="s">
        <v>8</v>
      </c>
      <c r="V756" s="27" t="s">
        <v>7</v>
      </c>
      <c r="Y756" s="27" t="s">
        <v>8</v>
      </c>
      <c r="Z756" s="27" t="s">
        <v>7</v>
      </c>
      <c r="AA756" s="27" t="s">
        <v>8</v>
      </c>
      <c r="AB756" s="27" t="s">
        <v>7</v>
      </c>
      <c r="AE756" s="27" t="s">
        <v>8</v>
      </c>
      <c r="AF756" s="27" t="s">
        <v>7</v>
      </c>
      <c r="AG756" s="27" t="s">
        <v>8</v>
      </c>
      <c r="AI756" s="27" t="s">
        <v>8</v>
      </c>
      <c r="AL756" s="27" t="s">
        <v>7</v>
      </c>
      <c r="AN756" s="27" t="s">
        <v>7</v>
      </c>
      <c r="AP756" s="27" t="s">
        <v>7</v>
      </c>
      <c r="AR756" s="27" t="s">
        <v>7</v>
      </c>
      <c r="AT756" s="27" t="s">
        <v>7</v>
      </c>
      <c r="AW756" s="27" t="s">
        <v>8</v>
      </c>
      <c r="AX756" s="27" t="s">
        <v>7</v>
      </c>
      <c r="AY756" s="27" t="s">
        <v>8</v>
      </c>
      <c r="CV756" s="27" t="s">
        <v>7</v>
      </c>
      <c r="CW756" s="27" t="s">
        <v>8</v>
      </c>
      <c r="CX756" s="27" t="s">
        <v>7</v>
      </c>
      <c r="CY756" s="27" t="s">
        <v>8</v>
      </c>
      <c r="DA756" s="27" t="s">
        <v>8</v>
      </c>
      <c r="DB756" s="27" t="s">
        <v>7</v>
      </c>
      <c r="DC756" s="27" t="s">
        <v>8</v>
      </c>
      <c r="DD756" s="27" t="s">
        <v>7</v>
      </c>
      <c r="DG756" s="27" t="s">
        <v>8</v>
      </c>
      <c r="DH756" s="27" t="s">
        <v>7</v>
      </c>
      <c r="DI756" s="27" t="s">
        <v>8</v>
      </c>
    </row>
    <row r="757" spans="1:118" x14ac:dyDescent="0.25">
      <c r="A757" s="7">
        <v>3.451205345860435E-2</v>
      </c>
      <c r="B757"/>
      <c r="C757"/>
      <c r="D757"/>
      <c r="E757"/>
      <c r="J757" s="27" t="s">
        <v>7</v>
      </c>
      <c r="K757" s="27" t="s">
        <v>8</v>
      </c>
      <c r="L757" s="27" t="s">
        <v>7</v>
      </c>
      <c r="S757" s="27" t="s">
        <v>8</v>
      </c>
      <c r="T757" s="27" t="s">
        <v>7</v>
      </c>
      <c r="U757" s="27" t="s">
        <v>8</v>
      </c>
      <c r="V757" s="27" t="s">
        <v>7</v>
      </c>
      <c r="W757" s="27" t="s">
        <v>8</v>
      </c>
      <c r="Y757" s="27" t="s">
        <v>8</v>
      </c>
      <c r="Z757" s="27" t="s">
        <v>7</v>
      </c>
      <c r="AA757" s="27" t="s">
        <v>8</v>
      </c>
      <c r="AB757" s="27" t="s">
        <v>7</v>
      </c>
      <c r="AE757" s="27" t="s">
        <v>8</v>
      </c>
      <c r="AF757" s="27" t="s">
        <v>7</v>
      </c>
      <c r="AG757" s="27" t="s">
        <v>8</v>
      </c>
      <c r="AH757" s="27" t="s">
        <v>7</v>
      </c>
      <c r="AI757" s="27" t="s">
        <v>8</v>
      </c>
      <c r="AT757" s="27" t="s">
        <v>7</v>
      </c>
      <c r="AU757" s="27" t="s">
        <v>8</v>
      </c>
      <c r="AW757" s="27" t="s">
        <v>8</v>
      </c>
      <c r="AX757" s="27" t="s">
        <v>7</v>
      </c>
      <c r="AY757" s="27" t="s">
        <v>8</v>
      </c>
      <c r="CV757" s="27" t="s">
        <v>7</v>
      </c>
      <c r="CW757" s="27" t="s">
        <v>8</v>
      </c>
      <c r="CX757" s="27" t="s">
        <v>7</v>
      </c>
      <c r="CY757" s="27" t="s">
        <v>8</v>
      </c>
      <c r="CZ757" s="27" t="s">
        <v>7</v>
      </c>
      <c r="DA757" s="27" t="s">
        <v>8</v>
      </c>
      <c r="DB757" s="27" t="s">
        <v>7</v>
      </c>
      <c r="DC757" s="27" t="s">
        <v>8</v>
      </c>
      <c r="DD757" s="27" t="s">
        <v>7</v>
      </c>
      <c r="DG757" s="27" t="s">
        <v>8</v>
      </c>
      <c r="DH757" s="27" t="s">
        <v>7</v>
      </c>
      <c r="DI757" s="27" t="s">
        <v>8</v>
      </c>
    </row>
    <row r="758" spans="1:118" x14ac:dyDescent="0.25">
      <c r="A758" s="7">
        <v>3.3835346528043479E-2</v>
      </c>
      <c r="B758"/>
      <c r="C758"/>
      <c r="D758"/>
      <c r="E758"/>
      <c r="J758" s="27" t="s">
        <v>7</v>
      </c>
      <c r="L758" s="27" t="s">
        <v>7</v>
      </c>
      <c r="M758" s="27" t="s">
        <v>8</v>
      </c>
      <c r="S758" s="27" t="s">
        <v>8</v>
      </c>
      <c r="T758" s="27" t="s">
        <v>7</v>
      </c>
      <c r="V758" s="27" t="s">
        <v>7</v>
      </c>
      <c r="W758" s="27" t="s">
        <v>8</v>
      </c>
      <c r="X758" s="27" t="s">
        <v>7</v>
      </c>
      <c r="Y758" s="27" t="s">
        <v>8</v>
      </c>
      <c r="Z758" s="27" t="s">
        <v>7</v>
      </c>
      <c r="AA758" s="27" t="s">
        <v>8</v>
      </c>
      <c r="AB758" s="27" t="s">
        <v>7</v>
      </c>
      <c r="AC758" s="27" t="s">
        <v>8</v>
      </c>
      <c r="AE758" s="27" t="s">
        <v>8</v>
      </c>
      <c r="AF758" s="27" t="s">
        <v>7</v>
      </c>
      <c r="AG758" s="27" t="s">
        <v>8</v>
      </c>
      <c r="AH758" s="27" t="s">
        <v>7</v>
      </c>
      <c r="AI758" s="27" t="s">
        <v>8</v>
      </c>
      <c r="AT758" s="27" t="s">
        <v>7</v>
      </c>
      <c r="AU758" s="27" t="s">
        <v>8</v>
      </c>
      <c r="AV758" s="27" t="s">
        <v>7</v>
      </c>
      <c r="AW758" s="27" t="s">
        <v>8</v>
      </c>
      <c r="AX758" s="27" t="s">
        <v>7</v>
      </c>
      <c r="AY758" s="27" t="s">
        <v>8</v>
      </c>
      <c r="CV758" s="27" t="s">
        <v>7</v>
      </c>
      <c r="CW758" s="27" t="s">
        <v>8</v>
      </c>
      <c r="CX758" s="27" t="s">
        <v>7</v>
      </c>
      <c r="CY758" s="27" t="s">
        <v>8</v>
      </c>
      <c r="CZ758" s="27" t="s">
        <v>7</v>
      </c>
      <c r="DA758" s="27" t="s">
        <v>8</v>
      </c>
      <c r="DB758" s="27" t="s">
        <v>7</v>
      </c>
      <c r="DC758" s="27" t="s">
        <v>8</v>
      </c>
      <c r="DD758" s="27" t="s">
        <v>7</v>
      </c>
      <c r="DG758" s="27" t="s">
        <v>8</v>
      </c>
      <c r="DH758" s="27" t="s">
        <v>7</v>
      </c>
      <c r="DI758" s="27" t="s">
        <v>8</v>
      </c>
    </row>
    <row r="759" spans="1:118" x14ac:dyDescent="0.25">
      <c r="A759" s="7">
        <v>3.3171908360826938E-2</v>
      </c>
      <c r="B759"/>
      <c r="C759"/>
      <c r="D759"/>
      <c r="E759"/>
      <c r="L759" s="27" t="s">
        <v>7</v>
      </c>
      <c r="M759" s="27" t="s">
        <v>8</v>
      </c>
      <c r="N759" s="27" t="s">
        <v>7</v>
      </c>
      <c r="S759" s="27" t="s">
        <v>8</v>
      </c>
      <c r="V759" s="27" t="s">
        <v>7</v>
      </c>
      <c r="W759" s="27" t="s">
        <v>8</v>
      </c>
      <c r="X759" s="27" t="s">
        <v>7</v>
      </c>
      <c r="Y759" s="27" t="s">
        <v>8</v>
      </c>
      <c r="Z759" s="27" t="s">
        <v>7</v>
      </c>
      <c r="AA759" s="27" t="s">
        <v>8</v>
      </c>
      <c r="AB759" s="27" t="s">
        <v>7</v>
      </c>
      <c r="AC759" s="27" t="s">
        <v>8</v>
      </c>
      <c r="AD759" s="27" t="s">
        <v>7</v>
      </c>
      <c r="AE759" s="27" t="s">
        <v>8</v>
      </c>
      <c r="AF759" s="27" t="s">
        <v>7</v>
      </c>
      <c r="AG759" s="27" t="s">
        <v>8</v>
      </c>
      <c r="AH759" s="27" t="s">
        <v>7</v>
      </c>
      <c r="AI759" s="27" t="s">
        <v>8</v>
      </c>
      <c r="AT759" s="27" t="s">
        <v>7</v>
      </c>
      <c r="AU759" s="27" t="s">
        <v>8</v>
      </c>
      <c r="AV759" s="27" t="s">
        <v>7</v>
      </c>
      <c r="AW759" s="27" t="s">
        <v>8</v>
      </c>
      <c r="AX759" s="27" t="s">
        <v>7</v>
      </c>
      <c r="CV759" s="27" t="s">
        <v>7</v>
      </c>
      <c r="CW759" s="27" t="s">
        <v>8</v>
      </c>
      <c r="CX759" s="27" t="s">
        <v>7</v>
      </c>
      <c r="CZ759" s="27" t="s">
        <v>7</v>
      </c>
      <c r="DA759" s="27" t="s">
        <v>8</v>
      </c>
      <c r="DB759" s="27" t="s">
        <v>7</v>
      </c>
      <c r="DC759" s="27" t="s">
        <v>8</v>
      </c>
      <c r="DD759" s="27" t="s">
        <v>7</v>
      </c>
      <c r="DG759" s="27" t="s">
        <v>8</v>
      </c>
      <c r="DH759" s="27" t="s">
        <v>7</v>
      </c>
      <c r="DI759" s="27" t="s">
        <v>8</v>
      </c>
    </row>
    <row r="760" spans="1:118" x14ac:dyDescent="0.25">
      <c r="A760" s="7">
        <v>3.2521478785124451E-2</v>
      </c>
      <c r="B760"/>
      <c r="C760"/>
      <c r="D760"/>
      <c r="E760"/>
      <c r="L760" s="27" t="s">
        <v>7</v>
      </c>
      <c r="M760" s="27" t="s">
        <v>8</v>
      </c>
      <c r="N760" s="27" t="s">
        <v>7</v>
      </c>
      <c r="S760" s="27" t="s">
        <v>8</v>
      </c>
      <c r="V760" s="27" t="s">
        <v>7</v>
      </c>
      <c r="X760" s="27" t="s">
        <v>7</v>
      </c>
      <c r="Y760" s="27" t="s">
        <v>8</v>
      </c>
      <c r="Z760" s="27" t="s">
        <v>7</v>
      </c>
      <c r="AA760" s="27" t="s">
        <v>8</v>
      </c>
      <c r="AB760" s="27" t="s">
        <v>7</v>
      </c>
      <c r="AC760" s="27" t="s">
        <v>8</v>
      </c>
      <c r="AD760" s="27" t="s">
        <v>7</v>
      </c>
      <c r="AE760" s="27" t="s">
        <v>8</v>
      </c>
      <c r="AF760" s="27" t="s">
        <v>7</v>
      </c>
      <c r="AH760" s="27" t="s">
        <v>7</v>
      </c>
      <c r="AI760" s="27" t="s">
        <v>8</v>
      </c>
      <c r="AT760" s="27" t="s">
        <v>7</v>
      </c>
      <c r="AU760" s="27" t="s">
        <v>8</v>
      </c>
      <c r="AV760" s="27" t="s">
        <v>7</v>
      </c>
      <c r="CV760" s="27" t="s">
        <v>7</v>
      </c>
      <c r="CW760" s="27" t="s">
        <v>8</v>
      </c>
      <c r="CZ760" s="27" t="s">
        <v>7</v>
      </c>
      <c r="DA760" s="27" t="s">
        <v>8</v>
      </c>
      <c r="DB760" s="27" t="s">
        <v>7</v>
      </c>
      <c r="DD760" s="27" t="s">
        <v>7</v>
      </c>
      <c r="DG760" s="27" t="s">
        <v>8</v>
      </c>
      <c r="DH760" s="27" t="s">
        <v>7</v>
      </c>
    </row>
    <row r="761" spans="1:118" x14ac:dyDescent="0.25">
      <c r="A761" s="7">
        <v>3.1883802730514173E-2</v>
      </c>
      <c r="B761"/>
      <c r="C761"/>
      <c r="D761"/>
      <c r="E761"/>
      <c r="L761" s="27" t="s">
        <v>7</v>
      </c>
      <c r="M761" s="27" t="s">
        <v>8</v>
      </c>
      <c r="N761" s="27" t="s">
        <v>7</v>
      </c>
      <c r="S761" s="27" t="s">
        <v>8</v>
      </c>
      <c r="X761" s="27" t="s">
        <v>7</v>
      </c>
      <c r="Y761" s="27" t="s">
        <v>8</v>
      </c>
      <c r="Z761" s="27" t="s">
        <v>7</v>
      </c>
      <c r="AA761" s="27" t="s">
        <v>8</v>
      </c>
      <c r="AB761" s="27" t="s">
        <v>7</v>
      </c>
      <c r="AD761" s="27" t="s">
        <v>7</v>
      </c>
      <c r="AE761" s="27" t="s">
        <v>8</v>
      </c>
      <c r="AH761" s="27" t="s">
        <v>7</v>
      </c>
      <c r="AT761" s="27" t="s">
        <v>7</v>
      </c>
      <c r="CV761" s="27" t="s">
        <v>7</v>
      </c>
      <c r="CZ761" s="27" t="s">
        <v>7</v>
      </c>
      <c r="DA761" s="27" t="s">
        <v>8</v>
      </c>
      <c r="DD761" s="27" t="s">
        <v>7</v>
      </c>
      <c r="DE761" s="27" t="s">
        <v>8</v>
      </c>
      <c r="DG761" s="27" t="s">
        <v>8</v>
      </c>
    </row>
    <row r="762" spans="1:118" x14ac:dyDescent="0.25">
      <c r="A762" s="7">
        <v>3.1258630127955073E-2</v>
      </c>
      <c r="B762"/>
      <c r="C762"/>
      <c r="D762"/>
      <c r="E762"/>
      <c r="L762" s="27" t="s">
        <v>7</v>
      </c>
      <c r="N762" s="27" t="s">
        <v>7</v>
      </c>
      <c r="S762" s="27" t="s">
        <v>8</v>
      </c>
      <c r="X762" s="27" t="s">
        <v>7</v>
      </c>
      <c r="Y762" s="27" t="s">
        <v>8</v>
      </c>
      <c r="Z762" s="27" t="s">
        <v>7</v>
      </c>
      <c r="AA762" s="27" t="s">
        <v>8</v>
      </c>
      <c r="AD762" s="27" t="s">
        <v>7</v>
      </c>
      <c r="AE762" s="27" t="s">
        <v>8</v>
      </c>
      <c r="CZ762" s="27" t="s">
        <v>7</v>
      </c>
      <c r="DA762" s="27" t="s">
        <v>8</v>
      </c>
      <c r="DD762" s="27" t="s">
        <v>7</v>
      </c>
      <c r="DE762" s="27" t="s">
        <v>8</v>
      </c>
      <c r="DF762" s="27" t="s">
        <v>7</v>
      </c>
      <c r="DG762" s="27" t="s">
        <v>8</v>
      </c>
    </row>
    <row r="763" spans="1:118" x14ac:dyDescent="0.25">
      <c r="A763" s="7">
        <v>3.064571581172066E-2</v>
      </c>
      <c r="B763"/>
      <c r="C763"/>
      <c r="D763"/>
      <c r="E763"/>
      <c r="N763" s="27" t="s">
        <v>7</v>
      </c>
      <c r="O763" s="27" t="s">
        <v>8</v>
      </c>
      <c r="Q763" s="27" t="s">
        <v>8</v>
      </c>
      <c r="S763" s="27" t="s">
        <v>8</v>
      </c>
      <c r="X763" s="27" t="s">
        <v>7</v>
      </c>
      <c r="Y763" s="27" t="s">
        <v>8</v>
      </c>
      <c r="Z763" s="27" t="s">
        <v>7</v>
      </c>
      <c r="AA763" s="27" t="s">
        <v>8</v>
      </c>
      <c r="AD763" s="27" t="s">
        <v>7</v>
      </c>
      <c r="CZ763" s="27" t="s">
        <v>7</v>
      </c>
      <c r="DD763" s="27" t="s">
        <v>7</v>
      </c>
      <c r="DE763" s="27" t="s">
        <v>8</v>
      </c>
      <c r="DF763" s="27" t="s">
        <v>7</v>
      </c>
      <c r="DG763" s="27" t="s">
        <v>8</v>
      </c>
    </row>
    <row r="764" spans="1:118" x14ac:dyDescent="0.25">
      <c r="A764" s="7">
        <v>3.0044819423255549E-2</v>
      </c>
      <c r="B764"/>
      <c r="C764"/>
      <c r="D764"/>
      <c r="E764"/>
      <c r="N764" s="27" t="s">
        <v>7</v>
      </c>
      <c r="O764" s="27" t="s">
        <v>8</v>
      </c>
      <c r="P764" s="27" t="s">
        <v>7</v>
      </c>
      <c r="Q764" s="27" t="s">
        <v>8</v>
      </c>
      <c r="R764" s="27" t="s">
        <v>7</v>
      </c>
      <c r="S764" s="27" t="s">
        <v>8</v>
      </c>
      <c r="X764" s="27" t="s">
        <v>7</v>
      </c>
      <c r="Z764" s="27" t="s">
        <v>7</v>
      </c>
      <c r="DD764" s="27" t="s">
        <v>7</v>
      </c>
      <c r="DE764" s="27" t="s">
        <v>8</v>
      </c>
      <c r="DF764" s="27" t="s">
        <v>7</v>
      </c>
      <c r="DG764" s="27" t="s">
        <v>8</v>
      </c>
    </row>
    <row r="765" spans="1:118" x14ac:dyDescent="0.25">
      <c r="A765" s="7">
        <v>2.9455705316917203E-2</v>
      </c>
      <c r="B765"/>
      <c r="C765"/>
      <c r="D765"/>
      <c r="E765"/>
      <c r="N765" s="27" t="s">
        <v>7</v>
      </c>
      <c r="O765" s="27" t="s">
        <v>8</v>
      </c>
      <c r="P765" s="27" t="s">
        <v>7</v>
      </c>
      <c r="Q765" s="27" t="s">
        <v>8</v>
      </c>
      <c r="R765" s="27" t="s">
        <v>7</v>
      </c>
      <c r="S765" s="27" t="s">
        <v>8</v>
      </c>
      <c r="DD765" s="27" t="s">
        <v>7</v>
      </c>
      <c r="DE765" s="27" t="s">
        <v>8</v>
      </c>
      <c r="DF765" s="27" t="s">
        <v>7</v>
      </c>
      <c r="DG765" s="27" t="s">
        <v>8</v>
      </c>
    </row>
    <row r="766" spans="1:118" x14ac:dyDescent="0.25">
      <c r="A766" s="7">
        <v>2.8878142467565884E-2</v>
      </c>
      <c r="B766"/>
      <c r="C766"/>
      <c r="D766"/>
      <c r="E766"/>
      <c r="N766" s="27" t="s">
        <v>7</v>
      </c>
      <c r="O766" s="27" t="s">
        <v>8</v>
      </c>
      <c r="P766" s="27" t="s">
        <v>7</v>
      </c>
      <c r="Q766" s="27" t="s">
        <v>8</v>
      </c>
      <c r="R766" s="27" t="s">
        <v>7</v>
      </c>
      <c r="S766" s="27" t="s">
        <v>8</v>
      </c>
      <c r="DD766" s="27" t="s">
        <v>7</v>
      </c>
      <c r="DE766" s="27" t="s">
        <v>8</v>
      </c>
      <c r="DF766" s="27" t="s">
        <v>7</v>
      </c>
      <c r="DG766" s="27" t="s">
        <v>8</v>
      </c>
    </row>
    <row r="767" spans="1:118" x14ac:dyDescent="0.25">
      <c r="A767" s="7">
        <v>2.8311904379966554E-2</v>
      </c>
      <c r="B767"/>
      <c r="C767"/>
      <c r="D767"/>
      <c r="E767"/>
      <c r="N767" s="27" t="s">
        <v>7</v>
      </c>
      <c r="O767" s="27" t="s">
        <v>8</v>
      </c>
      <c r="P767" s="27" t="s">
        <v>7</v>
      </c>
      <c r="Q767" s="27" t="s">
        <v>8</v>
      </c>
      <c r="R767" s="27" t="s">
        <v>7</v>
      </c>
      <c r="S767" s="27" t="s">
        <v>8</v>
      </c>
      <c r="DD767" s="27" t="s">
        <v>7</v>
      </c>
      <c r="DE767" s="27" t="s">
        <v>8</v>
      </c>
      <c r="DF767" s="27" t="s">
        <v>7</v>
      </c>
      <c r="DG767" s="27" t="s">
        <v>8</v>
      </c>
    </row>
    <row r="768" spans="1:118" x14ac:dyDescent="0.25">
      <c r="A768" s="7">
        <v>2.7756768999967207E-2</v>
      </c>
      <c r="B768"/>
      <c r="C768"/>
      <c r="D768"/>
      <c r="E768"/>
      <c r="N768" s="27" t="s">
        <v>7</v>
      </c>
      <c r="O768" s="27" t="s">
        <v>8</v>
      </c>
      <c r="P768" s="27" t="s">
        <v>7</v>
      </c>
      <c r="Q768" s="27" t="s">
        <v>8</v>
      </c>
      <c r="R768" s="27" t="s">
        <v>7</v>
      </c>
      <c r="DD768" s="27" t="s">
        <v>7</v>
      </c>
      <c r="DE768" s="27" t="s">
        <v>8</v>
      </c>
      <c r="DF768" s="27" t="s">
        <v>7</v>
      </c>
    </row>
    <row r="769" spans="1:109" x14ac:dyDescent="0.25">
      <c r="A769" s="7">
        <v>2.7212518627418834E-2</v>
      </c>
      <c r="B769"/>
      <c r="C769"/>
      <c r="D769"/>
      <c r="E769"/>
      <c r="N769" s="27" t="s">
        <v>7</v>
      </c>
      <c r="O769" s="27" t="s">
        <v>8</v>
      </c>
      <c r="P769" s="27" t="s">
        <v>7</v>
      </c>
      <c r="DD769" s="27" t="s">
        <v>7</v>
      </c>
      <c r="DE769" s="27" t="s">
        <v>8</v>
      </c>
    </row>
    <row r="770" spans="1:109" x14ac:dyDescent="0.25">
      <c r="A770" s="7">
        <v>2.6678939830802779E-2</v>
      </c>
      <c r="B770"/>
      <c r="C770"/>
      <c r="D770"/>
      <c r="E770"/>
      <c r="N770" s="27" t="s">
        <v>7</v>
      </c>
      <c r="DD770" s="27" t="s">
        <v>7</v>
      </c>
    </row>
    <row r="771" spans="1:109" x14ac:dyDescent="0.25">
      <c r="A771" s="7">
        <v>2.615582336353214E-2</v>
      </c>
      <c r="B771"/>
      <c r="C771"/>
      <c r="D771"/>
      <c r="E771"/>
    </row>
    <row r="772" spans="1:109" x14ac:dyDescent="0.25">
      <c r="A772" s="7">
        <v>2.5642964081894253E-2</v>
      </c>
      <c r="B772"/>
      <c r="C772"/>
      <c r="D772"/>
      <c r="E772"/>
    </row>
    <row r="773" spans="1:109" x14ac:dyDescent="0.25">
      <c r="A773" s="7">
        <v>2.5140160864602207E-2</v>
      </c>
      <c r="B773"/>
      <c r="C773"/>
      <c r="D773"/>
      <c r="E773"/>
    </row>
    <row r="774" spans="1:109" x14ac:dyDescent="0.25">
      <c r="A774" s="7">
        <v>2.4647216533923735E-2</v>
      </c>
      <c r="B774"/>
      <c r="C774"/>
      <c r="D774"/>
      <c r="E774"/>
    </row>
    <row r="775" spans="1:109" x14ac:dyDescent="0.25">
      <c r="A775" s="7">
        <v>2.4163937778356601E-2</v>
      </c>
      <c r="B775"/>
      <c r="C775"/>
      <c r="D775"/>
      <c r="E775"/>
    </row>
    <row r="776" spans="1:109" x14ac:dyDescent="0.25">
      <c r="A776" s="7">
        <v>2.3690135076820197E-2</v>
      </c>
      <c r="B776"/>
      <c r="C776"/>
      <c r="D776"/>
      <c r="E776"/>
    </row>
    <row r="777" spans="1:109" x14ac:dyDescent="0.25">
      <c r="A777" s="7">
        <v>2.3225622624333527E-2</v>
      </c>
      <c r="B777"/>
      <c r="C777"/>
      <c r="D777"/>
      <c r="E777"/>
    </row>
    <row r="778" spans="1:109" x14ac:dyDescent="0.25">
      <c r="A778" s="7">
        <v>2.2770218259150519E-2</v>
      </c>
      <c r="B778"/>
      <c r="C778"/>
      <c r="D778"/>
      <c r="E778"/>
    </row>
    <row r="779" spans="1:109" x14ac:dyDescent="0.25">
      <c r="A779" s="7">
        <v>2.2323743391324039E-2</v>
      </c>
      <c r="B779"/>
      <c r="C779"/>
      <c r="D779"/>
      <c r="E779"/>
    </row>
    <row r="780" spans="1:109" x14ac:dyDescent="0.25">
      <c r="A780" s="7">
        <v>2.188602293267063E-2</v>
      </c>
      <c r="B780"/>
      <c r="C780"/>
      <c r="D780"/>
      <c r="E780"/>
    </row>
    <row r="781" spans="1:109" x14ac:dyDescent="0.25">
      <c r="A781" s="7">
        <v>2.1456885228108461E-2</v>
      </c>
      <c r="B781"/>
      <c r="C781"/>
      <c r="D781"/>
      <c r="E781"/>
    </row>
    <row r="782" spans="1:109" x14ac:dyDescent="0.25">
      <c r="A782" s="7">
        <v>2.1036161988341632E-2</v>
      </c>
      <c r="B782"/>
      <c r="C782"/>
      <c r="D782"/>
      <c r="E782"/>
    </row>
    <row r="783" spans="1:109" x14ac:dyDescent="0.25">
      <c r="A783" s="7">
        <v>2.0623688223864345E-2</v>
      </c>
      <c r="B783"/>
      <c r="C783"/>
      <c r="D783"/>
      <c r="E783"/>
    </row>
    <row r="784" spans="1:109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50" operator="equal">
      <formula>$U$1</formula>
    </cfRule>
    <cfRule type="cellIs" dxfId="89" priority="1051" operator="equal">
      <formula>$S$1</formula>
    </cfRule>
  </conditionalFormatting>
  <conditionalFormatting sqref="D27">
    <cfRule type="cellIs" dxfId="88" priority="1048" operator="equal">
      <formula>$S$1</formula>
    </cfRule>
    <cfRule type="cellIs" dxfId="87" priority="1049" operator="equal">
      <formula>$U$1</formula>
    </cfRule>
  </conditionalFormatting>
  <conditionalFormatting sqref="C164">
    <cfRule type="cellIs" dxfId="86" priority="1046" operator="equal">
      <formula>$U$1</formula>
    </cfRule>
    <cfRule type="cellIs" dxfId="85" priority="1047" operator="equal">
      <formula>$S$1</formula>
    </cfRule>
  </conditionalFormatting>
  <conditionalFormatting sqref="D164">
    <cfRule type="cellIs" dxfId="84" priority="1044" operator="equal">
      <formula>$S$1</formula>
    </cfRule>
    <cfRule type="cellIs" dxfId="83" priority="1045" operator="equal">
      <formula>$U$1</formula>
    </cfRule>
  </conditionalFormatting>
  <conditionalFormatting sqref="C55">
    <cfRule type="cellIs" dxfId="82" priority="1042" operator="equal">
      <formula>$U$1</formula>
    </cfRule>
    <cfRule type="cellIs" dxfId="81" priority="1043" operator="equal">
      <formula>$S$1</formula>
    </cfRule>
  </conditionalFormatting>
  <conditionalFormatting sqref="D55">
    <cfRule type="cellIs" dxfId="80" priority="1040" operator="equal">
      <formula>$S$1</formula>
    </cfRule>
    <cfRule type="cellIs" dxfId="79" priority="1041" operator="equal">
      <formula>$U$1</formula>
    </cfRule>
  </conditionalFormatting>
  <conditionalFormatting sqref="C89">
    <cfRule type="cellIs" dxfId="78" priority="1038" operator="equal">
      <formula>$U$1</formula>
    </cfRule>
    <cfRule type="cellIs" dxfId="77" priority="1039" operator="equal">
      <formula>$S$1</formula>
    </cfRule>
  </conditionalFormatting>
  <conditionalFormatting sqref="D89">
    <cfRule type="cellIs" dxfId="76" priority="1036" operator="equal">
      <formula>$S$1</formula>
    </cfRule>
    <cfRule type="cellIs" dxfId="75" priority="1037" operator="equal">
      <formula>$U$1</formula>
    </cfRule>
  </conditionalFormatting>
  <conditionalFormatting sqref="C136">
    <cfRule type="cellIs" dxfId="74" priority="1034" operator="equal">
      <formula>$U$1</formula>
    </cfRule>
    <cfRule type="cellIs" dxfId="73" priority="1035" operator="equal">
      <formula>$S$1</formula>
    </cfRule>
  </conditionalFormatting>
  <conditionalFormatting sqref="D136">
    <cfRule type="cellIs" dxfId="72" priority="1032" operator="equal">
      <formula>$S$1</formula>
    </cfRule>
    <cfRule type="cellIs" dxfId="71" priority="1033" operator="equal">
      <formula>$U$1</formula>
    </cfRule>
  </conditionalFormatting>
  <conditionalFormatting sqref="C1">
    <cfRule type="cellIs" dxfId="70" priority="103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C255" sqref="GC25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$A$254</v>
      </c>
      <c r="D111" s="1" t="str">
        <f>ADDRESS(C121-1,D121,1,1)</f>
        <v>$GC$254</v>
      </c>
      <c r="E111"/>
    </row>
    <row r="112" spans="1:5" x14ac:dyDescent="0.25">
      <c r="A112" s="30">
        <v>515.50191262726139</v>
      </c>
      <c r="C112" s="1" t="str">
        <f>ADDRESS(C121,1,1,1)</f>
        <v>$A$255</v>
      </c>
      <c r="D112" s="1" t="str">
        <f>ADDRESS(C121,D121-1,1,1)</f>
        <v>$GB$255</v>
      </c>
      <c r="E112"/>
    </row>
    <row r="113" spans="1:5" x14ac:dyDescent="0.25">
      <c r="A113" s="30">
        <v>490.95420250215363</v>
      </c>
      <c r="C113" s="1" t="str">
        <f>ADDRESS(C121+1,1,1,1)</f>
        <v>$A$256</v>
      </c>
      <c r="D113" s="1" t="str">
        <f>ADDRESS(C121-1,D121+1,1,1)</f>
        <v>$GD$254</v>
      </c>
    </row>
    <row r="114" spans="1:5" x14ac:dyDescent="0.25">
      <c r="A114" s="30">
        <v>467.57543095443202</v>
      </c>
      <c r="C114" s="1" t="str">
        <f>ADDRESS(C121,D121,1,1)</f>
        <v>$GC$255</v>
      </c>
      <c r="D114" s="1" t="str">
        <f>ADDRESS(C121+1,D121+1,1,1)</f>
        <v>$GD$256</v>
      </c>
    </row>
    <row r="115" spans="1:5" x14ac:dyDescent="0.25">
      <c r="A115" s="30">
        <v>445.30993424231622</v>
      </c>
      <c r="C115" s="1" t="str">
        <f>ADDRESS(C121+1,D121,1,1)</f>
        <v>$GC$256</v>
      </c>
    </row>
    <row r="116" spans="1:5" x14ac:dyDescent="0.25">
      <c r="A116" s="30">
        <v>424.10469927839637</v>
      </c>
      <c r="C116" s="1">
        <f>C117-1</f>
        <v>254</v>
      </c>
    </row>
    <row r="117" spans="1:5" x14ac:dyDescent="0.25">
      <c r="A117" s="30">
        <v>403.9092374079965</v>
      </c>
      <c r="C117" s="1">
        <f>C121</f>
        <v>255</v>
      </c>
      <c r="D117" s="1">
        <f>D121</f>
        <v>185</v>
      </c>
    </row>
    <row r="118" spans="1:5" x14ac:dyDescent="0.25">
      <c r="A118" s="30">
        <v>384.6754641980919</v>
      </c>
      <c r="C118" s="1">
        <f>C117+1</f>
        <v>256</v>
      </c>
      <c r="D118" s="1">
        <f>D117+1</f>
        <v>186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255</v>
      </c>
      <c r="D121" s="19">
        <v>185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R255</v>
      </c>
      <c r="D123" s="1" t="str">
        <f>"C"&amp;D121</f>
        <v>C185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0.48101709809096732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76" x14ac:dyDescent="0.25">
      <c r="A225" s="30">
        <v>2.0789281794113688</v>
      </c>
      <c r="E225"/>
    </row>
    <row r="226" spans="1:176" x14ac:dyDescent="0.25">
      <c r="A226" s="30">
        <v>1.9799315994393987</v>
      </c>
      <c r="E226"/>
    </row>
    <row r="227" spans="1:176" x14ac:dyDescent="0.25">
      <c r="A227" s="30">
        <v>1.8856491423232367</v>
      </c>
      <c r="E227"/>
    </row>
    <row r="228" spans="1:176" x14ac:dyDescent="0.25">
      <c r="A228" s="30">
        <v>1.7958563260221301</v>
      </c>
      <c r="C228" s="7"/>
      <c r="D228"/>
      <c r="E228"/>
    </row>
    <row r="229" spans="1:176" x14ac:dyDescent="0.25">
      <c r="A229" s="30">
        <v>1.7103393581163142</v>
      </c>
      <c r="E229"/>
      <c r="DE229" s="27" t="s">
        <v>8</v>
      </c>
      <c r="FI229" s="27" t="s">
        <v>8</v>
      </c>
    </row>
    <row r="230" spans="1:176" x14ac:dyDescent="0.25">
      <c r="A230" s="30">
        <v>1.628894626777442</v>
      </c>
      <c r="E230"/>
      <c r="DE230" s="27" t="s">
        <v>8</v>
      </c>
      <c r="DF230" s="27" t="s">
        <v>7</v>
      </c>
      <c r="FI230" s="27" t="s">
        <v>8</v>
      </c>
      <c r="FJ230" s="27" t="s">
        <v>7</v>
      </c>
    </row>
    <row r="231" spans="1:176" x14ac:dyDescent="0.25">
      <c r="A231" s="30">
        <v>1.5513282159785162</v>
      </c>
      <c r="C231"/>
      <c r="D231"/>
      <c r="E231"/>
      <c r="DE231" s="27" t="s">
        <v>8</v>
      </c>
      <c r="DF231" s="27" t="s">
        <v>7</v>
      </c>
      <c r="FI231" s="27" t="s">
        <v>8</v>
      </c>
      <c r="FJ231" s="27" t="s">
        <v>7</v>
      </c>
    </row>
    <row r="232" spans="1:176" x14ac:dyDescent="0.25">
      <c r="A232" s="30">
        <v>1.477455443789063</v>
      </c>
      <c r="E232"/>
      <c r="DE232" s="27" t="s">
        <v>8</v>
      </c>
      <c r="DF232" s="27" t="s">
        <v>7</v>
      </c>
      <c r="FI232" s="27" t="s">
        <v>8</v>
      </c>
      <c r="FJ232" s="27" t="s">
        <v>7</v>
      </c>
    </row>
    <row r="233" spans="1:176" x14ac:dyDescent="0.25">
      <c r="A233" s="30">
        <v>1.4071004226562505</v>
      </c>
      <c r="E233"/>
      <c r="DE233" s="27" t="s">
        <v>8</v>
      </c>
      <c r="DF233" s="27" t="s">
        <v>7</v>
      </c>
      <c r="FI233" s="27" t="s">
        <v>8</v>
      </c>
      <c r="FJ233" s="27" t="s">
        <v>7</v>
      </c>
    </row>
    <row r="234" spans="1:176" x14ac:dyDescent="0.25">
      <c r="A234" s="30">
        <v>1.3400956406250004</v>
      </c>
      <c r="E234"/>
      <c r="DE234" s="27" t="s">
        <v>8</v>
      </c>
      <c r="DF234" s="27" t="s">
        <v>7</v>
      </c>
      <c r="DG234" s="27" t="s">
        <v>8</v>
      </c>
      <c r="FI234" s="27" t="s">
        <v>8</v>
      </c>
      <c r="FJ234" s="27" t="s">
        <v>7</v>
      </c>
    </row>
    <row r="235" spans="1:176" x14ac:dyDescent="0.25">
      <c r="A235" s="30">
        <v>1.2762815625000004</v>
      </c>
      <c r="C235"/>
      <c r="E235"/>
      <c r="DE235" s="27" t="s">
        <v>8</v>
      </c>
      <c r="DF235" s="27" t="s">
        <v>7</v>
      </c>
      <c r="DG235" s="27" t="s">
        <v>8</v>
      </c>
      <c r="DH235" s="27" t="s">
        <v>7</v>
      </c>
      <c r="DI235" s="27" t="s">
        <v>8</v>
      </c>
      <c r="FI235" s="27" t="s">
        <v>8</v>
      </c>
      <c r="FJ235" s="27" t="s">
        <v>7</v>
      </c>
    </row>
    <row r="236" spans="1:176" x14ac:dyDescent="0.25">
      <c r="A236" s="30">
        <v>1.2155062500000002</v>
      </c>
      <c r="E236"/>
      <c r="DE236" s="27" t="s">
        <v>8</v>
      </c>
      <c r="DF236" s="27" t="s">
        <v>7</v>
      </c>
      <c r="DG236" s="27" t="s">
        <v>8</v>
      </c>
      <c r="DH236" s="27" t="s">
        <v>7</v>
      </c>
      <c r="DI236" s="27" t="s">
        <v>8</v>
      </c>
      <c r="DJ236" s="27" t="s">
        <v>7</v>
      </c>
      <c r="EI236" s="27" t="s">
        <v>8</v>
      </c>
      <c r="FI236" s="27" t="s">
        <v>8</v>
      </c>
      <c r="FJ236" s="27" t="s">
        <v>7</v>
      </c>
    </row>
    <row r="237" spans="1:17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E237" s="27" t="s">
        <v>8</v>
      </c>
      <c r="DF237" s="27" t="s">
        <v>7</v>
      </c>
      <c r="DG237" s="27" t="s">
        <v>8</v>
      </c>
      <c r="DH237" s="27" t="s">
        <v>7</v>
      </c>
      <c r="DI237" s="27" t="s">
        <v>8</v>
      </c>
      <c r="DJ237" s="27" t="s">
        <v>7</v>
      </c>
      <c r="EI237" s="27" t="s">
        <v>8</v>
      </c>
      <c r="EJ237" s="27" t="s">
        <v>7</v>
      </c>
      <c r="FI237" s="27" t="s">
        <v>8</v>
      </c>
      <c r="FJ237" s="27" t="s">
        <v>7</v>
      </c>
      <c r="FK237" s="27" t="s">
        <v>8</v>
      </c>
      <c r="FO237" s="27" t="s">
        <v>8</v>
      </c>
      <c r="FS237" s="27" t="s">
        <v>8</v>
      </c>
    </row>
    <row r="238" spans="1:176" x14ac:dyDescent="0.25">
      <c r="A238" s="30">
        <v>1.1025</v>
      </c>
      <c r="E238"/>
      <c r="DE238" s="27" t="s">
        <v>8</v>
      </c>
      <c r="DF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EI238" s="27" t="s">
        <v>8</v>
      </c>
      <c r="EJ238" s="27" t="s">
        <v>7</v>
      </c>
      <c r="FI238" s="27" t="s">
        <v>8</v>
      </c>
      <c r="FJ238" s="27" t="s">
        <v>7</v>
      </c>
      <c r="FK238" s="27" t="s">
        <v>8</v>
      </c>
      <c r="FL238" s="27" t="s">
        <v>7</v>
      </c>
      <c r="FM238" s="27" t="s">
        <v>8</v>
      </c>
      <c r="FO238" s="27" t="s">
        <v>8</v>
      </c>
      <c r="FP238" s="27" t="s">
        <v>7</v>
      </c>
      <c r="FS238" s="27" t="s">
        <v>8</v>
      </c>
      <c r="FT238" s="27" t="s">
        <v>7</v>
      </c>
    </row>
    <row r="239" spans="1:176" x14ac:dyDescent="0.25">
      <c r="A239" s="30">
        <v>1.05</v>
      </c>
      <c r="E239"/>
      <c r="DC239" s="27" t="s">
        <v>8</v>
      </c>
      <c r="DE239" s="27" t="s">
        <v>8</v>
      </c>
      <c r="DF239" s="27" t="s">
        <v>7</v>
      </c>
      <c r="DG239" s="27" t="s">
        <v>8</v>
      </c>
      <c r="DH239" s="27" t="s">
        <v>7</v>
      </c>
      <c r="DI239" s="27" t="s">
        <v>8</v>
      </c>
      <c r="DJ239" s="27" t="s">
        <v>7</v>
      </c>
      <c r="EI239" s="27" t="s">
        <v>8</v>
      </c>
      <c r="EJ239" s="27" t="s">
        <v>7</v>
      </c>
      <c r="FC239" s="27" t="s">
        <v>8</v>
      </c>
      <c r="FI239" s="27" t="s">
        <v>8</v>
      </c>
      <c r="FJ239" s="27" t="s">
        <v>7</v>
      </c>
      <c r="FK239" s="27" t="s">
        <v>8</v>
      </c>
      <c r="FL239" s="27" t="s">
        <v>7</v>
      </c>
      <c r="FM239" s="27" t="s">
        <v>8</v>
      </c>
      <c r="FN239" s="27" t="s">
        <v>7</v>
      </c>
      <c r="FO239" s="27" t="s">
        <v>8</v>
      </c>
      <c r="FP239" s="27" t="s">
        <v>7</v>
      </c>
      <c r="FQ239" s="27" t="s">
        <v>8</v>
      </c>
      <c r="FS239" s="27" t="s">
        <v>8</v>
      </c>
      <c r="FT239" s="27" t="s">
        <v>7</v>
      </c>
    </row>
    <row r="240" spans="1:176" x14ac:dyDescent="0.25">
      <c r="A240" s="30">
        <v>1</v>
      </c>
      <c r="E240" s="29" t="s">
        <v>8</v>
      </c>
      <c r="DC240" s="27" t="s">
        <v>8</v>
      </c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J240" s="27" t="s">
        <v>7</v>
      </c>
      <c r="DK240" s="27" t="s">
        <v>8</v>
      </c>
      <c r="EI240" s="27" t="s">
        <v>8</v>
      </c>
      <c r="EJ240" s="27" t="s">
        <v>7</v>
      </c>
      <c r="FC240" s="27" t="s">
        <v>8</v>
      </c>
      <c r="FD240" s="27" t="s">
        <v>7</v>
      </c>
      <c r="FI240" s="27" t="s">
        <v>8</v>
      </c>
      <c r="FJ240" s="27" t="s">
        <v>7</v>
      </c>
      <c r="FK240" s="27" t="s">
        <v>8</v>
      </c>
      <c r="FL240" s="27" t="s">
        <v>7</v>
      </c>
      <c r="FM240" s="27" t="s">
        <v>8</v>
      </c>
      <c r="FN240" s="27" t="s">
        <v>7</v>
      </c>
      <c r="FO240" s="27" t="s">
        <v>8</v>
      </c>
      <c r="FP240" s="27" t="s">
        <v>7</v>
      </c>
      <c r="FQ240" s="27" t="s">
        <v>8</v>
      </c>
      <c r="FR240" s="27" t="s">
        <v>7</v>
      </c>
      <c r="FS240" s="27" t="s">
        <v>8</v>
      </c>
      <c r="FT240" s="27" t="s">
        <v>7</v>
      </c>
    </row>
    <row r="241" spans="1:185" x14ac:dyDescent="0.25">
      <c r="A241" s="30">
        <v>0.952380952380952</v>
      </c>
      <c r="B241"/>
      <c r="C241"/>
      <c r="D241"/>
      <c r="E241"/>
      <c r="F241" s="27" t="s">
        <v>7</v>
      </c>
      <c r="DC241" s="27" t="s">
        <v>8</v>
      </c>
      <c r="DD241" s="27" t="s">
        <v>7</v>
      </c>
      <c r="DE241" s="27" t="s">
        <v>8</v>
      </c>
      <c r="DF241" s="27" t="s">
        <v>7</v>
      </c>
      <c r="DG241" s="27" t="s">
        <v>8</v>
      </c>
      <c r="DJ241" s="27" t="s">
        <v>7</v>
      </c>
      <c r="DK241" s="27" t="s">
        <v>8</v>
      </c>
      <c r="DL241" s="27" t="s">
        <v>7</v>
      </c>
      <c r="EI241" s="27" t="s">
        <v>8</v>
      </c>
      <c r="EJ241" s="27" t="s">
        <v>7</v>
      </c>
      <c r="EO241" s="27" t="s">
        <v>8</v>
      </c>
      <c r="FC241" s="27" t="s">
        <v>8</v>
      </c>
      <c r="FD241" s="27" t="s">
        <v>7</v>
      </c>
      <c r="FE241" s="27" t="s">
        <v>8</v>
      </c>
      <c r="FI241" s="27" t="s">
        <v>8</v>
      </c>
      <c r="FJ241" s="27" t="s">
        <v>7</v>
      </c>
      <c r="FK241" s="27" t="s">
        <v>8</v>
      </c>
      <c r="FL241" s="27" t="s">
        <v>7</v>
      </c>
      <c r="FN241" s="27" t="s">
        <v>7</v>
      </c>
      <c r="FP241" s="27" t="s">
        <v>7</v>
      </c>
      <c r="FQ241" s="27" t="s">
        <v>8</v>
      </c>
      <c r="FR241" s="27" t="s">
        <v>7</v>
      </c>
      <c r="FS241" s="27" t="s">
        <v>8</v>
      </c>
      <c r="FT241" s="27" t="s">
        <v>7</v>
      </c>
    </row>
    <row r="242" spans="1:185" x14ac:dyDescent="0.25">
      <c r="A242" s="30">
        <v>0.90702947845804915</v>
      </c>
      <c r="B242"/>
      <c r="C242"/>
      <c r="D242"/>
      <c r="E242"/>
      <c r="F242" s="27" t="s">
        <v>7</v>
      </c>
      <c r="DC242" s="27" t="s">
        <v>8</v>
      </c>
      <c r="DD242" s="27" t="s">
        <v>7</v>
      </c>
      <c r="DE242" s="27" t="s">
        <v>8</v>
      </c>
      <c r="DF242" s="27" t="s">
        <v>7</v>
      </c>
      <c r="DG242" s="27" t="s">
        <v>8</v>
      </c>
      <c r="DJ242" s="27" t="s">
        <v>7</v>
      </c>
      <c r="DK242" s="27" t="s">
        <v>8</v>
      </c>
      <c r="DL242" s="27" t="s">
        <v>7</v>
      </c>
      <c r="DQ242" s="27" t="s">
        <v>8</v>
      </c>
      <c r="EI242" s="27" t="s">
        <v>8</v>
      </c>
      <c r="EJ242" s="27" t="s">
        <v>7</v>
      </c>
      <c r="EK242" s="27" t="s">
        <v>8</v>
      </c>
      <c r="EM242" s="27" t="s">
        <v>8</v>
      </c>
      <c r="EO242" s="27" t="s">
        <v>8</v>
      </c>
      <c r="EP242" s="27" t="s">
        <v>7</v>
      </c>
      <c r="FC242" s="27" t="s">
        <v>8</v>
      </c>
      <c r="FD242" s="27" t="s">
        <v>7</v>
      </c>
      <c r="FE242" s="27" t="s">
        <v>8</v>
      </c>
      <c r="FF242" s="27" t="s">
        <v>7</v>
      </c>
      <c r="FG242" s="27" t="s">
        <v>8</v>
      </c>
      <c r="FI242" s="27" t="s">
        <v>8</v>
      </c>
      <c r="FJ242" s="27" t="s">
        <v>7</v>
      </c>
      <c r="FP242" s="27" t="s">
        <v>7</v>
      </c>
      <c r="FR242" s="27" t="s">
        <v>7</v>
      </c>
      <c r="FT242" s="27" t="s">
        <v>7</v>
      </c>
    </row>
    <row r="243" spans="1:185" x14ac:dyDescent="0.25">
      <c r="A243" s="30">
        <v>0.86383759853147501</v>
      </c>
      <c r="B243"/>
      <c r="C243"/>
      <c r="D243"/>
      <c r="E243"/>
      <c r="F243" s="27" t="s">
        <v>7</v>
      </c>
      <c r="CO243" s="27" t="s">
        <v>8</v>
      </c>
      <c r="DC243" s="27" t="s">
        <v>8</v>
      </c>
      <c r="DD243" s="27" t="s">
        <v>7</v>
      </c>
      <c r="DE243" s="27" t="s">
        <v>8</v>
      </c>
      <c r="DF243" s="27" t="s">
        <v>7</v>
      </c>
      <c r="DG243" s="27" t="s">
        <v>8</v>
      </c>
      <c r="DJ243" s="27" t="s">
        <v>7</v>
      </c>
      <c r="DK243" s="27" t="s">
        <v>8</v>
      </c>
      <c r="DL243" s="27" t="s">
        <v>7</v>
      </c>
      <c r="DQ243" s="27" t="s">
        <v>8</v>
      </c>
      <c r="DR243" s="27" t="s">
        <v>7</v>
      </c>
      <c r="DS243" s="27" t="s">
        <v>8</v>
      </c>
      <c r="EI243" s="27" t="s">
        <v>8</v>
      </c>
      <c r="EJ243" s="27" t="s">
        <v>7</v>
      </c>
      <c r="EK243" s="27" t="s">
        <v>8</v>
      </c>
      <c r="EL243" s="27" t="s">
        <v>7</v>
      </c>
      <c r="EM243" s="27" t="s">
        <v>8</v>
      </c>
      <c r="EN243" s="27" t="s">
        <v>7</v>
      </c>
      <c r="EO243" s="27" t="s">
        <v>8</v>
      </c>
      <c r="EP243" s="27" t="s">
        <v>7</v>
      </c>
      <c r="FC243" s="27" t="s">
        <v>8</v>
      </c>
      <c r="FD243" s="27" t="s">
        <v>7</v>
      </c>
      <c r="FE243" s="27" t="s">
        <v>8</v>
      </c>
      <c r="FF243" s="27" t="s">
        <v>7</v>
      </c>
      <c r="FG243" s="27" t="s">
        <v>8</v>
      </c>
      <c r="FH243" s="27" t="s">
        <v>7</v>
      </c>
      <c r="FI243" s="27" t="s">
        <v>8</v>
      </c>
      <c r="FT243" s="27" t="s">
        <v>7</v>
      </c>
      <c r="FU243" s="27" t="s">
        <v>8</v>
      </c>
    </row>
    <row r="244" spans="1:185" x14ac:dyDescent="0.25">
      <c r="A244" s="30">
        <v>0.82270247479188063</v>
      </c>
      <c r="B244"/>
      <c r="C244"/>
      <c r="D244"/>
      <c r="E244"/>
      <c r="F244" s="27" t="s">
        <v>7</v>
      </c>
      <c r="CO244" s="27" t="s">
        <v>8</v>
      </c>
      <c r="CP244" s="27" t="s">
        <v>7</v>
      </c>
      <c r="DC244" s="27" t="s">
        <v>8</v>
      </c>
      <c r="DD244" s="27" t="s">
        <v>7</v>
      </c>
      <c r="DE244" s="27" t="s">
        <v>8</v>
      </c>
      <c r="DF244" s="27" t="s">
        <v>7</v>
      </c>
      <c r="DJ244" s="27" t="s">
        <v>7</v>
      </c>
      <c r="DK244" s="27" t="s">
        <v>8</v>
      </c>
      <c r="DL244" s="27" t="s">
        <v>7</v>
      </c>
      <c r="DQ244" s="27" t="s">
        <v>8</v>
      </c>
      <c r="DR244" s="27" t="s">
        <v>7</v>
      </c>
      <c r="DS244" s="27" t="s">
        <v>8</v>
      </c>
      <c r="DT244" s="27" t="s">
        <v>7</v>
      </c>
      <c r="EI244" s="27" t="s">
        <v>8</v>
      </c>
      <c r="EJ244" s="27" t="s">
        <v>7</v>
      </c>
      <c r="EK244" s="27" t="s">
        <v>8</v>
      </c>
      <c r="EL244" s="27" t="s">
        <v>7</v>
      </c>
      <c r="EM244" s="27" t="s">
        <v>8</v>
      </c>
      <c r="EN244" s="27" t="s">
        <v>7</v>
      </c>
      <c r="EO244" s="27" t="s">
        <v>8</v>
      </c>
      <c r="EP244" s="27" t="s">
        <v>7</v>
      </c>
      <c r="FC244" s="27" t="s">
        <v>8</v>
      </c>
      <c r="FD244" s="27" t="s">
        <v>7</v>
      </c>
      <c r="FE244" s="27" t="s">
        <v>8</v>
      </c>
      <c r="FF244" s="27" t="s">
        <v>7</v>
      </c>
      <c r="FG244" s="27" t="s">
        <v>8</v>
      </c>
      <c r="FH244" s="27" t="s">
        <v>7</v>
      </c>
      <c r="FI244" s="27" t="s">
        <v>8</v>
      </c>
      <c r="FT244" s="27" t="s">
        <v>7</v>
      </c>
      <c r="FU244" s="27" t="s">
        <v>8</v>
      </c>
      <c r="FV244" s="27" t="s">
        <v>7</v>
      </c>
      <c r="FW244" s="27" t="s">
        <v>8</v>
      </c>
      <c r="FY244" s="27" t="s">
        <v>8</v>
      </c>
    </row>
    <row r="245" spans="1:185" x14ac:dyDescent="0.25">
      <c r="A245" s="30">
        <v>0.78352616646845741</v>
      </c>
      <c r="B245"/>
      <c r="C245"/>
      <c r="D245"/>
      <c r="E245"/>
      <c r="F245" s="27" t="s">
        <v>7</v>
      </c>
      <c r="CO245" s="27" t="s">
        <v>8</v>
      </c>
      <c r="CP245" s="27" t="s">
        <v>7</v>
      </c>
      <c r="DC245" s="27" t="s">
        <v>8</v>
      </c>
      <c r="DD245" s="27" t="s">
        <v>7</v>
      </c>
      <c r="DJ245" s="27" t="s">
        <v>7</v>
      </c>
      <c r="DK245" s="27" t="s">
        <v>8</v>
      </c>
      <c r="DL245" s="27" t="s">
        <v>7</v>
      </c>
      <c r="DM245" s="27" t="s">
        <v>8</v>
      </c>
      <c r="DQ245" s="27" t="s">
        <v>8</v>
      </c>
      <c r="DR245" s="27" t="s">
        <v>7</v>
      </c>
      <c r="DS245" s="27" t="s">
        <v>8</v>
      </c>
      <c r="DT245" s="27" t="s">
        <v>7</v>
      </c>
      <c r="EI245" s="27" t="s">
        <v>8</v>
      </c>
      <c r="EJ245" s="27" t="s">
        <v>7</v>
      </c>
      <c r="EK245" s="27" t="s">
        <v>8</v>
      </c>
      <c r="EL245" s="27" t="s">
        <v>7</v>
      </c>
      <c r="EM245" s="27" t="s">
        <v>8</v>
      </c>
      <c r="EN245" s="27" t="s">
        <v>7</v>
      </c>
      <c r="EO245" s="27" t="s">
        <v>8</v>
      </c>
      <c r="EP245" s="27" t="s">
        <v>7</v>
      </c>
      <c r="EY245" s="27" t="s">
        <v>8</v>
      </c>
      <c r="FC245" s="27" t="s">
        <v>8</v>
      </c>
      <c r="FD245" s="27" t="s">
        <v>7</v>
      </c>
      <c r="FE245" s="27" t="s">
        <v>8</v>
      </c>
      <c r="FF245" s="27" t="s">
        <v>7</v>
      </c>
      <c r="FG245" s="27" t="s">
        <v>8</v>
      </c>
      <c r="FH245" s="27" t="s">
        <v>7</v>
      </c>
      <c r="FT245" s="27" t="s">
        <v>7</v>
      </c>
      <c r="FU245" s="27" t="s">
        <v>8</v>
      </c>
      <c r="FV245" s="27" t="s">
        <v>7</v>
      </c>
      <c r="FW245" s="27" t="s">
        <v>8</v>
      </c>
      <c r="FX245" s="27" t="s">
        <v>7</v>
      </c>
      <c r="FY245" s="27" t="s">
        <v>8</v>
      </c>
      <c r="FZ245" s="27" t="s">
        <v>7</v>
      </c>
    </row>
    <row r="246" spans="1:185" x14ac:dyDescent="0.25">
      <c r="A246" s="30">
        <v>0.74621539663662584</v>
      </c>
      <c r="B246"/>
      <c r="C246"/>
      <c r="D246"/>
      <c r="E246"/>
      <c r="F246" s="27" t="s">
        <v>7</v>
      </c>
      <c r="CO246" s="27" t="s">
        <v>8</v>
      </c>
      <c r="CP246" s="27" t="s">
        <v>7</v>
      </c>
      <c r="DC246" s="27" t="s">
        <v>8</v>
      </c>
      <c r="DJ246" s="27" t="s">
        <v>7</v>
      </c>
      <c r="DK246" s="27" t="s">
        <v>8</v>
      </c>
      <c r="DL246" s="27" t="s">
        <v>7</v>
      </c>
      <c r="DM246" s="27" t="s">
        <v>8</v>
      </c>
      <c r="DN246" s="27" t="s">
        <v>7</v>
      </c>
      <c r="DO246" s="27" t="s">
        <v>8</v>
      </c>
      <c r="DQ246" s="27" t="s">
        <v>8</v>
      </c>
      <c r="DR246" s="27" t="s">
        <v>7</v>
      </c>
      <c r="DS246" s="27" t="s">
        <v>8</v>
      </c>
      <c r="DT246" s="27" t="s">
        <v>7</v>
      </c>
      <c r="DU246" s="27" t="s">
        <v>8</v>
      </c>
      <c r="EI246" s="27" t="s">
        <v>8</v>
      </c>
      <c r="EJ246" s="27" t="s">
        <v>7</v>
      </c>
      <c r="EK246" s="27" t="s">
        <v>8</v>
      </c>
      <c r="EL246" s="27" t="s">
        <v>7</v>
      </c>
      <c r="EM246" s="27" t="s">
        <v>8</v>
      </c>
      <c r="EN246" s="27" t="s">
        <v>7</v>
      </c>
      <c r="EO246" s="27" t="s">
        <v>8</v>
      </c>
      <c r="EP246" s="27" t="s">
        <v>7</v>
      </c>
      <c r="ES246" s="27" t="s">
        <v>8</v>
      </c>
      <c r="EY246" s="27" t="s">
        <v>8</v>
      </c>
      <c r="EZ246" s="27" t="s">
        <v>7</v>
      </c>
      <c r="FC246" s="27" t="s">
        <v>8</v>
      </c>
      <c r="FD246" s="27" t="s">
        <v>7</v>
      </c>
      <c r="FF246" s="27" t="s">
        <v>7</v>
      </c>
      <c r="FG246" s="27" t="s">
        <v>8</v>
      </c>
      <c r="FT246" s="27" t="s">
        <v>7</v>
      </c>
      <c r="FU246" s="27" t="s">
        <v>8</v>
      </c>
      <c r="FV246" s="27" t="s">
        <v>7</v>
      </c>
      <c r="FW246" s="27" t="s">
        <v>8</v>
      </c>
      <c r="FX246" s="27" t="s">
        <v>7</v>
      </c>
      <c r="FY246" s="27" t="s">
        <v>8</v>
      </c>
      <c r="FZ246" s="27" t="s">
        <v>7</v>
      </c>
      <c r="GA246" s="27" t="s">
        <v>8</v>
      </c>
    </row>
    <row r="247" spans="1:185" x14ac:dyDescent="0.25">
      <c r="A247" s="30">
        <v>0.71068133013011958</v>
      </c>
      <c r="B247"/>
      <c r="C247"/>
      <c r="D247"/>
      <c r="E247"/>
      <c r="F247" s="27" t="s">
        <v>7</v>
      </c>
      <c r="CO247" s="27" t="s">
        <v>8</v>
      </c>
      <c r="CP247" s="27" t="s">
        <v>7</v>
      </c>
      <c r="CS247" s="27" t="s">
        <v>8</v>
      </c>
      <c r="CU247" s="27" t="s">
        <v>8</v>
      </c>
      <c r="CW247" s="27" t="s">
        <v>8</v>
      </c>
      <c r="DA247" s="27" t="s">
        <v>8</v>
      </c>
      <c r="DC247" s="27" t="s">
        <v>8</v>
      </c>
      <c r="DJ247" s="27" t="s">
        <v>7</v>
      </c>
      <c r="DK247" s="27" t="s">
        <v>8</v>
      </c>
      <c r="DL247" s="27" t="s">
        <v>7</v>
      </c>
      <c r="DM247" s="27" t="s">
        <v>8</v>
      </c>
      <c r="DN247" s="27" t="s">
        <v>7</v>
      </c>
      <c r="DO247" s="27" t="s">
        <v>8</v>
      </c>
      <c r="DP247" s="27" t="s">
        <v>7</v>
      </c>
      <c r="DQ247" s="27" t="s">
        <v>8</v>
      </c>
      <c r="DR247" s="27" t="s">
        <v>7</v>
      </c>
      <c r="DS247" s="27" t="s">
        <v>8</v>
      </c>
      <c r="DT247" s="27" t="s">
        <v>7</v>
      </c>
      <c r="DU247" s="27" t="s">
        <v>8</v>
      </c>
      <c r="DV247" s="27" t="s">
        <v>7</v>
      </c>
      <c r="EI247" s="27" t="s">
        <v>8</v>
      </c>
      <c r="EJ247" s="27" t="s">
        <v>7</v>
      </c>
      <c r="EK247" s="27" t="s">
        <v>8</v>
      </c>
      <c r="EL247" s="27" t="s">
        <v>7</v>
      </c>
      <c r="EN247" s="27" t="s">
        <v>7</v>
      </c>
      <c r="EP247" s="27" t="s">
        <v>7</v>
      </c>
      <c r="EQ247" s="27" t="s">
        <v>8</v>
      </c>
      <c r="ES247" s="27" t="s">
        <v>8</v>
      </c>
      <c r="ET247" s="27" t="s">
        <v>7</v>
      </c>
      <c r="EY247" s="27" t="s">
        <v>8</v>
      </c>
      <c r="EZ247" s="27" t="s">
        <v>7</v>
      </c>
      <c r="FA247" s="27" t="s">
        <v>8</v>
      </c>
      <c r="FC247" s="27" t="s">
        <v>8</v>
      </c>
      <c r="FF247" s="27" t="s">
        <v>7</v>
      </c>
      <c r="FT247" s="27" t="s">
        <v>7</v>
      </c>
      <c r="FU247" s="27" t="s">
        <v>8</v>
      </c>
      <c r="FV247" s="27" t="s">
        <v>7</v>
      </c>
      <c r="FW247" s="27" t="s">
        <v>8</v>
      </c>
      <c r="FX247" s="27" t="s">
        <v>7</v>
      </c>
      <c r="FY247" s="27" t="s">
        <v>8</v>
      </c>
      <c r="FZ247" s="27" t="s">
        <v>7</v>
      </c>
      <c r="GA247" s="27" t="s">
        <v>8</v>
      </c>
      <c r="GB247" s="27" t="s">
        <v>7</v>
      </c>
    </row>
    <row r="248" spans="1:185" x14ac:dyDescent="0.25">
      <c r="A248" s="30">
        <v>0.676839362028685</v>
      </c>
      <c r="B248"/>
      <c r="C248"/>
      <c r="D248"/>
      <c r="E248"/>
      <c r="F248" s="27" t="s">
        <v>7</v>
      </c>
      <c r="CO248" s="27" t="s">
        <v>8</v>
      </c>
      <c r="CP248" s="27" t="s">
        <v>7</v>
      </c>
      <c r="CS248" s="27" t="s">
        <v>8</v>
      </c>
      <c r="CT248" s="27" t="s">
        <v>7</v>
      </c>
      <c r="CU248" s="27" t="s">
        <v>8</v>
      </c>
      <c r="CV248" s="27" t="s">
        <v>7</v>
      </c>
      <c r="CW248" s="27" t="s">
        <v>8</v>
      </c>
      <c r="CX248" s="27" t="s">
        <v>7</v>
      </c>
      <c r="DA248" s="27" t="s">
        <v>8</v>
      </c>
      <c r="DB248" s="27" t="s">
        <v>7</v>
      </c>
      <c r="DC248" s="27" t="s">
        <v>8</v>
      </c>
      <c r="DJ248" s="27" t="s">
        <v>7</v>
      </c>
      <c r="DK248" s="27" t="s">
        <v>8</v>
      </c>
      <c r="DL248" s="27" t="s">
        <v>7</v>
      </c>
      <c r="DN248" s="27" t="s">
        <v>7</v>
      </c>
      <c r="DO248" s="27" t="s">
        <v>8</v>
      </c>
      <c r="DP248" s="27" t="s">
        <v>7</v>
      </c>
      <c r="DQ248" s="27" t="s">
        <v>8</v>
      </c>
      <c r="DR248" s="27" t="s">
        <v>7</v>
      </c>
      <c r="DS248" s="27" t="s">
        <v>8</v>
      </c>
      <c r="DT248" s="27" t="s">
        <v>7</v>
      </c>
      <c r="DU248" s="27" t="s">
        <v>8</v>
      </c>
      <c r="DV248" s="27" t="s">
        <v>7</v>
      </c>
      <c r="EI248" s="27" t="s">
        <v>8</v>
      </c>
      <c r="EJ248" s="27" t="s">
        <v>7</v>
      </c>
      <c r="EP248" s="27" t="s">
        <v>7</v>
      </c>
      <c r="EQ248" s="27" t="s">
        <v>8</v>
      </c>
      <c r="ER248" s="27" t="s">
        <v>7</v>
      </c>
      <c r="ES248" s="27" t="s">
        <v>8</v>
      </c>
      <c r="ET248" s="27" t="s">
        <v>7</v>
      </c>
      <c r="EY248" s="27" t="s">
        <v>8</v>
      </c>
      <c r="EZ248" s="27" t="s">
        <v>7</v>
      </c>
      <c r="FA248" s="27" t="s">
        <v>8</v>
      </c>
      <c r="FB248" s="27" t="s">
        <v>7</v>
      </c>
      <c r="FC248" s="27" t="s">
        <v>8</v>
      </c>
      <c r="FT248" s="27" t="s">
        <v>7</v>
      </c>
      <c r="FV248" s="27" t="s">
        <v>7</v>
      </c>
      <c r="FX248" s="27" t="s">
        <v>7</v>
      </c>
      <c r="FY248" s="27" t="s">
        <v>8</v>
      </c>
      <c r="FZ248" s="27" t="s">
        <v>7</v>
      </c>
      <c r="GA248" s="27" t="s">
        <v>8</v>
      </c>
      <c r="GB248" s="27" t="s">
        <v>7</v>
      </c>
    </row>
    <row r="249" spans="1:185" x14ac:dyDescent="0.25">
      <c r="A249" s="30">
        <v>0.64460891621779492</v>
      </c>
      <c r="B249"/>
      <c r="C249"/>
      <c r="D249"/>
      <c r="E249"/>
      <c r="F249" s="27" t="s">
        <v>7</v>
      </c>
      <c r="CO249" s="27" t="s">
        <v>8</v>
      </c>
      <c r="CP249" s="27" t="s">
        <v>7</v>
      </c>
      <c r="CQ249" s="27" t="s">
        <v>8</v>
      </c>
      <c r="CS249" s="27" t="s">
        <v>8</v>
      </c>
      <c r="CT249" s="27" t="s">
        <v>7</v>
      </c>
      <c r="CU249" s="27" t="s">
        <v>8</v>
      </c>
      <c r="CV249" s="27" t="s">
        <v>7</v>
      </c>
      <c r="CW249" s="27" t="s">
        <v>8</v>
      </c>
      <c r="CX249" s="27" t="s">
        <v>7</v>
      </c>
      <c r="DA249" s="27" t="s">
        <v>8</v>
      </c>
      <c r="DB249" s="27" t="s">
        <v>7</v>
      </c>
      <c r="DC249" s="27" t="s">
        <v>8</v>
      </c>
      <c r="DJ249" s="27" t="s">
        <v>7</v>
      </c>
      <c r="DK249" s="27" t="s">
        <v>8</v>
      </c>
      <c r="DN249" s="27" t="s">
        <v>7</v>
      </c>
      <c r="DO249" s="27" t="s">
        <v>8</v>
      </c>
      <c r="DP249" s="27" t="s">
        <v>7</v>
      </c>
      <c r="DR249" s="27" t="s">
        <v>7</v>
      </c>
      <c r="DS249" s="27" t="s">
        <v>8</v>
      </c>
      <c r="DT249" s="27" t="s">
        <v>7</v>
      </c>
      <c r="DU249" s="27" t="s">
        <v>8</v>
      </c>
      <c r="DV249" s="27" t="s">
        <v>7</v>
      </c>
      <c r="EI249" s="27" t="s">
        <v>8</v>
      </c>
      <c r="EP249" s="27" t="s">
        <v>7</v>
      </c>
      <c r="EQ249" s="27" t="s">
        <v>8</v>
      </c>
      <c r="ER249" s="27" t="s">
        <v>7</v>
      </c>
      <c r="ES249" s="27" t="s">
        <v>8</v>
      </c>
      <c r="ET249" s="27" t="s">
        <v>7</v>
      </c>
      <c r="EU249" s="27" t="s">
        <v>8</v>
      </c>
      <c r="EY249" s="27" t="s">
        <v>8</v>
      </c>
      <c r="EZ249" s="27" t="s">
        <v>7</v>
      </c>
      <c r="FA249" s="27" t="s">
        <v>8</v>
      </c>
      <c r="FB249" s="27" t="s">
        <v>7</v>
      </c>
      <c r="FC249" s="27" t="s">
        <v>8</v>
      </c>
      <c r="FX249" s="27" t="s">
        <v>7</v>
      </c>
      <c r="FY249" s="27" t="s">
        <v>8</v>
      </c>
      <c r="FZ249" s="27" t="s">
        <v>7</v>
      </c>
      <c r="GA249" s="27" t="s">
        <v>8</v>
      </c>
      <c r="GB249" s="27" t="s">
        <v>7</v>
      </c>
    </row>
    <row r="250" spans="1:185" x14ac:dyDescent="0.25">
      <c r="A250" s="30">
        <v>0.61391325354075688</v>
      </c>
      <c r="B250"/>
      <c r="C250"/>
      <c r="D250"/>
      <c r="E250"/>
      <c r="F250" s="27" t="s">
        <v>7</v>
      </c>
      <c r="CO250" s="27" t="s">
        <v>8</v>
      </c>
      <c r="CP250" s="27" t="s">
        <v>7</v>
      </c>
      <c r="CQ250" s="27" t="s">
        <v>8</v>
      </c>
      <c r="CR250" s="27" t="s">
        <v>7</v>
      </c>
      <c r="CS250" s="27" t="s">
        <v>8</v>
      </c>
      <c r="CT250" s="27" t="s">
        <v>7</v>
      </c>
      <c r="CU250" s="27" t="s">
        <v>8</v>
      </c>
      <c r="CV250" s="27" t="s">
        <v>7</v>
      </c>
      <c r="CW250" s="27" t="s">
        <v>8</v>
      </c>
      <c r="CX250" s="27" t="s">
        <v>7</v>
      </c>
      <c r="DA250" s="27" t="s">
        <v>8</v>
      </c>
      <c r="DB250" s="27" t="s">
        <v>7</v>
      </c>
      <c r="DC250" s="27" t="s">
        <v>8</v>
      </c>
      <c r="DJ250" s="27" t="s">
        <v>7</v>
      </c>
      <c r="DK250" s="27" t="s">
        <v>8</v>
      </c>
      <c r="DN250" s="27" t="s">
        <v>7</v>
      </c>
      <c r="DO250" s="27" t="s">
        <v>8</v>
      </c>
      <c r="DR250" s="27" t="s">
        <v>7</v>
      </c>
      <c r="DS250" s="27" t="s">
        <v>8</v>
      </c>
      <c r="DT250" s="27" t="s">
        <v>7</v>
      </c>
      <c r="DU250" s="27" t="s">
        <v>8</v>
      </c>
      <c r="DV250" s="27" t="s">
        <v>7</v>
      </c>
      <c r="DW250" s="27" t="s">
        <v>8</v>
      </c>
      <c r="EI250" s="27" t="s">
        <v>8</v>
      </c>
      <c r="EP250" s="27" t="s">
        <v>7</v>
      </c>
      <c r="ER250" s="27" t="s">
        <v>7</v>
      </c>
      <c r="ET250" s="27" t="s">
        <v>7</v>
      </c>
      <c r="EU250" s="27" t="s">
        <v>8</v>
      </c>
      <c r="EV250" s="27" t="s">
        <v>7</v>
      </c>
      <c r="EW250" s="27" t="s">
        <v>8</v>
      </c>
      <c r="EY250" s="27" t="s">
        <v>8</v>
      </c>
      <c r="EZ250" s="27" t="s">
        <v>7</v>
      </c>
      <c r="FB250" s="27" t="s">
        <v>7</v>
      </c>
      <c r="FC250" s="27" t="s">
        <v>8</v>
      </c>
      <c r="FX250" s="27" t="s">
        <v>7</v>
      </c>
      <c r="FZ250" s="27" t="s">
        <v>7</v>
      </c>
      <c r="GA250" s="27" t="s">
        <v>8</v>
      </c>
      <c r="GB250" s="27" t="s">
        <v>7</v>
      </c>
    </row>
    <row r="251" spans="1:185" x14ac:dyDescent="0.25">
      <c r="A251" s="30">
        <v>0.58467928908643485</v>
      </c>
      <c r="B251"/>
      <c r="C251"/>
      <c r="D251"/>
      <c r="E251"/>
      <c r="F251" s="27" t="s">
        <v>7</v>
      </c>
      <c r="CO251" s="27" t="s">
        <v>8</v>
      </c>
      <c r="CP251" s="27" t="s">
        <v>7</v>
      </c>
      <c r="CQ251" s="27" t="s">
        <v>8</v>
      </c>
      <c r="CR251" s="27" t="s">
        <v>7</v>
      </c>
      <c r="CS251" s="27" t="s">
        <v>8</v>
      </c>
      <c r="CT251" s="27" t="s">
        <v>7</v>
      </c>
      <c r="CU251" s="27" t="s">
        <v>8</v>
      </c>
      <c r="CV251" s="27" t="s">
        <v>7</v>
      </c>
      <c r="CW251" s="27" t="s">
        <v>8</v>
      </c>
      <c r="CX251" s="27" t="s">
        <v>7</v>
      </c>
      <c r="DA251" s="27" t="s">
        <v>8</v>
      </c>
      <c r="DB251" s="27" t="s">
        <v>7</v>
      </c>
      <c r="DJ251" s="27" t="s">
        <v>7</v>
      </c>
      <c r="DK251" s="27" t="s">
        <v>8</v>
      </c>
      <c r="DN251" s="27" t="s">
        <v>7</v>
      </c>
      <c r="DO251" s="27" t="s">
        <v>8</v>
      </c>
      <c r="DR251" s="27" t="s">
        <v>7</v>
      </c>
      <c r="DT251" s="27" t="s">
        <v>7</v>
      </c>
      <c r="DU251" s="27" t="s">
        <v>8</v>
      </c>
      <c r="DV251" s="27" t="s">
        <v>7</v>
      </c>
      <c r="DW251" s="27" t="s">
        <v>8</v>
      </c>
      <c r="DX251" s="27" t="s">
        <v>7</v>
      </c>
      <c r="EA251" s="27" t="s">
        <v>8</v>
      </c>
      <c r="EI251" s="27" t="s">
        <v>8</v>
      </c>
      <c r="ET251" s="27" t="s">
        <v>7</v>
      </c>
      <c r="EU251" s="27" t="s">
        <v>8</v>
      </c>
      <c r="EV251" s="27" t="s">
        <v>7</v>
      </c>
      <c r="EW251" s="27" t="s">
        <v>8</v>
      </c>
      <c r="EX251" s="27" t="s">
        <v>7</v>
      </c>
      <c r="EY251" s="27" t="s">
        <v>8</v>
      </c>
      <c r="FB251" s="27" t="s">
        <v>7</v>
      </c>
      <c r="FZ251" s="27" t="s">
        <v>7</v>
      </c>
      <c r="GA251" s="27" t="s">
        <v>8</v>
      </c>
      <c r="GB251" s="27" t="s">
        <v>7</v>
      </c>
    </row>
    <row r="252" spans="1:185" x14ac:dyDescent="0.25">
      <c r="A252" s="30">
        <v>0.55683741817755672</v>
      </c>
      <c r="B252"/>
      <c r="C252"/>
      <c r="D252"/>
      <c r="E252"/>
      <c r="F252" s="27" t="s">
        <v>7</v>
      </c>
      <c r="CO252" s="27" t="s">
        <v>8</v>
      </c>
      <c r="CP252" s="27" t="s">
        <v>7</v>
      </c>
      <c r="CQ252" s="27" t="s">
        <v>8</v>
      </c>
      <c r="CR252" s="27" t="s">
        <v>7</v>
      </c>
      <c r="CT252" s="27" t="s">
        <v>7</v>
      </c>
      <c r="CV252" s="27" t="s">
        <v>7</v>
      </c>
      <c r="CW252" s="27" t="s">
        <v>8</v>
      </c>
      <c r="CX252" s="27" t="s">
        <v>7</v>
      </c>
      <c r="CY252" s="27" t="s">
        <v>8</v>
      </c>
      <c r="DA252" s="27" t="s">
        <v>8</v>
      </c>
      <c r="DJ252" s="27" t="s">
        <v>7</v>
      </c>
      <c r="DN252" s="27" t="s">
        <v>7</v>
      </c>
      <c r="DO252" s="27" t="s">
        <v>8</v>
      </c>
      <c r="DT252" s="27" t="s">
        <v>7</v>
      </c>
      <c r="DV252" s="27" t="s">
        <v>7</v>
      </c>
      <c r="DW252" s="27" t="s">
        <v>8</v>
      </c>
      <c r="DX252" s="27" t="s">
        <v>7</v>
      </c>
      <c r="EA252" s="27" t="s">
        <v>8</v>
      </c>
      <c r="EB252" s="27" t="s">
        <v>7</v>
      </c>
      <c r="EI252" s="27" t="s">
        <v>8</v>
      </c>
      <c r="ET252" s="27" t="s">
        <v>7</v>
      </c>
      <c r="EU252" s="27" t="s">
        <v>8</v>
      </c>
      <c r="EV252" s="27" t="s">
        <v>7</v>
      </c>
      <c r="EW252" s="27" t="s">
        <v>8</v>
      </c>
      <c r="EX252" s="27" t="s">
        <v>7</v>
      </c>
      <c r="EY252" s="27" t="s">
        <v>8</v>
      </c>
      <c r="FZ252" s="27" t="s">
        <v>7</v>
      </c>
      <c r="GA252" s="27" t="s">
        <v>8</v>
      </c>
      <c r="GB252" s="27" t="s">
        <v>7</v>
      </c>
    </row>
    <row r="253" spans="1:185" x14ac:dyDescent="0.25">
      <c r="A253" s="30">
        <v>0.53032135064529184</v>
      </c>
      <c r="B253"/>
      <c r="C253"/>
      <c r="D253"/>
      <c r="E253"/>
      <c r="F253" s="27" t="s">
        <v>7</v>
      </c>
      <c r="CO253" s="27" t="s">
        <v>8</v>
      </c>
      <c r="CP253" s="27" t="s">
        <v>7</v>
      </c>
      <c r="CQ253" s="27" t="s">
        <v>8</v>
      </c>
      <c r="CV253" s="27" t="s">
        <v>7</v>
      </c>
      <c r="CW253" s="27" t="s">
        <v>8</v>
      </c>
      <c r="CX253" s="27" t="s">
        <v>7</v>
      </c>
      <c r="CY253" s="27" t="s">
        <v>8</v>
      </c>
      <c r="CZ253" s="27" t="s">
        <v>7</v>
      </c>
      <c r="DA253" s="27" t="s">
        <v>8</v>
      </c>
      <c r="DN253" s="27" t="s">
        <v>7</v>
      </c>
      <c r="DO253" s="27" t="s">
        <v>8</v>
      </c>
      <c r="DV253" s="27" t="s">
        <v>7</v>
      </c>
      <c r="DX253" s="27" t="s">
        <v>7</v>
      </c>
      <c r="EA253" s="27" t="s">
        <v>8</v>
      </c>
      <c r="EB253" s="27" t="s">
        <v>7</v>
      </c>
      <c r="EI253" s="27" t="s">
        <v>8</v>
      </c>
      <c r="ET253" s="27" t="s">
        <v>7</v>
      </c>
      <c r="EU253" s="27" t="s">
        <v>8</v>
      </c>
      <c r="EV253" s="27" t="s">
        <v>7</v>
      </c>
      <c r="EX253" s="27" t="s">
        <v>7</v>
      </c>
      <c r="FZ253" s="27" t="s">
        <v>7</v>
      </c>
      <c r="GB253" s="27" t="s">
        <v>7</v>
      </c>
    </row>
    <row r="254" spans="1:185" x14ac:dyDescent="0.25">
      <c r="A254" s="30">
        <v>0.50506795299551588</v>
      </c>
      <c r="B254"/>
      <c r="C254"/>
      <c r="D254"/>
      <c r="E254"/>
      <c r="F254" s="27" t="s">
        <v>7</v>
      </c>
      <c r="CO254" s="27" t="s">
        <v>8</v>
      </c>
      <c r="CP254" s="27" t="s">
        <v>7</v>
      </c>
      <c r="CQ254" s="27" t="s">
        <v>8</v>
      </c>
      <c r="CV254" s="27" t="s">
        <v>7</v>
      </c>
      <c r="CW254" s="27" t="s">
        <v>8</v>
      </c>
      <c r="CX254" s="27" t="s">
        <v>7</v>
      </c>
      <c r="CY254" s="27" t="s">
        <v>8</v>
      </c>
      <c r="CZ254" s="27" t="s">
        <v>7</v>
      </c>
      <c r="DA254" s="27" t="s">
        <v>8</v>
      </c>
      <c r="DN254" s="27" t="s">
        <v>7</v>
      </c>
      <c r="DO254" s="27" t="s">
        <v>8</v>
      </c>
      <c r="DX254" s="27" t="s">
        <v>7</v>
      </c>
      <c r="EA254" s="27" t="s">
        <v>8</v>
      </c>
      <c r="EB254" s="27" t="s">
        <v>7</v>
      </c>
      <c r="EI254" s="27" t="s">
        <v>8</v>
      </c>
      <c r="ET254" s="27" t="s">
        <v>7</v>
      </c>
      <c r="GB254" s="27" t="s">
        <v>7</v>
      </c>
    </row>
    <row r="255" spans="1:185" x14ac:dyDescent="0.25">
      <c r="A255" s="30">
        <v>0.48101709809096732</v>
      </c>
      <c r="E255"/>
      <c r="F255" s="27" t="s">
        <v>7</v>
      </c>
      <c r="CO255" s="27" t="s">
        <v>8</v>
      </c>
      <c r="CP255" s="27" t="s">
        <v>7</v>
      </c>
      <c r="CV255" s="27" t="s">
        <v>7</v>
      </c>
      <c r="CX255" s="27" t="s">
        <v>7</v>
      </c>
      <c r="CY255" s="27" t="s">
        <v>8</v>
      </c>
      <c r="CZ255" s="27" t="s">
        <v>7</v>
      </c>
      <c r="DA255" s="27" t="s">
        <v>8</v>
      </c>
      <c r="DN255" s="27" t="s">
        <v>7</v>
      </c>
      <c r="DO255" s="27" t="s">
        <v>8</v>
      </c>
      <c r="DX255" s="27" t="s">
        <v>7</v>
      </c>
      <c r="EA255" s="27" t="s">
        <v>8</v>
      </c>
      <c r="EB255" s="27" t="s">
        <v>7</v>
      </c>
      <c r="EC255" s="27" t="s">
        <v>8</v>
      </c>
      <c r="EE255" s="27" t="s">
        <v>8</v>
      </c>
      <c r="EG255" s="27" t="s">
        <v>8</v>
      </c>
      <c r="EI255" s="27" t="s">
        <v>8</v>
      </c>
      <c r="GB255" s="27" t="s">
        <v>7</v>
      </c>
      <c r="GC255" s="27" t="s">
        <v>8</v>
      </c>
    </row>
    <row r="256" spans="1:185" x14ac:dyDescent="0.25">
      <c r="A256" s="30">
        <v>0.45811152199139726</v>
      </c>
      <c r="E256"/>
      <c r="F256" s="27" t="s">
        <v>7</v>
      </c>
      <c r="BS256" s="27" t="s">
        <v>8</v>
      </c>
      <c r="CO256" s="27" t="s">
        <v>8</v>
      </c>
      <c r="CX256" s="27" t="s">
        <v>7</v>
      </c>
      <c r="CY256" s="27" t="s">
        <v>8</v>
      </c>
      <c r="CZ256" s="27" t="s">
        <v>7</v>
      </c>
      <c r="DA256" s="27" t="s">
        <v>8</v>
      </c>
      <c r="DN256" s="27" t="s">
        <v>7</v>
      </c>
      <c r="DX256" s="27" t="s">
        <v>7</v>
      </c>
      <c r="EA256" s="27" t="s">
        <v>8</v>
      </c>
      <c r="EB256" s="27" t="s">
        <v>7</v>
      </c>
      <c r="EC256" s="27" t="s">
        <v>8</v>
      </c>
      <c r="ED256" s="27" t="s">
        <v>7</v>
      </c>
      <c r="EE256" s="27" t="s">
        <v>8</v>
      </c>
      <c r="EF256" s="27" t="s">
        <v>7</v>
      </c>
      <c r="EG256" s="27" t="s">
        <v>8</v>
      </c>
      <c r="EH256" s="27" t="s">
        <v>7</v>
      </c>
      <c r="EI256" s="27" t="s">
        <v>8</v>
      </c>
      <c r="GB256" s="27" t="s">
        <v>7</v>
      </c>
      <c r="GC256" s="27" t="s">
        <v>8</v>
      </c>
    </row>
    <row r="257" spans="1:185" x14ac:dyDescent="0.25">
      <c r="A257" s="30">
        <v>0.43629668761085438</v>
      </c>
      <c r="B257"/>
      <c r="C257"/>
      <c r="D257"/>
      <c r="E257"/>
      <c r="F257" s="27" t="s">
        <v>7</v>
      </c>
      <c r="BS257" s="27" t="s">
        <v>8</v>
      </c>
      <c r="BT257" s="27" t="s">
        <v>7</v>
      </c>
      <c r="CK257" s="27" t="s">
        <v>8</v>
      </c>
      <c r="CM257" s="27" t="s">
        <v>8</v>
      </c>
      <c r="CO257" s="27" t="s">
        <v>8</v>
      </c>
      <c r="CX257" s="27" t="s">
        <v>7</v>
      </c>
      <c r="CZ257" s="27" t="s">
        <v>7</v>
      </c>
      <c r="DA257" s="27" t="s">
        <v>8</v>
      </c>
      <c r="DX257" s="27" t="s">
        <v>7</v>
      </c>
      <c r="EA257" s="27" t="s">
        <v>8</v>
      </c>
      <c r="EB257" s="27" t="s">
        <v>7</v>
      </c>
      <c r="EC257" s="27" t="s">
        <v>8</v>
      </c>
      <c r="ED257" s="27" t="s">
        <v>7</v>
      </c>
      <c r="EE257" s="27" t="s">
        <v>8</v>
      </c>
      <c r="EF257" s="27" t="s">
        <v>7</v>
      </c>
      <c r="EG257" s="27" t="s">
        <v>8</v>
      </c>
      <c r="EH257" s="27" t="s">
        <v>7</v>
      </c>
      <c r="EI257" s="27" t="s">
        <v>8</v>
      </c>
      <c r="GB257" s="27" t="s">
        <v>7</v>
      </c>
      <c r="GC257" s="27" t="s">
        <v>8</v>
      </c>
    </row>
    <row r="258" spans="1:185" x14ac:dyDescent="0.25">
      <c r="A258" s="30">
        <v>0.41552065486748019</v>
      </c>
      <c r="B258"/>
      <c r="C258"/>
      <c r="D258"/>
      <c r="E258"/>
      <c r="F258" s="27" t="s">
        <v>7</v>
      </c>
      <c r="BS258" s="27" t="s">
        <v>8</v>
      </c>
      <c r="BT258" s="27" t="s">
        <v>7</v>
      </c>
      <c r="CK258" s="27" t="s">
        <v>8</v>
      </c>
      <c r="CL258" s="27" t="s">
        <v>7</v>
      </c>
      <c r="CM258" s="27" t="s">
        <v>8</v>
      </c>
      <c r="CN258" s="27" t="s">
        <v>7</v>
      </c>
      <c r="CO258" s="27" t="s">
        <v>8</v>
      </c>
      <c r="CZ258" s="27" t="s">
        <v>7</v>
      </c>
      <c r="DX258" s="27" t="s">
        <v>7</v>
      </c>
      <c r="DY258" s="27" t="s">
        <v>8</v>
      </c>
      <c r="EA258" s="27" t="s">
        <v>8</v>
      </c>
      <c r="EB258" s="27" t="s">
        <v>7</v>
      </c>
      <c r="ED258" s="27" t="s">
        <v>7</v>
      </c>
      <c r="EF258" s="27" t="s">
        <v>7</v>
      </c>
      <c r="EG258" s="27" t="s">
        <v>8</v>
      </c>
      <c r="EH258" s="27" t="s">
        <v>7</v>
      </c>
      <c r="EI258" s="27" t="s">
        <v>8</v>
      </c>
      <c r="GB258" s="27" t="s">
        <v>7</v>
      </c>
      <c r="GC258" s="27" t="s">
        <v>8</v>
      </c>
    </row>
    <row r="259" spans="1:185" x14ac:dyDescent="0.25">
      <c r="A259" s="30">
        <v>0.39573395701664765</v>
      </c>
      <c r="B259"/>
      <c r="C259"/>
      <c r="D259"/>
      <c r="E259"/>
      <c r="F259" s="27" t="s">
        <v>7</v>
      </c>
      <c r="BS259" s="27" t="s">
        <v>8</v>
      </c>
      <c r="BT259" s="27" t="s">
        <v>7</v>
      </c>
      <c r="CK259" s="27" t="s">
        <v>8</v>
      </c>
      <c r="CL259" s="27" t="s">
        <v>7</v>
      </c>
      <c r="CM259" s="27" t="s">
        <v>8</v>
      </c>
      <c r="CN259" s="27" t="s">
        <v>7</v>
      </c>
      <c r="CO259" s="27" t="s">
        <v>8</v>
      </c>
      <c r="DX259" s="27" t="s">
        <v>7</v>
      </c>
      <c r="DY259" s="27" t="s">
        <v>8</v>
      </c>
      <c r="DZ259" s="27" t="s">
        <v>7</v>
      </c>
      <c r="EA259" s="27" t="s">
        <v>8</v>
      </c>
      <c r="EF259" s="27" t="s">
        <v>7</v>
      </c>
      <c r="EG259" s="27" t="s">
        <v>8</v>
      </c>
      <c r="EH259" s="27" t="s">
        <v>7</v>
      </c>
      <c r="EI259" s="27" t="s">
        <v>8</v>
      </c>
      <c r="GB259" s="27" t="s">
        <v>7</v>
      </c>
    </row>
    <row r="260" spans="1:185" x14ac:dyDescent="0.25">
      <c r="A260" s="30">
        <v>0.37688948287299762</v>
      </c>
      <c r="B260"/>
      <c r="C260"/>
      <c r="D260"/>
      <c r="E260"/>
      <c r="F260" s="27" t="s">
        <v>7</v>
      </c>
      <c r="BS260" s="27" t="s">
        <v>8</v>
      </c>
      <c r="BT260" s="27" t="s">
        <v>7</v>
      </c>
      <c r="CI260" s="27" t="s">
        <v>8</v>
      </c>
      <c r="CK260" s="27" t="s">
        <v>8</v>
      </c>
      <c r="CL260" s="27" t="s">
        <v>7</v>
      </c>
      <c r="CM260" s="27" t="s">
        <v>8</v>
      </c>
      <c r="CN260" s="27" t="s">
        <v>7</v>
      </c>
      <c r="CO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EF260" s="27" t="s">
        <v>7</v>
      </c>
      <c r="EG260" s="27" t="s">
        <v>8</v>
      </c>
      <c r="EH260" s="27" t="s">
        <v>7</v>
      </c>
    </row>
    <row r="261" spans="1:185" x14ac:dyDescent="0.25">
      <c r="A261" s="30">
        <v>0.35894236464094997</v>
      </c>
      <c r="B261"/>
      <c r="C261"/>
      <c r="D261"/>
      <c r="E261"/>
      <c r="F261" s="27" t="s">
        <v>7</v>
      </c>
      <c r="BS261" s="27" t="s">
        <v>8</v>
      </c>
      <c r="BT261" s="27" t="s">
        <v>7</v>
      </c>
      <c r="CI261" s="27" t="s">
        <v>8</v>
      </c>
      <c r="CJ261" s="27" t="s">
        <v>7</v>
      </c>
      <c r="CK261" s="27" t="s">
        <v>8</v>
      </c>
      <c r="CL261" s="27" t="s">
        <v>7</v>
      </c>
      <c r="CM261" s="27" t="s">
        <v>8</v>
      </c>
      <c r="CN261" s="27" t="s">
        <v>7</v>
      </c>
      <c r="DX261" s="27" t="s">
        <v>7</v>
      </c>
      <c r="DY261" s="27" t="s">
        <v>8</v>
      </c>
      <c r="DZ261" s="27" t="s">
        <v>7</v>
      </c>
      <c r="EA261" s="27" t="s">
        <v>8</v>
      </c>
      <c r="EF261" s="18" t="s">
        <v>7</v>
      </c>
      <c r="EG261" s="27" t="s">
        <v>8</v>
      </c>
    </row>
    <row r="262" spans="1:185" x14ac:dyDescent="0.25">
      <c r="A262" s="30">
        <v>0.34184987108661891</v>
      </c>
      <c r="B262"/>
      <c r="C262"/>
      <c r="D262"/>
      <c r="E262"/>
      <c r="F262" s="27" t="s">
        <v>7</v>
      </c>
      <c r="BS262" s="27" t="s">
        <v>8</v>
      </c>
      <c r="BT262" s="27" t="s">
        <v>7</v>
      </c>
      <c r="BU262" s="27" t="s">
        <v>8</v>
      </c>
      <c r="CI262" s="27" t="s">
        <v>8</v>
      </c>
      <c r="CJ262" s="27" t="s">
        <v>7</v>
      </c>
      <c r="CK262" s="27" t="s">
        <v>8</v>
      </c>
      <c r="CL262" s="27" t="s">
        <v>7</v>
      </c>
      <c r="CM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F262" s="27" t="s">
        <v>7</v>
      </c>
      <c r="EG262" s="27" t="s">
        <v>8</v>
      </c>
    </row>
    <row r="263" spans="1:185" x14ac:dyDescent="0.25">
      <c r="A263" s="30">
        <v>0.32557130579677979</v>
      </c>
      <c r="B263"/>
      <c r="C263"/>
      <c r="D263"/>
      <c r="E263"/>
      <c r="F263" s="27" t="s">
        <v>7</v>
      </c>
      <c r="BS263" s="27" t="s">
        <v>8</v>
      </c>
      <c r="BT263" s="27" t="s">
        <v>7</v>
      </c>
      <c r="BU263" s="27" t="s">
        <v>8</v>
      </c>
      <c r="BV263" s="27" t="s">
        <v>7</v>
      </c>
      <c r="CI263" s="27" t="s">
        <v>8</v>
      </c>
      <c r="CJ263" s="27" t="s">
        <v>7</v>
      </c>
      <c r="CK263" s="27" t="s">
        <v>8</v>
      </c>
      <c r="CL263" s="27" t="s">
        <v>7</v>
      </c>
      <c r="CM263" s="27" t="s">
        <v>8</v>
      </c>
      <c r="DX263" s="27" t="s">
        <v>7</v>
      </c>
      <c r="DZ263" s="27" t="s">
        <v>7</v>
      </c>
      <c r="EF263" s="27" t="s">
        <v>7</v>
      </c>
    </row>
    <row r="264" spans="1:185" x14ac:dyDescent="0.25">
      <c r="A264" s="30">
        <v>0.3100679102826473</v>
      </c>
      <c r="B264"/>
      <c r="C264"/>
      <c r="D264"/>
      <c r="E264"/>
      <c r="F264" s="27" t="s">
        <v>7</v>
      </c>
      <c r="BS264" s="27" t="s">
        <v>8</v>
      </c>
      <c r="BT264" s="27" t="s">
        <v>7</v>
      </c>
      <c r="BU264" s="27" t="s">
        <v>8</v>
      </c>
      <c r="BV264" s="27" t="s">
        <v>7</v>
      </c>
      <c r="CG264" s="27" t="s">
        <v>8</v>
      </c>
      <c r="CI264" s="27" t="s">
        <v>8</v>
      </c>
      <c r="CJ264" s="27" t="s">
        <v>7</v>
      </c>
      <c r="CK264" s="27" t="s">
        <v>8</v>
      </c>
      <c r="CL264" s="27" t="s">
        <v>7</v>
      </c>
    </row>
    <row r="265" spans="1:185" x14ac:dyDescent="0.25">
      <c r="A265" s="30">
        <v>0.2953027716977592</v>
      </c>
      <c r="B265"/>
      <c r="C265"/>
      <c r="D265"/>
      <c r="E265"/>
      <c r="F265" s="27" t="s">
        <v>7</v>
      </c>
      <c r="BS265" s="27" t="s">
        <v>8</v>
      </c>
      <c r="BT265" s="27" t="s">
        <v>7</v>
      </c>
      <c r="BU265" s="27" t="s">
        <v>8</v>
      </c>
      <c r="BV265" s="27" t="s">
        <v>7</v>
      </c>
      <c r="CE265" s="27" t="s">
        <v>8</v>
      </c>
      <c r="CG265" s="27" t="s">
        <v>8</v>
      </c>
      <c r="CH265" s="27" t="s">
        <v>7</v>
      </c>
      <c r="CI265" s="27" t="s">
        <v>8</v>
      </c>
      <c r="CJ265" s="27" t="s">
        <v>7</v>
      </c>
      <c r="CK265" s="27" t="s">
        <v>8</v>
      </c>
    </row>
    <row r="266" spans="1:185" x14ac:dyDescent="0.25">
      <c r="A266" s="30">
        <v>0.28124073495024676</v>
      </c>
      <c r="B266"/>
      <c r="C266"/>
      <c r="D266"/>
      <c r="E266"/>
      <c r="F266" s="27" t="s">
        <v>7</v>
      </c>
      <c r="BS266" s="27" t="s">
        <v>8</v>
      </c>
      <c r="BT266" s="27" t="s">
        <v>7</v>
      </c>
      <c r="BU266" s="27" t="s">
        <v>8</v>
      </c>
      <c r="BV266" s="27" t="s">
        <v>7</v>
      </c>
      <c r="CE266" s="27" t="s">
        <v>8</v>
      </c>
      <c r="CF266" s="27" t="s">
        <v>7</v>
      </c>
      <c r="CG266" s="27" t="s">
        <v>8</v>
      </c>
      <c r="CH266" s="27" t="s">
        <v>7</v>
      </c>
      <c r="CI266" s="27" t="s">
        <v>8</v>
      </c>
      <c r="CJ266" s="27" t="s">
        <v>7</v>
      </c>
    </row>
    <row r="267" spans="1:185" x14ac:dyDescent="0.25">
      <c r="A267" s="30">
        <v>0.26784831900023492</v>
      </c>
      <c r="B267"/>
      <c r="C267"/>
      <c r="D267"/>
      <c r="E267"/>
      <c r="F267" s="27" t="s">
        <v>7</v>
      </c>
      <c r="BS267" s="27" t="s">
        <v>8</v>
      </c>
      <c r="BT267" s="27" t="s">
        <v>7</v>
      </c>
      <c r="BU267" s="27" t="s">
        <v>8</v>
      </c>
      <c r="BV267" s="27" t="s">
        <v>7</v>
      </c>
      <c r="CA267" s="27" t="s">
        <v>8</v>
      </c>
      <c r="CE267" s="27" t="s">
        <v>8</v>
      </c>
      <c r="CF267" s="27" t="s">
        <v>7</v>
      </c>
      <c r="CG267" s="27" t="s">
        <v>8</v>
      </c>
      <c r="CH267" s="27" t="s">
        <v>7</v>
      </c>
      <c r="CI267" s="27" t="s">
        <v>8</v>
      </c>
    </row>
    <row r="268" spans="1:185" x14ac:dyDescent="0.25">
      <c r="A268" s="30">
        <v>0.25509363714308075</v>
      </c>
      <c r="B268"/>
      <c r="C268"/>
      <c r="D268"/>
      <c r="E268"/>
      <c r="F268" s="27" t="s">
        <v>7</v>
      </c>
      <c r="BS268" s="27" t="s">
        <v>8</v>
      </c>
      <c r="BT268" s="27" t="s">
        <v>7</v>
      </c>
      <c r="BU268" s="27" t="s">
        <v>8</v>
      </c>
      <c r="BV268" s="27" t="s">
        <v>7</v>
      </c>
      <c r="CA268" s="27" t="s">
        <v>8</v>
      </c>
      <c r="CB268" s="27" t="s">
        <v>7</v>
      </c>
      <c r="CC268" s="27" t="s">
        <v>8</v>
      </c>
      <c r="CE268" s="27" t="s">
        <v>8</v>
      </c>
      <c r="CF268" s="27" t="s">
        <v>7</v>
      </c>
      <c r="CG268" s="27" t="s">
        <v>8</v>
      </c>
      <c r="CH268" s="27" t="s">
        <v>7</v>
      </c>
    </row>
    <row r="269" spans="1:185" x14ac:dyDescent="0.25">
      <c r="A269" s="30">
        <v>0.24294632108864825</v>
      </c>
      <c r="B269"/>
      <c r="C269"/>
      <c r="D269"/>
      <c r="E269"/>
      <c r="F269" s="27" t="s">
        <v>7</v>
      </c>
      <c r="BS269" s="27" t="s">
        <v>8</v>
      </c>
      <c r="BT269" s="27" t="s">
        <v>7</v>
      </c>
      <c r="BU269" s="27" t="s">
        <v>8</v>
      </c>
      <c r="BV269" s="27" t="s">
        <v>7</v>
      </c>
      <c r="BW269" s="27" t="s">
        <v>8</v>
      </c>
      <c r="BY269" s="27" t="s">
        <v>8</v>
      </c>
      <c r="CA269" s="27" t="s">
        <v>8</v>
      </c>
      <c r="CB269" s="27" t="s">
        <v>7</v>
      </c>
      <c r="CC269" s="27" t="s">
        <v>8</v>
      </c>
      <c r="CD269" s="27" t="s">
        <v>7</v>
      </c>
      <c r="CE269" s="27" t="s">
        <v>8</v>
      </c>
      <c r="CF269" s="27" t="s">
        <v>7</v>
      </c>
      <c r="CG269" s="27" t="s">
        <v>8</v>
      </c>
    </row>
    <row r="270" spans="1:185" x14ac:dyDescent="0.25">
      <c r="A270" s="30">
        <v>0.23137744865585538</v>
      </c>
      <c r="B270"/>
      <c r="C270"/>
      <c r="D270"/>
      <c r="E270"/>
      <c r="F270" s="27" t="s">
        <v>7</v>
      </c>
      <c r="BS270" s="27" t="s">
        <v>8</v>
      </c>
      <c r="BT270" s="27" t="s">
        <v>7</v>
      </c>
      <c r="BU270" s="27" t="s">
        <v>8</v>
      </c>
      <c r="BV270" s="27" t="s">
        <v>7</v>
      </c>
      <c r="BW270" s="27" t="s">
        <v>8</v>
      </c>
      <c r="BX270" s="27" t="s">
        <v>7</v>
      </c>
      <c r="BY270" s="27" t="s">
        <v>8</v>
      </c>
      <c r="BZ270" s="27" t="s">
        <v>7</v>
      </c>
      <c r="CA270" s="27" t="s">
        <v>8</v>
      </c>
      <c r="CB270" s="27" t="s">
        <v>7</v>
      </c>
      <c r="CC270" s="27" t="s">
        <v>8</v>
      </c>
      <c r="CD270" s="27" t="s">
        <v>7</v>
      </c>
      <c r="CE270" s="27" t="s">
        <v>8</v>
      </c>
      <c r="CF270" s="27" t="s">
        <v>7</v>
      </c>
      <c r="CG270" s="27" t="s">
        <v>8</v>
      </c>
    </row>
    <row r="271" spans="1:185" x14ac:dyDescent="0.25">
      <c r="A271" s="30">
        <v>0.22035947491033836</v>
      </c>
      <c r="B271"/>
      <c r="C271"/>
      <c r="D271"/>
      <c r="E271"/>
      <c r="F271" s="27" t="s">
        <v>7</v>
      </c>
      <c r="BS271" s="27" t="s">
        <v>8</v>
      </c>
      <c r="BT271" s="27" t="s">
        <v>7</v>
      </c>
      <c r="BV271" s="27" t="s">
        <v>7</v>
      </c>
      <c r="BW271" s="27" t="s">
        <v>8</v>
      </c>
      <c r="BX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  <c r="CC271" s="27" t="s">
        <v>8</v>
      </c>
      <c r="CD271" s="27" t="s">
        <v>7</v>
      </c>
      <c r="CE271" s="27" t="s">
        <v>8</v>
      </c>
      <c r="CF271" s="27" t="s">
        <v>7</v>
      </c>
    </row>
    <row r="272" spans="1:185" x14ac:dyDescent="0.25">
      <c r="A272" s="30">
        <v>0.20986616658127455</v>
      </c>
      <c r="B272"/>
      <c r="C272"/>
      <c r="D272"/>
      <c r="E272"/>
      <c r="F272" s="27" t="s">
        <v>7</v>
      </c>
      <c r="BS272" s="27" t="s">
        <v>8</v>
      </c>
      <c r="BV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A272" s="27" t="s">
        <v>8</v>
      </c>
      <c r="CB272" s="27" t="s">
        <v>7</v>
      </c>
      <c r="CC272" s="27" t="s">
        <v>8</v>
      </c>
      <c r="CD272" s="27" t="s">
        <v>7</v>
      </c>
    </row>
    <row r="273" spans="1:81" x14ac:dyDescent="0.25">
      <c r="A273" s="30">
        <v>0.19987253960121379</v>
      </c>
      <c r="B273"/>
      <c r="C273"/>
      <c r="D273"/>
      <c r="E273"/>
      <c r="F273" s="27" t="s">
        <v>7</v>
      </c>
      <c r="BS273" s="27" t="s">
        <v>8</v>
      </c>
      <c r="BV273" s="27" t="s">
        <v>7</v>
      </c>
      <c r="BW273" s="27" t="s">
        <v>8</v>
      </c>
      <c r="BX273" s="27" t="s">
        <v>7</v>
      </c>
      <c r="BZ273" s="27" t="s">
        <v>7</v>
      </c>
      <c r="CA273" s="27" t="s">
        <v>8</v>
      </c>
      <c r="CB273" s="27" t="s">
        <v>7</v>
      </c>
      <c r="CC273" s="27" t="s">
        <v>8</v>
      </c>
    </row>
    <row r="274" spans="1:81" x14ac:dyDescent="0.25">
      <c r="A274" s="30">
        <v>0.19035479962020352</v>
      </c>
      <c r="B274"/>
      <c r="C274"/>
      <c r="D274"/>
      <c r="E274"/>
      <c r="F274" s="27" t="s">
        <v>7</v>
      </c>
      <c r="BS274" s="27" t="s">
        <v>8</v>
      </c>
      <c r="BV274" s="27" t="s">
        <v>7</v>
      </c>
      <c r="BW274" s="27" t="s">
        <v>8</v>
      </c>
      <c r="BZ274" s="27" t="s">
        <v>7</v>
      </c>
      <c r="CA274" s="27" t="s">
        <v>8</v>
      </c>
      <c r="CB274" s="27" t="s">
        <v>7</v>
      </c>
      <c r="CC274" s="27" t="s">
        <v>8</v>
      </c>
    </row>
    <row r="275" spans="1:81" x14ac:dyDescent="0.25">
      <c r="A275" s="30">
        <v>0.18129028535257471</v>
      </c>
      <c r="B275"/>
      <c r="C275"/>
      <c r="D275"/>
      <c r="E275"/>
      <c r="F275" s="27" t="s">
        <v>7</v>
      </c>
      <c r="BS275" s="27" t="s">
        <v>8</v>
      </c>
      <c r="BV275" s="27" t="s">
        <v>7</v>
      </c>
      <c r="BZ275" s="27" t="s">
        <v>7</v>
      </c>
      <c r="CA275" s="27" t="s">
        <v>8</v>
      </c>
      <c r="CB275" s="27" t="s">
        <v>7</v>
      </c>
      <c r="CC275" s="27" t="s">
        <v>8</v>
      </c>
    </row>
    <row r="276" spans="1:81" x14ac:dyDescent="0.25">
      <c r="A276" s="30">
        <v>0.17265741462149967</v>
      </c>
      <c r="B276"/>
      <c r="C276"/>
      <c r="D276"/>
      <c r="E276"/>
      <c r="F276" s="27" t="s">
        <v>7</v>
      </c>
      <c r="BS276" s="27" t="s">
        <v>8</v>
      </c>
      <c r="BZ276" s="27" t="s">
        <v>7</v>
      </c>
      <c r="CA276" s="27" t="s">
        <v>8</v>
      </c>
      <c r="CB276" s="27" t="s">
        <v>7</v>
      </c>
      <c r="CC276" s="27" t="s">
        <v>8</v>
      </c>
    </row>
    <row r="277" spans="1:81" x14ac:dyDescent="0.25">
      <c r="A277" s="30">
        <v>0.16443563297285677</v>
      </c>
      <c r="B277"/>
      <c r="C277"/>
      <c r="D277"/>
      <c r="E277"/>
      <c r="F277" s="27" t="s">
        <v>7</v>
      </c>
      <c r="BS277" s="27" t="s">
        <v>8</v>
      </c>
      <c r="BZ277" s="27" t="s">
        <v>7</v>
      </c>
      <c r="CA277" s="27" t="s">
        <v>8</v>
      </c>
      <c r="CB277" s="27" t="s">
        <v>7</v>
      </c>
      <c r="CC277" s="27" t="s">
        <v>8</v>
      </c>
    </row>
    <row r="278" spans="1:81" x14ac:dyDescent="0.25">
      <c r="A278" s="30">
        <v>0.15660536473605399</v>
      </c>
      <c r="B278"/>
      <c r="C278"/>
      <c r="D278"/>
      <c r="E278"/>
      <c r="F278" s="27" t="s">
        <v>7</v>
      </c>
      <c r="BS278" s="27" t="s">
        <v>8</v>
      </c>
      <c r="BZ278" s="27" t="s">
        <v>7</v>
      </c>
      <c r="CA278" s="27" t="s">
        <v>8</v>
      </c>
      <c r="CB278" s="27" t="s">
        <v>7</v>
      </c>
    </row>
    <row r="279" spans="1:81" x14ac:dyDescent="0.25">
      <c r="A279" s="30">
        <v>0.14914796641528946</v>
      </c>
      <c r="B279"/>
      <c r="C279"/>
      <c r="D279"/>
      <c r="E279"/>
      <c r="F279" s="27" t="s">
        <v>7</v>
      </c>
      <c r="BS279" s="27" t="s">
        <v>8</v>
      </c>
      <c r="BZ279" s="27" t="s">
        <v>7</v>
      </c>
      <c r="CA279" s="27" t="s">
        <v>8</v>
      </c>
    </row>
    <row r="280" spans="1:81" x14ac:dyDescent="0.25">
      <c r="A280" s="30">
        <v>0.14204568230027562</v>
      </c>
      <c r="B280"/>
      <c r="C280"/>
      <c r="D280"/>
      <c r="E280"/>
      <c r="F280" s="27" t="s">
        <v>7</v>
      </c>
      <c r="AG280" s="27" t="s">
        <v>8</v>
      </c>
      <c r="BS280" s="27" t="s">
        <v>8</v>
      </c>
      <c r="BZ280" s="27" t="s">
        <v>7</v>
      </c>
      <c r="CA280" s="27" t="s">
        <v>8</v>
      </c>
    </row>
    <row r="281" spans="1:81" x14ac:dyDescent="0.25">
      <c r="A281" s="30">
        <v>0.13528160219073862</v>
      </c>
      <c r="B281"/>
      <c r="C281"/>
      <c r="D281"/>
      <c r="E281"/>
      <c r="F281" s="27" t="s">
        <v>7</v>
      </c>
      <c r="AG281" s="27" t="s">
        <v>8</v>
      </c>
      <c r="AH281" s="27" t="s">
        <v>7</v>
      </c>
      <c r="BS281" s="27" t="s">
        <v>8</v>
      </c>
      <c r="BZ281" s="27" t="s">
        <v>7</v>
      </c>
      <c r="CA281" s="27" t="s">
        <v>8</v>
      </c>
    </row>
    <row r="282" spans="1:81" x14ac:dyDescent="0.25">
      <c r="A282" s="30">
        <v>0.12883962113403674</v>
      </c>
      <c r="B282"/>
      <c r="C282"/>
      <c r="D282"/>
      <c r="E282"/>
      <c r="F282" s="27" t="s">
        <v>7</v>
      </c>
      <c r="AG282" s="27" t="s">
        <v>8</v>
      </c>
      <c r="AH282" s="27" t="s">
        <v>7</v>
      </c>
      <c r="BS282" s="27" t="s">
        <v>8</v>
      </c>
      <c r="BZ282" s="27" t="s">
        <v>7</v>
      </c>
    </row>
    <row r="283" spans="1:81" x14ac:dyDescent="0.25">
      <c r="A283" s="30">
        <v>0.12270440108003494</v>
      </c>
      <c r="B283"/>
      <c r="C283"/>
      <c r="D283"/>
      <c r="E283"/>
      <c r="F283" s="27" t="s">
        <v>7</v>
      </c>
      <c r="AG283" s="27" t="s">
        <v>8</v>
      </c>
      <c r="AH283" s="27" t="s">
        <v>7</v>
      </c>
      <c r="BS283" s="27" t="s">
        <v>8</v>
      </c>
    </row>
    <row r="284" spans="1:81" x14ac:dyDescent="0.25">
      <c r="A284" s="30">
        <v>0.11686133436193799</v>
      </c>
      <c r="B284"/>
      <c r="C284"/>
      <c r="D284"/>
      <c r="E284"/>
      <c r="F284" s="27" t="s">
        <v>7</v>
      </c>
      <c r="AG284" s="27" t="s">
        <v>8</v>
      </c>
      <c r="AH284" s="27" t="s">
        <v>7</v>
      </c>
      <c r="BS284" s="27" t="s">
        <v>8</v>
      </c>
    </row>
    <row r="285" spans="1:81" x14ac:dyDescent="0.25">
      <c r="A285" s="30">
        <v>0.11129650891613138</v>
      </c>
      <c r="B285"/>
      <c r="C285"/>
      <c r="D285"/>
      <c r="E285"/>
      <c r="F285" s="27" t="s">
        <v>7</v>
      </c>
      <c r="AC285" s="27" t="s">
        <v>8</v>
      </c>
      <c r="AE285" s="27" t="s">
        <v>8</v>
      </c>
      <c r="AG285" s="27" t="s">
        <v>8</v>
      </c>
      <c r="AH285" s="27" t="s">
        <v>7</v>
      </c>
      <c r="BS285" s="27" t="s">
        <v>8</v>
      </c>
    </row>
    <row r="286" spans="1:81" x14ac:dyDescent="0.25">
      <c r="A286" s="30">
        <v>0.10599667515822032</v>
      </c>
      <c r="B286"/>
      <c r="C286"/>
      <c r="D286"/>
      <c r="E286"/>
      <c r="F286" s="27" t="s">
        <v>7</v>
      </c>
      <c r="AC286" s="27" t="s">
        <v>8</v>
      </c>
      <c r="AD286" s="27" t="s">
        <v>7</v>
      </c>
      <c r="AE286" s="27" t="s">
        <v>8</v>
      </c>
      <c r="AF286" s="27" t="s">
        <v>7</v>
      </c>
      <c r="AG286" s="27" t="s">
        <v>8</v>
      </c>
      <c r="AH286" s="27" t="s">
        <v>7</v>
      </c>
      <c r="BS286" s="27" t="s">
        <v>8</v>
      </c>
    </row>
    <row r="287" spans="1:81" x14ac:dyDescent="0.25">
      <c r="A287" s="30">
        <v>0.10094921443640027</v>
      </c>
      <c r="B287"/>
      <c r="C287"/>
      <c r="D287"/>
      <c r="E287"/>
      <c r="F287" s="27" t="s">
        <v>7</v>
      </c>
      <c r="AC287" s="27" t="s">
        <v>8</v>
      </c>
      <c r="AD287" s="27" t="s">
        <v>7</v>
      </c>
      <c r="AE287" s="27" t="s">
        <v>8</v>
      </c>
      <c r="AF287" s="27" t="s">
        <v>7</v>
      </c>
      <c r="AG287" s="27" t="s">
        <v>8</v>
      </c>
      <c r="AH287" s="27" t="s">
        <v>7</v>
      </c>
      <c r="BS287" s="27" t="s">
        <v>8</v>
      </c>
    </row>
    <row r="288" spans="1:81" x14ac:dyDescent="0.25">
      <c r="A288" s="30">
        <v>9.6142108987047836E-2</v>
      </c>
      <c r="B288"/>
      <c r="C288"/>
      <c r="D288"/>
      <c r="E288"/>
      <c r="F288" s="27" t="s">
        <v>7</v>
      </c>
      <c r="AC288" s="27" t="s">
        <v>8</v>
      </c>
      <c r="AD288" s="27" t="s">
        <v>7</v>
      </c>
      <c r="AE288" s="27" t="s">
        <v>8</v>
      </c>
      <c r="AF288" s="27" t="s">
        <v>7</v>
      </c>
      <c r="AH288" s="27" t="s">
        <v>7</v>
      </c>
      <c r="AI288" s="27" t="s">
        <v>8</v>
      </c>
      <c r="BS288" s="27" t="s">
        <v>8</v>
      </c>
    </row>
    <row r="289" spans="1:71" x14ac:dyDescent="0.25">
      <c r="A289" s="30">
        <v>9.1563913320997906E-2</v>
      </c>
      <c r="B289"/>
      <c r="C289"/>
      <c r="D289"/>
      <c r="E289"/>
      <c r="F289" s="27" t="s">
        <v>7</v>
      </c>
      <c r="AC289" s="27" t="s">
        <v>8</v>
      </c>
      <c r="AD289" s="27" t="s">
        <v>7</v>
      </c>
      <c r="AE289" s="27" t="s">
        <v>8</v>
      </c>
      <c r="AH289" s="27" t="s">
        <v>7</v>
      </c>
      <c r="AI289" s="27" t="s">
        <v>8</v>
      </c>
      <c r="AJ289" s="27" t="s">
        <v>7</v>
      </c>
      <c r="BS289" s="27" t="s">
        <v>8</v>
      </c>
    </row>
    <row r="290" spans="1:71" x14ac:dyDescent="0.25">
      <c r="A290" s="30">
        <v>8.7203726972378923E-2</v>
      </c>
      <c r="B290"/>
      <c r="C290"/>
      <c r="D290"/>
      <c r="E290"/>
      <c r="F290" s="27" t="s">
        <v>7</v>
      </c>
      <c r="AC290" s="27" t="s">
        <v>8</v>
      </c>
      <c r="AD290" s="27" t="s">
        <v>7</v>
      </c>
      <c r="AE290" s="27" t="s">
        <v>8</v>
      </c>
      <c r="AH290" s="27" t="s">
        <v>7</v>
      </c>
      <c r="AI290" s="27" t="s">
        <v>8</v>
      </c>
      <c r="AJ290" s="27" t="s">
        <v>7</v>
      </c>
      <c r="BS290" s="27" t="s">
        <v>8</v>
      </c>
    </row>
    <row r="291" spans="1:71" x14ac:dyDescent="0.25">
      <c r="A291" s="30">
        <v>8.3051168545122747E-2</v>
      </c>
      <c r="B291"/>
      <c r="C291"/>
      <c r="D291"/>
      <c r="E291"/>
      <c r="F291" s="27" t="s">
        <v>7</v>
      </c>
      <c r="AC291" s="27" t="s">
        <v>8</v>
      </c>
      <c r="AD291" s="27" t="s">
        <v>7</v>
      </c>
      <c r="AH291" s="27" t="s">
        <v>7</v>
      </c>
      <c r="AI291" s="27" t="s">
        <v>8</v>
      </c>
      <c r="AJ291" s="27" t="s">
        <v>7</v>
      </c>
      <c r="BS291" s="27" t="s">
        <v>8</v>
      </c>
    </row>
    <row r="292" spans="1:71" x14ac:dyDescent="0.25">
      <c r="A292" s="30">
        <v>7.9096350995354961E-2</v>
      </c>
      <c r="B292"/>
      <c r="C292"/>
      <c r="D292"/>
      <c r="E292"/>
      <c r="F292" s="27" t="s">
        <v>7</v>
      </c>
      <c r="AC292" s="27" t="s">
        <v>8</v>
      </c>
      <c r="AH292" s="27" t="s">
        <v>7</v>
      </c>
      <c r="AI292" s="27" t="s">
        <v>8</v>
      </c>
      <c r="AJ292" s="27" t="s">
        <v>7</v>
      </c>
      <c r="BS292" s="27" t="s">
        <v>8</v>
      </c>
    </row>
    <row r="293" spans="1:71" x14ac:dyDescent="0.25">
      <c r="A293" s="30">
        <v>7.5329858090814217E-2</v>
      </c>
      <c r="B293"/>
      <c r="C293"/>
      <c r="D293"/>
      <c r="E293"/>
      <c r="F293" s="27" t="s">
        <v>7</v>
      </c>
      <c r="AC293" s="27" t="s">
        <v>8</v>
      </c>
      <c r="AH293" s="27" t="s">
        <v>7</v>
      </c>
      <c r="AJ293" s="27" t="s">
        <v>7</v>
      </c>
      <c r="BS293" s="27" t="s">
        <v>8</v>
      </c>
    </row>
    <row r="294" spans="1:71" x14ac:dyDescent="0.25">
      <c r="A294" s="30">
        <v>7.1742721991251604E-2</v>
      </c>
      <c r="B294"/>
      <c r="C294"/>
      <c r="D294"/>
      <c r="E294"/>
      <c r="F294" s="27" t="s">
        <v>7</v>
      </c>
      <c r="AC294" s="27" t="s">
        <v>8</v>
      </c>
      <c r="AJ294" s="27" t="s">
        <v>7</v>
      </c>
      <c r="BS294" s="27" t="s">
        <v>8</v>
      </c>
    </row>
    <row r="295" spans="1:71" x14ac:dyDescent="0.25">
      <c r="A295" s="30">
        <v>6.8326401896430078E-2</v>
      </c>
      <c r="B295"/>
      <c r="C295"/>
      <c r="D295"/>
      <c r="E295"/>
      <c r="F295" s="27" t="s">
        <v>7</v>
      </c>
      <c r="AC295" s="27" t="s">
        <v>8</v>
      </c>
      <c r="AJ295" s="27" t="s">
        <v>7</v>
      </c>
      <c r="BS295" s="27" t="s">
        <v>8</v>
      </c>
    </row>
    <row r="296" spans="1:71" x14ac:dyDescent="0.25">
      <c r="A296" s="30">
        <v>6.5072763710885759E-2</v>
      </c>
      <c r="B296"/>
      <c r="C296"/>
      <c r="D296"/>
      <c r="E296"/>
      <c r="F296" s="27" t="s">
        <v>7</v>
      </c>
      <c r="AC296" s="27" t="s">
        <v>8</v>
      </c>
      <c r="AJ296" s="27" t="s">
        <v>7</v>
      </c>
      <c r="BS296" s="27" t="s">
        <v>8</v>
      </c>
    </row>
    <row r="297" spans="1:71" x14ac:dyDescent="0.25">
      <c r="A297" s="30">
        <v>6.197406067703403E-2</v>
      </c>
      <c r="B297"/>
      <c r="C297"/>
      <c r="D297"/>
      <c r="E297"/>
      <c r="F297" s="27" t="s">
        <v>7</v>
      </c>
      <c r="AC297" s="27" t="s">
        <v>8</v>
      </c>
      <c r="AJ297" s="27" t="s">
        <v>7</v>
      </c>
      <c r="AO297" s="27" t="s">
        <v>8</v>
      </c>
      <c r="BC297" s="27" t="s">
        <v>8</v>
      </c>
      <c r="BE297" s="27" t="s">
        <v>8</v>
      </c>
      <c r="BQ297" s="27" t="s">
        <v>8</v>
      </c>
      <c r="BS297" s="27" t="s">
        <v>8</v>
      </c>
    </row>
    <row r="298" spans="1:71" x14ac:dyDescent="0.25">
      <c r="A298" s="30">
        <v>5.9022914930508576E-2</v>
      </c>
      <c r="B298"/>
      <c r="C298"/>
      <c r="D298"/>
      <c r="E298"/>
      <c r="F298" s="27" t="s">
        <v>7</v>
      </c>
      <c r="AA298" s="27" t="s">
        <v>8</v>
      </c>
      <c r="AC298" s="27" t="s">
        <v>8</v>
      </c>
      <c r="AJ298" s="27" t="s">
        <v>7</v>
      </c>
      <c r="AK298" s="27" t="s">
        <v>8</v>
      </c>
      <c r="AO298" s="27" t="s">
        <v>8</v>
      </c>
      <c r="AP298" s="27" t="s">
        <v>7</v>
      </c>
      <c r="BC298" s="27" t="s">
        <v>8</v>
      </c>
      <c r="BD298" s="27" t="s">
        <v>7</v>
      </c>
      <c r="BE298" s="27" t="s">
        <v>8</v>
      </c>
      <c r="BF298" s="27" t="s">
        <v>7</v>
      </c>
      <c r="BM298" s="27" t="s">
        <v>8</v>
      </c>
      <c r="BQ298" s="27" t="s">
        <v>8</v>
      </c>
      <c r="BR298" s="27" t="s">
        <v>7</v>
      </c>
      <c r="BS298" s="27" t="s">
        <v>8</v>
      </c>
    </row>
    <row r="299" spans="1:71" x14ac:dyDescent="0.25">
      <c r="A299" s="30">
        <v>5.6212299933817669E-2</v>
      </c>
      <c r="B299"/>
      <c r="C299"/>
      <c r="D299"/>
      <c r="E299"/>
      <c r="F299" s="27" t="s">
        <v>7</v>
      </c>
      <c r="Y299" s="27" t="s">
        <v>8</v>
      </c>
      <c r="AA299" s="27" t="s">
        <v>8</v>
      </c>
      <c r="AB299" s="27" t="s">
        <v>7</v>
      </c>
      <c r="AC299" s="27" t="s">
        <v>8</v>
      </c>
      <c r="AJ299" s="27" t="s">
        <v>7</v>
      </c>
      <c r="AK299" s="27" t="s">
        <v>8</v>
      </c>
      <c r="AL299" s="27" t="s">
        <v>7</v>
      </c>
      <c r="AO299" s="27" t="s">
        <v>8</v>
      </c>
      <c r="AP299" s="27" t="s">
        <v>7</v>
      </c>
      <c r="BC299" s="27" t="s">
        <v>8</v>
      </c>
      <c r="BD299" s="27" t="s">
        <v>7</v>
      </c>
      <c r="BE299" s="27" t="s">
        <v>8</v>
      </c>
      <c r="BF299" s="27" t="s">
        <v>7</v>
      </c>
      <c r="BM299" s="27" t="s">
        <v>8</v>
      </c>
      <c r="BN299" s="27" t="s">
        <v>7</v>
      </c>
      <c r="BO299" s="27" t="s">
        <v>8</v>
      </c>
      <c r="BQ299" s="27" t="s">
        <v>8</v>
      </c>
      <c r="BR299" s="27" t="s">
        <v>7</v>
      </c>
      <c r="BS299" s="27" t="s">
        <v>8</v>
      </c>
    </row>
    <row r="300" spans="1:71" x14ac:dyDescent="0.25">
      <c r="A300" s="30">
        <v>5.3535523746492994E-2</v>
      </c>
      <c r="B300"/>
      <c r="C300"/>
      <c r="D300"/>
      <c r="E300"/>
      <c r="F300" s="27" t="s">
        <v>7</v>
      </c>
      <c r="Y300" s="27" t="s">
        <v>8</v>
      </c>
      <c r="Z300" s="27" t="s">
        <v>7</v>
      </c>
      <c r="AA300" s="27" t="s">
        <v>8</v>
      </c>
      <c r="AB300" s="27" t="s">
        <v>7</v>
      </c>
      <c r="AC300" s="27" t="s">
        <v>8</v>
      </c>
      <c r="AJ300" s="27" t="s">
        <v>7</v>
      </c>
      <c r="AK300" s="27" t="s">
        <v>8</v>
      </c>
      <c r="AL300" s="27" t="s">
        <v>7</v>
      </c>
      <c r="AO300" s="27" t="s">
        <v>8</v>
      </c>
      <c r="AP300" s="27" t="s">
        <v>7</v>
      </c>
      <c r="AQ300" s="27" t="s">
        <v>8</v>
      </c>
      <c r="AS300" s="27" t="s">
        <v>8</v>
      </c>
      <c r="BC300" s="27" t="s">
        <v>8</v>
      </c>
      <c r="BD300" s="27" t="s">
        <v>7</v>
      </c>
      <c r="BE300" s="27" t="s">
        <v>8</v>
      </c>
      <c r="BF300" s="27" t="s">
        <v>7</v>
      </c>
      <c r="BM300" s="27" t="s">
        <v>8</v>
      </c>
      <c r="BN300" s="27" t="s">
        <v>7</v>
      </c>
      <c r="BO300" s="27" t="s">
        <v>8</v>
      </c>
      <c r="BP300" s="27" t="s">
        <v>7</v>
      </c>
      <c r="BQ300" s="27" t="s">
        <v>8</v>
      </c>
      <c r="BR300" s="27" t="s">
        <v>7</v>
      </c>
      <c r="BS300" s="27" t="s">
        <v>8</v>
      </c>
    </row>
    <row r="301" spans="1:71" x14ac:dyDescent="0.25">
      <c r="A301" s="30">
        <v>5.0986213091898068E-2</v>
      </c>
      <c r="B301"/>
      <c r="C301"/>
      <c r="D301"/>
      <c r="E301"/>
      <c r="F301" s="27" t="s">
        <v>7</v>
      </c>
      <c r="Y301" s="27" t="s">
        <v>8</v>
      </c>
      <c r="Z301" s="27" t="s">
        <v>7</v>
      </c>
      <c r="AA301" s="27" t="s">
        <v>8</v>
      </c>
      <c r="AB301" s="27" t="s">
        <v>7</v>
      </c>
      <c r="AC301" s="27" t="s">
        <v>8</v>
      </c>
      <c r="AJ301" s="27" t="s">
        <v>7</v>
      </c>
      <c r="AL301" s="27" t="s">
        <v>7</v>
      </c>
      <c r="AO301" s="27" t="s">
        <v>8</v>
      </c>
      <c r="AP301" s="27" t="s">
        <v>7</v>
      </c>
      <c r="AQ301" s="27" t="s">
        <v>8</v>
      </c>
      <c r="AR301" s="27" t="s">
        <v>7</v>
      </c>
      <c r="AS301" s="27" t="s">
        <v>8</v>
      </c>
      <c r="AT301" s="27" t="s">
        <v>7</v>
      </c>
      <c r="BA301" s="27" t="s">
        <v>8</v>
      </c>
      <c r="BC301" s="27" t="s">
        <v>8</v>
      </c>
      <c r="BD301" s="27" t="s">
        <v>7</v>
      </c>
      <c r="BE301" s="27" t="s">
        <v>8</v>
      </c>
      <c r="BF301" s="27" t="s">
        <v>7</v>
      </c>
      <c r="BK301" s="27" t="s">
        <v>8</v>
      </c>
      <c r="BM301" s="27" t="s">
        <v>8</v>
      </c>
      <c r="BN301" s="27" t="s">
        <v>7</v>
      </c>
      <c r="BO301" s="27" t="s">
        <v>8</v>
      </c>
      <c r="BP301" s="27" t="s">
        <v>7</v>
      </c>
      <c r="BQ301" s="27" t="s">
        <v>8</v>
      </c>
      <c r="BR301" s="27" t="s">
        <v>7</v>
      </c>
      <c r="BS301" s="27" t="s">
        <v>8</v>
      </c>
    </row>
    <row r="302" spans="1:71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Y302" s="27" t="s">
        <v>8</v>
      </c>
      <c r="Z302" s="27" t="s">
        <v>7</v>
      </c>
      <c r="AA302" s="27" t="s">
        <v>8</v>
      </c>
      <c r="AB302" s="27" t="s">
        <v>7</v>
      </c>
      <c r="AC302" s="27" t="s">
        <v>8</v>
      </c>
      <c r="AL302" s="27" t="s">
        <v>7</v>
      </c>
      <c r="AM302" s="27" t="s">
        <v>8</v>
      </c>
      <c r="AO302" s="27" t="s">
        <v>8</v>
      </c>
      <c r="AP302" s="27" t="s">
        <v>7</v>
      </c>
      <c r="AQ302" s="27" t="s">
        <v>8</v>
      </c>
      <c r="AR302" s="27" t="s">
        <v>7</v>
      </c>
      <c r="AS302" s="27" t="s">
        <v>8</v>
      </c>
      <c r="AT302" s="27" t="s">
        <v>7</v>
      </c>
      <c r="BA302" s="27" t="s">
        <v>8</v>
      </c>
      <c r="BB302" s="27" t="s">
        <v>7</v>
      </c>
      <c r="BC302" s="27" t="s">
        <v>8</v>
      </c>
      <c r="BD302" s="27" t="s">
        <v>7</v>
      </c>
      <c r="BE302" s="27" t="s">
        <v>8</v>
      </c>
      <c r="BF302" s="27" t="s">
        <v>7</v>
      </c>
      <c r="BG302" s="27" t="s">
        <v>8</v>
      </c>
      <c r="BK302" s="27" t="s">
        <v>8</v>
      </c>
      <c r="BL302" s="27" t="s">
        <v>7</v>
      </c>
      <c r="BM302" s="27" t="s">
        <v>8</v>
      </c>
      <c r="BN302" s="27" t="s">
        <v>7</v>
      </c>
      <c r="BO302" s="27" t="s">
        <v>8</v>
      </c>
      <c r="BP302" s="27" t="s">
        <v>7</v>
      </c>
      <c r="BR302" s="27" t="s">
        <v>7</v>
      </c>
    </row>
    <row r="303" spans="1:71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L303" s="27" t="s">
        <v>7</v>
      </c>
      <c r="AM303" s="27" t="s">
        <v>8</v>
      </c>
      <c r="AN303" s="27" t="s">
        <v>7</v>
      </c>
      <c r="AO303" s="27" t="s">
        <v>8</v>
      </c>
      <c r="AP303" s="27" t="s">
        <v>7</v>
      </c>
      <c r="AQ303" s="27" t="s">
        <v>8</v>
      </c>
      <c r="AR303" s="27" t="s">
        <v>7</v>
      </c>
      <c r="AS303" s="27" t="s">
        <v>8</v>
      </c>
      <c r="AT303" s="27" t="s">
        <v>7</v>
      </c>
      <c r="BA303" s="27" t="s">
        <v>8</v>
      </c>
      <c r="BB303" s="27" t="s">
        <v>7</v>
      </c>
      <c r="BC303" s="27" t="s">
        <v>8</v>
      </c>
      <c r="BD303" s="27" t="s">
        <v>7</v>
      </c>
      <c r="BE303" s="27" t="s">
        <v>8</v>
      </c>
      <c r="BF303" s="27" t="s">
        <v>7</v>
      </c>
      <c r="BG303" s="27" t="s">
        <v>8</v>
      </c>
      <c r="BH303" s="27" t="s">
        <v>7</v>
      </c>
      <c r="BI303" s="27" t="s">
        <v>8</v>
      </c>
      <c r="BK303" s="27" t="s">
        <v>8</v>
      </c>
      <c r="BL303" s="27" t="s">
        <v>7</v>
      </c>
      <c r="BM303" s="27" t="s">
        <v>8</v>
      </c>
      <c r="BN303" s="27" t="s">
        <v>7</v>
      </c>
      <c r="BO303" s="27" t="s">
        <v>8</v>
      </c>
    </row>
    <row r="304" spans="1:71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W304" s="27" t="s">
        <v>8</v>
      </c>
      <c r="Y304" s="27" t="s">
        <v>8</v>
      </c>
      <c r="Z304" s="27" t="s">
        <v>7</v>
      </c>
      <c r="AA304" s="27" t="s">
        <v>8</v>
      </c>
      <c r="AL304" s="27" t="s">
        <v>7</v>
      </c>
      <c r="AM304" s="27" t="s">
        <v>8</v>
      </c>
      <c r="AN304" s="27" t="s">
        <v>7</v>
      </c>
      <c r="AO304" s="27" t="s">
        <v>8</v>
      </c>
      <c r="AP304" s="27" t="s">
        <v>7</v>
      </c>
      <c r="AR304" s="27" t="s">
        <v>7</v>
      </c>
      <c r="AS304" s="27" t="s">
        <v>8</v>
      </c>
      <c r="AT304" s="27" t="s">
        <v>7</v>
      </c>
      <c r="AY304" s="27" t="s">
        <v>8</v>
      </c>
      <c r="BA304" s="27" t="s">
        <v>8</v>
      </c>
      <c r="BB304" s="27" t="s">
        <v>7</v>
      </c>
      <c r="BC304" s="27" t="s">
        <v>8</v>
      </c>
      <c r="BD304" s="27" t="s">
        <v>7</v>
      </c>
      <c r="BF304" s="27" t="s">
        <v>7</v>
      </c>
      <c r="BG304" s="27" t="s">
        <v>8</v>
      </c>
      <c r="BH304" s="27" t="s">
        <v>7</v>
      </c>
      <c r="BI304" s="27" t="s">
        <v>8</v>
      </c>
      <c r="BJ304" s="27" t="s">
        <v>7</v>
      </c>
      <c r="BK304" s="27" t="s">
        <v>8</v>
      </c>
      <c r="BL304" s="27" t="s">
        <v>7</v>
      </c>
      <c r="BN304" s="27" t="s">
        <v>7</v>
      </c>
      <c r="BO304" s="27" t="s">
        <v>8</v>
      </c>
    </row>
    <row r="305" spans="1:66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K305" s="27" t="s">
        <v>8</v>
      </c>
      <c r="M305" s="27" t="s">
        <v>8</v>
      </c>
      <c r="U305" s="27" t="s">
        <v>8</v>
      </c>
      <c r="W305" s="27" t="s">
        <v>8</v>
      </c>
      <c r="X305" s="27" t="s">
        <v>7</v>
      </c>
      <c r="Y305" s="27" t="s">
        <v>8</v>
      </c>
      <c r="Z305" s="27" t="s">
        <v>7</v>
      </c>
      <c r="AA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R305" s="27" t="s">
        <v>7</v>
      </c>
      <c r="AS305" s="27" t="s">
        <v>8</v>
      </c>
      <c r="AT305" s="27" t="s">
        <v>7</v>
      </c>
      <c r="AU305" s="27" t="s">
        <v>8</v>
      </c>
      <c r="AY305" s="27" t="s">
        <v>8</v>
      </c>
      <c r="AZ305" s="27" t="s">
        <v>7</v>
      </c>
      <c r="BA305" s="27" t="s">
        <v>8</v>
      </c>
      <c r="BB305" s="27" t="s">
        <v>7</v>
      </c>
      <c r="BC305" s="27" t="s">
        <v>8</v>
      </c>
      <c r="BF305" s="27" t="s">
        <v>7</v>
      </c>
      <c r="BG305" s="27" t="s">
        <v>8</v>
      </c>
      <c r="BH305" s="27" t="s">
        <v>7</v>
      </c>
      <c r="BI305" s="27" t="s">
        <v>8</v>
      </c>
      <c r="BJ305" s="27" t="s">
        <v>7</v>
      </c>
      <c r="BK305" s="27" t="s">
        <v>8</v>
      </c>
      <c r="BN305" s="27" t="s">
        <v>7</v>
      </c>
    </row>
    <row r="306" spans="1:66" x14ac:dyDescent="0.25">
      <c r="A306" s="30">
        <v>3.9949032086638768E-2</v>
      </c>
      <c r="B306"/>
      <c r="C306"/>
      <c r="D306"/>
      <c r="E306"/>
      <c r="F306" s="27" t="s">
        <v>7</v>
      </c>
      <c r="H306" s="27" t="s">
        <v>7</v>
      </c>
      <c r="I306" s="27" t="s">
        <v>8</v>
      </c>
      <c r="K306" s="27" t="s">
        <v>8</v>
      </c>
      <c r="L306" s="27" t="s">
        <v>7</v>
      </c>
      <c r="M306" s="27" t="s">
        <v>8</v>
      </c>
      <c r="N306" s="27" t="s">
        <v>7</v>
      </c>
      <c r="U306" s="27" t="s">
        <v>8</v>
      </c>
      <c r="V306" s="27" t="s">
        <v>7</v>
      </c>
      <c r="W306" s="27" t="s">
        <v>8</v>
      </c>
      <c r="X306" s="27" t="s">
        <v>7</v>
      </c>
      <c r="Y306" s="27" t="s">
        <v>8</v>
      </c>
      <c r="Z306" s="27" t="s">
        <v>7</v>
      </c>
      <c r="AL306" s="27" t="s">
        <v>7</v>
      </c>
      <c r="AN306" s="27" t="s">
        <v>7</v>
      </c>
      <c r="AR306" s="27" t="s">
        <v>7</v>
      </c>
      <c r="AT306" s="27" t="s">
        <v>7</v>
      </c>
      <c r="AU306" s="27" t="s">
        <v>8</v>
      </c>
      <c r="AV306" s="27" t="s">
        <v>7</v>
      </c>
      <c r="AY306" s="27" t="s">
        <v>8</v>
      </c>
      <c r="AZ306" s="27" t="s">
        <v>7</v>
      </c>
      <c r="BA306" s="27" t="s">
        <v>8</v>
      </c>
      <c r="BB306" s="27" t="s">
        <v>7</v>
      </c>
      <c r="BC306" s="27" t="s">
        <v>8</v>
      </c>
      <c r="BF306" s="27" t="s">
        <v>7</v>
      </c>
      <c r="BH306" s="27" t="s">
        <v>7</v>
      </c>
      <c r="BJ306" s="27" t="s">
        <v>7</v>
      </c>
    </row>
    <row r="307" spans="1:66" x14ac:dyDescent="0.25">
      <c r="A307" s="30">
        <v>3.8046697225370241E-2</v>
      </c>
      <c r="B307"/>
      <c r="C307"/>
      <c r="D307"/>
      <c r="E307"/>
      <c r="H307" s="27" t="s">
        <v>7</v>
      </c>
      <c r="I307" s="27" t="s">
        <v>8</v>
      </c>
      <c r="J307" s="27" t="s">
        <v>7</v>
      </c>
      <c r="K307" s="27" t="s">
        <v>8</v>
      </c>
      <c r="L307" s="27" t="s">
        <v>7</v>
      </c>
      <c r="M307" s="27" t="s">
        <v>8</v>
      </c>
      <c r="N307" s="27" t="s">
        <v>7</v>
      </c>
      <c r="U307" s="27" t="s">
        <v>8</v>
      </c>
      <c r="V307" s="27" t="s">
        <v>7</v>
      </c>
      <c r="W307" s="27" t="s">
        <v>8</v>
      </c>
      <c r="X307" s="27" t="s">
        <v>7</v>
      </c>
      <c r="Y307" s="27" t="s">
        <v>8</v>
      </c>
      <c r="AT307" s="27" t="s">
        <v>7</v>
      </c>
      <c r="AU307" s="27" t="s">
        <v>8</v>
      </c>
      <c r="AV307" s="27" t="s">
        <v>7</v>
      </c>
      <c r="AW307" s="27" t="s">
        <v>8</v>
      </c>
      <c r="AY307" s="27" t="s">
        <v>8</v>
      </c>
      <c r="AZ307" s="27" t="s">
        <v>7</v>
      </c>
      <c r="BA307" s="27" t="s">
        <v>8</v>
      </c>
      <c r="BB307" s="27" t="s">
        <v>7</v>
      </c>
    </row>
    <row r="308" spans="1:66" x14ac:dyDescent="0.25">
      <c r="A308" s="30">
        <v>3.6234949738447833E-2</v>
      </c>
      <c r="B308"/>
      <c r="C308"/>
      <c r="D308"/>
      <c r="E308"/>
      <c r="H308" s="27" t="s">
        <v>7</v>
      </c>
      <c r="I308" s="27" t="s">
        <v>8</v>
      </c>
      <c r="J308" s="27" t="s">
        <v>7</v>
      </c>
      <c r="K308" s="27" t="s">
        <v>8</v>
      </c>
      <c r="L308" s="27" t="s">
        <v>7</v>
      </c>
      <c r="M308" s="27" t="s">
        <v>8</v>
      </c>
      <c r="N308" s="27" t="s">
        <v>7</v>
      </c>
      <c r="O308" s="27" t="s">
        <v>8</v>
      </c>
      <c r="Q308" s="27" t="s">
        <v>8</v>
      </c>
      <c r="S308" s="27" t="s">
        <v>8</v>
      </c>
      <c r="U308" s="27" t="s">
        <v>8</v>
      </c>
      <c r="V308" s="27" t="s">
        <v>7</v>
      </c>
      <c r="X308" s="27" t="s">
        <v>7</v>
      </c>
      <c r="Y308" s="27" t="s">
        <v>8</v>
      </c>
      <c r="AT308" s="27" t="s">
        <v>7</v>
      </c>
      <c r="AU308" s="27" t="s">
        <v>8</v>
      </c>
      <c r="AV308" s="27" t="s">
        <v>7</v>
      </c>
      <c r="AW308" s="27" t="s">
        <v>8</v>
      </c>
      <c r="AX308" s="27" t="s">
        <v>7</v>
      </c>
      <c r="AY308" s="27" t="s">
        <v>8</v>
      </c>
      <c r="AZ308" s="27" t="s">
        <v>7</v>
      </c>
    </row>
    <row r="309" spans="1:66" x14ac:dyDescent="0.25">
      <c r="A309" s="30">
        <v>3.4509475941378875E-2</v>
      </c>
      <c r="B309"/>
      <c r="C309"/>
      <c r="D309"/>
      <c r="E309"/>
      <c r="H309" s="27" t="s">
        <v>7</v>
      </c>
      <c r="J309" s="27" t="s">
        <v>7</v>
      </c>
      <c r="K309" s="27" t="s">
        <v>8</v>
      </c>
      <c r="L309" s="27" t="s">
        <v>7</v>
      </c>
      <c r="N309" s="27" t="s">
        <v>7</v>
      </c>
      <c r="O309" s="27" t="s">
        <v>8</v>
      </c>
      <c r="P309" s="27" t="s">
        <v>7</v>
      </c>
      <c r="Q309" s="27" t="s">
        <v>8</v>
      </c>
      <c r="R309" s="27" t="s">
        <v>7</v>
      </c>
      <c r="S309" s="27" t="s">
        <v>8</v>
      </c>
      <c r="T309" s="27" t="s">
        <v>7</v>
      </c>
      <c r="U309" s="27" t="s">
        <v>8</v>
      </c>
      <c r="X309" s="27" t="s">
        <v>7</v>
      </c>
      <c r="Y309" s="27" t="s">
        <v>8</v>
      </c>
      <c r="AT309" s="27" t="s">
        <v>7</v>
      </c>
      <c r="AU309" s="27" t="s">
        <v>8</v>
      </c>
      <c r="AV309" s="27" t="s">
        <v>7</v>
      </c>
      <c r="AW309" s="27" t="s">
        <v>8</v>
      </c>
      <c r="AX309" s="27" t="s">
        <v>7</v>
      </c>
      <c r="AY309" s="27" t="s">
        <v>8</v>
      </c>
    </row>
    <row r="310" spans="1:66" x14ac:dyDescent="0.25">
      <c r="A310" s="30">
        <v>3.286616756321796E-2</v>
      </c>
      <c r="B310"/>
      <c r="C310"/>
      <c r="D310"/>
      <c r="E310"/>
      <c r="J310" s="27" t="s">
        <v>7</v>
      </c>
      <c r="K310" s="27" t="s">
        <v>8</v>
      </c>
      <c r="N310" s="27" t="s">
        <v>7</v>
      </c>
      <c r="O310" s="27" t="s">
        <v>8</v>
      </c>
      <c r="P310" s="27" t="s">
        <v>7</v>
      </c>
      <c r="Q310" s="27" t="s">
        <v>8</v>
      </c>
      <c r="R310" s="27" t="s">
        <v>7</v>
      </c>
      <c r="S310" s="27" t="s">
        <v>8</v>
      </c>
      <c r="T310" s="27" t="s">
        <v>7</v>
      </c>
      <c r="U310" s="27" t="s">
        <v>8</v>
      </c>
      <c r="X310" s="27" t="s">
        <v>7</v>
      </c>
      <c r="AT310" s="27" t="s">
        <v>7</v>
      </c>
      <c r="AV310" s="27" t="s">
        <v>7</v>
      </c>
      <c r="AW310" s="27" t="s">
        <v>8</v>
      </c>
      <c r="AX310" s="27" t="s">
        <v>7</v>
      </c>
      <c r="AY310" s="27" t="s">
        <v>8</v>
      </c>
    </row>
    <row r="311" spans="1:66" x14ac:dyDescent="0.25">
      <c r="A311" s="30">
        <v>3.1301111964969472E-2</v>
      </c>
      <c r="B311"/>
      <c r="C311"/>
      <c r="D311"/>
      <c r="E311"/>
      <c r="J311" s="27" t="s">
        <v>7</v>
      </c>
      <c r="K311" s="27" t="s">
        <v>8</v>
      </c>
      <c r="N311" s="27" t="s">
        <v>7</v>
      </c>
      <c r="O311" s="27" t="s">
        <v>8</v>
      </c>
      <c r="P311" s="27" t="s">
        <v>7</v>
      </c>
      <c r="R311" s="27" t="s">
        <v>7</v>
      </c>
      <c r="T311" s="27" t="s">
        <v>7</v>
      </c>
      <c r="AV311" s="27" t="s">
        <v>7</v>
      </c>
      <c r="AX311" s="27" t="s">
        <v>7</v>
      </c>
      <c r="AY311" s="27" t="s">
        <v>8</v>
      </c>
    </row>
    <row r="312" spans="1:66" x14ac:dyDescent="0.25">
      <c r="A312" s="30">
        <v>2.9810582823780438E-2</v>
      </c>
      <c r="B312"/>
      <c r="C312"/>
      <c r="D312"/>
      <c r="E312"/>
      <c r="J312" s="27" t="s">
        <v>7</v>
      </c>
      <c r="K312" s="27" t="s">
        <v>8</v>
      </c>
      <c r="N312" s="27" t="s">
        <v>7</v>
      </c>
      <c r="AX312" s="27" t="s">
        <v>7</v>
      </c>
      <c r="AY312" s="27" t="s">
        <v>8</v>
      </c>
    </row>
    <row r="313" spans="1:66" x14ac:dyDescent="0.25">
      <c r="A313" s="30">
        <v>2.8391031260743264E-2</v>
      </c>
      <c r="B313"/>
      <c r="C313"/>
      <c r="D313"/>
      <c r="E313"/>
      <c r="J313" s="27" t="s">
        <v>7</v>
      </c>
      <c r="K313" s="27" t="s">
        <v>8</v>
      </c>
      <c r="AX313" s="27" t="s">
        <v>7</v>
      </c>
      <c r="AY313" s="27" t="s">
        <v>8</v>
      </c>
    </row>
    <row r="314" spans="1:66" x14ac:dyDescent="0.25">
      <c r="A314" s="30">
        <v>2.7039077391184052E-2</v>
      </c>
      <c r="B314"/>
      <c r="C314"/>
      <c r="D314"/>
      <c r="E314"/>
      <c r="J314" s="27" t="s">
        <v>7</v>
      </c>
      <c r="AX314" s="27" t="s">
        <v>7</v>
      </c>
    </row>
    <row r="315" spans="1:66" x14ac:dyDescent="0.25">
      <c r="A315" s="30">
        <v>2.5751502277318133E-2</v>
      </c>
      <c r="B315"/>
      <c r="C315"/>
      <c r="D315"/>
      <c r="E315"/>
    </row>
    <row r="316" spans="1:66" x14ac:dyDescent="0.25">
      <c r="A316" s="30">
        <v>2.4525240264112496E-2</v>
      </c>
      <c r="B316"/>
      <c r="C316"/>
      <c r="D316"/>
      <c r="E316"/>
    </row>
    <row r="317" spans="1:66" x14ac:dyDescent="0.25">
      <c r="A317" s="30">
        <v>2.3357371680107129E-2</v>
      </c>
      <c r="B317"/>
      <c r="C317"/>
      <c r="D317"/>
      <c r="E317"/>
    </row>
    <row r="318" spans="1:66" x14ac:dyDescent="0.25">
      <c r="A318" s="30">
        <v>2.2245115885816305E-2</v>
      </c>
      <c r="B318"/>
      <c r="C318"/>
      <c r="D318"/>
      <c r="E318"/>
    </row>
    <row r="319" spans="1:66" x14ac:dyDescent="0.25">
      <c r="A319" s="30">
        <v>2.1185824653158377E-2</v>
      </c>
      <c r="B319"/>
      <c r="C319"/>
      <c r="D319"/>
      <c r="E319"/>
    </row>
    <row r="320" spans="1:66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65" operator="equal">
      <formula>$U$1</formula>
    </cfRule>
    <cfRule type="cellIs" dxfId="67" priority="1066" operator="equal">
      <formula>$S$1</formula>
    </cfRule>
  </conditionalFormatting>
  <conditionalFormatting sqref="D136">
    <cfRule type="cellIs" dxfId="66" priority="1063" operator="equal">
      <formula>$S$1</formula>
    </cfRule>
    <cfRule type="cellIs" dxfId="65" priority="1064" operator="equal">
      <formula>$U$1</formula>
    </cfRule>
  </conditionalFormatting>
  <conditionalFormatting sqref="C162">
    <cfRule type="cellIs" dxfId="64" priority="1061" operator="equal">
      <formula>$U$1</formula>
    </cfRule>
    <cfRule type="cellIs" dxfId="63" priority="1062" operator="equal">
      <formula>$S$1</formula>
    </cfRule>
  </conditionalFormatting>
  <conditionalFormatting sqref="D162">
    <cfRule type="cellIs" dxfId="62" priority="1059" operator="equal">
      <formula>$S$1</formula>
    </cfRule>
    <cfRule type="cellIs" dxfId="61" priority="1060" operator="equal">
      <formula>$U$1</formula>
    </cfRule>
  </conditionalFormatting>
  <conditionalFormatting sqref="C187">
    <cfRule type="cellIs" dxfId="60" priority="1057" operator="equal">
      <formula>$U$1</formula>
    </cfRule>
    <cfRule type="cellIs" dxfId="59" priority="1058" operator="equal">
      <formula>$S$1</formula>
    </cfRule>
  </conditionalFormatting>
  <conditionalFormatting sqref="D187">
    <cfRule type="cellIs" dxfId="58" priority="1055" operator="equal">
      <formula>$S$1</formula>
    </cfRule>
    <cfRule type="cellIs" dxfId="57" priority="1056" operator="equal">
      <formula>$U$1</formula>
    </cfRule>
  </conditionalFormatting>
  <conditionalFormatting sqref="C212">
    <cfRule type="cellIs" dxfId="56" priority="1053" operator="equal">
      <formula>$U$1</formula>
    </cfRule>
    <cfRule type="cellIs" dxfId="55" priority="1054" operator="equal">
      <formula>$S$1</formula>
    </cfRule>
  </conditionalFormatting>
  <conditionalFormatting sqref="D212">
    <cfRule type="cellIs" dxfId="54" priority="1051" operator="equal">
      <formula>$S$1</formula>
    </cfRule>
    <cfRule type="cellIs" dxfId="53" priority="1052" operator="equal">
      <formula>$U$1</formula>
    </cfRule>
  </conditionalFormatting>
  <conditionalFormatting sqref="C237">
    <cfRule type="cellIs" dxfId="52" priority="1049" operator="equal">
      <formula>$U$1</formula>
    </cfRule>
    <cfRule type="cellIs" dxfId="51" priority="1050" operator="equal">
      <formula>$S$1</formula>
    </cfRule>
  </conditionalFormatting>
  <conditionalFormatting sqref="D237">
    <cfRule type="cellIs" dxfId="50" priority="1047" operator="equal">
      <formula>$S$1</formula>
    </cfRule>
    <cfRule type="cellIs" dxfId="49" priority="1048" operator="equal">
      <formula>$U$1</formula>
    </cfRule>
  </conditionalFormatting>
  <conditionalFormatting sqref="C106">
    <cfRule type="cellIs" dxfId="48" priority="1045" operator="equal">
      <formula>$U$1</formula>
    </cfRule>
    <cfRule type="cellIs" dxfId="47" priority="1046" operator="equal">
      <formula>$S$1</formula>
    </cfRule>
  </conditionalFormatting>
  <conditionalFormatting sqref="D106">
    <cfRule type="cellIs" dxfId="46" priority="1043" operator="equal">
      <formula>$S$1</formula>
    </cfRule>
    <cfRule type="cellIs" dxfId="45" priority="1044" operator="equal">
      <formula>$U$1</formula>
    </cfRule>
  </conditionalFormatting>
  <conditionalFormatting sqref="C81">
    <cfRule type="cellIs" dxfId="44" priority="1041" operator="equal">
      <formula>$U$1</formula>
    </cfRule>
    <cfRule type="cellIs" dxfId="43" priority="1042" operator="equal">
      <formula>$S$1</formula>
    </cfRule>
  </conditionalFormatting>
  <conditionalFormatting sqref="D81">
    <cfRule type="cellIs" dxfId="42" priority="1039" operator="equal">
      <formula>$S$1</formula>
    </cfRule>
    <cfRule type="cellIs" dxfId="41" priority="1040" operator="equal">
      <formula>$U$1</formula>
    </cfRule>
  </conditionalFormatting>
  <conditionalFormatting sqref="C56">
    <cfRule type="cellIs" dxfId="40" priority="1037" operator="equal">
      <formula>$U$1</formula>
    </cfRule>
    <cfRule type="cellIs" dxfId="39" priority="1038" operator="equal">
      <formula>$S$1</formula>
    </cfRule>
  </conditionalFormatting>
  <conditionalFormatting sqref="D56">
    <cfRule type="cellIs" dxfId="38" priority="1035" operator="equal">
      <formula>$S$1</formula>
    </cfRule>
    <cfRule type="cellIs" dxfId="37" priority="1036" operator="equal">
      <formula>$U$1</formula>
    </cfRule>
  </conditionalFormatting>
  <conditionalFormatting sqref="C31">
    <cfRule type="cellIs" dxfId="36" priority="1033" operator="equal">
      <formula>$U$1</formula>
    </cfRule>
    <cfRule type="cellIs" dxfId="35" priority="1034" operator="equal">
      <formula>$S$1</formula>
    </cfRule>
  </conditionalFormatting>
  <conditionalFormatting sqref="D31">
    <cfRule type="cellIs" dxfId="34" priority="1031" operator="equal">
      <formula>$S$1</formula>
    </cfRule>
    <cfRule type="cellIs" dxfId="33" priority="103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L131" sqref="BL13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$A$130</v>
      </c>
      <c r="D111" s="1" t="str">
        <f>ADDRESS(C121-1,D121,1,1)</f>
        <v>$BL$130</v>
      </c>
      <c r="E111"/>
    </row>
    <row r="112" spans="1:5" x14ac:dyDescent="0.25">
      <c r="A112" s="30">
        <v>2.3579476910000019</v>
      </c>
      <c r="C112" s="1" t="str">
        <f>ADDRESS(C121,1,1,1)</f>
        <v>$A$131</v>
      </c>
      <c r="D112" s="1" t="str">
        <f>ADDRESS(C121,D121-1,1,1)</f>
        <v>$BK$131</v>
      </c>
      <c r="E112"/>
    </row>
    <row r="113" spans="1:64" x14ac:dyDescent="0.25">
      <c r="A113" s="30">
        <v>2.1435888100000016</v>
      </c>
      <c r="C113" s="1" t="str">
        <f>ADDRESS(C121+1,1,1,1)</f>
        <v>$A$132</v>
      </c>
      <c r="D113" s="1" t="str">
        <f>ADDRESS(C121-1,D121+1,1,1)</f>
        <v>$BM$130</v>
      </c>
    </row>
    <row r="114" spans="1:64" x14ac:dyDescent="0.25">
      <c r="A114" s="30">
        <v>1.9487171000000014</v>
      </c>
      <c r="C114" s="1" t="str">
        <f>ADDRESS(C121,D121,1,1)</f>
        <v>$BL$131</v>
      </c>
      <c r="D114" s="1" t="str">
        <f>ADDRESS(C121+1,D121+1,1,1)</f>
        <v>$BM$132</v>
      </c>
    </row>
    <row r="115" spans="1:64" x14ac:dyDescent="0.25">
      <c r="A115" s="30">
        <v>1.7715610000000011</v>
      </c>
      <c r="C115" s="1" t="str">
        <f>ADDRESS(C121+1,D121,1,1)</f>
        <v>$BL$132</v>
      </c>
    </row>
    <row r="116" spans="1:64" x14ac:dyDescent="0.25">
      <c r="A116" s="30">
        <v>1.6105100000000008</v>
      </c>
      <c r="C116" s="1">
        <f>C117-1</f>
        <v>130</v>
      </c>
      <c r="AM116" s="27" t="s">
        <v>8</v>
      </c>
      <c r="BG116" s="27" t="s">
        <v>8</v>
      </c>
    </row>
    <row r="117" spans="1:64" x14ac:dyDescent="0.25">
      <c r="A117" s="30">
        <v>1.4641000000000006</v>
      </c>
      <c r="C117" s="1">
        <f>C121</f>
        <v>131</v>
      </c>
      <c r="D117" s="1">
        <f>D121</f>
        <v>64</v>
      </c>
      <c r="AM117" s="27" t="s">
        <v>8</v>
      </c>
      <c r="AN117" s="27" t="s">
        <v>7</v>
      </c>
      <c r="BG117" s="27" t="s">
        <v>8</v>
      </c>
      <c r="BH117" s="27" t="s">
        <v>7</v>
      </c>
    </row>
    <row r="118" spans="1:64" x14ac:dyDescent="0.25">
      <c r="A118" s="30">
        <v>1.3310000000000004</v>
      </c>
      <c r="C118" s="1">
        <f>C117+1</f>
        <v>132</v>
      </c>
      <c r="D118" s="1">
        <f>D117+1</f>
        <v>65</v>
      </c>
      <c r="AM118" s="27" t="s">
        <v>8</v>
      </c>
      <c r="AN118" s="27" t="s">
        <v>7</v>
      </c>
      <c r="AO118" s="27" t="s">
        <v>8</v>
      </c>
      <c r="BG118" s="27" t="s">
        <v>8</v>
      </c>
      <c r="BH118" s="27" t="s">
        <v>7</v>
      </c>
    </row>
    <row r="119" spans="1:64" x14ac:dyDescent="0.25">
      <c r="A119" s="30">
        <v>1.2100000000000002</v>
      </c>
      <c r="AM119" s="27" t="s">
        <v>8</v>
      </c>
      <c r="AN119" s="27" t="s">
        <v>7</v>
      </c>
      <c r="AO119" s="27" t="s">
        <v>8</v>
      </c>
      <c r="AP119" s="27" t="s">
        <v>7</v>
      </c>
      <c r="BA119" s="27" t="s">
        <v>8</v>
      </c>
      <c r="BG119" s="27" t="s">
        <v>8</v>
      </c>
      <c r="BH119" s="27" t="s">
        <v>7</v>
      </c>
    </row>
    <row r="120" spans="1:64" x14ac:dyDescent="0.25">
      <c r="A120" s="30">
        <v>1.1000000000000001</v>
      </c>
      <c r="C120" s="1" t="s">
        <v>9</v>
      </c>
      <c r="AM120" s="27" t="s">
        <v>8</v>
      </c>
      <c r="AN120" s="27" t="s">
        <v>7</v>
      </c>
      <c r="AO120" s="27" t="s">
        <v>8</v>
      </c>
      <c r="AP120" s="27" t="s">
        <v>7</v>
      </c>
      <c r="BA120" s="27" t="s">
        <v>8</v>
      </c>
      <c r="BB120" s="27" t="s">
        <v>7</v>
      </c>
      <c r="BG120" s="27" t="s">
        <v>8</v>
      </c>
      <c r="BH120" s="27" t="s">
        <v>7</v>
      </c>
    </row>
    <row r="121" spans="1:64" x14ac:dyDescent="0.25">
      <c r="A121" s="30">
        <v>1</v>
      </c>
      <c r="C121" s="18">
        <v>131</v>
      </c>
      <c r="D121" s="19">
        <v>64</v>
      </c>
      <c r="E121" s="18" t="s">
        <v>8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BA121" s="27" t="s">
        <v>8</v>
      </c>
      <c r="BB121" s="27" t="s">
        <v>7</v>
      </c>
      <c r="BE121" s="27" t="s">
        <v>8</v>
      </c>
      <c r="BG121" s="27" t="s">
        <v>8</v>
      </c>
      <c r="BH121" s="27" t="s">
        <v>7</v>
      </c>
    </row>
    <row r="122" spans="1:64" x14ac:dyDescent="0.25">
      <c r="A122" s="30">
        <v>0.90909090909090895</v>
      </c>
      <c r="C122" s="1" t="str">
        <f>INDEX(1:1048576,C117,D117)</f>
        <v>O</v>
      </c>
      <c r="F122" s="27" t="s">
        <v>7</v>
      </c>
      <c r="AM122" s="27" t="s">
        <v>8</v>
      </c>
      <c r="AN122" s="27" t="s">
        <v>7</v>
      </c>
      <c r="AO122" s="27" t="s">
        <v>8</v>
      </c>
      <c r="AP122" s="27" t="s">
        <v>7</v>
      </c>
      <c r="AQ122" s="27" t="s">
        <v>8</v>
      </c>
      <c r="AR122" s="27" t="s">
        <v>7</v>
      </c>
      <c r="AS122" s="27" t="s">
        <v>8</v>
      </c>
      <c r="BA122" s="27" t="s">
        <v>8</v>
      </c>
      <c r="BB122" s="27" t="s">
        <v>7</v>
      </c>
      <c r="BC122" s="27" t="s">
        <v>8</v>
      </c>
      <c r="BE122" s="27" t="s">
        <v>8</v>
      </c>
      <c r="BF122" s="27" t="s">
        <v>7</v>
      </c>
      <c r="BG122" s="27" t="s">
        <v>8</v>
      </c>
      <c r="BH122" s="27" t="s">
        <v>7</v>
      </c>
    </row>
    <row r="123" spans="1:64" x14ac:dyDescent="0.25">
      <c r="A123" s="30">
        <v>0.82644628099173523</v>
      </c>
      <c r="C123" s="1" t="str">
        <f>"R"&amp;C121</f>
        <v>R131</v>
      </c>
      <c r="D123" s="1" t="str">
        <f>"C"&amp;D121</f>
        <v>C64</v>
      </c>
      <c r="F123" s="27" t="s">
        <v>7</v>
      </c>
      <c r="AG123" s="27" t="s">
        <v>8</v>
      </c>
      <c r="AK123" s="27" t="s">
        <v>8</v>
      </c>
      <c r="AM123" s="27" t="s">
        <v>8</v>
      </c>
      <c r="AN123" s="27" t="s">
        <v>7</v>
      </c>
      <c r="AP123" s="27" t="s">
        <v>7</v>
      </c>
      <c r="AQ123" s="27" t="s">
        <v>8</v>
      </c>
      <c r="AR123" s="27" t="s">
        <v>7</v>
      </c>
      <c r="AS123" s="27" t="s">
        <v>8</v>
      </c>
      <c r="AT123" s="27" t="s">
        <v>7</v>
      </c>
      <c r="AU123" s="27" t="s">
        <v>8</v>
      </c>
      <c r="BA123" s="27" t="s">
        <v>8</v>
      </c>
      <c r="BB123" s="27" t="s">
        <v>7</v>
      </c>
      <c r="BC123" s="27" t="s">
        <v>8</v>
      </c>
      <c r="BD123" s="27" t="s">
        <v>7</v>
      </c>
      <c r="BE123" s="27" t="s">
        <v>8</v>
      </c>
      <c r="BF123" s="27" t="s">
        <v>7</v>
      </c>
      <c r="BG123" s="27" t="s">
        <v>8</v>
      </c>
      <c r="BH123" s="27" t="s">
        <v>7</v>
      </c>
      <c r="BI123" s="27" t="s">
        <v>8</v>
      </c>
    </row>
    <row r="124" spans="1:6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G124" s="27" t="s">
        <v>8</v>
      </c>
      <c r="AH124" s="27" t="s">
        <v>7</v>
      </c>
      <c r="AK124" s="27" t="s">
        <v>8</v>
      </c>
      <c r="AL124" s="27" t="s">
        <v>7</v>
      </c>
      <c r="AM124" s="27" t="s">
        <v>8</v>
      </c>
      <c r="AP124" s="27" t="s">
        <v>7</v>
      </c>
      <c r="AQ124" s="27" t="s">
        <v>8</v>
      </c>
      <c r="AR124" s="27" t="s">
        <v>7</v>
      </c>
      <c r="AS124" s="27" t="s">
        <v>8</v>
      </c>
      <c r="AT124" s="27" t="s">
        <v>7</v>
      </c>
      <c r="AU124" s="27" t="s">
        <v>8</v>
      </c>
      <c r="AV124" s="27" t="s">
        <v>7</v>
      </c>
      <c r="AW124" s="27" t="s">
        <v>8</v>
      </c>
      <c r="BA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  <c r="BF124" s="27" t="s">
        <v>7</v>
      </c>
      <c r="BH124" s="27" t="s">
        <v>7</v>
      </c>
      <c r="BI124" s="27" t="s">
        <v>8</v>
      </c>
      <c r="BJ124" s="27" t="s">
        <v>7</v>
      </c>
      <c r="BK124" s="27" t="s">
        <v>8</v>
      </c>
    </row>
    <row r="125" spans="1:64" x14ac:dyDescent="0.25">
      <c r="A125" s="30">
        <v>0.68301345536507019</v>
      </c>
      <c r="F125" s="27" t="s">
        <v>7</v>
      </c>
      <c r="AG125" s="27" t="s">
        <v>8</v>
      </c>
      <c r="AH125" s="27" t="s">
        <v>7</v>
      </c>
      <c r="AI125" s="27" t="s">
        <v>8</v>
      </c>
      <c r="AK125" s="27" t="s">
        <v>8</v>
      </c>
      <c r="AL125" s="27" t="s">
        <v>7</v>
      </c>
      <c r="AM125" s="27" t="s">
        <v>8</v>
      </c>
      <c r="AP125" s="27" t="s">
        <v>7</v>
      </c>
      <c r="AQ125" s="27" t="s">
        <v>8</v>
      </c>
      <c r="AR125" s="27" t="s">
        <v>7</v>
      </c>
      <c r="AS125" s="27" t="s">
        <v>8</v>
      </c>
      <c r="AT125" s="27" t="s">
        <v>7</v>
      </c>
      <c r="AU125" s="27" t="s">
        <v>8</v>
      </c>
      <c r="AV125" s="27" t="s">
        <v>7</v>
      </c>
      <c r="AW125" s="27" t="s">
        <v>8</v>
      </c>
      <c r="AX125" s="27" t="s">
        <v>7</v>
      </c>
      <c r="BA125" s="27" t="s">
        <v>8</v>
      </c>
      <c r="BB125" s="27" t="s">
        <v>7</v>
      </c>
      <c r="BD125" s="27" t="s">
        <v>7</v>
      </c>
      <c r="BE125" s="27" t="s">
        <v>8</v>
      </c>
      <c r="BH125" s="27" t="s">
        <v>7</v>
      </c>
      <c r="BI125" s="27" t="s">
        <v>8</v>
      </c>
      <c r="BJ125" s="27" t="s">
        <v>7</v>
      </c>
      <c r="BK125" s="27" t="s">
        <v>8</v>
      </c>
      <c r="BL125" s="27" t="s">
        <v>7</v>
      </c>
    </row>
    <row r="126" spans="1:64" x14ac:dyDescent="0.25">
      <c r="A126" s="30">
        <v>0.6209213230591546</v>
      </c>
      <c r="C126" s="1" t="s">
        <v>10</v>
      </c>
      <c r="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  <c r="AM126" s="27" t="s">
        <v>8</v>
      </c>
      <c r="AP126" s="27" t="s">
        <v>7</v>
      </c>
      <c r="AQ126" s="27" t="s">
        <v>8</v>
      </c>
      <c r="AR126" s="27" t="s">
        <v>7</v>
      </c>
      <c r="AS126" s="27" t="s">
        <v>8</v>
      </c>
      <c r="AT126" s="27" t="s">
        <v>7</v>
      </c>
      <c r="AV126" s="27" t="s">
        <v>7</v>
      </c>
      <c r="AW126" s="27" t="s">
        <v>8</v>
      </c>
      <c r="AX126" s="27" t="s">
        <v>7</v>
      </c>
      <c r="BA126" s="27" t="s">
        <v>8</v>
      </c>
      <c r="BD126" s="27" t="s">
        <v>7</v>
      </c>
      <c r="BE126" s="27" t="s">
        <v>8</v>
      </c>
      <c r="BH126" s="27" t="s">
        <v>7</v>
      </c>
      <c r="BJ126" s="27" t="s">
        <v>7</v>
      </c>
      <c r="BK126" s="27" t="s">
        <v>8</v>
      </c>
      <c r="BL126" s="27" t="s">
        <v>7</v>
      </c>
    </row>
    <row r="127" spans="1:64" x14ac:dyDescent="0.25">
      <c r="A127" s="30">
        <v>0.56447393005377677</v>
      </c>
      <c r="C127" s="30">
        <v>0.38554328942953109</v>
      </c>
      <c r="D127"/>
      <c r="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L127" s="27" t="s">
        <v>7</v>
      </c>
      <c r="AM127" s="27" t="s">
        <v>8</v>
      </c>
      <c r="AP127" s="27" t="s">
        <v>7</v>
      </c>
      <c r="AR127" s="27" t="s">
        <v>7</v>
      </c>
      <c r="AS127" s="27" t="s">
        <v>8</v>
      </c>
      <c r="AV127" s="27" t="s">
        <v>7</v>
      </c>
      <c r="AX127" s="27" t="s">
        <v>7</v>
      </c>
      <c r="AY127" s="27" t="s">
        <v>8</v>
      </c>
      <c r="BA127" s="27" t="s">
        <v>8</v>
      </c>
      <c r="BD127" s="27" t="s">
        <v>7</v>
      </c>
      <c r="BE127" s="27" t="s">
        <v>8</v>
      </c>
      <c r="BJ127" s="27" t="s">
        <v>7</v>
      </c>
      <c r="BL127" s="27" t="s">
        <v>7</v>
      </c>
    </row>
    <row r="128" spans="1:64" x14ac:dyDescent="0.25">
      <c r="A128" s="30">
        <v>0.51315811823070612</v>
      </c>
      <c r="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L128" s="27" t="s">
        <v>7</v>
      </c>
      <c r="AM128" s="27" t="s">
        <v>8</v>
      </c>
      <c r="AR128" s="27" t="s">
        <v>7</v>
      </c>
      <c r="AS128" s="27" t="s">
        <v>8</v>
      </c>
      <c r="AX128" s="27" t="s">
        <v>7</v>
      </c>
      <c r="AY128" s="27" t="s">
        <v>8</v>
      </c>
      <c r="AZ128" s="27" t="s">
        <v>7</v>
      </c>
      <c r="BA128" s="27" t="s">
        <v>8</v>
      </c>
      <c r="BD128" s="27" t="s">
        <v>7</v>
      </c>
      <c r="BL128" s="27" t="s">
        <v>7</v>
      </c>
    </row>
    <row r="129" spans="1:6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W129" s="27" t="s">
        <v>8</v>
      </c>
      <c r="AG129" s="27" t="s">
        <v>8</v>
      </c>
      <c r="AH129" s="27" t="s">
        <v>7</v>
      </c>
      <c r="AL129" s="27" t="s">
        <v>7</v>
      </c>
      <c r="AM129" s="27" t="s">
        <v>8</v>
      </c>
      <c r="AR129" s="27" t="s">
        <v>7</v>
      </c>
      <c r="AX129" s="27" t="s">
        <v>7</v>
      </c>
      <c r="AY129" s="27" t="s">
        <v>8</v>
      </c>
      <c r="AZ129" s="27" t="s">
        <v>7</v>
      </c>
      <c r="BA129" s="27" t="s">
        <v>8</v>
      </c>
      <c r="BL129" s="27" t="s">
        <v>7</v>
      </c>
    </row>
    <row r="130" spans="1:64" x14ac:dyDescent="0.25">
      <c r="A130" s="30">
        <v>0.42409761837248428</v>
      </c>
      <c r="C130" s="6"/>
      <c r="D130" s="6"/>
      <c r="E130"/>
      <c r="F130" s="27" t="s">
        <v>7</v>
      </c>
      <c r="W130" s="27" t="s">
        <v>8</v>
      </c>
      <c r="X130" s="27" t="s">
        <v>7</v>
      </c>
      <c r="AE130" s="27" t="s">
        <v>8</v>
      </c>
      <c r="AG130" s="27" t="s">
        <v>8</v>
      </c>
      <c r="AL130" s="27" t="s">
        <v>7</v>
      </c>
      <c r="AX130" s="27" t="s">
        <v>7</v>
      </c>
      <c r="AY130" s="27" t="s">
        <v>8</v>
      </c>
      <c r="AZ130" s="27" t="s">
        <v>7</v>
      </c>
      <c r="BA130" s="27" t="s">
        <v>8</v>
      </c>
      <c r="BL130" s="27" t="s">
        <v>7</v>
      </c>
    </row>
    <row r="131" spans="1:64" x14ac:dyDescent="0.25">
      <c r="A131" s="30">
        <v>0.38554328942953109</v>
      </c>
      <c r="E131"/>
      <c r="F131" s="27" t="s">
        <v>7</v>
      </c>
      <c r="W131" s="27" t="s">
        <v>8</v>
      </c>
      <c r="X131" s="27" t="s">
        <v>7</v>
      </c>
      <c r="AC131" s="27" t="s">
        <v>8</v>
      </c>
      <c r="AE131" s="27" t="s">
        <v>8</v>
      </c>
      <c r="AF131" s="27" t="s">
        <v>7</v>
      </c>
      <c r="AG131" s="27" t="s">
        <v>8</v>
      </c>
      <c r="AX131" s="27" t="s">
        <v>7</v>
      </c>
      <c r="AY131" s="27" t="s">
        <v>8</v>
      </c>
      <c r="AZ131" s="18" t="s">
        <v>7</v>
      </c>
      <c r="BA131" s="27" t="s">
        <v>8</v>
      </c>
      <c r="BL131" s="27" t="s">
        <v>7</v>
      </c>
    </row>
    <row r="132" spans="1:64" x14ac:dyDescent="0.25">
      <c r="A132" s="30">
        <v>0.35049389948139187</v>
      </c>
      <c r="C132" s="1" t="s">
        <v>13</v>
      </c>
      <c r="E132"/>
      <c r="F132" s="27" t="s">
        <v>7</v>
      </c>
      <c r="W132" s="27" t="s">
        <v>8</v>
      </c>
      <c r="X132" s="27" t="s">
        <v>7</v>
      </c>
      <c r="AC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X132" s="27" t="s">
        <v>7</v>
      </c>
      <c r="AY132" s="27" t="s">
        <v>8</v>
      </c>
      <c r="AZ132" s="27" t="s">
        <v>7</v>
      </c>
      <c r="BA132" s="27" t="s">
        <v>8</v>
      </c>
    </row>
    <row r="133" spans="1:64" x14ac:dyDescent="0.25">
      <c r="A133" s="30">
        <v>0.31863081771035617</v>
      </c>
      <c r="C133" s="1" t="str">
        <f>C122</f>
        <v>O</v>
      </c>
      <c r="E133"/>
      <c r="F133" s="27" t="s">
        <v>7</v>
      </c>
      <c r="W133" s="27" t="s">
        <v>8</v>
      </c>
      <c r="X133" s="27" t="s">
        <v>7</v>
      </c>
      <c r="Y133" s="27" t="s">
        <v>8</v>
      </c>
      <c r="AC133" s="27" t="s">
        <v>8</v>
      </c>
      <c r="AD133" s="27" t="s">
        <v>7</v>
      </c>
      <c r="AE133" s="27" t="s">
        <v>8</v>
      </c>
      <c r="AF133" s="27" t="s">
        <v>7</v>
      </c>
      <c r="AX133" s="27" t="s">
        <v>7</v>
      </c>
      <c r="AZ133" s="27" t="s">
        <v>7</v>
      </c>
    </row>
    <row r="134" spans="1:64" x14ac:dyDescent="0.25">
      <c r="A134" s="30">
        <v>0.28966437973668741</v>
      </c>
      <c r="C134"/>
      <c r="D134"/>
      <c r="E134"/>
      <c r="F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C134" s="27" t="s">
        <v>8</v>
      </c>
      <c r="AD134" s="27" t="s">
        <v>7</v>
      </c>
    </row>
    <row r="135" spans="1:64" x14ac:dyDescent="0.25">
      <c r="A135" s="30">
        <v>0.2633312543060794</v>
      </c>
      <c r="C135" s="1" t="s">
        <v>14</v>
      </c>
      <c r="E135"/>
      <c r="F135" s="27" t="s">
        <v>7</v>
      </c>
      <c r="W135" s="27" t="s">
        <v>8</v>
      </c>
      <c r="X135" s="27" t="s">
        <v>7</v>
      </c>
      <c r="Y135" s="27" t="s">
        <v>8</v>
      </c>
      <c r="Z135" s="27" t="s">
        <v>7</v>
      </c>
      <c r="AA135" s="27" t="s">
        <v>8</v>
      </c>
      <c r="AC135" s="27" t="s">
        <v>8</v>
      </c>
    </row>
    <row r="136" spans="1:6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W136" s="27" t="s">
        <v>8</v>
      </c>
      <c r="X136" s="27" t="s">
        <v>7</v>
      </c>
      <c r="Y136" s="27" t="s">
        <v>8</v>
      </c>
      <c r="Z136" s="27" t="s">
        <v>7</v>
      </c>
      <c r="AA136" s="27" t="s">
        <v>8</v>
      </c>
      <c r="AB136" s="27" t="s">
        <v>7</v>
      </c>
      <c r="AC136" s="27" t="s">
        <v>8</v>
      </c>
    </row>
    <row r="137" spans="1:64" x14ac:dyDescent="0.25">
      <c r="A137" s="30">
        <v>0.2176291357901482</v>
      </c>
      <c r="E137"/>
      <c r="F137" s="27" t="s">
        <v>7</v>
      </c>
      <c r="W137" s="27" t="s">
        <v>8</v>
      </c>
      <c r="X137" s="27" t="s">
        <v>7</v>
      </c>
      <c r="Z137" s="27" t="s">
        <v>7</v>
      </c>
      <c r="AA137" s="27" t="s">
        <v>8</v>
      </c>
      <c r="AB137" s="27" t="s">
        <v>7</v>
      </c>
      <c r="AC137" s="27" t="s">
        <v>8</v>
      </c>
    </row>
    <row r="138" spans="1:6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W138" s="27" t="s">
        <v>8</v>
      </c>
      <c r="Z138" s="27" t="s">
        <v>7</v>
      </c>
      <c r="AA138" s="27" t="s">
        <v>8</v>
      </c>
      <c r="AB138" s="27" t="s">
        <v>7</v>
      </c>
      <c r="AC138" s="27" t="s">
        <v>8</v>
      </c>
    </row>
    <row r="139" spans="1:64" x14ac:dyDescent="0.25">
      <c r="A139" s="30">
        <v>0.17985878990921333</v>
      </c>
      <c r="E139"/>
      <c r="F139" s="27" t="s">
        <v>7</v>
      </c>
      <c r="W139" s="27" t="s">
        <v>8</v>
      </c>
      <c r="Z139" s="27" t="s">
        <v>7</v>
      </c>
      <c r="AA139" s="27" t="s">
        <v>8</v>
      </c>
      <c r="AB139" s="27" t="s">
        <v>7</v>
      </c>
      <c r="AC139" s="27" t="s">
        <v>8</v>
      </c>
    </row>
    <row r="140" spans="1:64" x14ac:dyDescent="0.25">
      <c r="A140" s="30">
        <v>0.16350799082655756</v>
      </c>
      <c r="C140" s="1">
        <v>0</v>
      </c>
      <c r="E140"/>
      <c r="F140" s="27" t="s">
        <v>7</v>
      </c>
      <c r="W140" s="27" t="s">
        <v>8</v>
      </c>
      <c r="Z140" s="27" t="s">
        <v>7</v>
      </c>
      <c r="AA140" s="27" t="s">
        <v>8</v>
      </c>
      <c r="AB140" s="27" t="s">
        <v>7</v>
      </c>
    </row>
    <row r="141" spans="1:64" x14ac:dyDescent="0.25">
      <c r="A141" s="30">
        <v>0.14864362802414322</v>
      </c>
      <c r="C141" s="1">
        <v>1</v>
      </c>
      <c r="E141"/>
      <c r="F141" s="27" t="s">
        <v>7</v>
      </c>
      <c r="M141" s="27" t="s">
        <v>8</v>
      </c>
      <c r="W141" s="27" t="s">
        <v>8</v>
      </c>
      <c r="Z141" s="27" t="s">
        <v>7</v>
      </c>
      <c r="AA141" s="27" t="s">
        <v>8</v>
      </c>
    </row>
    <row r="142" spans="1:64" x14ac:dyDescent="0.25">
      <c r="A142" s="30">
        <v>0.13513057093103928</v>
      </c>
      <c r="C142" s="1">
        <v>2</v>
      </c>
      <c r="E142"/>
      <c r="F142" s="27" t="s">
        <v>7</v>
      </c>
      <c r="M142" s="27" t="s">
        <v>8</v>
      </c>
      <c r="N142" s="27" t="s">
        <v>7</v>
      </c>
      <c r="W142" s="27" t="s">
        <v>8</v>
      </c>
      <c r="Z142" s="27" t="s">
        <v>7</v>
      </c>
    </row>
    <row r="143" spans="1:64" x14ac:dyDescent="0.25">
      <c r="A143" s="30">
        <v>0.12284597357367205</v>
      </c>
      <c r="C143" s="1">
        <v>3</v>
      </c>
      <c r="E143"/>
      <c r="F143" s="27" t="s">
        <v>7</v>
      </c>
      <c r="M143" s="27" t="s">
        <v>8</v>
      </c>
      <c r="N143" s="27" t="s">
        <v>7</v>
      </c>
      <c r="W143" s="27" t="s">
        <v>8</v>
      </c>
    </row>
    <row r="144" spans="1:64" x14ac:dyDescent="0.25">
      <c r="A144" s="30">
        <v>0.11167815779424731</v>
      </c>
      <c r="C144" s="1">
        <v>4</v>
      </c>
      <c r="E144"/>
      <c r="F144" s="27" t="s">
        <v>7</v>
      </c>
      <c r="K144" s="27" t="s">
        <v>8</v>
      </c>
      <c r="M144" s="27" t="s">
        <v>8</v>
      </c>
      <c r="N144" s="27" t="s">
        <v>7</v>
      </c>
      <c r="W144" s="27" t="s">
        <v>8</v>
      </c>
    </row>
    <row r="145" spans="1:23" x14ac:dyDescent="0.25">
      <c r="A145" s="30">
        <v>0.10152559799477026</v>
      </c>
      <c r="B145"/>
      <c r="C145"/>
      <c r="D145"/>
      <c r="E145"/>
      <c r="F145" s="27" t="s">
        <v>7</v>
      </c>
      <c r="K145" s="27" t="s">
        <v>8</v>
      </c>
      <c r="L145" s="27" t="s">
        <v>7</v>
      </c>
      <c r="M145" s="27" t="s">
        <v>8</v>
      </c>
      <c r="N145" s="27" t="s">
        <v>7</v>
      </c>
      <c r="W145" s="27" t="s">
        <v>8</v>
      </c>
    </row>
    <row r="146" spans="1:23" x14ac:dyDescent="0.25">
      <c r="A146" s="30">
        <v>9.2295998177063854E-2</v>
      </c>
      <c r="B146"/>
      <c r="C146"/>
      <c r="D146"/>
      <c r="E146"/>
      <c r="F146" s="27" t="s">
        <v>7</v>
      </c>
      <c r="K146" s="27" t="s">
        <v>8</v>
      </c>
      <c r="L146" s="27" t="s">
        <v>7</v>
      </c>
      <c r="M146" s="27" t="s">
        <v>8</v>
      </c>
      <c r="N146" s="27" t="s">
        <v>7</v>
      </c>
      <c r="W146" s="27" t="s">
        <v>8</v>
      </c>
    </row>
    <row r="147" spans="1:23" x14ac:dyDescent="0.25">
      <c r="A147" s="30">
        <v>8.3905452888239848E-2</v>
      </c>
      <c r="B147"/>
      <c r="C147"/>
      <c r="D147"/>
      <c r="E147"/>
      <c r="F147" s="27" t="s">
        <v>7</v>
      </c>
      <c r="K147" s="27" t="s">
        <v>8</v>
      </c>
      <c r="L147" s="27" t="s">
        <v>7</v>
      </c>
      <c r="N147" s="27" t="s">
        <v>7</v>
      </c>
      <c r="W147" s="27" t="s">
        <v>8</v>
      </c>
    </row>
    <row r="148" spans="1:23" x14ac:dyDescent="0.25">
      <c r="A148" s="30">
        <v>7.6277684443854396E-2</v>
      </c>
      <c r="B148"/>
      <c r="C148"/>
      <c r="D148"/>
      <c r="E148"/>
      <c r="F148" s="27" t="s">
        <v>7</v>
      </c>
      <c r="K148" s="27" t="s">
        <v>8</v>
      </c>
      <c r="N148" s="27" t="s">
        <v>7</v>
      </c>
      <c r="W148" s="27" t="s">
        <v>8</v>
      </c>
    </row>
    <row r="149" spans="1:23" x14ac:dyDescent="0.25">
      <c r="A149" s="30">
        <v>6.9343349494413078E-2</v>
      </c>
      <c r="B149"/>
      <c r="C149"/>
      <c r="D149"/>
      <c r="E149"/>
      <c r="F149" s="27" t="s">
        <v>7</v>
      </c>
      <c r="K149" s="27" t="s">
        <v>8</v>
      </c>
      <c r="N149" s="27" t="s">
        <v>7</v>
      </c>
      <c r="W149" s="27" t="s">
        <v>8</v>
      </c>
    </row>
    <row r="150" spans="1:23" x14ac:dyDescent="0.25">
      <c r="A150" s="30">
        <v>6.3039408631284613E-2</v>
      </c>
      <c r="B150"/>
      <c r="C150"/>
      <c r="D150"/>
      <c r="E150"/>
      <c r="F150" s="27" t="s">
        <v>7</v>
      </c>
      <c r="K150" s="27" t="s">
        <v>8</v>
      </c>
      <c r="N150" s="27" t="s">
        <v>7</v>
      </c>
      <c r="O150" s="27" t="s">
        <v>8</v>
      </c>
      <c r="S150" s="27" t="s">
        <v>8</v>
      </c>
      <c r="W150" s="27" t="s">
        <v>8</v>
      </c>
    </row>
    <row r="151" spans="1:23" x14ac:dyDescent="0.25">
      <c r="A151" s="30">
        <v>5.7308553301167818E-2</v>
      </c>
      <c r="B151"/>
      <c r="C151"/>
      <c r="D151"/>
      <c r="E151"/>
      <c r="F151" s="27" t="s">
        <v>7</v>
      </c>
      <c r="K151" s="27" t="s">
        <v>8</v>
      </c>
      <c r="N151" s="27" t="s">
        <v>7</v>
      </c>
      <c r="O151" s="27" t="s">
        <v>8</v>
      </c>
      <c r="P151" s="27" t="s">
        <v>7</v>
      </c>
      <c r="S151" s="27" t="s">
        <v>8</v>
      </c>
      <c r="T151" s="27" t="s">
        <v>7</v>
      </c>
      <c r="U151" s="27" t="s">
        <v>8</v>
      </c>
      <c r="W151" s="27" t="s">
        <v>8</v>
      </c>
    </row>
    <row r="152" spans="1:23" x14ac:dyDescent="0.25">
      <c r="A152" s="30">
        <v>5.2098684819243464E-2</v>
      </c>
      <c r="B152"/>
      <c r="C152"/>
      <c r="D152"/>
      <c r="E152"/>
      <c r="F152" s="27" t="s">
        <v>7</v>
      </c>
      <c r="K152" s="27" t="s">
        <v>8</v>
      </c>
      <c r="N152" s="27" t="s">
        <v>7</v>
      </c>
      <c r="O152" s="27" t="s">
        <v>8</v>
      </c>
      <c r="P152" s="27" t="s">
        <v>7</v>
      </c>
      <c r="Q152" s="27" t="s">
        <v>8</v>
      </c>
      <c r="S152" s="27" t="s">
        <v>8</v>
      </c>
      <c r="T152" s="27" t="s">
        <v>7</v>
      </c>
      <c r="U152" s="27" t="s">
        <v>8</v>
      </c>
      <c r="V152" s="27" t="s">
        <v>7</v>
      </c>
      <c r="W152" s="27" t="s">
        <v>8</v>
      </c>
    </row>
    <row r="153" spans="1:23" x14ac:dyDescent="0.25">
      <c r="A153" s="30">
        <v>4.7362440744766775E-2</v>
      </c>
      <c r="B153"/>
      <c r="C153"/>
      <c r="D153"/>
      <c r="E153"/>
      <c r="F153" s="27" t="s">
        <v>7</v>
      </c>
      <c r="K153" s="27" t="s">
        <v>8</v>
      </c>
      <c r="N153" s="27" t="s">
        <v>7</v>
      </c>
      <c r="O153" s="27" t="s">
        <v>8</v>
      </c>
      <c r="P153" s="27" t="s">
        <v>7</v>
      </c>
      <c r="Q153" s="27" t="s">
        <v>8</v>
      </c>
      <c r="R153" s="27" t="s">
        <v>7</v>
      </c>
      <c r="S153" s="27" t="s">
        <v>8</v>
      </c>
      <c r="T153" s="27" t="s">
        <v>7</v>
      </c>
      <c r="U153" s="27" t="s">
        <v>8</v>
      </c>
      <c r="V153" s="27" t="s">
        <v>7</v>
      </c>
      <c r="W153" s="27" t="s">
        <v>8</v>
      </c>
    </row>
    <row r="154" spans="1:23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I154" s="27" t="s">
        <v>8</v>
      </c>
      <c r="K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R154" s="27" t="s">
        <v>7</v>
      </c>
      <c r="S154" s="27" t="s">
        <v>8</v>
      </c>
      <c r="T154" s="27" t="s">
        <v>7</v>
      </c>
      <c r="V154" s="27" t="s">
        <v>7</v>
      </c>
    </row>
    <row r="155" spans="1:23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J155" s="27" t="s">
        <v>7</v>
      </c>
      <c r="K155" s="27" t="s">
        <v>8</v>
      </c>
      <c r="N155" s="27" t="s">
        <v>7</v>
      </c>
      <c r="P155" s="27" t="s">
        <v>7</v>
      </c>
      <c r="Q155" s="27" t="s">
        <v>8</v>
      </c>
      <c r="R155" s="27" t="s">
        <v>7</v>
      </c>
    </row>
    <row r="156" spans="1:23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I156" s="27" t="s">
        <v>8</v>
      </c>
      <c r="J156" s="27" t="s">
        <v>7</v>
      </c>
      <c r="K156" s="27" t="s">
        <v>8</v>
      </c>
      <c r="P156" s="27" t="s">
        <v>7</v>
      </c>
      <c r="Q156" s="27" t="s">
        <v>8</v>
      </c>
    </row>
    <row r="157" spans="1:23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J157" s="27" t="s">
        <v>7</v>
      </c>
      <c r="P157" s="27" t="s">
        <v>7</v>
      </c>
      <c r="Q157" s="27" t="s">
        <v>8</v>
      </c>
    </row>
    <row r="158" spans="1:23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P158" s="27" t="s">
        <v>7</v>
      </c>
      <c r="Q158" s="27" t="s">
        <v>8</v>
      </c>
    </row>
    <row r="159" spans="1:23" x14ac:dyDescent="0.25">
      <c r="A159" s="30">
        <v>2.6734863064137627E-2</v>
      </c>
      <c r="B159"/>
      <c r="C159"/>
      <c r="D159"/>
      <c r="E159"/>
      <c r="F159" s="27" t="s">
        <v>7</v>
      </c>
      <c r="P159" s="27" t="s">
        <v>7</v>
      </c>
    </row>
    <row r="160" spans="1:23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49" operator="equal">
      <formula>$U$1</formula>
    </cfRule>
    <cfRule type="cellIs" dxfId="30" priority="1050" operator="equal">
      <formula>$S$1</formula>
    </cfRule>
  </conditionalFormatting>
  <conditionalFormatting sqref="D136">
    <cfRule type="cellIs" dxfId="29" priority="1047" operator="equal">
      <formula>$S$1</formula>
    </cfRule>
    <cfRule type="cellIs" dxfId="28" priority="1048" operator="equal">
      <formula>$U$1</formula>
    </cfRule>
  </conditionalFormatting>
  <conditionalFormatting sqref="C102">
    <cfRule type="cellIs" dxfId="27" priority="1045" operator="equal">
      <formula>$U$1</formula>
    </cfRule>
    <cfRule type="cellIs" dxfId="26" priority="1046" operator="equal">
      <formula>$S$1</formula>
    </cfRule>
  </conditionalFormatting>
  <conditionalFormatting sqref="D102">
    <cfRule type="cellIs" dxfId="25" priority="1043" operator="equal">
      <formula>$S$1</formula>
    </cfRule>
    <cfRule type="cellIs" dxfId="24" priority="1044" operator="equal">
      <formula>$U$1</formula>
    </cfRule>
  </conditionalFormatting>
  <conditionalFormatting sqref="C77">
    <cfRule type="cellIs" dxfId="23" priority="1041" operator="equal">
      <formula>$U$1</formula>
    </cfRule>
    <cfRule type="cellIs" dxfId="22" priority="1042" operator="equal">
      <formula>$S$1</formula>
    </cfRule>
  </conditionalFormatting>
  <conditionalFormatting sqref="D77">
    <cfRule type="cellIs" dxfId="21" priority="1039" operator="equal">
      <formula>$S$1</formula>
    </cfRule>
    <cfRule type="cellIs" dxfId="20" priority="1040" operator="equal">
      <formula>$U$1</formula>
    </cfRule>
  </conditionalFormatting>
  <conditionalFormatting sqref="C52">
    <cfRule type="cellIs" dxfId="19" priority="1037" operator="equal">
      <formula>$U$1</formula>
    </cfRule>
    <cfRule type="cellIs" dxfId="18" priority="1038" operator="equal">
      <formula>$S$1</formula>
    </cfRule>
  </conditionalFormatting>
  <conditionalFormatting sqref="D52">
    <cfRule type="cellIs" dxfId="17" priority="1035" operator="equal">
      <formula>$S$1</formula>
    </cfRule>
    <cfRule type="cellIs" dxfId="16" priority="1036" operator="equal">
      <formula>$U$1</formula>
    </cfRule>
  </conditionalFormatting>
  <conditionalFormatting sqref="C26">
    <cfRule type="cellIs" dxfId="15" priority="1033" operator="equal">
      <formula>$U$1</formula>
    </cfRule>
    <cfRule type="cellIs" dxfId="14" priority="1034" operator="equal">
      <formula>$S$1</formula>
    </cfRule>
  </conditionalFormatting>
  <conditionalFormatting sqref="D26">
    <cfRule type="cellIs" dxfId="13" priority="1031" operator="equal">
      <formula>$S$1</formula>
    </cfRule>
    <cfRule type="cellIs" dxfId="12" priority="103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2022-01-28T01:15:22Z</dcterms:modified>
</cp:coreProperties>
</file>