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AC265F57-AB5F-4B25-A2FE-D023D7ED17BF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6" i="5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122" i="5"/>
  <c r="C133" i="5" s="1"/>
  <c r="C56" i="4"/>
  <c r="D136" i="2"/>
  <c r="C136" i="2"/>
  <c r="C138" i="2"/>
  <c r="C2" i="1" l="1"/>
  <c r="D2" i="1"/>
  <c r="C122" i="4"/>
  <c r="C133" i="4" s="1"/>
  <c r="D136" i="4" s="1"/>
  <c r="C116" i="4"/>
  <c r="R765" i="1"/>
  <c r="D136" i="5"/>
  <c r="C136" i="5"/>
  <c r="C122" i="3"/>
  <c r="C133" i="3" s="1"/>
  <c r="D136" i="3" s="1"/>
  <c r="C116" i="3"/>
  <c r="C138" i="5" l="1"/>
  <c r="C136" i="4"/>
  <c r="C138" i="4" s="1"/>
  <c r="R764" i="1"/>
  <c r="S765" i="1"/>
  <c r="T765" i="1" s="1"/>
  <c r="C136" i="3"/>
  <c r="C138" i="3" s="1"/>
  <c r="S764" i="1" l="1"/>
  <c r="T764" i="1" s="1"/>
  <c r="R763" i="1"/>
  <c r="S763" i="1" l="1"/>
  <c r="T763" i="1" s="1"/>
  <c r="R762" i="1"/>
  <c r="S762" i="1" l="1"/>
  <c r="T762" i="1" s="1"/>
  <c r="R761" i="1"/>
  <c r="R760" i="1" l="1"/>
  <c r="S761" i="1"/>
  <c r="T761" i="1" s="1"/>
  <c r="R759" i="1" l="1"/>
  <c r="S760" i="1"/>
  <c r="T760" i="1" s="1"/>
  <c r="S759" i="1" l="1"/>
  <c r="T759" i="1" s="1"/>
  <c r="R758" i="1"/>
  <c r="S758" i="1" l="1"/>
  <c r="T758" i="1" s="1"/>
  <c r="R757" i="1"/>
  <c r="R756" i="1" l="1"/>
  <c r="S757" i="1"/>
  <c r="T757" i="1" s="1"/>
  <c r="R755" i="1" l="1"/>
  <c r="S756" i="1"/>
  <c r="T756" i="1" s="1"/>
  <c r="S755" i="1" l="1"/>
  <c r="T755" i="1" s="1"/>
  <c r="R754" i="1"/>
  <c r="S754" i="1" l="1"/>
  <c r="T754" i="1" s="1"/>
  <c r="R753" i="1"/>
  <c r="R752" i="1" l="1"/>
  <c r="S753" i="1"/>
  <c r="T753" i="1" s="1"/>
  <c r="R751" i="1" l="1"/>
  <c r="S752" i="1"/>
  <c r="T752" i="1" s="1"/>
  <c r="S751" i="1" l="1"/>
  <c r="T751" i="1" s="1"/>
  <c r="R750" i="1"/>
  <c r="S750" i="1" l="1"/>
  <c r="T750" i="1" s="1"/>
  <c r="R749" i="1"/>
  <c r="R748" i="1" l="1"/>
  <c r="S749" i="1"/>
  <c r="T749" i="1" s="1"/>
  <c r="R747" i="1" l="1"/>
  <c r="S748" i="1"/>
  <c r="T748" i="1" s="1"/>
  <c r="S747" i="1" l="1"/>
  <c r="T747" i="1" s="1"/>
  <c r="R746" i="1"/>
  <c r="S746" i="1" l="1"/>
  <c r="T746" i="1" s="1"/>
  <c r="R745" i="1"/>
  <c r="S745" i="1" l="1"/>
  <c r="T745" i="1" s="1"/>
  <c r="R744" i="1"/>
  <c r="S744" i="1" l="1"/>
  <c r="T744" i="1" s="1"/>
  <c r="R743" i="1"/>
  <c r="R742" i="1" l="1"/>
  <c r="S743" i="1"/>
  <c r="T743" i="1" s="1"/>
  <c r="R741" i="1" l="1"/>
  <c r="S742" i="1"/>
  <c r="T742" i="1" s="1"/>
  <c r="S741" i="1" l="1"/>
  <c r="T741" i="1" s="1"/>
  <c r="R740" i="1"/>
  <c r="S740" i="1" l="1"/>
  <c r="T740" i="1" s="1"/>
  <c r="R739" i="1"/>
  <c r="R738" i="1" l="1"/>
  <c r="S739" i="1"/>
  <c r="T739" i="1" s="1"/>
  <c r="R737" i="1" l="1"/>
  <c r="S738" i="1"/>
  <c r="T738" i="1" s="1"/>
  <c r="S737" i="1" l="1"/>
  <c r="T737" i="1" s="1"/>
  <c r="R736" i="1"/>
  <c r="S736" i="1" l="1"/>
  <c r="T736" i="1" s="1"/>
  <c r="R735" i="1"/>
  <c r="R734" i="1" l="1"/>
  <c r="S735" i="1"/>
  <c r="T735" i="1" s="1"/>
  <c r="S734" i="1" l="1"/>
  <c r="T734" i="1" s="1"/>
  <c r="R733" i="1"/>
  <c r="S733" i="1" l="1"/>
  <c r="T733" i="1" s="1"/>
  <c r="R732" i="1"/>
  <c r="R731" i="1" l="1"/>
  <c r="S732" i="1"/>
  <c r="T732" i="1" s="1"/>
  <c r="R730" i="1" l="1"/>
  <c r="S731" i="1"/>
  <c r="T731" i="1" s="1"/>
  <c r="S730" i="1" l="1"/>
  <c r="T730" i="1" s="1"/>
  <c r="R729" i="1"/>
  <c r="S729" i="1" l="1"/>
  <c r="T729" i="1" s="1"/>
  <c r="R728" i="1"/>
  <c r="R727" i="1" l="1"/>
  <c r="S728" i="1"/>
  <c r="T728" i="1" s="1"/>
  <c r="S727" i="1" l="1"/>
  <c r="T727" i="1" s="1"/>
  <c r="R726" i="1"/>
  <c r="S726" i="1" l="1"/>
  <c r="T726" i="1" s="1"/>
  <c r="R725" i="1"/>
  <c r="S725" i="1" l="1"/>
  <c r="T725" i="1" s="1"/>
  <c r="R724" i="1"/>
  <c r="S724" i="1" l="1"/>
  <c r="T724" i="1" s="1"/>
  <c r="R723" i="1"/>
  <c r="S723" i="1" l="1"/>
  <c r="T723" i="1" s="1"/>
  <c r="R722" i="1"/>
  <c r="R721" i="1" l="1"/>
  <c r="S722" i="1"/>
  <c r="T722" i="1" s="1"/>
  <c r="R720" i="1" l="1"/>
  <c r="S721" i="1"/>
  <c r="T721" i="1" s="1"/>
  <c r="R719" i="1" l="1"/>
  <c r="S720" i="1"/>
  <c r="T720" i="1" s="1"/>
  <c r="S719" i="1" l="1"/>
  <c r="T719" i="1" s="1"/>
  <c r="R718" i="1"/>
  <c r="S718" i="1" l="1"/>
  <c r="T718" i="1" s="1"/>
  <c r="R717" i="1"/>
  <c r="R716" i="1" l="1"/>
  <c r="S717" i="1"/>
  <c r="T717" i="1" s="1"/>
  <c r="R715" i="1" l="1"/>
  <c r="S716" i="1"/>
  <c r="T716" i="1" s="1"/>
  <c r="S715" i="1" l="1"/>
  <c r="T715" i="1" s="1"/>
  <c r="R714" i="1"/>
  <c r="R713" i="1" l="1"/>
  <c r="S714" i="1"/>
  <c r="T714" i="1" s="1"/>
  <c r="R712" i="1" l="1"/>
  <c r="S713" i="1"/>
  <c r="T713" i="1" s="1"/>
  <c r="S712" i="1" l="1"/>
  <c r="T712" i="1" s="1"/>
  <c r="R711" i="1"/>
  <c r="S711" i="1" l="1"/>
  <c r="T711" i="1" s="1"/>
  <c r="R710" i="1"/>
  <c r="R709" i="1" l="1"/>
  <c r="S710" i="1"/>
  <c r="T710" i="1" s="1"/>
  <c r="S709" i="1" l="1"/>
  <c r="T709" i="1" s="1"/>
  <c r="R708" i="1"/>
  <c r="R707" i="1" l="1"/>
  <c r="S708" i="1"/>
  <c r="T708" i="1" s="1"/>
  <c r="R706" i="1" l="1"/>
  <c r="S707" i="1"/>
  <c r="T707" i="1" s="1"/>
  <c r="S706" i="1" l="1"/>
  <c r="T706" i="1" s="1"/>
  <c r="R705" i="1"/>
  <c r="S705" i="1" l="1"/>
  <c r="T705" i="1" s="1"/>
  <c r="R704" i="1"/>
  <c r="R703" i="1" l="1"/>
  <c r="S704" i="1"/>
  <c r="T704" i="1" s="1"/>
  <c r="R702" i="1" l="1"/>
  <c r="S703" i="1"/>
  <c r="T703" i="1" s="1"/>
  <c r="S702" i="1" l="1"/>
  <c r="T702" i="1" s="1"/>
  <c r="R701" i="1"/>
  <c r="S701" i="1" l="1"/>
  <c r="T701" i="1" s="1"/>
  <c r="R700" i="1"/>
  <c r="R699" i="1" l="1"/>
  <c r="S700" i="1"/>
  <c r="T700" i="1" s="1"/>
  <c r="S699" i="1" l="1"/>
  <c r="T699" i="1" s="1"/>
  <c r="R698" i="1"/>
  <c r="S698" i="1" l="1"/>
  <c r="T698" i="1" s="1"/>
  <c r="R697" i="1"/>
  <c r="R696" i="1" l="1"/>
  <c r="S697" i="1"/>
  <c r="T697" i="1" s="1"/>
  <c r="S696" i="1" l="1"/>
  <c r="T696" i="1" s="1"/>
  <c r="R695" i="1"/>
  <c r="S695" i="1" l="1"/>
  <c r="T695" i="1" s="1"/>
  <c r="R694" i="1"/>
  <c r="R693" i="1" l="1"/>
  <c r="S694" i="1"/>
  <c r="T694" i="1" s="1"/>
  <c r="R692" i="1" l="1"/>
  <c r="S693" i="1"/>
  <c r="T693" i="1" s="1"/>
  <c r="S692" i="1" l="1"/>
  <c r="T692" i="1" s="1"/>
  <c r="R691" i="1"/>
  <c r="S691" i="1" l="1"/>
  <c r="T691" i="1" s="1"/>
  <c r="R690" i="1"/>
  <c r="R689" i="1" l="1"/>
  <c r="S690" i="1"/>
  <c r="T690" i="1" s="1"/>
  <c r="S689" i="1" l="1"/>
  <c r="T689" i="1" s="1"/>
  <c r="R688" i="1"/>
  <c r="S688" i="1" l="1"/>
  <c r="T688" i="1" s="1"/>
  <c r="R687" i="1"/>
  <c r="S687" i="1" l="1"/>
  <c r="T687" i="1" s="1"/>
  <c r="R686" i="1"/>
  <c r="R685" i="1" l="1"/>
  <c r="S686" i="1"/>
  <c r="T686" i="1" s="1"/>
  <c r="R684" i="1" l="1"/>
  <c r="S685" i="1"/>
  <c r="T685" i="1" s="1"/>
  <c r="S684" i="1" l="1"/>
  <c r="T684" i="1" s="1"/>
  <c r="R683" i="1"/>
  <c r="S683" i="1" l="1"/>
  <c r="T683" i="1" s="1"/>
  <c r="R682" i="1"/>
  <c r="R681" i="1" l="1"/>
  <c r="S682" i="1"/>
  <c r="T682" i="1" s="1"/>
  <c r="S681" i="1" l="1"/>
  <c r="T681" i="1" s="1"/>
  <c r="R680" i="1"/>
  <c r="S680" i="1" l="1"/>
  <c r="T680" i="1" s="1"/>
  <c r="R679" i="1"/>
  <c r="S679" i="1" l="1"/>
  <c r="T679" i="1" s="1"/>
  <c r="R678" i="1"/>
  <c r="R677" i="1" l="1"/>
  <c r="S678" i="1"/>
  <c r="T678" i="1" s="1"/>
  <c r="R676" i="1" l="1"/>
  <c r="S677" i="1"/>
  <c r="T677" i="1" s="1"/>
  <c r="R675" i="1" l="1"/>
  <c r="S676" i="1"/>
  <c r="T676" i="1" s="1"/>
  <c r="S675" i="1" l="1"/>
  <c r="T675" i="1" s="1"/>
  <c r="R674" i="1"/>
  <c r="S674" i="1" l="1"/>
  <c r="T674" i="1" s="1"/>
  <c r="R673" i="1"/>
  <c r="R672" i="1" l="1"/>
  <c r="S673" i="1"/>
  <c r="T673" i="1" s="1"/>
  <c r="R671" i="1" l="1"/>
  <c r="S672" i="1"/>
  <c r="T672" i="1" s="1"/>
  <c r="R670" i="1" l="1"/>
  <c r="S671" i="1"/>
  <c r="T671" i="1" s="1"/>
  <c r="S670" i="1" l="1"/>
  <c r="T670" i="1" s="1"/>
  <c r="R669" i="1"/>
  <c r="S669" i="1" l="1"/>
  <c r="T669" i="1" s="1"/>
  <c r="R668" i="1"/>
  <c r="S668" i="1" l="1"/>
  <c r="T668" i="1" s="1"/>
  <c r="R667" i="1"/>
  <c r="R666" i="1" l="1"/>
  <c r="S667" i="1"/>
  <c r="T667" i="1" s="1"/>
  <c r="S666" i="1" l="1"/>
  <c r="T666" i="1" s="1"/>
  <c r="R665" i="1"/>
  <c r="S665" i="1" l="1"/>
  <c r="T665" i="1" s="1"/>
  <c r="R664" i="1"/>
  <c r="S664" i="1" l="1"/>
  <c r="T664" i="1" s="1"/>
  <c r="R663" i="1"/>
  <c r="R662" i="1" l="1"/>
  <c r="S663" i="1"/>
  <c r="T663" i="1" s="1"/>
  <c r="R661" i="1" l="1"/>
  <c r="S662" i="1"/>
  <c r="T662" i="1" s="1"/>
  <c r="S661" i="1" l="1"/>
  <c r="T661" i="1" s="1"/>
  <c r="R660" i="1"/>
  <c r="S660" i="1" l="1"/>
  <c r="T660" i="1" s="1"/>
  <c r="R659" i="1"/>
  <c r="S659" i="1" l="1"/>
  <c r="T659" i="1" s="1"/>
  <c r="R658" i="1"/>
  <c r="R657" i="1" l="1"/>
  <c r="S658" i="1"/>
  <c r="T658" i="1" s="1"/>
  <c r="S657" i="1" l="1"/>
  <c r="T657" i="1" s="1"/>
  <c r="R656" i="1"/>
  <c r="S656" i="1" l="1"/>
  <c r="T656" i="1" s="1"/>
  <c r="R655" i="1"/>
  <c r="S655" i="1" l="1"/>
  <c r="T655" i="1" s="1"/>
  <c r="R654" i="1"/>
  <c r="S654" i="1" l="1"/>
  <c r="T654" i="1" s="1"/>
  <c r="R653" i="1"/>
  <c r="S653" i="1" l="1"/>
  <c r="T653" i="1" s="1"/>
  <c r="R652" i="1"/>
  <c r="S652" i="1" l="1"/>
  <c r="T652" i="1" s="1"/>
  <c r="R651" i="1"/>
  <c r="R650" i="1" l="1"/>
  <c r="S651" i="1"/>
  <c r="T651" i="1" s="1"/>
  <c r="R649" i="1" l="1"/>
  <c r="S650" i="1"/>
  <c r="T650" i="1" s="1"/>
  <c r="S649" i="1" l="1"/>
  <c r="T649" i="1" s="1"/>
  <c r="R648" i="1"/>
  <c r="S648" i="1" l="1"/>
  <c r="T648" i="1" s="1"/>
  <c r="R647" i="1"/>
  <c r="S647" i="1" l="1"/>
  <c r="T647" i="1" s="1"/>
  <c r="R646" i="1"/>
  <c r="R645" i="1" l="1"/>
  <c r="S646" i="1"/>
  <c r="T646" i="1" s="1"/>
  <c r="S645" i="1" l="1"/>
  <c r="T645" i="1" s="1"/>
  <c r="R644" i="1"/>
  <c r="S644" i="1" l="1"/>
  <c r="T644" i="1" s="1"/>
  <c r="R643" i="1"/>
  <c r="R642" i="1" l="1"/>
  <c r="S643" i="1"/>
  <c r="T643" i="1" s="1"/>
  <c r="R641" i="1" l="1"/>
  <c r="S642" i="1"/>
  <c r="T642" i="1" s="1"/>
  <c r="S641" i="1" l="1"/>
  <c r="T641" i="1" s="1"/>
  <c r="R640" i="1"/>
  <c r="R639" i="1" l="1"/>
  <c r="S640" i="1"/>
  <c r="T640" i="1" s="1"/>
  <c r="R638" i="1" l="1"/>
  <c r="S639" i="1"/>
  <c r="T639" i="1" s="1"/>
  <c r="S638" i="1" l="1"/>
  <c r="T638" i="1" s="1"/>
  <c r="R637" i="1"/>
  <c r="R636" i="1" l="1"/>
  <c r="S637" i="1"/>
  <c r="T637" i="1" s="1"/>
  <c r="R635" i="1" l="1"/>
  <c r="S636" i="1"/>
  <c r="T636" i="1" s="1"/>
  <c r="S635" i="1" l="1"/>
  <c r="T635" i="1" s="1"/>
  <c r="R634" i="1"/>
  <c r="S634" i="1" l="1"/>
  <c r="T634" i="1" s="1"/>
  <c r="R633" i="1"/>
  <c r="R632" i="1" l="1"/>
  <c r="S633" i="1"/>
  <c r="T633" i="1" s="1"/>
  <c r="R631" i="1" l="1"/>
  <c r="S632" i="1"/>
  <c r="T632" i="1" s="1"/>
  <c r="S631" i="1" l="1"/>
  <c r="T631" i="1" s="1"/>
  <c r="R630" i="1"/>
  <c r="S630" i="1" l="1"/>
  <c r="T630" i="1" s="1"/>
  <c r="R629" i="1"/>
  <c r="R628" i="1" l="1"/>
  <c r="S629" i="1"/>
  <c r="T629" i="1" s="1"/>
  <c r="R627" i="1" l="1"/>
  <c r="S628" i="1"/>
  <c r="T628" i="1" s="1"/>
  <c r="S627" i="1" l="1"/>
  <c r="T627" i="1" s="1"/>
  <c r="R626" i="1"/>
  <c r="R625" i="1" l="1"/>
  <c r="S626" i="1"/>
  <c r="T626" i="1" s="1"/>
  <c r="R624" i="1" l="1"/>
  <c r="S625" i="1"/>
  <c r="T625" i="1" s="1"/>
  <c r="R623" i="1" l="1"/>
  <c r="S624" i="1"/>
  <c r="T624" i="1" s="1"/>
  <c r="S623" i="1" l="1"/>
  <c r="T623" i="1" s="1"/>
  <c r="R622" i="1"/>
  <c r="S622" i="1" l="1"/>
  <c r="T622" i="1" s="1"/>
  <c r="R621" i="1"/>
  <c r="R620" i="1" l="1"/>
  <c r="S621" i="1"/>
  <c r="T621" i="1" s="1"/>
  <c r="R619" i="1" l="1"/>
  <c r="S620" i="1"/>
  <c r="T620" i="1" s="1"/>
  <c r="S619" i="1" l="1"/>
  <c r="T619" i="1" s="1"/>
  <c r="R618" i="1"/>
  <c r="S618" i="1" l="1"/>
  <c r="T618" i="1" s="1"/>
  <c r="R617" i="1"/>
  <c r="R616" i="1" l="1"/>
  <c r="S617" i="1"/>
  <c r="T617" i="1" s="1"/>
  <c r="S616" i="1" l="1"/>
  <c r="T616" i="1" s="1"/>
  <c r="R615" i="1"/>
  <c r="S615" i="1" l="1"/>
  <c r="T615" i="1" s="1"/>
  <c r="R614" i="1"/>
  <c r="R613" i="1" l="1"/>
  <c r="S614" i="1"/>
  <c r="T614" i="1" s="1"/>
  <c r="S613" i="1" l="1"/>
  <c r="T613" i="1" s="1"/>
  <c r="R612" i="1"/>
  <c r="S612" i="1" l="1"/>
  <c r="T612" i="1" s="1"/>
  <c r="R611" i="1"/>
  <c r="R610" i="1" l="1"/>
  <c r="S611" i="1"/>
  <c r="T611" i="1" s="1"/>
  <c r="R609" i="1" l="1"/>
  <c r="S610" i="1"/>
  <c r="T610" i="1" s="1"/>
  <c r="S609" i="1" l="1"/>
  <c r="T609" i="1" s="1"/>
  <c r="R608" i="1"/>
  <c r="S608" i="1" l="1"/>
  <c r="T608" i="1" s="1"/>
  <c r="R607" i="1"/>
  <c r="R606" i="1" l="1"/>
  <c r="S607" i="1"/>
  <c r="T607" i="1" s="1"/>
  <c r="R605" i="1" l="1"/>
  <c r="S606" i="1"/>
  <c r="T606" i="1" s="1"/>
  <c r="S605" i="1" l="1"/>
  <c r="T605" i="1" s="1"/>
  <c r="R604" i="1"/>
  <c r="S604" i="1" l="1"/>
  <c r="T604" i="1" s="1"/>
  <c r="R603" i="1"/>
  <c r="R602" i="1" l="1"/>
  <c r="S603" i="1"/>
  <c r="T603" i="1" s="1"/>
  <c r="R601" i="1" l="1"/>
  <c r="S602" i="1"/>
  <c r="T602" i="1" s="1"/>
  <c r="S601" i="1" l="1"/>
  <c r="T601" i="1" s="1"/>
  <c r="R600" i="1"/>
  <c r="S600" i="1" l="1"/>
  <c r="T600" i="1" s="1"/>
  <c r="R599" i="1"/>
  <c r="R598" i="1" l="1"/>
  <c r="S599" i="1"/>
  <c r="T599" i="1" s="1"/>
  <c r="R597" i="1" l="1"/>
  <c r="S598" i="1"/>
  <c r="T598" i="1" s="1"/>
  <c r="S597" i="1" l="1"/>
  <c r="T597" i="1" s="1"/>
  <c r="R596" i="1"/>
  <c r="R595" i="1" l="1"/>
  <c r="S596" i="1"/>
  <c r="T596" i="1" s="1"/>
  <c r="R594" i="1" l="1"/>
  <c r="S595" i="1"/>
  <c r="T595" i="1" s="1"/>
  <c r="S594" i="1" l="1"/>
  <c r="T594" i="1" s="1"/>
  <c r="R593" i="1"/>
  <c r="S593" i="1" l="1"/>
  <c r="T593" i="1" s="1"/>
  <c r="R592" i="1"/>
  <c r="S592" i="1" l="1"/>
  <c r="T592" i="1" s="1"/>
  <c r="R591" i="1"/>
  <c r="R590" i="1" l="1"/>
  <c r="S591" i="1"/>
  <c r="T591" i="1" s="1"/>
  <c r="R589" i="1" l="1"/>
  <c r="S590" i="1"/>
  <c r="T590" i="1" s="1"/>
  <c r="S589" i="1" l="1"/>
  <c r="T589" i="1" s="1"/>
  <c r="R588" i="1"/>
  <c r="S588" i="1" l="1"/>
  <c r="T588" i="1" s="1"/>
  <c r="R587" i="1"/>
  <c r="S587" i="1" l="1"/>
  <c r="T587" i="1" s="1"/>
  <c r="R586" i="1"/>
  <c r="R585" i="1" l="1"/>
  <c r="S586" i="1"/>
  <c r="T586" i="1" s="1"/>
  <c r="R584" i="1" l="1"/>
  <c r="S585" i="1"/>
  <c r="T585" i="1" s="1"/>
  <c r="R583" i="1" l="1"/>
  <c r="S584" i="1"/>
  <c r="T584" i="1" s="1"/>
  <c r="S583" i="1" l="1"/>
  <c r="T583" i="1" s="1"/>
  <c r="R582" i="1"/>
  <c r="S582" i="1" l="1"/>
  <c r="T582" i="1" s="1"/>
  <c r="R581" i="1"/>
  <c r="R580" i="1" l="1"/>
  <c r="S581" i="1"/>
  <c r="T581" i="1" s="1"/>
  <c r="R579" i="1" l="1"/>
  <c r="S580" i="1"/>
  <c r="T580" i="1" s="1"/>
  <c r="S579" i="1" l="1"/>
  <c r="T579" i="1" s="1"/>
  <c r="R578" i="1"/>
  <c r="S578" i="1" l="1"/>
  <c r="T578" i="1" s="1"/>
  <c r="R577" i="1"/>
  <c r="R576" i="1" l="1"/>
  <c r="S577" i="1"/>
  <c r="T577" i="1" s="1"/>
  <c r="S576" i="1" l="1"/>
  <c r="T576" i="1" s="1"/>
  <c r="R575" i="1"/>
  <c r="S575" i="1" l="1"/>
  <c r="T575" i="1" s="1"/>
  <c r="R574" i="1"/>
  <c r="R573" i="1" l="1"/>
  <c r="S574" i="1"/>
  <c r="T574" i="1" s="1"/>
  <c r="R572" i="1" l="1"/>
  <c r="S573" i="1"/>
  <c r="T573" i="1" s="1"/>
  <c r="S572" i="1" l="1"/>
  <c r="T572" i="1" s="1"/>
  <c r="R571" i="1"/>
  <c r="S571" i="1" l="1"/>
  <c r="T571" i="1" s="1"/>
  <c r="R570" i="1"/>
  <c r="R569" i="1" l="1"/>
  <c r="S570" i="1"/>
  <c r="T570" i="1" s="1"/>
  <c r="S569" i="1" l="1"/>
  <c r="T569" i="1" s="1"/>
  <c r="R568" i="1"/>
  <c r="R567" i="1" l="1"/>
  <c r="S568" i="1"/>
  <c r="T568" i="1" s="1"/>
  <c r="R566" i="1" l="1"/>
  <c r="S567" i="1"/>
  <c r="T567" i="1" s="1"/>
  <c r="S566" i="1" l="1"/>
  <c r="T566" i="1" s="1"/>
  <c r="R565" i="1"/>
  <c r="S565" i="1" l="1"/>
  <c r="T565" i="1" s="1"/>
  <c r="R564" i="1"/>
  <c r="S564" i="1" l="1"/>
  <c r="T564" i="1" s="1"/>
  <c r="R563" i="1"/>
  <c r="R562" i="1" l="1"/>
  <c r="S563" i="1"/>
  <c r="T563" i="1" s="1"/>
  <c r="R561" i="1" l="1"/>
  <c r="S562" i="1"/>
  <c r="T562" i="1" s="1"/>
  <c r="S561" i="1" l="1"/>
  <c r="T561" i="1" s="1"/>
  <c r="R560" i="1"/>
  <c r="S560" i="1" l="1"/>
  <c r="T560" i="1" s="1"/>
  <c r="R559" i="1"/>
  <c r="R558" i="1" l="1"/>
  <c r="S559" i="1"/>
  <c r="T559" i="1" s="1"/>
  <c r="R557" i="1" l="1"/>
  <c r="S558" i="1"/>
  <c r="T558" i="1" s="1"/>
  <c r="S557" i="1" l="1"/>
  <c r="T557" i="1" s="1"/>
  <c r="R556" i="1"/>
  <c r="S556" i="1" l="1"/>
  <c r="T556" i="1" s="1"/>
  <c r="R555" i="1"/>
  <c r="R554" i="1" l="1"/>
  <c r="S555" i="1"/>
  <c r="T555" i="1" s="1"/>
  <c r="S554" i="1" l="1"/>
  <c r="T554" i="1" s="1"/>
  <c r="R553" i="1"/>
  <c r="R552" i="1" l="1"/>
  <c r="S553" i="1"/>
  <c r="T553" i="1" s="1"/>
  <c r="S552" i="1" l="1"/>
  <c r="T552" i="1" s="1"/>
  <c r="R551" i="1"/>
  <c r="S551" i="1" l="1"/>
  <c r="T551" i="1" s="1"/>
  <c r="R550" i="1"/>
  <c r="R549" i="1" l="1"/>
  <c r="S550" i="1"/>
  <c r="T550" i="1" s="1"/>
  <c r="S549" i="1" l="1"/>
  <c r="T549" i="1" s="1"/>
  <c r="R548" i="1"/>
  <c r="S548" i="1" l="1"/>
  <c r="T548" i="1" s="1"/>
  <c r="R547" i="1"/>
  <c r="S547" i="1" l="1"/>
  <c r="T547" i="1" s="1"/>
  <c r="R546" i="1"/>
  <c r="R545" i="1" l="1"/>
  <c r="S546" i="1"/>
  <c r="T546" i="1" s="1"/>
  <c r="R544" i="1" l="1"/>
  <c r="S545" i="1"/>
  <c r="T545" i="1" s="1"/>
  <c r="S544" i="1" l="1"/>
  <c r="T544" i="1" s="1"/>
  <c r="R543" i="1"/>
  <c r="S543" i="1" l="1"/>
  <c r="T543" i="1" s="1"/>
  <c r="R542" i="1"/>
  <c r="S542" i="1" l="1"/>
  <c r="T542" i="1" s="1"/>
  <c r="R541" i="1"/>
  <c r="S541" i="1" l="1"/>
  <c r="T541" i="1" s="1"/>
  <c r="R540" i="1"/>
  <c r="S540" i="1" l="1"/>
  <c r="T540" i="1" s="1"/>
  <c r="R539" i="1"/>
  <c r="S539" i="1" l="1"/>
  <c r="T539" i="1" s="1"/>
  <c r="R538" i="1"/>
  <c r="R537" i="1" l="1"/>
  <c r="S538" i="1"/>
  <c r="T538" i="1" s="1"/>
  <c r="S537" i="1" l="1"/>
  <c r="T537" i="1" s="1"/>
  <c r="R536" i="1"/>
  <c r="S536" i="1" l="1"/>
  <c r="T536" i="1" s="1"/>
  <c r="R535" i="1"/>
  <c r="R534" i="1" l="1"/>
  <c r="S535" i="1"/>
  <c r="T535" i="1" s="1"/>
  <c r="S534" i="1" l="1"/>
  <c r="T534" i="1" s="1"/>
  <c r="R533" i="1"/>
  <c r="S533" i="1" l="1"/>
  <c r="T533" i="1" s="1"/>
  <c r="R532" i="1"/>
  <c r="R531" i="1" l="1"/>
  <c r="S532" i="1"/>
  <c r="T532" i="1" s="1"/>
  <c r="R530" i="1" l="1"/>
  <c r="S531" i="1"/>
  <c r="T531" i="1" s="1"/>
  <c r="S530" i="1" l="1"/>
  <c r="T530" i="1" s="1"/>
  <c r="R529" i="1"/>
  <c r="S529" i="1" l="1"/>
  <c r="T529" i="1" s="1"/>
  <c r="R528" i="1"/>
  <c r="R527" i="1" l="1"/>
  <c r="S528" i="1"/>
  <c r="T528" i="1" s="1"/>
  <c r="R526" i="1" l="1"/>
  <c r="S527" i="1"/>
  <c r="T527" i="1" s="1"/>
  <c r="S526" i="1" l="1"/>
  <c r="T526" i="1" s="1"/>
  <c r="R525" i="1"/>
  <c r="S525" i="1" l="1"/>
  <c r="T525" i="1" s="1"/>
  <c r="R524" i="1"/>
  <c r="S524" i="1" l="1"/>
  <c r="T524" i="1" s="1"/>
  <c r="R523" i="1"/>
  <c r="S523" i="1" l="1"/>
  <c r="T523" i="1" s="1"/>
  <c r="R522" i="1"/>
  <c r="R521" i="1" l="1"/>
  <c r="S522" i="1"/>
  <c r="T522" i="1" s="1"/>
  <c r="R520" i="1" l="1"/>
  <c r="S521" i="1"/>
  <c r="T521" i="1" s="1"/>
  <c r="S520" i="1" l="1"/>
  <c r="T520" i="1" s="1"/>
  <c r="R519" i="1"/>
  <c r="S519" i="1" l="1"/>
  <c r="T519" i="1" s="1"/>
  <c r="R518" i="1"/>
  <c r="S518" i="1" l="1"/>
  <c r="T518" i="1" s="1"/>
  <c r="R517" i="1"/>
  <c r="R516" i="1" l="1"/>
  <c r="S517" i="1"/>
  <c r="T517" i="1" s="1"/>
  <c r="S516" i="1" l="1"/>
  <c r="T516" i="1" s="1"/>
  <c r="R515" i="1"/>
  <c r="S515" i="1" l="1"/>
  <c r="T515" i="1" s="1"/>
  <c r="R514" i="1"/>
  <c r="S514" i="1" l="1"/>
  <c r="T514" i="1" s="1"/>
  <c r="R513" i="1"/>
  <c r="R512" i="1" l="1"/>
  <c r="S513" i="1"/>
  <c r="T513" i="1" s="1"/>
  <c r="R511" i="1" l="1"/>
  <c r="S512" i="1"/>
  <c r="T512" i="1" s="1"/>
  <c r="S511" i="1" l="1"/>
  <c r="T511" i="1" s="1"/>
  <c r="R510" i="1"/>
  <c r="S510" i="1" l="1"/>
  <c r="T510" i="1" s="1"/>
  <c r="R509" i="1"/>
  <c r="S509" i="1" l="1"/>
  <c r="T509" i="1" s="1"/>
  <c r="R508" i="1"/>
  <c r="R507" i="1" l="1"/>
  <c r="S508" i="1"/>
  <c r="T508" i="1" s="1"/>
  <c r="S507" i="1" l="1"/>
  <c r="T507" i="1" s="1"/>
  <c r="R506" i="1"/>
  <c r="R505" i="1" l="1"/>
  <c r="S506" i="1"/>
  <c r="T506" i="1" s="1"/>
  <c r="R504" i="1" l="1"/>
  <c r="S505" i="1"/>
  <c r="T505" i="1" s="1"/>
  <c r="S504" i="1" l="1"/>
  <c r="T504" i="1" s="1"/>
  <c r="R503" i="1"/>
  <c r="S503" i="1" l="1"/>
  <c r="T503" i="1" s="1"/>
  <c r="R502" i="1"/>
  <c r="S502" i="1" l="1"/>
  <c r="T502" i="1" s="1"/>
  <c r="R501" i="1"/>
  <c r="R500" i="1" l="1"/>
  <c r="S501" i="1"/>
  <c r="T501" i="1" s="1"/>
  <c r="S500" i="1" l="1"/>
  <c r="T500" i="1" s="1"/>
  <c r="R499" i="1"/>
  <c r="R498" i="1" l="1"/>
  <c r="S499" i="1"/>
  <c r="T499" i="1" s="1"/>
  <c r="R497" i="1" l="1"/>
  <c r="S498" i="1"/>
  <c r="T498" i="1" s="1"/>
  <c r="S497" i="1" l="1"/>
  <c r="T497" i="1" s="1"/>
  <c r="R496" i="1"/>
  <c r="R495" i="1" l="1"/>
  <c r="S496" i="1"/>
  <c r="T496" i="1" s="1"/>
  <c r="R494" i="1" l="1"/>
  <c r="S495" i="1"/>
  <c r="T495" i="1" s="1"/>
  <c r="R493" i="1" l="1"/>
  <c r="S494" i="1"/>
  <c r="T494" i="1" s="1"/>
  <c r="S493" i="1" l="1"/>
  <c r="T493" i="1" s="1"/>
  <c r="R492" i="1"/>
  <c r="S492" i="1" l="1"/>
  <c r="T492" i="1" s="1"/>
  <c r="R491" i="1"/>
  <c r="R490" i="1" l="1"/>
  <c r="S491" i="1"/>
  <c r="T491" i="1" s="1"/>
  <c r="R489" i="1" l="1"/>
  <c r="S490" i="1"/>
  <c r="T490" i="1" s="1"/>
  <c r="S489" i="1" l="1"/>
  <c r="T489" i="1" s="1"/>
  <c r="R488" i="1"/>
  <c r="S488" i="1" l="1"/>
  <c r="T488" i="1" s="1"/>
  <c r="R487" i="1"/>
  <c r="S487" i="1" l="1"/>
  <c r="T487" i="1" s="1"/>
  <c r="R486" i="1"/>
  <c r="R485" i="1" l="1"/>
  <c r="S486" i="1"/>
  <c r="T486" i="1" s="1"/>
  <c r="S485" i="1" l="1"/>
  <c r="T485" i="1" s="1"/>
  <c r="R484" i="1"/>
  <c r="S484" i="1" l="1"/>
  <c r="T484" i="1" s="1"/>
  <c r="R483" i="1"/>
  <c r="R482" i="1" l="1"/>
  <c r="S483" i="1"/>
  <c r="T483" i="1" s="1"/>
  <c r="R481" i="1" l="1"/>
  <c r="S482" i="1"/>
  <c r="T482" i="1" s="1"/>
  <c r="S481" i="1" l="1"/>
  <c r="T481" i="1" s="1"/>
  <c r="R480" i="1"/>
  <c r="S480" i="1" l="1"/>
  <c r="T480" i="1" s="1"/>
  <c r="R479" i="1"/>
  <c r="R478" i="1" l="1"/>
  <c r="S479" i="1"/>
  <c r="T479" i="1" s="1"/>
  <c r="R477" i="1" l="1"/>
  <c r="S478" i="1"/>
  <c r="T478" i="1" s="1"/>
  <c r="S477" i="1" l="1"/>
  <c r="T477" i="1" s="1"/>
  <c r="R476" i="1"/>
  <c r="S476" i="1" l="1"/>
  <c r="T476" i="1" s="1"/>
  <c r="R475" i="1"/>
  <c r="S475" i="1" l="1"/>
  <c r="T475" i="1" s="1"/>
  <c r="R474" i="1"/>
  <c r="R473" i="1" l="1"/>
  <c r="S474" i="1"/>
  <c r="T474" i="1" s="1"/>
  <c r="R472" i="1" l="1"/>
  <c r="S473" i="1"/>
  <c r="T473" i="1" s="1"/>
  <c r="S472" i="1" l="1"/>
  <c r="T472" i="1" s="1"/>
  <c r="R471" i="1"/>
  <c r="S471" i="1" l="1"/>
  <c r="T471" i="1" s="1"/>
  <c r="R470" i="1"/>
  <c r="S470" i="1" l="1"/>
  <c r="T470" i="1" s="1"/>
  <c r="R469" i="1"/>
  <c r="R468" i="1" l="1"/>
  <c r="S469" i="1"/>
  <c r="T469" i="1" s="1"/>
  <c r="S468" i="1" l="1"/>
  <c r="T468" i="1" s="1"/>
  <c r="R467" i="1"/>
  <c r="S467" i="1" l="1"/>
  <c r="T467" i="1" s="1"/>
  <c r="R466" i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S462" i="1" l="1"/>
  <c r="T462" i="1" s="1"/>
  <c r="R461" i="1"/>
  <c r="S461" i="1" l="1"/>
  <c r="T461" i="1" s="1"/>
  <c r="R460" i="1"/>
  <c r="S460" i="1" l="1"/>
  <c r="T460" i="1" s="1"/>
  <c r="R459" i="1"/>
  <c r="R458" i="1" l="1"/>
  <c r="S459" i="1"/>
  <c r="T459" i="1" s="1"/>
  <c r="R457" i="1" l="1"/>
  <c r="S458" i="1"/>
  <c r="T458" i="1" s="1"/>
  <c r="S457" i="1" l="1"/>
  <c r="T457" i="1" s="1"/>
  <c r="R456" i="1"/>
  <c r="R455" i="1" l="1"/>
  <c r="S456" i="1"/>
  <c r="T456" i="1" s="1"/>
  <c r="R454" i="1" l="1"/>
  <c r="S455" i="1"/>
  <c r="T455" i="1" s="1"/>
  <c r="S454" i="1" l="1"/>
  <c r="T454" i="1" s="1"/>
  <c r="R453" i="1"/>
  <c r="S453" i="1" l="1"/>
  <c r="T453" i="1" s="1"/>
  <c r="R452" i="1"/>
  <c r="S452" i="1" l="1"/>
  <c r="T452" i="1" s="1"/>
  <c r="R451" i="1"/>
  <c r="R450" i="1" l="1"/>
  <c r="S451" i="1"/>
  <c r="T451" i="1" s="1"/>
  <c r="S450" i="1" l="1"/>
  <c r="T450" i="1" s="1"/>
  <c r="R449" i="1"/>
  <c r="S449" i="1" l="1"/>
  <c r="T449" i="1" s="1"/>
  <c r="R448" i="1"/>
  <c r="S448" i="1" l="1"/>
  <c r="T448" i="1" s="1"/>
  <c r="R447" i="1"/>
  <c r="S447" i="1" l="1"/>
  <c r="T447" i="1" s="1"/>
  <c r="R446" i="1"/>
  <c r="R445" i="1" l="1"/>
  <c r="S446" i="1"/>
  <c r="T446" i="1" s="1"/>
  <c r="R444" i="1" l="1"/>
  <c r="S445" i="1"/>
  <c r="T445" i="1" s="1"/>
  <c r="S444" i="1" l="1"/>
  <c r="T444" i="1" s="1"/>
  <c r="R443" i="1"/>
  <c r="S443" i="1" l="1"/>
  <c r="T443" i="1" s="1"/>
  <c r="R442" i="1"/>
  <c r="R441" i="1" l="1"/>
  <c r="S442" i="1"/>
  <c r="T442" i="1" s="1"/>
  <c r="S441" i="1" l="1"/>
  <c r="T441" i="1" s="1"/>
  <c r="R440" i="1"/>
  <c r="S440" i="1" l="1"/>
  <c r="T440" i="1" s="1"/>
  <c r="R439" i="1"/>
  <c r="R438" i="1" l="1"/>
  <c r="S439" i="1"/>
  <c r="T439" i="1" s="1"/>
  <c r="R437" i="1" l="1"/>
  <c r="S438" i="1"/>
  <c r="T438" i="1" s="1"/>
  <c r="S437" i="1" l="1"/>
  <c r="T437" i="1" s="1"/>
  <c r="R436" i="1"/>
  <c r="S436" i="1" l="1"/>
  <c r="T436" i="1" s="1"/>
  <c r="R435" i="1"/>
  <c r="R434" i="1" l="1"/>
  <c r="S435" i="1"/>
  <c r="T435" i="1" s="1"/>
  <c r="R433" i="1" l="1"/>
  <c r="S434" i="1"/>
  <c r="T434" i="1" s="1"/>
  <c r="R432" i="1" l="1"/>
  <c r="S433" i="1"/>
  <c r="T433" i="1" s="1"/>
  <c r="S432" i="1" l="1"/>
  <c r="T432" i="1" s="1"/>
  <c r="R431" i="1"/>
  <c r="S431" i="1" l="1"/>
  <c r="T431" i="1" s="1"/>
  <c r="R430" i="1"/>
  <c r="R429" i="1" l="1"/>
  <c r="S430" i="1"/>
  <c r="T430" i="1" s="1"/>
  <c r="R428" i="1" l="1"/>
  <c r="S429" i="1"/>
  <c r="T429" i="1" s="1"/>
  <c r="R427" i="1" l="1"/>
  <c r="S428" i="1"/>
  <c r="T428" i="1" s="1"/>
  <c r="S427" i="1" l="1"/>
  <c r="T427" i="1" s="1"/>
  <c r="R426" i="1"/>
  <c r="S426" i="1" l="1"/>
  <c r="T426" i="1" s="1"/>
  <c r="R425" i="1"/>
  <c r="S425" i="1" l="1"/>
  <c r="T425" i="1" s="1"/>
  <c r="R424" i="1"/>
  <c r="R423" i="1" l="1"/>
  <c r="S424" i="1"/>
  <c r="T424" i="1" s="1"/>
  <c r="R422" i="1" l="1"/>
  <c r="S423" i="1"/>
  <c r="T423" i="1" s="1"/>
  <c r="R421" i="1" l="1"/>
  <c r="S422" i="1"/>
  <c r="T422" i="1" s="1"/>
  <c r="S421" i="1" l="1"/>
  <c r="T421" i="1" s="1"/>
  <c r="R420" i="1"/>
  <c r="S420" i="1" l="1"/>
  <c r="T420" i="1" s="1"/>
  <c r="R419" i="1"/>
  <c r="R418" i="1" l="1"/>
  <c r="S419" i="1"/>
  <c r="T419" i="1" s="1"/>
  <c r="R417" i="1" l="1"/>
  <c r="S418" i="1"/>
  <c r="T418" i="1" s="1"/>
  <c r="S417" i="1" l="1"/>
  <c r="T417" i="1" s="1"/>
  <c r="R416" i="1"/>
  <c r="R415" i="1" l="1"/>
  <c r="S416" i="1"/>
  <c r="T416" i="1" s="1"/>
  <c r="S415" i="1" l="1"/>
  <c r="T415" i="1" s="1"/>
  <c r="R414" i="1"/>
  <c r="S414" i="1" l="1"/>
  <c r="T414" i="1" s="1"/>
  <c r="R413" i="1"/>
  <c r="R412" i="1" l="1"/>
  <c r="S413" i="1"/>
  <c r="T413" i="1" s="1"/>
  <c r="S412" i="1" l="1"/>
  <c r="T412" i="1" s="1"/>
  <c r="R411" i="1"/>
  <c r="S411" i="1" l="1"/>
  <c r="T411" i="1" s="1"/>
  <c r="R410" i="1"/>
  <c r="R409" i="1" l="1"/>
  <c r="S410" i="1"/>
  <c r="T410" i="1" s="1"/>
  <c r="S409" i="1" l="1"/>
  <c r="T409" i="1" s="1"/>
  <c r="R408" i="1"/>
  <c r="S408" i="1" l="1"/>
  <c r="T408" i="1" s="1"/>
  <c r="R407" i="1"/>
  <c r="S407" i="1" l="1"/>
  <c r="T407" i="1" s="1"/>
  <c r="R406" i="1"/>
  <c r="R405" i="1" l="1"/>
  <c r="S406" i="1"/>
  <c r="T406" i="1" s="1"/>
  <c r="S405" i="1" l="1"/>
  <c r="T405" i="1" s="1"/>
  <c r="R404" i="1"/>
  <c r="S404" i="1" l="1"/>
  <c r="T404" i="1" s="1"/>
  <c r="R403" i="1"/>
  <c r="R402" i="1" l="1"/>
  <c r="S403" i="1"/>
  <c r="T403" i="1" s="1"/>
  <c r="S402" i="1" l="1"/>
  <c r="T402" i="1" s="1"/>
  <c r="R401" i="1"/>
  <c r="S401" i="1" l="1"/>
  <c r="T401" i="1" s="1"/>
  <c r="R400" i="1"/>
  <c r="R399" i="1" l="1"/>
  <c r="S400" i="1"/>
  <c r="T400" i="1" s="1"/>
  <c r="R398" i="1" l="1"/>
  <c r="S399" i="1"/>
  <c r="T399" i="1" s="1"/>
  <c r="S398" i="1" l="1"/>
  <c r="T398" i="1" s="1"/>
  <c r="R397" i="1"/>
  <c r="S397" i="1" l="1"/>
  <c r="T397" i="1" s="1"/>
  <c r="R396" i="1"/>
  <c r="S396" i="1" l="1"/>
  <c r="T396" i="1" s="1"/>
  <c r="R395" i="1"/>
  <c r="R394" i="1" l="1"/>
  <c r="S395" i="1"/>
  <c r="T395" i="1" s="1"/>
  <c r="R393" i="1" l="1"/>
  <c r="S394" i="1"/>
  <c r="T394" i="1" s="1"/>
  <c r="S393" i="1" l="1"/>
  <c r="T393" i="1" s="1"/>
  <c r="R392" i="1"/>
  <c r="S392" i="1" l="1"/>
  <c r="T392" i="1" s="1"/>
  <c r="R391" i="1"/>
  <c r="R390" i="1" l="1"/>
  <c r="S391" i="1"/>
  <c r="T391" i="1" s="1"/>
  <c r="S390" i="1" l="1"/>
  <c r="T390" i="1" s="1"/>
  <c r="R389" i="1"/>
  <c r="R388" i="1" l="1"/>
  <c r="S389" i="1"/>
  <c r="T389" i="1" s="1"/>
  <c r="R387" i="1" l="1"/>
  <c r="S388" i="1"/>
  <c r="T388" i="1" s="1"/>
  <c r="R386" i="1" l="1"/>
  <c r="S387" i="1"/>
  <c r="T387" i="1" s="1"/>
  <c r="S386" i="1" l="1"/>
  <c r="T386" i="1" s="1"/>
  <c r="R385" i="1"/>
  <c r="S385" i="1" l="1"/>
  <c r="T385" i="1" s="1"/>
  <c r="R384" i="1"/>
  <c r="R383" i="1" l="1"/>
  <c r="S384" i="1"/>
  <c r="T384" i="1" s="1"/>
  <c r="R382" i="1" l="1"/>
  <c r="S383" i="1"/>
  <c r="T383" i="1" s="1"/>
  <c r="S382" i="1" l="1"/>
  <c r="T382" i="1" s="1"/>
  <c r="R381" i="1"/>
  <c r="S381" i="1" l="1"/>
  <c r="T381" i="1" s="1"/>
  <c r="R380" i="1"/>
  <c r="R379" i="1" l="1"/>
  <c r="S380" i="1"/>
  <c r="T380" i="1" s="1"/>
  <c r="R378" i="1" l="1"/>
  <c r="S379" i="1"/>
  <c r="T379" i="1" s="1"/>
  <c r="S378" i="1" l="1"/>
  <c r="T378" i="1" s="1"/>
  <c r="R377" i="1"/>
  <c r="S377" i="1" l="1"/>
  <c r="T377" i="1" s="1"/>
  <c r="R376" i="1"/>
  <c r="S376" i="1" l="1"/>
  <c r="T376" i="1" s="1"/>
  <c r="R375" i="1"/>
  <c r="S375" i="1" l="1"/>
  <c r="T375" i="1" s="1"/>
  <c r="R374" i="1"/>
  <c r="R373" i="1" l="1"/>
  <c r="S374" i="1"/>
  <c r="T374" i="1" s="1"/>
  <c r="S373" i="1" l="1"/>
  <c r="T373" i="1" s="1"/>
  <c r="R372" i="1"/>
  <c r="S372" i="1" l="1"/>
  <c r="T372" i="1" s="1"/>
  <c r="R371" i="1"/>
  <c r="S371" i="1" l="1"/>
  <c r="T371" i="1" s="1"/>
  <c r="R370" i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S366" i="1" l="1"/>
  <c r="T366" i="1" s="1"/>
  <c r="R365" i="1"/>
  <c r="S365" i="1" l="1"/>
  <c r="T365" i="1" s="1"/>
  <c r="R364" i="1"/>
  <c r="R363" i="1" l="1"/>
  <c r="S364" i="1"/>
  <c r="T364" i="1" s="1"/>
  <c r="R362" i="1" l="1"/>
  <c r="S363" i="1"/>
  <c r="T363" i="1" s="1"/>
  <c r="R361" i="1" l="1"/>
  <c r="S362" i="1"/>
  <c r="T362" i="1" s="1"/>
  <c r="S361" i="1" l="1"/>
  <c r="T361" i="1" s="1"/>
  <c r="R360" i="1"/>
  <c r="S360" i="1" l="1"/>
  <c r="T360" i="1" s="1"/>
  <c r="R359" i="1"/>
  <c r="R358" i="1" l="1"/>
  <c r="S359" i="1"/>
  <c r="T359" i="1" s="1"/>
  <c r="R357" i="1" l="1"/>
  <c r="S358" i="1"/>
  <c r="T358" i="1" s="1"/>
  <c r="S357" i="1" l="1"/>
  <c r="T357" i="1" s="1"/>
  <c r="R356" i="1"/>
  <c r="R355" i="1" l="1"/>
  <c r="S356" i="1"/>
  <c r="T356" i="1" s="1"/>
  <c r="S355" i="1" l="1"/>
  <c r="T355" i="1" s="1"/>
  <c r="R354" i="1"/>
  <c r="S354" i="1" l="1"/>
  <c r="T354" i="1" s="1"/>
  <c r="R353" i="1"/>
  <c r="R352" i="1" l="1"/>
  <c r="S353" i="1"/>
  <c r="T353" i="1" s="1"/>
  <c r="R351" i="1" l="1"/>
  <c r="S352" i="1"/>
  <c r="T352" i="1" s="1"/>
  <c r="S351" i="1" l="1"/>
  <c r="T351" i="1" s="1"/>
  <c r="R350" i="1"/>
  <c r="S350" i="1" l="1"/>
  <c r="T350" i="1" s="1"/>
  <c r="R349" i="1"/>
  <c r="S349" i="1" l="1"/>
  <c r="T349" i="1" s="1"/>
  <c r="R348" i="1"/>
  <c r="R347" i="1" l="1"/>
  <c r="S348" i="1"/>
  <c r="T348" i="1" s="1"/>
  <c r="R346" i="1" l="1"/>
  <c r="S347" i="1"/>
  <c r="T347" i="1" s="1"/>
  <c r="R345" i="1" l="1"/>
  <c r="S346" i="1"/>
  <c r="T346" i="1" s="1"/>
  <c r="S345" i="1" l="1"/>
  <c r="T345" i="1" s="1"/>
  <c r="R344" i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S339" i="1" l="1"/>
  <c r="T339" i="1" s="1"/>
  <c r="R338" i="1"/>
  <c r="R337" i="1" l="1"/>
  <c r="S338" i="1"/>
  <c r="T338" i="1" s="1"/>
  <c r="R336" i="1" l="1"/>
  <c r="S337" i="1"/>
  <c r="T337" i="1" s="1"/>
  <c r="S336" i="1" l="1"/>
  <c r="T336" i="1" s="1"/>
  <c r="R335" i="1"/>
  <c r="R334" i="1" l="1"/>
  <c r="S335" i="1"/>
  <c r="T335" i="1" s="1"/>
  <c r="S334" i="1" l="1"/>
  <c r="T334" i="1" s="1"/>
  <c r="R333" i="1"/>
  <c r="S333" i="1" l="1"/>
  <c r="T333" i="1" s="1"/>
  <c r="R332" i="1"/>
  <c r="R331" i="1" l="1"/>
  <c r="S332" i="1"/>
  <c r="T332" i="1" s="1"/>
  <c r="S331" i="1" l="1"/>
  <c r="T331" i="1" s="1"/>
  <c r="R330" i="1"/>
  <c r="S330" i="1" l="1"/>
  <c r="T330" i="1" s="1"/>
  <c r="R329" i="1"/>
  <c r="S329" i="1" l="1"/>
  <c r="T329" i="1" s="1"/>
  <c r="R328" i="1"/>
  <c r="R327" i="1" l="1"/>
  <c r="S328" i="1"/>
  <c r="T328" i="1" s="1"/>
  <c r="S327" i="1" l="1"/>
  <c r="T327" i="1" s="1"/>
  <c r="R326" i="1"/>
  <c r="S326" i="1" l="1"/>
  <c r="T326" i="1" s="1"/>
  <c r="R325" i="1"/>
  <c r="R324" i="1" l="1"/>
  <c r="S325" i="1"/>
  <c r="T325" i="1" s="1"/>
  <c r="R323" i="1" l="1"/>
  <c r="S324" i="1"/>
  <c r="T324" i="1" s="1"/>
  <c r="R322" i="1" l="1"/>
  <c r="S323" i="1"/>
  <c r="T323" i="1" s="1"/>
  <c r="S322" i="1" l="1"/>
  <c r="T322" i="1" s="1"/>
  <c r="R321" i="1"/>
  <c r="S321" i="1" l="1"/>
  <c r="T321" i="1" s="1"/>
  <c r="R320" i="1"/>
  <c r="R319" i="1" l="1"/>
  <c r="S320" i="1"/>
  <c r="T320" i="1" s="1"/>
  <c r="R318" i="1" l="1"/>
  <c r="S319" i="1"/>
  <c r="T319" i="1" s="1"/>
  <c r="S318" i="1" l="1"/>
  <c r="T318" i="1" s="1"/>
  <c r="R317" i="1"/>
  <c r="S317" i="1" l="1"/>
  <c r="T317" i="1" s="1"/>
  <c r="R316" i="1"/>
  <c r="R315" i="1" l="1"/>
  <c r="S316" i="1"/>
  <c r="T316" i="1" s="1"/>
  <c r="R314" i="1" l="1"/>
  <c r="S315" i="1"/>
  <c r="T315" i="1" s="1"/>
  <c r="S314" i="1" l="1"/>
  <c r="T314" i="1" s="1"/>
  <c r="R313" i="1"/>
  <c r="S313" i="1" l="1"/>
  <c r="T313" i="1" s="1"/>
  <c r="R312" i="1"/>
  <c r="R311" i="1" l="1"/>
  <c r="S312" i="1"/>
  <c r="T312" i="1" s="1"/>
  <c r="S311" i="1" l="1"/>
  <c r="T311" i="1" s="1"/>
  <c r="R310" i="1"/>
  <c r="R309" i="1" l="1"/>
  <c r="S310" i="1"/>
  <c r="T310" i="1" s="1"/>
  <c r="S309" i="1" l="1"/>
  <c r="T309" i="1" s="1"/>
  <c r="R308" i="1"/>
  <c r="S308" i="1" l="1"/>
  <c r="T308" i="1" s="1"/>
  <c r="R307" i="1"/>
  <c r="R306" i="1" l="1"/>
  <c r="S307" i="1"/>
  <c r="T307" i="1" s="1"/>
  <c r="R305" i="1" l="1"/>
  <c r="S306" i="1"/>
  <c r="T306" i="1" s="1"/>
  <c r="S305" i="1" l="1"/>
  <c r="T305" i="1" s="1"/>
  <c r="R304" i="1"/>
  <c r="S304" i="1" l="1"/>
  <c r="T304" i="1" s="1"/>
  <c r="R303" i="1"/>
  <c r="R302" i="1" l="1"/>
  <c r="S303" i="1"/>
  <c r="T303" i="1" s="1"/>
  <c r="R301" i="1" l="1"/>
  <c r="S302" i="1"/>
  <c r="T302" i="1" s="1"/>
  <c r="S301" i="1" l="1"/>
  <c r="T301" i="1" s="1"/>
  <c r="R300" i="1"/>
  <c r="S300" i="1" l="1"/>
  <c r="T300" i="1" s="1"/>
  <c r="R299" i="1"/>
  <c r="R298" i="1" l="1"/>
  <c r="S299" i="1"/>
  <c r="T299" i="1" s="1"/>
  <c r="R297" i="1" l="1"/>
  <c r="S298" i="1"/>
  <c r="T298" i="1" s="1"/>
  <c r="S297" i="1" l="1"/>
  <c r="T297" i="1" s="1"/>
  <c r="R296" i="1"/>
  <c r="R295" i="1" l="1"/>
  <c r="S296" i="1"/>
  <c r="T296" i="1" s="1"/>
  <c r="R294" i="1" l="1"/>
  <c r="S295" i="1"/>
  <c r="T295" i="1" s="1"/>
  <c r="S294" i="1" l="1"/>
  <c r="T294" i="1" s="1"/>
  <c r="R293" i="1"/>
  <c r="S293" i="1" l="1"/>
  <c r="T293" i="1" s="1"/>
  <c r="R292" i="1"/>
  <c r="R291" i="1" l="1"/>
  <c r="S292" i="1"/>
  <c r="T292" i="1" s="1"/>
  <c r="R290" i="1" l="1"/>
  <c r="S291" i="1"/>
  <c r="T291" i="1" s="1"/>
  <c r="S290" i="1" l="1"/>
  <c r="T290" i="1" s="1"/>
  <c r="R289" i="1"/>
  <c r="S289" i="1" l="1"/>
  <c r="T289" i="1" s="1"/>
  <c r="R288" i="1"/>
  <c r="R287" i="1" l="1"/>
  <c r="S288" i="1"/>
  <c r="T288" i="1" s="1"/>
  <c r="S287" i="1" l="1"/>
  <c r="T287" i="1" s="1"/>
  <c r="R286" i="1"/>
  <c r="S286" i="1" l="1"/>
  <c r="T286" i="1" s="1"/>
  <c r="R285" i="1"/>
  <c r="S285" i="1" l="1"/>
  <c r="T285" i="1" s="1"/>
  <c r="R284" i="1"/>
  <c r="R283" i="1" l="1"/>
  <c r="S284" i="1"/>
  <c r="T284" i="1" s="1"/>
  <c r="R282" i="1" l="1"/>
  <c r="S283" i="1"/>
  <c r="T283" i="1" s="1"/>
  <c r="S282" i="1" l="1"/>
  <c r="T282" i="1" s="1"/>
  <c r="R281" i="1"/>
  <c r="S281" i="1" l="1"/>
  <c r="T281" i="1" s="1"/>
  <c r="R280" i="1"/>
  <c r="S280" i="1" l="1"/>
  <c r="T280" i="1" s="1"/>
  <c r="R279" i="1"/>
  <c r="R278" i="1" l="1"/>
  <c r="S279" i="1"/>
  <c r="T279" i="1" s="1"/>
  <c r="R277" i="1" l="1"/>
  <c r="S278" i="1"/>
  <c r="T278" i="1" s="1"/>
  <c r="S277" i="1" l="1"/>
  <c r="T277" i="1" s="1"/>
  <c r="R276" i="1"/>
  <c r="S276" i="1" l="1"/>
  <c r="T276" i="1" s="1"/>
  <c r="R275" i="1"/>
  <c r="S275" i="1" l="1"/>
  <c r="T275" i="1" s="1"/>
  <c r="R274" i="1"/>
  <c r="R273" i="1" l="1"/>
  <c r="S274" i="1"/>
  <c r="T274" i="1" s="1"/>
  <c r="S273" i="1" l="1"/>
  <c r="T273" i="1" s="1"/>
  <c r="R272" i="1"/>
  <c r="S272" i="1" l="1"/>
  <c r="T272" i="1" s="1"/>
  <c r="R271" i="1"/>
  <c r="S271" i="1" l="1"/>
  <c r="T271" i="1" s="1"/>
  <c r="R270" i="1"/>
  <c r="R269" i="1" l="1"/>
  <c r="S270" i="1"/>
  <c r="T270" i="1" s="1"/>
  <c r="R268" i="1" l="1"/>
  <c r="S269" i="1"/>
  <c r="T269" i="1" s="1"/>
  <c r="S268" i="1" l="1"/>
  <c r="T268" i="1" s="1"/>
  <c r="R267" i="1"/>
  <c r="S267" i="1" l="1"/>
  <c r="T267" i="1" s="1"/>
  <c r="R266" i="1"/>
  <c r="R265" i="1" l="1"/>
  <c r="S266" i="1"/>
  <c r="T266" i="1" s="1"/>
  <c r="R264" i="1" l="1"/>
  <c r="S265" i="1"/>
  <c r="T265" i="1" s="1"/>
  <c r="S264" i="1" l="1"/>
  <c r="T264" i="1" s="1"/>
  <c r="R263" i="1"/>
  <c r="S263" i="1" l="1"/>
  <c r="T263" i="1" s="1"/>
  <c r="R262" i="1"/>
  <c r="S262" i="1" l="1"/>
  <c r="T262" i="1" s="1"/>
  <c r="R261" i="1"/>
  <c r="R260" i="1" l="1"/>
  <c r="S261" i="1"/>
  <c r="T261" i="1" s="1"/>
  <c r="S260" i="1" l="1"/>
  <c r="T260" i="1" s="1"/>
  <c r="R259" i="1"/>
  <c r="S259" i="1" l="1"/>
  <c r="T259" i="1" s="1"/>
  <c r="R258" i="1"/>
  <c r="S258" i="1" l="1"/>
  <c r="T258" i="1" s="1"/>
  <c r="R257" i="1"/>
  <c r="R256" i="1" l="1"/>
  <c r="S257" i="1"/>
  <c r="T257" i="1" s="1"/>
  <c r="S256" i="1" l="1"/>
  <c r="T256" i="1" s="1"/>
  <c r="R255" i="1"/>
  <c r="S255" i="1" l="1"/>
  <c r="T255" i="1" s="1"/>
  <c r="R254" i="1"/>
  <c r="S254" i="1" l="1"/>
  <c r="T254" i="1" s="1"/>
  <c r="R253" i="1"/>
  <c r="S253" i="1" l="1"/>
  <c r="T253" i="1" s="1"/>
  <c r="R252" i="1"/>
  <c r="R251" i="1" l="1"/>
  <c r="S252" i="1"/>
  <c r="T252" i="1" s="1"/>
  <c r="R250" i="1" l="1"/>
  <c r="S251" i="1"/>
  <c r="T251" i="1" s="1"/>
  <c r="S250" i="1" l="1"/>
  <c r="T250" i="1" s="1"/>
  <c r="R249" i="1"/>
  <c r="S249" i="1" l="1"/>
  <c r="T249" i="1" s="1"/>
  <c r="R248" i="1"/>
  <c r="R247" i="1" l="1"/>
  <c r="S248" i="1"/>
  <c r="T248" i="1" s="1"/>
  <c r="S247" i="1" l="1"/>
  <c r="T247" i="1" s="1"/>
  <c r="R246" i="1"/>
  <c r="R245" i="1" l="1"/>
  <c r="S246" i="1"/>
  <c r="T246" i="1" s="1"/>
  <c r="R244" i="1" l="1"/>
  <c r="S245" i="1"/>
  <c r="T245" i="1" s="1"/>
  <c r="S244" i="1" l="1"/>
  <c r="T244" i="1" s="1"/>
  <c r="R243" i="1"/>
  <c r="S243" i="1" l="1"/>
  <c r="T243" i="1" s="1"/>
  <c r="R242" i="1"/>
  <c r="R241" i="1" l="1"/>
  <c r="S242" i="1"/>
  <c r="T242" i="1" s="1"/>
  <c r="R240" i="1" l="1"/>
  <c r="S241" i="1"/>
  <c r="T241" i="1" s="1"/>
  <c r="S240" i="1" l="1"/>
  <c r="T240" i="1" s="1"/>
  <c r="R239" i="1"/>
  <c r="R238" i="1" l="1"/>
  <c r="S239" i="1"/>
  <c r="T239" i="1" s="1"/>
  <c r="S238" i="1" l="1"/>
  <c r="T238" i="1" s="1"/>
  <c r="R237" i="1"/>
  <c r="S237" i="1" l="1"/>
  <c r="T237" i="1" s="1"/>
  <c r="R236" i="1"/>
  <c r="R235" i="1" l="1"/>
  <c r="S236" i="1"/>
  <c r="T236" i="1" s="1"/>
  <c r="R234" i="1" l="1"/>
  <c r="S235" i="1"/>
  <c r="T235" i="1" s="1"/>
  <c r="S234" i="1" l="1"/>
  <c r="T234" i="1" s="1"/>
  <c r="R233" i="1"/>
  <c r="R232" i="1" l="1"/>
  <c r="S233" i="1"/>
  <c r="T233" i="1" s="1"/>
  <c r="R231" i="1" l="1"/>
  <c r="S232" i="1"/>
  <c r="T232" i="1" s="1"/>
  <c r="R230" i="1" l="1"/>
  <c r="S231" i="1"/>
  <c r="T231" i="1" s="1"/>
  <c r="S230" i="1" l="1"/>
  <c r="T230" i="1" s="1"/>
  <c r="R229" i="1"/>
  <c r="S229" i="1" l="1"/>
  <c r="T229" i="1" s="1"/>
  <c r="R228" i="1"/>
  <c r="R227" i="1" l="1"/>
  <c r="S228" i="1"/>
  <c r="T228" i="1" s="1"/>
  <c r="S227" i="1" l="1"/>
  <c r="T227" i="1" s="1"/>
  <c r="R226" i="1"/>
  <c r="S226" i="1" l="1"/>
  <c r="T226" i="1" s="1"/>
  <c r="R225" i="1"/>
  <c r="S225" i="1" l="1"/>
  <c r="T225" i="1" s="1"/>
  <c r="R224" i="1"/>
  <c r="S224" i="1" l="1"/>
  <c r="T224" i="1" s="1"/>
  <c r="R223" i="1"/>
  <c r="R222" i="1" l="1"/>
  <c r="S223" i="1"/>
  <c r="T223" i="1" s="1"/>
  <c r="S222" i="1" l="1"/>
  <c r="T222" i="1" s="1"/>
  <c r="R221" i="1"/>
  <c r="S221" i="1" l="1"/>
  <c r="T221" i="1" s="1"/>
  <c r="R220" i="1"/>
  <c r="R219" i="1" l="1"/>
  <c r="S220" i="1"/>
  <c r="T220" i="1" s="1"/>
  <c r="R218" i="1" l="1"/>
  <c r="S219" i="1"/>
  <c r="T219" i="1" s="1"/>
  <c r="S218" i="1" l="1"/>
  <c r="T218" i="1" s="1"/>
  <c r="R217" i="1"/>
  <c r="R216" i="1" l="1"/>
  <c r="S217" i="1"/>
  <c r="T217" i="1" s="1"/>
  <c r="R215" i="1" l="1"/>
  <c r="S216" i="1"/>
  <c r="T216" i="1" s="1"/>
  <c r="S215" i="1" l="1"/>
  <c r="T215" i="1" s="1"/>
  <c r="R214" i="1"/>
  <c r="S214" i="1" l="1"/>
  <c r="T214" i="1" s="1"/>
  <c r="R213" i="1"/>
  <c r="R212" i="1" l="1"/>
  <c r="S213" i="1"/>
  <c r="T213" i="1" s="1"/>
  <c r="R211" i="1" l="1"/>
  <c r="S212" i="1"/>
  <c r="T212" i="1" s="1"/>
  <c r="S211" i="1" l="1"/>
  <c r="T211" i="1" s="1"/>
  <c r="R210" i="1"/>
  <c r="S210" i="1" l="1"/>
  <c r="T210" i="1" s="1"/>
  <c r="R209" i="1"/>
  <c r="S209" i="1" l="1"/>
  <c r="T209" i="1" s="1"/>
  <c r="R208" i="1"/>
  <c r="R207" i="1" l="1"/>
  <c r="S208" i="1"/>
  <c r="T208" i="1" s="1"/>
  <c r="R206" i="1" l="1"/>
  <c r="S207" i="1"/>
  <c r="T207" i="1" s="1"/>
  <c r="S206" i="1" l="1"/>
  <c r="T206" i="1" s="1"/>
  <c r="R205" i="1"/>
  <c r="S205" i="1" l="1"/>
  <c r="T205" i="1" s="1"/>
  <c r="R204" i="1"/>
  <c r="S204" i="1" l="1"/>
  <c r="T204" i="1" s="1"/>
  <c r="R203" i="1"/>
  <c r="R202" i="1" l="1"/>
  <c r="S203" i="1"/>
  <c r="T203" i="1" s="1"/>
  <c r="R201" i="1" l="1"/>
  <c r="S202" i="1"/>
  <c r="T202" i="1" s="1"/>
  <c r="S201" i="1" l="1"/>
  <c r="T201" i="1" s="1"/>
  <c r="R200" i="1"/>
  <c r="S200" i="1" l="1"/>
  <c r="T200" i="1" s="1"/>
  <c r="R199" i="1"/>
  <c r="S199" i="1" l="1"/>
  <c r="T199" i="1" s="1"/>
  <c r="R198" i="1"/>
  <c r="S198" i="1" l="1"/>
  <c r="T198" i="1" s="1"/>
  <c r="R197" i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S193" i="1" l="1"/>
  <c r="T193" i="1" s="1"/>
  <c r="R192" i="1"/>
  <c r="S192" i="1" l="1"/>
  <c r="T192" i="1" s="1"/>
  <c r="R191" i="1"/>
  <c r="R190" i="1" l="1"/>
  <c r="S191" i="1"/>
  <c r="T191" i="1" s="1"/>
  <c r="R189" i="1" l="1"/>
  <c r="S190" i="1"/>
  <c r="T190" i="1" s="1"/>
  <c r="S189" i="1" l="1"/>
  <c r="T189" i="1" s="1"/>
  <c r="R188" i="1"/>
  <c r="S188" i="1" l="1"/>
  <c r="T188" i="1" s="1"/>
  <c r="R187" i="1"/>
  <c r="R186" i="1" l="1"/>
  <c r="S187" i="1"/>
  <c r="T187" i="1" s="1"/>
  <c r="S186" i="1" l="1"/>
  <c r="T186" i="1" s="1"/>
  <c r="R185" i="1"/>
  <c r="S185" i="1" l="1"/>
  <c r="T185" i="1" s="1"/>
  <c r="R184" i="1"/>
  <c r="R183" i="1" l="1"/>
  <c r="S184" i="1"/>
  <c r="T184" i="1" s="1"/>
  <c r="R182" i="1" l="1"/>
  <c r="S183" i="1"/>
  <c r="T183" i="1" s="1"/>
  <c r="S182" i="1" l="1"/>
  <c r="T182" i="1" s="1"/>
  <c r="R181" i="1"/>
  <c r="S181" i="1" l="1"/>
  <c r="T181" i="1" s="1"/>
  <c r="R180" i="1"/>
  <c r="R179" i="1" l="1"/>
  <c r="S180" i="1"/>
  <c r="T180" i="1" s="1"/>
  <c r="S179" i="1" l="1"/>
  <c r="T179" i="1" s="1"/>
  <c r="R178" i="1"/>
  <c r="S178" i="1" l="1"/>
  <c r="T178" i="1" s="1"/>
  <c r="R177" i="1"/>
  <c r="R176" i="1" l="1"/>
  <c r="S177" i="1"/>
  <c r="T177" i="1" s="1"/>
  <c r="R175" i="1" l="1"/>
  <c r="S176" i="1"/>
  <c r="T176" i="1" s="1"/>
  <c r="S175" i="1" l="1"/>
  <c r="T175" i="1" s="1"/>
  <c r="R174" i="1"/>
  <c r="S174" i="1" l="1"/>
  <c r="T174" i="1" s="1"/>
  <c r="R173" i="1"/>
  <c r="R172" i="1" l="1"/>
  <c r="S173" i="1"/>
  <c r="T173" i="1" s="1"/>
  <c r="S172" i="1" l="1"/>
  <c r="T172" i="1" s="1"/>
  <c r="R171" i="1"/>
  <c r="R170" i="1" l="1"/>
  <c r="S171" i="1"/>
  <c r="T171" i="1" s="1"/>
  <c r="S170" i="1" l="1"/>
  <c r="T170" i="1" s="1"/>
  <c r="R169" i="1"/>
  <c r="S169" i="1" l="1"/>
  <c r="T169" i="1" s="1"/>
  <c r="R168" i="1"/>
  <c r="R167" i="1" l="1"/>
  <c r="S168" i="1"/>
  <c r="T168" i="1" s="1"/>
  <c r="R166" i="1" l="1"/>
  <c r="S167" i="1"/>
  <c r="T167" i="1" s="1"/>
  <c r="S166" i="1" l="1"/>
  <c r="T166" i="1" s="1"/>
  <c r="R165" i="1"/>
  <c r="S165" i="1" l="1"/>
  <c r="T165" i="1" s="1"/>
  <c r="R164" i="1"/>
  <c r="R163" i="1" l="1"/>
  <c r="S164" i="1"/>
  <c r="T164" i="1" s="1"/>
  <c r="S163" i="1" l="1"/>
  <c r="T163" i="1" s="1"/>
  <c r="R162" i="1"/>
  <c r="S162" i="1" l="1"/>
  <c r="T162" i="1" s="1"/>
  <c r="R161" i="1"/>
  <c r="R160" i="1" l="1"/>
  <c r="S161" i="1"/>
  <c r="T161" i="1" s="1"/>
  <c r="R159" i="1" l="1"/>
  <c r="S160" i="1"/>
  <c r="T160" i="1" s="1"/>
  <c r="S159" i="1" l="1"/>
  <c r="T159" i="1" s="1"/>
  <c r="R158" i="1"/>
  <c r="S158" i="1" l="1"/>
  <c r="T158" i="1" s="1"/>
  <c r="R157" i="1"/>
  <c r="R156" i="1" l="1"/>
  <c r="S157" i="1"/>
  <c r="T157" i="1" s="1"/>
  <c r="S156" i="1" l="1"/>
  <c r="T156" i="1" s="1"/>
  <c r="R155" i="1"/>
  <c r="S155" i="1" l="1"/>
  <c r="T155" i="1" s="1"/>
  <c r="R154" i="1"/>
  <c r="S154" i="1" l="1"/>
  <c r="T154" i="1" s="1"/>
  <c r="R153" i="1"/>
  <c r="R152" i="1" l="1"/>
  <c r="S153" i="1"/>
  <c r="T153" i="1" s="1"/>
  <c r="S152" i="1" l="1"/>
  <c r="T152" i="1" s="1"/>
  <c r="R151" i="1"/>
  <c r="S151" i="1" l="1"/>
  <c r="T151" i="1" s="1"/>
  <c r="R150" i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S146" i="1" l="1"/>
  <c r="T146" i="1" s="1"/>
  <c r="R145" i="1"/>
  <c r="S145" i="1" l="1"/>
  <c r="T145" i="1" s="1"/>
  <c r="R144" i="1"/>
  <c r="R143" i="1" l="1"/>
  <c r="S144" i="1"/>
  <c r="T144" i="1" s="1"/>
  <c r="S143" i="1" l="1"/>
  <c r="T143" i="1" s="1"/>
  <c r="R142" i="1"/>
  <c r="S142" i="1" l="1"/>
  <c r="T142" i="1" s="1"/>
  <c r="R141" i="1"/>
  <c r="R140" i="1" l="1"/>
  <c r="S141" i="1"/>
  <c r="T141" i="1" s="1"/>
  <c r="R139" i="1" l="1"/>
  <c r="S140" i="1"/>
  <c r="T140" i="1" s="1"/>
  <c r="S139" i="1" l="1"/>
  <c r="T139" i="1" s="1"/>
  <c r="R138" i="1"/>
  <c r="S138" i="1" l="1"/>
  <c r="T138" i="1" s="1"/>
  <c r="R137" i="1"/>
  <c r="S137" i="1" l="1"/>
  <c r="T137" i="1" s="1"/>
  <c r="R136" i="1"/>
  <c r="R135" i="1" l="1"/>
  <c r="S136" i="1"/>
  <c r="T136" i="1" s="1"/>
  <c r="S135" i="1" l="1"/>
  <c r="T135" i="1" s="1"/>
  <c r="R134" i="1"/>
  <c r="S134" i="1" l="1"/>
  <c r="T134" i="1" s="1"/>
  <c r="R133" i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S129" i="1" l="1"/>
  <c r="T129" i="1" s="1"/>
  <c r="R128" i="1"/>
  <c r="S128" i="1" l="1"/>
  <c r="T128" i="1" s="1"/>
  <c r="R127" i="1"/>
  <c r="S127" i="1" l="1"/>
  <c r="T127" i="1" s="1"/>
  <c r="R126" i="1"/>
  <c r="R125" i="1" l="1"/>
  <c r="S126" i="1"/>
  <c r="T126" i="1" s="1"/>
  <c r="R124" i="1" l="1"/>
  <c r="S125" i="1"/>
  <c r="T125" i="1" s="1"/>
  <c r="R123" i="1" l="1"/>
  <c r="S124" i="1"/>
  <c r="T124" i="1" s="1"/>
  <c r="S123" i="1" l="1"/>
  <c r="T123" i="1" s="1"/>
  <c r="R122" i="1"/>
  <c r="S122" i="1" l="1"/>
  <c r="T122" i="1" s="1"/>
  <c r="R121" i="1"/>
  <c r="R120" i="1" l="1"/>
  <c r="S121" i="1"/>
  <c r="T121" i="1" s="1"/>
  <c r="R119" i="1" l="1"/>
  <c r="S120" i="1"/>
  <c r="T120" i="1" s="1"/>
  <c r="R118" i="1" l="1"/>
  <c r="S119" i="1"/>
  <c r="T119" i="1" s="1"/>
  <c r="S118" i="1" l="1"/>
  <c r="T118" i="1" s="1"/>
  <c r="R117" i="1"/>
  <c r="S117" i="1" l="1"/>
  <c r="T117" i="1" s="1"/>
  <c r="R116" i="1"/>
  <c r="R115" i="1" l="1"/>
  <c r="S116" i="1"/>
  <c r="T116" i="1" s="1"/>
  <c r="R114" i="1" l="1"/>
  <c r="S115" i="1"/>
  <c r="T115" i="1" s="1"/>
  <c r="S114" i="1" l="1"/>
  <c r="T114" i="1" s="1"/>
  <c r="R113" i="1"/>
  <c r="S113" i="1" l="1"/>
  <c r="T113" i="1" s="1"/>
  <c r="R112" i="1"/>
  <c r="S112" i="1" l="1"/>
  <c r="T112" i="1" s="1"/>
  <c r="R111" i="1"/>
  <c r="S111" i="1" l="1"/>
  <c r="T111" i="1" s="1"/>
  <c r="R110" i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S106" i="1" l="1"/>
  <c r="T106" i="1" s="1"/>
  <c r="R105" i="1"/>
  <c r="S105" i="1" l="1"/>
  <c r="T105" i="1" s="1"/>
  <c r="R104" i="1"/>
  <c r="R103" i="1" l="1"/>
  <c r="S104" i="1"/>
  <c r="T104" i="1" s="1"/>
  <c r="R102" i="1" l="1"/>
  <c r="S103" i="1"/>
  <c r="T103" i="1" s="1"/>
  <c r="S102" i="1" l="1"/>
  <c r="T102" i="1" s="1"/>
  <c r="R101" i="1"/>
  <c r="S101" i="1" l="1"/>
  <c r="T101" i="1" s="1"/>
  <c r="R100" i="1"/>
  <c r="S100" i="1" l="1"/>
  <c r="T100" i="1" s="1"/>
  <c r="R99" i="1"/>
  <c r="S99" i="1" l="1"/>
  <c r="T99" i="1" s="1"/>
  <c r="R98" i="1"/>
  <c r="S98" i="1" l="1"/>
  <c r="T98" i="1" s="1"/>
  <c r="R97" i="1"/>
  <c r="R96" i="1" l="1"/>
  <c r="S97" i="1"/>
  <c r="T97" i="1" s="1"/>
  <c r="S96" i="1" l="1"/>
  <c r="T96" i="1" s="1"/>
  <c r="R95" i="1"/>
  <c r="R94" i="1" l="1"/>
  <c r="S95" i="1"/>
  <c r="T95" i="1" s="1"/>
  <c r="R93" i="1" l="1"/>
  <c r="S94" i="1"/>
  <c r="T94" i="1" s="1"/>
  <c r="S93" i="1" l="1"/>
  <c r="T93" i="1" s="1"/>
  <c r="R92" i="1"/>
  <c r="R91" i="1" l="1"/>
  <c r="S92" i="1"/>
  <c r="T92" i="1" s="1"/>
  <c r="R90" i="1" l="1"/>
  <c r="S91" i="1"/>
  <c r="T91" i="1" s="1"/>
  <c r="S90" i="1" l="1"/>
  <c r="T90" i="1" s="1"/>
  <c r="R89" i="1"/>
  <c r="S89" i="1" l="1"/>
  <c r="T89" i="1" s="1"/>
  <c r="R88" i="1"/>
  <c r="S88" i="1" l="1"/>
  <c r="T88" i="1" s="1"/>
  <c r="R87" i="1"/>
  <c r="R86" i="1" l="1"/>
  <c r="S87" i="1"/>
  <c r="T87" i="1" s="1"/>
  <c r="S86" i="1" l="1"/>
  <c r="T86" i="1" s="1"/>
  <c r="R85" i="1"/>
  <c r="R84" i="1" l="1"/>
  <c r="S85" i="1"/>
  <c r="T85" i="1" s="1"/>
  <c r="S84" i="1" l="1"/>
  <c r="T84" i="1" s="1"/>
  <c r="R83" i="1"/>
  <c r="S83" i="1" l="1"/>
  <c r="T83" i="1" s="1"/>
  <c r="R82" i="1"/>
  <c r="S82" i="1" l="1"/>
  <c r="T82" i="1" s="1"/>
  <c r="R81" i="1"/>
  <c r="S81" i="1" l="1"/>
  <c r="T81" i="1" s="1"/>
  <c r="R80" i="1"/>
  <c r="R79" i="1" l="1"/>
  <c r="S80" i="1"/>
  <c r="T80" i="1" s="1"/>
  <c r="R78" i="1" l="1"/>
  <c r="S79" i="1"/>
  <c r="T79" i="1" s="1"/>
  <c r="S78" i="1" l="1"/>
  <c r="T78" i="1" s="1"/>
  <c r="R77" i="1"/>
  <c r="S77" i="1" l="1"/>
  <c r="T77" i="1" s="1"/>
  <c r="R76" i="1"/>
  <c r="S76" i="1" l="1"/>
  <c r="T76" i="1" s="1"/>
  <c r="R75" i="1"/>
  <c r="S75" i="1" l="1"/>
  <c r="T75" i="1" s="1"/>
  <c r="R74" i="1"/>
  <c r="S74" i="1" l="1"/>
  <c r="T74" i="1" s="1"/>
  <c r="R73" i="1"/>
  <c r="S73" i="1" l="1"/>
  <c r="T73" i="1" s="1"/>
  <c r="R72" i="1"/>
  <c r="R71" i="1" l="1"/>
  <c r="S72" i="1"/>
  <c r="T72" i="1" s="1"/>
  <c r="S71" i="1" l="1"/>
  <c r="T71" i="1" s="1"/>
  <c r="R70" i="1"/>
  <c r="R69" i="1" l="1"/>
  <c r="S70" i="1"/>
  <c r="T70" i="1" s="1"/>
  <c r="S69" i="1" l="1"/>
  <c r="T69" i="1" s="1"/>
  <c r="R68" i="1"/>
  <c r="R67" i="1" l="1"/>
  <c r="S68" i="1"/>
  <c r="T68" i="1" s="1"/>
  <c r="S67" i="1" l="1"/>
  <c r="T67" i="1" s="1"/>
  <c r="R66" i="1"/>
  <c r="S66" i="1" l="1"/>
  <c r="T66" i="1" s="1"/>
  <c r="R65" i="1"/>
  <c r="R64" i="1" l="1"/>
  <c r="S65" i="1"/>
  <c r="T65" i="1" s="1"/>
  <c r="S64" i="1" l="1"/>
  <c r="T64" i="1" s="1"/>
  <c r="R63" i="1"/>
  <c r="R62" i="1" l="1"/>
  <c r="S63" i="1"/>
  <c r="T63" i="1" s="1"/>
  <c r="S62" i="1" l="1"/>
  <c r="T62" i="1" s="1"/>
  <c r="R61" i="1"/>
  <c r="R60" i="1" l="1"/>
  <c r="S61" i="1"/>
  <c r="T61" i="1" s="1"/>
  <c r="S60" i="1" l="1"/>
  <c r="T60" i="1" s="1"/>
  <c r="R59" i="1"/>
  <c r="S59" i="1" l="1"/>
  <c r="T59" i="1" s="1"/>
  <c r="R58" i="1"/>
  <c r="R57" i="1" l="1"/>
  <c r="S58" i="1"/>
  <c r="T58" i="1" s="1"/>
  <c r="R56" i="1" l="1"/>
  <c r="S57" i="1"/>
  <c r="T57" i="1" s="1"/>
  <c r="S56" i="1" l="1"/>
  <c r="T56" i="1" s="1"/>
  <c r="R55" i="1"/>
  <c r="R54" i="1" l="1"/>
  <c r="S55" i="1"/>
  <c r="T55" i="1" s="1"/>
  <c r="R53" i="1" l="1"/>
  <c r="S54" i="1"/>
  <c r="T54" i="1" s="1"/>
  <c r="S53" i="1" l="1"/>
  <c r="T53" i="1" s="1"/>
  <c r="R52" i="1"/>
  <c r="R51" i="1" l="1"/>
  <c r="S52" i="1"/>
  <c r="T52" i="1" s="1"/>
  <c r="R50" i="1" l="1"/>
  <c r="S51" i="1"/>
  <c r="T51" i="1" s="1"/>
  <c r="S50" i="1" l="1"/>
  <c r="T50" i="1" s="1"/>
  <c r="R49" i="1"/>
  <c r="S49" i="1" l="1"/>
  <c r="T49" i="1" s="1"/>
  <c r="R48" i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R41" i="1" l="1"/>
  <c r="S42" i="1"/>
  <c r="T42" i="1" s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R36" i="1" l="1"/>
  <c r="S37" i="1"/>
  <c r="T37" i="1" s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R31" i="1" l="1"/>
  <c r="S32" i="1"/>
  <c r="T32" i="1" s="1"/>
  <c r="S31" i="1" l="1"/>
  <c r="T31" i="1" s="1"/>
  <c r="R30" i="1"/>
  <c r="S30" i="1" l="1"/>
  <c r="T30" i="1" s="1"/>
  <c r="R29" i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<sst xmlns="http://schemas.openxmlformats.org/spreadsheetml/2006/main" count="5793" uniqueCount="34">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</sst>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7.8200000000000006E-2</c:v>
                </c:pt>
                <c:pt idx="1">
                  <c:v>7.9500000000000001E-2</c:v>
                </c:pt>
                <c:pt idx="2">
                  <c:v>7.9899999999999999E-2</c:v>
                </c:pt>
                <c:pt idx="3">
                  <c:v>7.5899999999999995E-2</c:v>
                </c:pt>
                <c:pt idx="4">
                  <c:v>7.7799999999999994E-2</c:v>
                </c:pt>
                <c:pt idx="5">
                  <c:v>7.3099999999999998E-2</c:v>
                </c:pt>
                <c:pt idx="6">
                  <c:v>8.3099999999999993E-2</c:v>
                </c:pt>
                <c:pt idx="7">
                  <c:v>0.1</c:v>
                </c:pt>
                <c:pt idx="8">
                  <c:v>0.1009</c:v>
                </c:pt>
                <c:pt idx="9">
                  <c:v>0.10489999999999999</c:v>
                </c:pt>
                <c:pt idx="10">
                  <c:v>0.1062</c:v>
                </c:pt>
                <c:pt idx="11">
                  <c:v>0.1125</c:v>
                </c:pt>
                <c:pt idx="12">
                  <c:v>0.1137</c:v>
                </c:pt>
                <c:pt idx="13">
                  <c:v>0.1128</c:v>
                </c:pt>
                <c:pt idx="14">
                  <c:v>0.10920000000000001</c:v>
                </c:pt>
                <c:pt idx="15">
                  <c:v>0.11459999999999999</c:v>
                </c:pt>
                <c:pt idx="16">
                  <c:v>0.1106</c:v>
                </c:pt>
                <c:pt idx="17">
                  <c:v>0.10780000000000001</c:v>
                </c:pt>
                <c:pt idx="18">
                  <c:v>0.11269999999999999</c:v>
                </c:pt>
                <c:pt idx="19">
                  <c:v>0.11169999999999999</c:v>
                </c:pt>
                <c:pt idx="20">
                  <c:v>0.11119999999999999</c:v>
                </c:pt>
                <c:pt idx="21">
                  <c:v>0.1217</c:v>
                </c:pt>
                <c:pt idx="22">
                  <c:v>0.1227</c:v>
                </c:pt>
                <c:pt idx="23">
                  <c:v>0.13220000000000001</c:v>
                </c:pt>
                <c:pt idx="24">
                  <c:v>0.13519999999999999</c:v>
                </c:pt>
                <c:pt idx="25">
                  <c:v>0.1368</c:v>
                </c:pt>
                <c:pt idx="26">
                  <c:v>0.13389999999999999</c:v>
                </c:pt>
                <c:pt idx="27">
                  <c:v>0.12839999999999999</c:v>
                </c:pt>
                <c:pt idx="28">
                  <c:v>0.13220000000000001</c:v>
                </c:pt>
                <c:pt idx="29">
                  <c:v>0.1283</c:v>
                </c:pt>
                <c:pt idx="30">
                  <c:v>0.13500000000000001</c:v>
                </c:pt>
                <c:pt idx="31">
                  <c:v>0.14510000000000001</c:v>
                </c:pt>
                <c:pt idx="32">
                  <c:v>0.14380000000000001</c:v>
                </c:pt>
                <c:pt idx="33">
                  <c:v>0.14050000000000001</c:v>
                </c:pt>
                <c:pt idx="34">
                  <c:v>0.13800000000000001</c:v>
                </c:pt>
                <c:pt idx="35">
                  <c:v>0.1404</c:v>
                </c:pt>
                <c:pt idx="36">
                  <c:v>0.13669999999999999</c:v>
                </c:pt>
                <c:pt idx="37">
                  <c:v>0.1348</c:v>
                </c:pt>
                <c:pt idx="38">
                  <c:v>0.13039999999999999</c:v>
                </c:pt>
                <c:pt idx="39">
                  <c:v>0.13619999999999999</c:v>
                </c:pt>
                <c:pt idx="40">
                  <c:v>0.13769999999999999</c:v>
                </c:pt>
                <c:pt idx="41">
                  <c:v>0.1321</c:v>
                </c:pt>
                <c:pt idx="42">
                  <c:v>0.13159999999999999</c:v>
                </c:pt>
                <c:pt idx="43">
                  <c:v>0.13039999999999999</c:v>
                </c:pt>
                <c:pt idx="44">
                  <c:v>0.13070000000000001</c:v>
                </c:pt>
                <c:pt idx="45">
                  <c:v>0.1285</c:v>
                </c:pt>
                <c:pt idx="46">
                  <c:v>0.1431</c:v>
                </c:pt>
                <c:pt idx="47">
                  <c:v>0.14030000000000001</c:v>
                </c:pt>
                <c:pt idx="48">
                  <c:v>0.14050000000000001</c:v>
                </c:pt>
                <c:pt idx="49">
                  <c:v>0.14080000000000001</c:v>
                </c:pt>
                <c:pt idx="50">
                  <c:v>0.1537</c:v>
                </c:pt>
                <c:pt idx="51">
                  <c:v>0.14660000000000001</c:v>
                </c:pt>
                <c:pt idx="52">
                  <c:v>0.153</c:v>
                </c:pt>
                <c:pt idx="53">
                  <c:v>0.15190000000000001</c:v>
                </c:pt>
                <c:pt idx="54">
                  <c:v>0.15540000000000001</c:v>
                </c:pt>
                <c:pt idx="55">
                  <c:v>0.1769</c:v>
                </c:pt>
                <c:pt idx="56">
                  <c:v>0.1741</c:v>
                </c:pt>
                <c:pt idx="57">
                  <c:v>0.1651</c:v>
                </c:pt>
                <c:pt idx="58">
                  <c:v>0.1646</c:v>
                </c:pt>
                <c:pt idx="59">
                  <c:v>0.1729</c:v>
                </c:pt>
                <c:pt idx="60">
                  <c:v>0.17150000000000001</c:v>
                </c:pt>
                <c:pt idx="61">
                  <c:v>0.17510000000000001</c:v>
                </c:pt>
                <c:pt idx="62">
                  <c:v>0.1663</c:v>
                </c:pt>
                <c:pt idx="63">
                  <c:v>0.19059999999999999</c:v>
                </c:pt>
                <c:pt idx="64">
                  <c:v>0.1605</c:v>
                </c:pt>
                <c:pt idx="65">
                  <c:v>0.1646</c:v>
                </c:pt>
                <c:pt idx="66">
                  <c:v>0.16669999999999999</c:v>
                </c:pt>
                <c:pt idx="67">
                  <c:v>0.17230000000000001</c:v>
                </c:pt>
                <c:pt idx="68">
                  <c:v>0.1719</c:v>
                </c:pt>
                <c:pt idx="69">
                  <c:v>0.15859999999999999</c:v>
                </c:pt>
                <c:pt idx="70">
                  <c:v>0.14990000000000001</c:v>
                </c:pt>
                <c:pt idx="71">
                  <c:v>0.1648</c:v>
                </c:pt>
                <c:pt idx="72">
                  <c:v>0.16550000000000001</c:v>
                </c:pt>
                <c:pt idx="73">
                  <c:v>0.1804</c:v>
                </c:pt>
                <c:pt idx="74">
                  <c:v>0.18779999999999999</c:v>
                </c:pt>
                <c:pt idx="75">
                  <c:v>0.18720000000000001</c:v>
                </c:pt>
                <c:pt idx="76">
                  <c:v>0.18529999999999999</c:v>
                </c:pt>
                <c:pt idx="77">
                  <c:v>0.18759999999999999</c:v>
                </c:pt>
                <c:pt idx="78">
                  <c:v>0.1794</c:v>
                </c:pt>
                <c:pt idx="79">
                  <c:v>0.1804</c:v>
                </c:pt>
                <c:pt idx="80">
                  <c:v>0.1842</c:v>
                </c:pt>
                <c:pt idx="81">
                  <c:v>0.18090000000000001</c:v>
                </c:pt>
                <c:pt idx="82">
                  <c:v>0.1908</c:v>
                </c:pt>
                <c:pt idx="83">
                  <c:v>0.17130000000000001</c:v>
                </c:pt>
                <c:pt idx="84">
                  <c:v>0.17610000000000001</c:v>
                </c:pt>
                <c:pt idx="85">
                  <c:v>0.1852</c:v>
                </c:pt>
                <c:pt idx="86">
                  <c:v>0.1676</c:v>
                </c:pt>
                <c:pt idx="87">
                  <c:v>0.1678</c:v>
                </c:pt>
                <c:pt idx="88">
                  <c:v>0.17169999999999999</c:v>
                </c:pt>
                <c:pt idx="89">
                  <c:v>0.16550000000000001</c:v>
                </c:pt>
                <c:pt idx="90">
                  <c:v>0.16719999999999999</c:v>
                </c:pt>
                <c:pt idx="91">
                  <c:v>0.1633</c:v>
                </c:pt>
                <c:pt idx="92">
                  <c:v>0.15329999999999999</c:v>
                </c:pt>
                <c:pt idx="93">
                  <c:v>0.1714</c:v>
                </c:pt>
                <c:pt idx="94">
                  <c:v>0.17780000000000001</c:v>
                </c:pt>
                <c:pt idx="95">
                  <c:v>0.17610000000000001</c:v>
                </c:pt>
                <c:pt idx="96">
                  <c:v>0.17480000000000001</c:v>
                </c:pt>
                <c:pt idx="97">
                  <c:v>0.17680000000000001</c:v>
                </c:pt>
                <c:pt idx="98">
                  <c:v>0.1837</c:v>
                </c:pt>
                <c:pt idx="99">
                  <c:v>0.1653</c:v>
                </c:pt>
                <c:pt idx="100">
                  <c:v>0.15959999999999999</c:v>
                </c:pt>
                <c:pt idx="101">
                  <c:v>0.16109999999999999</c:v>
                </c:pt>
                <c:pt idx="102">
                  <c:v>0.1663</c:v>
                </c:pt>
                <c:pt idx="103">
                  <c:v>0.16869999999999999</c:v>
                </c:pt>
                <c:pt idx="104">
                  <c:v>0.15570000000000001</c:v>
                </c:pt>
                <c:pt idx="105">
                  <c:v>0.14860000000000001</c:v>
                </c:pt>
                <c:pt idx="106">
                  <c:v>0.1459</c:v>
                </c:pt>
                <c:pt idx="107">
                  <c:v>0.14380000000000001</c:v>
                </c:pt>
                <c:pt idx="108">
                  <c:v>0.1449</c:v>
                </c:pt>
                <c:pt idx="109">
                  <c:v>0.14949999999999999</c:v>
                </c:pt>
                <c:pt idx="110">
                  <c:v>0.153</c:v>
                </c:pt>
                <c:pt idx="111">
                  <c:v>0.1482</c:v>
                </c:pt>
                <c:pt idx="112">
                  <c:v>0.1474</c:v>
                </c:pt>
                <c:pt idx="113">
                  <c:v>0.14940000000000001</c:v>
                </c:pt>
                <c:pt idx="114">
                  <c:v>0.15440000000000001</c:v>
                </c:pt>
                <c:pt idx="115">
                  <c:v>0.15479999999999999</c:v>
                </c:pt>
                <c:pt idx="116">
                  <c:v>0.16109999999999999</c:v>
                </c:pt>
                <c:pt idx="117">
                  <c:v>0.15770000000000001</c:v>
                </c:pt>
                <c:pt idx="118">
                  <c:v>0.15459999999999999</c:v>
                </c:pt>
                <c:pt idx="119">
                  <c:v>0.1464</c:v>
                </c:pt>
                <c:pt idx="120">
                  <c:v>0.1404</c:v>
                </c:pt>
                <c:pt idx="121">
                  <c:v>0.13880000000000001</c:v>
                </c:pt>
                <c:pt idx="122">
                  <c:v>0.14349999999999999</c:v>
                </c:pt>
                <c:pt idx="123">
                  <c:v>0.14779999999999999</c:v>
                </c:pt>
                <c:pt idx="124">
                  <c:v>0.1502</c:v>
                </c:pt>
                <c:pt idx="125">
                  <c:v>0.1472</c:v>
                </c:pt>
                <c:pt idx="126">
                  <c:v>0.16200000000000001</c:v>
                </c:pt>
                <c:pt idx="127">
                  <c:v>0.1565</c:v>
                </c:pt>
                <c:pt idx="128">
                  <c:v>0.1416</c:v>
                </c:pt>
                <c:pt idx="129">
                  <c:v>0.15820000000000001</c:v>
                </c:pt>
                <c:pt idx="130">
                  <c:v>0.17519999999999999</c:v>
                </c:pt>
                <c:pt idx="131">
                  <c:v>0.17680000000000001</c:v>
                </c:pt>
                <c:pt idx="132">
                  <c:v>0.17169999999999999</c:v>
                </c:pt>
                <c:pt idx="133">
                  <c:v>0.17599999999999999</c:v>
                </c:pt>
                <c:pt idx="134">
                  <c:v>0.18679999999999999</c:v>
                </c:pt>
                <c:pt idx="135">
                  <c:v>0.17469999999999999</c:v>
                </c:pt>
                <c:pt idx="136">
                  <c:v>0.16980000000000001</c:v>
                </c:pt>
                <c:pt idx="137">
                  <c:v>0.17960000000000001</c:v>
                </c:pt>
                <c:pt idx="138">
                  <c:v>0.17899999999999999</c:v>
                </c:pt>
                <c:pt idx="139">
                  <c:v>0.1673</c:v>
                </c:pt>
                <c:pt idx="140">
                  <c:v>0.18160000000000001</c:v>
                </c:pt>
                <c:pt idx="141">
                  <c:v>0.17649999999999999</c:v>
                </c:pt>
                <c:pt idx="142">
                  <c:v>0.17960000000000001</c:v>
                </c:pt>
                <c:pt idx="143">
                  <c:v>0.2089</c:v>
                </c:pt>
                <c:pt idx="144">
                  <c:v>0.21709999999999999</c:v>
                </c:pt>
                <c:pt idx="145">
                  <c:v>0.22339999999999999</c:v>
                </c:pt>
                <c:pt idx="146">
                  <c:v>0.19289999999999999</c:v>
                </c:pt>
                <c:pt idx="147">
                  <c:v>0.1898</c:v>
                </c:pt>
                <c:pt idx="148">
                  <c:v>0.1908</c:v>
                </c:pt>
                <c:pt idx="149">
                  <c:v>0.18590000000000001</c:v>
                </c:pt>
                <c:pt idx="150">
                  <c:v>0.18679999999999999</c:v>
                </c:pt>
                <c:pt idx="151">
                  <c:v>0.18859999999999999</c:v>
                </c:pt>
                <c:pt idx="152">
                  <c:v>0.1867</c:v>
                </c:pt>
                <c:pt idx="153">
                  <c:v>0.18310000000000001</c:v>
                </c:pt>
                <c:pt idx="154">
                  <c:v>0.17860000000000001</c:v>
                </c:pt>
                <c:pt idx="155">
                  <c:v>0.19395000000000001</c:v>
                </c:pt>
                <c:pt idx="156">
                  <c:v>0.18776000000000001</c:v>
                </c:pt>
                <c:pt idx="157">
                  <c:v>0.19717000000000001</c:v>
                </c:pt>
                <c:pt idx="158">
                  <c:v>0.18873999999999999</c:v>
                </c:pt>
                <c:pt idx="159">
                  <c:v>0.18769</c:v>
                </c:pt>
                <c:pt idx="160">
                  <c:v>0.19109000000000001</c:v>
                </c:pt>
                <c:pt idx="161">
                  <c:v>0.19134999999999999</c:v>
                </c:pt>
                <c:pt idx="162">
                  <c:v>0.17555000000000001</c:v>
                </c:pt>
                <c:pt idx="163">
                  <c:v>0.17229</c:v>
                </c:pt>
                <c:pt idx="164">
                  <c:v>0.18825</c:v>
                </c:pt>
                <c:pt idx="165">
                  <c:v>0.19633</c:v>
                </c:pt>
                <c:pt idx="166">
                  <c:v>0.19852</c:v>
                </c:pt>
                <c:pt idx="167">
                  <c:v>0.19767000000000001</c:v>
                </c:pt>
                <c:pt idx="168">
                  <c:v>0.17305000000000001</c:v>
                </c:pt>
                <c:pt idx="169">
                  <c:v>0.16844000000000001</c:v>
                </c:pt>
                <c:pt idx="170">
                  <c:v>0.16683000000000001</c:v>
                </c:pt>
                <c:pt idx="171">
                  <c:v>0.16717000000000001</c:v>
                </c:pt>
                <c:pt idx="172">
                  <c:v>0.15809000000000001</c:v>
                </c:pt>
                <c:pt idx="173">
                  <c:v>0.16792000000000001</c:v>
                </c:pt>
                <c:pt idx="174">
                  <c:v>0.16702</c:v>
                </c:pt>
                <c:pt idx="175">
                  <c:v>0.14702000000000001</c:v>
                </c:pt>
                <c:pt idx="176">
                  <c:v>0.14244000000000001</c:v>
                </c:pt>
                <c:pt idx="177">
                  <c:v>0.13678999999999999</c:v>
                </c:pt>
                <c:pt idx="178">
                  <c:v>0.14174999999999999</c:v>
                </c:pt>
                <c:pt idx="179">
                  <c:v>0.14248</c:v>
                </c:pt>
                <c:pt idx="180">
                  <c:v>0.14715</c:v>
                </c:pt>
                <c:pt idx="181">
                  <c:v>0.14543</c:v>
                </c:pt>
                <c:pt idx="182">
                  <c:v>0.14077000000000001</c:v>
                </c:pt>
                <c:pt idx="183">
                  <c:v>0.13722000000000001</c:v>
                </c:pt>
                <c:pt idx="184">
                  <c:v>0.13747000000000001</c:v>
                </c:pt>
                <c:pt idx="185">
                  <c:v>0.13211000000000001</c:v>
                </c:pt>
                <c:pt idx="186">
                  <c:v>0.12604000000000001</c:v>
                </c:pt>
                <c:pt idx="187">
                  <c:v>0.12759999999999999</c:v>
                </c:pt>
                <c:pt idx="188">
                  <c:v>0.11812</c:v>
                </c:pt>
                <c:pt idx="189">
                  <c:v>0.1157</c:v>
                </c:pt>
                <c:pt idx="190">
                  <c:v>0.11286</c:v>
                </c:pt>
                <c:pt idx="191">
                  <c:v>0.10328</c:v>
                </c:pt>
                <c:pt idx="192">
                  <c:v>0.11089</c:v>
                </c:pt>
                <c:pt idx="193">
                  <c:v>0.11629</c:v>
                </c:pt>
                <c:pt idx="194">
                  <c:v>0.11609</c:v>
                </c:pt>
                <c:pt idx="195">
                  <c:v>0.11801</c:v>
                </c:pt>
                <c:pt idx="196">
                  <c:v>0.11355</c:v>
                </c:pt>
                <c:pt idx="197">
                  <c:v>0.11594</c:v>
                </c:pt>
                <c:pt idx="198">
                  <c:v>0.11672</c:v>
                </c:pt>
                <c:pt idx="199">
                  <c:v>0.12130000000000001</c:v>
                </c:pt>
                <c:pt idx="200">
                  <c:v>0.12620999999999999</c:v>
                </c:pt>
                <c:pt idx="201">
                  <c:v>0.12356</c:v>
                </c:pt>
                <c:pt idx="202">
                  <c:v>0.1258</c:v>
                </c:pt>
                <c:pt idx="203">
                  <c:v>0.12514</c:v>
                </c:pt>
                <c:pt idx="204">
                  <c:v>0.13131000000000001</c:v>
                </c:pt>
                <c:pt idx="205">
                  <c:v>0.13012000000000001</c:v>
                </c:pt>
                <c:pt idx="206">
                  <c:v>0.13023999999999999</c:v>
                </c:pt>
                <c:pt idx="207">
                  <c:v>0.13425999999999999</c:v>
                </c:pt>
                <c:pt idx="208">
                  <c:v>0.13008</c:v>
                </c:pt>
                <c:pt idx="209">
                  <c:v>0.1285</c:v>
                </c:pt>
                <c:pt idx="210">
                  <c:v>0.13078000000000001</c:v>
                </c:pt>
                <c:pt idx="211">
                  <c:v>0.13422000000000001</c:v>
                </c:pt>
                <c:pt idx="212">
                  <c:v>0.13466</c:v>
                </c:pt>
                <c:pt idx="213">
                  <c:v>0.13058</c:v>
                </c:pt>
                <c:pt idx="214">
                  <c:v>0.13214999999999999</c:v>
                </c:pt>
                <c:pt idx="215">
                  <c:v>0.14346</c:v>
                </c:pt>
                <c:pt idx="216">
                  <c:v>0.11321000000000001</c:v>
                </c:pt>
                <c:pt idx="217">
                  <c:v>0.12515999999999999</c:v>
                </c:pt>
                <c:pt idx="218">
                  <c:v>0.12681000000000001</c:v>
                </c:pt>
                <c:pt idx="219">
                  <c:v>0.12720999999999999</c:v>
                </c:pt>
                <c:pt idx="220">
                  <c:v>0.14795</c:v>
                </c:pt>
                <c:pt idx="221">
                  <c:v>0.14208000000000001</c:v>
                </c:pt>
                <c:pt idx="222">
                  <c:v>0.12486999999999999</c:v>
                </c:pt>
                <c:pt idx="223">
                  <c:v>0.12684999999999999</c:v>
                </c:pt>
                <c:pt idx="224">
                  <c:v>0.13467000000000001</c:v>
                </c:pt>
                <c:pt idx="225">
                  <c:v>0.13439999999999999</c:v>
                </c:pt>
                <c:pt idx="226">
                  <c:v>0.15418000000000001</c:v>
                </c:pt>
                <c:pt idx="227">
                  <c:v>0.15082999999999999</c:v>
                </c:pt>
                <c:pt idx="228">
                  <c:v>0.14748</c:v>
                </c:pt>
                <c:pt idx="229">
                  <c:v>0.14235999999999999</c:v>
                </c:pt>
                <c:pt idx="230">
                  <c:v>0.14793000000000001</c:v>
                </c:pt>
                <c:pt idx="231">
                  <c:v>0.15498000000000001</c:v>
                </c:pt>
                <c:pt idx="232">
                  <c:v>0.16783000000000001</c:v>
                </c:pt>
                <c:pt idx="233">
                  <c:v>0.15773999999999999</c:v>
                </c:pt>
                <c:pt idx="234">
                  <c:v>0.16266</c:v>
                </c:pt>
                <c:pt idx="235">
                  <c:v>0.17795</c:v>
                </c:pt>
                <c:pt idx="236">
                  <c:v>0.17249999999999999</c:v>
                </c:pt>
                <c:pt idx="237">
                  <c:v>0.18404999999999999</c:v>
                </c:pt>
                <c:pt idx="238">
                  <c:v>0.1963</c:v>
                </c:pt>
                <c:pt idx="239">
                  <c:v>0.19481000000000001</c:v>
                </c:pt>
                <c:pt idx="240">
                  <c:v>0.18365000000000001</c:v>
                </c:pt>
                <c:pt idx="241">
                  <c:v>0.18912999999999999</c:v>
                </c:pt>
                <c:pt idx="242">
                  <c:v>0.18021999999999999</c:v>
                </c:pt>
                <c:pt idx="243">
                  <c:v>0.17007</c:v>
                </c:pt>
                <c:pt idx="244">
                  <c:v>0.17907999999999999</c:v>
                </c:pt>
                <c:pt idx="245">
                  <c:v>0.20161000000000001</c:v>
                </c:pt>
                <c:pt idx="246">
                  <c:v>0.21737000000000001</c:v>
                </c:pt>
                <c:pt idx="247">
                  <c:v>0.18071000000000001</c:v>
                </c:pt>
                <c:pt idx="248">
                  <c:v>0.19195000000000001</c:v>
                </c:pt>
                <c:pt idx="249">
                  <c:v>0.16231999999999999</c:v>
                </c:pt>
                <c:pt idx="250">
                  <c:v>0.19758000000000001</c:v>
                </c:pt>
                <c:pt idx="251">
                  <c:v>0.19905999999999999</c:v>
                </c:pt>
                <c:pt idx="252">
                  <c:v>0.23169000000000001</c:v>
                </c:pt>
                <c:pt idx="253">
                  <c:v>0.17843999999999999</c:v>
                </c:pt>
                <c:pt idx="254">
                  <c:v>0.2591</c:v>
                </c:pt>
                <c:pt idx="255">
                  <c:v>0.24135999999999999</c:v>
                </c:pt>
                <c:pt idx="256">
                  <c:v>0.26595999999999997</c:v>
                </c:pt>
                <c:pt idx="257">
                  <c:v>0.26086999999999999</c:v>
                </c:pt>
                <c:pt idx="258">
                  <c:v>0.29065999999999997</c:v>
                </c:pt>
                <c:pt idx="259">
                  <c:v>0.26273999999999997</c:v>
                </c:pt>
                <c:pt idx="260">
                  <c:v>0.25967000000000001</c:v>
                </c:pt>
                <c:pt idx="261">
                  <c:v>0.30031999999999998</c:v>
                </c:pt>
                <c:pt idx="262">
                  <c:v>0.28936000000000001</c:v>
                </c:pt>
                <c:pt idx="263">
                  <c:v>0.31713999999999998</c:v>
                </c:pt>
                <c:pt idx="264">
                  <c:v>0.32599</c:v>
                </c:pt>
                <c:pt idx="265">
                  <c:v>0.31339</c:v>
                </c:pt>
                <c:pt idx="266">
                  <c:v>0.30578</c:v>
                </c:pt>
                <c:pt idx="267">
                  <c:v>0.31235000000000002</c:v>
                </c:pt>
                <c:pt idx="268">
                  <c:v>0.30099999999999999</c:v>
                </c:pt>
                <c:pt idx="269">
                  <c:v>0.32784000000000002</c:v>
                </c:pt>
                <c:pt idx="270">
                  <c:v>0.33789999999999998</c:v>
                </c:pt>
                <c:pt idx="271">
                  <c:v>0.35024</c:v>
                </c:pt>
                <c:pt idx="272">
                  <c:v>0.32940000000000003</c:v>
                </c:pt>
                <c:pt idx="273">
                  <c:v>0.29719000000000001</c:v>
                </c:pt>
                <c:pt idx="274">
                  <c:v>0.29043999999999998</c:v>
                </c:pt>
                <c:pt idx="275">
                  <c:v>0.29937999999999998</c:v>
                </c:pt>
                <c:pt idx="276">
                  <c:v>0.29004000000000002</c:v>
                </c:pt>
                <c:pt idx="277">
                  <c:v>0.25986999999999999</c:v>
                </c:pt>
                <c:pt idx="278">
                  <c:v>0.25095000000000001</c:v>
                </c:pt>
                <c:pt idx="279">
                  <c:v>0.27501999999999999</c:v>
                </c:pt>
                <c:pt idx="280">
                  <c:v>0.28172000000000003</c:v>
                </c:pt>
                <c:pt idx="281">
                  <c:v>0.31002999999999997</c:v>
                </c:pt>
                <c:pt idx="282">
                  <c:v>0.34317999999999999</c:v>
                </c:pt>
                <c:pt idx="283">
                  <c:v>0.36839</c:v>
                </c:pt>
                <c:pt idx="284">
                  <c:v>0.30554999999999999</c:v>
                </c:pt>
                <c:pt idx="285">
                  <c:v>0.35660999999999998</c:v>
                </c:pt>
                <c:pt idx="286">
                  <c:v>0.33143</c:v>
                </c:pt>
                <c:pt idx="287">
                  <c:v>0.32785999999999998</c:v>
                </c:pt>
                <c:pt idx="288">
                  <c:v>0.30431999999999998</c:v>
                </c:pt>
                <c:pt idx="289">
                  <c:v>0.30280000000000001</c:v>
                </c:pt>
                <c:pt idx="290">
                  <c:v>0.30397000000000002</c:v>
                </c:pt>
                <c:pt idx="291">
                  <c:v>0.29923</c:v>
                </c:pt>
                <c:pt idx="292">
                  <c:v>0.29474</c:v>
                </c:pt>
                <c:pt idx="293">
                  <c:v>0.29291</c:v>
                </c:pt>
                <c:pt idx="294">
                  <c:v>0.3014</c:v>
                </c:pt>
                <c:pt idx="295">
                  <c:v>0.28454000000000002</c:v>
                </c:pt>
                <c:pt idx="296">
                  <c:v>0.31084000000000001</c:v>
                </c:pt>
                <c:pt idx="297">
                  <c:v>0.31455</c:v>
                </c:pt>
                <c:pt idx="298">
                  <c:v>0.31080999999999998</c:v>
                </c:pt>
                <c:pt idx="299">
                  <c:v>0.29613</c:v>
                </c:pt>
                <c:pt idx="300">
                  <c:v>0.32267000000000001</c:v>
                </c:pt>
                <c:pt idx="301">
                  <c:v>0.28921000000000002</c:v>
                </c:pt>
                <c:pt idx="302">
                  <c:v>0.29204000000000002</c:v>
                </c:pt>
                <c:pt idx="303">
                  <c:v>0.30309000000000003</c:v>
                </c:pt>
                <c:pt idx="304">
                  <c:v>0.30778</c:v>
                </c:pt>
                <c:pt idx="305">
                  <c:v>0.29541000000000001</c:v>
                </c:pt>
                <c:pt idx="306">
                  <c:v>0.27914</c:v>
                </c:pt>
                <c:pt idx="307">
                  <c:v>0.28760000000000002</c:v>
                </c:pt>
                <c:pt idx="308">
                  <c:v>0.27746999999999999</c:v>
                </c:pt>
                <c:pt idx="309">
                  <c:v>0.307</c:v>
                </c:pt>
                <c:pt idx="310">
                  <c:v>0.32715</c:v>
                </c:pt>
                <c:pt idx="311">
                  <c:v>0.32391999999999999</c:v>
                </c:pt>
                <c:pt idx="312">
                  <c:v>0.35127000000000003</c:v>
                </c:pt>
                <c:pt idx="313">
                  <c:v>0.32654</c:v>
                </c:pt>
                <c:pt idx="314">
                  <c:v>0.34233999999999998</c:v>
                </c:pt>
                <c:pt idx="315">
                  <c:v>0.32340999999999998</c:v>
                </c:pt>
                <c:pt idx="316">
                  <c:v>0.30298000000000003</c:v>
                </c:pt>
                <c:pt idx="317">
                  <c:v>0.27483999999999997</c:v>
                </c:pt>
                <c:pt idx="318">
                  <c:v>0.28000999999999998</c:v>
                </c:pt>
                <c:pt idx="319">
                  <c:v>0.29343999999999998</c:v>
                </c:pt>
                <c:pt idx="320">
                  <c:v>0.29388999999999998</c:v>
                </c:pt>
                <c:pt idx="321">
                  <c:v>0.26089000000000001</c:v>
                </c:pt>
                <c:pt idx="322">
                  <c:v>0.26351999999999998</c:v>
                </c:pt>
                <c:pt idx="323">
                  <c:v>0.27315</c:v>
                </c:pt>
                <c:pt idx="324">
                  <c:v>0.28954999999999997</c:v>
                </c:pt>
                <c:pt idx="325">
                  <c:v>0.26973999999999998</c:v>
                </c:pt>
                <c:pt idx="326">
                  <c:v>0.26239000000000001</c:v>
                </c:pt>
                <c:pt idx="327">
                  <c:v>0.26196000000000003</c:v>
                </c:pt>
                <c:pt idx="328">
                  <c:v>0.25834000000000001</c:v>
                </c:pt>
                <c:pt idx="329">
                  <c:v>0.27427000000000001</c:v>
                </c:pt>
                <c:pt idx="330">
                  <c:v>0.2601</c:v>
                </c:pt>
                <c:pt idx="331">
                  <c:v>0.24648999999999999</c:v>
                </c:pt>
                <c:pt idx="332">
                  <c:v>0.25172</c:v>
                </c:pt>
                <c:pt idx="333">
                  <c:v>0.23863000000000001</c:v>
                </c:pt>
                <c:pt idx="334">
                  <c:v>0.24554999999999999</c:v>
                </c:pt>
                <c:pt idx="335">
                  <c:v>0.23591000000000001</c:v>
                </c:pt>
                <c:pt idx="336">
                  <c:v>0.24956999999999999</c:v>
                </c:pt>
                <c:pt idx="337">
                  <c:v>0.26432</c:v>
                </c:pt>
                <c:pt idx="338">
                  <c:v>0.24321000000000001</c:v>
                </c:pt>
                <c:pt idx="339">
                  <c:v>0.27567000000000003</c:v>
                </c:pt>
                <c:pt idx="340">
                  <c:v>0.31017</c:v>
                </c:pt>
                <c:pt idx="341">
                  <c:v>0.31115999999999999</c:v>
                </c:pt>
                <c:pt idx="342">
                  <c:v>0.32708999999999999</c:v>
                </c:pt>
                <c:pt idx="343">
                  <c:v>0.31058999999999998</c:v>
                </c:pt>
                <c:pt idx="344">
                  <c:v>0.31707999999999997</c:v>
                </c:pt>
                <c:pt idx="345">
                  <c:v>0.33390999999999998</c:v>
                </c:pt>
                <c:pt idx="346">
                  <c:v>0.31608999999999998</c:v>
                </c:pt>
                <c:pt idx="347">
                  <c:v>0.31473000000000001</c:v>
                </c:pt>
                <c:pt idx="348">
                  <c:v>0.34551999999999999</c:v>
                </c:pt>
                <c:pt idx="349">
                  <c:v>0.2999</c:v>
                </c:pt>
                <c:pt idx="350">
                  <c:v>0.21254999999999999</c:v>
                </c:pt>
                <c:pt idx="351">
                  <c:v>0.19061</c:v>
                </c:pt>
                <c:pt idx="352">
                  <c:v>0.19291</c:v>
                </c:pt>
                <c:pt idx="353">
                  <c:v>0.19101000000000001</c:v>
                </c:pt>
                <c:pt idx="354">
                  <c:v>0.18747</c:v>
                </c:pt>
                <c:pt idx="355">
                  <c:v>0.20265</c:v>
                </c:pt>
                <c:pt idx="356">
                  <c:v>0.16053999999999999</c:v>
                </c:pt>
                <c:pt idx="357">
                  <c:v>0.13047</c:v>
                </c:pt>
                <c:pt idx="358">
                  <c:v>0.13281000000000001</c:v>
                </c:pt>
                <c:pt idx="359">
                  <c:v>0.12966</c:v>
                </c:pt>
                <c:pt idx="360">
                  <c:v>0.12661</c:v>
                </c:pt>
                <c:pt idx="361">
                  <c:v>0.12526000000000001</c:v>
                </c:pt>
                <c:pt idx="362">
                  <c:v>0.12554999999999999</c:v>
                </c:pt>
                <c:pt idx="363">
                  <c:v>0.12393999999999999</c:v>
                </c:pt>
                <c:pt idx="364">
                  <c:v>0.11308</c:v>
                </c:pt>
                <c:pt idx="365">
                  <c:v>0.10478999999999999</c:v>
                </c:pt>
                <c:pt idx="366">
                  <c:v>0.11484</c:v>
                </c:pt>
                <c:pt idx="367">
                  <c:v>0.11372</c:v>
                </c:pt>
                <c:pt idx="368">
                  <c:v>0.11600000000000001</c:v>
                </c:pt>
                <c:pt idx="369">
                  <c:v>0.11415</c:v>
                </c:pt>
                <c:pt idx="370">
                  <c:v>0.11389000000000001</c:v>
                </c:pt>
                <c:pt idx="371">
                  <c:v>0.10255</c:v>
                </c:pt>
                <c:pt idx="372">
                  <c:v>0.11575000000000001</c:v>
                </c:pt>
                <c:pt idx="373">
                  <c:v>0.11975</c:v>
                </c:pt>
                <c:pt idx="374">
                  <c:v>0.12393999999999999</c:v>
                </c:pt>
                <c:pt idx="375">
                  <c:v>0.12003999999999999</c:v>
                </c:pt>
                <c:pt idx="376">
                  <c:v>0.12191</c:v>
                </c:pt>
                <c:pt idx="377">
                  <c:v>0.11635</c:v>
                </c:pt>
                <c:pt idx="378">
                  <c:v>0.12628</c:v>
                </c:pt>
                <c:pt idx="379">
                  <c:v>0.12744</c:v>
                </c:pt>
                <c:pt idx="380">
                  <c:v>0.13106999999999999</c:v>
                </c:pt>
                <c:pt idx="381">
                  <c:v>0.10857</c:v>
                </c:pt>
                <c:pt idx="382">
                  <c:v>0.11834</c:v>
                </c:pt>
                <c:pt idx="383">
                  <c:v>0.11947000000000001</c:v>
                </c:pt>
                <c:pt idx="384">
                  <c:v>0.13617000000000001</c:v>
                </c:pt>
                <c:pt idx="385">
                  <c:v>0.18431</c:v>
                </c:pt>
                <c:pt idx="386">
                  <c:v>5.6219999999999999E-2</c:v>
                </c:pt>
                <c:pt idx="387">
                  <c:v>4.8899999999999999E-2</c:v>
                </c:pt>
                <c:pt idx="388">
                  <c:v>4.5440000000000001E-2</c:v>
                </c:pt>
                <c:pt idx="389">
                  <c:v>4.6149999999999997E-2</c:v>
                </c:pt>
                <c:pt idx="390">
                  <c:v>4.7440000000000003E-2</c:v>
                </c:pt>
                <c:pt idx="391">
                  <c:v>4.6330000000000003E-2</c:v>
                </c:pt>
                <c:pt idx="392">
                  <c:v>4.514E-2</c:v>
                </c:pt>
                <c:pt idx="393">
                  <c:v>4.6289999999999998E-2</c:v>
                </c:pt>
                <c:pt idx="394">
                  <c:v>4.802E-2</c:v>
                </c:pt>
                <c:pt idx="395">
                  <c:v>4.8320000000000002E-2</c:v>
                </c:pt>
                <c:pt idx="396">
                  <c:v>4.9799999999999997E-2</c:v>
                </c:pt>
                <c:pt idx="397">
                  <c:v>4.9270000000000001E-2</c:v>
                </c:pt>
                <c:pt idx="398">
                  <c:v>4.7579999999999997E-2</c:v>
                </c:pt>
                <c:pt idx="399">
                  <c:v>4.9950000000000001E-2</c:v>
                </c:pt>
                <c:pt idx="400">
                  <c:v>5.3999999999999999E-2</c:v>
                </c:pt>
                <c:pt idx="401">
                  <c:v>4.41E-2</c:v>
                </c:pt>
                <c:pt idx="402">
                  <c:v>4.5539999999999997E-2</c:v>
                </c:pt>
                <c:pt idx="403">
                  <c:v>4.6109999999999998E-2</c:v>
                </c:pt>
                <c:pt idx="404">
                  <c:v>4.8210000000000003E-2</c:v>
                </c:pt>
                <c:pt idx="405">
                  <c:v>4.938E-2</c:v>
                </c:pt>
                <c:pt idx="406">
                  <c:v>4.8779999999999997E-2</c:v>
                </c:pt>
                <c:pt idx="407">
                  <c:v>5.0180000000000002E-2</c:v>
                </c:pt>
                <c:pt idx="408">
                  <c:v>4.8579999999999998E-2</c:v>
                </c:pt>
                <c:pt idx="409">
                  <c:v>5.0709999999999998E-2</c:v>
                </c:pt>
                <c:pt idx="410">
                  <c:v>5.1580000000000001E-2</c:v>
                </c:pt>
                <c:pt idx="411">
                  <c:v>5.1360000000000003E-2</c:v>
                </c:pt>
                <c:pt idx="412">
                  <c:v>4.9660000000000003E-2</c:v>
                </c:pt>
                <c:pt idx="413">
                  <c:v>4.9099999999999998E-2</c:v>
                </c:pt>
                <c:pt idx="414">
                  <c:v>5.0999999999999997E-2</c:v>
                </c:pt>
                <c:pt idx="415">
                  <c:v>5.1299999999999998E-2</c:v>
                </c:pt>
                <c:pt idx="416">
                  <c:v>5.4800000000000001E-2</c:v>
                </c:pt>
                <c:pt idx="417">
                  <c:v>5.74E-2</c:v>
                </c:pt>
                <c:pt idx="418">
                  <c:v>6.1370000000000001E-2</c:v>
                </c:pt>
                <c:pt idx="419">
                  <c:v>4.9950000000000001E-2</c:v>
                </c:pt>
                <c:pt idx="420">
                  <c:v>5.4280000000000002E-2</c:v>
                </c:pt>
                <c:pt idx="421">
                  <c:v>5.6899999999999999E-2</c:v>
                </c:pt>
                <c:pt idx="422">
                  <c:v>4.9959999999999997E-2</c:v>
                </c:pt>
                <c:pt idx="423">
                  <c:v>5.0799999999999998E-2</c:v>
                </c:pt>
                <c:pt idx="424">
                  <c:v>4.947E-2</c:v>
                </c:pt>
                <c:pt idx="425">
                  <c:v>5.0650000000000001E-2</c:v>
                </c:pt>
                <c:pt idx="426">
                  <c:v>4.9549999999999997E-2</c:v>
                </c:pt>
                <c:pt idx="427">
                  <c:v>5.074E-2</c:v>
                </c:pt>
                <c:pt idx="428">
                  <c:v>6.0490000000000002E-2</c:v>
                </c:pt>
                <c:pt idx="429">
                  <c:v>4.58E-2</c:v>
                </c:pt>
                <c:pt idx="430">
                  <c:v>4.666E-2</c:v>
                </c:pt>
                <c:pt idx="431">
                  <c:v>4.3900000000000002E-2</c:v>
                </c:pt>
                <c:pt idx="432">
                  <c:v>4.6280000000000002E-2</c:v>
                </c:pt>
                <c:pt idx="433">
                  <c:v>4.8120000000000003E-2</c:v>
                </c:pt>
                <c:pt idx="434">
                  <c:v>4.9950000000000001E-2</c:v>
                </c:pt>
                <c:pt idx="435">
                  <c:v>5.16E-2</c:v>
                </c:pt>
                <c:pt idx="436">
                  <c:v>5.355E-2</c:v>
                </c:pt>
                <c:pt idx="437">
                  <c:v>5.3699999999999998E-2</c:v>
                </c:pt>
                <c:pt idx="438">
                  <c:v>5.9200000000000003E-2</c:v>
                </c:pt>
                <c:pt idx="439">
                  <c:v>6.0740000000000002E-2</c:v>
                </c:pt>
                <c:pt idx="440">
                  <c:v>6.0569999999999999E-2</c:v>
                </c:pt>
                <c:pt idx="441">
                  <c:v>6.2059999999999997E-2</c:v>
                </c:pt>
                <c:pt idx="442">
                  <c:v>5.1670000000000001E-2</c:v>
                </c:pt>
                <c:pt idx="443">
                  <c:v>6.0600000000000001E-2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DE-49AE-993B-7584DB96255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-32.335410873557926</c:v>
                </c:pt>
                <c:pt idx="1">
                  <c:v>-32.332655906634848</c:v>
                </c:pt>
                <c:pt idx="2">
                  <c:v>-32.292015551180306</c:v>
                </c:pt>
                <c:pt idx="3">
                  <c:v>-32.257915728854719</c:v>
                </c:pt>
                <c:pt idx="4">
                  <c:v>-32.360398570354725</c:v>
                </c:pt>
                <c:pt idx="5">
                  <c:v>-32.275225748132499</c:v>
                </c:pt>
                <c:pt idx="6">
                  <c:v>-32.219225222012504</c:v>
                </c:pt>
                <c:pt idx="7">
                  <c:v>-32.101753430291112</c:v>
                </c:pt>
                <c:pt idx="8">
                  <c:v>-31.956712508291112</c:v>
                </c:pt>
                <c:pt idx="9">
                  <c:v>-31.921969363745657</c:v>
                </c:pt>
                <c:pt idx="10">
                  <c:v>-31.916063441550538</c:v>
                </c:pt>
                <c:pt idx="11">
                  <c:v>-31.872032761550539</c:v>
                </c:pt>
                <c:pt idx="12">
                  <c:v>-31.86583967882326</c:v>
                </c:pt>
                <c:pt idx="13">
                  <c:v>-31.85418645320923</c:v>
                </c:pt>
                <c:pt idx="14">
                  <c:v>-31.836878557443463</c:v>
                </c:pt>
                <c:pt idx="15">
                  <c:v>-31.775548344110128</c:v>
                </c:pt>
                <c:pt idx="16">
                  <c:v>-31.794170772020575</c:v>
                </c:pt>
                <c:pt idx="17">
                  <c:v>-31.802801525445233</c:v>
                </c:pt>
                <c:pt idx="18">
                  <c:v>-31.808760705635709</c:v>
                </c:pt>
                <c:pt idx="19">
                  <c:v>-31.809441845805203</c:v>
                </c:pt>
                <c:pt idx="20">
                  <c:v>-31.797737521948058</c:v>
                </c:pt>
                <c:pt idx="21">
                  <c:v>-31.736197515050623</c:v>
                </c:pt>
                <c:pt idx="22">
                  <c:v>-31.751271519756504</c:v>
                </c:pt>
                <c:pt idx="23">
                  <c:v>-31.696191908756504</c:v>
                </c:pt>
                <c:pt idx="24">
                  <c:v>-31.618088957423172</c:v>
                </c:pt>
                <c:pt idx="25">
                  <c:v>-31.552707696082965</c:v>
                </c:pt>
                <c:pt idx="26">
                  <c:v>-31.523959736925068</c:v>
                </c:pt>
                <c:pt idx="27">
                  <c:v>-31.547716289888029</c:v>
                </c:pt>
                <c:pt idx="28">
                  <c:v>-31.479453556888028</c:v>
                </c:pt>
                <c:pt idx="29">
                  <c:v>-31.474916260580336</c:v>
                </c:pt>
                <c:pt idx="30">
                  <c:v>-31.388755741454119</c:v>
                </c:pt>
                <c:pt idx="31">
                  <c:v>-31.248579846186942</c:v>
                </c:pt>
                <c:pt idx="32">
                  <c:v>-31.071433664853611</c:v>
                </c:pt>
                <c:pt idx="33">
                  <c:v>-31.108870324853612</c:v>
                </c:pt>
                <c:pt idx="34">
                  <c:v>-31.118278819853611</c:v>
                </c:pt>
                <c:pt idx="35">
                  <c:v>-31.069642092660626</c:v>
                </c:pt>
                <c:pt idx="36">
                  <c:v>-31.125619933937227</c:v>
                </c:pt>
                <c:pt idx="37">
                  <c:v>-31.119828478482678</c:v>
                </c:pt>
                <c:pt idx="38">
                  <c:v>-31.168079307514937</c:v>
                </c:pt>
                <c:pt idx="39">
                  <c:v>-31.171342567432294</c:v>
                </c:pt>
                <c:pt idx="40">
                  <c:v>-31.103134382802661</c:v>
                </c:pt>
                <c:pt idx="41">
                  <c:v>-31.125650958384057</c:v>
                </c:pt>
                <c:pt idx="42">
                  <c:v>-31.099770932521988</c:v>
                </c:pt>
                <c:pt idx="43">
                  <c:v>-31.032522690646989</c:v>
                </c:pt>
                <c:pt idx="44">
                  <c:v>-31.134488755896989</c:v>
                </c:pt>
                <c:pt idx="45">
                  <c:v>-31.174253085526619</c:v>
                </c:pt>
                <c:pt idx="46">
                  <c:v>-31.090479218443285</c:v>
                </c:pt>
                <c:pt idx="47">
                  <c:v>-31.118140922326781</c:v>
                </c:pt>
                <c:pt idx="48">
                  <c:v>-31.121318094549004</c:v>
                </c:pt>
                <c:pt idx="49">
                  <c:v>-30.674863058633509</c:v>
                </c:pt>
                <c:pt idx="50">
                  <c:v>-30.119351851594406</c:v>
                </c:pt>
                <c:pt idx="51">
                  <c:v>-30.219765674451548</c:v>
                </c:pt>
                <c:pt idx="52">
                  <c:v>-30.123059860041607</c:v>
                </c:pt>
                <c:pt idx="53">
                  <c:v>-30.32111982467319</c:v>
                </c:pt>
                <c:pt idx="54">
                  <c:v>-30.185342307912627</c:v>
                </c:pt>
                <c:pt idx="55">
                  <c:v>-30.128655831509267</c:v>
                </c:pt>
                <c:pt idx="56">
                  <c:v>-29.30285424620314</c:v>
                </c:pt>
                <c:pt idx="57">
                  <c:v>-29.340904180165406</c:v>
                </c:pt>
                <c:pt idx="58">
                  <c:v>-29.305283519137365</c:v>
                </c:pt>
                <c:pt idx="59">
                  <c:v>-29.166420707272962</c:v>
                </c:pt>
                <c:pt idx="60">
                  <c:v>-29.102928012987249</c:v>
                </c:pt>
                <c:pt idx="61">
                  <c:v>-29.183781549283548</c:v>
                </c:pt>
                <c:pt idx="62">
                  <c:v>-29.046976827090003</c:v>
                </c:pt>
                <c:pt idx="63">
                  <c:v>-28.613110228702901</c:v>
                </c:pt>
                <c:pt idx="64">
                  <c:v>-29.118251131939413</c:v>
                </c:pt>
                <c:pt idx="65">
                  <c:v>-29.111579447494968</c:v>
                </c:pt>
                <c:pt idx="66">
                  <c:v>-29.073945205828306</c:v>
                </c:pt>
                <c:pt idx="67">
                  <c:v>-28.987047197343454</c:v>
                </c:pt>
                <c:pt idx="68">
                  <c:v>-28.922897704893124</c:v>
                </c:pt>
                <c:pt idx="69">
                  <c:v>-29.143059766828603</c:v>
                </c:pt>
                <c:pt idx="70">
                  <c:v>-29.171462640431091</c:v>
                </c:pt>
                <c:pt idx="71">
                  <c:v>-29.103740202855334</c:v>
                </c:pt>
                <c:pt idx="72">
                  <c:v>-29.159086727855335</c:v>
                </c:pt>
                <c:pt idx="73">
                  <c:v>-29.046811616306037</c:v>
                </c:pt>
                <c:pt idx="74">
                  <c:v>-28.934720454965831</c:v>
                </c:pt>
                <c:pt idx="75">
                  <c:v>-28.970415446394398</c:v>
                </c:pt>
                <c:pt idx="76">
                  <c:v>-28.948814769787258</c:v>
                </c:pt>
                <c:pt idx="77">
                  <c:v>-28.900411941953926</c:v>
                </c:pt>
                <c:pt idx="78">
                  <c:v>-28.800639284228296</c:v>
                </c:pt>
                <c:pt idx="79">
                  <c:v>-28.283281169491453</c:v>
                </c:pt>
                <c:pt idx="80">
                  <c:v>-28.193972015116454</c:v>
                </c:pt>
                <c:pt idx="81">
                  <c:v>-28.301044804594714</c:v>
                </c:pt>
                <c:pt idx="82">
                  <c:v>-27.898722737794714</c:v>
                </c:pt>
                <c:pt idx="83">
                  <c:v>-28.222534083125453</c:v>
                </c:pt>
                <c:pt idx="84">
                  <c:v>-28.167593743125455</c:v>
                </c:pt>
                <c:pt idx="85">
                  <c:v>-27.949064467600341</c:v>
                </c:pt>
                <c:pt idx="86">
                  <c:v>-27.912068263618039</c:v>
                </c:pt>
                <c:pt idx="87">
                  <c:v>-27.826347333618038</c:v>
                </c:pt>
                <c:pt idx="88">
                  <c:v>-27.880481776951374</c:v>
                </c:pt>
                <c:pt idx="89">
                  <c:v>-27.85714374500693</c:v>
                </c:pt>
                <c:pt idx="90">
                  <c:v>-27.882345609137364</c:v>
                </c:pt>
                <c:pt idx="91">
                  <c:v>-27.931193065375897</c:v>
                </c:pt>
                <c:pt idx="92">
                  <c:v>-27.831206591281934</c:v>
                </c:pt>
                <c:pt idx="93">
                  <c:v>-27.569943761281934</c:v>
                </c:pt>
                <c:pt idx="94">
                  <c:v>-27.399152128124037</c:v>
                </c:pt>
                <c:pt idx="95">
                  <c:v>-27.393620284309605</c:v>
                </c:pt>
                <c:pt idx="96">
                  <c:v>-27.084070636334925</c:v>
                </c:pt>
                <c:pt idx="97">
                  <c:v>-27.043135453746689</c:v>
                </c:pt>
                <c:pt idx="98">
                  <c:v>-26.523177310814361</c:v>
                </c:pt>
                <c:pt idx="99">
                  <c:v>-24.85156752323936</c:v>
                </c:pt>
                <c:pt idx="100">
                  <c:v>-24.919140383239359</c:v>
                </c:pt>
                <c:pt idx="101">
                  <c:v>-24.946507495164823</c:v>
                </c:pt>
                <c:pt idx="102">
                  <c:v>-24.869775598443514</c:v>
                </c:pt>
                <c:pt idx="103">
                  <c:v>-24.487097123999071</c:v>
                </c:pt>
                <c:pt idx="104">
                  <c:v>-23.658408019928896</c:v>
                </c:pt>
                <c:pt idx="105">
                  <c:v>-22.894980622691484</c:v>
                </c:pt>
                <c:pt idx="106">
                  <c:v>-22.815754372014787</c:v>
                </c:pt>
                <c:pt idx="107">
                  <c:v>-22.876934885718491</c:v>
                </c:pt>
                <c:pt idx="108">
                  <c:v>-22.859135568697219</c:v>
                </c:pt>
                <c:pt idx="109">
                  <c:v>-22.781880969466449</c:v>
                </c:pt>
                <c:pt idx="110">
                  <c:v>-22.507542333644849</c:v>
                </c:pt>
                <c:pt idx="111">
                  <c:v>-21.02953312878504</c:v>
                </c:pt>
                <c:pt idx="112">
                  <c:v>-20.927039337429107</c:v>
                </c:pt>
                <c:pt idx="113">
                  <c:v>-20.933811967429108</c:v>
                </c:pt>
                <c:pt idx="114">
                  <c:v>-20.863462478017343</c:v>
                </c:pt>
                <c:pt idx="115">
                  <c:v>-20.815151708261247</c:v>
                </c:pt>
                <c:pt idx="116">
                  <c:v>-20.784479245374648</c:v>
                </c:pt>
                <c:pt idx="117">
                  <c:v>-20.706143823889931</c:v>
                </c:pt>
                <c:pt idx="118">
                  <c:v>-20.707756377318503</c:v>
                </c:pt>
                <c:pt idx="119">
                  <c:v>-20.778623811318507</c:v>
                </c:pt>
                <c:pt idx="120">
                  <c:v>-20.796525775236031</c:v>
                </c:pt>
                <c:pt idx="121">
                  <c:v>-20.753634016920241</c:v>
                </c:pt>
                <c:pt idx="122">
                  <c:v>-20.724371932352337</c:v>
                </c:pt>
                <c:pt idx="123">
                  <c:v>-20.629971619852338</c:v>
                </c:pt>
                <c:pt idx="124">
                  <c:v>-20.653038627311798</c:v>
                </c:pt>
                <c:pt idx="125">
                  <c:v>-20.602886246637642</c:v>
                </c:pt>
                <c:pt idx="126">
                  <c:v>-20.574954005709369</c:v>
                </c:pt>
                <c:pt idx="127">
                  <c:v>-20.730539406428324</c:v>
                </c:pt>
                <c:pt idx="128">
                  <c:v>-20.981219718458778</c:v>
                </c:pt>
                <c:pt idx="129">
                  <c:v>-20.941656604004233</c:v>
                </c:pt>
                <c:pt idx="130">
                  <c:v>-20.899700711977498</c:v>
                </c:pt>
                <c:pt idx="131">
                  <c:v>-20.824642712164412</c:v>
                </c:pt>
                <c:pt idx="132">
                  <c:v>-20.7245006501986</c:v>
                </c:pt>
                <c:pt idx="133">
                  <c:v>-20.677876042198601</c:v>
                </c:pt>
                <c:pt idx="134">
                  <c:v>-20.558450009164893</c:v>
                </c:pt>
                <c:pt idx="135">
                  <c:v>-20.633668357602392</c:v>
                </c:pt>
                <c:pt idx="136">
                  <c:v>-20.620584647137278</c:v>
                </c:pt>
                <c:pt idx="137">
                  <c:v>-20.61258142661595</c:v>
                </c:pt>
                <c:pt idx="138">
                  <c:v>-20.523896534357885</c:v>
                </c:pt>
                <c:pt idx="139">
                  <c:v>-20.520081008452376</c:v>
                </c:pt>
                <c:pt idx="140">
                  <c:v>-20.43065776886904</c:v>
                </c:pt>
                <c:pt idx="141">
                  <c:v>-20.446705210028462</c:v>
                </c:pt>
                <c:pt idx="142">
                  <c:v>-20.503257890204932</c:v>
                </c:pt>
                <c:pt idx="143">
                  <c:v>-20.428303353731501</c:v>
                </c:pt>
                <c:pt idx="144">
                  <c:v>-20.415757316095139</c:v>
                </c:pt>
                <c:pt idx="145">
                  <c:v>-20.193659849266947</c:v>
                </c:pt>
                <c:pt idx="146">
                  <c:v>-20.574934265087052</c:v>
                </c:pt>
                <c:pt idx="147">
                  <c:v>-20.605166254195964</c:v>
                </c:pt>
                <c:pt idx="148">
                  <c:v>-20.577511706087854</c:v>
                </c:pt>
                <c:pt idx="149">
                  <c:v>-20.615135077503783</c:v>
                </c:pt>
                <c:pt idx="150">
                  <c:v>-20.450653041140146</c:v>
                </c:pt>
                <c:pt idx="151">
                  <c:v>-19.829328361514374</c:v>
                </c:pt>
                <c:pt idx="152">
                  <c:v>-19.907873089569929</c:v>
                </c:pt>
                <c:pt idx="153">
                  <c:v>-19.881914988257432</c:v>
                </c:pt>
                <c:pt idx="154">
                  <c:v>-19.947420323639406</c:v>
                </c:pt>
                <c:pt idx="155">
                  <c:v>-19.904977703494982</c:v>
                </c:pt>
                <c:pt idx="156">
                  <c:v>-19.974466809115672</c:v>
                </c:pt>
                <c:pt idx="157">
                  <c:v>-19.919823350518676</c:v>
                </c:pt>
                <c:pt idx="158">
                  <c:v>-19.874818849031882</c:v>
                </c:pt>
                <c:pt idx="159">
                  <c:v>-19.875249537737762</c:v>
                </c:pt>
                <c:pt idx="160">
                  <c:v>-19.849319161016304</c:v>
                </c:pt>
                <c:pt idx="161">
                  <c:v>-19.792878474451779</c:v>
                </c:pt>
                <c:pt idx="162">
                  <c:v>-19.884669743061288</c:v>
                </c:pt>
                <c:pt idx="163">
                  <c:v>-19.89832719696523</c:v>
                </c:pt>
                <c:pt idx="164">
                  <c:v>-19.789183603202925</c:v>
                </c:pt>
                <c:pt idx="165">
                  <c:v>-19.649316630706764</c:v>
                </c:pt>
                <c:pt idx="166">
                  <c:v>-19.748472000900939</c:v>
                </c:pt>
                <c:pt idx="167">
                  <c:v>-19.613285023755768</c:v>
                </c:pt>
                <c:pt idx="168">
                  <c:v>-19.673093572683023</c:v>
                </c:pt>
                <c:pt idx="169">
                  <c:v>-19.590776276094633</c:v>
                </c:pt>
                <c:pt idx="170">
                  <c:v>-19.470575140202765</c:v>
                </c:pt>
                <c:pt idx="171">
                  <c:v>-19.445162451935282</c:v>
                </c:pt>
                <c:pt idx="172">
                  <c:v>-19.466408806836366</c:v>
                </c:pt>
                <c:pt idx="173">
                  <c:v>-19.403446668401315</c:v>
                </c:pt>
                <c:pt idx="174">
                  <c:v>-19.249761717827379</c:v>
                </c:pt>
                <c:pt idx="175">
                  <c:v>-19.121934692534705</c:v>
                </c:pt>
                <c:pt idx="176">
                  <c:v>-19.236978148889062</c:v>
                </c:pt>
                <c:pt idx="177">
                  <c:v>-19.243890350537416</c:v>
                </c:pt>
                <c:pt idx="178">
                  <c:v>-19.115077981415673</c:v>
                </c:pt>
                <c:pt idx="179">
                  <c:v>-19.09505310400797</c:v>
                </c:pt>
                <c:pt idx="180">
                  <c:v>-19.02460614259892</c:v>
                </c:pt>
                <c:pt idx="181">
                  <c:v>-18.569219099975303</c:v>
                </c:pt>
                <c:pt idx="182">
                  <c:v>-18.5896129089213</c:v>
                </c:pt>
                <c:pt idx="183">
                  <c:v>-18.640551508468221</c:v>
                </c:pt>
                <c:pt idx="184">
                  <c:v>-18.475308305468218</c:v>
                </c:pt>
                <c:pt idx="185">
                  <c:v>-17.91636552642564</c:v>
                </c:pt>
                <c:pt idx="186">
                  <c:v>-17.744481157542406</c:v>
                </c:pt>
                <c:pt idx="187">
                  <c:v>-17.806664280721531</c:v>
                </c:pt>
                <c:pt idx="188">
                  <c:v>-17.779137234476899</c:v>
                </c:pt>
                <c:pt idx="189">
                  <c:v>-17.794507455720574</c:v>
                </c:pt>
                <c:pt idx="190">
                  <c:v>-17.778024413194803</c:v>
                </c:pt>
                <c:pt idx="191">
                  <c:v>-17.778024413194803</c:v>
                </c:pt>
                <c:pt idx="192">
                  <c:v>-17.751409527556707</c:v>
                </c:pt>
                <c:pt idx="193">
                  <c:v>-17.730175694586425</c:v>
                </c:pt>
                <c:pt idx="194">
                  <c:v>-17.705939955645885</c:v>
                </c:pt>
                <c:pt idx="195">
                  <c:v>-17.294768737222142</c:v>
                </c:pt>
                <c:pt idx="196">
                  <c:v>-15.585005883211187</c:v>
                </c:pt>
                <c:pt idx="197">
                  <c:v>-15.553096250037179</c:v>
                </c:pt>
                <c:pt idx="198">
                  <c:v>-15.547265114215397</c:v>
                </c:pt>
                <c:pt idx="199">
                  <c:v>-15.520361639724118</c:v>
                </c:pt>
                <c:pt idx="200">
                  <c:v>-15.497297992951802</c:v>
                </c:pt>
                <c:pt idx="201">
                  <c:v>-15.493166703265915</c:v>
                </c:pt>
                <c:pt idx="202">
                  <c:v>-15.484156093919381</c:v>
                </c:pt>
                <c:pt idx="203">
                  <c:v>-15.539756142430171</c:v>
                </c:pt>
                <c:pt idx="204">
                  <c:v>-15.505288826740834</c:v>
                </c:pt>
                <c:pt idx="205">
                  <c:v>-15.485238812759073</c:v>
                </c:pt>
                <c:pt idx="206">
                  <c:v>-15.450226125776824</c:v>
                </c:pt>
                <c:pt idx="207">
                  <c:v>-15.438402970236284</c:v>
                </c:pt>
                <c:pt idx="208">
                  <c:v>-15.429609415224563</c:v>
                </c:pt>
                <c:pt idx="209">
                  <c:v>-15.367627071697173</c:v>
                </c:pt>
                <c:pt idx="210">
                  <c:v>-15.392269168595131</c:v>
                </c:pt>
                <c:pt idx="211">
                  <c:v>-15.393183443025039</c:v>
                </c:pt>
                <c:pt idx="212">
                  <c:v>-15.449060811070929</c:v>
                </c:pt>
                <c:pt idx="213">
                  <c:v>-15.406024964884043</c:v>
                </c:pt>
                <c:pt idx="214">
                  <c:v>-15.27297643601058</c:v>
                </c:pt>
                <c:pt idx="215">
                  <c:v>-15.218425094421175</c:v>
                </c:pt>
                <c:pt idx="216">
                  <c:v>-15.843053832672313</c:v>
                </c:pt>
                <c:pt idx="217">
                  <c:v>-15.702500268185135</c:v>
                </c:pt>
                <c:pt idx="218">
                  <c:v>-15.614850533750889</c:v>
                </c:pt>
                <c:pt idx="219">
                  <c:v>-15.482429091828338</c:v>
                </c:pt>
                <c:pt idx="220">
                  <c:v>-15.467138293414502</c:v>
                </c:pt>
                <c:pt idx="221">
                  <c:v>-12.370084254938797</c:v>
                </c:pt>
                <c:pt idx="222">
                  <c:v>-12.219384412351866</c:v>
                </c:pt>
                <c:pt idx="223">
                  <c:v>-12.172352073450172</c:v>
                </c:pt>
                <c:pt idx="224">
                  <c:v>-12.164343279851687</c:v>
                </c:pt>
                <c:pt idx="225">
                  <c:v>-12.172883606381284</c:v>
                </c:pt>
                <c:pt idx="226">
                  <c:v>-12.119398238484475</c:v>
                </c:pt>
                <c:pt idx="227">
                  <c:v>-12.169525084206875</c:v>
                </c:pt>
                <c:pt idx="228">
                  <c:v>-12.164192397802756</c:v>
                </c:pt>
                <c:pt idx="229">
                  <c:v>-12.181545563041373</c:v>
                </c:pt>
                <c:pt idx="230">
                  <c:v>-12.186182586041372</c:v>
                </c:pt>
                <c:pt idx="231">
                  <c:v>-12.150394654652848</c:v>
                </c:pt>
                <c:pt idx="232">
                  <c:v>-12.118033906775592</c:v>
                </c:pt>
                <c:pt idx="233">
                  <c:v>-12.166000259538292</c:v>
                </c:pt>
                <c:pt idx="234">
                  <c:v>-12.178287495528892</c:v>
                </c:pt>
                <c:pt idx="235">
                  <c:v>-12.125511467910075</c:v>
                </c:pt>
                <c:pt idx="236">
                  <c:v>-12.109933309283088</c:v>
                </c:pt>
                <c:pt idx="237">
                  <c:v>-12.086486986504601</c:v>
                </c:pt>
                <c:pt idx="238">
                  <c:v>-12.087129378888537</c:v>
                </c:pt>
                <c:pt idx="239">
                  <c:v>-12.077996981828743</c:v>
                </c:pt>
                <c:pt idx="240">
                  <c:v>-12.090442597911217</c:v>
                </c:pt>
                <c:pt idx="241">
                  <c:v>-12.09057270804661</c:v>
                </c:pt>
                <c:pt idx="242">
                  <c:v>-12.131088044375264</c:v>
                </c:pt>
                <c:pt idx="243">
                  <c:v>-12.240042262083302</c:v>
                </c:pt>
                <c:pt idx="244">
                  <c:v>-12.243437131715011</c:v>
                </c:pt>
                <c:pt idx="245">
                  <c:v>-12.214466511399291</c:v>
                </c:pt>
                <c:pt idx="246">
                  <c:v>-12.155398691793174</c:v>
                </c:pt>
                <c:pt idx="247">
                  <c:v>-12.277163296370533</c:v>
                </c:pt>
                <c:pt idx="248">
                  <c:v>-12.275987867158232</c:v>
                </c:pt>
                <c:pt idx="249">
                  <c:v>-12.355177768685413</c:v>
                </c:pt>
                <c:pt idx="250">
                  <c:v>-12.364464458215865</c:v>
                </c:pt>
                <c:pt idx="251">
                  <c:v>-12.408338845113226</c:v>
                </c:pt>
                <c:pt idx="252">
                  <c:v>-12.342237315081366</c:v>
                </c:pt>
                <c:pt idx="253">
                  <c:v>-12.409842171477058</c:v>
                </c:pt>
                <c:pt idx="254">
                  <c:v>-12.343151147777277</c:v>
                </c:pt>
                <c:pt idx="255">
                  <c:v>-12.288700057536587</c:v>
                </c:pt>
                <c:pt idx="256">
                  <c:v>-12.228084325784474</c:v>
                </c:pt>
                <c:pt idx="257">
                  <c:v>-12.171070086164423</c:v>
                </c:pt>
                <c:pt idx="258">
                  <c:v>-12.095397482998191</c:v>
                </c:pt>
                <c:pt idx="259">
                  <c:v>-12.136447127018513</c:v>
                </c:pt>
                <c:pt idx="260">
                  <c:v>-12.077249741763321</c:v>
                </c:pt>
                <c:pt idx="261">
                  <c:v>-11.945449586401983</c:v>
                </c:pt>
                <c:pt idx="262">
                  <c:v>-12.013549635896807</c:v>
                </c:pt>
                <c:pt idx="263">
                  <c:v>-11.922102217455505</c:v>
                </c:pt>
                <c:pt idx="264">
                  <c:v>-11.964996461314463</c:v>
                </c:pt>
                <c:pt idx="265">
                  <c:v>-11.757732164715691</c:v>
                </c:pt>
                <c:pt idx="266">
                  <c:v>-11.761684093298847</c:v>
                </c:pt>
                <c:pt idx="267">
                  <c:v>-11.601110236863304</c:v>
                </c:pt>
                <c:pt idx="268">
                  <c:v>-11.634838773681855</c:v>
                </c:pt>
                <c:pt idx="269">
                  <c:v>-11.574484831564749</c:v>
                </c:pt>
                <c:pt idx="270">
                  <c:v>-11.399322138028637</c:v>
                </c:pt>
                <c:pt idx="271">
                  <c:v>-11.438481649042705</c:v>
                </c:pt>
                <c:pt idx="272">
                  <c:v>-10.412752874548771</c:v>
                </c:pt>
                <c:pt idx="273">
                  <c:v>-10.566787592793002</c:v>
                </c:pt>
                <c:pt idx="274">
                  <c:v>-10.61286599109893</c:v>
                </c:pt>
                <c:pt idx="275">
                  <c:v>-10.565049052970924</c:v>
                </c:pt>
                <c:pt idx="276">
                  <c:v>-10.534560583627433</c:v>
                </c:pt>
                <c:pt idx="277">
                  <c:v>-10.626648991087565</c:v>
                </c:pt>
                <c:pt idx="278">
                  <c:v>-10.650100078581788</c:v>
                </c:pt>
                <c:pt idx="279">
                  <c:v>-10.462980197808486</c:v>
                </c:pt>
                <c:pt idx="280">
                  <c:v>-10.61517213016683</c:v>
                </c:pt>
                <c:pt idx="281">
                  <c:v>-10.526497760183357</c:v>
                </c:pt>
                <c:pt idx="282">
                  <c:v>-10.269897856877865</c:v>
                </c:pt>
                <c:pt idx="283">
                  <c:v>-10.271527833884869</c:v>
                </c:pt>
                <c:pt idx="284">
                  <c:v>-8.7424195462710372</c:v>
                </c:pt>
                <c:pt idx="285">
                  <c:v>-8.709410515195664</c:v>
                </c:pt>
                <c:pt idx="286">
                  <c:v>-8.7302754398343207</c:v>
                </c:pt>
                <c:pt idx="287">
                  <c:v>-8.9163359387580243</c:v>
                </c:pt>
                <c:pt idx="288">
                  <c:v>-8.9511983845505316</c:v>
                </c:pt>
                <c:pt idx="289">
                  <c:v>-8.8160994265557573</c:v>
                </c:pt>
                <c:pt idx="290">
                  <c:v>-8.7799271805349228</c:v>
                </c:pt>
                <c:pt idx="291">
                  <c:v>-8.7593436290711786</c:v>
                </c:pt>
                <c:pt idx="292">
                  <c:v>-8.7305095805302901</c:v>
                </c:pt>
                <c:pt idx="293">
                  <c:v>-8.686279215917196</c:v>
                </c:pt>
                <c:pt idx="294">
                  <c:v>-8.6167909747774676</c:v>
                </c:pt>
                <c:pt idx="295">
                  <c:v>-8.6415042426079705</c:v>
                </c:pt>
                <c:pt idx="296">
                  <c:v>-8.5627255507274658</c:v>
                </c:pt>
                <c:pt idx="297">
                  <c:v>-8.4854555161796945</c:v>
                </c:pt>
                <c:pt idx="298">
                  <c:v>-8.574284588279065</c:v>
                </c:pt>
                <c:pt idx="299">
                  <c:v>-8.6518514666989041</c:v>
                </c:pt>
                <c:pt idx="300">
                  <c:v>-8.4988263849145902</c:v>
                </c:pt>
                <c:pt idx="301">
                  <c:v>-8.5533909848950795</c:v>
                </c:pt>
                <c:pt idx="302">
                  <c:v>-8.6053378487193974</c:v>
                </c:pt>
                <c:pt idx="303">
                  <c:v>-8.5246740316374581</c:v>
                </c:pt>
                <c:pt idx="304">
                  <c:v>-8.465425180176803</c:v>
                </c:pt>
                <c:pt idx="305">
                  <c:v>-8.5151865967131144</c:v>
                </c:pt>
                <c:pt idx="306">
                  <c:v>-8.4491849445925116</c:v>
                </c:pt>
                <c:pt idx="307">
                  <c:v>-8.3599979855792519</c:v>
                </c:pt>
                <c:pt idx="308">
                  <c:v>-8.4422233010927652</c:v>
                </c:pt>
                <c:pt idx="309">
                  <c:v>-8.3330266684185741</c:v>
                </c:pt>
                <c:pt idx="310">
                  <c:v>-8.2405007485595423</c:v>
                </c:pt>
                <c:pt idx="311">
                  <c:v>-8.2295227160721112</c:v>
                </c:pt>
                <c:pt idx="312">
                  <c:v>-8.1490994675607631</c:v>
                </c:pt>
                <c:pt idx="313">
                  <c:v>-8.2217180244085384</c:v>
                </c:pt>
                <c:pt idx="314">
                  <c:v>-7.9412282646456163</c:v>
                </c:pt>
                <c:pt idx="315">
                  <c:v>-7.724625625826369</c:v>
                </c:pt>
                <c:pt idx="316">
                  <c:v>-7.8242074630342033</c:v>
                </c:pt>
                <c:pt idx="317">
                  <c:v>-7.8341835605247692</c:v>
                </c:pt>
                <c:pt idx="318">
                  <c:v>-7.815718494449758</c:v>
                </c:pt>
                <c:pt idx="319">
                  <c:v>-7.7974638015635298</c:v>
                </c:pt>
                <c:pt idx="320">
                  <c:v>-7.5782586333127036</c:v>
                </c:pt>
                <c:pt idx="321">
                  <c:v>-7.5333769697264064</c:v>
                </c:pt>
                <c:pt idx="322">
                  <c:v>-7.5512631955977021</c:v>
                </c:pt>
                <c:pt idx="323">
                  <c:v>-7.4704205502777015</c:v>
                </c:pt>
                <c:pt idx="324">
                  <c:v>-7.4271259930286657</c:v>
                </c:pt>
                <c:pt idx="325">
                  <c:v>-7.4664687531757838</c:v>
                </c:pt>
                <c:pt idx="326">
                  <c:v>-7.5066745577099807</c:v>
                </c:pt>
                <c:pt idx="327">
                  <c:v>-7.5146763296248746</c:v>
                </c:pt>
                <c:pt idx="328">
                  <c:v>-7.5355210890601327</c:v>
                </c:pt>
                <c:pt idx="329">
                  <c:v>-7.4780362189680698</c:v>
                </c:pt>
                <c:pt idx="330">
                  <c:v>-7.4932770533645883</c:v>
                </c:pt>
                <c:pt idx="331">
                  <c:v>-7.5122427530303044</c:v>
                </c:pt>
                <c:pt idx="332">
                  <c:v>-7.4645961088582915</c:v>
                </c:pt>
                <c:pt idx="333">
                  <c:v>-7.5254064426596168</c:v>
                </c:pt>
                <c:pt idx="334">
                  <c:v>-7.548950195864534</c:v>
                </c:pt>
                <c:pt idx="335">
                  <c:v>-7.5139264325550172</c:v>
                </c:pt>
                <c:pt idx="336">
                  <c:v>-7.491112236381011</c:v>
                </c:pt>
                <c:pt idx="337">
                  <c:v>-7.3916691657303852</c:v>
                </c:pt>
                <c:pt idx="338">
                  <c:v>-7.3525111913789907</c:v>
                </c:pt>
                <c:pt idx="339">
                  <c:v>-7.4241162305296804</c:v>
                </c:pt>
                <c:pt idx="340">
                  <c:v>-7.4144869831637932</c:v>
                </c:pt>
                <c:pt idx="341">
                  <c:v>-7.4236446107871297</c:v>
                </c:pt>
                <c:pt idx="342">
                  <c:v>-7.3976577256946188</c:v>
                </c:pt>
                <c:pt idx="343">
                  <c:v>-7.3572699210257548</c:v>
                </c:pt>
                <c:pt idx="344">
                  <c:v>-7.2309324604697931</c:v>
                </c:pt>
                <c:pt idx="345">
                  <c:v>-7.2200050247563672</c:v>
                </c:pt>
                <c:pt idx="346">
                  <c:v>-7.1887653864025571</c:v>
                </c:pt>
                <c:pt idx="347">
                  <c:v>-7.1926093167125762</c:v>
                </c:pt>
                <c:pt idx="348">
                  <c:v>-7.0849662710424779</c:v>
                </c:pt>
                <c:pt idx="349">
                  <c:v>-6.9061172877954089</c:v>
                </c:pt>
                <c:pt idx="350">
                  <c:v>-7.2372640881300683</c:v>
                </c:pt>
                <c:pt idx="351">
                  <c:v>-7.2286718126695817</c:v>
                </c:pt>
                <c:pt idx="352">
                  <c:v>-7.2070096532793375</c:v>
                </c:pt>
                <c:pt idx="353">
                  <c:v>-7.2055803329384123</c:v>
                </c:pt>
                <c:pt idx="354">
                  <c:v>-7.1063544719694294</c:v>
                </c:pt>
                <c:pt idx="355">
                  <c:v>-7.0063709010605431</c:v>
                </c:pt>
                <c:pt idx="356">
                  <c:v>-7.0149581570648394</c:v>
                </c:pt>
                <c:pt idx="357">
                  <c:v>-6.8051798674770092</c:v>
                </c:pt>
                <c:pt idx="358">
                  <c:v>-6.8102545932670635</c:v>
                </c:pt>
                <c:pt idx="359">
                  <c:v>-6.7916574867339907</c:v>
                </c:pt>
                <c:pt idx="360">
                  <c:v>-6.8638993601230398</c:v>
                </c:pt>
                <c:pt idx="361">
                  <c:v>-6.7154058450430396</c:v>
                </c:pt>
                <c:pt idx="362">
                  <c:v>-6.6751036427618153</c:v>
                </c:pt>
                <c:pt idx="363">
                  <c:v>-6.4381220411132807</c:v>
                </c:pt>
                <c:pt idx="364">
                  <c:v>-6.0238970187995093</c:v>
                </c:pt>
                <c:pt idx="365">
                  <c:v>-5.9698336836490675</c:v>
                </c:pt>
                <c:pt idx="366">
                  <c:v>-5.9437304740307972</c:v>
                </c:pt>
                <c:pt idx="367">
                  <c:v>-5.9564446052850828</c:v>
                </c:pt>
                <c:pt idx="368">
                  <c:v>-5.9144940170136149</c:v>
                </c:pt>
                <c:pt idx="369">
                  <c:v>-5.8788632427253269</c:v>
                </c:pt>
                <c:pt idx="370">
                  <c:v>-5.7806148166301661</c:v>
                </c:pt>
                <c:pt idx="371">
                  <c:v>-5.8892034166489955</c:v>
                </c:pt>
                <c:pt idx="372">
                  <c:v>-5.8027316148019512</c:v>
                </c:pt>
                <c:pt idx="373">
                  <c:v>-5.8160009574612319</c:v>
                </c:pt>
                <c:pt idx="374">
                  <c:v>-5.7376664058796489</c:v>
                </c:pt>
                <c:pt idx="375">
                  <c:v>-5.7591785527971746</c:v>
                </c:pt>
                <c:pt idx="376">
                  <c:v>-5.7210508549597456</c:v>
                </c:pt>
                <c:pt idx="377">
                  <c:v>-5.7198673347112985</c:v>
                </c:pt>
                <c:pt idx="378">
                  <c:v>-5.7157932999916881</c:v>
                </c:pt>
                <c:pt idx="379">
                  <c:v>-5.5606767226311957</c:v>
                </c:pt>
                <c:pt idx="380">
                  <c:v>-5.5928137293816444</c:v>
                </c:pt>
                <c:pt idx="381">
                  <c:v>-5.6603028906606916</c:v>
                </c:pt>
                <c:pt idx="382">
                  <c:v>-5.9821928411506313</c:v>
                </c:pt>
                <c:pt idx="383">
                  <c:v>-5.8673067411671065</c:v>
                </c:pt>
                <c:pt idx="384">
                  <c:v>-5.4854807526671072</c:v>
                </c:pt>
                <c:pt idx="385">
                  <c:v>-3.2559986631329578</c:v>
                </c:pt>
                <c:pt idx="386">
                  <c:v>-5.7667302232256139</c:v>
                </c:pt>
                <c:pt idx="387">
                  <c:v>-5.7739341273871281</c:v>
                </c:pt>
                <c:pt idx="388">
                  <c:v>-5.8809739445130988</c:v>
                </c:pt>
                <c:pt idx="389">
                  <c:v>-5.820172312473531</c:v>
                </c:pt>
                <c:pt idx="390">
                  <c:v>-5.8465545352757289</c:v>
                </c:pt>
                <c:pt idx="391">
                  <c:v>-5.916603383146553</c:v>
                </c:pt>
                <c:pt idx="392">
                  <c:v>-5.7742048451869294</c:v>
                </c:pt>
                <c:pt idx="393">
                  <c:v>-5.7591734051869299</c:v>
                </c:pt>
                <c:pt idx="394">
                  <c:v>-5.7285736188562213</c:v>
                </c:pt>
                <c:pt idx="395">
                  <c:v>-5.7532859305739787</c:v>
                </c:pt>
                <c:pt idx="396">
                  <c:v>-5.6824368709768569</c:v>
                </c:pt>
                <c:pt idx="397">
                  <c:v>-5.6440048632587363</c:v>
                </c:pt>
                <c:pt idx="398">
                  <c:v>-5.4466151338044426</c:v>
                </c:pt>
                <c:pt idx="399">
                  <c:v>-4.8517901305256048</c:v>
                </c:pt>
                <c:pt idx="400">
                  <c:v>-3.4856300337657098</c:v>
                </c:pt>
                <c:pt idx="401">
                  <c:v>-2.6770896682260066</c:v>
                </c:pt>
                <c:pt idx="402">
                  <c:v>-2.6736018222560363</c:v>
                </c:pt>
                <c:pt idx="403">
                  <c:v>-2.6609149210633758</c:v>
                </c:pt>
                <c:pt idx="404">
                  <c:v>-2.5912221236948363</c:v>
                </c:pt>
                <c:pt idx="405">
                  <c:v>-2.4846347957857455</c:v>
                </c:pt>
                <c:pt idx="406">
                  <c:v>-2.5246277051457455</c:v>
                </c:pt>
                <c:pt idx="407">
                  <c:v>-2.5016786723736524</c:v>
                </c:pt>
                <c:pt idx="408">
                  <c:v>-2.5805187438884771</c:v>
                </c:pt>
                <c:pt idx="409">
                  <c:v>-2.5386721431502797</c:v>
                </c:pt>
                <c:pt idx="410">
                  <c:v>-2.5163749996836131</c:v>
                </c:pt>
                <c:pt idx="411">
                  <c:v>-2.5001973493407559</c:v>
                </c:pt>
                <c:pt idx="412">
                  <c:v>-2.4895691004123122</c:v>
                </c:pt>
                <c:pt idx="413">
                  <c:v>-2.531297295939988</c:v>
                </c:pt>
                <c:pt idx="414">
                  <c:v>-2.4860132715580896</c:v>
                </c:pt>
                <c:pt idx="415">
                  <c:v>-2.4902990671850485</c:v>
                </c:pt>
                <c:pt idx="416">
                  <c:v>-2.2858147865718412</c:v>
                </c:pt>
                <c:pt idx="417">
                  <c:v>-2.2216075769617785</c:v>
                </c:pt>
                <c:pt idx="418">
                  <c:v>-1.9518396368114894</c:v>
                </c:pt>
                <c:pt idx="419">
                  <c:v>-2.1426246614854159</c:v>
                </c:pt>
                <c:pt idx="420">
                  <c:v>-1.9587612814160682</c:v>
                </c:pt>
                <c:pt idx="421">
                  <c:v>-1.7762038067074071</c:v>
                </c:pt>
                <c:pt idx="422">
                  <c:v>-1.7752430203444243</c:v>
                </c:pt>
                <c:pt idx="423">
                  <c:v>-1.7544991350025709</c:v>
                </c:pt>
                <c:pt idx="424">
                  <c:v>-1.7422937166252124</c:v>
                </c:pt>
                <c:pt idx="425">
                  <c:v>-1.7014472287088138</c:v>
                </c:pt>
                <c:pt idx="426">
                  <c:v>-1.6885123880796746</c:v>
                </c:pt>
                <c:pt idx="427">
                  <c:v>-1.6763405587463407</c:v>
                </c:pt>
                <c:pt idx="428">
                  <c:v>-1.4022273743225713</c:v>
                </c:pt>
                <c:pt idx="429">
                  <c:v>-1.7902030783917409</c:v>
                </c:pt>
                <c:pt idx="430">
                  <c:v>-1.6952352660806298</c:v>
                </c:pt>
                <c:pt idx="431">
                  <c:v>-1.5606163111934119</c:v>
                </c:pt>
                <c:pt idx="432">
                  <c:v>-1.5216328429889512</c:v>
                </c:pt>
                <c:pt idx="433">
                  <c:v>-1.3107348103951553</c:v>
                </c:pt>
                <c:pt idx="434">
                  <c:v>-1.1860694793174611</c:v>
                </c:pt>
                <c:pt idx="435">
                  <c:v>-0.99877408734661544</c:v>
                </c:pt>
                <c:pt idx="436">
                  <c:v>-0.88608401486705135</c:v>
                </c:pt>
                <c:pt idx="437">
                  <c:v>-0.76116346220632569</c:v>
                </c:pt>
                <c:pt idx="438">
                  <c:v>-0.65221272844036826</c:v>
                </c:pt>
                <c:pt idx="439">
                  <c:v>-0.71634677115465417</c:v>
                </c:pt>
                <c:pt idx="440">
                  <c:v>-0.73509792196471002</c:v>
                </c:pt>
                <c:pt idx="441">
                  <c:v>-0.33971845352630081</c:v>
                </c:pt>
                <c:pt idx="442">
                  <c:v>-0.49714448086293439</c:v>
                </c:pt>
                <c:pt idx="443">
                  <c:v>-0.23875019197949884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DE-49AE-993B-7584DB962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5582607"/>
        <c:axId val="795583023"/>
      </c:lineChart>
      <c:dateAx>
        <c:axId val="79558260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583023"/>
        <c:crosses val="autoZero"/>
        <c:auto val="1"/>
        <c:lblOffset val="100"/>
        <c:baseTimeUnit val="days"/>
      </c:dateAx>
      <c:valAx>
        <c:axId val="795583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582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8738851-CAA5-4775-88D1-C136414A6E1C}">
  <sheetPr codeName="Chart1"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4564" cy="60915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AF79FA-3434-47B5-9319-ADED2F739C8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0.51</v>
      </c>
      <c r="D2" s="4">
        <f>MIN(D3:D1912)</f>
        <v>3.8640000000000001E-2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7.9699999999999993E-2</v>
      </c>
      <c r="C5">
        <v>8.0600000000000005E-2</v>
      </c>
      <c r="D5">
        <v>7.8E-2</v>
      </c>
      <c r="E5">
        <v>7.8200000000000006E-2</v>
      </c>
      <c r="F5">
        <v>325587</v>
      </c>
      <c r="G5">
        <v>7.8200000000000006E-2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-0.84615384615384204</v>
      </c>
      <c r="Q5">
        <f t="shared" ref="Q5" si="1">F5*P5</f>
        <v>-275496.69230769097</v>
      </c>
      <c r="R5">
        <f t="shared" ref="R5" si="2">R6+Q5</f>
        <v>-3233541087.3557925</v>
      </c>
      <c r="S5">
        <f t="shared" ref="S5" si="3">R5/100000</f>
        <v>-32335.410873557925</v>
      </c>
      <c r="T5">
        <f t="shared" ref="T5" si="4">S5/1000</f>
        <v>-32.335410873557926</v>
      </c>
    </row>
    <row r="6" spans="1:20" x14ac:dyDescent="0.25">
      <c r="A6" s="5">
        <v>44587</v>
      </c>
      <c r="B6">
        <v>7.9799999999999996E-2</v>
      </c>
      <c r="C6">
        <v>8.5400000000000004E-2</v>
      </c>
      <c r="D6">
        <v>7.7700000000000005E-2</v>
      </c>
      <c r="E6">
        <v>7.9500000000000001E-2</v>
      </c>
      <c r="F6">
        <v>7632457</v>
      </c>
      <c r="G6">
        <v>7.9500000000000001E-2</v>
      </c>
      <c r="L6" t="s">
        <v>7</v>
      </c>
      <c r="M6" t="s">
        <v>8</v>
      </c>
      <c r="N6" t="s">
        <v>7</v>
      </c>
      <c r="P6">
        <f t="shared" ref="P6" si="5">IF(C6=D6,0,((E6-D6)-(C6-E6))/(C6-D6))</f>
        <v>-0.53246753246753342</v>
      </c>
      <c r="Q6">
        <f t="shared" ref="Q6" si="6">F6*P6</f>
        <v>-4064035.5454545529</v>
      </c>
      <c r="R6">
        <f t="shared" ref="R6" si="7">R7+Q6</f>
        <v>-3233265590.6634851</v>
      </c>
      <c r="S6">
        <f t="shared" ref="S6" si="8">R6/100000</f>
        <v>-32332.655906634849</v>
      </c>
      <c r="T6">
        <f t="shared" ref="T6" si="9">S6/1000</f>
        <v>-32.332655906634848</v>
      </c>
    </row>
    <row r="7" spans="1:20" x14ac:dyDescent="0.25">
      <c r="A7" s="5">
        <v>44586</v>
      </c>
      <c r="B7">
        <v>7.5700000000000003E-2</v>
      </c>
      <c r="C7">
        <v>8.6999999999999994E-2</v>
      </c>
      <c r="D7">
        <v>7.4099999999999999E-2</v>
      </c>
      <c r="E7">
        <v>7.9899999999999999E-2</v>
      </c>
      <c r="F7">
        <v>33837516</v>
      </c>
      <c r="G7">
        <v>7.9899999999999999E-2</v>
      </c>
      <c r="L7" t="s">
        <v>8</v>
      </c>
      <c r="M7" t="s">
        <v>8</v>
      </c>
      <c r="N7" t="s">
        <v>7</v>
      </c>
      <c r="P7">
        <f t="shared" ref="P7" si="10">IF(C7=D7,0,((E7-D7)-(C7-E7))/(C7-D7))</f>
        <v>-0.10077519379844931</v>
      </c>
      <c r="Q7">
        <f t="shared" ref="Q7" si="11">F7*P7</f>
        <v>-3409982.2325581294</v>
      </c>
      <c r="R7">
        <f t="shared" ref="R7" si="12">R8+Q7</f>
        <v>-3229201555.1180305</v>
      </c>
      <c r="S7">
        <f t="shared" ref="S7" si="13">R7/100000</f>
        <v>-32292.015551180306</v>
      </c>
      <c r="T7">
        <f t="shared" ref="T7" si="14">S7/1000</f>
        <v>-32.292015551180306</v>
      </c>
    </row>
    <row r="8" spans="1:20" x14ac:dyDescent="0.25">
      <c r="A8" s="5">
        <v>44585</v>
      </c>
      <c r="B8">
        <v>7.7799999999999994E-2</v>
      </c>
      <c r="C8">
        <v>7.7799999999999994E-2</v>
      </c>
      <c r="D8">
        <v>6.5799999999999997E-2</v>
      </c>
      <c r="E8">
        <v>7.5899999999999995E-2</v>
      </c>
      <c r="F8">
        <v>14997489</v>
      </c>
      <c r="G8">
        <v>7.5899999999999995E-2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0.68333333333333346</v>
      </c>
      <c r="Q8">
        <f t="shared" ref="Q8" si="16">F8*P8</f>
        <v>10248284.150000002</v>
      </c>
      <c r="R8">
        <f t="shared" ref="R8" si="17">R9+Q8</f>
        <v>-3225791572.8854723</v>
      </c>
      <c r="S8">
        <f t="shared" ref="S8" si="18">R8/100000</f>
        <v>-32257.915728854721</v>
      </c>
      <c r="T8">
        <f t="shared" ref="T8" si="19">S8/1000</f>
        <v>-32.257915728854719</v>
      </c>
    </row>
    <row r="9" spans="1:20" x14ac:dyDescent="0.25">
      <c r="A9" s="5">
        <v>44584</v>
      </c>
      <c r="B9">
        <v>7.3099999999999998E-2</v>
      </c>
      <c r="C9">
        <v>8.6999999999999994E-2</v>
      </c>
      <c r="D9">
        <v>7.2599999999999998E-2</v>
      </c>
      <c r="E9">
        <v>7.7799999999999994E-2</v>
      </c>
      <c r="F9">
        <v>30662216</v>
      </c>
      <c r="G9">
        <v>7.7799999999999994E-2</v>
      </c>
      <c r="L9" t="s">
        <v>8</v>
      </c>
      <c r="M9" t="s">
        <v>8</v>
      </c>
      <c r="N9" t="s">
        <v>7</v>
      </c>
      <c r="P9">
        <f t="shared" ref="P9" si="20">IF(C9=D9,0,((E9-D9)-(C9-E9))/(C9-D9))</f>
        <v>-0.27777777777777812</v>
      </c>
      <c r="Q9">
        <f t="shared" ref="Q9" si="21">F9*P9</f>
        <v>-8517282.2222222332</v>
      </c>
      <c r="R9">
        <f t="shared" ref="R9" si="22">R10+Q9</f>
        <v>-3236039857.0354724</v>
      </c>
      <c r="S9">
        <f t="shared" ref="S9" si="23">R9/100000</f>
        <v>-32360.398570354722</v>
      </c>
      <c r="T9">
        <f t="shared" ref="T9" si="24">S9/1000</f>
        <v>-32.360398570354725</v>
      </c>
    </row>
    <row r="10" spans="1:20" x14ac:dyDescent="0.25">
      <c r="A10" s="5">
        <v>44583</v>
      </c>
      <c r="B10">
        <v>8.3099999999999993E-2</v>
      </c>
      <c r="C10">
        <v>8.43E-2</v>
      </c>
      <c r="D10">
        <v>6.6799999999999998E-2</v>
      </c>
      <c r="E10">
        <v>7.3099999999999998E-2</v>
      </c>
      <c r="F10">
        <v>20000187.899999999</v>
      </c>
      <c r="G10">
        <v>7.3099999999999998E-2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-0.28000000000000008</v>
      </c>
      <c r="Q10">
        <f t="shared" ref="Q10" si="26">F10*P10</f>
        <v>-5600052.6120000016</v>
      </c>
      <c r="R10">
        <f t="shared" ref="R10" si="27">R11+Q10</f>
        <v>-3227522574.8132501</v>
      </c>
      <c r="S10">
        <f t="shared" ref="S10" si="28">R10/100000</f>
        <v>-32275.2257481325</v>
      </c>
      <c r="T10">
        <f t="shared" ref="T10" si="29">S10/1000</f>
        <v>-32.275225748132499</v>
      </c>
    </row>
    <row r="11" spans="1:20" x14ac:dyDescent="0.25">
      <c r="A11" s="5">
        <v>44582</v>
      </c>
      <c r="B11">
        <v>0.1002</v>
      </c>
      <c r="C11">
        <v>0.1007</v>
      </c>
      <c r="D11">
        <v>8.0600000000000005E-2</v>
      </c>
      <c r="E11">
        <v>8.3099999999999993E-2</v>
      </c>
      <c r="F11">
        <v>15636973.6</v>
      </c>
      <c r="G11">
        <v>8.3099999999999993E-2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-0.75124378109452838</v>
      </c>
      <c r="Q11">
        <f t="shared" ref="Q11" si="31">F11*P11</f>
        <v>-11747179.172139319</v>
      </c>
      <c r="R11">
        <f t="shared" ref="R11" si="32">R12+Q11</f>
        <v>-3221922522.2012501</v>
      </c>
      <c r="S11">
        <f t="shared" ref="S11" si="33">R11/100000</f>
        <v>-32219.225222012501</v>
      </c>
      <c r="T11">
        <f t="shared" ref="T11" si="34">S11/1000</f>
        <v>-32.219225222012504</v>
      </c>
    </row>
    <row r="12" spans="1:20" x14ac:dyDescent="0.25">
      <c r="A12" s="5">
        <v>44581</v>
      </c>
      <c r="B12">
        <v>0.10100000000000001</v>
      </c>
      <c r="C12">
        <v>0.1109</v>
      </c>
      <c r="D12">
        <v>0.1</v>
      </c>
      <c r="E12">
        <v>0.1</v>
      </c>
      <c r="F12">
        <v>14504092.199999999</v>
      </c>
      <c r="G12">
        <v>0.1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-1</v>
      </c>
      <c r="Q12">
        <f t="shared" ref="Q12" si="36">F12*P12</f>
        <v>-14504092.199999999</v>
      </c>
      <c r="R12">
        <f t="shared" ref="R12" si="37">R13+Q12</f>
        <v>-3210175343.0291109</v>
      </c>
      <c r="S12">
        <f t="shared" ref="S12" si="38">R12/100000</f>
        <v>-32101.753430291108</v>
      </c>
      <c r="T12">
        <f t="shared" ref="T12" si="39">S12/1000</f>
        <v>-32.101753430291112</v>
      </c>
    </row>
    <row r="13" spans="1:20" x14ac:dyDescent="0.25">
      <c r="A13" s="5">
        <v>44580</v>
      </c>
      <c r="B13">
        <v>0.1046</v>
      </c>
      <c r="C13">
        <v>0.1052</v>
      </c>
      <c r="D13">
        <v>0.1008</v>
      </c>
      <c r="E13">
        <v>0.1009</v>
      </c>
      <c r="F13">
        <v>3639758</v>
      </c>
      <c r="G13">
        <v>0.1009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-0.95454545454545325</v>
      </c>
      <c r="Q13">
        <f t="shared" ref="Q13" si="41">F13*P13</f>
        <v>-3474314.4545454499</v>
      </c>
      <c r="R13">
        <f t="shared" ref="R13" si="42">R14+Q13</f>
        <v>-3195671250.8291111</v>
      </c>
      <c r="S13">
        <f t="shared" ref="S13" si="43">R13/100000</f>
        <v>-31956.712508291112</v>
      </c>
      <c r="T13">
        <f t="shared" ref="T13" si="44">S13/1000</f>
        <v>-31.956712508291112</v>
      </c>
    </row>
    <row r="14" spans="1:20" x14ac:dyDescent="0.25">
      <c r="A14" s="5">
        <v>44579</v>
      </c>
      <c r="B14">
        <v>0.10630000000000001</v>
      </c>
      <c r="C14">
        <v>0.10730000000000001</v>
      </c>
      <c r="D14">
        <v>0.1032</v>
      </c>
      <c r="E14">
        <v>0.10489999999999999</v>
      </c>
      <c r="F14">
        <v>3459183</v>
      </c>
      <c r="G14">
        <v>0.10489999999999999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-0.17073170731707779</v>
      </c>
      <c r="Q14">
        <f t="shared" ref="Q14" si="46">F14*P14</f>
        <v>-590592.21951221116</v>
      </c>
      <c r="R14">
        <f t="shared" ref="R14" si="47">R15+Q14</f>
        <v>-3192196936.3745656</v>
      </c>
      <c r="S14">
        <f t="shared" ref="S14" si="48">R14/100000</f>
        <v>-31921.969363745655</v>
      </c>
      <c r="T14">
        <f t="shared" ref="T14" si="49">S14/1000</f>
        <v>-31.921969363745657</v>
      </c>
    </row>
    <row r="15" spans="1:20" x14ac:dyDescent="0.25">
      <c r="A15" s="5">
        <v>44578</v>
      </c>
      <c r="B15">
        <v>0.11269999999999999</v>
      </c>
      <c r="C15">
        <v>0.11269999999999999</v>
      </c>
      <c r="D15">
        <v>0.10489999999999999</v>
      </c>
      <c r="E15">
        <v>0.1062</v>
      </c>
      <c r="F15">
        <v>6604602</v>
      </c>
      <c r="G15">
        <v>0.1062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-0.6666666666666643</v>
      </c>
      <c r="Q15">
        <f t="shared" ref="Q15" si="51">F15*P15</f>
        <v>-4403067.9999999842</v>
      </c>
      <c r="R15">
        <f t="shared" ref="R15" si="52">R16+Q15</f>
        <v>-3191606344.1550536</v>
      </c>
      <c r="S15">
        <f t="shared" ref="S15" si="53">R15/100000</f>
        <v>-31916.063441550537</v>
      </c>
      <c r="T15">
        <f t="shared" ref="T15" si="54">S15/1000</f>
        <v>-31.916063441550538</v>
      </c>
    </row>
    <row r="16" spans="1:20" x14ac:dyDescent="0.25">
      <c r="A16" s="5">
        <v>44577</v>
      </c>
      <c r="B16">
        <v>0.1138</v>
      </c>
      <c r="C16">
        <v>0.1139</v>
      </c>
      <c r="D16">
        <v>0.11169999999999999</v>
      </c>
      <c r="E16">
        <v>0.1125</v>
      </c>
      <c r="F16">
        <v>2270797</v>
      </c>
      <c r="G16">
        <v>0.1125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-0.27272727272726699</v>
      </c>
      <c r="Q16">
        <f t="shared" ref="Q16" si="56">F16*P16</f>
        <v>-619308.27272725967</v>
      </c>
      <c r="R16">
        <f t="shared" ref="R16" si="57">R17+Q16</f>
        <v>-3187203276.1550536</v>
      </c>
      <c r="S16">
        <f t="shared" ref="S16" si="58">R16/100000</f>
        <v>-31872.032761550538</v>
      </c>
      <c r="T16">
        <f t="shared" ref="T16" si="59">S16/1000</f>
        <v>-31.872032761550539</v>
      </c>
    </row>
    <row r="17" spans="1:20" x14ac:dyDescent="0.25">
      <c r="A17" s="5">
        <v>44576</v>
      </c>
      <c r="B17">
        <v>0.1129</v>
      </c>
      <c r="C17">
        <v>0.1174</v>
      </c>
      <c r="D17">
        <v>0.11169999999999999</v>
      </c>
      <c r="E17">
        <v>0.1137</v>
      </c>
      <c r="F17">
        <v>3907258</v>
      </c>
      <c r="G17">
        <v>0.1137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-0.29824561403508842</v>
      </c>
      <c r="Q17">
        <f t="shared" ref="Q17" si="61">F17*P17</f>
        <v>-1165322.5614035116</v>
      </c>
      <c r="R17">
        <f t="shared" ref="R17" si="62">R18+Q17</f>
        <v>-3186583967.8823261</v>
      </c>
      <c r="S17">
        <f t="shared" ref="S17" si="63">R17/100000</f>
        <v>-31865.83967882326</v>
      </c>
      <c r="T17">
        <f t="shared" ref="T17" si="64">S17/1000</f>
        <v>-31.86583967882326</v>
      </c>
    </row>
    <row r="18" spans="1:20" x14ac:dyDescent="0.25">
      <c r="A18" s="5">
        <v>44575</v>
      </c>
      <c r="B18">
        <v>0.10879999999999999</v>
      </c>
      <c r="C18">
        <v>0.1195</v>
      </c>
      <c r="D18">
        <v>0.1084</v>
      </c>
      <c r="E18">
        <v>0.1128</v>
      </c>
      <c r="F18">
        <v>8352941</v>
      </c>
      <c r="G18">
        <v>0.1128</v>
      </c>
      <c r="L18" t="s">
        <v>8</v>
      </c>
      <c r="M18" t="s">
        <v>8</v>
      </c>
      <c r="N18" t="s">
        <v>7</v>
      </c>
      <c r="P18">
        <f t="shared" ref="P18" si="65">IF(C18=D18,0,((E18-D18)-(C18-E18))/(C18-D18))</f>
        <v>-0.20720720720720692</v>
      </c>
      <c r="Q18">
        <f t="shared" ref="Q18" si="66">F18*P18</f>
        <v>-1730789.5765765742</v>
      </c>
      <c r="R18">
        <f t="shared" ref="R18" si="67">R19+Q18</f>
        <v>-3185418645.3209229</v>
      </c>
      <c r="S18">
        <f t="shared" ref="S18" si="68">R18/100000</f>
        <v>-31854.18645320923</v>
      </c>
      <c r="T18">
        <f t="shared" ref="T18" si="69">S18/1000</f>
        <v>-31.85418645320923</v>
      </c>
    </row>
    <row r="19" spans="1:20" x14ac:dyDescent="0.25">
      <c r="A19" s="5">
        <v>44574</v>
      </c>
      <c r="B19">
        <v>0.11459999999999999</v>
      </c>
      <c r="C19">
        <v>0.11600000000000001</v>
      </c>
      <c r="D19">
        <v>0.10879999999999999</v>
      </c>
      <c r="E19">
        <v>0.10920000000000001</v>
      </c>
      <c r="F19">
        <v>6899649</v>
      </c>
      <c r="G19">
        <v>0.10920000000000001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-0.88888888888888584</v>
      </c>
      <c r="Q19">
        <f t="shared" ref="Q19" si="71">F19*P19</f>
        <v>-6133021.3333333125</v>
      </c>
      <c r="R19">
        <f t="shared" ref="R19" si="72">R20+Q19</f>
        <v>-3183687855.7443461</v>
      </c>
      <c r="S19">
        <f t="shared" ref="S19" si="73">R19/100000</f>
        <v>-31836.878557443462</v>
      </c>
      <c r="T19">
        <f t="shared" ref="T19" si="74">S19/1000</f>
        <v>-31.836878557443463</v>
      </c>
    </row>
    <row r="20" spans="1:20" x14ac:dyDescent="0.25">
      <c r="A20" s="5">
        <v>44573</v>
      </c>
      <c r="B20">
        <v>0.11070000000000001</v>
      </c>
      <c r="C20">
        <v>0.1166</v>
      </c>
      <c r="D20">
        <v>0.1099</v>
      </c>
      <c r="E20">
        <v>0.11459999999999999</v>
      </c>
      <c r="F20">
        <v>4621121</v>
      </c>
      <c r="G20">
        <v>0.11459999999999999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0.40298507462686495</v>
      </c>
      <c r="Q20">
        <f t="shared" ref="Q20" si="76">F20*P20</f>
        <v>1862242.7910447728</v>
      </c>
      <c r="R20">
        <f t="shared" ref="R20" si="77">R21+Q20</f>
        <v>-3177554834.4110126</v>
      </c>
      <c r="S20">
        <f t="shared" ref="S20" si="78">R20/100000</f>
        <v>-31775.548344110128</v>
      </c>
      <c r="T20">
        <f t="shared" ref="T20" si="79">S20/1000</f>
        <v>-31.775548344110128</v>
      </c>
    </row>
    <row r="21" spans="1:20" x14ac:dyDescent="0.25">
      <c r="A21" s="5">
        <v>44572</v>
      </c>
      <c r="B21">
        <v>0.1077</v>
      </c>
      <c r="C21">
        <v>0.11360000000000001</v>
      </c>
      <c r="D21">
        <v>0.10630000000000001</v>
      </c>
      <c r="E21">
        <v>0.1106</v>
      </c>
      <c r="F21">
        <v>4846500</v>
      </c>
      <c r="G21">
        <v>0.1106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0.1780821917808213</v>
      </c>
      <c r="Q21">
        <f t="shared" ref="Q21" si="81">F21*P21</f>
        <v>863075.34246575041</v>
      </c>
      <c r="R21">
        <f t="shared" ref="R21" si="82">R22+Q21</f>
        <v>-3179417077.2020574</v>
      </c>
      <c r="S21">
        <f t="shared" ref="S21" si="83">R21/100000</f>
        <v>-31794.170772020574</v>
      </c>
      <c r="T21">
        <f t="shared" ref="T21" si="84">S21/1000</f>
        <v>-31.794170772020575</v>
      </c>
    </row>
    <row r="22" spans="1:20" x14ac:dyDescent="0.25">
      <c r="A22" s="5">
        <v>44571</v>
      </c>
      <c r="B22">
        <v>0.1123</v>
      </c>
      <c r="C22">
        <v>0.1135</v>
      </c>
      <c r="D22">
        <v>0.1009</v>
      </c>
      <c r="E22">
        <v>0.10780000000000001</v>
      </c>
      <c r="F22">
        <v>6257139.2000000002</v>
      </c>
      <c r="G22">
        <v>0.10780000000000001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9.523809523809576E-2</v>
      </c>
      <c r="Q22">
        <f t="shared" ref="Q22" si="86">F22*P22</f>
        <v>595918.01904762234</v>
      </c>
      <c r="R22">
        <f t="shared" ref="R22" si="87">R23+Q22</f>
        <v>-3180280152.5445232</v>
      </c>
      <c r="S22">
        <f t="shared" ref="S22" si="88">R22/100000</f>
        <v>-31802.801525445233</v>
      </c>
      <c r="T22">
        <f t="shared" ref="T22" si="89">S22/1000</f>
        <v>-31.802801525445233</v>
      </c>
    </row>
    <row r="23" spans="1:20" x14ac:dyDescent="0.25">
      <c r="A23" s="5">
        <v>44570</v>
      </c>
      <c r="B23">
        <v>0.1116</v>
      </c>
      <c r="C23">
        <v>0.11559999999999999</v>
      </c>
      <c r="D23">
        <v>0.10970000000000001</v>
      </c>
      <c r="E23">
        <v>0.11269999999999999</v>
      </c>
      <c r="F23">
        <v>4018727</v>
      </c>
      <c r="G23">
        <v>0.11269999999999999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1.6949152542371046E-2</v>
      </c>
      <c r="Q23">
        <f t="shared" ref="Q23" si="91">F23*P23</f>
        <v>68114.016949145167</v>
      </c>
      <c r="R23">
        <f t="shared" ref="R23" si="92">R24+Q23</f>
        <v>-3180876070.563571</v>
      </c>
      <c r="S23">
        <f t="shared" ref="S23" si="93">R23/100000</f>
        <v>-31808.760705635708</v>
      </c>
      <c r="T23">
        <f t="shared" ref="T23" si="94">S23/1000</f>
        <v>-31.808760705635709</v>
      </c>
    </row>
    <row r="24" spans="1:20" x14ac:dyDescent="0.25">
      <c r="A24" s="5">
        <v>44569</v>
      </c>
      <c r="B24">
        <v>0.1115</v>
      </c>
      <c r="C24">
        <v>0.11749999999999999</v>
      </c>
      <c r="D24">
        <v>0.1077</v>
      </c>
      <c r="E24">
        <v>0.11169999999999999</v>
      </c>
      <c r="F24">
        <v>6372354.0999999996</v>
      </c>
      <c r="G24">
        <v>0.11169999999999999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-0.18367346938775631</v>
      </c>
      <c r="Q24">
        <f t="shared" ref="Q24" si="96">F24*P24</f>
        <v>-1170432.3857142932</v>
      </c>
      <c r="R24">
        <f t="shared" ref="R24" si="97">R25+Q24</f>
        <v>-3180944184.5805202</v>
      </c>
      <c r="S24">
        <f t="shared" ref="S24" si="98">R24/100000</f>
        <v>-31809.441845805202</v>
      </c>
      <c r="T24">
        <f t="shared" ref="T24" si="99">S24/1000</f>
        <v>-31.809441845805203</v>
      </c>
    </row>
    <row r="25" spans="1:20" x14ac:dyDescent="0.25">
      <c r="A25" s="5">
        <v>44568</v>
      </c>
      <c r="B25">
        <v>0.1215</v>
      </c>
      <c r="C25">
        <v>0.1217</v>
      </c>
      <c r="D25">
        <v>0.11</v>
      </c>
      <c r="E25">
        <v>0.11119999999999999</v>
      </c>
      <c r="F25">
        <v>7742129.9000000004</v>
      </c>
      <c r="G25">
        <v>0.11119999999999999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-0.79487179487179616</v>
      </c>
      <c r="Q25">
        <f t="shared" ref="Q25" si="101">F25*P25</f>
        <v>-6154000.6897435999</v>
      </c>
      <c r="R25">
        <f t="shared" ref="R25" si="102">R26+Q25</f>
        <v>-3179773752.1948056</v>
      </c>
      <c r="S25">
        <f t="shared" ref="S25" si="103">R25/100000</f>
        <v>-31797.737521948056</v>
      </c>
      <c r="T25">
        <f t="shared" ref="T25" si="104">S25/1000</f>
        <v>-31.797737521948058</v>
      </c>
    </row>
    <row r="26" spans="1:20" x14ac:dyDescent="0.25">
      <c r="A26" s="5">
        <v>44567</v>
      </c>
      <c r="B26">
        <v>0.1227</v>
      </c>
      <c r="C26">
        <v>0.1242</v>
      </c>
      <c r="D26">
        <v>0.1174</v>
      </c>
      <c r="E26">
        <v>0.1217</v>
      </c>
      <c r="F26">
        <v>5694624</v>
      </c>
      <c r="G26">
        <v>0.1217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0.26470588235294057</v>
      </c>
      <c r="Q26">
        <f t="shared" ref="Q26" si="106">F26*P26</f>
        <v>1507400.4705882319</v>
      </c>
      <c r="R26">
        <f t="shared" ref="R26" si="107">R27+Q26</f>
        <v>-3173619751.5050621</v>
      </c>
      <c r="S26">
        <f t="shared" ref="S26" si="108">R26/100000</f>
        <v>-31736.197515050622</v>
      </c>
      <c r="T26">
        <f t="shared" ref="T26" si="109">S26/1000</f>
        <v>-31.736197515050623</v>
      </c>
    </row>
    <row r="27" spans="1:20" x14ac:dyDescent="0.25">
      <c r="A27" s="5">
        <v>44566</v>
      </c>
      <c r="B27">
        <v>0.13220000000000001</v>
      </c>
      <c r="C27">
        <v>0.1351</v>
      </c>
      <c r="D27">
        <v>0.11650000000000001</v>
      </c>
      <c r="E27">
        <v>0.1227</v>
      </c>
      <c r="F27">
        <v>16523883.300000001</v>
      </c>
      <c r="G27">
        <v>0.1227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-0.33333333333333331</v>
      </c>
      <c r="Q27">
        <f t="shared" ref="Q27" si="111">F27*P27</f>
        <v>-5507961.0999999996</v>
      </c>
      <c r="R27">
        <f t="shared" ref="R27" si="112">R28+Q27</f>
        <v>-3175127151.9756503</v>
      </c>
      <c r="S27">
        <f t="shared" ref="S27" si="113">R27/100000</f>
        <v>-31751.271519756505</v>
      </c>
      <c r="T27">
        <f t="shared" ref="T27" si="114">S27/1000</f>
        <v>-31.751271519756504</v>
      </c>
    </row>
    <row r="28" spans="1:20" x14ac:dyDescent="0.25">
      <c r="A28" s="5">
        <v>44565</v>
      </c>
      <c r="B28">
        <v>0.13550000000000001</v>
      </c>
      <c r="C28">
        <v>0.13919999999999999</v>
      </c>
      <c r="D28">
        <v>0.13170000000000001</v>
      </c>
      <c r="E28">
        <v>0.13220000000000001</v>
      </c>
      <c r="F28">
        <v>9011879</v>
      </c>
      <c r="G28">
        <v>0.13220000000000001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-0.86666666666666614</v>
      </c>
      <c r="Q28">
        <f t="shared" ref="Q28" si="116">F28*P28</f>
        <v>-7810295.1333333282</v>
      </c>
      <c r="R28">
        <f t="shared" ref="R28" si="117">R29+Q28</f>
        <v>-3169619190.8756504</v>
      </c>
      <c r="S28">
        <f t="shared" ref="S28" si="118">R28/100000</f>
        <v>-31696.191908756504</v>
      </c>
      <c r="T28">
        <f t="shared" ref="T28" si="119">S28/1000</f>
        <v>-31.696191908756504</v>
      </c>
    </row>
    <row r="29" spans="1:20" x14ac:dyDescent="0.25">
      <c r="A29" s="5">
        <v>44564</v>
      </c>
      <c r="B29">
        <v>0.1368</v>
      </c>
      <c r="C29">
        <v>0.14280000000000001</v>
      </c>
      <c r="D29">
        <v>0.1331</v>
      </c>
      <c r="E29">
        <v>0.13519999999999999</v>
      </c>
      <c r="F29">
        <v>11530877</v>
      </c>
      <c r="G29">
        <v>0.13519999999999999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-0.56701030927835305</v>
      </c>
      <c r="Q29">
        <f t="shared" ref="Q29" si="121">F29*P29</f>
        <v>-6538126.134020648</v>
      </c>
      <c r="R29">
        <f t="shared" ref="R29" si="122">R30+Q29</f>
        <v>-3161808895.7423172</v>
      </c>
      <c r="S29">
        <f t="shared" ref="S29" si="123">R29/100000</f>
        <v>-31618.088957423173</v>
      </c>
      <c r="T29">
        <f t="shared" ref="T29" si="124">S29/1000</f>
        <v>-31.618088957423172</v>
      </c>
    </row>
    <row r="30" spans="1:20" x14ac:dyDescent="0.25">
      <c r="A30" s="5">
        <v>44563</v>
      </c>
      <c r="B30">
        <v>0.13389999999999999</v>
      </c>
      <c r="C30">
        <v>0.1424</v>
      </c>
      <c r="D30">
        <v>0.13289999999999999</v>
      </c>
      <c r="E30">
        <v>0.1368</v>
      </c>
      <c r="F30">
        <v>16065036</v>
      </c>
      <c r="G30">
        <v>0.1368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-0.1789473684210503</v>
      </c>
      <c r="Q30">
        <f t="shared" ref="Q30" si="126">F30*P30</f>
        <v>-2874795.9157894361</v>
      </c>
      <c r="R30">
        <f t="shared" ref="R30" si="127">R31+Q30</f>
        <v>-3155270769.6082964</v>
      </c>
      <c r="S30">
        <f t="shared" ref="S30" si="128">R30/100000</f>
        <v>-31552.707696082965</v>
      </c>
      <c r="T30">
        <f t="shared" ref="T30" si="129">S30/1000</f>
        <v>-31.552707696082965</v>
      </c>
    </row>
    <row r="31" spans="1:20" x14ac:dyDescent="0.25">
      <c r="A31" s="5">
        <v>44562</v>
      </c>
      <c r="B31">
        <v>0.12839999999999999</v>
      </c>
      <c r="C31">
        <v>0.13650000000000001</v>
      </c>
      <c r="D31">
        <v>0.12839999999999999</v>
      </c>
      <c r="E31">
        <v>0.13389999999999999</v>
      </c>
      <c r="F31">
        <v>6635451</v>
      </c>
      <c r="G31">
        <v>0.13389999999999999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0.3580246913580219</v>
      </c>
      <c r="Q31">
        <f t="shared" ref="Q31" si="131">F31*P31</f>
        <v>2375655.2962962775</v>
      </c>
      <c r="R31">
        <f t="shared" ref="R31" si="132">R32+Q31</f>
        <v>-3152395973.6925068</v>
      </c>
      <c r="S31">
        <f t="shared" ref="S31" si="133">R31/100000</f>
        <v>-31523.95973692507</v>
      </c>
      <c r="T31">
        <f t="shared" ref="T31" si="134">S31/1000</f>
        <v>-31.523959736925068</v>
      </c>
    </row>
    <row r="32" spans="1:20" x14ac:dyDescent="0.25">
      <c r="A32" s="5">
        <v>44561</v>
      </c>
      <c r="B32">
        <v>0.13220000000000001</v>
      </c>
      <c r="C32">
        <v>0.13689999999999999</v>
      </c>
      <c r="D32">
        <v>0.12690000000000001</v>
      </c>
      <c r="E32">
        <v>0.12839999999999999</v>
      </c>
      <c r="F32">
        <v>9751819</v>
      </c>
      <c r="G32">
        <v>0.12839999999999999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-0.70000000000000473</v>
      </c>
      <c r="Q32">
        <f t="shared" ref="Q32" si="136">F32*P32</f>
        <v>-6826273.3000000464</v>
      </c>
      <c r="R32">
        <f t="shared" ref="R32" si="137">R33+Q32</f>
        <v>-3154771628.9888029</v>
      </c>
      <c r="S32">
        <f t="shared" ref="S32" si="138">R32/100000</f>
        <v>-31547.716289888031</v>
      </c>
      <c r="T32">
        <f t="shared" ref="T32" si="139">S32/1000</f>
        <v>-31.547716289888029</v>
      </c>
    </row>
    <row r="33" spans="1:20" x14ac:dyDescent="0.25">
      <c r="A33" s="5">
        <v>44560</v>
      </c>
      <c r="B33">
        <v>0.1285</v>
      </c>
      <c r="C33">
        <v>0.1389</v>
      </c>
      <c r="D33">
        <v>0.12590000000000001</v>
      </c>
      <c r="E33">
        <v>0.13220000000000001</v>
      </c>
      <c r="F33">
        <v>14746213</v>
      </c>
      <c r="G33">
        <v>0.13220000000000001</v>
      </c>
      <c r="L33" t="s">
        <v>8</v>
      </c>
      <c r="M33" t="s">
        <v>7</v>
      </c>
      <c r="N33" t="s">
        <v>7</v>
      </c>
      <c r="P33">
        <f t="shared" ref="P33" si="140">IF(C33=D33,0,((E33-D33)-(C33-E33))/(C33-D33))</f>
        <v>-3.0769230769229553E-2</v>
      </c>
      <c r="Q33">
        <f t="shared" ref="Q33" si="141">F33*P33</f>
        <v>-453729.63076921285</v>
      </c>
      <c r="R33">
        <f t="shared" ref="R33" si="142">R34+Q33</f>
        <v>-3147945355.6888027</v>
      </c>
      <c r="S33">
        <f t="shared" ref="S33" si="143">R33/100000</f>
        <v>-31479.453556888027</v>
      </c>
      <c r="T33">
        <f t="shared" ref="T33" si="144">S33/1000</f>
        <v>-31.479453556888028</v>
      </c>
    </row>
    <row r="34" spans="1:20" x14ac:dyDescent="0.25">
      <c r="A34" s="5">
        <v>44559</v>
      </c>
      <c r="B34">
        <v>0.13519999999999999</v>
      </c>
      <c r="C34">
        <v>0.1376</v>
      </c>
      <c r="D34">
        <v>0.1273</v>
      </c>
      <c r="E34">
        <v>0.1283</v>
      </c>
      <c r="F34">
        <v>10692209</v>
      </c>
      <c r="G34">
        <v>0.1283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-0.80582524271844647</v>
      </c>
      <c r="Q34">
        <f t="shared" ref="Q34" si="146">F34*P34</f>
        <v>-8616051.9126213584</v>
      </c>
      <c r="R34">
        <f t="shared" ref="R34" si="147">R35+Q34</f>
        <v>-3147491626.0580335</v>
      </c>
      <c r="S34">
        <f t="shared" ref="S34" si="148">R34/100000</f>
        <v>-31474.916260580336</v>
      </c>
      <c r="T34">
        <f t="shared" ref="T34" si="149">S34/1000</f>
        <v>-31.474916260580336</v>
      </c>
    </row>
    <row r="35" spans="1:20" x14ac:dyDescent="0.25">
      <c r="A35" s="5">
        <v>44558</v>
      </c>
      <c r="B35">
        <v>0.14499999999999999</v>
      </c>
      <c r="C35">
        <v>0.14760000000000001</v>
      </c>
      <c r="D35">
        <v>0.13450000000000001</v>
      </c>
      <c r="E35">
        <v>0.13500000000000001</v>
      </c>
      <c r="F35">
        <v>15176068</v>
      </c>
      <c r="G35">
        <v>0.13500000000000001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-0.92366412213740456</v>
      </c>
      <c r="Q35">
        <f t="shared" ref="Q35" si="151">F35*P35</f>
        <v>-14017589.526717557</v>
      </c>
      <c r="R35">
        <f t="shared" ref="R35" si="152">R36+Q35</f>
        <v>-3138875574.145412</v>
      </c>
      <c r="S35">
        <f t="shared" ref="S35" si="153">R35/100000</f>
        <v>-31388.755741454119</v>
      </c>
      <c r="T35">
        <f t="shared" ref="T35" si="154">S35/1000</f>
        <v>-31.388755741454119</v>
      </c>
    </row>
    <row r="36" spans="1:20" x14ac:dyDescent="0.25">
      <c r="A36" s="5">
        <v>44557</v>
      </c>
      <c r="B36">
        <v>0.14380000000000001</v>
      </c>
      <c r="C36">
        <v>0.15820000000000001</v>
      </c>
      <c r="D36">
        <v>0.14319999999999999</v>
      </c>
      <c r="E36">
        <v>0.14510000000000001</v>
      </c>
      <c r="F36">
        <v>23724935</v>
      </c>
      <c r="G36">
        <v>0.14510000000000001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-0.74666666666666515</v>
      </c>
      <c r="Q36">
        <f t="shared" ref="Q36" si="156">F36*P36</f>
        <v>-17714618.133333296</v>
      </c>
      <c r="R36">
        <f t="shared" ref="R36" si="157">R37+Q36</f>
        <v>-3124857984.6186943</v>
      </c>
      <c r="S36">
        <f t="shared" ref="S36" si="158">R36/100000</f>
        <v>-31248.579846186942</v>
      </c>
      <c r="T36">
        <f t="shared" ref="T36" si="159">S36/1000</f>
        <v>-31.248579846186942</v>
      </c>
    </row>
    <row r="37" spans="1:20" x14ac:dyDescent="0.25">
      <c r="A37" s="5">
        <v>44556</v>
      </c>
      <c r="B37">
        <v>0.1404</v>
      </c>
      <c r="C37">
        <v>0.1459</v>
      </c>
      <c r="D37">
        <v>0.13750000000000001</v>
      </c>
      <c r="E37">
        <v>0.14380000000000001</v>
      </c>
      <c r="F37">
        <v>7487332</v>
      </c>
      <c r="G37">
        <v>0.14380000000000001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0.50000000000000167</v>
      </c>
      <c r="Q37">
        <f t="shared" ref="Q37" si="161">F37*P37</f>
        <v>3743666.0000000126</v>
      </c>
      <c r="R37">
        <f t="shared" ref="R37" si="162">R38+Q37</f>
        <v>-3107143366.4853611</v>
      </c>
      <c r="S37">
        <f t="shared" ref="S37" si="163">R37/100000</f>
        <v>-31071.433664853612</v>
      </c>
      <c r="T37">
        <f t="shared" ref="T37" si="164">S37/1000</f>
        <v>-31.071433664853611</v>
      </c>
    </row>
    <row r="38" spans="1:20" x14ac:dyDescent="0.25">
      <c r="A38" s="5">
        <v>44555</v>
      </c>
      <c r="B38">
        <v>0.13769999999999999</v>
      </c>
      <c r="C38">
        <v>0.14299999999999999</v>
      </c>
      <c r="D38">
        <v>0.13700000000000001</v>
      </c>
      <c r="E38">
        <v>0.14050000000000001</v>
      </c>
      <c r="F38">
        <v>5645097</v>
      </c>
      <c r="G38">
        <v>0.14050000000000001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0.16666666666667207</v>
      </c>
      <c r="Q38">
        <f t="shared" ref="Q38" si="166">F38*P38</f>
        <v>940849.5000000305</v>
      </c>
      <c r="R38">
        <f t="shared" ref="R38" si="167">R39+Q38</f>
        <v>-3110887032.4853611</v>
      </c>
      <c r="S38">
        <f t="shared" ref="S38" si="168">R38/100000</f>
        <v>-31108.870324853611</v>
      </c>
      <c r="T38">
        <f t="shared" ref="T38" si="169">S38/1000</f>
        <v>-31.108870324853612</v>
      </c>
    </row>
    <row r="39" spans="1:20" x14ac:dyDescent="0.25">
      <c r="A39" s="5">
        <v>44554</v>
      </c>
      <c r="B39">
        <v>0.1404</v>
      </c>
      <c r="C39">
        <v>0.14269999999999999</v>
      </c>
      <c r="D39">
        <v>0.13700000000000001</v>
      </c>
      <c r="E39">
        <v>0.13800000000000001</v>
      </c>
      <c r="F39">
        <v>7492685</v>
      </c>
      <c r="G39">
        <v>0.13800000000000001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-0.64912280701754255</v>
      </c>
      <c r="Q39">
        <f t="shared" ref="Q39" si="171">F39*P39</f>
        <v>-4863672.7192982361</v>
      </c>
      <c r="R39">
        <f t="shared" ref="R39" si="172">R40+Q39</f>
        <v>-3111827881.9853611</v>
      </c>
      <c r="S39">
        <f t="shared" ref="S39" si="173">R39/100000</f>
        <v>-31118.278819853611</v>
      </c>
      <c r="T39">
        <f t="shared" ref="T39" si="174">S39/1000</f>
        <v>-31.118278819853611</v>
      </c>
    </row>
    <row r="40" spans="1:20" x14ac:dyDescent="0.25">
      <c r="A40" s="5">
        <v>44553</v>
      </c>
      <c r="B40">
        <v>0.1366</v>
      </c>
      <c r="C40">
        <v>0.14299999999999999</v>
      </c>
      <c r="D40">
        <v>0.1336</v>
      </c>
      <c r="E40">
        <v>0.1404</v>
      </c>
      <c r="F40">
        <v>12528374</v>
      </c>
      <c r="G40">
        <v>0.1404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0.44680851063829924</v>
      </c>
      <c r="Q40">
        <f t="shared" ref="Q40" si="176">F40*P40</f>
        <v>5597784.1276595918</v>
      </c>
      <c r="R40">
        <f t="shared" ref="R40" si="177">R41+Q40</f>
        <v>-3106964209.2660627</v>
      </c>
      <c r="S40">
        <f t="shared" ref="S40" si="178">R40/100000</f>
        <v>-31069.642092660626</v>
      </c>
      <c r="T40">
        <f t="shared" ref="T40" si="179">S40/1000</f>
        <v>-31.069642092660626</v>
      </c>
    </row>
    <row r="41" spans="1:20" x14ac:dyDescent="0.25">
      <c r="A41" s="5">
        <v>44552</v>
      </c>
      <c r="B41">
        <v>0.1346</v>
      </c>
      <c r="C41">
        <v>0.14149999999999999</v>
      </c>
      <c r="D41">
        <v>0.13270000000000001</v>
      </c>
      <c r="E41">
        <v>0.13669999999999999</v>
      </c>
      <c r="F41">
        <v>6370601</v>
      </c>
      <c r="G41">
        <v>0.13669999999999999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-9.090909090909377E-2</v>
      </c>
      <c r="Q41">
        <f t="shared" ref="Q41" si="181">F41*P41</f>
        <v>-579145.54545456369</v>
      </c>
      <c r="R41">
        <f t="shared" ref="R41" si="182">R42+Q41</f>
        <v>-3112561993.3937225</v>
      </c>
      <c r="S41">
        <f t="shared" ref="S41" si="183">R41/100000</f>
        <v>-31125.619933937225</v>
      </c>
      <c r="T41">
        <f t="shared" ref="T41" si="184">S41/1000</f>
        <v>-31.125619933937227</v>
      </c>
    </row>
    <row r="42" spans="1:20" x14ac:dyDescent="0.25">
      <c r="A42" s="5">
        <v>44551</v>
      </c>
      <c r="B42">
        <v>0.1303</v>
      </c>
      <c r="C42">
        <v>0.13519999999999999</v>
      </c>
      <c r="D42">
        <v>0.129</v>
      </c>
      <c r="E42">
        <v>0.1348</v>
      </c>
      <c r="F42">
        <v>5539910</v>
      </c>
      <c r="G42">
        <v>0.1348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0.87096774193548876</v>
      </c>
      <c r="Q42">
        <f t="shared" ref="Q42" si="186">F42*P42</f>
        <v>4825082.9032258336</v>
      </c>
      <c r="R42">
        <f t="shared" ref="R42" si="187">R43+Q42</f>
        <v>-3111982847.848268</v>
      </c>
      <c r="S42">
        <f t="shared" ref="S42" si="188">R42/100000</f>
        <v>-31119.828478482679</v>
      </c>
      <c r="T42">
        <f t="shared" ref="T42" si="189">S42/1000</f>
        <v>-31.119828478482678</v>
      </c>
    </row>
    <row r="43" spans="1:20" x14ac:dyDescent="0.25">
      <c r="A43" s="5">
        <v>44550</v>
      </c>
      <c r="B43">
        <v>0.13619999999999999</v>
      </c>
      <c r="C43">
        <v>0.13619999999999999</v>
      </c>
      <c r="D43">
        <v>0.1241</v>
      </c>
      <c r="E43">
        <v>0.13039999999999999</v>
      </c>
      <c r="F43">
        <v>7897089</v>
      </c>
      <c r="G43">
        <v>0.13039999999999999</v>
      </c>
      <c r="L43" t="s">
        <v>7</v>
      </c>
      <c r="M43" t="s">
        <v>8</v>
      </c>
      <c r="N43" t="s">
        <v>7</v>
      </c>
      <c r="P43">
        <f t="shared" ref="P43" si="190">IF(C43=D43,0,((E43-D43)-(C43-E43))/(C43-D43))</f>
        <v>4.1322314049585716E-2</v>
      </c>
      <c r="Q43">
        <f t="shared" ref="Q43" si="191">F43*P43</f>
        <v>326325.99173552881</v>
      </c>
      <c r="R43">
        <f t="shared" ref="R43" si="192">R44+Q43</f>
        <v>-3116807930.7514939</v>
      </c>
      <c r="S43">
        <f t="shared" ref="S43" si="193">R43/100000</f>
        <v>-31168.079307514938</v>
      </c>
      <c r="T43">
        <f t="shared" ref="T43" si="194">S43/1000</f>
        <v>-31.168079307514937</v>
      </c>
    </row>
    <row r="44" spans="1:20" x14ac:dyDescent="0.25">
      <c r="A44" s="5">
        <v>44549</v>
      </c>
      <c r="B44">
        <v>0.13789999999999999</v>
      </c>
      <c r="C44">
        <v>0.1457</v>
      </c>
      <c r="D44">
        <v>0.13489999999999999</v>
      </c>
      <c r="E44">
        <v>0.13619999999999999</v>
      </c>
      <c r="F44">
        <v>8983517</v>
      </c>
      <c r="G44">
        <v>0.13619999999999999</v>
      </c>
      <c r="L44" t="s">
        <v>8</v>
      </c>
      <c r="M44" t="s">
        <v>8</v>
      </c>
      <c r="N44" t="s">
        <v>7</v>
      </c>
      <c r="P44">
        <f t="shared" ref="P44" si="195">IF(C44=D44,0,((E44-D44)-(C44-E44))/(C44-D44))</f>
        <v>-0.75925925925926019</v>
      </c>
      <c r="Q44">
        <f t="shared" ref="Q44" si="196">F44*P44</f>
        <v>-6820818.4629629711</v>
      </c>
      <c r="R44">
        <f t="shared" ref="R44" si="197">R45+Q44</f>
        <v>-3117134256.7432294</v>
      </c>
      <c r="S44">
        <f t="shared" ref="S44" si="198">R44/100000</f>
        <v>-31171.342567432293</v>
      </c>
      <c r="T44">
        <f t="shared" ref="T44" si="199">S44/1000</f>
        <v>-31.171342567432294</v>
      </c>
    </row>
    <row r="45" spans="1:20" x14ac:dyDescent="0.25">
      <c r="A45" s="5">
        <v>44548</v>
      </c>
      <c r="B45">
        <v>0.13239999999999999</v>
      </c>
      <c r="C45">
        <v>0.1429</v>
      </c>
      <c r="D45">
        <v>0.13</v>
      </c>
      <c r="E45">
        <v>0.13769999999999999</v>
      </c>
      <c r="F45">
        <v>11618553</v>
      </c>
      <c r="G45">
        <v>0.13769999999999999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0.1937984496124012</v>
      </c>
      <c r="Q45">
        <f t="shared" ref="Q45" si="201">F45*P45</f>
        <v>2251657.5581395128</v>
      </c>
      <c r="R45">
        <f t="shared" ref="R45" si="202">R46+Q45</f>
        <v>-3110313438.2802663</v>
      </c>
      <c r="S45">
        <f t="shared" ref="S45" si="203">R45/100000</f>
        <v>-31103.134382802662</v>
      </c>
      <c r="T45">
        <f t="shared" ref="T45" si="204">S45/1000</f>
        <v>-31.103134382802661</v>
      </c>
    </row>
    <row r="46" spans="1:20" x14ac:dyDescent="0.25">
      <c r="A46" s="5">
        <v>44547</v>
      </c>
      <c r="B46">
        <v>0.13139999999999999</v>
      </c>
      <c r="C46">
        <v>0.13930000000000001</v>
      </c>
      <c r="D46">
        <v>0.12770000000000001</v>
      </c>
      <c r="E46">
        <v>0.1321</v>
      </c>
      <c r="F46">
        <v>10721725</v>
      </c>
      <c r="G46">
        <v>0.1321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-0.24137931034482973</v>
      </c>
      <c r="Q46">
        <f t="shared" ref="Q46" si="206">F46*P46</f>
        <v>-2588002.5862069195</v>
      </c>
      <c r="R46">
        <f t="shared" ref="R46" si="207">R47+Q46</f>
        <v>-3112565095.8384056</v>
      </c>
      <c r="S46">
        <f t="shared" ref="S46" si="208">R46/100000</f>
        <v>-31125.650958384056</v>
      </c>
      <c r="T46">
        <f t="shared" ref="T46" si="209">S46/1000</f>
        <v>-31.125650958384057</v>
      </c>
    </row>
    <row r="47" spans="1:20" x14ac:dyDescent="0.25">
      <c r="A47" s="5">
        <v>44546</v>
      </c>
      <c r="B47">
        <v>0.13039999999999999</v>
      </c>
      <c r="C47">
        <v>0.13950000000000001</v>
      </c>
      <c r="D47">
        <v>0.12989999999999999</v>
      </c>
      <c r="E47">
        <v>0.13159999999999999</v>
      </c>
      <c r="F47">
        <v>10412631</v>
      </c>
      <c r="G47">
        <v>0.13159999999999999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-0.64583333333333282</v>
      </c>
      <c r="Q47">
        <f t="shared" ref="Q47" si="211">F47*P47</f>
        <v>-6724824.1874999944</v>
      </c>
      <c r="R47">
        <f t="shared" ref="R47" si="212">R48+Q47</f>
        <v>-3109977093.2521987</v>
      </c>
      <c r="S47">
        <f t="shared" ref="S47" si="213">R47/100000</f>
        <v>-31099.770932521988</v>
      </c>
      <c r="T47">
        <f t="shared" ref="T47" si="214">S47/1000</f>
        <v>-31.099770932521988</v>
      </c>
    </row>
    <row r="48" spans="1:20" x14ac:dyDescent="0.25">
      <c r="A48" s="5">
        <v>44545</v>
      </c>
      <c r="B48">
        <v>0.13039999999999999</v>
      </c>
      <c r="C48">
        <v>0.1313</v>
      </c>
      <c r="D48">
        <v>0.1201</v>
      </c>
      <c r="E48">
        <v>0.13039999999999999</v>
      </c>
      <c r="F48">
        <v>12149148.199999999</v>
      </c>
      <c r="G48">
        <v>0.13039999999999999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0.83928571428571219</v>
      </c>
      <c r="Q48">
        <f t="shared" ref="Q48" si="216">F48*P48</f>
        <v>10196606.524999974</v>
      </c>
      <c r="R48">
        <f t="shared" ref="R48" si="217">R49+Q48</f>
        <v>-3103252269.0646987</v>
      </c>
      <c r="S48">
        <f t="shared" ref="S48" si="218">R48/100000</f>
        <v>-31032.522690646987</v>
      </c>
      <c r="T48">
        <f t="shared" ref="T48" si="219">S48/1000</f>
        <v>-31.032522690646989</v>
      </c>
    </row>
    <row r="49" spans="1:20" x14ac:dyDescent="0.25">
      <c r="A49" s="5">
        <v>44544</v>
      </c>
      <c r="B49">
        <v>0.12859999999999999</v>
      </c>
      <c r="C49">
        <v>0.1321</v>
      </c>
      <c r="D49">
        <v>0.124</v>
      </c>
      <c r="E49">
        <v>0.13070000000000001</v>
      </c>
      <c r="F49">
        <v>6077190</v>
      </c>
      <c r="G49">
        <v>0.13070000000000001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0.65432098765432467</v>
      </c>
      <c r="Q49">
        <f t="shared" ref="Q49" si="221">F49*P49</f>
        <v>3976432.9629629855</v>
      </c>
      <c r="R49">
        <f t="shared" ref="R49" si="222">R50+Q49</f>
        <v>-3113448875.5896988</v>
      </c>
      <c r="S49">
        <f t="shared" ref="S49" si="223">R49/100000</f>
        <v>-31134.488755896989</v>
      </c>
      <c r="T49">
        <f t="shared" ref="T49" si="224">S49/1000</f>
        <v>-31.134488755896989</v>
      </c>
    </row>
    <row r="50" spans="1:20" x14ac:dyDescent="0.25">
      <c r="A50" s="5">
        <v>44543</v>
      </c>
      <c r="B50">
        <v>0.1431</v>
      </c>
      <c r="C50">
        <v>0.14419999999999999</v>
      </c>
      <c r="D50">
        <v>0.125</v>
      </c>
      <c r="E50">
        <v>0.1285</v>
      </c>
      <c r="F50">
        <v>13184084</v>
      </c>
      <c r="G50">
        <v>0.1285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-0.6354166666666663</v>
      </c>
      <c r="Q50">
        <f t="shared" ref="Q50" si="226">F50*P50</f>
        <v>-8377386.7083333284</v>
      </c>
      <c r="R50">
        <f t="shared" ref="R50" si="227">R51+Q50</f>
        <v>-3117425308.5526619</v>
      </c>
      <c r="S50">
        <f t="shared" ref="S50" si="228">R50/100000</f>
        <v>-31174.25308552662</v>
      </c>
      <c r="T50">
        <f t="shared" ref="T50" si="229">S50/1000</f>
        <v>-31.174253085526619</v>
      </c>
    </row>
    <row r="51" spans="1:20" x14ac:dyDescent="0.25">
      <c r="A51" s="5">
        <v>44542</v>
      </c>
      <c r="B51">
        <v>0.1419</v>
      </c>
      <c r="C51">
        <v>0.14749999999999999</v>
      </c>
      <c r="D51">
        <v>0.13719999999999999</v>
      </c>
      <c r="E51">
        <v>0.1431</v>
      </c>
      <c r="F51">
        <v>18994370</v>
      </c>
      <c r="G51">
        <v>0.1431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0.14563106796116781</v>
      </c>
      <c r="Q51">
        <f t="shared" ref="Q51" si="231">F51*P51</f>
        <v>2766170.3883495671</v>
      </c>
      <c r="R51">
        <f t="shared" ref="R51" si="232">R52+Q51</f>
        <v>-3109047921.8443284</v>
      </c>
      <c r="S51">
        <f t="shared" ref="S51" si="233">R51/100000</f>
        <v>-31090.479218443284</v>
      </c>
      <c r="T51">
        <f t="shared" ref="T51" si="234">S51/1000</f>
        <v>-31.090479218443285</v>
      </c>
    </row>
    <row r="52" spans="1:20" x14ac:dyDescent="0.25">
      <c r="A52" s="5">
        <v>44541</v>
      </c>
      <c r="B52">
        <v>0.14000000000000001</v>
      </c>
      <c r="C52">
        <v>0.14130000000000001</v>
      </c>
      <c r="D52">
        <v>0.1368</v>
      </c>
      <c r="E52">
        <v>0.14030000000000001</v>
      </c>
      <c r="F52">
        <v>571891</v>
      </c>
      <c r="G52">
        <v>0.14030000000000001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0.55555555555555558</v>
      </c>
      <c r="Q52">
        <f t="shared" ref="Q52" si="236">F52*P52</f>
        <v>317717.22222222225</v>
      </c>
      <c r="R52">
        <f t="shared" ref="R52" si="237">R53+Q52</f>
        <v>-3111814092.2326779</v>
      </c>
      <c r="S52">
        <f t="shared" ref="S52" si="238">R52/100000</f>
        <v>-31118.14092232678</v>
      </c>
      <c r="T52">
        <f t="shared" ref="T52" si="239">S52/1000</f>
        <v>-31.118140922326781</v>
      </c>
    </row>
    <row r="53" spans="1:20" x14ac:dyDescent="0.25">
      <c r="A53" s="5">
        <v>44540</v>
      </c>
      <c r="B53">
        <v>0.14080000000000001</v>
      </c>
      <c r="C53">
        <v>0.1535</v>
      </c>
      <c r="D53">
        <v>0.13930000000000001</v>
      </c>
      <c r="E53">
        <v>0.14050000000000001</v>
      </c>
      <c r="F53">
        <v>53725945</v>
      </c>
      <c r="G53">
        <v>0.14050000000000001</v>
      </c>
      <c r="L53" t="s">
        <v>8</v>
      </c>
      <c r="M53" t="s">
        <v>7</v>
      </c>
      <c r="N53" t="s">
        <v>7</v>
      </c>
      <c r="P53">
        <f t="shared" ref="P53" si="240">IF(C53=D53,0,((E53-D53)-(C53-E53))/(C53-D53))</f>
        <v>-0.83098591549295675</v>
      </c>
      <c r="Q53">
        <f t="shared" ref="Q53" si="241">F53*P53</f>
        <v>-44645503.59154924</v>
      </c>
      <c r="R53">
        <f t="shared" ref="R53" si="242">R54+Q53</f>
        <v>-3112131809.4549003</v>
      </c>
      <c r="S53">
        <f t="shared" ref="S53" si="243">R53/100000</f>
        <v>-31121.318094549002</v>
      </c>
      <c r="T53">
        <f t="shared" ref="T53" si="244">S53/1000</f>
        <v>-31.121318094549004</v>
      </c>
    </row>
    <row r="54" spans="1:20" x14ac:dyDescent="0.25">
      <c r="A54" s="5">
        <v>44539</v>
      </c>
      <c r="B54">
        <v>0.1537</v>
      </c>
      <c r="C54">
        <v>0.15809999999999999</v>
      </c>
      <c r="D54">
        <v>0.14019999999999999</v>
      </c>
      <c r="E54">
        <v>0.14080000000000001</v>
      </c>
      <c r="F54">
        <v>59542818</v>
      </c>
      <c r="G54">
        <v>0.14080000000000001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-0.93296089385474668</v>
      </c>
      <c r="Q54">
        <f t="shared" ref="Q54" si="246">F54*P54</f>
        <v>-55551120.7039105</v>
      </c>
      <c r="R54">
        <f t="shared" ref="R54" si="247">R55+Q54</f>
        <v>-3067486305.8633509</v>
      </c>
      <c r="S54">
        <f t="shared" ref="S54" si="248">R54/100000</f>
        <v>-30674.863058633509</v>
      </c>
      <c r="T54">
        <f t="shared" ref="T54" si="249">S54/1000</f>
        <v>-30.674863058633509</v>
      </c>
    </row>
    <row r="55" spans="1:20" x14ac:dyDescent="0.25">
      <c r="A55" s="5">
        <v>44538</v>
      </c>
      <c r="B55">
        <v>0.14699999999999999</v>
      </c>
      <c r="C55">
        <v>0.16</v>
      </c>
      <c r="D55">
        <v>0.14530000000000001</v>
      </c>
      <c r="E55">
        <v>0.1537</v>
      </c>
      <c r="F55">
        <v>70289676</v>
      </c>
      <c r="G55">
        <v>0.1537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0.14285714285714232</v>
      </c>
      <c r="Q55">
        <f t="shared" ref="Q55" si="251">F55*P55</f>
        <v>10041382.285714248</v>
      </c>
      <c r="R55">
        <f t="shared" ref="R55" si="252">R56+Q55</f>
        <v>-3011935185.1594405</v>
      </c>
      <c r="S55">
        <f t="shared" ref="S55" si="253">R55/100000</f>
        <v>-30119.351851594405</v>
      </c>
      <c r="T55">
        <f t="shared" ref="T55" si="254">S55/1000</f>
        <v>-30.119351851594406</v>
      </c>
    </row>
    <row r="56" spans="1:20" x14ac:dyDescent="0.25">
      <c r="A56" s="5">
        <v>44537</v>
      </c>
      <c r="B56">
        <v>0.15279999999999999</v>
      </c>
      <c r="C56">
        <v>0.161</v>
      </c>
      <c r="D56">
        <v>0.1449</v>
      </c>
      <c r="E56">
        <v>0.14660000000000001</v>
      </c>
      <c r="F56">
        <v>12259556</v>
      </c>
      <c r="G56">
        <v>0.14660000000000001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-0.78881987577639667</v>
      </c>
      <c r="Q56">
        <f t="shared" ref="Q56" si="256">F56*P56</f>
        <v>-9670581.4409937784</v>
      </c>
      <c r="R56">
        <f t="shared" ref="R56" si="257">R57+Q56</f>
        <v>-3021976567.4451547</v>
      </c>
      <c r="S56">
        <f t="shared" ref="S56" si="258">R56/100000</f>
        <v>-30219.765674451548</v>
      </c>
      <c r="T56">
        <f t="shared" ref="T56" si="259">S56/1000</f>
        <v>-30.219765674451548</v>
      </c>
    </row>
    <row r="57" spans="1:20" x14ac:dyDescent="0.25">
      <c r="A57" s="5">
        <v>44536</v>
      </c>
      <c r="B57">
        <v>0.1522</v>
      </c>
      <c r="C57">
        <v>0.15529999999999999</v>
      </c>
      <c r="D57">
        <v>0.1363</v>
      </c>
      <c r="E57">
        <v>0.153</v>
      </c>
      <c r="F57">
        <v>26132912</v>
      </c>
      <c r="G57">
        <v>0.153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0.75789473684210551</v>
      </c>
      <c r="Q57">
        <f t="shared" ref="Q57" si="261">F57*P57</f>
        <v>19805996.4631579</v>
      </c>
      <c r="R57">
        <f t="shared" ref="R57" si="262">R58+Q57</f>
        <v>-3012305986.0041609</v>
      </c>
      <c r="S57">
        <f t="shared" ref="S57" si="263">R57/100000</f>
        <v>-30123.059860041609</v>
      </c>
      <c r="T57">
        <f t="shared" ref="T57" si="264">S57/1000</f>
        <v>-30.123059860041607</v>
      </c>
    </row>
    <row r="58" spans="1:20" x14ac:dyDescent="0.25">
      <c r="A58" s="5">
        <v>44535</v>
      </c>
      <c r="B58">
        <v>0.15540000000000001</v>
      </c>
      <c r="C58">
        <v>0.16839999999999999</v>
      </c>
      <c r="D58">
        <v>0.14710000000000001</v>
      </c>
      <c r="E58">
        <v>0.15190000000000001</v>
      </c>
      <c r="F58">
        <v>24718471</v>
      </c>
      <c r="G58">
        <v>0.15190000000000001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-0.54929577464788715</v>
      </c>
      <c r="Q58">
        <f t="shared" ref="Q58" si="266">F58*P58</f>
        <v>-13577751.676056333</v>
      </c>
      <c r="R58">
        <f t="shared" ref="R58" si="267">R59+Q58</f>
        <v>-3032111982.467319</v>
      </c>
      <c r="S58">
        <f t="shared" ref="S58" si="268">R58/100000</f>
        <v>-30321.119824673191</v>
      </c>
      <c r="T58">
        <f t="shared" ref="T58" si="269">S58/1000</f>
        <v>-30.32111982467319</v>
      </c>
    </row>
    <row r="59" spans="1:20" x14ac:dyDescent="0.25">
      <c r="A59" s="5">
        <v>44534</v>
      </c>
      <c r="B59">
        <v>0.17680000000000001</v>
      </c>
      <c r="C59">
        <v>0.19500000000000001</v>
      </c>
      <c r="D59">
        <v>0.1236</v>
      </c>
      <c r="E59">
        <v>0.15540000000000001</v>
      </c>
      <c r="F59">
        <v>51889928.399999999</v>
      </c>
      <c r="G59">
        <v>0.15540000000000001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-0.10924369747899142</v>
      </c>
      <c r="Q59">
        <f t="shared" ref="Q59" si="271">F59*P59</f>
        <v>-5668647.6403361252</v>
      </c>
      <c r="R59">
        <f t="shared" ref="R59" si="272">R60+Q59</f>
        <v>-3018534230.7912626</v>
      </c>
      <c r="S59">
        <f t="shared" ref="S59" si="273">R59/100000</f>
        <v>-30185.342307912626</v>
      </c>
      <c r="T59">
        <f t="shared" ref="T59" si="274">S59/1000</f>
        <v>-30.185342307912627</v>
      </c>
    </row>
    <row r="60" spans="1:20" x14ac:dyDescent="0.25">
      <c r="A60" s="5">
        <v>44533</v>
      </c>
      <c r="B60">
        <v>0.1744</v>
      </c>
      <c r="C60">
        <v>0.22</v>
      </c>
      <c r="D60">
        <v>0.17100000000000001</v>
      </c>
      <c r="E60">
        <v>0.1769</v>
      </c>
      <c r="F60">
        <v>108774940</v>
      </c>
      <c r="G60">
        <v>0.1769</v>
      </c>
      <c r="L60" t="s">
        <v>8</v>
      </c>
      <c r="M60" t="s">
        <v>8</v>
      </c>
      <c r="N60" t="s">
        <v>8</v>
      </c>
      <c r="P60">
        <f t="shared" ref="P60" si="275">IF(C60=D60,0,((E60-D60)-(C60-E60))/(C60-D60))</f>
        <v>-0.7591836734693882</v>
      </c>
      <c r="Q60">
        <f t="shared" ref="Q60" si="276">F60*P60</f>
        <v>-82580158.53061229</v>
      </c>
      <c r="R60">
        <f t="shared" ref="R60" si="277">R61+Q60</f>
        <v>-3012865583.1509266</v>
      </c>
      <c r="S60">
        <f t="shared" ref="S60" si="278">R60/100000</f>
        <v>-30128.655831509266</v>
      </c>
      <c r="T60">
        <f t="shared" ref="T60" si="279">S60/1000</f>
        <v>-30.128655831509267</v>
      </c>
    </row>
    <row r="61" spans="1:20" x14ac:dyDescent="0.25">
      <c r="A61" s="5">
        <v>44532</v>
      </c>
      <c r="B61">
        <v>0.1651</v>
      </c>
      <c r="C61">
        <v>0.18609999999999999</v>
      </c>
      <c r="D61">
        <v>0.15959999999999999</v>
      </c>
      <c r="E61">
        <v>0.1741</v>
      </c>
      <c r="F61">
        <v>40332930</v>
      </c>
      <c r="G61">
        <v>0.1741</v>
      </c>
      <c r="L61" t="s">
        <v>8</v>
      </c>
      <c r="M61" t="s">
        <v>7</v>
      </c>
      <c r="N61" t="s">
        <v>8</v>
      </c>
      <c r="P61">
        <f t="shared" ref="P61" si="280">IF(C61=D61,0,((E61-D61)-(C61-E61))/(C61-D61))</f>
        <v>9.4339622641510579E-2</v>
      </c>
      <c r="Q61">
        <f t="shared" ref="Q61" si="281">F61*P61</f>
        <v>3804993.396226461</v>
      </c>
      <c r="R61">
        <f t="shared" ref="R61" si="282">R62+Q61</f>
        <v>-2930285424.6203141</v>
      </c>
      <c r="S61">
        <f t="shared" ref="S61" si="283">R61/100000</f>
        <v>-29302.85424620314</v>
      </c>
      <c r="T61">
        <f t="shared" ref="T61" si="284">S61/1000</f>
        <v>-29.30285424620314</v>
      </c>
    </row>
    <row r="62" spans="1:20" x14ac:dyDescent="0.25">
      <c r="A62" s="5">
        <v>44531</v>
      </c>
      <c r="B62">
        <v>0.16489999999999999</v>
      </c>
      <c r="C62">
        <v>0.1716</v>
      </c>
      <c r="D62">
        <v>0.16089999999999999</v>
      </c>
      <c r="E62">
        <v>0.1651</v>
      </c>
      <c r="F62">
        <v>16571351</v>
      </c>
      <c r="G62">
        <v>0.1651</v>
      </c>
      <c r="L62" t="s">
        <v>7</v>
      </c>
      <c r="M62" t="s">
        <v>7</v>
      </c>
      <c r="N62" t="s">
        <v>8</v>
      </c>
      <c r="P62">
        <f t="shared" ref="P62" si="285">IF(C62=D62,0,((E62-D62)-(C62-E62))/(C62-D62))</f>
        <v>-0.21495327102803674</v>
      </c>
      <c r="Q62">
        <f t="shared" ref="Q62" si="286">F62*P62</f>
        <v>-3562066.1028037276</v>
      </c>
      <c r="R62">
        <f t="shared" ref="R62" si="287">R63+Q62</f>
        <v>-2934090418.0165405</v>
      </c>
      <c r="S62">
        <f t="shared" ref="S62" si="288">R62/100000</f>
        <v>-29340.904180165406</v>
      </c>
      <c r="T62">
        <f t="shared" ref="T62" si="289">S62/1000</f>
        <v>-29.340904180165406</v>
      </c>
    </row>
    <row r="63" spans="1:20" x14ac:dyDescent="0.25">
      <c r="A63" s="5">
        <v>44530</v>
      </c>
      <c r="B63">
        <v>0.1729</v>
      </c>
      <c r="C63">
        <v>0.17510000000000001</v>
      </c>
      <c r="D63">
        <v>0.1633</v>
      </c>
      <c r="E63">
        <v>0.1646</v>
      </c>
      <c r="F63">
        <v>17810665</v>
      </c>
      <c r="G63">
        <v>0.1646</v>
      </c>
      <c r="L63" t="s">
        <v>7</v>
      </c>
      <c r="M63" t="s">
        <v>7</v>
      </c>
      <c r="N63" t="s">
        <v>8</v>
      </c>
      <c r="P63">
        <f t="shared" ref="P63" si="290">IF(C63=D63,0,((E63-D63)-(C63-E63))/(C63-D63))</f>
        <v>-0.77966101694915335</v>
      </c>
      <c r="Q63">
        <f t="shared" ref="Q63" si="291">F63*P63</f>
        <v>-13886281.186440693</v>
      </c>
      <c r="R63">
        <f t="shared" ref="R63" si="292">R64+Q63</f>
        <v>-2930528351.9137368</v>
      </c>
      <c r="S63">
        <f t="shared" ref="S63" si="293">R63/100000</f>
        <v>-29305.283519137367</v>
      </c>
      <c r="T63">
        <f t="shared" ref="T63" si="294">S63/1000</f>
        <v>-29.305283519137365</v>
      </c>
    </row>
    <row r="64" spans="1:20" x14ac:dyDescent="0.25">
      <c r="A64" s="5">
        <v>44529</v>
      </c>
      <c r="B64">
        <v>0.1714</v>
      </c>
      <c r="C64">
        <v>0.183</v>
      </c>
      <c r="D64">
        <v>0.16900000000000001</v>
      </c>
      <c r="E64">
        <v>0.1729</v>
      </c>
      <c r="F64">
        <v>14337060</v>
      </c>
      <c r="G64">
        <v>0.1729</v>
      </c>
      <c r="L64" t="s">
        <v>8</v>
      </c>
      <c r="M64" t="s">
        <v>7</v>
      </c>
      <c r="N64" t="s">
        <v>8</v>
      </c>
      <c r="P64">
        <f t="shared" ref="P64" si="295">IF(C64=D64,0,((E64-D64)-(C64-E64))/(C64-D64))</f>
        <v>-0.44285714285714411</v>
      </c>
      <c r="Q64">
        <f t="shared" ref="Q64" si="296">F64*P64</f>
        <v>-6349269.4285714468</v>
      </c>
      <c r="R64">
        <f t="shared" ref="R64" si="297">R65+Q64</f>
        <v>-2916642070.7272964</v>
      </c>
      <c r="S64">
        <f t="shared" ref="S64" si="298">R64/100000</f>
        <v>-29166.420707272962</v>
      </c>
      <c r="T64">
        <f t="shared" ref="T64" si="299">S64/1000</f>
        <v>-29.166420707272962</v>
      </c>
    </row>
    <row r="65" spans="1:20" x14ac:dyDescent="0.25">
      <c r="A65" s="5">
        <v>44528</v>
      </c>
      <c r="B65">
        <v>0.17510000000000001</v>
      </c>
      <c r="C65">
        <v>0.1762</v>
      </c>
      <c r="D65">
        <v>0.16</v>
      </c>
      <c r="E65">
        <v>0.17150000000000001</v>
      </c>
      <c r="F65">
        <v>19262166</v>
      </c>
      <c r="G65">
        <v>0.17150000000000001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0.41975308641975501</v>
      </c>
      <c r="Q65">
        <f t="shared" ref="Q65" si="301">F65*P65</f>
        <v>8085353.6296296669</v>
      </c>
      <c r="R65">
        <f t="shared" ref="R65" si="302">R66+Q65</f>
        <v>-2910292801.2987251</v>
      </c>
      <c r="S65">
        <f t="shared" ref="S65" si="303">R65/100000</f>
        <v>-29102.92801298725</v>
      </c>
      <c r="T65">
        <f t="shared" ref="T65" si="304">S65/1000</f>
        <v>-29.102928012987249</v>
      </c>
    </row>
    <row r="66" spans="1:20" x14ac:dyDescent="0.25">
      <c r="A66" s="5">
        <v>44527</v>
      </c>
      <c r="B66">
        <v>0.16639999999999999</v>
      </c>
      <c r="C66">
        <v>0.1948</v>
      </c>
      <c r="D66">
        <v>0.1638</v>
      </c>
      <c r="E66">
        <v>0.17510000000000001</v>
      </c>
      <c r="F66">
        <v>50487457</v>
      </c>
      <c r="G66">
        <v>0.17510000000000001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-0.27096774193548356</v>
      </c>
      <c r="Q66">
        <f t="shared" ref="Q66" si="306">F66*P66</f>
        <v>-13680472.219354823</v>
      </c>
      <c r="R66">
        <f t="shared" ref="R66" si="307">R67+Q66</f>
        <v>-2918378154.9283547</v>
      </c>
      <c r="S66">
        <f t="shared" ref="S66" si="308">R66/100000</f>
        <v>-29183.781549283547</v>
      </c>
      <c r="T66">
        <f t="shared" ref="T66" si="309">S66/1000</f>
        <v>-29.183781549283548</v>
      </c>
    </row>
    <row r="67" spans="1:20" x14ac:dyDescent="0.25">
      <c r="A67" s="5">
        <v>44526</v>
      </c>
      <c r="B67">
        <v>0.1908</v>
      </c>
      <c r="C67">
        <v>0.20649999999999999</v>
      </c>
      <c r="D67">
        <v>0.16</v>
      </c>
      <c r="E67">
        <v>0.1663</v>
      </c>
      <c r="F67">
        <v>59512675</v>
      </c>
      <c r="G67">
        <v>0.1663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-0.72903225806451599</v>
      </c>
      <c r="Q67">
        <f t="shared" ref="Q67" si="311">F67*P67</f>
        <v>-43386659.838709667</v>
      </c>
      <c r="R67">
        <f t="shared" ref="R67" si="312">R68+Q67</f>
        <v>-2904697682.7090001</v>
      </c>
      <c r="S67">
        <f t="shared" ref="S67" si="313">R67/100000</f>
        <v>-29046.976827090002</v>
      </c>
      <c r="T67">
        <f t="shared" ref="T67" si="314">S67/1000</f>
        <v>-29.046976827090003</v>
      </c>
    </row>
    <row r="68" spans="1:20" x14ac:dyDescent="0.25">
      <c r="A68" s="5">
        <v>44525</v>
      </c>
      <c r="B68">
        <v>0.1585</v>
      </c>
      <c r="C68">
        <v>0.20549999999999999</v>
      </c>
      <c r="D68">
        <v>0.1573</v>
      </c>
      <c r="E68">
        <v>0.19059999999999999</v>
      </c>
      <c r="F68">
        <v>132324954</v>
      </c>
      <c r="G68">
        <v>0.19059999999999999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0.38174273858921165</v>
      </c>
      <c r="Q68">
        <f t="shared" ref="Q68" si="316">F68*P68</f>
        <v>50514090.323651455</v>
      </c>
      <c r="R68">
        <f t="shared" ref="R68" si="317">R69+Q68</f>
        <v>-2861311022.8702903</v>
      </c>
      <c r="S68">
        <f t="shared" ref="S68" si="318">R68/100000</f>
        <v>-28613.110228702903</v>
      </c>
      <c r="T68">
        <f t="shared" ref="T68" si="319">S68/1000</f>
        <v>-28.613110228702901</v>
      </c>
    </row>
    <row r="69" spans="1:20" x14ac:dyDescent="0.25">
      <c r="A69" s="5">
        <v>44524</v>
      </c>
      <c r="B69">
        <v>0.1646</v>
      </c>
      <c r="C69">
        <v>0.1648</v>
      </c>
      <c r="D69">
        <v>0.15759999999999999</v>
      </c>
      <c r="E69">
        <v>0.1605</v>
      </c>
      <c r="F69">
        <v>3431152</v>
      </c>
      <c r="G69">
        <v>0.1605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-0.19444444444444198</v>
      </c>
      <c r="Q69">
        <f t="shared" ref="Q69" si="321">F69*P69</f>
        <v>-667168.444444436</v>
      </c>
      <c r="R69">
        <f t="shared" ref="R69" si="322">R70+Q69</f>
        <v>-2911825113.1939416</v>
      </c>
      <c r="S69">
        <f t="shared" ref="S69" si="323">R69/100000</f>
        <v>-29118.251131939414</v>
      </c>
      <c r="T69">
        <f t="shared" ref="T69" si="324">S69/1000</f>
        <v>-29.118251131939413</v>
      </c>
    </row>
    <row r="70" spans="1:20" x14ac:dyDescent="0.25">
      <c r="A70" s="5">
        <v>44523</v>
      </c>
      <c r="B70">
        <v>0.16669999999999999</v>
      </c>
      <c r="C70">
        <v>0.16950000000000001</v>
      </c>
      <c r="D70">
        <v>0.1623</v>
      </c>
      <c r="E70">
        <v>0.1646</v>
      </c>
      <c r="F70">
        <v>10421790</v>
      </c>
      <c r="G70">
        <v>0.1646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-0.36111111111111316</v>
      </c>
      <c r="Q70">
        <f t="shared" ref="Q70" si="326">F70*P70</f>
        <v>-3763424.1666666879</v>
      </c>
      <c r="R70">
        <f t="shared" ref="R70" si="327">R71+Q70</f>
        <v>-2911157944.7494969</v>
      </c>
      <c r="S70">
        <f t="shared" ref="S70" si="328">R70/100000</f>
        <v>-29111.579447494969</v>
      </c>
      <c r="T70">
        <f t="shared" ref="T70" si="329">S70/1000</f>
        <v>-29.111579447494968</v>
      </c>
    </row>
    <row r="71" spans="1:20" x14ac:dyDescent="0.25">
      <c r="A71" s="5">
        <v>44522</v>
      </c>
      <c r="B71">
        <v>0.17199999999999999</v>
      </c>
      <c r="C71">
        <v>0.1797</v>
      </c>
      <c r="D71">
        <v>0.16320000000000001</v>
      </c>
      <c r="E71">
        <v>0.16669999999999999</v>
      </c>
      <c r="F71">
        <v>15092812</v>
      </c>
      <c r="G71">
        <v>0.16669999999999999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-0.57575757575757835</v>
      </c>
      <c r="Q71">
        <f t="shared" ref="Q71" si="331">F71*P71</f>
        <v>-8689800.8484848868</v>
      </c>
      <c r="R71">
        <f t="shared" ref="R71" si="332">R72+Q71</f>
        <v>-2907394520.5828304</v>
      </c>
      <c r="S71">
        <f t="shared" ref="S71" si="333">R71/100000</f>
        <v>-29073.945205828306</v>
      </c>
      <c r="T71">
        <f t="shared" ref="T71" si="334">S71/1000</f>
        <v>-29.073945205828306</v>
      </c>
    </row>
    <row r="72" spans="1:20" x14ac:dyDescent="0.25">
      <c r="A72" s="5">
        <v>44521</v>
      </c>
      <c r="B72">
        <v>0.1719</v>
      </c>
      <c r="C72">
        <v>0.1817</v>
      </c>
      <c r="D72">
        <v>0.1666</v>
      </c>
      <c r="E72">
        <v>0.17230000000000001</v>
      </c>
      <c r="F72">
        <v>26179928</v>
      </c>
      <c r="G72">
        <v>0.17230000000000001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-0.24503311258278015</v>
      </c>
      <c r="Q72">
        <f t="shared" ref="Q72" si="336">F72*P72</f>
        <v>-6414949.2450330788</v>
      </c>
      <c r="R72">
        <f t="shared" ref="R72" si="337">R73+Q72</f>
        <v>-2898704719.7343454</v>
      </c>
      <c r="S72">
        <f t="shared" ref="S72" si="338">R72/100000</f>
        <v>-28987.047197343454</v>
      </c>
      <c r="T72">
        <f t="shared" ref="T72" si="339">S72/1000</f>
        <v>-28.987047197343454</v>
      </c>
    </row>
    <row r="73" spans="1:20" x14ac:dyDescent="0.25">
      <c r="A73" s="5">
        <v>44520</v>
      </c>
      <c r="B73">
        <v>0.159</v>
      </c>
      <c r="C73">
        <v>0.17460000000000001</v>
      </c>
      <c r="D73">
        <v>0.156</v>
      </c>
      <c r="E73">
        <v>0.1719</v>
      </c>
      <c r="F73">
        <v>31022836</v>
      </c>
      <c r="G73">
        <v>0.1719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0.70967741935483797</v>
      </c>
      <c r="Q73">
        <f t="shared" ref="Q73" si="341">F73*P73</f>
        <v>22016206.193548363</v>
      </c>
      <c r="R73">
        <f t="shared" ref="R73" si="342">R74+Q73</f>
        <v>-2892289770.4893122</v>
      </c>
      <c r="S73">
        <f t="shared" ref="S73" si="343">R73/100000</f>
        <v>-28922.897704893123</v>
      </c>
      <c r="T73">
        <f t="shared" ref="T73" si="344">S73/1000</f>
        <v>-28.922897704893124</v>
      </c>
    </row>
    <row r="74" spans="1:20" x14ac:dyDescent="0.25">
      <c r="A74" s="5">
        <v>44519</v>
      </c>
      <c r="B74">
        <v>0.14990000000000001</v>
      </c>
      <c r="C74">
        <v>0.16439999999999999</v>
      </c>
      <c r="D74">
        <v>0.14829999999999999</v>
      </c>
      <c r="E74">
        <v>0.15859999999999999</v>
      </c>
      <c r="F74">
        <v>10161917</v>
      </c>
      <c r="G74">
        <v>0.15859999999999999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0.27950310559006231</v>
      </c>
      <c r="Q74">
        <f t="shared" ref="Q74" si="346">F74*P74</f>
        <v>2840287.3602484493</v>
      </c>
      <c r="R74">
        <f t="shared" ref="R74" si="347">R75+Q74</f>
        <v>-2914305976.6828604</v>
      </c>
      <c r="S74">
        <f t="shared" ref="S74" si="348">R74/100000</f>
        <v>-29143.059766828603</v>
      </c>
      <c r="T74">
        <f t="shared" ref="T74" si="349">S74/1000</f>
        <v>-29.143059766828603</v>
      </c>
    </row>
    <row r="75" spans="1:20" x14ac:dyDescent="0.25">
      <c r="A75" s="5">
        <v>44518</v>
      </c>
      <c r="B75">
        <v>0.16489999999999999</v>
      </c>
      <c r="C75">
        <v>0.1666</v>
      </c>
      <c r="D75">
        <v>0.14349999999999999</v>
      </c>
      <c r="E75">
        <v>0.14990000000000001</v>
      </c>
      <c r="F75">
        <v>15188236</v>
      </c>
      <c r="G75">
        <v>0.14990000000000001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-0.44588744588744467</v>
      </c>
      <c r="Q75">
        <f t="shared" ref="Q75" si="351">F75*P75</f>
        <v>-6772243.7575757392</v>
      </c>
      <c r="R75">
        <f t="shared" ref="R75" si="352">R76+Q75</f>
        <v>-2917146264.0431089</v>
      </c>
      <c r="S75">
        <f t="shared" ref="S75" si="353">R75/100000</f>
        <v>-29171.462640431091</v>
      </c>
      <c r="T75">
        <f t="shared" ref="T75" si="354">S75/1000</f>
        <v>-29.171462640431091</v>
      </c>
    </row>
    <row r="76" spans="1:20" x14ac:dyDescent="0.25">
      <c r="A76" s="5">
        <v>44517</v>
      </c>
      <c r="B76">
        <v>0.16550000000000001</v>
      </c>
      <c r="C76">
        <v>0.16689999999999999</v>
      </c>
      <c r="D76">
        <v>0.15890000000000001</v>
      </c>
      <c r="E76">
        <v>0.1648</v>
      </c>
      <c r="F76">
        <v>11651900</v>
      </c>
      <c r="G76">
        <v>0.1648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0.47500000000000098</v>
      </c>
      <c r="Q76">
        <f t="shared" ref="Q76" si="356">F76*P76</f>
        <v>5534652.5000000112</v>
      </c>
      <c r="R76">
        <f t="shared" ref="R76" si="357">R77+Q76</f>
        <v>-2910374020.2855334</v>
      </c>
      <c r="S76">
        <f t="shared" ref="S76" si="358">R76/100000</f>
        <v>-29103.740202855333</v>
      </c>
      <c r="T76">
        <f t="shared" ref="T76" si="359">S76/1000</f>
        <v>-29.103740202855334</v>
      </c>
    </row>
    <row r="77" spans="1:20" x14ac:dyDescent="0.25">
      <c r="A77" s="5">
        <v>44516</v>
      </c>
      <c r="B77">
        <v>0.1804</v>
      </c>
      <c r="C77">
        <v>0.1875</v>
      </c>
      <c r="D77">
        <v>0.15909999999999999</v>
      </c>
      <c r="E77">
        <v>0.16550000000000001</v>
      </c>
      <c r="F77">
        <v>20439828</v>
      </c>
      <c r="G77">
        <v>0.16550000000000001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-0.54929577464788626</v>
      </c>
      <c r="Q77">
        <f t="shared" ref="Q77" si="361">F77*P77</f>
        <v>-11227511.154929556</v>
      </c>
      <c r="R77">
        <f t="shared" ref="R77" si="362">R78+Q77</f>
        <v>-2915908672.7855334</v>
      </c>
      <c r="S77">
        <f t="shared" ref="S77" si="363">R77/100000</f>
        <v>-29159.086727855334</v>
      </c>
      <c r="T77">
        <f t="shared" ref="T77" si="364">S77/1000</f>
        <v>-29.159086727855335</v>
      </c>
    </row>
    <row r="78" spans="1:20" x14ac:dyDescent="0.25">
      <c r="A78" s="5">
        <v>44515</v>
      </c>
      <c r="B78">
        <v>0.18779999999999999</v>
      </c>
      <c r="C78">
        <v>0.18890000000000001</v>
      </c>
      <c r="D78">
        <v>0.1792</v>
      </c>
      <c r="E78">
        <v>0.1804</v>
      </c>
      <c r="F78">
        <v>14894305</v>
      </c>
      <c r="G78">
        <v>0.1804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-0.75257731958762786</v>
      </c>
      <c r="Q78">
        <f t="shared" ref="Q78" si="366">F78*P78</f>
        <v>-11209116.134020604</v>
      </c>
      <c r="R78">
        <f t="shared" ref="R78" si="367">R79+Q78</f>
        <v>-2904681161.6306038</v>
      </c>
      <c r="S78">
        <f t="shared" ref="S78" si="368">R78/100000</f>
        <v>-29046.811616306037</v>
      </c>
      <c r="T78">
        <f t="shared" ref="T78" si="369">S78/1000</f>
        <v>-29.046811616306037</v>
      </c>
    </row>
    <row r="79" spans="1:20" x14ac:dyDescent="0.25">
      <c r="A79" s="5">
        <v>44514</v>
      </c>
      <c r="B79">
        <v>0.18690000000000001</v>
      </c>
      <c r="C79">
        <v>0.19</v>
      </c>
      <c r="D79">
        <v>0.183</v>
      </c>
      <c r="E79">
        <v>0.18779999999999999</v>
      </c>
      <c r="F79">
        <v>9610190</v>
      </c>
      <c r="G79">
        <v>0.18779999999999999</v>
      </c>
      <c r="L79" t="s">
        <v>8</v>
      </c>
      <c r="M79" t="s">
        <v>7</v>
      </c>
      <c r="N79" t="s">
        <v>7</v>
      </c>
      <c r="P79">
        <f t="shared" ref="P79" si="370">IF(C79=D79,0,((E79-D79)-(C79-E79))/(C79-D79))</f>
        <v>0.37142857142856983</v>
      </c>
      <c r="Q79">
        <f t="shared" ref="Q79" si="371">F79*P79</f>
        <v>3569499.1428571274</v>
      </c>
      <c r="R79">
        <f t="shared" ref="R79" si="372">R80+Q79</f>
        <v>-2893472045.496583</v>
      </c>
      <c r="S79">
        <f t="shared" ref="S79" si="373">R79/100000</f>
        <v>-28934.720454965831</v>
      </c>
      <c r="T79">
        <f t="shared" ref="T79" si="374">S79/1000</f>
        <v>-28.934720454965831</v>
      </c>
    </row>
    <row r="80" spans="1:20" x14ac:dyDescent="0.25">
      <c r="A80" s="5">
        <v>44513</v>
      </c>
      <c r="B80">
        <v>0.18529999999999999</v>
      </c>
      <c r="C80">
        <v>0.19370000000000001</v>
      </c>
      <c r="D80">
        <v>0.1825</v>
      </c>
      <c r="E80">
        <v>0.18720000000000001</v>
      </c>
      <c r="F80">
        <v>13440421</v>
      </c>
      <c r="G80">
        <v>0.18720000000000001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-0.16071428571428514</v>
      </c>
      <c r="Q80">
        <f t="shared" ref="Q80" si="376">F80*P80</f>
        <v>-2160067.660714278</v>
      </c>
      <c r="R80">
        <f t="shared" ref="R80" si="377">R81+Q80</f>
        <v>-2897041544.6394401</v>
      </c>
      <c r="S80">
        <f t="shared" ref="S80" si="378">R80/100000</f>
        <v>-28970.4154463944</v>
      </c>
      <c r="T80">
        <f t="shared" ref="T80" si="379">S80/1000</f>
        <v>-28.970415446394398</v>
      </c>
    </row>
    <row r="81" spans="1:20" x14ac:dyDescent="0.25">
      <c r="A81" s="5">
        <v>44512</v>
      </c>
      <c r="B81">
        <v>0.18759999999999999</v>
      </c>
      <c r="C81">
        <v>0.193</v>
      </c>
      <c r="D81">
        <v>0.18099999999999999</v>
      </c>
      <c r="E81">
        <v>0.18529999999999999</v>
      </c>
      <c r="F81">
        <v>17083351</v>
      </c>
      <c r="G81">
        <v>0.18529999999999999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-0.28333333333333427</v>
      </c>
      <c r="Q81">
        <f t="shared" ref="Q81" si="381">F81*P81</f>
        <v>-4840282.783333349</v>
      </c>
      <c r="R81">
        <f t="shared" ref="R81" si="382">R82+Q81</f>
        <v>-2894881476.9787259</v>
      </c>
      <c r="S81">
        <f t="shared" ref="S81" si="383">R81/100000</f>
        <v>-28948.814769787259</v>
      </c>
      <c r="T81">
        <f t="shared" ref="T81" si="384">S81/1000</f>
        <v>-28.948814769787258</v>
      </c>
    </row>
    <row r="82" spans="1:20" x14ac:dyDescent="0.25">
      <c r="A82" s="5">
        <v>44511</v>
      </c>
      <c r="B82">
        <v>0.1794</v>
      </c>
      <c r="C82">
        <v>0.20499999999999999</v>
      </c>
      <c r="D82">
        <v>0.17730000000000001</v>
      </c>
      <c r="E82">
        <v>0.18759999999999999</v>
      </c>
      <c r="F82">
        <v>38925389</v>
      </c>
      <c r="G82">
        <v>0.18759999999999999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-0.25631768953068701</v>
      </c>
      <c r="Q82">
        <f t="shared" ref="Q82" si="386">F82*P82</f>
        <v>-9977265.7725632191</v>
      </c>
      <c r="R82">
        <f t="shared" ref="R82" si="387">R83+Q82</f>
        <v>-2890041194.1953926</v>
      </c>
      <c r="S82">
        <f t="shared" ref="S82" si="388">R82/100000</f>
        <v>-28900.411941953927</v>
      </c>
      <c r="T82">
        <f t="shared" ref="T82" si="389">S82/1000</f>
        <v>-28.900411941953926</v>
      </c>
    </row>
    <row r="83" spans="1:20" x14ac:dyDescent="0.25">
      <c r="A83" s="5">
        <v>44510</v>
      </c>
      <c r="B83">
        <v>0.18049999999999999</v>
      </c>
      <c r="C83">
        <v>0.21240000000000001</v>
      </c>
      <c r="D83">
        <v>0.1744</v>
      </c>
      <c r="E83">
        <v>0.1794</v>
      </c>
      <c r="F83">
        <v>70212887</v>
      </c>
      <c r="G83">
        <v>0.1794</v>
      </c>
      <c r="L83" t="s">
        <v>7</v>
      </c>
      <c r="M83" t="s">
        <v>8</v>
      </c>
      <c r="N83" t="s">
        <v>7</v>
      </c>
      <c r="P83">
        <f t="shared" ref="P83" si="390">IF(C83=D83,0,((E83-D83)-(C83-E83))/(C83-D83))</f>
        <v>-0.73684210526315774</v>
      </c>
      <c r="Q83">
        <f t="shared" ref="Q83" si="391">F83*P83</f>
        <v>-51735811.473684199</v>
      </c>
      <c r="R83">
        <f t="shared" ref="R83" si="392">R84+Q83</f>
        <v>-2880063928.4228296</v>
      </c>
      <c r="S83">
        <f t="shared" ref="S83" si="393">R83/100000</f>
        <v>-28800.639284228295</v>
      </c>
      <c r="T83">
        <f t="shared" ref="T83" si="394">S83/1000</f>
        <v>-28.800639284228296</v>
      </c>
    </row>
    <row r="84" spans="1:20" x14ac:dyDescent="0.25">
      <c r="A84" s="5">
        <v>44509</v>
      </c>
      <c r="B84">
        <v>0.18379999999999999</v>
      </c>
      <c r="C84">
        <v>0.1857</v>
      </c>
      <c r="D84">
        <v>0.17929999999999999</v>
      </c>
      <c r="E84">
        <v>0.1804</v>
      </c>
      <c r="F84">
        <v>13609014</v>
      </c>
      <c r="G84">
        <v>0.1804</v>
      </c>
      <c r="L84" t="s">
        <v>7</v>
      </c>
      <c r="M84" t="s">
        <v>8</v>
      </c>
      <c r="N84" t="s">
        <v>7</v>
      </c>
      <c r="P84">
        <f t="shared" ref="P84" si="395">IF(C84=D84,0,((E84-D84)-(C84-E84))/(C84-D84))</f>
        <v>-0.65624999999999534</v>
      </c>
      <c r="Q84">
        <f t="shared" ref="Q84" si="396">F84*P84</f>
        <v>-8930915.4374999367</v>
      </c>
      <c r="R84">
        <f t="shared" ref="R84" si="397">R85+Q84</f>
        <v>-2828328116.9491453</v>
      </c>
      <c r="S84">
        <f t="shared" ref="S84" si="398">R84/100000</f>
        <v>-28283.281169491453</v>
      </c>
      <c r="T84">
        <f t="shared" ref="T84" si="399">S84/1000</f>
        <v>-28.283281169491453</v>
      </c>
    </row>
    <row r="85" spans="1:20" x14ac:dyDescent="0.25">
      <c r="A85" s="5">
        <v>44508</v>
      </c>
      <c r="B85">
        <v>0.18090000000000001</v>
      </c>
      <c r="C85">
        <v>0.18679999999999999</v>
      </c>
      <c r="D85">
        <v>0.17530000000000001</v>
      </c>
      <c r="E85">
        <v>0.1842</v>
      </c>
      <c r="F85">
        <v>19545033</v>
      </c>
      <c r="G85">
        <v>0.1842</v>
      </c>
      <c r="L85" t="s">
        <v>7</v>
      </c>
      <c r="M85" t="s">
        <v>8</v>
      </c>
      <c r="N85" t="s">
        <v>7</v>
      </c>
      <c r="P85">
        <f t="shared" ref="P85" si="400">IF(C85=D85,0,((E85-D85)-(C85-E85))/(C85-D85))</f>
        <v>0.54782608695652257</v>
      </c>
      <c r="Q85">
        <f t="shared" ref="Q85" si="401">F85*P85</f>
        <v>10707278.947826102</v>
      </c>
      <c r="R85">
        <f t="shared" ref="R85" si="402">R86+Q85</f>
        <v>-2819397201.5116453</v>
      </c>
      <c r="S85">
        <f t="shared" ref="S85" si="403">R85/100000</f>
        <v>-28193.972015116455</v>
      </c>
      <c r="T85">
        <f t="shared" ref="T85" si="404">S85/1000</f>
        <v>-28.193972015116454</v>
      </c>
    </row>
    <row r="86" spans="1:20" x14ac:dyDescent="0.25">
      <c r="A86" s="5">
        <v>44507</v>
      </c>
      <c r="B86">
        <v>0.19040000000000001</v>
      </c>
      <c r="C86">
        <v>0.20599999999999999</v>
      </c>
      <c r="D86">
        <v>0.17599999999999999</v>
      </c>
      <c r="E86">
        <v>0.18090000000000001</v>
      </c>
      <c r="F86">
        <v>59750802</v>
      </c>
      <c r="G86">
        <v>0.18090000000000001</v>
      </c>
      <c r="L86" t="s">
        <v>8</v>
      </c>
      <c r="M86" t="s">
        <v>8</v>
      </c>
      <c r="N86" t="s">
        <v>7</v>
      </c>
      <c r="P86">
        <f t="shared" ref="P86" si="405">IF(C86=D86,0,((E86-D86)-(C86-E86))/(C86-D86))</f>
        <v>-0.67333333333333234</v>
      </c>
      <c r="Q86">
        <f t="shared" ref="Q86" si="406">F86*P86</f>
        <v>-40232206.67999994</v>
      </c>
      <c r="R86">
        <f t="shared" ref="R86" si="407">R87+Q86</f>
        <v>-2830104480.4594712</v>
      </c>
      <c r="S86">
        <f t="shared" ref="S86" si="408">R86/100000</f>
        <v>-28301.044804594712</v>
      </c>
      <c r="T86">
        <f t="shared" ref="T86" si="409">S86/1000</f>
        <v>-28.301044804594714</v>
      </c>
    </row>
    <row r="87" spans="1:20" x14ac:dyDescent="0.25">
      <c r="A87" s="5">
        <v>44506</v>
      </c>
      <c r="B87">
        <v>0.17130000000000001</v>
      </c>
      <c r="C87">
        <v>0.19489999999999999</v>
      </c>
      <c r="D87">
        <v>0.16919999999999999</v>
      </c>
      <c r="E87">
        <v>0.1908</v>
      </c>
      <c r="F87">
        <v>47554009</v>
      </c>
      <c r="G87">
        <v>0.1908</v>
      </c>
      <c r="L87" t="s">
        <v>8</v>
      </c>
      <c r="M87" t="s">
        <v>7</v>
      </c>
      <c r="N87" t="s">
        <v>7</v>
      </c>
      <c r="P87">
        <f t="shared" ref="P87" si="410">IF(C87=D87,0,((E87-D87)-(C87-E87))/(C87-D87))</f>
        <v>0.6809338521400784</v>
      </c>
      <c r="Q87">
        <f t="shared" ref="Q87" si="411">F87*P87</f>
        <v>32381134.533073958</v>
      </c>
      <c r="R87">
        <f t="shared" ref="R87" si="412">R88+Q87</f>
        <v>-2789872273.7794714</v>
      </c>
      <c r="S87">
        <f t="shared" ref="S87" si="413">R87/100000</f>
        <v>-27898.722737794713</v>
      </c>
      <c r="T87">
        <f t="shared" ref="T87" si="414">S87/1000</f>
        <v>-27.898722737794714</v>
      </c>
    </row>
    <row r="88" spans="1:20" x14ac:dyDescent="0.25">
      <c r="A88" s="5">
        <v>44505</v>
      </c>
      <c r="B88">
        <v>0.17610000000000001</v>
      </c>
      <c r="C88">
        <v>0.1769</v>
      </c>
      <c r="D88">
        <v>0.16830000000000001</v>
      </c>
      <c r="E88">
        <v>0.17130000000000001</v>
      </c>
      <c r="F88">
        <v>18172574</v>
      </c>
      <c r="G88">
        <v>0.17130000000000001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-0.30232558139534793</v>
      </c>
      <c r="Q88">
        <f t="shared" ref="Q88" si="416">F88*P88</f>
        <v>-5494033.9999999832</v>
      </c>
      <c r="R88">
        <f t="shared" ref="R88" si="417">R89+Q88</f>
        <v>-2822253408.3125453</v>
      </c>
      <c r="S88">
        <f t="shared" ref="S88" si="418">R88/100000</f>
        <v>-28222.534083125454</v>
      </c>
      <c r="T88">
        <f t="shared" ref="T88" si="419">S88/1000</f>
        <v>-28.222534083125453</v>
      </c>
    </row>
    <row r="89" spans="1:20" x14ac:dyDescent="0.25">
      <c r="A89" s="5">
        <v>44504</v>
      </c>
      <c r="B89">
        <v>0.18529999999999999</v>
      </c>
      <c r="C89">
        <v>0.19389999999999999</v>
      </c>
      <c r="D89">
        <v>0.17199999999999999</v>
      </c>
      <c r="E89">
        <v>0.17610000000000001</v>
      </c>
      <c r="F89">
        <v>34932782</v>
      </c>
      <c r="G89">
        <v>0.17610000000000001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-0.62557077625570601</v>
      </c>
      <c r="Q89">
        <f t="shared" ref="Q89" si="421">F89*P89</f>
        <v>-21852927.552511353</v>
      </c>
      <c r="R89">
        <f t="shared" ref="R89" si="422">R90+Q89</f>
        <v>-2816759374.3125453</v>
      </c>
      <c r="S89">
        <f t="shared" ref="S89" si="423">R89/100000</f>
        <v>-28167.593743125453</v>
      </c>
      <c r="T89">
        <f t="shared" ref="T89" si="424">S89/1000</f>
        <v>-28.167593743125455</v>
      </c>
    </row>
    <row r="90" spans="1:20" x14ac:dyDescent="0.25">
      <c r="A90" s="5">
        <v>44503</v>
      </c>
      <c r="B90">
        <v>0.1676</v>
      </c>
      <c r="C90">
        <v>0.20880000000000001</v>
      </c>
      <c r="D90">
        <v>0.1636</v>
      </c>
      <c r="E90">
        <v>0.1852</v>
      </c>
      <c r="F90">
        <v>83611421</v>
      </c>
      <c r="G90">
        <v>0.1852</v>
      </c>
      <c r="L90" t="s">
        <v>8</v>
      </c>
      <c r="M90" t="s">
        <v>8</v>
      </c>
      <c r="N90" t="s">
        <v>7</v>
      </c>
      <c r="P90">
        <f t="shared" ref="P90" si="425">IF(C90=D90,0,((E90-D90)-(C90-E90))/(C90-D90))</f>
        <v>-4.4247787610619489E-2</v>
      </c>
      <c r="Q90">
        <f t="shared" ref="Q90" si="426">F90*P90</f>
        <v>-3699620.3982300903</v>
      </c>
      <c r="R90">
        <f t="shared" ref="R90" si="427">R91+Q90</f>
        <v>-2794906446.7600341</v>
      </c>
      <c r="S90">
        <f t="shared" ref="S90" si="428">R90/100000</f>
        <v>-27949.064467600339</v>
      </c>
      <c r="T90">
        <f t="shared" ref="T90" si="429">S90/1000</f>
        <v>-27.949064467600341</v>
      </c>
    </row>
    <row r="91" spans="1:20" x14ac:dyDescent="0.25">
      <c r="A91" s="5">
        <v>44502</v>
      </c>
      <c r="B91">
        <v>0.16819999999999999</v>
      </c>
      <c r="C91">
        <v>0.17269999999999999</v>
      </c>
      <c r="D91">
        <v>0.16589999999999999</v>
      </c>
      <c r="E91">
        <v>0.1676</v>
      </c>
      <c r="F91">
        <v>17144186</v>
      </c>
      <c r="G91">
        <v>0.1676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-0.49999999999999795</v>
      </c>
      <c r="Q91">
        <f t="shared" ref="Q91" si="431">F91*P91</f>
        <v>-8572092.9999999646</v>
      </c>
      <c r="R91">
        <f t="shared" ref="R91" si="432">R92+Q91</f>
        <v>-2791206826.361804</v>
      </c>
      <c r="S91">
        <f t="shared" ref="S91" si="433">R91/100000</f>
        <v>-27912.068263618039</v>
      </c>
      <c r="T91">
        <f t="shared" ref="T91" si="434">S91/1000</f>
        <v>-27.912068263618039</v>
      </c>
    </row>
    <row r="92" spans="1:20" x14ac:dyDescent="0.25">
      <c r="A92" s="5">
        <v>44501</v>
      </c>
      <c r="B92">
        <v>0.1714</v>
      </c>
      <c r="C92">
        <v>0.1714</v>
      </c>
      <c r="D92">
        <v>0.16059999999999999</v>
      </c>
      <c r="E92">
        <v>0.1678</v>
      </c>
      <c r="F92">
        <v>16240333</v>
      </c>
      <c r="G92">
        <v>0.1678</v>
      </c>
      <c r="L92" t="s">
        <v>7</v>
      </c>
      <c r="M92" t="s">
        <v>8</v>
      </c>
      <c r="N92" t="s">
        <v>7</v>
      </c>
      <c r="P92">
        <f t="shared" ref="P92" si="435">IF(C92=D92,0,((E92-D92)-(C92-E92))/(C92-D92))</f>
        <v>0.33333333333333504</v>
      </c>
      <c r="Q92">
        <f t="shared" ref="Q92" si="436">F92*P92</f>
        <v>5413444.333333361</v>
      </c>
      <c r="R92">
        <f t="shared" ref="R92" si="437">R93+Q92</f>
        <v>-2782634733.361804</v>
      </c>
      <c r="S92">
        <f t="shared" ref="S92" si="438">R92/100000</f>
        <v>-27826.34733361804</v>
      </c>
      <c r="T92">
        <f t="shared" ref="T92" si="439">S92/1000</f>
        <v>-27.826347333618038</v>
      </c>
    </row>
    <row r="93" spans="1:20" x14ac:dyDescent="0.25">
      <c r="A93" s="5">
        <v>44500</v>
      </c>
      <c r="B93">
        <v>0.1656</v>
      </c>
      <c r="C93">
        <v>0.1794</v>
      </c>
      <c r="D93">
        <v>0.16500000000000001</v>
      </c>
      <c r="E93">
        <v>0.17169999999999999</v>
      </c>
      <c r="F93">
        <v>33606766</v>
      </c>
      <c r="G93">
        <v>0.17169999999999999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-6.9444444444446446E-2</v>
      </c>
      <c r="Q93">
        <f t="shared" ref="Q93" si="441">F93*P93</f>
        <v>-2333803.1944445116</v>
      </c>
      <c r="R93">
        <f t="shared" ref="R93" si="442">R94+Q93</f>
        <v>-2788048177.6951375</v>
      </c>
      <c r="S93">
        <f t="shared" ref="S93" si="443">R93/100000</f>
        <v>-27880.481776951376</v>
      </c>
      <c r="T93">
        <f t="shared" ref="T93" si="444">S93/1000</f>
        <v>-27.880481776951374</v>
      </c>
    </row>
    <row r="94" spans="1:20" x14ac:dyDescent="0.25">
      <c r="A94" s="5">
        <v>44499</v>
      </c>
      <c r="B94">
        <v>0.16719999999999999</v>
      </c>
      <c r="C94">
        <v>0.1694</v>
      </c>
      <c r="D94">
        <v>0.16020000000000001</v>
      </c>
      <c r="E94">
        <v>0.16550000000000001</v>
      </c>
      <c r="F94">
        <v>16561225</v>
      </c>
      <c r="G94">
        <v>0.16550000000000001</v>
      </c>
      <c r="L94" t="s">
        <v>7</v>
      </c>
      <c r="M94" t="s">
        <v>8</v>
      </c>
      <c r="N94" t="s">
        <v>7</v>
      </c>
      <c r="P94">
        <f t="shared" ref="P94" si="445">IF(C94=D94,0,((E94-D94)-(C94-E94))/(C94-D94))</f>
        <v>0.15217391304347982</v>
      </c>
      <c r="Q94">
        <f t="shared" ref="Q94" si="446">F94*P94</f>
        <v>2520186.4130435041</v>
      </c>
      <c r="R94">
        <f t="shared" ref="R94" si="447">R95+Q94</f>
        <v>-2785714374.5006928</v>
      </c>
      <c r="S94">
        <f t="shared" ref="S94" si="448">R94/100000</f>
        <v>-27857.143745006928</v>
      </c>
      <c r="T94">
        <f t="shared" ref="T94" si="449">S94/1000</f>
        <v>-27.85714374500693</v>
      </c>
    </row>
    <row r="95" spans="1:20" x14ac:dyDescent="0.25">
      <c r="A95" s="5">
        <v>44498</v>
      </c>
      <c r="B95">
        <v>0.16339999999999999</v>
      </c>
      <c r="C95">
        <v>0.17130000000000001</v>
      </c>
      <c r="D95">
        <v>0.16039999999999999</v>
      </c>
      <c r="E95">
        <v>0.16719999999999999</v>
      </c>
      <c r="F95">
        <v>19719899</v>
      </c>
      <c r="G95">
        <v>0.16719999999999999</v>
      </c>
      <c r="L95" t="s">
        <v>7</v>
      </c>
      <c r="M95" t="s">
        <v>8</v>
      </c>
      <c r="N95" t="s">
        <v>7</v>
      </c>
      <c r="P95">
        <f t="shared" ref="P95" si="450">IF(C95=D95,0,((E95-D95)-(C95-E95))/(C95-D95))</f>
        <v>0.24770642201834633</v>
      </c>
      <c r="Q95">
        <f t="shared" ref="Q95" si="451">F95*P95</f>
        <v>4884745.6238531657</v>
      </c>
      <c r="R95">
        <f t="shared" ref="R95" si="452">R96+Q95</f>
        <v>-2788234560.9137363</v>
      </c>
      <c r="S95">
        <f t="shared" ref="S95" si="453">R95/100000</f>
        <v>-27882.345609137363</v>
      </c>
      <c r="T95">
        <f t="shared" ref="T95" si="454">S95/1000</f>
        <v>-27.882345609137364</v>
      </c>
    </row>
    <row r="96" spans="1:20" x14ac:dyDescent="0.25">
      <c r="A96" s="5">
        <v>44497</v>
      </c>
      <c r="B96">
        <v>0.1532</v>
      </c>
      <c r="C96">
        <v>0.183</v>
      </c>
      <c r="D96">
        <v>0.1532</v>
      </c>
      <c r="E96">
        <v>0.1633</v>
      </c>
      <c r="F96">
        <v>31037468</v>
      </c>
      <c r="G96">
        <v>0.1633</v>
      </c>
      <c r="L96" t="s">
        <v>8</v>
      </c>
      <c r="M96" t="s">
        <v>8</v>
      </c>
      <c r="N96" t="s">
        <v>7</v>
      </c>
      <c r="P96">
        <f t="shared" ref="P96" si="455">IF(C96=D96,0,((E96-D96)-(C96-E96))/(C96-D96))</f>
        <v>-0.32214765100671139</v>
      </c>
      <c r="Q96">
        <f t="shared" ref="Q96" si="456">F96*P96</f>
        <v>-9998647.4093959723</v>
      </c>
      <c r="R96">
        <f t="shared" ref="R96" si="457">R97+Q96</f>
        <v>-2793119306.5375896</v>
      </c>
      <c r="S96">
        <f t="shared" ref="S96" si="458">R96/100000</f>
        <v>-27931.193065375897</v>
      </c>
      <c r="T96">
        <f t="shared" ref="T96" si="459">S96/1000</f>
        <v>-27.931193065375897</v>
      </c>
    </row>
    <row r="97" spans="1:20" x14ac:dyDescent="0.25">
      <c r="A97" s="5">
        <v>44496</v>
      </c>
      <c r="B97">
        <v>0.1714</v>
      </c>
      <c r="C97">
        <v>0.17510000000000001</v>
      </c>
      <c r="D97">
        <v>0.15329999999999999</v>
      </c>
      <c r="E97">
        <v>0.15329999999999999</v>
      </c>
      <c r="F97">
        <v>26126283</v>
      </c>
      <c r="G97">
        <v>0.15329999999999999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-1</v>
      </c>
      <c r="Q97">
        <f t="shared" ref="Q97" si="461">F97*P97</f>
        <v>-26126283</v>
      </c>
      <c r="R97">
        <f t="shared" ref="R97" si="462">R98+Q97</f>
        <v>-2783120659.1281934</v>
      </c>
      <c r="S97">
        <f t="shared" ref="S97" si="463">R97/100000</f>
        <v>-27831.206591281934</v>
      </c>
      <c r="T97">
        <f t="shared" ref="T97" si="464">S97/1000</f>
        <v>-27.831206591281934</v>
      </c>
    </row>
    <row r="98" spans="1:20" x14ac:dyDescent="0.25">
      <c r="A98" s="5">
        <v>44495</v>
      </c>
      <c r="B98">
        <v>0.17760000000000001</v>
      </c>
      <c r="C98">
        <v>0.18</v>
      </c>
      <c r="D98">
        <v>0.17050000000000001</v>
      </c>
      <c r="E98">
        <v>0.1714</v>
      </c>
      <c r="F98">
        <v>21071695</v>
      </c>
      <c r="G98">
        <v>0.1714</v>
      </c>
      <c r="L98" t="s">
        <v>7</v>
      </c>
      <c r="M98" t="s">
        <v>7</v>
      </c>
      <c r="N98" t="s">
        <v>7</v>
      </c>
      <c r="P98">
        <f t="shared" ref="P98" si="465">IF(C98=D98,0,((E98-D98)-(C98-E98))/(C98-D98))</f>
        <v>-0.81052631578947665</v>
      </c>
      <c r="Q98">
        <f t="shared" ref="Q98" si="466">F98*P98</f>
        <v>-17079163.315789536</v>
      </c>
      <c r="R98">
        <f t="shared" ref="R98" si="467">R99+Q98</f>
        <v>-2756994376.1281934</v>
      </c>
      <c r="S98">
        <f t="shared" ref="S98" si="468">R98/100000</f>
        <v>-27569.943761281935</v>
      </c>
      <c r="T98">
        <f t="shared" ref="T98" si="469">S98/1000</f>
        <v>-27.569943761281934</v>
      </c>
    </row>
    <row r="99" spans="1:20" x14ac:dyDescent="0.25">
      <c r="A99" s="5">
        <v>44494</v>
      </c>
      <c r="B99">
        <v>0.1757</v>
      </c>
      <c r="C99">
        <v>0.18279999999999999</v>
      </c>
      <c r="D99">
        <v>0.1731</v>
      </c>
      <c r="E99">
        <v>0.17780000000000001</v>
      </c>
      <c r="F99">
        <v>17886295</v>
      </c>
      <c r="G99">
        <v>0.17780000000000001</v>
      </c>
      <c r="L99" t="s">
        <v>7</v>
      </c>
      <c r="M99" t="s">
        <v>7</v>
      </c>
      <c r="N99" t="s">
        <v>7</v>
      </c>
      <c r="P99">
        <f t="shared" ref="P99" si="470">IF(C99=D99,0,((E99-D99)-(C99-E99))/(C99-D99))</f>
        <v>-3.0927835051543028E-2</v>
      </c>
      <c r="Q99">
        <f t="shared" ref="Q99" si="471">F99*P99</f>
        <v>-553184.38144323882</v>
      </c>
      <c r="R99">
        <f t="shared" ref="R99" si="472">R100+Q99</f>
        <v>-2739915212.8124037</v>
      </c>
      <c r="S99">
        <f t="shared" ref="S99" si="473">R99/100000</f>
        <v>-27399.152128124038</v>
      </c>
      <c r="T99">
        <f t="shared" ref="T99" si="474">S99/1000</f>
        <v>-27.399152128124037</v>
      </c>
    </row>
    <row r="100" spans="1:20" x14ac:dyDescent="0.25">
      <c r="A100" s="5">
        <v>44493</v>
      </c>
      <c r="B100">
        <v>0.17480000000000001</v>
      </c>
      <c r="C100">
        <v>0.1961</v>
      </c>
      <c r="D100">
        <v>0.1724</v>
      </c>
      <c r="E100">
        <v>0.17610000000000001</v>
      </c>
      <c r="F100">
        <v>45008139</v>
      </c>
      <c r="G100">
        <v>0.17610000000000001</v>
      </c>
      <c r="L100" t="s">
        <v>8</v>
      </c>
      <c r="M100" t="s">
        <v>7</v>
      </c>
      <c r="N100" t="s">
        <v>7</v>
      </c>
      <c r="P100">
        <f t="shared" ref="P100" si="475">IF(C100=D100,0,((E100-D100)-(C100-E100))/(C100-D100))</f>
        <v>-0.68776371308016804</v>
      </c>
      <c r="Q100">
        <f t="shared" ref="Q100" si="476">F100*P100</f>
        <v>-30954964.79746832</v>
      </c>
      <c r="R100">
        <f t="shared" ref="R100" si="477">R101+Q100</f>
        <v>-2739362028.4309607</v>
      </c>
      <c r="S100">
        <f t="shared" ref="S100" si="478">R100/100000</f>
        <v>-27393.620284309607</v>
      </c>
      <c r="T100">
        <f t="shared" ref="T100" si="479">S100/1000</f>
        <v>-27.393620284309605</v>
      </c>
    </row>
    <row r="101" spans="1:20" x14ac:dyDescent="0.25">
      <c r="A101" s="5">
        <v>44492</v>
      </c>
      <c r="B101">
        <v>0.17699999999999999</v>
      </c>
      <c r="C101">
        <v>0.18</v>
      </c>
      <c r="D101">
        <v>0.17150000000000001</v>
      </c>
      <c r="E101">
        <v>0.17480000000000001</v>
      </c>
      <c r="F101">
        <v>18313108</v>
      </c>
      <c r="G101">
        <v>0.17480000000000001</v>
      </c>
      <c r="L101" t="s">
        <v>7</v>
      </c>
      <c r="M101" t="s">
        <v>7</v>
      </c>
      <c r="N101" t="s">
        <v>7</v>
      </c>
      <c r="P101">
        <f t="shared" ref="P101" si="480">IF(C101=D101,0,((E101-D101)-(C101-E101))/(C101-D101))</f>
        <v>-0.22352941176470464</v>
      </c>
      <c r="Q101">
        <f t="shared" ref="Q101" si="481">F101*P101</f>
        <v>-4093518.2588235065</v>
      </c>
      <c r="R101">
        <f t="shared" ref="R101" si="482">R102+Q101</f>
        <v>-2708407063.6334925</v>
      </c>
      <c r="S101">
        <f t="shared" ref="S101" si="483">R101/100000</f>
        <v>-27084.070636334924</v>
      </c>
      <c r="T101">
        <f t="shared" ref="T101" si="484">S101/1000</f>
        <v>-27.084070636334925</v>
      </c>
    </row>
    <row r="102" spans="1:20" x14ac:dyDescent="0.25">
      <c r="A102" s="5">
        <v>44491</v>
      </c>
      <c r="B102">
        <v>0.184</v>
      </c>
      <c r="C102">
        <v>0.20180000000000001</v>
      </c>
      <c r="D102">
        <v>0.17519999999999999</v>
      </c>
      <c r="E102">
        <v>0.17680000000000001</v>
      </c>
      <c r="F102">
        <v>59106353</v>
      </c>
      <c r="G102">
        <v>0.17680000000000001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-0.87969924812029943</v>
      </c>
      <c r="Q102">
        <f t="shared" ref="Q102" si="486">F102*P102</f>
        <v>-51995814.293233007</v>
      </c>
      <c r="R102">
        <f t="shared" ref="R102" si="487">R103+Q102</f>
        <v>-2704313545.3746691</v>
      </c>
      <c r="S102">
        <f t="shared" ref="S102" si="488">R102/100000</f>
        <v>-27043.13545374669</v>
      </c>
      <c r="T102">
        <f t="shared" ref="T102" si="489">S102/1000</f>
        <v>-27.043135453746689</v>
      </c>
    </row>
    <row r="103" spans="1:20" x14ac:dyDescent="0.25">
      <c r="A103" s="5">
        <v>44490</v>
      </c>
      <c r="B103">
        <v>0.1653</v>
      </c>
      <c r="C103">
        <v>0.245</v>
      </c>
      <c r="D103">
        <v>0.16500000000000001</v>
      </c>
      <c r="E103">
        <v>0.1837</v>
      </c>
      <c r="F103">
        <v>313917331</v>
      </c>
      <c r="G103">
        <v>0.1837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-0.53250000000000008</v>
      </c>
      <c r="Q103">
        <f t="shared" ref="Q103" si="491">F103*P103</f>
        <v>-167160978.75750002</v>
      </c>
      <c r="R103">
        <f t="shared" ref="R103" si="492">R104+Q103</f>
        <v>-2652317731.0814362</v>
      </c>
      <c r="S103">
        <f t="shared" ref="S103" si="493">R103/100000</f>
        <v>-26523.177310814361</v>
      </c>
      <c r="T103">
        <f t="shared" ref="T103" si="494">S103/1000</f>
        <v>-26.523177310814361</v>
      </c>
    </row>
    <row r="104" spans="1:20" x14ac:dyDescent="0.25">
      <c r="A104" s="5">
        <v>44489</v>
      </c>
      <c r="B104">
        <v>0.15959999999999999</v>
      </c>
      <c r="C104">
        <v>0.16700000000000001</v>
      </c>
      <c r="D104">
        <v>0.15679999999999999</v>
      </c>
      <c r="E104">
        <v>0.1653</v>
      </c>
      <c r="F104">
        <v>10135929</v>
      </c>
      <c r="G104">
        <v>0.1653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0.66666666666666574</v>
      </c>
      <c r="Q104">
        <f t="shared" ref="Q104" si="496">F104*P104</f>
        <v>6757285.9999999907</v>
      </c>
      <c r="R104">
        <f t="shared" ref="R104" si="497">R105+Q104</f>
        <v>-2485156752.323936</v>
      </c>
      <c r="S104">
        <f t="shared" ref="S104" si="498">R104/100000</f>
        <v>-24851.567523239359</v>
      </c>
      <c r="T104">
        <f t="shared" ref="T104" si="499">S104/1000</f>
        <v>-24.85156752323936</v>
      </c>
    </row>
    <row r="105" spans="1:20" x14ac:dyDescent="0.25">
      <c r="A105" s="5">
        <v>44488</v>
      </c>
      <c r="B105">
        <v>0.16139999999999999</v>
      </c>
      <c r="C105">
        <v>0.1661</v>
      </c>
      <c r="D105">
        <v>0.15</v>
      </c>
      <c r="E105">
        <v>0.15959999999999999</v>
      </c>
      <c r="F105">
        <v>14213242</v>
      </c>
      <c r="G105">
        <v>0.15959999999999999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0.19254658385093112</v>
      </c>
      <c r="Q105">
        <f t="shared" ref="Q105" si="501">F105*P105</f>
        <v>2736711.1925465758</v>
      </c>
      <c r="R105">
        <f t="shared" ref="R105" si="502">R106+Q105</f>
        <v>-2491914038.323936</v>
      </c>
      <c r="S105">
        <f t="shared" ref="S105" si="503">R105/100000</f>
        <v>-24919.140383239359</v>
      </c>
      <c r="T105">
        <f t="shared" ref="T105" si="504">S105/1000</f>
        <v>-24.919140383239359</v>
      </c>
    </row>
    <row r="106" spans="1:20" x14ac:dyDescent="0.25">
      <c r="A106" s="5">
        <v>44487</v>
      </c>
      <c r="B106">
        <v>0.16600000000000001</v>
      </c>
      <c r="C106">
        <v>0.1706</v>
      </c>
      <c r="D106">
        <v>0.15840000000000001</v>
      </c>
      <c r="E106">
        <v>0.16109999999999999</v>
      </c>
      <c r="F106">
        <v>13766605</v>
      </c>
      <c r="G106">
        <v>0.16109999999999999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-0.55737704918033071</v>
      </c>
      <c r="Q106">
        <f t="shared" ref="Q106" si="506">F106*P106</f>
        <v>-7673189.6721311864</v>
      </c>
      <c r="R106">
        <f t="shared" ref="R106" si="507">R107+Q106</f>
        <v>-2494650749.5164824</v>
      </c>
      <c r="S106">
        <f t="shared" ref="S106" si="508">R106/100000</f>
        <v>-24946.507495164824</v>
      </c>
      <c r="T106">
        <f t="shared" ref="T106" si="509">S106/1000</f>
        <v>-24.946507495164823</v>
      </c>
    </row>
    <row r="107" spans="1:20" x14ac:dyDescent="0.25">
      <c r="A107" s="5">
        <v>44486</v>
      </c>
      <c r="B107">
        <v>0.16919999999999999</v>
      </c>
      <c r="C107">
        <v>0.1837</v>
      </c>
      <c r="D107">
        <v>0.16209999999999999</v>
      </c>
      <c r="E107">
        <v>0.1663</v>
      </c>
      <c r="F107">
        <v>62620114</v>
      </c>
      <c r="G107">
        <v>0.1663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-0.61111111111111038</v>
      </c>
      <c r="Q107">
        <f t="shared" ref="Q107" si="511">F107*P107</f>
        <v>-38267847.444444396</v>
      </c>
      <c r="R107">
        <f t="shared" ref="R107" si="512">R108+Q107</f>
        <v>-2486977559.8443513</v>
      </c>
      <c r="S107">
        <f t="shared" ref="S107" si="513">R107/100000</f>
        <v>-24869.775598443513</v>
      </c>
      <c r="T107">
        <f t="shared" ref="T107" si="514">S107/1000</f>
        <v>-24.869775598443514</v>
      </c>
    </row>
    <row r="108" spans="1:20" x14ac:dyDescent="0.25">
      <c r="A108" s="5">
        <v>44485</v>
      </c>
      <c r="B108">
        <v>0.15570000000000001</v>
      </c>
      <c r="C108">
        <v>0.20899999999999999</v>
      </c>
      <c r="D108">
        <v>0.152</v>
      </c>
      <c r="E108">
        <v>0.16869999999999999</v>
      </c>
      <c r="F108">
        <v>200149487</v>
      </c>
      <c r="G108">
        <v>0.16869999999999999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-0.41403508771929848</v>
      </c>
      <c r="Q108">
        <f t="shared" ref="Q108" si="516">F108*P108</f>
        <v>-82868910.407017589</v>
      </c>
      <c r="R108">
        <f t="shared" ref="R108" si="517">R109+Q108</f>
        <v>-2448709712.3999071</v>
      </c>
      <c r="S108">
        <f t="shared" ref="S108" si="518">R108/100000</f>
        <v>-24487.097123999072</v>
      </c>
      <c r="T108">
        <f t="shared" ref="T108" si="519">S108/1000</f>
        <v>-24.487097123999071</v>
      </c>
    </row>
    <row r="109" spans="1:20" x14ac:dyDescent="0.25">
      <c r="A109" s="5">
        <v>44484</v>
      </c>
      <c r="B109">
        <v>0.14849999999999999</v>
      </c>
      <c r="C109">
        <v>0.21249999999999999</v>
      </c>
      <c r="D109">
        <v>0.14299999999999999</v>
      </c>
      <c r="E109">
        <v>0.15570000000000001</v>
      </c>
      <c r="F109">
        <v>120313388</v>
      </c>
      <c r="G109">
        <v>0.15570000000000001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-0.63453237410071894</v>
      </c>
      <c r="Q109">
        <f t="shared" ref="Q109" si="521">F109*P109</f>
        <v>-76342739.72374095</v>
      </c>
      <c r="R109">
        <f t="shared" ref="R109" si="522">R110+Q109</f>
        <v>-2365840801.9928894</v>
      </c>
      <c r="S109">
        <f t="shared" ref="S109" si="523">R109/100000</f>
        <v>-23658.408019928895</v>
      </c>
      <c r="T109">
        <f t="shared" ref="T109" si="524">S109/1000</f>
        <v>-23.658408019928896</v>
      </c>
    </row>
    <row r="110" spans="1:20" x14ac:dyDescent="0.25">
      <c r="A110" s="5">
        <v>44483</v>
      </c>
      <c r="B110">
        <v>0.1459</v>
      </c>
      <c r="C110">
        <v>0.15859999999999999</v>
      </c>
      <c r="D110">
        <v>0.14530000000000001</v>
      </c>
      <c r="E110">
        <v>0.14860000000000001</v>
      </c>
      <c r="F110">
        <v>15727002</v>
      </c>
      <c r="G110">
        <v>0.14860000000000001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-0.50375939849624018</v>
      </c>
      <c r="Q110">
        <f t="shared" ref="Q110" si="526">F110*P110</f>
        <v>-7922625.0676691663</v>
      </c>
      <c r="R110">
        <f t="shared" ref="R110" si="527">R111+Q110</f>
        <v>-2289498062.2691483</v>
      </c>
      <c r="S110">
        <f t="shared" ref="S110" si="528">R110/100000</f>
        <v>-22894.980622691484</v>
      </c>
      <c r="T110">
        <f t="shared" ref="T110" si="529">S110/1000</f>
        <v>-22.894980622691484</v>
      </c>
    </row>
    <row r="111" spans="1:20" x14ac:dyDescent="0.25">
      <c r="A111" s="5">
        <v>44482</v>
      </c>
      <c r="B111">
        <v>0.14399999999999999</v>
      </c>
      <c r="C111">
        <v>0.14710000000000001</v>
      </c>
      <c r="D111">
        <v>0.13900000000000001</v>
      </c>
      <c r="E111">
        <v>0.1459</v>
      </c>
      <c r="F111">
        <v>8694073</v>
      </c>
      <c r="G111">
        <v>0.1459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0.70370370370370194</v>
      </c>
      <c r="Q111">
        <f t="shared" ref="Q111" si="531">F111*P111</f>
        <v>6118051.3703703554</v>
      </c>
      <c r="R111">
        <f t="shared" ref="R111" si="532">R112+Q111</f>
        <v>-2281575437.201479</v>
      </c>
      <c r="S111">
        <f t="shared" ref="S111" si="533">R111/100000</f>
        <v>-22815.754372014788</v>
      </c>
      <c r="T111">
        <f t="shared" ref="T111" si="534">S111/1000</f>
        <v>-22.815754372014787</v>
      </c>
    </row>
    <row r="112" spans="1:20" x14ac:dyDescent="0.25">
      <c r="A112" s="5">
        <v>44481</v>
      </c>
      <c r="B112">
        <v>0.14510000000000001</v>
      </c>
      <c r="C112">
        <v>0.15190000000000001</v>
      </c>
      <c r="D112">
        <v>0.13780000000000001</v>
      </c>
      <c r="E112">
        <v>0.14380000000000001</v>
      </c>
      <c r="F112">
        <v>11950970</v>
      </c>
      <c r="G112">
        <v>0.14380000000000001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-0.14893617021276528</v>
      </c>
      <c r="Q112">
        <f t="shared" ref="Q112" si="536">F112*P112</f>
        <v>-1779931.7021276515</v>
      </c>
      <c r="R112">
        <f t="shared" ref="R112" si="537">R113+Q112</f>
        <v>-2287693488.5718493</v>
      </c>
      <c r="S112">
        <f t="shared" ref="S112" si="538">R112/100000</f>
        <v>-22876.934885718492</v>
      </c>
      <c r="T112">
        <f t="shared" ref="T112" si="539">S112/1000</f>
        <v>-22.876934885718491</v>
      </c>
    </row>
    <row r="113" spans="1:20" x14ac:dyDescent="0.25">
      <c r="A113" s="5">
        <v>44480</v>
      </c>
      <c r="B113">
        <v>0.14979999999999999</v>
      </c>
      <c r="C113">
        <v>0.15229999999999999</v>
      </c>
      <c r="D113">
        <v>0.14319999999999999</v>
      </c>
      <c r="E113">
        <v>0.1449</v>
      </c>
      <c r="F113">
        <v>12333629</v>
      </c>
      <c r="G113">
        <v>0.1449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-0.6263736263736247</v>
      </c>
      <c r="Q113">
        <f t="shared" ref="Q113" si="541">F113*P113</f>
        <v>-7725459.9230769025</v>
      </c>
      <c r="R113">
        <f t="shared" ref="R113" si="542">R114+Q113</f>
        <v>-2285913556.8697219</v>
      </c>
      <c r="S113">
        <f t="shared" ref="S113" si="543">R113/100000</f>
        <v>-22859.13556869722</v>
      </c>
      <c r="T113">
        <f t="shared" ref="T113" si="544">S113/1000</f>
        <v>-22.859135568697219</v>
      </c>
    </row>
    <row r="114" spans="1:20" x14ac:dyDescent="0.25">
      <c r="A114" s="5">
        <v>44479</v>
      </c>
      <c r="B114">
        <v>0.15329999999999999</v>
      </c>
      <c r="C114">
        <v>0.16980000000000001</v>
      </c>
      <c r="D114">
        <v>0.14849999999999999</v>
      </c>
      <c r="E114">
        <v>0.14949999999999999</v>
      </c>
      <c r="F114">
        <v>30276751</v>
      </c>
      <c r="G114">
        <v>0.14949999999999999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-0.9061032863849765</v>
      </c>
      <c r="Q114">
        <f t="shared" ref="Q114" si="546">F114*P114</f>
        <v>-27433863.582159624</v>
      </c>
      <c r="R114">
        <f t="shared" ref="R114" si="547">R115+Q114</f>
        <v>-2278188096.9466448</v>
      </c>
      <c r="S114">
        <f t="shared" ref="S114" si="548">R114/100000</f>
        <v>-22781.880969466449</v>
      </c>
      <c r="T114">
        <f t="shared" ref="T114" si="549">S114/1000</f>
        <v>-22.781880969466449</v>
      </c>
    </row>
    <row r="115" spans="1:20" x14ac:dyDescent="0.25">
      <c r="A115" s="5">
        <v>44478</v>
      </c>
      <c r="B115">
        <v>0.1489</v>
      </c>
      <c r="C115">
        <v>0.21190000000000001</v>
      </c>
      <c r="D115">
        <v>0.1477</v>
      </c>
      <c r="E115">
        <v>0.153</v>
      </c>
      <c r="F115">
        <v>177030207</v>
      </c>
      <c r="G115">
        <v>0.153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-0.83489096573208732</v>
      </c>
      <c r="Q115">
        <f t="shared" ref="Q115" si="551">F115*P115</f>
        <v>-147800920.48598132</v>
      </c>
      <c r="R115">
        <f t="shared" ref="R115" si="552">R116+Q115</f>
        <v>-2250754233.3644853</v>
      </c>
      <c r="S115">
        <f t="shared" ref="S115" si="553">R115/100000</f>
        <v>-22507.542333644851</v>
      </c>
      <c r="T115">
        <f t="shared" ref="T115" si="554">S115/1000</f>
        <v>-22.507542333644849</v>
      </c>
    </row>
    <row r="116" spans="1:20" x14ac:dyDescent="0.25">
      <c r="A116" s="5">
        <v>44477</v>
      </c>
      <c r="B116">
        <v>0.1477</v>
      </c>
      <c r="C116">
        <v>0.158</v>
      </c>
      <c r="D116">
        <v>0.1462</v>
      </c>
      <c r="E116">
        <v>0.1482</v>
      </c>
      <c r="F116">
        <v>15505471</v>
      </c>
      <c r="G116">
        <v>0.1482</v>
      </c>
      <c r="L116" t="s">
        <v>8</v>
      </c>
      <c r="M116" t="s">
        <v>7</v>
      </c>
      <c r="N116" t="s">
        <v>7</v>
      </c>
      <c r="P116">
        <f t="shared" ref="P116" si="555">IF(C116=D116,0,((E116-D116)-(C116-E116))/(C116-D116))</f>
        <v>-0.66101694915254217</v>
      </c>
      <c r="Q116">
        <f t="shared" ref="Q116" si="556">F116*P116</f>
        <v>-10249379.135593217</v>
      </c>
      <c r="R116">
        <f t="shared" ref="R116" si="557">R117+Q116</f>
        <v>-2102953312.878504</v>
      </c>
      <c r="S116">
        <f t="shared" ref="S116" si="558">R116/100000</f>
        <v>-21029.533128785039</v>
      </c>
      <c r="T116">
        <f t="shared" ref="T116" si="559">S116/1000</f>
        <v>-21.02953312878504</v>
      </c>
    </row>
    <row r="117" spans="1:20" x14ac:dyDescent="0.25">
      <c r="A117" s="5">
        <v>44476</v>
      </c>
      <c r="B117">
        <v>0.1497</v>
      </c>
      <c r="C117">
        <v>0.15060000000000001</v>
      </c>
      <c r="D117">
        <v>0.14380000000000001</v>
      </c>
      <c r="E117">
        <v>0.1474</v>
      </c>
      <c r="F117">
        <v>11513471</v>
      </c>
      <c r="G117">
        <v>0.1474</v>
      </c>
      <c r="L117" t="s">
        <v>7</v>
      </c>
      <c r="M117" t="s">
        <v>7</v>
      </c>
      <c r="N117" t="s">
        <v>7</v>
      </c>
      <c r="P117">
        <f t="shared" ref="P117" si="560">IF(C117=D117,0,((E117-D117)-(C117-E117))/(C117-D117))</f>
        <v>5.8823529411762304E-2</v>
      </c>
      <c r="Q117">
        <f t="shared" ref="Q117" si="561">F117*P117</f>
        <v>677262.99999997229</v>
      </c>
      <c r="R117">
        <f t="shared" ref="R117" si="562">R118+Q117</f>
        <v>-2092703933.7429109</v>
      </c>
      <c r="S117">
        <f t="shared" ref="S117" si="563">R117/100000</f>
        <v>-20927.039337429109</v>
      </c>
      <c r="T117">
        <f t="shared" ref="T117" si="564">S117/1000</f>
        <v>-20.927039337429107</v>
      </c>
    </row>
    <row r="118" spans="1:20" x14ac:dyDescent="0.25">
      <c r="A118" s="5">
        <v>44475</v>
      </c>
      <c r="B118">
        <v>0.15440000000000001</v>
      </c>
      <c r="C118">
        <v>0.1573</v>
      </c>
      <c r="D118">
        <v>0.14710000000000001</v>
      </c>
      <c r="E118">
        <v>0.14940000000000001</v>
      </c>
      <c r="F118">
        <v>12813657</v>
      </c>
      <c r="G118">
        <v>0.14940000000000001</v>
      </c>
      <c r="L118" t="s">
        <v>7</v>
      </c>
      <c r="M118" t="s">
        <v>7</v>
      </c>
      <c r="N118" t="s">
        <v>7</v>
      </c>
      <c r="P118">
        <f t="shared" ref="P118" si="565">IF(C118=D118,0,((E118-D118)-(C118-E118))/(C118-D118))</f>
        <v>-0.54901960784313741</v>
      </c>
      <c r="Q118">
        <f t="shared" ref="Q118" si="566">F118*P118</f>
        <v>-7034948.9411764722</v>
      </c>
      <c r="R118">
        <f t="shared" ref="R118" si="567">R119+Q118</f>
        <v>-2093381196.7429109</v>
      </c>
      <c r="S118">
        <f t="shared" ref="S118" si="568">R118/100000</f>
        <v>-20933.811967429108</v>
      </c>
      <c r="T118">
        <f t="shared" ref="T118" si="569">S118/1000</f>
        <v>-20.933811967429108</v>
      </c>
    </row>
    <row r="119" spans="1:20" x14ac:dyDescent="0.25">
      <c r="A119" s="5">
        <v>44474</v>
      </c>
      <c r="B119">
        <v>0.15409999999999999</v>
      </c>
      <c r="C119">
        <v>0.15989999999999999</v>
      </c>
      <c r="D119">
        <v>0.1517</v>
      </c>
      <c r="E119">
        <v>0.15440000000000001</v>
      </c>
      <c r="F119">
        <v>14148154</v>
      </c>
      <c r="G119">
        <v>0.15440000000000001</v>
      </c>
      <c r="L119" t="s">
        <v>7</v>
      </c>
      <c r="M119" t="s">
        <v>8</v>
      </c>
      <c r="N119" t="s">
        <v>7</v>
      </c>
      <c r="P119">
        <f t="shared" ref="P119" si="570">IF(C119=D119,0,((E119-D119)-(C119-E119))/(C119-D119))</f>
        <v>-0.3414634146341432</v>
      </c>
      <c r="Q119">
        <f t="shared" ref="Q119" si="571">F119*P119</f>
        <v>-4831076.9756097114</v>
      </c>
      <c r="R119">
        <f t="shared" ref="R119" si="572">R120+Q119</f>
        <v>-2086346247.8017344</v>
      </c>
      <c r="S119">
        <f t="shared" ref="S119" si="573">R119/100000</f>
        <v>-20863.462478017344</v>
      </c>
      <c r="T119">
        <f t="shared" ref="T119" si="574">S119/1000</f>
        <v>-20.863462478017343</v>
      </c>
    </row>
    <row r="120" spans="1:20" x14ac:dyDescent="0.25">
      <c r="A120" s="5">
        <v>44473</v>
      </c>
      <c r="B120">
        <v>0.16139999999999999</v>
      </c>
      <c r="C120">
        <v>0.16139999999999999</v>
      </c>
      <c r="D120">
        <v>0.1517</v>
      </c>
      <c r="E120">
        <v>0.15479999999999999</v>
      </c>
      <c r="F120">
        <v>8500654</v>
      </c>
      <c r="G120">
        <v>0.15479999999999999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-0.36082474226804206</v>
      </c>
      <c r="Q120">
        <f t="shared" ref="Q120" si="576">F120*P120</f>
        <v>-3067246.2886598008</v>
      </c>
      <c r="R120">
        <f t="shared" ref="R120" si="577">R121+Q120</f>
        <v>-2081515170.8261247</v>
      </c>
      <c r="S120">
        <f t="shared" ref="S120" si="578">R120/100000</f>
        <v>-20815.151708261248</v>
      </c>
      <c r="T120">
        <f t="shared" ref="T120" si="579">S120/1000</f>
        <v>-20.815151708261247</v>
      </c>
    </row>
    <row r="121" spans="1:20" x14ac:dyDescent="0.25">
      <c r="A121" s="5">
        <v>44472</v>
      </c>
      <c r="B121">
        <v>0.15770000000000001</v>
      </c>
      <c r="C121">
        <v>0.17699999999999999</v>
      </c>
      <c r="D121">
        <v>0.15409999999999999</v>
      </c>
      <c r="E121">
        <v>0.16109999999999999</v>
      </c>
      <c r="F121">
        <v>20155968</v>
      </c>
      <c r="G121">
        <v>0.16109999999999999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-0.38864628820960656</v>
      </c>
      <c r="Q121">
        <f t="shared" ref="Q121" si="581">F121*P121</f>
        <v>-7833542.1484716069</v>
      </c>
      <c r="R121">
        <f t="shared" ref="R121" si="582">R122+Q121</f>
        <v>-2078447924.5374649</v>
      </c>
      <c r="S121">
        <f t="shared" ref="S121" si="583">R121/100000</f>
        <v>-20784.479245374649</v>
      </c>
      <c r="T121">
        <f t="shared" ref="T121" si="584">S121/1000</f>
        <v>-20.784479245374648</v>
      </c>
    </row>
    <row r="122" spans="1:20" x14ac:dyDescent="0.25">
      <c r="A122" s="5">
        <v>44471</v>
      </c>
      <c r="B122">
        <v>0.15459999999999999</v>
      </c>
      <c r="C122">
        <v>0.1628</v>
      </c>
      <c r="D122">
        <v>0.15229999999999999</v>
      </c>
      <c r="E122">
        <v>0.15770000000000001</v>
      </c>
      <c r="F122">
        <v>5643937</v>
      </c>
      <c r="G122">
        <v>0.15770000000000001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2.8571428571430687E-2</v>
      </c>
      <c r="Q122">
        <f t="shared" ref="Q122" si="586">F122*P122</f>
        <v>161255.34285715478</v>
      </c>
      <c r="R122">
        <f t="shared" ref="R122" si="587">R123+Q122</f>
        <v>-2070614382.3889933</v>
      </c>
      <c r="S122">
        <f t="shared" ref="S122" si="588">R122/100000</f>
        <v>-20706.143823889932</v>
      </c>
      <c r="T122">
        <f t="shared" ref="T122" si="589">S122/1000</f>
        <v>-20.706143823889931</v>
      </c>
    </row>
    <row r="123" spans="1:20" x14ac:dyDescent="0.25">
      <c r="A123" s="5">
        <v>44470</v>
      </c>
      <c r="B123">
        <v>0.14649999999999999</v>
      </c>
      <c r="C123">
        <v>0.157</v>
      </c>
      <c r="D123">
        <v>0.14499999999999999</v>
      </c>
      <c r="E123">
        <v>0.15459999999999999</v>
      </c>
      <c r="F123">
        <v>11811239</v>
      </c>
      <c r="G123">
        <v>0.15459999999999999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0.5999999999999982</v>
      </c>
      <c r="Q123">
        <f t="shared" ref="Q123" si="591">F123*P123</f>
        <v>7086743.399999979</v>
      </c>
      <c r="R123">
        <f t="shared" ref="R123" si="592">R124+Q123</f>
        <v>-2070775637.7318504</v>
      </c>
      <c r="S123">
        <f t="shared" ref="S123" si="593">R123/100000</f>
        <v>-20707.756377318503</v>
      </c>
      <c r="T123">
        <f t="shared" ref="T123" si="594">S123/1000</f>
        <v>-20.707756377318503</v>
      </c>
    </row>
    <row r="124" spans="1:20" x14ac:dyDescent="0.25">
      <c r="A124" s="5">
        <v>44469</v>
      </c>
      <c r="B124">
        <v>0.1406</v>
      </c>
      <c r="C124">
        <v>0.15</v>
      </c>
      <c r="D124">
        <v>0.14030000000000001</v>
      </c>
      <c r="E124">
        <v>0.1464</v>
      </c>
      <c r="F124">
        <v>6945962</v>
      </c>
      <c r="G124">
        <v>0.1464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0.25773195876288718</v>
      </c>
      <c r="Q124">
        <f t="shared" ref="Q124" si="596">F124*P124</f>
        <v>1790196.3917525813</v>
      </c>
      <c r="R124">
        <f t="shared" ref="R124" si="597">R125+Q124</f>
        <v>-2077862381.1318505</v>
      </c>
      <c r="S124">
        <f t="shared" ref="S124" si="598">R124/100000</f>
        <v>-20778.623811318506</v>
      </c>
      <c r="T124">
        <f t="shared" ref="T124" si="599">S124/1000</f>
        <v>-20.778623811318507</v>
      </c>
    </row>
    <row r="125" spans="1:20" x14ac:dyDescent="0.25">
      <c r="A125" s="5">
        <v>44468</v>
      </c>
      <c r="B125">
        <v>0.1384</v>
      </c>
      <c r="C125">
        <v>0.156</v>
      </c>
      <c r="D125">
        <v>0.13700000000000001</v>
      </c>
      <c r="E125">
        <v>0.1404</v>
      </c>
      <c r="F125">
        <v>6679864</v>
      </c>
      <c r="G125">
        <v>0.1404</v>
      </c>
      <c r="L125" t="s">
        <v>7</v>
      </c>
      <c r="M125" t="s">
        <v>8</v>
      </c>
      <c r="N125" t="s">
        <v>7</v>
      </c>
      <c r="P125">
        <f t="shared" ref="P125" si="600">IF(C125=D125,0,((E125-D125)-(C125-E125))/(C125-D125))</f>
        <v>-0.64210526315789596</v>
      </c>
      <c r="Q125">
        <f t="shared" ref="Q125" si="601">F125*P125</f>
        <v>-4289175.8315789551</v>
      </c>
      <c r="R125">
        <f t="shared" ref="R125" si="602">R126+Q125</f>
        <v>-2079652577.523603</v>
      </c>
      <c r="S125">
        <f t="shared" ref="S125" si="603">R125/100000</f>
        <v>-20796.52577523603</v>
      </c>
      <c r="T125">
        <f t="shared" ref="T125" si="604">S125/1000</f>
        <v>-20.796525775236031</v>
      </c>
    </row>
    <row r="126" spans="1:20" x14ac:dyDescent="0.25">
      <c r="A126" s="5">
        <v>44467</v>
      </c>
      <c r="B126">
        <v>0.14360000000000001</v>
      </c>
      <c r="C126">
        <v>0.1462</v>
      </c>
      <c r="D126">
        <v>0.1381</v>
      </c>
      <c r="E126">
        <v>0.13880000000000001</v>
      </c>
      <c r="F126">
        <v>3537655</v>
      </c>
      <c r="G126">
        <v>0.13880000000000001</v>
      </c>
      <c r="L126" t="s">
        <v>7</v>
      </c>
      <c r="M126" t="s">
        <v>8</v>
      </c>
      <c r="N126" t="s">
        <v>7</v>
      </c>
      <c r="P126">
        <f t="shared" ref="P126" si="605">IF(C126=D126,0,((E126-D126)-(C126-E126))/(C126-D126))</f>
        <v>-0.82716049382715884</v>
      </c>
      <c r="Q126">
        <f t="shared" ref="Q126" si="606">F126*P126</f>
        <v>-2926208.4567901175</v>
      </c>
      <c r="R126">
        <f t="shared" ref="R126" si="607">R127+Q126</f>
        <v>-2075363401.692024</v>
      </c>
      <c r="S126">
        <f t="shared" ref="S126" si="608">R126/100000</f>
        <v>-20753.634016920241</v>
      </c>
      <c r="T126">
        <f t="shared" ref="T126" si="609">S126/1000</f>
        <v>-20.753634016920241</v>
      </c>
    </row>
    <row r="127" spans="1:20" x14ac:dyDescent="0.25">
      <c r="A127" s="5">
        <v>44466</v>
      </c>
      <c r="B127">
        <v>0.1482</v>
      </c>
      <c r="C127">
        <v>0.15909999999999999</v>
      </c>
      <c r="D127">
        <v>0.1431</v>
      </c>
      <c r="E127">
        <v>0.14349999999999999</v>
      </c>
      <c r="F127">
        <v>9936875</v>
      </c>
      <c r="G127">
        <v>0.14349999999999999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-0.95000000000000195</v>
      </c>
      <c r="Q127">
        <f t="shared" ref="Q127" si="611">F127*P127</f>
        <v>-9440031.2500000186</v>
      </c>
      <c r="R127">
        <f t="shared" ref="R127" si="612">R128+Q127</f>
        <v>-2072437193.2352338</v>
      </c>
      <c r="S127">
        <f t="shared" ref="S127" si="613">R127/100000</f>
        <v>-20724.371932352336</v>
      </c>
      <c r="T127">
        <f t="shared" ref="T127" si="614">S127/1000</f>
        <v>-20.724371932352337</v>
      </c>
    </row>
    <row r="128" spans="1:20" x14ac:dyDescent="0.25">
      <c r="A128" s="5">
        <v>44465</v>
      </c>
      <c r="B128">
        <v>0.15029999999999999</v>
      </c>
      <c r="C128">
        <v>0.15509999999999999</v>
      </c>
      <c r="D128">
        <v>0.1366</v>
      </c>
      <c r="E128">
        <v>0.14779999999999999</v>
      </c>
      <c r="F128">
        <v>10942042</v>
      </c>
      <c r="G128">
        <v>0.14779999999999999</v>
      </c>
      <c r="L128" t="s">
        <v>7</v>
      </c>
      <c r="M128" t="s">
        <v>8</v>
      </c>
      <c r="N128" t="s">
        <v>7</v>
      </c>
      <c r="P128">
        <f t="shared" ref="P128" si="615">IF(C128=D128,0,((E128-D128)-(C128-E128))/(C128-D128))</f>
        <v>0.21081081081081024</v>
      </c>
      <c r="Q128">
        <f t="shared" ref="Q128" si="616">F128*P128</f>
        <v>2306700.7459459398</v>
      </c>
      <c r="R128">
        <f t="shared" ref="R128" si="617">R129+Q128</f>
        <v>-2062997161.9852338</v>
      </c>
      <c r="S128">
        <f t="shared" ref="S128" si="618">R128/100000</f>
        <v>-20629.971619852338</v>
      </c>
      <c r="T128">
        <f t="shared" ref="T128" si="619">S128/1000</f>
        <v>-20.629971619852338</v>
      </c>
    </row>
    <row r="129" spans="1:20" x14ac:dyDescent="0.25">
      <c r="A129" s="5">
        <v>44464</v>
      </c>
      <c r="B129">
        <v>0.1474</v>
      </c>
      <c r="C129">
        <v>0.16270000000000001</v>
      </c>
      <c r="D129">
        <v>0.1449</v>
      </c>
      <c r="E129">
        <v>0.1502</v>
      </c>
      <c r="F129">
        <v>12398783</v>
      </c>
      <c r="G129">
        <v>0.1502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-0.40449438202247234</v>
      </c>
      <c r="Q129">
        <f t="shared" ref="Q129" si="621">F129*P129</f>
        <v>-5015238.0674157357</v>
      </c>
      <c r="R129">
        <f t="shared" ref="R129" si="622">R130+Q129</f>
        <v>-2065303862.7311797</v>
      </c>
      <c r="S129">
        <f t="shared" ref="S129" si="623">R129/100000</f>
        <v>-20653.038627311798</v>
      </c>
      <c r="T129">
        <f t="shared" ref="T129" si="624">S129/1000</f>
        <v>-20.653038627311798</v>
      </c>
    </row>
    <row r="130" spans="1:20" x14ac:dyDescent="0.25">
      <c r="A130" s="5">
        <v>44463</v>
      </c>
      <c r="B130">
        <v>0.16220000000000001</v>
      </c>
      <c r="C130">
        <v>0.1633</v>
      </c>
      <c r="D130">
        <v>0.1396</v>
      </c>
      <c r="E130">
        <v>0.1472</v>
      </c>
      <c r="F130">
        <v>7788166</v>
      </c>
      <c r="G130">
        <v>0.1472</v>
      </c>
      <c r="L130" t="s">
        <v>7</v>
      </c>
      <c r="M130" t="s">
        <v>8</v>
      </c>
      <c r="N130" t="s">
        <v>7</v>
      </c>
      <c r="P130">
        <f t="shared" ref="P130" si="625">IF(C130=D130,0,((E130-D130)-(C130-E130))/(C130-D130))</f>
        <v>-0.3586497890295362</v>
      </c>
      <c r="Q130">
        <f t="shared" ref="Q130" si="626">F130*P130</f>
        <v>-2793224.0928270067</v>
      </c>
      <c r="R130">
        <f t="shared" ref="R130" si="627">R131+Q130</f>
        <v>-2060288624.663764</v>
      </c>
      <c r="S130">
        <f t="shared" ref="S130" si="628">R130/100000</f>
        <v>-20602.886246637641</v>
      </c>
      <c r="T130">
        <f t="shared" ref="T130" si="629">S130/1000</f>
        <v>-20.602886246637642</v>
      </c>
    </row>
    <row r="131" spans="1:20" x14ac:dyDescent="0.25">
      <c r="A131" s="5">
        <v>44462</v>
      </c>
      <c r="B131">
        <v>0.15640000000000001</v>
      </c>
      <c r="C131">
        <v>0.1646</v>
      </c>
      <c r="D131">
        <v>0.13400000000000001</v>
      </c>
      <c r="E131">
        <v>0.16200000000000001</v>
      </c>
      <c r="F131">
        <v>18743753</v>
      </c>
      <c r="G131">
        <v>0.16200000000000001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0.83006535947712468</v>
      </c>
      <c r="Q131">
        <f t="shared" ref="Q131" si="631">F131*P131</f>
        <v>15558540.071895434</v>
      </c>
      <c r="R131">
        <f t="shared" ref="R131" si="632">R132+Q131</f>
        <v>-2057495400.5709369</v>
      </c>
      <c r="S131">
        <f t="shared" ref="S131" si="633">R131/100000</f>
        <v>-20574.954005709369</v>
      </c>
      <c r="T131">
        <f t="shared" ref="T131" si="634">S131/1000</f>
        <v>-20.574954005709369</v>
      </c>
    </row>
    <row r="132" spans="1:20" x14ac:dyDescent="0.25">
      <c r="A132" s="5">
        <v>44461</v>
      </c>
      <c r="B132">
        <v>0.14180000000000001</v>
      </c>
      <c r="C132">
        <v>0.1595</v>
      </c>
      <c r="D132">
        <v>0.13980000000000001</v>
      </c>
      <c r="E132">
        <v>0.1565</v>
      </c>
      <c r="F132">
        <v>36046731</v>
      </c>
      <c r="G132">
        <v>0.1565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0.69543147208121792</v>
      </c>
      <c r="Q132">
        <f t="shared" ref="Q132" si="636">F132*P132</f>
        <v>25068031.203045674</v>
      </c>
      <c r="R132">
        <f t="shared" ref="R132" si="637">R133+Q132</f>
        <v>-2073053940.6428323</v>
      </c>
      <c r="S132">
        <f t="shared" ref="S132" si="638">R132/100000</f>
        <v>-20730.539406428325</v>
      </c>
      <c r="T132">
        <f t="shared" ref="T132" si="639">S132/1000</f>
        <v>-20.730539406428324</v>
      </c>
    </row>
    <row r="133" spans="1:20" x14ac:dyDescent="0.25">
      <c r="A133" s="5">
        <v>44460</v>
      </c>
      <c r="B133">
        <v>0.1537</v>
      </c>
      <c r="C133">
        <v>0.1565</v>
      </c>
      <c r="D133">
        <v>0.13780000000000001</v>
      </c>
      <c r="E133">
        <v>0.1416</v>
      </c>
      <c r="F133">
        <v>6665137.2999999998</v>
      </c>
      <c r="G133">
        <v>0.1416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-0.59358288770053491</v>
      </c>
      <c r="Q133">
        <f t="shared" ref="Q133" si="641">F133*P133</f>
        <v>-3956311.4454545463</v>
      </c>
      <c r="R133">
        <f t="shared" ref="R133" si="642">R134+Q133</f>
        <v>-2098121971.8458779</v>
      </c>
      <c r="S133">
        <f t="shared" ref="S133" si="643">R133/100000</f>
        <v>-20981.219718458779</v>
      </c>
      <c r="T133">
        <f t="shared" ref="T133" si="644">S133/1000</f>
        <v>-20.981219718458778</v>
      </c>
    </row>
    <row r="134" spans="1:20" x14ac:dyDescent="0.25">
      <c r="A134" s="5">
        <v>44459</v>
      </c>
      <c r="B134">
        <v>0.17549999999999999</v>
      </c>
      <c r="C134">
        <v>0.17549999999999999</v>
      </c>
      <c r="D134">
        <v>0.15679999999999999</v>
      </c>
      <c r="E134">
        <v>0.15820000000000001</v>
      </c>
      <c r="F134">
        <v>4934435.0999999996</v>
      </c>
      <c r="G134">
        <v>0.15820000000000001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-0.85026737967914301</v>
      </c>
      <c r="Q134">
        <f t="shared" ref="Q134" si="646">F134*P134</f>
        <v>-4195589.20267379</v>
      </c>
      <c r="R134">
        <f t="shared" ref="R134" si="647">R135+Q134</f>
        <v>-2094165660.4004233</v>
      </c>
      <c r="S134">
        <f t="shared" ref="S134" si="648">R134/100000</f>
        <v>-20941.656604004234</v>
      </c>
      <c r="T134">
        <f t="shared" ref="T134" si="649">S134/1000</f>
        <v>-20.941656604004233</v>
      </c>
    </row>
    <row r="135" spans="1:20" x14ac:dyDescent="0.25">
      <c r="A135" s="5">
        <v>44458</v>
      </c>
      <c r="B135">
        <v>0.1769</v>
      </c>
      <c r="C135">
        <v>0.1837</v>
      </c>
      <c r="D135">
        <v>0.17299999999999999</v>
      </c>
      <c r="E135">
        <v>0.17519999999999999</v>
      </c>
      <c r="F135">
        <v>12747946</v>
      </c>
      <c r="G135">
        <v>0.17519999999999999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-0.58878504672897114</v>
      </c>
      <c r="Q135">
        <f t="shared" ref="Q135" si="651">F135*P135</f>
        <v>-7505799.9813084006</v>
      </c>
      <c r="R135">
        <f t="shared" ref="R135" si="652">R136+Q135</f>
        <v>-2089970071.1977496</v>
      </c>
      <c r="S135">
        <f t="shared" ref="S135" si="653">R135/100000</f>
        <v>-20899.700711977497</v>
      </c>
      <c r="T135">
        <f t="shared" ref="T135" si="654">S135/1000</f>
        <v>-20.899700711977498</v>
      </c>
    </row>
    <row r="136" spans="1:20" x14ac:dyDescent="0.25">
      <c r="A136" s="5">
        <v>44457</v>
      </c>
      <c r="B136">
        <v>0.1714</v>
      </c>
      <c r="C136">
        <v>0.19259999999999999</v>
      </c>
      <c r="D136">
        <v>0.16919999999999999</v>
      </c>
      <c r="E136">
        <v>0.17680000000000001</v>
      </c>
      <c r="F136">
        <v>28577125</v>
      </c>
      <c r="G136">
        <v>0.17680000000000001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-0.35042735042734852</v>
      </c>
      <c r="Q136">
        <f t="shared" ref="Q136" si="656">F136*P136</f>
        <v>-10014206.196581142</v>
      </c>
      <c r="R136">
        <f t="shared" ref="R136" si="657">R137+Q136</f>
        <v>-2082464271.2164412</v>
      </c>
      <c r="S136">
        <f t="shared" ref="S136" si="658">R136/100000</f>
        <v>-20824.642712164412</v>
      </c>
      <c r="T136">
        <f t="shared" ref="T136" si="659">S136/1000</f>
        <v>-20.824642712164412</v>
      </c>
    </row>
    <row r="137" spans="1:20" x14ac:dyDescent="0.25">
      <c r="A137" s="5">
        <v>44456</v>
      </c>
      <c r="B137">
        <v>0.1757</v>
      </c>
      <c r="C137">
        <v>0.1799</v>
      </c>
      <c r="D137">
        <v>0.1699</v>
      </c>
      <c r="E137">
        <v>0.17169999999999999</v>
      </c>
      <c r="F137">
        <v>7285095</v>
      </c>
      <c r="G137">
        <v>0.17169999999999999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-0.64000000000000112</v>
      </c>
      <c r="Q137">
        <f t="shared" ref="Q137" si="661">F137*P137</f>
        <v>-4662460.8000000082</v>
      </c>
      <c r="R137">
        <f t="shared" ref="R137" si="662">R138+Q137</f>
        <v>-2072450065.01986</v>
      </c>
      <c r="S137">
        <f t="shared" ref="S137" si="663">R137/100000</f>
        <v>-20724.500650198599</v>
      </c>
      <c r="T137">
        <f t="shared" ref="T137" si="664">S137/1000</f>
        <v>-20.7245006501986</v>
      </c>
    </row>
    <row r="138" spans="1:20" x14ac:dyDescent="0.25">
      <c r="A138" s="5">
        <v>44455</v>
      </c>
      <c r="B138">
        <v>0.18659999999999999</v>
      </c>
      <c r="C138">
        <v>0.191</v>
      </c>
      <c r="D138">
        <v>0.17319999999999999</v>
      </c>
      <c r="E138">
        <v>0.17599999999999999</v>
      </c>
      <c r="F138">
        <v>17424454</v>
      </c>
      <c r="G138">
        <v>0.17599999999999999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-0.68539325842696686</v>
      </c>
      <c r="Q138">
        <f t="shared" ref="Q138" si="666">F138*P138</f>
        <v>-11942603.303370796</v>
      </c>
      <c r="R138">
        <f t="shared" ref="R138" si="667">R139+Q138</f>
        <v>-2067787604.2198601</v>
      </c>
      <c r="S138">
        <f t="shared" ref="S138" si="668">R138/100000</f>
        <v>-20677.876042198601</v>
      </c>
      <c r="T138">
        <f t="shared" ref="T138" si="669">S138/1000</f>
        <v>-20.677876042198601</v>
      </c>
    </row>
    <row r="139" spans="1:20" x14ac:dyDescent="0.25">
      <c r="A139" s="5">
        <v>44454</v>
      </c>
      <c r="B139">
        <v>0.17480000000000001</v>
      </c>
      <c r="C139">
        <v>0.19189999999999999</v>
      </c>
      <c r="D139">
        <v>0.17269999999999999</v>
      </c>
      <c r="E139">
        <v>0.18679999999999999</v>
      </c>
      <c r="F139">
        <v>16046581</v>
      </c>
      <c r="G139">
        <v>0.18679999999999999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0.46875000000000056</v>
      </c>
      <c r="Q139">
        <f t="shared" ref="Q139" si="671">F139*P139</f>
        <v>7521834.8437500093</v>
      </c>
      <c r="R139">
        <f t="shared" ref="R139" si="672">R140+Q139</f>
        <v>-2055845000.9164894</v>
      </c>
      <c r="S139">
        <f t="shared" ref="S139" si="673">R139/100000</f>
        <v>-20558.450009164895</v>
      </c>
      <c r="T139">
        <f t="shared" ref="T139" si="674">S139/1000</f>
        <v>-20.558450009164893</v>
      </c>
    </row>
    <row r="140" spans="1:20" x14ac:dyDescent="0.25">
      <c r="A140" s="5">
        <v>44453</v>
      </c>
      <c r="B140">
        <v>0.1701</v>
      </c>
      <c r="C140">
        <v>0.18190000000000001</v>
      </c>
      <c r="D140">
        <v>0.16900000000000001</v>
      </c>
      <c r="E140">
        <v>0.17469999999999999</v>
      </c>
      <c r="F140">
        <v>11251991</v>
      </c>
      <c r="G140">
        <v>0.17469999999999999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-0.11627906976744416</v>
      </c>
      <c r="Q140">
        <f t="shared" ref="Q140" si="676">F140*P140</f>
        <v>-1308371.0465116538</v>
      </c>
      <c r="R140">
        <f t="shared" ref="R140" si="677">R141+Q140</f>
        <v>-2063366835.7602394</v>
      </c>
      <c r="S140">
        <f t="shared" ref="S140" si="678">R140/100000</f>
        <v>-20633.668357602393</v>
      </c>
      <c r="T140">
        <f t="shared" ref="T140" si="679">S140/1000</f>
        <v>-20.633668357602392</v>
      </c>
    </row>
    <row r="141" spans="1:20" x14ac:dyDescent="0.25">
      <c r="A141" s="5">
        <v>44452</v>
      </c>
      <c r="B141">
        <v>0.17910000000000001</v>
      </c>
      <c r="C141">
        <v>0.1812</v>
      </c>
      <c r="D141">
        <v>0.16009999999999999</v>
      </c>
      <c r="E141">
        <v>0.16980000000000001</v>
      </c>
      <c r="F141">
        <v>9933409</v>
      </c>
      <c r="G141">
        <v>0.16980000000000001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-8.0568720379145906E-2</v>
      </c>
      <c r="Q141">
        <f t="shared" ref="Q141" si="681">F141*P141</f>
        <v>-800322.05213269137</v>
      </c>
      <c r="R141">
        <f t="shared" ref="R141" si="682">R142+Q141</f>
        <v>-2062058464.7137277</v>
      </c>
      <c r="S141">
        <f t="shared" ref="S141" si="683">R141/100000</f>
        <v>-20620.584647137279</v>
      </c>
      <c r="T141">
        <f t="shared" ref="T141" si="684">S141/1000</f>
        <v>-20.620584647137278</v>
      </c>
    </row>
    <row r="142" spans="1:20" x14ac:dyDescent="0.25">
      <c r="A142" s="5">
        <v>44451</v>
      </c>
      <c r="B142">
        <v>0.18</v>
      </c>
      <c r="C142">
        <v>0.19309999999999999</v>
      </c>
      <c r="D142">
        <v>0.17449999999999999</v>
      </c>
      <c r="E142">
        <v>0.17960000000000001</v>
      </c>
      <c r="F142">
        <v>19637369</v>
      </c>
      <c r="G142">
        <v>0.17960000000000001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-0.45161290322580433</v>
      </c>
      <c r="Q142">
        <f t="shared" ref="Q142" si="686">F142*P142</f>
        <v>-8868489.2258064095</v>
      </c>
      <c r="R142">
        <f t="shared" ref="R142" si="687">R143+Q142</f>
        <v>-2061258142.6615951</v>
      </c>
      <c r="S142">
        <f t="shared" ref="S142" si="688">R142/100000</f>
        <v>-20612.58142661595</v>
      </c>
      <c r="T142">
        <f t="shared" ref="T142" si="689">S142/1000</f>
        <v>-20.61258142661595</v>
      </c>
    </row>
    <row r="143" spans="1:20" x14ac:dyDescent="0.25">
      <c r="A143" s="5">
        <v>44450</v>
      </c>
      <c r="B143">
        <v>0.16739999999999999</v>
      </c>
      <c r="C143">
        <v>0.192</v>
      </c>
      <c r="D143">
        <v>0.1666</v>
      </c>
      <c r="E143">
        <v>0.17899999999999999</v>
      </c>
      <c r="F143">
        <v>16152393</v>
      </c>
      <c r="G143">
        <v>0.17899999999999999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-2.3622047244095161E-2</v>
      </c>
      <c r="Q143">
        <f t="shared" ref="Q143" si="691">F143*P143</f>
        <v>-381552.59055119194</v>
      </c>
      <c r="R143">
        <f t="shared" ref="R143" si="692">R144+Q143</f>
        <v>-2052389653.4357886</v>
      </c>
      <c r="S143">
        <f t="shared" ref="S143" si="693">R143/100000</f>
        <v>-20523.896534357886</v>
      </c>
      <c r="T143">
        <f t="shared" ref="T143" si="694">S143/1000</f>
        <v>-20.523896534357885</v>
      </c>
    </row>
    <row r="144" spans="1:20" x14ac:dyDescent="0.25">
      <c r="A144" s="5">
        <v>44449</v>
      </c>
      <c r="B144">
        <v>0.18149999999999999</v>
      </c>
      <c r="C144">
        <v>0.19270000000000001</v>
      </c>
      <c r="D144">
        <v>0.16389999999999999</v>
      </c>
      <c r="E144">
        <v>0.1673</v>
      </c>
      <c r="F144">
        <v>11706315</v>
      </c>
      <c r="G144">
        <v>0.1673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-0.76388888888888806</v>
      </c>
      <c r="Q144">
        <f t="shared" ref="Q144" si="696">F144*P144</f>
        <v>-8942323.9583333228</v>
      </c>
      <c r="R144">
        <f t="shared" ref="R144" si="697">R145+Q144</f>
        <v>-2052008100.8452375</v>
      </c>
      <c r="S144">
        <f t="shared" ref="S144" si="698">R144/100000</f>
        <v>-20520.081008452376</v>
      </c>
      <c r="T144">
        <f t="shared" ref="T144" si="699">S144/1000</f>
        <v>-20.520081008452376</v>
      </c>
    </row>
    <row r="145" spans="1:20" x14ac:dyDescent="0.25">
      <c r="A145" s="5">
        <v>44448</v>
      </c>
      <c r="B145">
        <v>0.17680000000000001</v>
      </c>
      <c r="C145">
        <v>0.18690000000000001</v>
      </c>
      <c r="D145">
        <v>0.1731</v>
      </c>
      <c r="E145">
        <v>0.18160000000000001</v>
      </c>
      <c r="F145">
        <v>6920459</v>
      </c>
      <c r="G145">
        <v>0.18160000000000001</v>
      </c>
      <c r="L145" t="s">
        <v>8</v>
      </c>
      <c r="M145" t="s">
        <v>7</v>
      </c>
      <c r="N145" t="s">
        <v>7</v>
      </c>
      <c r="P145">
        <f t="shared" ref="P145" si="700">IF(C145=D145,0,((E145-D145)-(C145-E145))/(C145-D145))</f>
        <v>0.231884057971015</v>
      </c>
      <c r="Q145">
        <f t="shared" ref="Q145" si="701">F145*P145</f>
        <v>1604744.1159420325</v>
      </c>
      <c r="R145">
        <f t="shared" ref="R145" si="702">R146+Q145</f>
        <v>-2043065776.8869042</v>
      </c>
      <c r="S145">
        <f t="shared" ref="S145" si="703">R145/100000</f>
        <v>-20430.657768869041</v>
      </c>
      <c r="T145">
        <f t="shared" ref="T145" si="704">S145/1000</f>
        <v>-20.43065776886904</v>
      </c>
    </row>
    <row r="146" spans="1:20" x14ac:dyDescent="0.25">
      <c r="A146" s="5">
        <v>44447</v>
      </c>
      <c r="B146">
        <v>0.17960000000000001</v>
      </c>
      <c r="C146">
        <v>0.18229999999999999</v>
      </c>
      <c r="D146">
        <v>0.1585</v>
      </c>
      <c r="E146">
        <v>0.17649999999999999</v>
      </c>
      <c r="F146">
        <v>11032408.1</v>
      </c>
      <c r="G146">
        <v>0.17649999999999999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0.51260504201680646</v>
      </c>
      <c r="Q146">
        <f t="shared" ref="Q146" si="706">F146*P146</f>
        <v>5655268.0176470559</v>
      </c>
      <c r="R146">
        <f t="shared" ref="R146" si="707">R147+Q146</f>
        <v>-2044670521.0028462</v>
      </c>
      <c r="S146">
        <f t="shared" ref="S146" si="708">R146/100000</f>
        <v>-20446.705210028464</v>
      </c>
      <c r="T146">
        <f t="shared" ref="T146" si="709">S146/1000</f>
        <v>-20.446705210028462</v>
      </c>
    </row>
    <row r="147" spans="1:20" x14ac:dyDescent="0.25">
      <c r="A147" s="5">
        <v>44446</v>
      </c>
      <c r="B147">
        <v>0.2094</v>
      </c>
      <c r="C147">
        <v>0.20979999999999999</v>
      </c>
      <c r="D147">
        <v>0.16839999999999999</v>
      </c>
      <c r="E147">
        <v>0.17960000000000001</v>
      </c>
      <c r="F147">
        <v>16332199</v>
      </c>
      <c r="G147">
        <v>0.17960000000000001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-0.458937198067632</v>
      </c>
      <c r="Q147">
        <f t="shared" ref="Q147" si="711">F147*P147</f>
        <v>-7495453.6473429818</v>
      </c>
      <c r="R147">
        <f t="shared" ref="R147" si="712">R148+Q147</f>
        <v>-2050325789.0204933</v>
      </c>
      <c r="S147">
        <f t="shared" ref="S147" si="713">R147/100000</f>
        <v>-20503.257890204932</v>
      </c>
      <c r="T147">
        <f t="shared" ref="T147" si="714">S147/1000</f>
        <v>-20.503257890204932</v>
      </c>
    </row>
    <row r="148" spans="1:20" x14ac:dyDescent="0.25">
      <c r="A148" s="5">
        <v>44445</v>
      </c>
      <c r="B148">
        <v>0.217</v>
      </c>
      <c r="C148">
        <v>0.21779999999999999</v>
      </c>
      <c r="D148">
        <v>0.20130000000000001</v>
      </c>
      <c r="E148">
        <v>0.2089</v>
      </c>
      <c r="F148">
        <v>15923817</v>
      </c>
      <c r="G148">
        <v>0.2089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-7.8787878787878587E-2</v>
      </c>
      <c r="Q148">
        <f t="shared" ref="Q148" si="716">F148*P148</f>
        <v>-1254603.7636363604</v>
      </c>
      <c r="R148">
        <f t="shared" ref="R148" si="717">R149+Q148</f>
        <v>-2042830335.3731503</v>
      </c>
      <c r="S148">
        <f t="shared" ref="S148" si="718">R148/100000</f>
        <v>-20428.303353731502</v>
      </c>
      <c r="T148">
        <f t="shared" ref="T148" si="719">S148/1000</f>
        <v>-20.428303353731501</v>
      </c>
    </row>
    <row r="149" spans="1:20" x14ac:dyDescent="0.25">
      <c r="A149" s="5">
        <v>44444</v>
      </c>
      <c r="B149">
        <v>0.22370000000000001</v>
      </c>
      <c r="C149">
        <v>0.25</v>
      </c>
      <c r="D149">
        <v>0.2046</v>
      </c>
      <c r="E149">
        <v>0.21709999999999999</v>
      </c>
      <c r="F149">
        <v>49427573.5</v>
      </c>
      <c r="G149">
        <v>0.21709999999999999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-0.44933920704845881</v>
      </c>
      <c r="Q149">
        <f t="shared" ref="Q149" si="721">F149*P149</f>
        <v>-22209746.682819415</v>
      </c>
      <c r="R149">
        <f t="shared" ref="R149" si="722">R150+Q149</f>
        <v>-2041575731.609514</v>
      </c>
      <c r="S149">
        <f t="shared" ref="S149" si="723">R149/100000</f>
        <v>-20415.75731609514</v>
      </c>
      <c r="T149">
        <f t="shared" ref="T149" si="724">S149/1000</f>
        <v>-20.415757316095139</v>
      </c>
    </row>
    <row r="150" spans="1:20" x14ac:dyDescent="0.25">
      <c r="A150" s="5">
        <v>44443</v>
      </c>
      <c r="B150">
        <v>0.19270000000000001</v>
      </c>
      <c r="C150">
        <v>0.22800000000000001</v>
      </c>
      <c r="D150">
        <v>0.19020000000000001</v>
      </c>
      <c r="E150">
        <v>0.22339999999999999</v>
      </c>
      <c r="F150">
        <v>50392213</v>
      </c>
      <c r="G150">
        <v>0.22339999999999999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0.75661375661375552</v>
      </c>
      <c r="Q150">
        <f t="shared" ref="Q150" si="726">F150*P150</f>
        <v>38127441.58201053</v>
      </c>
      <c r="R150">
        <f t="shared" ref="R150" si="727">R151+Q150</f>
        <v>-2019365984.9266946</v>
      </c>
      <c r="S150">
        <f t="shared" ref="S150" si="728">R150/100000</f>
        <v>-20193.659849266947</v>
      </c>
      <c r="T150">
        <f t="shared" ref="T150" si="729">S150/1000</f>
        <v>-20.193659849266947</v>
      </c>
    </row>
    <row r="151" spans="1:20" x14ac:dyDescent="0.25">
      <c r="A151" s="5">
        <v>44442</v>
      </c>
      <c r="B151">
        <v>0.1898</v>
      </c>
      <c r="C151">
        <v>0.19570000000000001</v>
      </c>
      <c r="D151">
        <v>0.18559999999999999</v>
      </c>
      <c r="E151">
        <v>0.19289999999999999</v>
      </c>
      <c r="F151">
        <v>6785402</v>
      </c>
      <c r="G151">
        <v>0.19289999999999999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0.44554455445544205</v>
      </c>
      <c r="Q151">
        <f t="shared" ref="Q151" si="731">F151*P151</f>
        <v>3023198.9108910654</v>
      </c>
      <c r="R151">
        <f t="shared" ref="R151" si="732">R152+Q151</f>
        <v>-2057493426.5087051</v>
      </c>
      <c r="S151">
        <f t="shared" ref="S151" si="733">R151/100000</f>
        <v>-20574.934265087053</v>
      </c>
      <c r="T151">
        <f t="shared" ref="T151" si="734">S151/1000</f>
        <v>-20.574934265087052</v>
      </c>
    </row>
    <row r="152" spans="1:20" x14ac:dyDescent="0.25">
      <c r="A152" s="5">
        <v>44441</v>
      </c>
      <c r="B152">
        <v>0.1908</v>
      </c>
      <c r="C152">
        <v>0.1953</v>
      </c>
      <c r="D152">
        <v>0.18790000000000001</v>
      </c>
      <c r="E152">
        <v>0.1898</v>
      </c>
      <c r="F152">
        <v>5684546</v>
      </c>
      <c r="G152">
        <v>0.1898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-0.48648648648648984</v>
      </c>
      <c r="Q152">
        <f t="shared" ref="Q152" si="736">F152*P152</f>
        <v>-2765454.81081083</v>
      </c>
      <c r="R152">
        <f t="shared" ref="R152" si="737">R153+Q152</f>
        <v>-2060516625.4195962</v>
      </c>
      <c r="S152">
        <f t="shared" ref="S152" si="738">R152/100000</f>
        <v>-20605.166254195963</v>
      </c>
      <c r="T152">
        <f t="shared" ref="T152" si="739">S152/1000</f>
        <v>-20.605166254195964</v>
      </c>
    </row>
    <row r="153" spans="1:20" x14ac:dyDescent="0.25">
      <c r="A153" s="5">
        <v>44440</v>
      </c>
      <c r="B153">
        <v>0.186</v>
      </c>
      <c r="C153">
        <v>0.1933</v>
      </c>
      <c r="D153">
        <v>0.182</v>
      </c>
      <c r="E153">
        <v>0.1908</v>
      </c>
      <c r="F153">
        <v>6748319</v>
      </c>
      <c r="G153">
        <v>0.1908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0.55752212389380507</v>
      </c>
      <c r="Q153">
        <f t="shared" ref="Q153" si="741">F153*P153</f>
        <v>3762337.1415929189</v>
      </c>
      <c r="R153">
        <f t="shared" ref="R153" si="742">R154+Q153</f>
        <v>-2057751170.6087854</v>
      </c>
      <c r="S153">
        <f t="shared" ref="S153" si="743">R153/100000</f>
        <v>-20577.511706087855</v>
      </c>
      <c r="T153">
        <f t="shared" ref="T153" si="744">S153/1000</f>
        <v>-20.577511706087854</v>
      </c>
    </row>
    <row r="154" spans="1:20" x14ac:dyDescent="0.25">
      <c r="A154" s="5">
        <v>44439</v>
      </c>
      <c r="B154">
        <v>0.18679999999999999</v>
      </c>
      <c r="C154">
        <v>0.20480000000000001</v>
      </c>
      <c r="D154">
        <v>0.185</v>
      </c>
      <c r="E154">
        <v>0.18590000000000001</v>
      </c>
      <c r="F154">
        <v>18093024</v>
      </c>
      <c r="G154">
        <v>0.18590000000000001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-0.90909090909090795</v>
      </c>
      <c r="Q154">
        <f t="shared" ref="Q154" si="746">F154*P154</f>
        <v>-16448203.636363616</v>
      </c>
      <c r="R154">
        <f t="shared" ref="R154" si="747">R155+Q154</f>
        <v>-2061513507.7503784</v>
      </c>
      <c r="S154">
        <f t="shared" ref="S154" si="748">R154/100000</f>
        <v>-20615.135077503783</v>
      </c>
      <c r="T154">
        <f t="shared" ref="T154" si="749">S154/1000</f>
        <v>-20.615135077503783</v>
      </c>
    </row>
    <row r="155" spans="1:20" x14ac:dyDescent="0.25">
      <c r="A155" s="5">
        <v>44438</v>
      </c>
      <c r="B155">
        <v>0.1888</v>
      </c>
      <c r="C155">
        <v>0.22869</v>
      </c>
      <c r="D155">
        <v>0.185</v>
      </c>
      <c r="E155">
        <v>0.18679999999999999</v>
      </c>
      <c r="F155">
        <v>67711836.5</v>
      </c>
      <c r="G155">
        <v>0.18679999999999999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-0.9176012817578395</v>
      </c>
      <c r="Q155">
        <f t="shared" ref="Q155" si="751">F155*P155</f>
        <v>-62132467.962577261</v>
      </c>
      <c r="R155">
        <f t="shared" ref="R155" si="752">R156+Q155</f>
        <v>-2045065304.1140149</v>
      </c>
      <c r="S155">
        <f t="shared" ref="S155" si="753">R155/100000</f>
        <v>-20450.653041140147</v>
      </c>
      <c r="T155">
        <f t="shared" ref="T155" si="754">S155/1000</f>
        <v>-20.450653041140146</v>
      </c>
    </row>
    <row r="156" spans="1:20" x14ac:dyDescent="0.25">
      <c r="A156" s="5">
        <v>44437</v>
      </c>
      <c r="B156">
        <v>0.187</v>
      </c>
      <c r="C156">
        <v>0.192</v>
      </c>
      <c r="D156">
        <v>0.17760000000000001</v>
      </c>
      <c r="E156">
        <v>0.18859999999999999</v>
      </c>
      <c r="F156">
        <v>14882159</v>
      </c>
      <c r="G156">
        <v>0.18859999999999999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0.52777777777777568</v>
      </c>
      <c r="Q156">
        <f t="shared" ref="Q156" si="756">F156*P156</f>
        <v>7854472.8055555243</v>
      </c>
      <c r="R156">
        <f t="shared" ref="R156" si="757">R157+Q156</f>
        <v>-1982932836.1514375</v>
      </c>
      <c r="S156">
        <f t="shared" ref="S156" si="758">R156/100000</f>
        <v>-19829.328361514374</v>
      </c>
      <c r="T156">
        <f t="shared" ref="T156" si="759">S156/1000</f>
        <v>-19.829328361514374</v>
      </c>
    </row>
    <row r="157" spans="1:20" x14ac:dyDescent="0.25">
      <c r="A157" s="5">
        <v>44436</v>
      </c>
      <c r="B157">
        <v>0.18310000000000001</v>
      </c>
      <c r="C157">
        <v>0.1943</v>
      </c>
      <c r="D157">
        <v>0.18149999999999999</v>
      </c>
      <c r="E157">
        <v>0.1867</v>
      </c>
      <c r="F157">
        <v>13844320.699999999</v>
      </c>
      <c r="G157">
        <v>0.1867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-0.18749999999999878</v>
      </c>
      <c r="Q157">
        <f t="shared" ref="Q157" si="761">F157*P157</f>
        <v>-2595810.1312499829</v>
      </c>
      <c r="R157">
        <f t="shared" ref="R157" si="762">R158+Q157</f>
        <v>-1990787308.9569931</v>
      </c>
      <c r="S157">
        <f t="shared" ref="S157" si="763">R157/100000</f>
        <v>-19907.87308956993</v>
      </c>
      <c r="T157">
        <f t="shared" ref="T157" si="764">S157/1000</f>
        <v>-19.907873089569929</v>
      </c>
    </row>
    <row r="158" spans="1:20" x14ac:dyDescent="0.25">
      <c r="A158" s="5">
        <v>44435</v>
      </c>
      <c r="B158">
        <v>0.1782</v>
      </c>
      <c r="C158">
        <v>0.18529999999999999</v>
      </c>
      <c r="D158">
        <v>0.16666</v>
      </c>
      <c r="E158">
        <v>0.18310000000000001</v>
      </c>
      <c r="F158">
        <v>8574574.8000000007</v>
      </c>
      <c r="G158">
        <v>0.18310000000000001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0.76394849785407926</v>
      </c>
      <c r="Q158">
        <f t="shared" ref="Q158" si="766">F158*P158</f>
        <v>6550533.5381974429</v>
      </c>
      <c r="R158">
        <f t="shared" ref="R158" si="767">R159+Q158</f>
        <v>-1988191498.8257432</v>
      </c>
      <c r="S158">
        <f t="shared" ref="S158" si="768">R158/100000</f>
        <v>-19881.914988257431</v>
      </c>
      <c r="T158">
        <f t="shared" ref="T158" si="769">S158/1000</f>
        <v>-19.881914988257432</v>
      </c>
    </row>
    <row r="159" spans="1:20" x14ac:dyDescent="0.25">
      <c r="A159" s="5">
        <v>44434</v>
      </c>
      <c r="B159">
        <v>0.19420000000000001</v>
      </c>
      <c r="C159">
        <v>0.19541</v>
      </c>
      <c r="D159">
        <v>0.17630000000000001</v>
      </c>
      <c r="E159">
        <v>0.17860000000000001</v>
      </c>
      <c r="F159">
        <v>5589789.5999999996</v>
      </c>
      <c r="G159">
        <v>0.17860000000000001</v>
      </c>
      <c r="L159" t="s">
        <v>7</v>
      </c>
      <c r="M159" t="s">
        <v>8</v>
      </c>
      <c r="N159" t="s">
        <v>8</v>
      </c>
      <c r="P159">
        <f t="shared" ref="P159" si="770">IF(C159=D159,0,((E159-D159)-(C159-E159))/(C159-D159))</f>
        <v>-0.75928833071690238</v>
      </c>
      <c r="Q159">
        <f t="shared" ref="Q159" si="771">F159*P159</f>
        <v>-4244262.0144427009</v>
      </c>
      <c r="R159">
        <f t="shared" ref="R159" si="772">R160+Q159</f>
        <v>-1994742032.3639407</v>
      </c>
      <c r="S159">
        <f t="shared" ref="S159" si="773">R159/100000</f>
        <v>-19947.420323639406</v>
      </c>
      <c r="T159">
        <f t="shared" ref="T159" si="774">S159/1000</f>
        <v>-19.947420323639406</v>
      </c>
    </row>
    <row r="160" spans="1:20" x14ac:dyDescent="0.25">
      <c r="A160" s="5">
        <v>44433</v>
      </c>
      <c r="B160">
        <v>0.18714</v>
      </c>
      <c r="C160">
        <v>0.19700999999999999</v>
      </c>
      <c r="D160">
        <v>0.18221999999999999</v>
      </c>
      <c r="E160">
        <v>0.19395000000000001</v>
      </c>
      <c r="F160">
        <v>11854023.9</v>
      </c>
      <c r="G160">
        <v>0.19395000000000001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0.58620689655172686</v>
      </c>
      <c r="Q160">
        <f t="shared" ref="Q160" si="776">F160*P160</f>
        <v>6948910.5620689979</v>
      </c>
      <c r="R160">
        <f t="shared" ref="R160" si="777">R161+Q160</f>
        <v>-1990497770.349498</v>
      </c>
      <c r="S160">
        <f t="shared" ref="S160" si="778">R160/100000</f>
        <v>-19904.97770349498</v>
      </c>
      <c r="T160">
        <f t="shared" ref="T160" si="779">S160/1000</f>
        <v>-19.904977703494982</v>
      </c>
    </row>
    <row r="161" spans="1:20" x14ac:dyDescent="0.25">
      <c r="A161" s="5">
        <v>44432</v>
      </c>
      <c r="B161">
        <v>0.19717999999999999</v>
      </c>
      <c r="C161">
        <v>0.2</v>
      </c>
      <c r="D161">
        <v>0.18468999999999999</v>
      </c>
      <c r="E161">
        <v>0.18776000000000001</v>
      </c>
      <c r="F161">
        <v>9123133.5999999996</v>
      </c>
      <c r="G161">
        <v>0.18776000000000001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-0.59895493141737255</v>
      </c>
      <c r="Q161">
        <f t="shared" ref="Q161" si="781">F161*P161</f>
        <v>-5464345.8596995268</v>
      </c>
      <c r="R161">
        <f t="shared" ref="R161" si="782">R162+Q161</f>
        <v>-1997446680.911567</v>
      </c>
      <c r="S161">
        <f t="shared" ref="S161" si="783">R161/100000</f>
        <v>-19974.466809115671</v>
      </c>
      <c r="T161">
        <f t="shared" ref="T161" si="784">S161/1000</f>
        <v>-19.974466809115672</v>
      </c>
    </row>
    <row r="162" spans="1:20" x14ac:dyDescent="0.25">
      <c r="A162" s="5">
        <v>44431</v>
      </c>
      <c r="B162">
        <v>0.19758999999999999</v>
      </c>
      <c r="C162">
        <v>0.20571999999999999</v>
      </c>
      <c r="D162">
        <v>0.19247</v>
      </c>
      <c r="E162">
        <v>0.19717000000000001</v>
      </c>
      <c r="F162">
        <v>15488562.199999999</v>
      </c>
      <c r="G162">
        <v>0.19717000000000001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-0.29056603773584672</v>
      </c>
      <c r="Q162">
        <f t="shared" ref="Q162" si="786">F162*P162</f>
        <v>-4500450.1486792089</v>
      </c>
      <c r="R162">
        <f t="shared" ref="R162" si="787">R163+Q162</f>
        <v>-1991982335.0518675</v>
      </c>
      <c r="S162">
        <f t="shared" ref="S162" si="788">R162/100000</f>
        <v>-19919.823350518676</v>
      </c>
      <c r="T162">
        <f t="shared" ref="T162" si="789">S162/1000</f>
        <v>-19.919823350518676</v>
      </c>
    </row>
    <row r="163" spans="1:20" x14ac:dyDescent="0.25">
      <c r="A163" s="5">
        <v>44430</v>
      </c>
      <c r="B163">
        <v>0.18770000000000001</v>
      </c>
      <c r="C163">
        <v>0.19098000000000001</v>
      </c>
      <c r="D163">
        <v>0.18622</v>
      </c>
      <c r="E163">
        <v>0.18873999999999999</v>
      </c>
      <c r="F163">
        <v>732170.8</v>
      </c>
      <c r="G163">
        <v>0.18873999999999999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5.8823529411759216E-2</v>
      </c>
      <c r="Q163">
        <f t="shared" ref="Q163" si="791">F163*P163</f>
        <v>43068.870588231279</v>
      </c>
      <c r="R163">
        <f t="shared" ref="R163" si="792">R164+Q163</f>
        <v>-1987481884.9031882</v>
      </c>
      <c r="S163">
        <f t="shared" ref="S163" si="793">R163/100000</f>
        <v>-19874.818849031883</v>
      </c>
      <c r="T163">
        <f t="shared" ref="T163" si="794">S163/1000</f>
        <v>-19.874818849031882</v>
      </c>
    </row>
    <row r="164" spans="1:20" x14ac:dyDescent="0.25">
      <c r="A164" s="5">
        <v>44429</v>
      </c>
      <c r="B164">
        <v>0.19114</v>
      </c>
      <c r="C164">
        <v>0.19374</v>
      </c>
      <c r="D164">
        <v>0.18498000000000001</v>
      </c>
      <c r="E164">
        <v>0.18769</v>
      </c>
      <c r="F164">
        <v>6800901.2000000002</v>
      </c>
      <c r="G164">
        <v>0.18769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-0.38127853881278695</v>
      </c>
      <c r="Q164">
        <f t="shared" ref="Q164" si="796">F164*P164</f>
        <v>-2593037.6721461294</v>
      </c>
      <c r="R164">
        <f t="shared" ref="R164" si="797">R165+Q164</f>
        <v>-1987524953.7737765</v>
      </c>
      <c r="S164">
        <f t="shared" ref="S164" si="798">R164/100000</f>
        <v>-19875.249537737764</v>
      </c>
      <c r="T164">
        <f t="shared" ref="T164" si="799">S164/1000</f>
        <v>-19.875249537737762</v>
      </c>
    </row>
    <row r="165" spans="1:20" x14ac:dyDescent="0.25">
      <c r="A165" s="5">
        <v>44428</v>
      </c>
      <c r="B165">
        <v>0.19086</v>
      </c>
      <c r="C165">
        <v>0.20569999999999999</v>
      </c>
      <c r="D165">
        <v>0.18687000000000001</v>
      </c>
      <c r="E165">
        <v>0.19109000000000001</v>
      </c>
      <c r="F165">
        <v>10228855.9</v>
      </c>
      <c r="G165">
        <v>0.19109000000000001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-0.55177907594264419</v>
      </c>
      <c r="Q165">
        <f t="shared" ref="Q165" si="801">F165*P165</f>
        <v>-5644068.6564524639</v>
      </c>
      <c r="R165">
        <f t="shared" ref="R165" si="802">R166+Q165</f>
        <v>-1984931916.1016304</v>
      </c>
      <c r="S165">
        <f t="shared" ref="S165" si="803">R165/100000</f>
        <v>-19849.319161016305</v>
      </c>
      <c r="T165">
        <f t="shared" ref="T165" si="804">S165/1000</f>
        <v>-19.849319161016304</v>
      </c>
    </row>
    <row r="166" spans="1:20" x14ac:dyDescent="0.25">
      <c r="A166" s="5">
        <v>44427</v>
      </c>
      <c r="B166">
        <v>0.17530999999999999</v>
      </c>
      <c r="C166">
        <v>0.19177</v>
      </c>
      <c r="D166">
        <v>0.1741</v>
      </c>
      <c r="E166">
        <v>0.19134999999999999</v>
      </c>
      <c r="F166">
        <v>9637265.0999999996</v>
      </c>
      <c r="G166">
        <v>0.19134999999999999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0.95246179966044098</v>
      </c>
      <c r="Q166">
        <f t="shared" ref="Q166" si="806">F166*P166</f>
        <v>9179126.8609507587</v>
      </c>
      <c r="R166">
        <f t="shared" ref="R166" si="807">R167+Q166</f>
        <v>-1979287847.445178</v>
      </c>
      <c r="S166">
        <f t="shared" ref="S166" si="808">R166/100000</f>
        <v>-19792.87847445178</v>
      </c>
      <c r="T166">
        <f t="shared" ref="T166" si="809">S166/1000</f>
        <v>-19.792878474451779</v>
      </c>
    </row>
    <row r="167" spans="1:20" x14ac:dyDescent="0.25">
      <c r="A167" s="5">
        <v>44426</v>
      </c>
      <c r="B167">
        <v>0.17229</v>
      </c>
      <c r="C167">
        <v>0.18307999999999999</v>
      </c>
      <c r="D167">
        <v>0.16558999999999999</v>
      </c>
      <c r="E167">
        <v>0.17555000000000001</v>
      </c>
      <c r="F167">
        <v>9829994.5999999996</v>
      </c>
      <c r="G167">
        <v>0.17555000000000001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0.13893653516295268</v>
      </c>
      <c r="Q167">
        <f t="shared" ref="Q167" si="811">F167*P167</f>
        <v>1365745.3903945349</v>
      </c>
      <c r="R167">
        <f t="shared" ref="R167" si="812">R168+Q167</f>
        <v>-1988466974.3061287</v>
      </c>
      <c r="S167">
        <f t="shared" ref="S167" si="813">R167/100000</f>
        <v>-19884.669743061288</v>
      </c>
      <c r="T167">
        <f t="shared" ref="T167" si="814">S167/1000</f>
        <v>-19.884669743061288</v>
      </c>
    </row>
    <row r="168" spans="1:20" x14ac:dyDescent="0.25">
      <c r="A168" s="5">
        <v>44425</v>
      </c>
      <c r="B168">
        <v>0.18820000000000001</v>
      </c>
      <c r="C168">
        <v>0.19445999999999999</v>
      </c>
      <c r="D168">
        <v>0.17191000000000001</v>
      </c>
      <c r="E168">
        <v>0.17229</v>
      </c>
      <c r="F168">
        <v>11295034.6</v>
      </c>
      <c r="G168">
        <v>0.17229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-0.9662971175166305</v>
      </c>
      <c r="Q168">
        <f t="shared" ref="Q168" si="816">F168*P168</f>
        <v>-10914359.376230607</v>
      </c>
      <c r="R168">
        <f t="shared" ref="R168" si="817">R169+Q168</f>
        <v>-1989832719.6965232</v>
      </c>
      <c r="S168">
        <f t="shared" ref="S168" si="818">R168/100000</f>
        <v>-19898.327196965231</v>
      </c>
      <c r="T168">
        <f t="shared" ref="T168" si="819">S168/1000</f>
        <v>-19.89832719696523</v>
      </c>
    </row>
    <row r="169" spans="1:20" x14ac:dyDescent="0.25">
      <c r="A169" s="5">
        <v>44424</v>
      </c>
      <c r="B169">
        <v>0.19592000000000001</v>
      </c>
      <c r="C169">
        <v>0.20200000000000001</v>
      </c>
      <c r="D169">
        <v>0.18767</v>
      </c>
      <c r="E169">
        <v>0.18825</v>
      </c>
      <c r="F169">
        <v>15218631.1</v>
      </c>
      <c r="G169">
        <v>0.18825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-0.91905094207955385</v>
      </c>
      <c r="Q169">
        <f t="shared" ref="Q169" si="821">F169*P169</f>
        <v>-13986697.249616196</v>
      </c>
      <c r="R169">
        <f t="shared" ref="R169" si="822">R170+Q169</f>
        <v>-1978918360.3202925</v>
      </c>
      <c r="S169">
        <f t="shared" ref="S169" si="823">R169/100000</f>
        <v>-19789.183603202924</v>
      </c>
      <c r="T169">
        <f t="shared" ref="T169" si="824">S169/1000</f>
        <v>-19.789183603202925</v>
      </c>
    </row>
    <row r="170" spans="1:20" x14ac:dyDescent="0.25">
      <c r="A170" s="5">
        <v>44423</v>
      </c>
      <c r="B170">
        <v>0.19864999999999999</v>
      </c>
      <c r="C170">
        <v>0.19944999999999999</v>
      </c>
      <c r="D170">
        <v>0.18606</v>
      </c>
      <c r="E170">
        <v>0.19633</v>
      </c>
      <c r="F170">
        <v>18569096.600000001</v>
      </c>
      <c r="G170">
        <v>0.19633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0.53398058252427372</v>
      </c>
      <c r="Q170">
        <f t="shared" ref="Q170" si="826">F170*P170</f>
        <v>9915537.0194175113</v>
      </c>
      <c r="R170">
        <f t="shared" ref="R170" si="827">R171+Q170</f>
        <v>-1964931663.0706763</v>
      </c>
      <c r="S170">
        <f t="shared" ref="S170" si="828">R170/100000</f>
        <v>-19649.316630706762</v>
      </c>
      <c r="T170">
        <f t="shared" ref="T170" si="829">S170/1000</f>
        <v>-19.649316630706764</v>
      </c>
    </row>
    <row r="171" spans="1:20" x14ac:dyDescent="0.25">
      <c r="A171" s="5">
        <v>44422</v>
      </c>
      <c r="B171">
        <v>0.19775999999999999</v>
      </c>
      <c r="C171">
        <v>0.21693999999999999</v>
      </c>
      <c r="D171">
        <v>0.19406999999999999</v>
      </c>
      <c r="E171">
        <v>0.19852</v>
      </c>
      <c r="F171">
        <v>22131182.300000001</v>
      </c>
      <c r="G171">
        <v>0.19852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-0.61084390030607705</v>
      </c>
      <c r="Q171">
        <f t="shared" ref="Q171" si="831">F171*P171</f>
        <v>-13518697.714516817</v>
      </c>
      <c r="R171">
        <f t="shared" ref="R171" si="832">R172+Q171</f>
        <v>-1974847200.0900939</v>
      </c>
      <c r="S171">
        <f t="shared" ref="S171" si="833">R171/100000</f>
        <v>-19748.47200090094</v>
      </c>
      <c r="T171">
        <f t="shared" ref="T171" si="834">S171/1000</f>
        <v>-19.748472000900939</v>
      </c>
    </row>
    <row r="172" spans="1:20" x14ac:dyDescent="0.25">
      <c r="A172" s="5">
        <v>44421</v>
      </c>
      <c r="B172">
        <v>0.17305000000000001</v>
      </c>
      <c r="C172">
        <v>0.218</v>
      </c>
      <c r="D172">
        <v>0.17305000000000001</v>
      </c>
      <c r="E172">
        <v>0.19767000000000001</v>
      </c>
      <c r="F172">
        <v>62666533.200000003</v>
      </c>
      <c r="G172">
        <v>0.19767000000000001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9.5439377085651103E-2</v>
      </c>
      <c r="Q172">
        <f t="shared" ref="Q172" si="836">F172*P172</f>
        <v>5980854.892725274</v>
      </c>
      <c r="R172">
        <f t="shared" ref="R172" si="837">R173+Q172</f>
        <v>-1961328502.375577</v>
      </c>
      <c r="S172">
        <f t="shared" ref="S172" si="838">R172/100000</f>
        <v>-19613.285023755769</v>
      </c>
      <c r="T172">
        <f t="shared" ref="T172" si="839">S172/1000</f>
        <v>-19.613285023755768</v>
      </c>
    </row>
    <row r="173" spans="1:20" x14ac:dyDescent="0.25">
      <c r="A173" s="5">
        <v>44420</v>
      </c>
      <c r="B173">
        <v>0.1676</v>
      </c>
      <c r="C173">
        <v>0.185</v>
      </c>
      <c r="D173">
        <v>0.16605</v>
      </c>
      <c r="E173">
        <v>0.17305000000000001</v>
      </c>
      <c r="F173">
        <v>31513389.300000001</v>
      </c>
      <c r="G173">
        <v>0.17305000000000001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-0.26121372031662182</v>
      </c>
      <c r="Q173">
        <f t="shared" ref="Q173" si="841">F173*P173</f>
        <v>-8231729.6588390227</v>
      </c>
      <c r="R173">
        <f t="shared" ref="R173" si="842">R174+Q173</f>
        <v>-1967309357.2683022</v>
      </c>
      <c r="S173">
        <f t="shared" ref="S173" si="843">R173/100000</f>
        <v>-19673.093572683021</v>
      </c>
      <c r="T173">
        <f t="shared" ref="T173" si="844">S173/1000</f>
        <v>-19.673093572683023</v>
      </c>
    </row>
    <row r="174" spans="1:20" x14ac:dyDescent="0.25">
      <c r="A174" s="5">
        <v>44419</v>
      </c>
      <c r="B174">
        <v>0.16685</v>
      </c>
      <c r="C174">
        <v>0.17756</v>
      </c>
      <c r="D174">
        <v>0.16563</v>
      </c>
      <c r="E174">
        <v>0.16844000000000001</v>
      </c>
      <c r="F174">
        <v>22725824.899999999</v>
      </c>
      <c r="G174">
        <v>0.16844000000000001</v>
      </c>
      <c r="L174" t="s">
        <v>8</v>
      </c>
      <c r="M174" t="s">
        <v>7</v>
      </c>
      <c r="N174" t="s">
        <v>8</v>
      </c>
      <c r="P174">
        <f t="shared" ref="P174" si="845">IF(C174=D174,0,((E174-D174)-(C174-E174))/(C174-D174))</f>
        <v>-0.52891869237216971</v>
      </c>
      <c r="Q174">
        <f t="shared" ref="Q174" si="846">F174*P174</f>
        <v>-12020113.589186894</v>
      </c>
      <c r="R174">
        <f t="shared" ref="R174" si="847">R175+Q174</f>
        <v>-1959077627.6094632</v>
      </c>
      <c r="S174">
        <f t="shared" ref="S174" si="848">R174/100000</f>
        <v>-19590.776276094632</v>
      </c>
      <c r="T174">
        <f t="shared" ref="T174" si="849">S174/1000</f>
        <v>-19.590776276094633</v>
      </c>
    </row>
    <row r="175" spans="1:20" x14ac:dyDescent="0.25">
      <c r="A175" s="5">
        <v>44418</v>
      </c>
      <c r="B175">
        <v>0.16711000000000001</v>
      </c>
      <c r="C175">
        <v>0.17202999999999999</v>
      </c>
      <c r="D175">
        <v>0.16302</v>
      </c>
      <c r="E175">
        <v>0.16683000000000001</v>
      </c>
      <c r="F175">
        <v>16472541.1</v>
      </c>
      <c r="G175">
        <v>0.16683000000000001</v>
      </c>
      <c r="L175" t="s">
        <v>7</v>
      </c>
      <c r="M175" t="s">
        <v>7</v>
      </c>
      <c r="N175" t="s">
        <v>8</v>
      </c>
      <c r="P175">
        <f t="shared" ref="P175" si="850">IF(C175=D175,0,((E175-D175)-(C175-E175))/(C175-D175))</f>
        <v>-0.154273029966701</v>
      </c>
      <c r="Q175">
        <f t="shared" ref="Q175" si="851">F175*P175</f>
        <v>-2541268.826748014</v>
      </c>
      <c r="R175">
        <f t="shared" ref="R175" si="852">R176+Q175</f>
        <v>-1947057514.0202763</v>
      </c>
      <c r="S175">
        <f t="shared" ref="S175" si="853">R175/100000</f>
        <v>-19470.575140202764</v>
      </c>
      <c r="T175">
        <f t="shared" ref="T175" si="854">S175/1000</f>
        <v>-19.470575140202765</v>
      </c>
    </row>
    <row r="176" spans="1:20" x14ac:dyDescent="0.25">
      <c r="A176" s="5">
        <v>44417</v>
      </c>
      <c r="B176">
        <v>0.15809000000000001</v>
      </c>
      <c r="C176">
        <v>0.17887</v>
      </c>
      <c r="D176">
        <v>0.154</v>
      </c>
      <c r="E176">
        <v>0.16717000000000001</v>
      </c>
      <c r="F176">
        <v>35945363.700000003</v>
      </c>
      <c r="G176">
        <v>0.16717000000000001</v>
      </c>
      <c r="L176" t="s">
        <v>8</v>
      </c>
      <c r="M176" t="s">
        <v>7</v>
      </c>
      <c r="N176" t="s">
        <v>8</v>
      </c>
      <c r="P176">
        <f t="shared" ref="P176" si="855">IF(C176=D176,0,((E176-D176)-(C176-E176))/(C176-D176))</f>
        <v>5.91073582629685E-2</v>
      </c>
      <c r="Q176">
        <f t="shared" ref="Q176" si="856">F176*P176</f>
        <v>2124635.4901086031</v>
      </c>
      <c r="R176">
        <f t="shared" ref="R176" si="857">R177+Q176</f>
        <v>-1944516245.1935282</v>
      </c>
      <c r="S176">
        <f t="shared" ref="S176" si="858">R176/100000</f>
        <v>-19445.162451935281</v>
      </c>
      <c r="T176">
        <f t="shared" ref="T176" si="859">S176/1000</f>
        <v>-19.445162451935282</v>
      </c>
    </row>
    <row r="177" spans="1:20" x14ac:dyDescent="0.25">
      <c r="A177" s="5">
        <v>44416</v>
      </c>
      <c r="B177">
        <v>0.16792000000000001</v>
      </c>
      <c r="C177">
        <v>0.16800000000000001</v>
      </c>
      <c r="D177">
        <v>0.15345</v>
      </c>
      <c r="E177">
        <v>0.15809000000000001</v>
      </c>
      <c r="F177">
        <v>17383284.899999999</v>
      </c>
      <c r="G177">
        <v>0.15809000000000001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-0.36219931271477623</v>
      </c>
      <c r="Q177">
        <f t="shared" ref="Q177" si="861">F177*P177</f>
        <v>-6296213.8435051469</v>
      </c>
      <c r="R177">
        <f t="shared" ref="R177" si="862">R178+Q177</f>
        <v>-1946640880.6836367</v>
      </c>
      <c r="S177">
        <f t="shared" ref="S177" si="863">R177/100000</f>
        <v>-19466.408806836367</v>
      </c>
      <c r="T177">
        <f t="shared" ref="T177" si="864">S177/1000</f>
        <v>-19.466408806836366</v>
      </c>
    </row>
    <row r="178" spans="1:20" x14ac:dyDescent="0.25">
      <c r="A178" s="5">
        <v>44415</v>
      </c>
      <c r="B178">
        <v>0.16702</v>
      </c>
      <c r="C178">
        <v>0.18529999999999999</v>
      </c>
      <c r="D178">
        <v>0.15737000000000001</v>
      </c>
      <c r="E178">
        <v>0.16792000000000001</v>
      </c>
      <c r="F178">
        <v>62846569.100000001</v>
      </c>
      <c r="G178">
        <v>0.16792000000000001</v>
      </c>
      <c r="L178" t="s">
        <v>7</v>
      </c>
      <c r="M178" t="s">
        <v>7</v>
      </c>
      <c r="N178" t="s">
        <v>8</v>
      </c>
      <c r="P178">
        <f t="shared" ref="P178" si="865">IF(C178=D178,0,((E178-D178)-(C178-E178))/(C178-D178))</f>
        <v>-0.2445399212316498</v>
      </c>
      <c r="Q178">
        <f t="shared" ref="Q178" si="866">F178*P178</f>
        <v>-15368495.057393437</v>
      </c>
      <c r="R178">
        <f t="shared" ref="R178" si="867">R179+Q178</f>
        <v>-1940344666.8401315</v>
      </c>
      <c r="S178">
        <f t="shared" ref="S178" si="868">R178/100000</f>
        <v>-19403.446668401317</v>
      </c>
      <c r="T178">
        <f t="shared" ref="T178" si="869">S178/1000</f>
        <v>-19.403446668401315</v>
      </c>
    </row>
    <row r="179" spans="1:20" x14ac:dyDescent="0.25">
      <c r="A179" s="5">
        <v>44414</v>
      </c>
      <c r="B179">
        <v>0.14674999999999999</v>
      </c>
      <c r="C179">
        <v>0.19500000000000001</v>
      </c>
      <c r="D179">
        <v>0.14573</v>
      </c>
      <c r="E179">
        <v>0.16702</v>
      </c>
      <c r="F179">
        <v>94141069.299999997</v>
      </c>
      <c r="G179">
        <v>0.16702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-0.13578242338136798</v>
      </c>
      <c r="Q179">
        <f t="shared" ref="Q179" si="871">F179*P179</f>
        <v>-12782702.529267304</v>
      </c>
      <c r="R179">
        <f t="shared" ref="R179" si="872">R180+Q179</f>
        <v>-1924976171.782738</v>
      </c>
      <c r="S179">
        <f t="shared" ref="S179" si="873">R179/100000</f>
        <v>-19249.761717827379</v>
      </c>
      <c r="T179">
        <f t="shared" ref="T179" si="874">S179/1000</f>
        <v>-19.249761717827379</v>
      </c>
    </row>
    <row r="180" spans="1:20" x14ac:dyDescent="0.25">
      <c r="A180" s="5">
        <v>44413</v>
      </c>
      <c r="B180">
        <v>0.14258999999999999</v>
      </c>
      <c r="C180">
        <v>0.15</v>
      </c>
      <c r="D180">
        <v>0.14001</v>
      </c>
      <c r="E180">
        <v>0.14702000000000001</v>
      </c>
      <c r="F180">
        <v>28518216.600000001</v>
      </c>
      <c r="G180">
        <v>0.14702000000000001</v>
      </c>
      <c r="L180" t="s">
        <v>8</v>
      </c>
      <c r="M180" t="s">
        <v>7</v>
      </c>
      <c r="N180" t="s">
        <v>8</v>
      </c>
      <c r="P180">
        <f t="shared" ref="P180" si="875">IF(C180=D180,0,((E180-D180)-(C180-E180))/(C180-D180))</f>
        <v>0.4034034034034068</v>
      </c>
      <c r="Q180">
        <f t="shared" ref="Q180" si="876">F180*P180</f>
        <v>11504345.635435533</v>
      </c>
      <c r="R180">
        <f t="shared" ref="R180" si="877">R181+Q180</f>
        <v>-1912193469.2534707</v>
      </c>
      <c r="S180">
        <f t="shared" ref="S180" si="878">R180/100000</f>
        <v>-19121.934692534705</v>
      </c>
      <c r="T180">
        <f t="shared" ref="T180" si="879">S180/1000</f>
        <v>-19.121934692534705</v>
      </c>
    </row>
    <row r="181" spans="1:20" x14ac:dyDescent="0.25">
      <c r="A181" s="5">
        <v>44412</v>
      </c>
      <c r="B181">
        <v>0.13644000000000001</v>
      </c>
      <c r="C181">
        <v>0.14823</v>
      </c>
      <c r="D181">
        <v>0.13639999999999999</v>
      </c>
      <c r="E181">
        <v>0.14244000000000001</v>
      </c>
      <c r="F181">
        <v>32708538.199999999</v>
      </c>
      <c r="G181">
        <v>0.14244000000000001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2.11327134404081E-2</v>
      </c>
      <c r="Q181">
        <f t="shared" ref="Q181" si="881">F181*P181</f>
        <v>691220.16483524174</v>
      </c>
      <c r="R181">
        <f t="shared" ref="R181" si="882">R182+Q181</f>
        <v>-1923697814.8889062</v>
      </c>
      <c r="S181">
        <f t="shared" ref="S181" si="883">R181/100000</f>
        <v>-19236.978148889062</v>
      </c>
      <c r="T181">
        <f t="shared" ref="T181" si="884">S181/1000</f>
        <v>-19.236978148889062</v>
      </c>
    </row>
    <row r="182" spans="1:20" x14ac:dyDescent="0.25">
      <c r="A182" s="5">
        <v>44411</v>
      </c>
      <c r="B182">
        <v>0.14166999999999999</v>
      </c>
      <c r="C182">
        <v>0.14543</v>
      </c>
      <c r="D182">
        <v>0.13622999999999999</v>
      </c>
      <c r="E182">
        <v>0.13678999999999999</v>
      </c>
      <c r="F182">
        <v>14666754.9</v>
      </c>
      <c r="G182">
        <v>0.13678999999999999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-0.87826086956521654</v>
      </c>
      <c r="Q182">
        <f t="shared" ref="Q182" si="886">F182*P182</f>
        <v>-12881236.912173901</v>
      </c>
      <c r="R182">
        <f t="shared" ref="R182" si="887">R183+Q182</f>
        <v>-1924389035.0537415</v>
      </c>
      <c r="S182">
        <f t="shared" ref="S182" si="888">R182/100000</f>
        <v>-19243.890350537415</v>
      </c>
      <c r="T182">
        <f t="shared" ref="T182" si="889">S182/1000</f>
        <v>-19.243890350537416</v>
      </c>
    </row>
    <row r="183" spans="1:20" x14ac:dyDescent="0.25">
      <c r="A183" s="5">
        <v>44410</v>
      </c>
      <c r="B183">
        <v>0.14205000000000001</v>
      </c>
      <c r="C183">
        <v>0.14593999999999999</v>
      </c>
      <c r="D183">
        <v>0.13971</v>
      </c>
      <c r="E183">
        <v>0.14174999999999999</v>
      </c>
      <c r="F183">
        <v>5802557.5</v>
      </c>
      <c r="G183">
        <v>0.14174999999999999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-0.34510433386838169</v>
      </c>
      <c r="Q183">
        <f t="shared" ref="Q183" si="891">F183*P183</f>
        <v>-2002487.7407704822</v>
      </c>
      <c r="R183">
        <f t="shared" ref="R183" si="892">R184+Q183</f>
        <v>-1911507798.1415675</v>
      </c>
      <c r="S183">
        <f t="shared" ref="S183" si="893">R183/100000</f>
        <v>-19115.077981415674</v>
      </c>
      <c r="T183">
        <f t="shared" ref="T183" si="894">S183/1000</f>
        <v>-19.115077981415673</v>
      </c>
    </row>
    <row r="184" spans="1:20" x14ac:dyDescent="0.25">
      <c r="A184" s="5">
        <v>44409</v>
      </c>
      <c r="B184">
        <v>0.14776</v>
      </c>
      <c r="C184">
        <v>0.15179999999999999</v>
      </c>
      <c r="D184">
        <v>0.14074999999999999</v>
      </c>
      <c r="E184">
        <v>0.14248</v>
      </c>
      <c r="F184">
        <v>10256112.300000001</v>
      </c>
      <c r="G184">
        <v>0.14248</v>
      </c>
      <c r="L184" t="s">
        <v>7</v>
      </c>
      <c r="M184" t="s">
        <v>7</v>
      </c>
      <c r="N184" t="s">
        <v>8</v>
      </c>
      <c r="P184">
        <f t="shared" ref="P184" si="895">IF(C184=D184,0,((E184-D184)-(C184-E184))/(C184-D184))</f>
        <v>-0.68687782805429709</v>
      </c>
      <c r="Q184">
        <f t="shared" ref="Q184" si="896">F184*P184</f>
        <v>-7044696.1409049621</v>
      </c>
      <c r="R184">
        <f t="shared" ref="R184" si="897">R185+Q184</f>
        <v>-1909505310.4007969</v>
      </c>
      <c r="S184">
        <f t="shared" ref="S184" si="898">R184/100000</f>
        <v>-19095.05310400797</v>
      </c>
      <c r="T184">
        <f t="shared" ref="T184" si="899">S184/1000</f>
        <v>-19.09505310400797</v>
      </c>
    </row>
    <row r="185" spans="1:20" x14ac:dyDescent="0.25">
      <c r="A185" s="5">
        <v>44408</v>
      </c>
      <c r="B185">
        <v>0.14543</v>
      </c>
      <c r="C185">
        <v>0.17249</v>
      </c>
      <c r="D185">
        <v>0.14268</v>
      </c>
      <c r="E185">
        <v>0.14715</v>
      </c>
      <c r="F185">
        <v>65045940.299999997</v>
      </c>
      <c r="G185">
        <v>0.14715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-0.70010063737000994</v>
      </c>
      <c r="Q185">
        <f t="shared" ref="Q185" si="901">F185*P185</f>
        <v>-45538704.262361616</v>
      </c>
      <c r="R185">
        <f t="shared" ref="R185" si="902">R186+Q185</f>
        <v>-1902460614.259892</v>
      </c>
      <c r="S185">
        <f t="shared" ref="S185" si="903">R185/100000</f>
        <v>-19024.606142598921</v>
      </c>
      <c r="T185">
        <f t="shared" ref="T185" si="904">S185/1000</f>
        <v>-19.02460614259892</v>
      </c>
    </row>
    <row r="186" spans="1:20" x14ac:dyDescent="0.25">
      <c r="A186" s="5">
        <v>44407</v>
      </c>
      <c r="B186">
        <v>0.14099</v>
      </c>
      <c r="C186">
        <v>0.15281</v>
      </c>
      <c r="D186">
        <v>0.13596</v>
      </c>
      <c r="E186">
        <v>0.14543</v>
      </c>
      <c r="F186">
        <v>16441898.6</v>
      </c>
      <c r="G186">
        <v>0.14543</v>
      </c>
      <c r="L186" t="s">
        <v>8</v>
      </c>
      <c r="M186" t="s">
        <v>7</v>
      </c>
      <c r="N186" t="s">
        <v>8</v>
      </c>
      <c r="P186">
        <f t="shared" ref="P186" si="905">IF(C186=D186,0,((E186-D186)-(C186-E186))/(C186-D186))</f>
        <v>0.12403560830860581</v>
      </c>
      <c r="Q186">
        <f t="shared" ref="Q186" si="906">F186*P186</f>
        <v>2039380.8945994142</v>
      </c>
      <c r="R186">
        <f t="shared" ref="R186" si="907">R187+Q186</f>
        <v>-1856921909.9975305</v>
      </c>
      <c r="S186">
        <f t="shared" ref="S186" si="908">R186/100000</f>
        <v>-18569.219099975304</v>
      </c>
      <c r="T186">
        <f t="shared" ref="T186" si="909">S186/1000</f>
        <v>-18.569219099975303</v>
      </c>
    </row>
    <row r="187" spans="1:20" x14ac:dyDescent="0.25">
      <c r="A187" s="5">
        <v>44406</v>
      </c>
      <c r="B187">
        <v>0.13749</v>
      </c>
      <c r="C187">
        <v>0.14524000000000001</v>
      </c>
      <c r="D187">
        <v>0.13469</v>
      </c>
      <c r="E187">
        <v>0.14077000000000001</v>
      </c>
      <c r="F187">
        <v>33379020.199999999</v>
      </c>
      <c r="G187">
        <v>0.14077000000000001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0.15260663507109001</v>
      </c>
      <c r="Q187">
        <f t="shared" ref="Q187" si="911">F187*P187</f>
        <v>5093859.9546919418</v>
      </c>
      <c r="R187">
        <f t="shared" ref="R187" si="912">R188+Q187</f>
        <v>-1858961290.8921299</v>
      </c>
      <c r="S187">
        <f t="shared" ref="S187" si="913">R187/100000</f>
        <v>-18589.612908921299</v>
      </c>
      <c r="T187">
        <f t="shared" ref="T187" si="914">S187/1000</f>
        <v>-18.5896129089213</v>
      </c>
    </row>
    <row r="188" spans="1:20" x14ac:dyDescent="0.25">
      <c r="A188" s="5">
        <v>44405</v>
      </c>
      <c r="B188">
        <v>0.13743</v>
      </c>
      <c r="C188">
        <v>0.14949999999999999</v>
      </c>
      <c r="D188">
        <v>0.13569999999999999</v>
      </c>
      <c r="E188">
        <v>0.13722000000000001</v>
      </c>
      <c r="F188">
        <v>21192901.5</v>
      </c>
      <c r="G188">
        <v>0.13722000000000001</v>
      </c>
      <c r="L188" t="s">
        <v>7</v>
      </c>
      <c r="M188" t="s">
        <v>7</v>
      </c>
      <c r="N188" t="s">
        <v>8</v>
      </c>
      <c r="P188">
        <f t="shared" ref="P188" si="915">IF(C188=D188,0,((E188-D188)-(C188-E188))/(C188-D188))</f>
        <v>-0.77971014492753321</v>
      </c>
      <c r="Q188">
        <f t="shared" ref="Q188" si="916">F188*P188</f>
        <v>-16524320.299999936</v>
      </c>
      <c r="R188">
        <f t="shared" ref="R188" si="917">R189+Q188</f>
        <v>-1864055150.8468218</v>
      </c>
      <c r="S188">
        <f t="shared" ref="S188" si="918">R188/100000</f>
        <v>-18640.551508468219</v>
      </c>
      <c r="T188">
        <f t="shared" ref="T188" si="919">S188/1000</f>
        <v>-18.640551508468221</v>
      </c>
    </row>
    <row r="189" spans="1:20" x14ac:dyDescent="0.25">
      <c r="A189" s="5">
        <v>44404</v>
      </c>
      <c r="B189">
        <v>0.13235</v>
      </c>
      <c r="C189">
        <v>0.16569</v>
      </c>
      <c r="D189">
        <v>0.13092999999999999</v>
      </c>
      <c r="E189">
        <v>0.13747000000000001</v>
      </c>
      <c r="F189">
        <v>89616471.400000006</v>
      </c>
      <c r="G189">
        <v>0.13747000000000001</v>
      </c>
      <c r="L189" t="s">
        <v>8</v>
      </c>
      <c r="M189" t="s">
        <v>8</v>
      </c>
      <c r="N189" t="s">
        <v>8</v>
      </c>
      <c r="P189">
        <f t="shared" ref="P189" si="920">IF(C189=D189,0,((E189-D189)-(C189-E189))/(C189-D189))</f>
        <v>-0.62370540851553424</v>
      </c>
      <c r="Q189">
        <f t="shared" ref="Q189" si="921">F189*P189</f>
        <v>-55894277.904257692</v>
      </c>
      <c r="R189">
        <f t="shared" ref="R189" si="922">R190+Q189</f>
        <v>-1847530830.5468218</v>
      </c>
      <c r="S189">
        <f t="shared" ref="S189" si="923">R189/100000</f>
        <v>-18475.308305468217</v>
      </c>
      <c r="T189">
        <f t="shared" ref="T189" si="924">S189/1000</f>
        <v>-18.475308305468218</v>
      </c>
    </row>
    <row r="190" spans="1:20" x14ac:dyDescent="0.25">
      <c r="A190" s="5">
        <v>44403</v>
      </c>
      <c r="B190">
        <v>0.12640999999999999</v>
      </c>
      <c r="C190">
        <v>0.1565</v>
      </c>
      <c r="D190">
        <v>0.12506999999999999</v>
      </c>
      <c r="E190">
        <v>0.13211000000000001</v>
      </c>
      <c r="F190">
        <v>31137324</v>
      </c>
      <c r="G190">
        <v>0.13211000000000001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-0.55202036271078492</v>
      </c>
      <c r="Q190">
        <f t="shared" ref="Q190" si="926">F190*P190</f>
        <v>-17188436.888323229</v>
      </c>
      <c r="R190">
        <f t="shared" ref="R190" si="927">R191+Q190</f>
        <v>-1791636552.6425641</v>
      </c>
      <c r="S190">
        <f t="shared" ref="S190" si="928">R190/100000</f>
        <v>-17916.365526425641</v>
      </c>
      <c r="T190">
        <f t="shared" ref="T190" si="929">S190/1000</f>
        <v>-17.91636552642564</v>
      </c>
    </row>
    <row r="191" spans="1:20" x14ac:dyDescent="0.25">
      <c r="A191" s="5">
        <v>44402</v>
      </c>
      <c r="B191">
        <v>0.12759999999999999</v>
      </c>
      <c r="C191">
        <v>0.12801000000000001</v>
      </c>
      <c r="D191">
        <v>0.11958000000000001</v>
      </c>
      <c r="E191">
        <v>0.12604000000000001</v>
      </c>
      <c r="F191">
        <v>11674916</v>
      </c>
      <c r="G191">
        <v>0.12604000000000001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0.53262158956109185</v>
      </c>
      <c r="Q191">
        <f t="shared" ref="Q191" si="931">F191*P191</f>
        <v>6218312.3179122237</v>
      </c>
      <c r="R191">
        <f t="shared" ref="R191" si="932">R192+Q191</f>
        <v>-1774448115.7542408</v>
      </c>
      <c r="S191">
        <f t="shared" ref="S191" si="933">R191/100000</f>
        <v>-17744.481157542406</v>
      </c>
      <c r="T191">
        <f t="shared" ref="T191:T197" si="934">S191/1000</f>
        <v>-17.744481157542406</v>
      </c>
    </row>
    <row r="192" spans="1:20" x14ac:dyDescent="0.25">
      <c r="A192" s="5">
        <v>44401</v>
      </c>
      <c r="B192">
        <v>0.11814</v>
      </c>
      <c r="C192">
        <v>0.14000000000000001</v>
      </c>
      <c r="D192">
        <v>0.1167</v>
      </c>
      <c r="E192">
        <v>0.12759999999999999</v>
      </c>
      <c r="F192">
        <v>42758678.5</v>
      </c>
      <c r="G192">
        <v>0.12759999999999999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-6.437768240343468E-2</v>
      </c>
      <c r="Q192">
        <f t="shared" ref="Q192" si="936">F192*P192</f>
        <v>-2752704.6244635708</v>
      </c>
      <c r="R192">
        <f t="shared" ref="R192" si="937">R193+Q192</f>
        <v>-1780666428.0721531</v>
      </c>
      <c r="S192">
        <f t="shared" ref="S192" si="938">R192/100000</f>
        <v>-17806.664280721532</v>
      </c>
      <c r="T192">
        <f t="shared" si="934"/>
        <v>-17.806664280721531</v>
      </c>
    </row>
    <row r="193" spans="1:20" x14ac:dyDescent="0.25">
      <c r="A193" s="5">
        <v>44400</v>
      </c>
      <c r="B193">
        <v>0.11618000000000001</v>
      </c>
      <c r="C193">
        <v>0.122</v>
      </c>
      <c r="D193">
        <v>0.1133</v>
      </c>
      <c r="E193">
        <v>0.11812</v>
      </c>
      <c r="F193">
        <v>14225630.300000001</v>
      </c>
      <c r="G193">
        <v>0.11812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0.10804597701149544</v>
      </c>
      <c r="Q193">
        <f t="shared" ref="Q193" si="940">F193*P193</f>
        <v>1537022.1243678331</v>
      </c>
      <c r="R193">
        <f t="shared" ref="R193" si="941">R194+Q193</f>
        <v>-1777913723.4476895</v>
      </c>
      <c r="S193">
        <f t="shared" ref="S193" si="942">R193/100000</f>
        <v>-17779.137234476897</v>
      </c>
      <c r="T193">
        <f t="shared" si="934"/>
        <v>-17.779137234476899</v>
      </c>
    </row>
    <row r="194" spans="1:20" x14ac:dyDescent="0.25">
      <c r="A194" s="5">
        <v>44399</v>
      </c>
      <c r="B194">
        <v>0.11271</v>
      </c>
      <c r="C194">
        <v>0.12222</v>
      </c>
      <c r="D194">
        <v>0.11058</v>
      </c>
      <c r="E194">
        <v>0.1157</v>
      </c>
      <c r="F194">
        <v>13704472.5</v>
      </c>
      <c r="G194">
        <v>0.1157</v>
      </c>
      <c r="L194" t="s">
        <v>7</v>
      </c>
      <c r="M194" t="s">
        <v>8</v>
      </c>
      <c r="N194" t="s">
        <v>7</v>
      </c>
      <c r="P194">
        <f t="shared" ref="P194" si="943">IF(C194=D194,0,((E194-D194)-(C194-E194))/(C194-D194))</f>
        <v>-0.12027491408934697</v>
      </c>
      <c r="Q194">
        <f t="shared" ref="Q194" si="944">F194*P194</f>
        <v>-1648304.2525773181</v>
      </c>
      <c r="R194">
        <f t="shared" ref="R194" si="945">R195+Q194</f>
        <v>-1779450745.5720575</v>
      </c>
      <c r="S194">
        <f t="shared" ref="S194" si="946">R194/100000</f>
        <v>-17794.507455720573</v>
      </c>
      <c r="T194">
        <f t="shared" si="934"/>
        <v>-17.794507455720574</v>
      </c>
    </row>
    <row r="195" spans="1:20" x14ac:dyDescent="0.25">
      <c r="A195" s="5">
        <v>44398</v>
      </c>
      <c r="B195">
        <v>0.10328</v>
      </c>
      <c r="C195">
        <v>0.12371</v>
      </c>
      <c r="D195">
        <v>0.10201</v>
      </c>
      <c r="E195">
        <v>0.11286</v>
      </c>
      <c r="F195">
        <v>12558168.699999999</v>
      </c>
      <c r="G195">
        <v>0.11286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</v>
      </c>
      <c r="Q195">
        <f t="shared" ref="Q195" si="948">F195*P195</f>
        <v>0</v>
      </c>
      <c r="R195">
        <f t="shared" ref="R195" si="949">R196+Q195</f>
        <v>-1777802441.3194802</v>
      </c>
      <c r="S195">
        <f t="shared" ref="S195" si="950">R195/100000</f>
        <v>-17778.024413194802</v>
      </c>
      <c r="T195">
        <f t="shared" si="934"/>
        <v>-17.778024413194803</v>
      </c>
    </row>
    <row r="196" spans="1:20" x14ac:dyDescent="0.25">
      <c r="A196" s="5">
        <v>44397</v>
      </c>
      <c r="B196">
        <v>0.11</v>
      </c>
      <c r="C196">
        <v>0.11271</v>
      </c>
      <c r="D196">
        <v>9.801E-2</v>
      </c>
      <c r="E196">
        <v>0.10328</v>
      </c>
      <c r="F196">
        <v>9404779.3000000007</v>
      </c>
      <c r="G196">
        <v>0.10328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-0.2829931972789122</v>
      </c>
      <c r="Q196">
        <f t="shared" ref="Q196" si="952">F196*P196</f>
        <v>-2661488.5638095299</v>
      </c>
      <c r="R196">
        <f t="shared" ref="R196" si="953">R197+Q196</f>
        <v>-1777802441.3194802</v>
      </c>
      <c r="S196">
        <f t="shared" ref="S196" si="954">R196/100000</f>
        <v>-17778.024413194802</v>
      </c>
      <c r="T196">
        <f t="shared" si="934"/>
        <v>-17.778024413194803</v>
      </c>
    </row>
    <row r="197" spans="1:20" x14ac:dyDescent="0.25">
      <c r="A197" s="5">
        <v>44396</v>
      </c>
      <c r="B197">
        <v>0.11636000000000001</v>
      </c>
      <c r="C197">
        <v>0.11814</v>
      </c>
      <c r="D197">
        <v>0.1067</v>
      </c>
      <c r="E197">
        <v>0.11089</v>
      </c>
      <c r="F197">
        <v>7938400.2999999998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-0.26748251748251711</v>
      </c>
      <c r="Q197">
        <f t="shared" ref="Q197" si="956">F197*P197</f>
        <v>-2123383.2970279693</v>
      </c>
      <c r="R197">
        <f t="shared" ref="R197" si="957">R198+Q197</f>
        <v>-1775140952.7556705</v>
      </c>
      <c r="S197">
        <f t="shared" ref="S197" si="958">R197/100000</f>
        <v>-17751.409527556705</v>
      </c>
      <c r="T197">
        <f t="shared" si="934"/>
        <v>-17.751409527556707</v>
      </c>
    </row>
    <row r="198" spans="1:20" x14ac:dyDescent="0.25">
      <c r="A198" s="5">
        <v>44395</v>
      </c>
      <c r="B198">
        <v>0.11600000000000001</v>
      </c>
      <c r="C198">
        <v>0.11978</v>
      </c>
      <c r="D198">
        <v>0.11423</v>
      </c>
      <c r="E198">
        <v>0.11629</v>
      </c>
      <c r="F198">
        <v>9406178.4000000004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-0.2576576576576553</v>
      </c>
      <c r="Q198">
        <f t="shared" ref="Q198:Q261" si="960">F198*P198</f>
        <v>-2423573.8940540319</v>
      </c>
      <c r="R198">
        <f t="shared" ref="R198:R261" si="961">R199+Q198</f>
        <v>-1773017569.4586425</v>
      </c>
      <c r="S198">
        <f t="shared" ref="S198:S261" si="962">R198/100000</f>
        <v>-17730.175694586425</v>
      </c>
      <c r="T198">
        <f t="shared" ref="T198:T261" si="963">S198/1000</f>
        <v>-17.730175694586425</v>
      </c>
    </row>
    <row r="199" spans="1:20" x14ac:dyDescent="0.25">
      <c r="A199" s="5">
        <v>44394</v>
      </c>
      <c r="B199">
        <v>0.11811000000000001</v>
      </c>
      <c r="C199">
        <v>0.13475999999999999</v>
      </c>
      <c r="D199">
        <v>0.11522</v>
      </c>
      <c r="E199">
        <v>0.11609</v>
      </c>
      <c r="F199">
        <v>45136436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-0.91095189355168926</v>
      </c>
      <c r="Q199">
        <f t="shared" si="960"/>
        <v>-41117121.842374638</v>
      </c>
      <c r="R199">
        <f t="shared" si="961"/>
        <v>-1770593995.5645885</v>
      </c>
      <c r="S199">
        <f t="shared" si="962"/>
        <v>-17705.939955645885</v>
      </c>
      <c r="T199">
        <f t="shared" si="963"/>
        <v>-17.705939955645885</v>
      </c>
    </row>
    <row r="200" spans="1:20" x14ac:dyDescent="0.25">
      <c r="A200" s="5">
        <v>44393</v>
      </c>
      <c r="B200">
        <v>0.11348999999999999</v>
      </c>
      <c r="C200">
        <v>0.19333</v>
      </c>
      <c r="D200">
        <v>0.11208</v>
      </c>
      <c r="E200">
        <v>0.11801</v>
      </c>
      <c r="F200">
        <v>200199210.09999999</v>
      </c>
      <c r="G200">
        <v>0</v>
      </c>
      <c r="L200" t="s">
        <v>8</v>
      </c>
      <c r="M200" t="s">
        <v>8</v>
      </c>
      <c r="N200" t="s">
        <v>8</v>
      </c>
      <c r="P200">
        <f t="shared" si="959"/>
        <v>-0.85403076923076915</v>
      </c>
      <c r="Q200">
        <f t="shared" si="960"/>
        <v>-170976285.40109536</v>
      </c>
      <c r="R200">
        <f t="shared" si="961"/>
        <v>-1729476873.722214</v>
      </c>
      <c r="S200">
        <f t="shared" si="962"/>
        <v>-17294.768737222141</v>
      </c>
      <c r="T200">
        <f t="shared" si="963"/>
        <v>-17.294768737222142</v>
      </c>
    </row>
    <row r="201" spans="1:20" x14ac:dyDescent="0.25">
      <c r="A201" s="5">
        <v>44392</v>
      </c>
      <c r="B201">
        <v>0.11579</v>
      </c>
      <c r="C201">
        <v>0.12180000000000001</v>
      </c>
      <c r="D201">
        <v>0.11249000000000001</v>
      </c>
      <c r="E201">
        <v>0.11355</v>
      </c>
      <c r="F201">
        <v>4131831.5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-0.77228786251342818</v>
      </c>
      <c r="Q201">
        <f t="shared" si="960"/>
        <v>-3190963.3174006515</v>
      </c>
      <c r="R201">
        <f t="shared" si="961"/>
        <v>-1558500588.3211186</v>
      </c>
      <c r="S201">
        <f t="shared" si="962"/>
        <v>-15585.005883211186</v>
      </c>
      <c r="T201">
        <f t="shared" si="963"/>
        <v>-15.585005883211187</v>
      </c>
    </row>
    <row r="202" spans="1:20" x14ac:dyDescent="0.25">
      <c r="A202" s="5">
        <v>44391</v>
      </c>
      <c r="B202">
        <v>0.11688</v>
      </c>
      <c r="C202">
        <v>0.12199</v>
      </c>
      <c r="D202">
        <v>0.11088000000000001</v>
      </c>
      <c r="E202">
        <v>0.11594</v>
      </c>
      <c r="F202">
        <v>6543830.2000000002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-8.9108910891089577E-2</v>
      </c>
      <c r="Q202">
        <f t="shared" si="960"/>
        <v>-583113.58217822085</v>
      </c>
      <c r="R202">
        <f t="shared" si="961"/>
        <v>-1555309625.0037179</v>
      </c>
      <c r="S202">
        <f t="shared" si="962"/>
        <v>-15553.096250037179</v>
      </c>
      <c r="T202">
        <f t="shared" si="963"/>
        <v>-15.553096250037179</v>
      </c>
    </row>
    <row r="203" spans="1:20" x14ac:dyDescent="0.25">
      <c r="A203" s="5">
        <v>44390</v>
      </c>
      <c r="B203">
        <v>0.12121999999999999</v>
      </c>
      <c r="C203">
        <v>0.12341000000000001</v>
      </c>
      <c r="D203">
        <v>0.11652999999999999</v>
      </c>
      <c r="E203">
        <v>0.11672</v>
      </c>
      <c r="F203">
        <v>2847629.3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-0.94476744186046246</v>
      </c>
      <c r="Q203">
        <f t="shared" si="960"/>
        <v>-2690347.4491278995</v>
      </c>
      <c r="R203">
        <f t="shared" si="961"/>
        <v>-1554726511.4215398</v>
      </c>
      <c r="S203">
        <f t="shared" si="962"/>
        <v>-15547.265114215397</v>
      </c>
      <c r="T203">
        <f t="shared" si="963"/>
        <v>-15.547265114215397</v>
      </c>
    </row>
    <row r="204" spans="1:20" x14ac:dyDescent="0.25">
      <c r="A204" s="5">
        <v>44389</v>
      </c>
      <c r="B204">
        <v>0.12615999999999999</v>
      </c>
      <c r="C204">
        <v>0.12827</v>
      </c>
      <c r="D204">
        <v>0.12053999999999999</v>
      </c>
      <c r="E204">
        <v>0.12130000000000001</v>
      </c>
      <c r="F204">
        <v>2870885.5</v>
      </c>
      <c r="G204">
        <v>0</v>
      </c>
      <c r="L204" t="s">
        <v>8</v>
      </c>
      <c r="M204" t="s">
        <v>7</v>
      </c>
      <c r="N204" t="s">
        <v>8</v>
      </c>
      <c r="P204">
        <f t="shared" si="959"/>
        <v>-0.80336351875808265</v>
      </c>
      <c r="Q204">
        <f t="shared" si="960"/>
        <v>-2306364.6772315577</v>
      </c>
      <c r="R204">
        <f t="shared" si="961"/>
        <v>-1552036163.9724119</v>
      </c>
      <c r="S204">
        <f t="shared" si="962"/>
        <v>-15520.361639724119</v>
      </c>
      <c r="T204">
        <f t="shared" si="963"/>
        <v>-15.520361639724118</v>
      </c>
    </row>
    <row r="205" spans="1:20" x14ac:dyDescent="0.25">
      <c r="A205" s="5">
        <v>44388</v>
      </c>
      <c r="B205">
        <v>0.12383</v>
      </c>
      <c r="C205">
        <v>0.12969</v>
      </c>
      <c r="D205">
        <v>0.1231</v>
      </c>
      <c r="E205">
        <v>0.12620999999999999</v>
      </c>
      <c r="F205">
        <v>7358161.9000000004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-5.6145675265557388E-2</v>
      </c>
      <c r="Q205">
        <f t="shared" si="960"/>
        <v>-413128.96858879679</v>
      </c>
      <c r="R205">
        <f t="shared" si="961"/>
        <v>-1549729799.2951803</v>
      </c>
      <c r="S205">
        <f t="shared" si="962"/>
        <v>-15497.297992951802</v>
      </c>
      <c r="T205">
        <f t="shared" si="963"/>
        <v>-15.497297992951802</v>
      </c>
    </row>
    <row r="206" spans="1:20" x14ac:dyDescent="0.25">
      <c r="A206" s="5">
        <v>44387</v>
      </c>
      <c r="B206">
        <v>0.12578</v>
      </c>
      <c r="C206">
        <v>0.12751000000000001</v>
      </c>
      <c r="D206">
        <v>0.12145</v>
      </c>
      <c r="E206">
        <v>0.12356</v>
      </c>
      <c r="F206">
        <v>2967624.6</v>
      </c>
      <c r="G206">
        <v>0</v>
      </c>
      <c r="L206" t="s">
        <v>7</v>
      </c>
      <c r="M206" t="s">
        <v>7</v>
      </c>
      <c r="N206" t="s">
        <v>8</v>
      </c>
      <c r="P206">
        <f t="shared" si="959"/>
        <v>-0.30363036303630453</v>
      </c>
      <c r="Q206">
        <f t="shared" si="960"/>
        <v>-901060.93465346808</v>
      </c>
      <c r="R206">
        <f t="shared" si="961"/>
        <v>-1549316670.3265915</v>
      </c>
      <c r="S206">
        <f t="shared" si="962"/>
        <v>-15493.166703265915</v>
      </c>
      <c r="T206">
        <f t="shared" si="963"/>
        <v>-15.493166703265915</v>
      </c>
    </row>
    <row r="207" spans="1:20" x14ac:dyDescent="0.25">
      <c r="A207" s="5">
        <v>44386</v>
      </c>
      <c r="B207">
        <v>0.12444</v>
      </c>
      <c r="C207">
        <v>0.1263</v>
      </c>
      <c r="D207">
        <v>0.11796</v>
      </c>
      <c r="E207">
        <v>0.1258</v>
      </c>
      <c r="F207">
        <v>6317498.7000000002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0.88009592326139074</v>
      </c>
      <c r="Q207">
        <f t="shared" si="960"/>
        <v>5560004.8510791361</v>
      </c>
      <c r="R207">
        <f t="shared" si="961"/>
        <v>-1548415609.391938</v>
      </c>
      <c r="S207">
        <f t="shared" si="962"/>
        <v>-15484.156093919381</v>
      </c>
      <c r="T207">
        <f t="shared" si="963"/>
        <v>-15.484156093919381</v>
      </c>
    </row>
    <row r="208" spans="1:20" x14ac:dyDescent="0.25">
      <c r="A208" s="5">
        <v>44385</v>
      </c>
      <c r="B208">
        <v>0.13113</v>
      </c>
      <c r="C208">
        <v>0.13253000000000001</v>
      </c>
      <c r="D208">
        <v>0.12164999999999999</v>
      </c>
      <c r="E208">
        <v>0.12514</v>
      </c>
      <c r="F208">
        <v>9615497.3000000007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-0.35845588235294074</v>
      </c>
      <c r="Q208">
        <f t="shared" si="960"/>
        <v>-3446731.5689338194</v>
      </c>
      <c r="R208">
        <f t="shared" si="961"/>
        <v>-1553975614.2430172</v>
      </c>
      <c r="S208">
        <f t="shared" si="962"/>
        <v>-15539.756142430171</v>
      </c>
      <c r="T208">
        <f t="shared" si="963"/>
        <v>-15.539756142430171</v>
      </c>
    </row>
    <row r="209" spans="1:20" x14ac:dyDescent="0.25">
      <c r="A209" s="5">
        <v>44384</v>
      </c>
      <c r="B209">
        <v>0.13027</v>
      </c>
      <c r="C209">
        <v>0.13550000000000001</v>
      </c>
      <c r="D209">
        <v>0.12892000000000001</v>
      </c>
      <c r="E209">
        <v>0.13131000000000001</v>
      </c>
      <c r="F209">
        <v>7329394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-0.27355623100303883</v>
      </c>
      <c r="Q209">
        <f t="shared" si="960"/>
        <v>-2005001.3981762868</v>
      </c>
      <c r="R209">
        <f t="shared" si="961"/>
        <v>-1550528882.6740835</v>
      </c>
      <c r="S209">
        <f t="shared" si="962"/>
        <v>-15505.288826740834</v>
      </c>
      <c r="T209">
        <f t="shared" si="963"/>
        <v>-15.505288826740834</v>
      </c>
    </row>
    <row r="210" spans="1:20" x14ac:dyDescent="0.25">
      <c r="A210" s="5">
        <v>44383</v>
      </c>
      <c r="B210">
        <v>0.12977</v>
      </c>
      <c r="C210">
        <v>0.13486000000000001</v>
      </c>
      <c r="D210">
        <v>0.12809999999999999</v>
      </c>
      <c r="E210">
        <v>0.13012000000000001</v>
      </c>
      <c r="F210">
        <v>8701682.5</v>
      </c>
      <c r="G210">
        <v>0</v>
      </c>
      <c r="L210" t="s">
        <v>7</v>
      </c>
      <c r="M210" t="s">
        <v>8</v>
      </c>
      <c r="N210" t="s">
        <v>8</v>
      </c>
      <c r="P210">
        <f t="shared" si="959"/>
        <v>-0.40236686390532039</v>
      </c>
      <c r="Q210">
        <f t="shared" si="960"/>
        <v>-3501268.6982248081</v>
      </c>
      <c r="R210">
        <f t="shared" si="961"/>
        <v>-1548523881.2759073</v>
      </c>
      <c r="S210">
        <f t="shared" si="962"/>
        <v>-15485.238812759073</v>
      </c>
      <c r="T210">
        <f t="shared" si="963"/>
        <v>-15.485238812759073</v>
      </c>
    </row>
    <row r="211" spans="1:20" x14ac:dyDescent="0.25">
      <c r="A211" s="5">
        <v>44382</v>
      </c>
      <c r="B211">
        <v>0.13392999999999999</v>
      </c>
      <c r="C211">
        <v>0.13444</v>
      </c>
      <c r="D211">
        <v>0.12741</v>
      </c>
      <c r="E211">
        <v>0.13023999999999999</v>
      </c>
      <c r="F211">
        <v>6066918.5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-0.19487908961593292</v>
      </c>
      <c r="Q211">
        <f t="shared" si="960"/>
        <v>-1182315.5540540614</v>
      </c>
      <c r="R211">
        <f t="shared" si="961"/>
        <v>-1545022612.5776825</v>
      </c>
      <c r="S211">
        <f t="shared" si="962"/>
        <v>-15450.226125776824</v>
      </c>
      <c r="T211">
        <f t="shared" si="963"/>
        <v>-15.450226125776824</v>
      </c>
    </row>
    <row r="212" spans="1:20" x14ac:dyDescent="0.25">
      <c r="A212" s="5">
        <v>44381</v>
      </c>
      <c r="B212">
        <v>0.13</v>
      </c>
      <c r="C212">
        <v>0.14280999999999999</v>
      </c>
      <c r="D212">
        <v>0.12659999999999999</v>
      </c>
      <c r="E212">
        <v>0.13425999999999999</v>
      </c>
      <c r="F212">
        <v>16016126.6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-5.4904380012338175E-2</v>
      </c>
      <c r="Q212">
        <f t="shared" si="960"/>
        <v>-879355.50117211777</v>
      </c>
      <c r="R212">
        <f t="shared" si="961"/>
        <v>-1543840297.0236285</v>
      </c>
      <c r="S212">
        <f t="shared" si="962"/>
        <v>-15438.402970236284</v>
      </c>
      <c r="T212">
        <f t="shared" si="963"/>
        <v>-15.438402970236284</v>
      </c>
    </row>
    <row r="213" spans="1:20" x14ac:dyDescent="0.25">
      <c r="A213" s="5">
        <v>44380</v>
      </c>
      <c r="B213">
        <v>0.12864</v>
      </c>
      <c r="C213">
        <v>0.13879</v>
      </c>
      <c r="D213">
        <v>0.12656000000000001</v>
      </c>
      <c r="E213">
        <v>0.13008</v>
      </c>
      <c r="F213">
        <v>14605858.6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-0.42436631234668881</v>
      </c>
      <c r="Q213">
        <f t="shared" si="960"/>
        <v>-6198234.3527391711</v>
      </c>
      <c r="R213">
        <f t="shared" si="961"/>
        <v>-1542960941.5224564</v>
      </c>
      <c r="S213">
        <f t="shared" si="962"/>
        <v>-15429.609415224564</v>
      </c>
      <c r="T213">
        <f t="shared" si="963"/>
        <v>-15.429609415224563</v>
      </c>
    </row>
    <row r="214" spans="1:20" x14ac:dyDescent="0.25">
      <c r="A214" s="5">
        <v>44379</v>
      </c>
      <c r="B214">
        <v>0.13058</v>
      </c>
      <c r="C214">
        <v>0.13167000000000001</v>
      </c>
      <c r="D214">
        <v>0.12334000000000001</v>
      </c>
      <c r="E214">
        <v>0.1285</v>
      </c>
      <c r="F214">
        <v>10315008.4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0.2388955582232882</v>
      </c>
      <c r="Q214">
        <f t="shared" si="960"/>
        <v>2464209.6897959071</v>
      </c>
      <c r="R214">
        <f t="shared" si="961"/>
        <v>-1536762707.1697173</v>
      </c>
      <c r="S214">
        <f t="shared" si="962"/>
        <v>-15367.627071697174</v>
      </c>
      <c r="T214">
        <f t="shared" si="963"/>
        <v>-15.367627071697173</v>
      </c>
    </row>
    <row r="215" spans="1:20" x14ac:dyDescent="0.25">
      <c r="A215" s="5">
        <v>44378</v>
      </c>
      <c r="B215">
        <v>0.13399</v>
      </c>
      <c r="C215">
        <v>0.13555</v>
      </c>
      <c r="D215">
        <v>0.12592</v>
      </c>
      <c r="E215">
        <v>0.13078000000000001</v>
      </c>
      <c r="F215">
        <v>9782736.4000000004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9.3457943925240646E-3</v>
      </c>
      <c r="Q215">
        <f t="shared" si="960"/>
        <v>91427.44299066106</v>
      </c>
      <c r="R215">
        <f t="shared" si="961"/>
        <v>-1539226916.8595133</v>
      </c>
      <c r="S215">
        <f t="shared" si="962"/>
        <v>-15392.269168595132</v>
      </c>
      <c r="T215">
        <f t="shared" si="963"/>
        <v>-15.392269168595131</v>
      </c>
    </row>
    <row r="216" spans="1:20" x14ac:dyDescent="0.25">
      <c r="A216" s="5">
        <v>44377</v>
      </c>
      <c r="B216">
        <v>0.13491</v>
      </c>
      <c r="C216">
        <v>0.13647000000000001</v>
      </c>
      <c r="D216">
        <v>0.12601000000000001</v>
      </c>
      <c r="E216">
        <v>0.13422000000000001</v>
      </c>
      <c r="F216">
        <v>9806665.5999999996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0.56978967495219834</v>
      </c>
      <c r="Q216">
        <f t="shared" si="960"/>
        <v>5587736.8045889046</v>
      </c>
      <c r="R216">
        <f t="shared" si="961"/>
        <v>-1539318344.3025041</v>
      </c>
      <c r="S216">
        <f t="shared" si="962"/>
        <v>-15393.18344302504</v>
      </c>
      <c r="T216">
        <f t="shared" si="963"/>
        <v>-15.393183443025039</v>
      </c>
    </row>
    <row r="217" spans="1:20" x14ac:dyDescent="0.25">
      <c r="A217" s="5">
        <v>44376</v>
      </c>
      <c r="B217">
        <v>0.13056000000000001</v>
      </c>
      <c r="C217">
        <v>0.14218</v>
      </c>
      <c r="D217">
        <v>0.12998000000000001</v>
      </c>
      <c r="E217">
        <v>0.13466</v>
      </c>
      <c r="F217">
        <v>18487229.699999999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-0.2327868852459026</v>
      </c>
      <c r="Q217">
        <f t="shared" si="960"/>
        <v>-4303584.6186885424</v>
      </c>
      <c r="R217">
        <f t="shared" si="961"/>
        <v>-1544906081.1070929</v>
      </c>
      <c r="S217">
        <f t="shared" si="962"/>
        <v>-15449.060811070929</v>
      </c>
      <c r="T217">
        <f t="shared" si="963"/>
        <v>-15.449060811070929</v>
      </c>
    </row>
    <row r="218" spans="1:20" x14ac:dyDescent="0.25">
      <c r="A218" s="5">
        <v>44375</v>
      </c>
      <c r="B218">
        <v>0.13164999999999999</v>
      </c>
      <c r="C218">
        <v>0.14499999999999999</v>
      </c>
      <c r="D218">
        <v>0.12792999999999999</v>
      </c>
      <c r="E218">
        <v>0.13058</v>
      </c>
      <c r="F218">
        <v>19295993.100000001</v>
      </c>
      <c r="G218">
        <v>0</v>
      </c>
      <c r="L218" t="s">
        <v>7</v>
      </c>
      <c r="M218" t="s">
        <v>8</v>
      </c>
      <c r="N218" t="s">
        <v>8</v>
      </c>
      <c r="P218">
        <f t="shared" si="959"/>
        <v>-0.68951376684241206</v>
      </c>
      <c r="Q218">
        <f t="shared" si="960"/>
        <v>-13304852.887346193</v>
      </c>
      <c r="R218">
        <f t="shared" si="961"/>
        <v>-1540602496.4884043</v>
      </c>
      <c r="S218">
        <f t="shared" si="962"/>
        <v>-15406.024964884044</v>
      </c>
      <c r="T218">
        <f t="shared" si="963"/>
        <v>-15.406024964884043</v>
      </c>
    </row>
    <row r="219" spans="1:20" x14ac:dyDescent="0.25">
      <c r="A219" s="5">
        <v>44374</v>
      </c>
      <c r="B219">
        <v>0.14380000000000001</v>
      </c>
      <c r="C219">
        <v>0.14430000000000001</v>
      </c>
      <c r="D219">
        <v>0.12316000000000001</v>
      </c>
      <c r="E219">
        <v>0.13214999999999999</v>
      </c>
      <c r="F219">
        <v>36494157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-0.14947965941343599</v>
      </c>
      <c r="Q219">
        <f t="shared" si="960"/>
        <v>-5455134.1589404615</v>
      </c>
      <c r="R219">
        <f t="shared" si="961"/>
        <v>-1527297643.601058</v>
      </c>
      <c r="S219">
        <f t="shared" si="962"/>
        <v>-15272.97643601058</v>
      </c>
      <c r="T219">
        <f t="shared" si="963"/>
        <v>-15.27297643601058</v>
      </c>
    </row>
    <row r="220" spans="1:20" x14ac:dyDescent="0.25">
      <c r="A220" s="5">
        <v>44373</v>
      </c>
      <c r="B220">
        <v>0.11359</v>
      </c>
      <c r="C220">
        <v>0.15162</v>
      </c>
      <c r="D220">
        <v>0.10766000000000001</v>
      </c>
      <c r="E220">
        <v>0.14346</v>
      </c>
      <c r="F220">
        <v>99343991.799999997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0.62875341219290259</v>
      </c>
      <c r="Q220">
        <f t="shared" si="960"/>
        <v>62462873.825113736</v>
      </c>
      <c r="R220">
        <f t="shared" si="961"/>
        <v>-1521842509.4421175</v>
      </c>
      <c r="S220">
        <f t="shared" si="962"/>
        <v>-15218.425094421174</v>
      </c>
      <c r="T220">
        <f t="shared" si="963"/>
        <v>-15.218425094421175</v>
      </c>
    </row>
    <row r="221" spans="1:20" x14ac:dyDescent="0.25">
      <c r="A221" s="5">
        <v>44372</v>
      </c>
      <c r="B221">
        <v>0.12537000000000001</v>
      </c>
      <c r="C221">
        <v>0.13500000000000001</v>
      </c>
      <c r="D221">
        <v>0.11277</v>
      </c>
      <c r="E221">
        <v>0.11321000000000001</v>
      </c>
      <c r="F221">
        <v>14634687.300000001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-0.96041385515069644</v>
      </c>
      <c r="Q221">
        <f t="shared" si="960"/>
        <v>-14055356.448717937</v>
      </c>
      <c r="R221">
        <f t="shared" si="961"/>
        <v>-1584305383.2672312</v>
      </c>
      <c r="S221">
        <f t="shared" si="962"/>
        <v>-15843.053832672313</v>
      </c>
      <c r="T221">
        <f t="shared" si="963"/>
        <v>-15.843053832672313</v>
      </c>
    </row>
    <row r="222" spans="1:20" x14ac:dyDescent="0.25">
      <c r="A222" s="5">
        <v>44371</v>
      </c>
      <c r="B222">
        <v>0.12687999999999999</v>
      </c>
      <c r="C222">
        <v>0.13475000000000001</v>
      </c>
      <c r="D222">
        <v>0.12266000000000001</v>
      </c>
      <c r="E222">
        <v>0.12515999999999999</v>
      </c>
      <c r="F222">
        <v>14946195.9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-0.58643507030604014</v>
      </c>
      <c r="Q222">
        <f t="shared" si="960"/>
        <v>-8764973.4434243497</v>
      </c>
      <c r="R222">
        <f t="shared" si="961"/>
        <v>-1570250026.8185134</v>
      </c>
      <c r="S222">
        <f t="shared" si="962"/>
        <v>-15702.500268185135</v>
      </c>
      <c r="T222">
        <f t="shared" si="963"/>
        <v>-15.702500268185135</v>
      </c>
    </row>
    <row r="223" spans="1:20" x14ac:dyDescent="0.25">
      <c r="A223" s="5">
        <v>44370</v>
      </c>
      <c r="B223">
        <v>0.12697</v>
      </c>
      <c r="C223">
        <v>0.13900000000000001</v>
      </c>
      <c r="D223">
        <v>0.12144000000000001</v>
      </c>
      <c r="E223">
        <v>0.12681000000000001</v>
      </c>
      <c r="F223">
        <v>34095608.799999997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-0.38838268792710728</v>
      </c>
      <c r="Q223">
        <f t="shared" si="960"/>
        <v>-13242144.192255132</v>
      </c>
      <c r="R223">
        <f t="shared" si="961"/>
        <v>-1561485053.3750889</v>
      </c>
      <c r="S223">
        <f t="shared" si="962"/>
        <v>-15614.850533750889</v>
      </c>
      <c r="T223">
        <f t="shared" si="963"/>
        <v>-15.614850533750889</v>
      </c>
    </row>
    <row r="224" spans="1:20" x14ac:dyDescent="0.25">
      <c r="A224" s="5">
        <v>44369</v>
      </c>
      <c r="B224">
        <v>0.14771999999999999</v>
      </c>
      <c r="C224">
        <v>0.14771999999999999</v>
      </c>
      <c r="D224">
        <v>0.10739</v>
      </c>
      <c r="E224">
        <v>0.12720999999999999</v>
      </c>
      <c r="F224">
        <v>89373608.700000003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-1.7108851971237547E-2</v>
      </c>
      <c r="Q224">
        <f t="shared" si="960"/>
        <v>-1529079.8413836083</v>
      </c>
      <c r="R224">
        <f t="shared" si="961"/>
        <v>-1548242909.1828339</v>
      </c>
      <c r="S224">
        <f t="shared" si="962"/>
        <v>-15482.429091828339</v>
      </c>
      <c r="T224">
        <f t="shared" si="963"/>
        <v>-15.482429091828338</v>
      </c>
    </row>
    <row r="225" spans="1:20" x14ac:dyDescent="0.25">
      <c r="A225" s="5">
        <v>44368</v>
      </c>
      <c r="B225">
        <v>0.14186000000000001</v>
      </c>
      <c r="C225">
        <v>0.22397</v>
      </c>
      <c r="D225">
        <v>0.14186000000000001</v>
      </c>
      <c r="E225">
        <v>0.14795</v>
      </c>
      <c r="F225">
        <v>363648086.80000001</v>
      </c>
      <c r="G225">
        <v>0</v>
      </c>
      <c r="L225" t="s">
        <v>8</v>
      </c>
      <c r="M225" t="s">
        <v>8</v>
      </c>
      <c r="N225" t="s">
        <v>8</v>
      </c>
      <c r="P225">
        <f t="shared" si="959"/>
        <v>-0.85166240409207195</v>
      </c>
      <c r="Q225">
        <f t="shared" si="960"/>
        <v>-309705403.84757048</v>
      </c>
      <c r="R225">
        <f t="shared" si="961"/>
        <v>-1546713829.3414502</v>
      </c>
      <c r="S225">
        <f t="shared" si="962"/>
        <v>-15467.138293414502</v>
      </c>
      <c r="T225">
        <f t="shared" si="963"/>
        <v>-15.467138293414502</v>
      </c>
    </row>
    <row r="226" spans="1:20" x14ac:dyDescent="0.25">
      <c r="A226" s="5">
        <v>44367</v>
      </c>
      <c r="B226">
        <v>0.12517</v>
      </c>
      <c r="C226">
        <v>0.18129999999999999</v>
      </c>
      <c r="D226">
        <v>0.11579</v>
      </c>
      <c r="E226">
        <v>0.14208000000000001</v>
      </c>
      <c r="F226">
        <v>76352255.900000006</v>
      </c>
      <c r="G226">
        <v>0</v>
      </c>
      <c r="L226" t="s">
        <v>8</v>
      </c>
      <c r="M226" t="s">
        <v>7</v>
      </c>
      <c r="N226" t="s">
        <v>8</v>
      </c>
      <c r="P226">
        <f t="shared" si="959"/>
        <v>-0.1973744466493661</v>
      </c>
      <c r="Q226">
        <f t="shared" si="960"/>
        <v>-15069984.258693298</v>
      </c>
      <c r="R226">
        <f t="shared" si="961"/>
        <v>-1237008425.4938798</v>
      </c>
      <c r="S226">
        <f t="shared" si="962"/>
        <v>-12370.084254938798</v>
      </c>
      <c r="T226">
        <f t="shared" si="963"/>
        <v>-12.370084254938797</v>
      </c>
    </row>
    <row r="227" spans="1:20" x14ac:dyDescent="0.25">
      <c r="A227" s="5">
        <v>44366</v>
      </c>
      <c r="B227">
        <v>0.12684000000000001</v>
      </c>
      <c r="C227">
        <v>0.13538</v>
      </c>
      <c r="D227">
        <v>0.12358</v>
      </c>
      <c r="E227">
        <v>0.12486999999999999</v>
      </c>
      <c r="F227">
        <v>6019323.2000000002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-0.78135593220339006</v>
      </c>
      <c r="Q227">
        <f t="shared" si="960"/>
        <v>-4703233.8901694929</v>
      </c>
      <c r="R227">
        <f t="shared" si="961"/>
        <v>-1221938441.2351866</v>
      </c>
      <c r="S227">
        <f t="shared" si="962"/>
        <v>-12219.384412351867</v>
      </c>
      <c r="T227">
        <f t="shared" si="963"/>
        <v>-12.219384412351866</v>
      </c>
    </row>
    <row r="228" spans="1:20" x14ac:dyDescent="0.25">
      <c r="A228" s="5">
        <v>44365</v>
      </c>
      <c r="B228">
        <v>0.13467000000000001</v>
      </c>
      <c r="C228">
        <v>0.13519999999999999</v>
      </c>
      <c r="D228">
        <v>0.122</v>
      </c>
      <c r="E228">
        <v>0.12684999999999999</v>
      </c>
      <c r="F228">
        <v>3020459.3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-0.26515151515151558</v>
      </c>
      <c r="Q228">
        <f t="shared" si="960"/>
        <v>-800879.35984848614</v>
      </c>
      <c r="R228">
        <f t="shared" si="961"/>
        <v>-1217235207.3450172</v>
      </c>
      <c r="S228">
        <f t="shared" si="962"/>
        <v>-12172.352073450173</v>
      </c>
      <c r="T228">
        <f t="shared" si="963"/>
        <v>-12.172352073450172</v>
      </c>
    </row>
    <row r="229" spans="1:20" x14ac:dyDescent="0.25">
      <c r="A229" s="5">
        <v>44364</v>
      </c>
      <c r="B229">
        <v>0.13439999999999999</v>
      </c>
      <c r="C229">
        <v>0.13700000000000001</v>
      </c>
      <c r="D229">
        <v>0.13058</v>
      </c>
      <c r="E229">
        <v>0.13467000000000001</v>
      </c>
      <c r="F229">
        <v>3115278.2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0.27414330218068678</v>
      </c>
      <c r="Q229">
        <f t="shared" si="960"/>
        <v>854032.65295950603</v>
      </c>
      <c r="R229">
        <f t="shared" si="961"/>
        <v>-1216434327.9851687</v>
      </c>
      <c r="S229">
        <f t="shared" si="962"/>
        <v>-12164.343279851688</v>
      </c>
      <c r="T229">
        <f t="shared" si="963"/>
        <v>-12.164343279851687</v>
      </c>
    </row>
    <row r="230" spans="1:20" x14ac:dyDescent="0.25">
      <c r="A230" s="5">
        <v>44363</v>
      </c>
      <c r="B230">
        <v>0.15432999999999999</v>
      </c>
      <c r="C230">
        <v>0.15432999999999999</v>
      </c>
      <c r="D230">
        <v>0.13272</v>
      </c>
      <c r="E230">
        <v>0.13439999999999999</v>
      </c>
      <c r="F230">
        <v>6333253.7000000002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-0.84451642757982526</v>
      </c>
      <c r="Q230">
        <f t="shared" si="960"/>
        <v>-5348536.7896807101</v>
      </c>
      <c r="R230">
        <f t="shared" si="961"/>
        <v>-1217288360.6381283</v>
      </c>
      <c r="S230">
        <f t="shared" si="962"/>
        <v>-12172.883606381283</v>
      </c>
      <c r="T230">
        <f t="shared" si="963"/>
        <v>-12.172883606381284</v>
      </c>
    </row>
    <row r="231" spans="1:20" x14ac:dyDescent="0.25">
      <c r="A231" s="5">
        <v>44362</v>
      </c>
      <c r="B231">
        <v>0.15053</v>
      </c>
      <c r="C231">
        <v>0.15437999999999999</v>
      </c>
      <c r="D231">
        <v>0.14169999999999999</v>
      </c>
      <c r="E231">
        <v>0.15418000000000001</v>
      </c>
      <c r="F231">
        <v>5175964.2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0.96845425867508228</v>
      </c>
      <c r="Q231">
        <f t="shared" si="960"/>
        <v>5012684.5722397659</v>
      </c>
      <c r="R231">
        <f t="shared" si="961"/>
        <v>-1211939823.8484476</v>
      </c>
      <c r="S231">
        <f t="shared" si="962"/>
        <v>-12119.398238484475</v>
      </c>
      <c r="T231">
        <f t="shared" si="963"/>
        <v>-12.119398238484475</v>
      </c>
    </row>
    <row r="232" spans="1:20" x14ac:dyDescent="0.25">
      <c r="A232" s="5">
        <v>44361</v>
      </c>
      <c r="B232">
        <v>0.14766000000000001</v>
      </c>
      <c r="C232">
        <v>0.15903999999999999</v>
      </c>
      <c r="D232">
        <v>0.14349999999999999</v>
      </c>
      <c r="E232">
        <v>0.15082999999999999</v>
      </c>
      <c r="F232">
        <v>9417039.4000000004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-5.662805662805611E-2</v>
      </c>
      <c r="Q232">
        <f t="shared" si="960"/>
        <v>-533268.64041183551</v>
      </c>
      <c r="R232">
        <f t="shared" si="961"/>
        <v>-1216952508.4206874</v>
      </c>
      <c r="S232">
        <f t="shared" si="962"/>
        <v>-12169.525084206874</v>
      </c>
      <c r="T232">
        <f t="shared" si="963"/>
        <v>-12.169525084206875</v>
      </c>
    </row>
    <row r="233" spans="1:20" x14ac:dyDescent="0.25">
      <c r="A233" s="5">
        <v>44360</v>
      </c>
      <c r="B233">
        <v>0.14255999999999999</v>
      </c>
      <c r="C233">
        <v>0.14888000000000001</v>
      </c>
      <c r="D233">
        <v>0.13789999999999999</v>
      </c>
      <c r="E233">
        <v>0.14748</v>
      </c>
      <c r="F233">
        <v>2329312.4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0.74499089253187434</v>
      </c>
      <c r="Q233">
        <f t="shared" si="960"/>
        <v>1735316.5238615621</v>
      </c>
      <c r="R233">
        <f t="shared" si="961"/>
        <v>-1216419239.7802756</v>
      </c>
      <c r="S233">
        <f t="shared" si="962"/>
        <v>-12164.192397802755</v>
      </c>
      <c r="T233">
        <f t="shared" si="963"/>
        <v>-12.164192397802756</v>
      </c>
    </row>
    <row r="234" spans="1:20" x14ac:dyDescent="0.25">
      <c r="A234" s="5">
        <v>44359</v>
      </c>
      <c r="B234">
        <v>0.14845</v>
      </c>
      <c r="C234">
        <v>0.14845</v>
      </c>
      <c r="D234">
        <v>0.13467999999999999</v>
      </c>
      <c r="E234">
        <v>0.14235999999999999</v>
      </c>
      <c r="F234">
        <v>4015836.9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0.11546840958605518</v>
      </c>
      <c r="Q234">
        <f t="shared" si="960"/>
        <v>463702.29999999411</v>
      </c>
      <c r="R234">
        <f t="shared" si="961"/>
        <v>-1218154556.3041372</v>
      </c>
      <c r="S234">
        <f t="shared" si="962"/>
        <v>-12181.545563041373</v>
      </c>
      <c r="T234">
        <f t="shared" si="963"/>
        <v>-12.181545563041373</v>
      </c>
    </row>
    <row r="235" spans="1:20" x14ac:dyDescent="0.25">
      <c r="A235" s="5">
        <v>44358</v>
      </c>
      <c r="B235">
        <v>0.15586</v>
      </c>
      <c r="C235">
        <v>0.15758</v>
      </c>
      <c r="D235">
        <v>0.14695</v>
      </c>
      <c r="E235">
        <v>0.14793000000000001</v>
      </c>
      <c r="F235">
        <v>4387839.8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-0.8156161806208827</v>
      </c>
      <c r="Q235">
        <f t="shared" si="960"/>
        <v>-3578793.1388522978</v>
      </c>
      <c r="R235">
        <f t="shared" si="961"/>
        <v>-1218618258.6041372</v>
      </c>
      <c r="S235">
        <f t="shared" si="962"/>
        <v>-12186.182586041372</v>
      </c>
      <c r="T235">
        <f t="shared" si="963"/>
        <v>-12.186182586041372</v>
      </c>
    </row>
    <row r="236" spans="1:20" x14ac:dyDescent="0.25">
      <c r="A236" s="5">
        <v>44357</v>
      </c>
      <c r="B236">
        <v>0.16868</v>
      </c>
      <c r="C236">
        <v>0.16868</v>
      </c>
      <c r="D236">
        <v>0.15483</v>
      </c>
      <c r="E236">
        <v>0.15498000000000001</v>
      </c>
      <c r="F236">
        <v>3307722.2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-0.97833935018050378</v>
      </c>
      <c r="Q236">
        <f t="shared" si="960"/>
        <v>-3236074.7877256265</v>
      </c>
      <c r="R236">
        <f t="shared" si="961"/>
        <v>-1215039465.4652848</v>
      </c>
      <c r="S236">
        <f t="shared" si="962"/>
        <v>-12150.394654652848</v>
      </c>
      <c r="T236">
        <f t="shared" si="963"/>
        <v>-12.150394654652848</v>
      </c>
    </row>
    <row r="237" spans="1:20" x14ac:dyDescent="0.25">
      <c r="A237" s="5">
        <v>44356</v>
      </c>
      <c r="B237">
        <v>0.15765999999999999</v>
      </c>
      <c r="C237">
        <v>0.16907</v>
      </c>
      <c r="D237">
        <v>0.15115999999999999</v>
      </c>
      <c r="E237">
        <v>0.16783000000000001</v>
      </c>
      <c r="F237">
        <v>5567578.5999999996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0.86152987158012395</v>
      </c>
      <c r="Q237">
        <f t="shared" si="960"/>
        <v>4796635.2762702461</v>
      </c>
      <c r="R237">
        <f t="shared" si="961"/>
        <v>-1211803390.6775591</v>
      </c>
      <c r="S237">
        <f t="shared" si="962"/>
        <v>-12118.033906775592</v>
      </c>
      <c r="T237">
        <f t="shared" si="963"/>
        <v>-12.118033906775592</v>
      </c>
    </row>
    <row r="238" spans="1:20" x14ac:dyDescent="0.25">
      <c r="A238" s="5">
        <v>44355</v>
      </c>
      <c r="B238">
        <v>0.16148000000000001</v>
      </c>
      <c r="C238">
        <v>0.16531000000000001</v>
      </c>
      <c r="D238">
        <v>0.14404</v>
      </c>
      <c r="E238">
        <v>0.15773999999999999</v>
      </c>
      <c r="F238">
        <v>4263450.4000000004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0.28819934179595513</v>
      </c>
      <c r="Q238">
        <f t="shared" si="960"/>
        <v>1228723.5990597017</v>
      </c>
      <c r="R238">
        <f t="shared" si="961"/>
        <v>-1216600025.9538293</v>
      </c>
      <c r="S238">
        <f t="shared" si="962"/>
        <v>-12166.000259538292</v>
      </c>
      <c r="T238">
        <f t="shared" si="963"/>
        <v>-12.166000259538292</v>
      </c>
    </row>
    <row r="239" spans="1:20" x14ac:dyDescent="0.25">
      <c r="A239" s="5">
        <v>44354</v>
      </c>
      <c r="B239">
        <v>0.17816000000000001</v>
      </c>
      <c r="C239">
        <v>0.189</v>
      </c>
      <c r="D239">
        <v>0.15806999999999999</v>
      </c>
      <c r="E239">
        <v>0.16266</v>
      </c>
      <c r="F239">
        <v>7505115.0999999996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-0.7032007759456832</v>
      </c>
      <c r="Q239">
        <f t="shared" si="960"/>
        <v>-5277602.7618816635</v>
      </c>
      <c r="R239">
        <f t="shared" si="961"/>
        <v>-1217828749.5528891</v>
      </c>
      <c r="S239">
        <f t="shared" si="962"/>
        <v>-12178.287495528892</v>
      </c>
      <c r="T239">
        <f t="shared" si="963"/>
        <v>-12.178287495528892</v>
      </c>
    </row>
    <row r="240" spans="1:20" x14ac:dyDescent="0.25">
      <c r="A240" s="5">
        <v>44353</v>
      </c>
      <c r="B240">
        <v>0.17249999999999999</v>
      </c>
      <c r="C240">
        <v>0.18859999999999999</v>
      </c>
      <c r="D240">
        <v>0.17163</v>
      </c>
      <c r="E240">
        <v>0.17795</v>
      </c>
      <c r="F240">
        <v>6105343</v>
      </c>
      <c r="G240">
        <v>0</v>
      </c>
      <c r="L240" t="s">
        <v>7</v>
      </c>
      <c r="M240" t="s">
        <v>7</v>
      </c>
      <c r="N240" t="s">
        <v>7</v>
      </c>
      <c r="P240">
        <f t="shared" si="959"/>
        <v>-0.25515615792575158</v>
      </c>
      <c r="Q240">
        <f t="shared" si="960"/>
        <v>-1557815.8626988819</v>
      </c>
      <c r="R240">
        <f t="shared" si="961"/>
        <v>-1212551146.7910075</v>
      </c>
      <c r="S240">
        <f t="shared" si="962"/>
        <v>-12125.511467910075</v>
      </c>
      <c r="T240">
        <f t="shared" si="963"/>
        <v>-12.125511467910075</v>
      </c>
    </row>
    <row r="241" spans="1:20" x14ac:dyDescent="0.25">
      <c r="A241" s="5">
        <v>44352</v>
      </c>
      <c r="B241">
        <v>0.18429999999999999</v>
      </c>
      <c r="C241">
        <v>0.18912999999999999</v>
      </c>
      <c r="D241">
        <v>0.16868</v>
      </c>
      <c r="E241">
        <v>0.17249999999999999</v>
      </c>
      <c r="F241">
        <v>3742992.2</v>
      </c>
      <c r="G241">
        <v>0</v>
      </c>
      <c r="L241" t="s">
        <v>8</v>
      </c>
      <c r="M241" t="s">
        <v>7</v>
      </c>
      <c r="N241" t="s">
        <v>7</v>
      </c>
      <c r="P241">
        <f t="shared" si="959"/>
        <v>-0.626405867970661</v>
      </c>
      <c r="Q241">
        <f t="shared" si="960"/>
        <v>-2344632.2778484141</v>
      </c>
      <c r="R241">
        <f t="shared" si="961"/>
        <v>-1210993330.9283087</v>
      </c>
      <c r="S241">
        <f t="shared" si="962"/>
        <v>-12109.933309283088</v>
      </c>
      <c r="T241">
        <f t="shared" si="963"/>
        <v>-12.109933309283088</v>
      </c>
    </row>
    <row r="242" spans="1:20" x14ac:dyDescent="0.25">
      <c r="A242" s="5">
        <v>44351</v>
      </c>
      <c r="B242">
        <v>0.1963</v>
      </c>
      <c r="C242">
        <v>0.19636000000000001</v>
      </c>
      <c r="D242">
        <v>0.17146</v>
      </c>
      <c r="E242">
        <v>0.18404999999999999</v>
      </c>
      <c r="F242">
        <v>5712703.7000000002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1.1244979919677697E-2</v>
      </c>
      <c r="Q242">
        <f t="shared" si="960"/>
        <v>64239.238393568485</v>
      </c>
      <c r="R242">
        <f t="shared" si="961"/>
        <v>-1208648698.6504602</v>
      </c>
      <c r="S242">
        <f t="shared" si="962"/>
        <v>-12086.486986504602</v>
      </c>
      <c r="T242">
        <f t="shared" si="963"/>
        <v>-12.086486986504601</v>
      </c>
    </row>
    <row r="243" spans="1:20" x14ac:dyDescent="0.25">
      <c r="A243" s="5">
        <v>44350</v>
      </c>
      <c r="B243">
        <v>0.19481000000000001</v>
      </c>
      <c r="C243">
        <v>0.20421</v>
      </c>
      <c r="D243">
        <v>0.1915</v>
      </c>
      <c r="E243">
        <v>0.1963</v>
      </c>
      <c r="F243">
        <v>3732243.3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-0.24468922108575938</v>
      </c>
      <c r="Q243">
        <f t="shared" si="960"/>
        <v>-913239.70597954409</v>
      </c>
      <c r="R243">
        <f t="shared" si="961"/>
        <v>-1208712937.8888538</v>
      </c>
      <c r="S243">
        <f t="shared" si="962"/>
        <v>-12087.129378888538</v>
      </c>
      <c r="T243">
        <f t="shared" si="963"/>
        <v>-12.087129378888537</v>
      </c>
    </row>
    <row r="244" spans="1:20" x14ac:dyDescent="0.25">
      <c r="A244" s="5">
        <v>44349</v>
      </c>
      <c r="B244">
        <v>0.18393999999999999</v>
      </c>
      <c r="C244">
        <v>0.20497000000000001</v>
      </c>
      <c r="D244">
        <v>0.17974999999999999</v>
      </c>
      <c r="E244">
        <v>0.19481000000000001</v>
      </c>
      <c r="F244">
        <v>6405682.4000000004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0.19429024583663804</v>
      </c>
      <c r="Q244">
        <f t="shared" si="960"/>
        <v>1244561.6082474256</v>
      </c>
      <c r="R244">
        <f t="shared" si="961"/>
        <v>-1207799698.1828742</v>
      </c>
      <c r="S244">
        <f t="shared" si="962"/>
        <v>-12077.996981828743</v>
      </c>
      <c r="T244">
        <f t="shared" si="963"/>
        <v>-12.077996981828743</v>
      </c>
    </row>
    <row r="245" spans="1:20" x14ac:dyDescent="0.25">
      <c r="A245" s="5">
        <v>44348</v>
      </c>
      <c r="B245">
        <v>0.18906999999999999</v>
      </c>
      <c r="C245">
        <v>0.19203999999999999</v>
      </c>
      <c r="D245">
        <v>0.17519999999999999</v>
      </c>
      <c r="E245">
        <v>0.18365000000000001</v>
      </c>
      <c r="F245">
        <v>3651757.8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3.5629453681729375E-3</v>
      </c>
      <c r="Q245">
        <f t="shared" si="960"/>
        <v>13011.013539199395</v>
      </c>
      <c r="R245">
        <f t="shared" si="961"/>
        <v>-1209044259.7911217</v>
      </c>
      <c r="S245">
        <f t="shared" si="962"/>
        <v>-12090.442597911217</v>
      </c>
      <c r="T245">
        <f t="shared" si="963"/>
        <v>-12.090442597911217</v>
      </c>
    </row>
    <row r="246" spans="1:20" x14ac:dyDescent="0.25">
      <c r="A246" s="5">
        <v>44347</v>
      </c>
      <c r="B246">
        <v>0.17962</v>
      </c>
      <c r="C246">
        <v>0.18967999999999999</v>
      </c>
      <c r="D246">
        <v>0.17044999999999999</v>
      </c>
      <c r="E246">
        <v>0.18912999999999999</v>
      </c>
      <c r="F246">
        <v>4297352</v>
      </c>
      <c r="G246">
        <v>0</v>
      </c>
      <c r="L246" t="s">
        <v>7</v>
      </c>
      <c r="M246" t="s">
        <v>8</v>
      </c>
      <c r="N246" t="s">
        <v>7</v>
      </c>
      <c r="P246">
        <f t="shared" si="959"/>
        <v>0.94279771190847683</v>
      </c>
      <c r="Q246">
        <f t="shared" si="960"/>
        <v>4051533.6328653167</v>
      </c>
      <c r="R246">
        <f t="shared" si="961"/>
        <v>-1209057270.804661</v>
      </c>
      <c r="S246">
        <f t="shared" si="962"/>
        <v>-12090.572708046609</v>
      </c>
      <c r="T246">
        <f t="shared" si="963"/>
        <v>-12.09057270804661</v>
      </c>
    </row>
    <row r="247" spans="1:20" x14ac:dyDescent="0.25">
      <c r="A247" s="5">
        <v>44346</v>
      </c>
      <c r="B247">
        <v>0.17007</v>
      </c>
      <c r="C247">
        <v>0.19600000000000001</v>
      </c>
      <c r="D247">
        <v>0.16078999999999999</v>
      </c>
      <c r="E247">
        <v>0.18021999999999999</v>
      </c>
      <c r="F247">
        <v>105103507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0.10366373189434776</v>
      </c>
      <c r="Q247">
        <f t="shared" si="960"/>
        <v>10895421.770803703</v>
      </c>
      <c r="R247">
        <f t="shared" si="961"/>
        <v>-1213108804.4375265</v>
      </c>
      <c r="S247">
        <f t="shared" si="962"/>
        <v>-12131.088044375265</v>
      </c>
      <c r="T247">
        <f t="shared" si="963"/>
        <v>-12.131088044375264</v>
      </c>
    </row>
    <row r="248" spans="1:20" x14ac:dyDescent="0.25">
      <c r="A248" s="5">
        <v>44345</v>
      </c>
      <c r="B248">
        <v>0.17899000000000001</v>
      </c>
      <c r="C248">
        <v>0.18151999999999999</v>
      </c>
      <c r="D248">
        <v>0.1573</v>
      </c>
      <c r="E248">
        <v>0.17007</v>
      </c>
      <c r="F248">
        <v>6229071.4000000004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5.4500412881916434E-2</v>
      </c>
      <c r="Q248">
        <f t="shared" si="960"/>
        <v>339486.96317093726</v>
      </c>
      <c r="R248">
        <f t="shared" si="961"/>
        <v>-1224004226.2083302</v>
      </c>
      <c r="S248">
        <f t="shared" si="962"/>
        <v>-12240.042262083301</v>
      </c>
      <c r="T248">
        <f t="shared" si="963"/>
        <v>-12.240042262083302</v>
      </c>
    </row>
    <row r="249" spans="1:20" x14ac:dyDescent="0.25">
      <c r="A249" s="5">
        <v>44344</v>
      </c>
      <c r="B249">
        <v>0.2014</v>
      </c>
      <c r="C249">
        <v>0.20405000000000001</v>
      </c>
      <c r="D249">
        <v>0.17282</v>
      </c>
      <c r="E249">
        <v>0.17907999999999999</v>
      </c>
      <c r="F249">
        <v>4835662.5999999996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-0.59910342619276424</v>
      </c>
      <c r="Q249">
        <f t="shared" si="960"/>
        <v>-2897062.0315722101</v>
      </c>
      <c r="R249">
        <f t="shared" si="961"/>
        <v>-1224343713.1715012</v>
      </c>
      <c r="S249">
        <f t="shared" si="962"/>
        <v>-12243.437131715011</v>
      </c>
      <c r="T249">
        <f t="shared" si="963"/>
        <v>-12.243437131715011</v>
      </c>
    </row>
    <row r="250" spans="1:20" x14ac:dyDescent="0.25">
      <c r="A250" s="5">
        <v>44343</v>
      </c>
      <c r="B250">
        <v>0.21695</v>
      </c>
      <c r="C250">
        <v>0.22477</v>
      </c>
      <c r="D250">
        <v>0.19239999999999999</v>
      </c>
      <c r="E250">
        <v>0.20161000000000001</v>
      </c>
      <c r="F250">
        <v>13706274.699999999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-0.43095458758109229</v>
      </c>
      <c r="Q250">
        <f t="shared" si="960"/>
        <v>-5906781.9606116591</v>
      </c>
      <c r="R250">
        <f t="shared" si="961"/>
        <v>-1221446651.1399291</v>
      </c>
      <c r="S250">
        <f t="shared" si="962"/>
        <v>-12214.466511399291</v>
      </c>
      <c r="T250">
        <f t="shared" si="963"/>
        <v>-12.214466511399291</v>
      </c>
    </row>
    <row r="251" spans="1:20" x14ac:dyDescent="0.25">
      <c r="A251" s="5">
        <v>44342</v>
      </c>
      <c r="B251">
        <v>0.1817</v>
      </c>
      <c r="C251">
        <v>0.21895999999999999</v>
      </c>
      <c r="D251">
        <v>0.17727000000000001</v>
      </c>
      <c r="E251">
        <v>0.21737000000000001</v>
      </c>
      <c r="F251">
        <v>13181943.300000001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0.92372271527944438</v>
      </c>
      <c r="Q251">
        <f t="shared" si="960"/>
        <v>12176460.45773568</v>
      </c>
      <c r="R251">
        <f t="shared" si="961"/>
        <v>-1215539869.1793175</v>
      </c>
      <c r="S251">
        <f t="shared" si="962"/>
        <v>-12155.398691793174</v>
      </c>
      <c r="T251">
        <f t="shared" si="963"/>
        <v>-12.155398691793174</v>
      </c>
    </row>
    <row r="252" spans="1:20" x14ac:dyDescent="0.25">
      <c r="A252" s="5">
        <v>44341</v>
      </c>
      <c r="B252">
        <v>0.19213</v>
      </c>
      <c r="C252">
        <v>0.19600000000000001</v>
      </c>
      <c r="D252">
        <v>0.16575999999999999</v>
      </c>
      <c r="E252">
        <v>0.18071000000000001</v>
      </c>
      <c r="F252">
        <v>10454405.699999999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-1.1243386243385549E-2</v>
      </c>
      <c r="Q252">
        <f t="shared" si="960"/>
        <v>-117542.92123015146</v>
      </c>
      <c r="R252">
        <f t="shared" si="961"/>
        <v>-1227716329.6370533</v>
      </c>
      <c r="S252">
        <f t="shared" si="962"/>
        <v>-12277.163296370532</v>
      </c>
      <c r="T252">
        <f t="shared" si="963"/>
        <v>-12.277163296370533</v>
      </c>
    </row>
    <row r="253" spans="1:20" x14ac:dyDescent="0.25">
      <c r="A253" s="5">
        <v>44340</v>
      </c>
      <c r="B253">
        <v>0.16231999999999999</v>
      </c>
      <c r="C253">
        <v>0.20499999999999999</v>
      </c>
      <c r="D253">
        <v>0.15754000000000001</v>
      </c>
      <c r="E253">
        <v>0.19195000000000001</v>
      </c>
      <c r="F253">
        <v>17595284.300000001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0.45006321112515862</v>
      </c>
      <c r="Q253">
        <f t="shared" si="960"/>
        <v>7918990.1527180895</v>
      </c>
      <c r="R253">
        <f t="shared" si="961"/>
        <v>-1227598786.7158232</v>
      </c>
      <c r="S253">
        <f t="shared" si="962"/>
        <v>-12275.987867158232</v>
      </c>
      <c r="T253">
        <f t="shared" si="963"/>
        <v>-12.275987867158232</v>
      </c>
    </row>
    <row r="254" spans="1:20" x14ac:dyDescent="0.25">
      <c r="A254" s="5">
        <v>44339</v>
      </c>
      <c r="B254">
        <v>0.19675000000000001</v>
      </c>
      <c r="C254">
        <v>0.19707</v>
      </c>
      <c r="D254">
        <v>0.12253</v>
      </c>
      <c r="E254">
        <v>0.16231999999999999</v>
      </c>
      <c r="F254">
        <v>13734719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6.7614703514891183E-2</v>
      </c>
      <c r="Q254">
        <f t="shared" si="960"/>
        <v>928668.9530453427</v>
      </c>
      <c r="R254">
        <f t="shared" si="961"/>
        <v>-1235517776.8685412</v>
      </c>
      <c r="S254">
        <f t="shared" si="962"/>
        <v>-12355.177768685413</v>
      </c>
      <c r="T254">
        <f t="shared" si="963"/>
        <v>-12.355177768685413</v>
      </c>
    </row>
    <row r="255" spans="1:20" x14ac:dyDescent="0.25">
      <c r="A255" s="5">
        <v>44338</v>
      </c>
      <c r="B255">
        <v>0.19897999999999999</v>
      </c>
      <c r="C255">
        <v>0.20247000000000001</v>
      </c>
      <c r="D255">
        <v>0.18201000000000001</v>
      </c>
      <c r="E255">
        <v>0.19758000000000001</v>
      </c>
      <c r="F255">
        <v>8405149.4000000004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0.52199413489736035</v>
      </c>
      <c r="Q255">
        <f t="shared" si="960"/>
        <v>4387438.6897360673</v>
      </c>
      <c r="R255">
        <f t="shared" si="961"/>
        <v>-1236446445.8215866</v>
      </c>
      <c r="S255">
        <f t="shared" si="962"/>
        <v>-12364.464458215865</v>
      </c>
      <c r="T255">
        <f t="shared" si="963"/>
        <v>-12.364464458215865</v>
      </c>
    </row>
    <row r="256" spans="1:20" x14ac:dyDescent="0.25">
      <c r="A256" s="5">
        <v>44337</v>
      </c>
      <c r="B256">
        <v>0.23235</v>
      </c>
      <c r="C256">
        <v>0.25480000000000003</v>
      </c>
      <c r="D256">
        <v>0.16692000000000001</v>
      </c>
      <c r="E256">
        <v>0.19905999999999999</v>
      </c>
      <c r="F256">
        <v>24614417.199999999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-0.26854802002731065</v>
      </c>
      <c r="Q256">
        <f t="shared" si="960"/>
        <v>-6610153.0031861793</v>
      </c>
      <c r="R256">
        <f t="shared" si="961"/>
        <v>-1240833884.5113227</v>
      </c>
      <c r="S256">
        <f t="shared" si="962"/>
        <v>-12408.338845113227</v>
      </c>
      <c r="T256">
        <f t="shared" si="963"/>
        <v>-12.408338845113226</v>
      </c>
    </row>
    <row r="257" spans="1:20" x14ac:dyDescent="0.25">
      <c r="A257" s="5">
        <v>44336</v>
      </c>
      <c r="B257">
        <v>0.17885999999999999</v>
      </c>
      <c r="C257">
        <v>0.28097</v>
      </c>
      <c r="D257">
        <v>0.16209000000000001</v>
      </c>
      <c r="E257">
        <v>0.23169000000000001</v>
      </c>
      <c r="F257">
        <v>39551502.600000001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0.17092866756393008</v>
      </c>
      <c r="Q257">
        <f t="shared" si="960"/>
        <v>6760485.6395693161</v>
      </c>
      <c r="R257">
        <f t="shared" si="961"/>
        <v>-1234223731.5081365</v>
      </c>
      <c r="S257">
        <f t="shared" si="962"/>
        <v>-12342.237315081366</v>
      </c>
      <c r="T257">
        <f t="shared" si="963"/>
        <v>-12.342237315081366</v>
      </c>
    </row>
    <row r="258" spans="1:20" x14ac:dyDescent="0.25">
      <c r="A258" s="5">
        <v>44335</v>
      </c>
      <c r="B258">
        <v>0.2591</v>
      </c>
      <c r="C258">
        <v>0.26366000000000001</v>
      </c>
      <c r="D258">
        <v>0.13522000000000001</v>
      </c>
      <c r="E258">
        <v>0.17843999999999999</v>
      </c>
      <c r="F258">
        <v>20394750.199999999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-0.32700093428838395</v>
      </c>
      <c r="Q258">
        <f t="shared" si="960"/>
        <v>-6669102.3699782053</v>
      </c>
      <c r="R258">
        <f t="shared" si="961"/>
        <v>-1240984217.1477058</v>
      </c>
      <c r="S258">
        <f t="shared" si="962"/>
        <v>-12409.842171477057</v>
      </c>
      <c r="T258">
        <f t="shared" si="963"/>
        <v>-12.409842171477058</v>
      </c>
    </row>
    <row r="259" spans="1:20" x14ac:dyDescent="0.25">
      <c r="A259" s="5">
        <v>44334</v>
      </c>
      <c r="B259">
        <v>0.24135999999999999</v>
      </c>
      <c r="C259">
        <v>0.29498999999999997</v>
      </c>
      <c r="D259">
        <v>0.23915</v>
      </c>
      <c r="E259">
        <v>0.2591</v>
      </c>
      <c r="F259">
        <v>19074961.600000001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-0.28545845272206283</v>
      </c>
      <c r="Q259">
        <f t="shared" si="960"/>
        <v>-5445109.0240687644</v>
      </c>
      <c r="R259">
        <f t="shared" si="961"/>
        <v>-1234315114.7777276</v>
      </c>
      <c r="S259">
        <f t="shared" si="962"/>
        <v>-12343.151147777276</v>
      </c>
      <c r="T259">
        <f t="shared" si="963"/>
        <v>-12.343151147777277</v>
      </c>
    </row>
    <row r="260" spans="1:20" x14ac:dyDescent="0.25">
      <c r="A260" s="5">
        <v>44333</v>
      </c>
      <c r="B260">
        <v>0.26569999999999999</v>
      </c>
      <c r="C260">
        <v>0.26582</v>
      </c>
      <c r="D260">
        <v>0.23508000000000001</v>
      </c>
      <c r="E260">
        <v>0.24135999999999999</v>
      </c>
      <c r="F260">
        <v>10249326.699999999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-0.59141184124918789</v>
      </c>
      <c r="Q260">
        <f t="shared" si="960"/>
        <v>-6061573.1752114622</v>
      </c>
      <c r="R260">
        <f t="shared" si="961"/>
        <v>-1228870005.7536588</v>
      </c>
      <c r="S260">
        <f t="shared" si="962"/>
        <v>-12288.700057536587</v>
      </c>
      <c r="T260">
        <f t="shared" si="963"/>
        <v>-12.288700057536587</v>
      </c>
    </row>
    <row r="261" spans="1:20" x14ac:dyDescent="0.25">
      <c r="A261" s="5">
        <v>44332</v>
      </c>
      <c r="B261">
        <v>0.26086999999999999</v>
      </c>
      <c r="C261">
        <v>0.31</v>
      </c>
      <c r="D261">
        <v>0.24965000000000001</v>
      </c>
      <c r="E261">
        <v>0.26595999999999997</v>
      </c>
      <c r="F261">
        <v>12408255.9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-0.45948632974316594</v>
      </c>
      <c r="Q261">
        <f t="shared" si="960"/>
        <v>-5701423.9620049847</v>
      </c>
      <c r="R261">
        <f t="shared" si="961"/>
        <v>-1222808432.5784473</v>
      </c>
      <c r="S261">
        <f t="shared" si="962"/>
        <v>-12228.084325784474</v>
      </c>
      <c r="T261">
        <f t="shared" si="963"/>
        <v>-12.228084325784474</v>
      </c>
    </row>
    <row r="262" spans="1:20" x14ac:dyDescent="0.25">
      <c r="A262" s="5">
        <v>44331</v>
      </c>
      <c r="B262">
        <v>0.29037000000000002</v>
      </c>
      <c r="C262">
        <v>0.29205999999999999</v>
      </c>
      <c r="D262">
        <v>0.25735000000000002</v>
      </c>
      <c r="E262">
        <v>0.26086999999999999</v>
      </c>
      <c r="F262">
        <v>9492577</v>
      </c>
      <c r="G262">
        <v>0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-0.79717660616537189</v>
      </c>
      <c r="Q262">
        <f t="shared" ref="Q262:Q325" si="965">F262*P262</f>
        <v>-7567260.316623467</v>
      </c>
      <c r="R262">
        <f t="shared" ref="R262:R325" si="966">R263+Q262</f>
        <v>-1217107008.6164424</v>
      </c>
      <c r="S262">
        <f t="shared" ref="S262:S325" si="967">R262/100000</f>
        <v>-12171.070086164424</v>
      </c>
      <c r="T262">
        <f t="shared" ref="T262:T325" si="968">S262/1000</f>
        <v>-12.171070086164423</v>
      </c>
    </row>
    <row r="263" spans="1:20" x14ac:dyDescent="0.25">
      <c r="A263" s="5">
        <v>44330</v>
      </c>
      <c r="B263">
        <v>0.26217000000000001</v>
      </c>
      <c r="C263">
        <v>0.3</v>
      </c>
      <c r="D263">
        <v>0.26162000000000002</v>
      </c>
      <c r="E263">
        <v>0.29065999999999997</v>
      </c>
      <c r="F263">
        <v>7997387.5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0.51328817092235424</v>
      </c>
      <c r="Q263">
        <f t="shared" si="965"/>
        <v>4104964.4020322994</v>
      </c>
      <c r="R263">
        <f t="shared" si="966"/>
        <v>-1209539748.299819</v>
      </c>
      <c r="S263">
        <f t="shared" si="967"/>
        <v>-12095.397482998191</v>
      </c>
      <c r="T263">
        <f t="shared" si="968"/>
        <v>-12.095397482998191</v>
      </c>
    </row>
    <row r="264" spans="1:20" x14ac:dyDescent="0.25">
      <c r="A264" s="5">
        <v>44329</v>
      </c>
      <c r="B264">
        <v>0.25967000000000001</v>
      </c>
      <c r="C264">
        <v>0.30015999999999998</v>
      </c>
      <c r="D264">
        <v>0.24385000000000001</v>
      </c>
      <c r="E264">
        <v>0.26273999999999997</v>
      </c>
      <c r="F264">
        <v>17989232.399999999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-0.32907121292843289</v>
      </c>
      <c r="Q264">
        <f t="shared" si="965"/>
        <v>-5919738.5255194632</v>
      </c>
      <c r="R264">
        <f t="shared" si="966"/>
        <v>-1213644712.7018514</v>
      </c>
      <c r="S264">
        <f t="shared" si="967"/>
        <v>-12136.447127018513</v>
      </c>
      <c r="T264">
        <f t="shared" si="968"/>
        <v>-12.136447127018513</v>
      </c>
    </row>
    <row r="265" spans="1:20" x14ac:dyDescent="0.25">
      <c r="A265" s="5">
        <v>44328</v>
      </c>
      <c r="B265">
        <v>0.30031000000000002</v>
      </c>
      <c r="C265">
        <v>0.31</v>
      </c>
      <c r="D265">
        <v>0.25619999999999998</v>
      </c>
      <c r="E265">
        <v>0.25967000000000001</v>
      </c>
      <c r="F265">
        <v>15131985.4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-0.87100371747211791</v>
      </c>
      <c r="Q265">
        <f t="shared" si="965"/>
        <v>-13180015.536133813</v>
      </c>
      <c r="R265">
        <f t="shared" si="966"/>
        <v>-1207724974.176332</v>
      </c>
      <c r="S265">
        <f t="shared" si="967"/>
        <v>-12077.24974176332</v>
      </c>
      <c r="T265">
        <f t="shared" si="968"/>
        <v>-12.077249741763321</v>
      </c>
    </row>
    <row r="266" spans="1:20" x14ac:dyDescent="0.25">
      <c r="A266" s="5">
        <v>44327</v>
      </c>
      <c r="B266">
        <v>0.28902</v>
      </c>
      <c r="C266">
        <v>0.30798999999999999</v>
      </c>
      <c r="D266">
        <v>0.27706999999999998</v>
      </c>
      <c r="E266">
        <v>0.30031999999999998</v>
      </c>
      <c r="F266">
        <v>13515106.1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0.5038809831824056</v>
      </c>
      <c r="Q266">
        <f t="shared" si="965"/>
        <v>6810004.9494825266</v>
      </c>
      <c r="R266">
        <f t="shared" si="966"/>
        <v>-1194544958.6401982</v>
      </c>
      <c r="S266">
        <f t="shared" si="967"/>
        <v>-11945.449586401983</v>
      </c>
      <c r="T266">
        <f t="shared" si="968"/>
        <v>-11.945449586401983</v>
      </c>
    </row>
    <row r="267" spans="1:20" x14ac:dyDescent="0.25">
      <c r="A267" s="5">
        <v>44326</v>
      </c>
      <c r="B267">
        <v>0.317</v>
      </c>
      <c r="C267">
        <v>0.32499</v>
      </c>
      <c r="D267">
        <v>0.27516000000000002</v>
      </c>
      <c r="E267">
        <v>0.28936000000000001</v>
      </c>
      <c r="F267">
        <v>21263765.100000001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-0.4300622115191654</v>
      </c>
      <c r="Q267">
        <f t="shared" si="965"/>
        <v>-9144741.8441300485</v>
      </c>
      <c r="R267">
        <f t="shared" si="966"/>
        <v>-1201354963.5896807</v>
      </c>
      <c r="S267">
        <f t="shared" si="967"/>
        <v>-12013.549635896807</v>
      </c>
      <c r="T267">
        <f t="shared" si="968"/>
        <v>-12.013549635896807</v>
      </c>
    </row>
    <row r="268" spans="1:20" x14ac:dyDescent="0.25">
      <c r="A268" s="5">
        <v>44325</v>
      </c>
      <c r="B268">
        <v>0.32599</v>
      </c>
      <c r="C268">
        <v>0.32795999999999997</v>
      </c>
      <c r="D268">
        <v>0.29959999999999998</v>
      </c>
      <c r="E268">
        <v>0.31713999999999998</v>
      </c>
      <c r="F268">
        <v>18102392.199999999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0.23695345557122724</v>
      </c>
      <c r="Q268">
        <f t="shared" si="965"/>
        <v>4289424.3858956303</v>
      </c>
      <c r="R268">
        <f t="shared" si="966"/>
        <v>-1192210221.7455506</v>
      </c>
      <c r="S268">
        <f t="shared" si="967"/>
        <v>-11922.102217455506</v>
      </c>
      <c r="T268">
        <f t="shared" si="968"/>
        <v>-11.922102217455505</v>
      </c>
    </row>
    <row r="269" spans="1:20" x14ac:dyDescent="0.25">
      <c r="A269" s="5">
        <v>44324</v>
      </c>
      <c r="B269">
        <v>0.31353999999999999</v>
      </c>
      <c r="C269">
        <v>0.36499999999999999</v>
      </c>
      <c r="D269">
        <v>0.31280999999999998</v>
      </c>
      <c r="E269">
        <v>0.32599</v>
      </c>
      <c r="F269">
        <v>41878140.299999997</v>
      </c>
      <c r="G269">
        <v>0</v>
      </c>
      <c r="L269" t="s">
        <v>8</v>
      </c>
      <c r="M269" t="s">
        <v>8</v>
      </c>
      <c r="N269" t="s">
        <v>7</v>
      </c>
      <c r="P269">
        <f t="shared" si="964"/>
        <v>-0.49492239892699669</v>
      </c>
      <c r="Q269">
        <f t="shared" si="965"/>
        <v>-20726429.659877334</v>
      </c>
      <c r="R269">
        <f t="shared" si="966"/>
        <v>-1196499646.1314464</v>
      </c>
      <c r="S269">
        <f t="shared" si="967"/>
        <v>-11964.996461314464</v>
      </c>
      <c r="T269">
        <f t="shared" si="968"/>
        <v>-11.964996461314463</v>
      </c>
    </row>
    <row r="270" spans="1:20" x14ac:dyDescent="0.25">
      <c r="A270" s="5">
        <v>44323</v>
      </c>
      <c r="B270">
        <v>0.30669000000000002</v>
      </c>
      <c r="C270">
        <v>0.32491999999999999</v>
      </c>
      <c r="D270">
        <v>0.30129</v>
      </c>
      <c r="E270">
        <v>0.31339</v>
      </c>
      <c r="F270">
        <v>16383170.6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2.4121878967414953E-2</v>
      </c>
      <c r="Q270">
        <f t="shared" si="965"/>
        <v>395192.85831571103</v>
      </c>
      <c r="R270">
        <f t="shared" si="966"/>
        <v>-1175773216.4715691</v>
      </c>
      <c r="S270">
        <f t="shared" si="967"/>
        <v>-11757.732164715691</v>
      </c>
      <c r="T270">
        <f t="shared" si="968"/>
        <v>-11.757732164715691</v>
      </c>
    </row>
    <row r="271" spans="1:20" x14ac:dyDescent="0.25">
      <c r="A271" s="5">
        <v>44322</v>
      </c>
      <c r="B271">
        <v>0.31254999999999999</v>
      </c>
      <c r="C271">
        <v>0.33300000000000002</v>
      </c>
      <c r="D271">
        <v>0.30103999999999997</v>
      </c>
      <c r="E271">
        <v>0.30578</v>
      </c>
      <c r="F271">
        <v>22828916.600000001</v>
      </c>
      <c r="G271">
        <v>0</v>
      </c>
      <c r="L271" t="s">
        <v>8</v>
      </c>
      <c r="M271" t="s">
        <v>7</v>
      </c>
      <c r="N271" t="s">
        <v>7</v>
      </c>
      <c r="P271">
        <f t="shared" si="964"/>
        <v>-0.70337922403003661</v>
      </c>
      <c r="Q271">
        <f t="shared" si="965"/>
        <v>-16057385.643554423</v>
      </c>
      <c r="R271">
        <f t="shared" si="966"/>
        <v>-1176168409.3298848</v>
      </c>
      <c r="S271">
        <f t="shared" si="967"/>
        <v>-11761.684093298847</v>
      </c>
      <c r="T271">
        <f t="shared" si="968"/>
        <v>-11.761684093298847</v>
      </c>
    </row>
    <row r="272" spans="1:20" x14ac:dyDescent="0.25">
      <c r="A272" s="5">
        <v>44321</v>
      </c>
      <c r="B272">
        <v>0.29938999999999999</v>
      </c>
      <c r="C272">
        <v>0.32213999999999998</v>
      </c>
      <c r="D272">
        <v>0.29755999999999999</v>
      </c>
      <c r="E272">
        <v>0.31235000000000002</v>
      </c>
      <c r="F272">
        <v>16580948.699999999</v>
      </c>
      <c r="G272">
        <v>0</v>
      </c>
      <c r="L272" t="s">
        <v>8</v>
      </c>
      <c r="M272" t="s">
        <v>7</v>
      </c>
      <c r="N272" t="s">
        <v>7</v>
      </c>
      <c r="P272">
        <f t="shared" si="964"/>
        <v>0.20341741253051512</v>
      </c>
      <c r="Q272">
        <f t="shared" si="965"/>
        <v>3372853.6818552082</v>
      </c>
      <c r="R272">
        <f t="shared" si="966"/>
        <v>-1160111023.6863303</v>
      </c>
      <c r="S272">
        <f t="shared" si="967"/>
        <v>-11601.110236863304</v>
      </c>
      <c r="T272">
        <f t="shared" si="968"/>
        <v>-11.601110236863304</v>
      </c>
    </row>
    <row r="273" spans="1:20" x14ac:dyDescent="0.25">
      <c r="A273" s="5">
        <v>44320</v>
      </c>
      <c r="B273">
        <v>0.32784000000000002</v>
      </c>
      <c r="C273">
        <v>0.32799</v>
      </c>
      <c r="D273">
        <v>0.28666000000000003</v>
      </c>
      <c r="E273">
        <v>0.30099999999999999</v>
      </c>
      <c r="F273">
        <v>19718801.800000001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-0.3060730704089053</v>
      </c>
      <c r="Q273">
        <f t="shared" si="965"/>
        <v>-6035394.2117106486</v>
      </c>
      <c r="R273">
        <f t="shared" si="966"/>
        <v>-1163483877.3681855</v>
      </c>
      <c r="S273">
        <f t="shared" si="967"/>
        <v>-11634.838773681855</v>
      </c>
      <c r="T273">
        <f t="shared" si="968"/>
        <v>-11.634838773681855</v>
      </c>
    </row>
    <row r="274" spans="1:20" x14ac:dyDescent="0.25">
      <c r="A274" s="5">
        <v>44319</v>
      </c>
      <c r="B274">
        <v>0.33779999999999999</v>
      </c>
      <c r="C274">
        <v>0.35499999999999998</v>
      </c>
      <c r="D274">
        <v>0.32619999999999999</v>
      </c>
      <c r="E274">
        <v>0.32784000000000002</v>
      </c>
      <c r="F274">
        <v>19767576.699999999</v>
      </c>
      <c r="G274">
        <v>0</v>
      </c>
      <c r="L274" t="s">
        <v>8</v>
      </c>
      <c r="M274" t="s">
        <v>7</v>
      </c>
      <c r="N274" t="s">
        <v>7</v>
      </c>
      <c r="P274">
        <f t="shared" si="964"/>
        <v>-0.88611111111110896</v>
      </c>
      <c r="Q274">
        <f t="shared" si="965"/>
        <v>-17516269.353611067</v>
      </c>
      <c r="R274">
        <f t="shared" si="966"/>
        <v>-1157448483.1564748</v>
      </c>
      <c r="S274">
        <f t="shared" si="967"/>
        <v>-11574.484831564749</v>
      </c>
      <c r="T274">
        <f t="shared" si="968"/>
        <v>-11.574484831564749</v>
      </c>
    </row>
    <row r="275" spans="1:20" x14ac:dyDescent="0.25">
      <c r="A275" s="5">
        <v>44318</v>
      </c>
      <c r="B275">
        <v>0.34942000000000001</v>
      </c>
      <c r="C275">
        <v>0.35205999999999998</v>
      </c>
      <c r="D275">
        <v>0.31794</v>
      </c>
      <c r="E275">
        <v>0.33789999999999998</v>
      </c>
      <c r="F275">
        <v>23036595.100000001</v>
      </c>
      <c r="G275">
        <v>0</v>
      </c>
      <c r="L275" t="s">
        <v>7</v>
      </c>
      <c r="M275" t="s">
        <v>7</v>
      </c>
      <c r="N275" t="s">
        <v>7</v>
      </c>
      <c r="P275">
        <f t="shared" si="964"/>
        <v>0.1699882766705737</v>
      </c>
      <c r="Q275">
        <f t="shared" si="965"/>
        <v>3915951.1014067829</v>
      </c>
      <c r="R275">
        <f t="shared" si="966"/>
        <v>-1139932213.8028638</v>
      </c>
      <c r="S275">
        <f t="shared" si="967"/>
        <v>-11399.322138028638</v>
      </c>
      <c r="T275">
        <f t="shared" si="968"/>
        <v>-11.399322138028637</v>
      </c>
    </row>
    <row r="276" spans="1:20" x14ac:dyDescent="0.25">
      <c r="A276" s="5">
        <v>44317</v>
      </c>
      <c r="B276">
        <v>0.32905000000000001</v>
      </c>
      <c r="C276">
        <v>0.49</v>
      </c>
      <c r="D276">
        <v>0.32427</v>
      </c>
      <c r="E276">
        <v>0.35024</v>
      </c>
      <c r="F276">
        <v>149392767.19999999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-0.68659868460749418</v>
      </c>
      <c r="Q276">
        <f t="shared" si="965"/>
        <v>-102572877.4493936</v>
      </c>
      <c r="R276">
        <f t="shared" si="966"/>
        <v>-1143848164.9042706</v>
      </c>
      <c r="S276">
        <f t="shared" si="967"/>
        <v>-11438.481649042706</v>
      </c>
      <c r="T276">
        <f t="shared" si="968"/>
        <v>-11.438481649042705</v>
      </c>
    </row>
    <row r="277" spans="1:20" x14ac:dyDescent="0.25">
      <c r="A277" s="5">
        <v>44316</v>
      </c>
      <c r="B277">
        <v>0.29720000000000002</v>
      </c>
      <c r="C277">
        <v>0.34460000000000002</v>
      </c>
      <c r="D277">
        <v>0.29088000000000003</v>
      </c>
      <c r="E277">
        <v>0.32940000000000003</v>
      </c>
      <c r="F277">
        <v>35483469.399999999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0.43410275502606127</v>
      </c>
      <c r="Q277">
        <f t="shared" si="965"/>
        <v>15403471.824422941</v>
      </c>
      <c r="R277">
        <f t="shared" si="966"/>
        <v>-1041275287.4548771</v>
      </c>
      <c r="S277">
        <f t="shared" si="967"/>
        <v>-10412.752874548771</v>
      </c>
      <c r="T277">
        <f t="shared" si="968"/>
        <v>-10.412752874548771</v>
      </c>
    </row>
    <row r="278" spans="1:20" x14ac:dyDescent="0.25">
      <c r="A278" s="5">
        <v>44315</v>
      </c>
      <c r="B278">
        <v>0.29043999999999998</v>
      </c>
      <c r="C278">
        <v>0.30752000000000002</v>
      </c>
      <c r="D278">
        <v>0.27783999999999998</v>
      </c>
      <c r="E278">
        <v>0.29719000000000001</v>
      </c>
      <c r="F278">
        <v>15161938.6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0.3039083557951488</v>
      </c>
      <c r="Q278">
        <f t="shared" si="965"/>
        <v>4607839.8305930002</v>
      </c>
      <c r="R278">
        <f t="shared" si="966"/>
        <v>-1056678759.2793001</v>
      </c>
      <c r="S278">
        <f t="shared" si="967"/>
        <v>-10566.787592793002</v>
      </c>
      <c r="T278">
        <f t="shared" si="968"/>
        <v>-10.566787592793002</v>
      </c>
    </row>
    <row r="279" spans="1:20" x14ac:dyDescent="0.25">
      <c r="A279" s="5">
        <v>44314</v>
      </c>
      <c r="B279">
        <v>0.29937999999999998</v>
      </c>
      <c r="C279">
        <v>0.30377999999999999</v>
      </c>
      <c r="D279">
        <v>0.28299999999999997</v>
      </c>
      <c r="E279">
        <v>0.29043999999999998</v>
      </c>
      <c r="F279">
        <v>16841287.699999999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-0.28392685274302265</v>
      </c>
      <c r="Q279">
        <f t="shared" si="965"/>
        <v>-4781693.8128007781</v>
      </c>
      <c r="R279">
        <f t="shared" si="966"/>
        <v>-1061286599.1098931</v>
      </c>
      <c r="S279">
        <f t="shared" si="967"/>
        <v>-10612.86599109893</v>
      </c>
      <c r="T279">
        <f t="shared" si="968"/>
        <v>-10.61286599109893</v>
      </c>
    </row>
    <row r="280" spans="1:20" x14ac:dyDescent="0.25">
      <c r="A280" s="5">
        <v>44313</v>
      </c>
      <c r="B280">
        <v>0.28982999999999998</v>
      </c>
      <c r="C280">
        <v>0.31874999999999998</v>
      </c>
      <c r="D280">
        <v>0.28527000000000002</v>
      </c>
      <c r="E280">
        <v>0.29937999999999998</v>
      </c>
      <c r="F280">
        <v>19405968.699999999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-0.15710872162485215</v>
      </c>
      <c r="Q280">
        <f t="shared" si="965"/>
        <v>-3048846.9343488938</v>
      </c>
      <c r="R280">
        <f t="shared" si="966"/>
        <v>-1056504905.2970923</v>
      </c>
      <c r="S280">
        <f t="shared" si="967"/>
        <v>-10565.049052970924</v>
      </c>
      <c r="T280">
        <f t="shared" si="968"/>
        <v>-10.565049052970924</v>
      </c>
    </row>
    <row r="281" spans="1:20" x14ac:dyDescent="0.25">
      <c r="A281" s="5">
        <v>44312</v>
      </c>
      <c r="B281">
        <v>0.25983000000000001</v>
      </c>
      <c r="C281">
        <v>0.30398999999999998</v>
      </c>
      <c r="D281">
        <v>0.25483</v>
      </c>
      <c r="E281">
        <v>0.29004000000000002</v>
      </c>
      <c r="F281">
        <v>21293819.899999999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0.43246541903987112</v>
      </c>
      <c r="Q281">
        <f t="shared" si="965"/>
        <v>9208840.7460130453</v>
      </c>
      <c r="R281">
        <f t="shared" si="966"/>
        <v>-1053456058.3627434</v>
      </c>
      <c r="S281">
        <f t="shared" si="967"/>
        <v>-10534.560583627434</v>
      </c>
      <c r="T281">
        <f t="shared" si="968"/>
        <v>-10.534560583627433</v>
      </c>
    </row>
    <row r="282" spans="1:20" x14ac:dyDescent="0.25">
      <c r="A282" s="5">
        <v>44311</v>
      </c>
      <c r="B282">
        <v>0.25094</v>
      </c>
      <c r="C282">
        <v>0.27646999999999999</v>
      </c>
      <c r="D282">
        <v>0.23665</v>
      </c>
      <c r="E282">
        <v>0.25986999999999999</v>
      </c>
      <c r="F282">
        <v>14106077.1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0.16624811652435931</v>
      </c>
      <c r="Q282">
        <f t="shared" si="965"/>
        <v>2345108.7494223965</v>
      </c>
      <c r="R282">
        <f t="shared" si="966"/>
        <v>-1062664899.1087564</v>
      </c>
      <c r="S282">
        <f t="shared" si="967"/>
        <v>-10626.648991087564</v>
      </c>
      <c r="T282">
        <f t="shared" si="968"/>
        <v>-10.626648991087565</v>
      </c>
    </row>
    <row r="283" spans="1:20" x14ac:dyDescent="0.25">
      <c r="A283" s="5">
        <v>44310</v>
      </c>
      <c r="B283">
        <v>0.27464</v>
      </c>
      <c r="C283">
        <v>0.29236000000000001</v>
      </c>
      <c r="D283">
        <v>0.24740999999999999</v>
      </c>
      <c r="E283">
        <v>0.25095000000000001</v>
      </c>
      <c r="F283">
        <v>22210294.800000001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-0.8424916573971073</v>
      </c>
      <c r="Q283">
        <f t="shared" si="965"/>
        <v>-18711988.077330355</v>
      </c>
      <c r="R283">
        <f t="shared" si="966"/>
        <v>-1065010007.8581789</v>
      </c>
      <c r="S283">
        <f t="shared" si="967"/>
        <v>-10650.100078581789</v>
      </c>
      <c r="T283">
        <f t="shared" si="968"/>
        <v>-10.650100078581788</v>
      </c>
    </row>
    <row r="284" spans="1:20" x14ac:dyDescent="0.25">
      <c r="A284" s="5">
        <v>44309</v>
      </c>
      <c r="B284">
        <v>0.28183000000000002</v>
      </c>
      <c r="C284">
        <v>0.29709999999999998</v>
      </c>
      <c r="D284">
        <v>0.2198</v>
      </c>
      <c r="E284">
        <v>0.27501999999999999</v>
      </c>
      <c r="F284">
        <v>35499204.5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0.4287192755498061</v>
      </c>
      <c r="Q284">
        <f t="shared" si="965"/>
        <v>15219193.235834416</v>
      </c>
      <c r="R284">
        <f t="shared" si="966"/>
        <v>-1046298019.7808485</v>
      </c>
      <c r="S284">
        <f t="shared" si="967"/>
        <v>-10462.980197808485</v>
      </c>
      <c r="T284">
        <f t="shared" si="968"/>
        <v>-10.462980197808486</v>
      </c>
    </row>
    <row r="285" spans="1:20" x14ac:dyDescent="0.25">
      <c r="A285" s="5">
        <v>44308</v>
      </c>
      <c r="B285">
        <v>0.31001000000000001</v>
      </c>
      <c r="C285">
        <v>0.31696999999999997</v>
      </c>
      <c r="D285">
        <v>0.26251999999999998</v>
      </c>
      <c r="E285">
        <v>0.28172000000000003</v>
      </c>
      <c r="F285">
        <v>30082987.199999999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-0.29476584022038382</v>
      </c>
      <c r="Q285">
        <f t="shared" si="965"/>
        <v>-8867436.9983470514</v>
      </c>
      <c r="R285">
        <f t="shared" si="966"/>
        <v>-1061517213.0166829</v>
      </c>
      <c r="S285">
        <f t="shared" si="967"/>
        <v>-10615.172130166829</v>
      </c>
      <c r="T285">
        <f t="shared" si="968"/>
        <v>-10.61517213016683</v>
      </c>
    </row>
    <row r="286" spans="1:20" x14ac:dyDescent="0.25">
      <c r="A286" s="5">
        <v>44307</v>
      </c>
      <c r="B286">
        <v>0.34320000000000001</v>
      </c>
      <c r="C286">
        <v>0.34599999999999997</v>
      </c>
      <c r="D286">
        <v>0.30193999999999999</v>
      </c>
      <c r="E286">
        <v>0.31002999999999997</v>
      </c>
      <c r="F286">
        <v>40551620.299999997</v>
      </c>
      <c r="G286">
        <v>0</v>
      </c>
      <c r="L286" t="s">
        <v>7</v>
      </c>
      <c r="M286" t="s">
        <v>7</v>
      </c>
      <c r="N286" t="s">
        <v>7</v>
      </c>
      <c r="P286">
        <f t="shared" si="964"/>
        <v>-0.63277349069450806</v>
      </c>
      <c r="Q286">
        <f t="shared" si="965"/>
        <v>-25659990.330549274</v>
      </c>
      <c r="R286">
        <f t="shared" si="966"/>
        <v>-1052649776.0183358</v>
      </c>
      <c r="S286">
        <f t="shared" si="967"/>
        <v>-10526.497760183358</v>
      </c>
      <c r="T286">
        <f t="shared" si="968"/>
        <v>-10.526497760183357</v>
      </c>
    </row>
    <row r="287" spans="1:20" x14ac:dyDescent="0.25">
      <c r="A287" s="5">
        <v>44306</v>
      </c>
      <c r="B287">
        <v>0.36770000000000003</v>
      </c>
      <c r="C287">
        <v>0.37168000000000001</v>
      </c>
      <c r="D287">
        <v>0.31458000000000003</v>
      </c>
      <c r="E287">
        <v>0.34317999999999999</v>
      </c>
      <c r="F287">
        <v>93071687.099999994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1.7513134851126707E-3</v>
      </c>
      <c r="Q287">
        <f t="shared" si="965"/>
        <v>162997.70070041699</v>
      </c>
      <c r="R287">
        <f t="shared" si="966"/>
        <v>-1026989785.6877866</v>
      </c>
      <c r="S287">
        <f t="shared" si="967"/>
        <v>-10269.897856877866</v>
      </c>
      <c r="T287">
        <f t="shared" si="968"/>
        <v>-10.269897856877865</v>
      </c>
    </row>
    <row r="288" spans="1:20" x14ac:dyDescent="0.25">
      <c r="A288" s="5">
        <v>44305</v>
      </c>
      <c r="B288">
        <v>0.30547999999999997</v>
      </c>
      <c r="C288">
        <v>0.51</v>
      </c>
      <c r="D288">
        <v>0.29599999999999999</v>
      </c>
      <c r="E288">
        <v>0.36839</v>
      </c>
      <c r="F288">
        <v>472737898.80000001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-0.32345794392523364</v>
      </c>
      <c r="Q288">
        <f t="shared" si="965"/>
        <v>-152910828.76138318</v>
      </c>
      <c r="R288">
        <f t="shared" si="966"/>
        <v>-1027152783.388487</v>
      </c>
      <c r="S288">
        <f t="shared" si="967"/>
        <v>-10271.527833884869</v>
      </c>
      <c r="T288">
        <f t="shared" si="968"/>
        <v>-10.271527833884869</v>
      </c>
    </row>
    <row r="289" spans="1:20" x14ac:dyDescent="0.25">
      <c r="A289" s="5">
        <v>44304</v>
      </c>
      <c r="B289">
        <v>0.35660999999999998</v>
      </c>
      <c r="C289">
        <v>0.35924</v>
      </c>
      <c r="D289">
        <v>0.26</v>
      </c>
      <c r="E289">
        <v>0.30554999999999999</v>
      </c>
      <c r="F289">
        <v>40243442.799999997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-8.2023377670294606E-2</v>
      </c>
      <c r="Q289">
        <f t="shared" si="965"/>
        <v>-3300903.107537298</v>
      </c>
      <c r="R289">
        <f t="shared" si="966"/>
        <v>-874241954.62710381</v>
      </c>
      <c r="S289">
        <f t="shared" si="967"/>
        <v>-8742.4195462710377</v>
      </c>
      <c r="T289">
        <f t="shared" si="968"/>
        <v>-8.7424195462710372</v>
      </c>
    </row>
    <row r="290" spans="1:20" x14ac:dyDescent="0.25">
      <c r="A290" s="5">
        <v>44303</v>
      </c>
      <c r="B290">
        <v>0.33141999999999999</v>
      </c>
      <c r="C290">
        <v>0.39500000000000002</v>
      </c>
      <c r="D290">
        <v>0.31646000000000002</v>
      </c>
      <c r="E290">
        <v>0.35660999999999998</v>
      </c>
      <c r="F290">
        <v>93109726.200000003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2.2408963585433261E-2</v>
      </c>
      <c r="Q290">
        <f t="shared" si="965"/>
        <v>2086492.4638654613</v>
      </c>
      <c r="R290">
        <f t="shared" si="966"/>
        <v>-870941051.51956654</v>
      </c>
      <c r="S290">
        <f t="shared" si="967"/>
        <v>-8709.4105151956646</v>
      </c>
      <c r="T290">
        <f t="shared" si="968"/>
        <v>-8.709410515195664</v>
      </c>
    </row>
    <row r="291" spans="1:20" x14ac:dyDescent="0.25">
      <c r="A291" s="5">
        <v>44302</v>
      </c>
      <c r="B291">
        <v>0.32777000000000001</v>
      </c>
      <c r="C291">
        <v>0.33872000000000002</v>
      </c>
      <c r="D291">
        <v>0.30437999999999998</v>
      </c>
      <c r="E291">
        <v>0.33143</v>
      </c>
      <c r="F291">
        <v>32334602.899999999</v>
      </c>
      <c r="G291">
        <v>0</v>
      </c>
      <c r="L291" t="s">
        <v>7</v>
      </c>
      <c r="M291" t="s">
        <v>8</v>
      </c>
      <c r="N291" t="s">
        <v>7</v>
      </c>
      <c r="P291">
        <f t="shared" si="964"/>
        <v>0.57542224810716303</v>
      </c>
      <c r="Q291">
        <f t="shared" si="965"/>
        <v>18606049.892370392</v>
      </c>
      <c r="R291">
        <f t="shared" si="966"/>
        <v>-873027543.98343205</v>
      </c>
      <c r="S291">
        <f t="shared" si="967"/>
        <v>-8730.2754398343204</v>
      </c>
      <c r="T291">
        <f t="shared" si="968"/>
        <v>-8.7302754398343207</v>
      </c>
    </row>
    <row r="292" spans="1:20" x14ac:dyDescent="0.25">
      <c r="A292" s="5">
        <v>44301</v>
      </c>
      <c r="B292">
        <v>0.30435000000000001</v>
      </c>
      <c r="C292">
        <v>0.35</v>
      </c>
      <c r="D292">
        <v>0.30142000000000002</v>
      </c>
      <c r="E292">
        <v>0.32785999999999998</v>
      </c>
      <c r="F292">
        <v>39386456.200000003</v>
      </c>
      <c r="G292">
        <v>0</v>
      </c>
      <c r="L292" t="s">
        <v>8</v>
      </c>
      <c r="M292" t="s">
        <v>8</v>
      </c>
      <c r="N292" t="s">
        <v>7</v>
      </c>
      <c r="P292">
        <f t="shared" si="964"/>
        <v>8.8513791683819981E-2</v>
      </c>
      <c r="Q292">
        <f t="shared" si="965"/>
        <v>3486244.5792507003</v>
      </c>
      <c r="R292">
        <f t="shared" si="966"/>
        <v>-891633593.8758024</v>
      </c>
      <c r="S292">
        <f t="shared" si="967"/>
        <v>-8916.335938758024</v>
      </c>
      <c r="T292">
        <f t="shared" si="968"/>
        <v>-8.9163359387580243</v>
      </c>
    </row>
    <row r="293" spans="1:20" x14ac:dyDescent="0.25">
      <c r="A293" s="5">
        <v>44300</v>
      </c>
      <c r="B293">
        <v>0.30337999999999998</v>
      </c>
      <c r="C293">
        <v>0.32904</v>
      </c>
      <c r="D293">
        <v>0.29651</v>
      </c>
      <c r="E293">
        <v>0.30431999999999998</v>
      </c>
      <c r="F293">
        <v>25989172.699999999</v>
      </c>
      <c r="G293">
        <v>0</v>
      </c>
      <c r="L293" t="s">
        <v>8</v>
      </c>
      <c r="M293" t="s">
        <v>8</v>
      </c>
      <c r="N293" t="s">
        <v>7</v>
      </c>
      <c r="P293">
        <f t="shared" si="964"/>
        <v>-0.51982785121426478</v>
      </c>
      <c r="Q293">
        <f t="shared" si="965"/>
        <v>-13509895.799477432</v>
      </c>
      <c r="R293">
        <f t="shared" si="966"/>
        <v>-895119838.45505309</v>
      </c>
      <c r="S293">
        <f t="shared" si="967"/>
        <v>-8951.198384550531</v>
      </c>
      <c r="T293">
        <f t="shared" si="968"/>
        <v>-8.9511983845505316</v>
      </c>
    </row>
    <row r="294" spans="1:20" x14ac:dyDescent="0.25">
      <c r="A294" s="5">
        <v>44299</v>
      </c>
      <c r="B294">
        <v>0.30396000000000001</v>
      </c>
      <c r="C294">
        <v>0.31664999999999999</v>
      </c>
      <c r="D294">
        <v>0.29457</v>
      </c>
      <c r="E294">
        <v>0.30280000000000001</v>
      </c>
      <c r="F294">
        <v>14211444.699999999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-0.25452898550724462</v>
      </c>
      <c r="Q294">
        <f t="shared" si="965"/>
        <v>-3617224.6020833082</v>
      </c>
      <c r="R294">
        <f t="shared" si="966"/>
        <v>-881609942.65557563</v>
      </c>
      <c r="S294">
        <f t="shared" si="967"/>
        <v>-8816.0994265557565</v>
      </c>
      <c r="T294">
        <f t="shared" si="968"/>
        <v>-8.8160994265557573</v>
      </c>
    </row>
    <row r="295" spans="1:20" x14ac:dyDescent="0.25">
      <c r="A295" s="5">
        <v>44298</v>
      </c>
      <c r="B295">
        <v>0.29920999999999998</v>
      </c>
      <c r="C295">
        <v>0.31829000000000002</v>
      </c>
      <c r="D295">
        <v>0.29249999999999998</v>
      </c>
      <c r="E295">
        <v>0.30397000000000002</v>
      </c>
      <c r="F295">
        <v>18626308.5</v>
      </c>
      <c r="G295">
        <v>0</v>
      </c>
      <c r="L295" t="s">
        <v>8</v>
      </c>
      <c r="M295" t="s">
        <v>7</v>
      </c>
      <c r="N295" t="s">
        <v>7</v>
      </c>
      <c r="P295">
        <f t="shared" si="964"/>
        <v>-0.11050794881736951</v>
      </c>
      <c r="Q295">
        <f t="shared" si="965"/>
        <v>-2058355.1463745348</v>
      </c>
      <c r="R295">
        <f t="shared" si="966"/>
        <v>-877992718.05349231</v>
      </c>
      <c r="S295">
        <f t="shared" si="967"/>
        <v>-8779.9271805349235</v>
      </c>
      <c r="T295">
        <f t="shared" si="968"/>
        <v>-8.7799271805349228</v>
      </c>
    </row>
    <row r="296" spans="1:20" x14ac:dyDescent="0.25">
      <c r="A296" s="5">
        <v>44297</v>
      </c>
      <c r="B296">
        <v>0.29463</v>
      </c>
      <c r="C296">
        <v>0.31156</v>
      </c>
      <c r="D296">
        <v>0.29285</v>
      </c>
      <c r="E296">
        <v>0.29923</v>
      </c>
      <c r="F296">
        <v>9066975.5999999996</v>
      </c>
      <c r="G296">
        <v>0</v>
      </c>
      <c r="L296" t="s">
        <v>8</v>
      </c>
      <c r="M296" t="s">
        <v>7</v>
      </c>
      <c r="N296" t="s">
        <v>7</v>
      </c>
      <c r="P296">
        <f t="shared" si="964"/>
        <v>-0.31801175841795881</v>
      </c>
      <c r="Q296">
        <f t="shared" si="965"/>
        <v>-2883404.8540887269</v>
      </c>
      <c r="R296">
        <f t="shared" si="966"/>
        <v>-875934362.90711772</v>
      </c>
      <c r="S296">
        <f t="shared" si="967"/>
        <v>-8759.3436290711779</v>
      </c>
      <c r="T296">
        <f t="shared" si="968"/>
        <v>-8.7593436290711786</v>
      </c>
    </row>
    <row r="297" spans="1:20" x14ac:dyDescent="0.25">
      <c r="A297" s="5">
        <v>44296</v>
      </c>
      <c r="B297">
        <v>0.29291</v>
      </c>
      <c r="C297">
        <v>0.30921999999999999</v>
      </c>
      <c r="D297">
        <v>0.28875000000000001</v>
      </c>
      <c r="E297">
        <v>0.29474</v>
      </c>
      <c r="F297">
        <v>10664258.699999999</v>
      </c>
      <c r="G297">
        <v>0</v>
      </c>
      <c r="L297" t="s">
        <v>7</v>
      </c>
      <c r="M297" t="s">
        <v>7</v>
      </c>
      <c r="N297" t="s">
        <v>7</v>
      </c>
      <c r="P297">
        <f t="shared" si="964"/>
        <v>-0.41475329750854922</v>
      </c>
      <c r="Q297">
        <f t="shared" si="965"/>
        <v>-4423036.4613092337</v>
      </c>
      <c r="R297">
        <f t="shared" si="966"/>
        <v>-873050958.05302894</v>
      </c>
      <c r="S297">
        <f t="shared" si="967"/>
        <v>-8730.5095805302899</v>
      </c>
      <c r="T297">
        <f t="shared" si="968"/>
        <v>-8.7305095805302901</v>
      </c>
    </row>
    <row r="298" spans="1:20" x14ac:dyDescent="0.25">
      <c r="A298" s="5">
        <v>44295</v>
      </c>
      <c r="B298">
        <v>0.30142000000000002</v>
      </c>
      <c r="C298">
        <v>0.30660999999999999</v>
      </c>
      <c r="D298">
        <v>0.29108000000000001</v>
      </c>
      <c r="E298">
        <v>0.29291</v>
      </c>
      <c r="F298">
        <v>9091427</v>
      </c>
      <c r="G298">
        <v>0</v>
      </c>
      <c r="L298" t="s">
        <v>7</v>
      </c>
      <c r="M298" t="s">
        <v>7</v>
      </c>
      <c r="N298" t="s">
        <v>7</v>
      </c>
      <c r="P298">
        <f t="shared" si="964"/>
        <v>-0.76432710882163557</v>
      </c>
      <c r="Q298">
        <f t="shared" si="965"/>
        <v>-6948824.1139729554</v>
      </c>
      <c r="R298">
        <f t="shared" si="966"/>
        <v>-868627921.59171975</v>
      </c>
      <c r="S298">
        <f t="shared" si="967"/>
        <v>-8686.2792159171968</v>
      </c>
      <c r="T298">
        <f t="shared" si="968"/>
        <v>-8.686279215917196</v>
      </c>
    </row>
    <row r="299" spans="1:20" x14ac:dyDescent="0.25">
      <c r="A299" s="5">
        <v>44294</v>
      </c>
      <c r="B299">
        <v>0.28495999999999999</v>
      </c>
      <c r="C299">
        <v>0.31128</v>
      </c>
      <c r="D299">
        <v>0.28243000000000001</v>
      </c>
      <c r="E299">
        <v>0.3014</v>
      </c>
      <c r="F299">
        <v>7843539.9000000004</v>
      </c>
      <c r="G299">
        <v>0</v>
      </c>
      <c r="L299" t="s">
        <v>8</v>
      </c>
      <c r="M299" t="s">
        <v>7</v>
      </c>
      <c r="N299" t="s">
        <v>7</v>
      </c>
      <c r="P299">
        <f t="shared" si="964"/>
        <v>0.31507798960138617</v>
      </c>
      <c r="Q299">
        <f t="shared" si="965"/>
        <v>2471326.7830502577</v>
      </c>
      <c r="R299">
        <f t="shared" si="966"/>
        <v>-861679097.47774684</v>
      </c>
      <c r="S299">
        <f t="shared" si="967"/>
        <v>-8616.7909747774684</v>
      </c>
      <c r="T299">
        <f t="shared" si="968"/>
        <v>-8.6167909747774676</v>
      </c>
    </row>
    <row r="300" spans="1:20" x14ac:dyDescent="0.25">
      <c r="A300" s="5">
        <v>44293</v>
      </c>
      <c r="B300">
        <v>0.31064999999999998</v>
      </c>
      <c r="C300">
        <v>0.31245000000000001</v>
      </c>
      <c r="D300">
        <v>0.27931</v>
      </c>
      <c r="E300">
        <v>0.28454000000000002</v>
      </c>
      <c r="F300">
        <v>11511136.9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-0.68436934218467038</v>
      </c>
      <c r="Q300">
        <f t="shared" si="965"/>
        <v>-7877869.1880506864</v>
      </c>
      <c r="R300">
        <f t="shared" si="966"/>
        <v>-864150424.26079714</v>
      </c>
      <c r="S300">
        <f t="shared" si="967"/>
        <v>-8641.5042426079708</v>
      </c>
      <c r="T300">
        <f t="shared" si="968"/>
        <v>-8.6415042426079705</v>
      </c>
    </row>
    <row r="301" spans="1:20" x14ac:dyDescent="0.25">
      <c r="A301" s="5">
        <v>44292</v>
      </c>
      <c r="B301">
        <v>0.31435000000000002</v>
      </c>
      <c r="C301">
        <v>0.33200000000000002</v>
      </c>
      <c r="D301">
        <v>0.30374000000000001</v>
      </c>
      <c r="E301">
        <v>0.31084000000000001</v>
      </c>
      <c r="F301">
        <v>15530947.199999999</v>
      </c>
      <c r="G301">
        <v>0</v>
      </c>
      <c r="L301" t="s">
        <v>8</v>
      </c>
      <c r="M301" t="s">
        <v>7</v>
      </c>
      <c r="N301" t="s">
        <v>7</v>
      </c>
      <c r="P301">
        <f t="shared" si="964"/>
        <v>-0.49752300070771455</v>
      </c>
      <c r="Q301">
        <f t="shared" si="965"/>
        <v>-7727003.4547770768</v>
      </c>
      <c r="R301">
        <f t="shared" si="966"/>
        <v>-856272555.07274652</v>
      </c>
      <c r="S301">
        <f t="shared" si="967"/>
        <v>-8562.7255507274658</v>
      </c>
      <c r="T301">
        <f t="shared" si="968"/>
        <v>-8.5627255507274658</v>
      </c>
    </row>
    <row r="302" spans="1:20" x14ac:dyDescent="0.25">
      <c r="A302" s="5">
        <v>44291</v>
      </c>
      <c r="B302">
        <v>0.31161</v>
      </c>
      <c r="C302">
        <v>0.31919999999999998</v>
      </c>
      <c r="D302">
        <v>0.29383999999999999</v>
      </c>
      <c r="E302">
        <v>0.31455</v>
      </c>
      <c r="F302">
        <v>14026807.4</v>
      </c>
      <c r="G302">
        <v>0</v>
      </c>
      <c r="L302" t="s">
        <v>8</v>
      </c>
      <c r="M302" t="s">
        <v>7</v>
      </c>
      <c r="N302" t="s">
        <v>7</v>
      </c>
      <c r="P302">
        <f t="shared" si="964"/>
        <v>0.63328075709779275</v>
      </c>
      <c r="Q302">
        <f t="shared" si="965"/>
        <v>8882907.2099369224</v>
      </c>
      <c r="R302">
        <f t="shared" si="966"/>
        <v>-848545551.61796939</v>
      </c>
      <c r="S302">
        <f t="shared" si="967"/>
        <v>-8485.4555161796943</v>
      </c>
      <c r="T302">
        <f t="shared" si="968"/>
        <v>-8.4854555161796945</v>
      </c>
    </row>
    <row r="303" spans="1:20" x14ac:dyDescent="0.25">
      <c r="A303" s="5">
        <v>44290</v>
      </c>
      <c r="B303">
        <v>0.29611999999999999</v>
      </c>
      <c r="C303">
        <v>0.31375999999999998</v>
      </c>
      <c r="D303">
        <v>0.29117999999999999</v>
      </c>
      <c r="E303">
        <v>0.31080999999999998</v>
      </c>
      <c r="F303">
        <v>10500360.4</v>
      </c>
      <c r="G303">
        <v>0</v>
      </c>
      <c r="L303" t="s">
        <v>7</v>
      </c>
      <c r="M303" t="s">
        <v>7</v>
      </c>
      <c r="N303" t="s">
        <v>7</v>
      </c>
      <c r="P303">
        <f t="shared" si="964"/>
        <v>0.73870682019486189</v>
      </c>
      <c r="Q303">
        <f t="shared" si="965"/>
        <v>7756687.8419840485</v>
      </c>
      <c r="R303">
        <f t="shared" si="966"/>
        <v>-857428458.82790637</v>
      </c>
      <c r="S303">
        <f t="shared" si="967"/>
        <v>-8574.2845882790643</v>
      </c>
      <c r="T303">
        <f t="shared" si="968"/>
        <v>-8.574284588279065</v>
      </c>
    </row>
    <row r="304" spans="1:20" x14ac:dyDescent="0.25">
      <c r="A304" s="5">
        <v>44289</v>
      </c>
      <c r="B304">
        <v>0.32267000000000001</v>
      </c>
      <c r="C304">
        <v>0.32357000000000002</v>
      </c>
      <c r="D304">
        <v>0.29500999999999999</v>
      </c>
      <c r="E304">
        <v>0.29613</v>
      </c>
      <c r="F304">
        <v>16604849.300000001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-0.92156862745097978</v>
      </c>
      <c r="Q304">
        <f t="shared" si="965"/>
        <v>-15302508.178431364</v>
      </c>
      <c r="R304">
        <f t="shared" si="966"/>
        <v>-865185146.6698904</v>
      </c>
      <c r="S304">
        <f t="shared" si="967"/>
        <v>-8651.8514666989049</v>
      </c>
      <c r="T304">
        <f t="shared" si="968"/>
        <v>-8.6518514666989041</v>
      </c>
    </row>
    <row r="305" spans="1:20" x14ac:dyDescent="0.25">
      <c r="A305" s="5">
        <v>44288</v>
      </c>
      <c r="B305">
        <v>0.28915999999999997</v>
      </c>
      <c r="C305">
        <v>0.34994999999999998</v>
      </c>
      <c r="D305">
        <v>0.28537000000000001</v>
      </c>
      <c r="E305">
        <v>0.32267000000000001</v>
      </c>
      <c r="F305">
        <v>35167483.700000003</v>
      </c>
      <c r="G305">
        <v>0</v>
      </c>
      <c r="L305" t="s">
        <v>8</v>
      </c>
      <c r="M305" t="s">
        <v>8</v>
      </c>
      <c r="N305" t="s">
        <v>7</v>
      </c>
      <c r="P305">
        <f t="shared" si="964"/>
        <v>0.15515639516878343</v>
      </c>
      <c r="Q305">
        <f t="shared" si="965"/>
        <v>5456459.9980489509</v>
      </c>
      <c r="R305">
        <f t="shared" si="966"/>
        <v>-849882638.49145901</v>
      </c>
      <c r="S305">
        <f t="shared" si="967"/>
        <v>-8498.8263849145897</v>
      </c>
      <c r="T305">
        <f t="shared" si="968"/>
        <v>-8.4988263849145902</v>
      </c>
    </row>
    <row r="306" spans="1:20" x14ac:dyDescent="0.25">
      <c r="A306" s="5">
        <v>44287</v>
      </c>
      <c r="B306">
        <v>0.29177999999999998</v>
      </c>
      <c r="C306">
        <v>0.29883999999999999</v>
      </c>
      <c r="D306">
        <v>0.26150000000000001</v>
      </c>
      <c r="E306">
        <v>0.28921000000000002</v>
      </c>
      <c r="F306">
        <v>10728406.5</v>
      </c>
      <c r="G306">
        <v>0</v>
      </c>
      <c r="L306" t="s">
        <v>7</v>
      </c>
      <c r="M306" t="s">
        <v>7</v>
      </c>
      <c r="N306" t="s">
        <v>7</v>
      </c>
      <c r="P306">
        <f t="shared" si="964"/>
        <v>0.48419925013390597</v>
      </c>
      <c r="Q306">
        <f t="shared" si="965"/>
        <v>5194686.3824317222</v>
      </c>
      <c r="R306">
        <f t="shared" si="966"/>
        <v>-855339098.48950791</v>
      </c>
      <c r="S306">
        <f t="shared" si="967"/>
        <v>-8553.3909848950789</v>
      </c>
      <c r="T306">
        <f t="shared" si="968"/>
        <v>-8.5533909848950795</v>
      </c>
    </row>
    <row r="307" spans="1:20" x14ac:dyDescent="0.25">
      <c r="A307" s="5">
        <v>44286</v>
      </c>
      <c r="B307">
        <v>0.30370999999999998</v>
      </c>
      <c r="C307">
        <v>0.31111</v>
      </c>
      <c r="D307">
        <v>0.28841</v>
      </c>
      <c r="E307">
        <v>0.29204000000000002</v>
      </c>
      <c r="F307">
        <v>11859252.9</v>
      </c>
      <c r="G307">
        <v>0</v>
      </c>
      <c r="L307" t="s">
        <v>7</v>
      </c>
      <c r="M307" t="s">
        <v>8</v>
      </c>
      <c r="N307" t="s">
        <v>7</v>
      </c>
      <c r="P307">
        <f t="shared" si="964"/>
        <v>-0.68017621145374252</v>
      </c>
      <c r="Q307">
        <f t="shared" si="965"/>
        <v>-8066381.7081938097</v>
      </c>
      <c r="R307">
        <f t="shared" si="966"/>
        <v>-860533784.87193966</v>
      </c>
      <c r="S307">
        <f t="shared" si="967"/>
        <v>-8605.3378487193968</v>
      </c>
      <c r="T307">
        <f t="shared" si="968"/>
        <v>-8.6053378487193974</v>
      </c>
    </row>
    <row r="308" spans="1:20" x14ac:dyDescent="0.25">
      <c r="A308" s="5">
        <v>44285</v>
      </c>
      <c r="B308">
        <v>0.30757000000000001</v>
      </c>
      <c r="C308">
        <v>0.31398999999999999</v>
      </c>
      <c r="D308">
        <v>0.30001</v>
      </c>
      <c r="E308">
        <v>0.30309000000000003</v>
      </c>
      <c r="F308">
        <v>10592058.1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-0.55937052932760678</v>
      </c>
      <c r="Q308">
        <f t="shared" si="965"/>
        <v>-5924885.1460657651</v>
      </c>
      <c r="R308">
        <f t="shared" si="966"/>
        <v>-852467403.16374588</v>
      </c>
      <c r="S308">
        <f t="shared" si="967"/>
        <v>-8524.674031637458</v>
      </c>
      <c r="T308">
        <f t="shared" si="968"/>
        <v>-8.5246740316374581</v>
      </c>
    </row>
    <row r="309" spans="1:20" x14ac:dyDescent="0.25">
      <c r="A309" s="5">
        <v>44284</v>
      </c>
      <c r="B309">
        <v>0.29542000000000002</v>
      </c>
      <c r="C309">
        <v>0.31730000000000003</v>
      </c>
      <c r="D309">
        <v>0.28687000000000001</v>
      </c>
      <c r="E309">
        <v>0.30778</v>
      </c>
      <c r="F309">
        <v>13294468</v>
      </c>
      <c r="G309">
        <v>0</v>
      </c>
      <c r="L309" t="s">
        <v>7</v>
      </c>
      <c r="M309" t="s">
        <v>8</v>
      </c>
      <c r="N309" t="s">
        <v>7</v>
      </c>
      <c r="P309">
        <f t="shared" si="964"/>
        <v>0.37430167597765202</v>
      </c>
      <c r="Q309">
        <f t="shared" si="965"/>
        <v>4976141.6536312634</v>
      </c>
      <c r="R309">
        <f t="shared" si="966"/>
        <v>-846542518.01768017</v>
      </c>
      <c r="S309">
        <f t="shared" si="967"/>
        <v>-8465.4251801768023</v>
      </c>
      <c r="T309">
        <f t="shared" si="968"/>
        <v>-8.465425180176803</v>
      </c>
    </row>
    <row r="310" spans="1:20" x14ac:dyDescent="0.25">
      <c r="A310" s="5">
        <v>44283</v>
      </c>
      <c r="B310">
        <v>0.27916999999999997</v>
      </c>
      <c r="C310">
        <v>0.33162000000000003</v>
      </c>
      <c r="D310">
        <v>0.27192</v>
      </c>
      <c r="E310">
        <v>0.29541000000000001</v>
      </c>
      <c r="F310">
        <v>30977190.5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-0.21306532663316588</v>
      </c>
      <c r="Q310">
        <f t="shared" si="965"/>
        <v>-6600165.2120603034</v>
      </c>
      <c r="R310">
        <f t="shared" si="966"/>
        <v>-851518659.67131138</v>
      </c>
      <c r="S310">
        <f t="shared" si="967"/>
        <v>-8515.1865967131143</v>
      </c>
      <c r="T310">
        <f t="shared" si="968"/>
        <v>-8.5151865967131144</v>
      </c>
    </row>
    <row r="311" spans="1:20" x14ac:dyDescent="0.25">
      <c r="A311" s="5">
        <v>44282</v>
      </c>
      <c r="B311">
        <v>0.28700999999999999</v>
      </c>
      <c r="C311">
        <v>0.29975000000000002</v>
      </c>
      <c r="D311">
        <v>0.27260000000000001</v>
      </c>
      <c r="E311">
        <v>0.27914</v>
      </c>
      <c r="F311">
        <v>17209850.300000001</v>
      </c>
      <c r="G311">
        <v>0</v>
      </c>
      <c r="L311" t="s">
        <v>8</v>
      </c>
      <c r="M311" t="s">
        <v>7</v>
      </c>
      <c r="N311" t="s">
        <v>7</v>
      </c>
      <c r="P311">
        <f t="shared" si="964"/>
        <v>-0.5182320441988959</v>
      </c>
      <c r="Q311">
        <f t="shared" si="965"/>
        <v>-8918695.9013259821</v>
      </c>
      <c r="R311">
        <f t="shared" si="966"/>
        <v>-844918494.45925105</v>
      </c>
      <c r="S311">
        <f t="shared" si="967"/>
        <v>-8449.1849445925109</v>
      </c>
      <c r="T311">
        <f t="shared" si="968"/>
        <v>-8.4491849445925116</v>
      </c>
    </row>
    <row r="312" spans="1:20" x14ac:dyDescent="0.25">
      <c r="A312" s="5">
        <v>44281</v>
      </c>
      <c r="B312">
        <v>0.27728999999999998</v>
      </c>
      <c r="C312">
        <v>0.29648000000000002</v>
      </c>
      <c r="D312">
        <v>0.26910000000000001</v>
      </c>
      <c r="E312">
        <v>0.28760000000000002</v>
      </c>
      <c r="F312">
        <v>23402589.800000001</v>
      </c>
      <c r="G312">
        <v>0</v>
      </c>
      <c r="L312" t="s">
        <v>7</v>
      </c>
      <c r="M312" t="s">
        <v>7</v>
      </c>
      <c r="N312" t="s">
        <v>7</v>
      </c>
      <c r="P312">
        <f t="shared" si="964"/>
        <v>0.35135135135135181</v>
      </c>
      <c r="Q312">
        <f t="shared" si="965"/>
        <v>8222531.5513513628</v>
      </c>
      <c r="R312">
        <f t="shared" si="966"/>
        <v>-835999798.55792511</v>
      </c>
      <c r="S312">
        <f t="shared" si="967"/>
        <v>-8359.9979855792517</v>
      </c>
      <c r="T312">
        <f t="shared" si="968"/>
        <v>-8.3599979855792519</v>
      </c>
    </row>
    <row r="313" spans="1:20" x14ac:dyDescent="0.25">
      <c r="A313" s="5">
        <v>44280</v>
      </c>
      <c r="B313">
        <v>0.30808999999999997</v>
      </c>
      <c r="C313">
        <v>0.31762000000000001</v>
      </c>
      <c r="D313">
        <v>0.27465000000000001</v>
      </c>
      <c r="E313">
        <v>0.27746999999999999</v>
      </c>
      <c r="F313">
        <v>12569459.699999999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-0.86874563649057535</v>
      </c>
      <c r="Q313">
        <f t="shared" si="965"/>
        <v>-10919663.267419135</v>
      </c>
      <c r="R313">
        <f t="shared" si="966"/>
        <v>-844222330.10927641</v>
      </c>
      <c r="S313">
        <f t="shared" si="967"/>
        <v>-8442.2233010927648</v>
      </c>
      <c r="T313">
        <f t="shared" si="968"/>
        <v>-8.4422233010927652</v>
      </c>
    </row>
    <row r="314" spans="1:20" x14ac:dyDescent="0.25">
      <c r="A314" s="5">
        <v>44279</v>
      </c>
      <c r="B314">
        <v>0.32656000000000002</v>
      </c>
      <c r="C314">
        <v>0.35572999999999999</v>
      </c>
      <c r="D314">
        <v>0.30579000000000001</v>
      </c>
      <c r="E314">
        <v>0.307</v>
      </c>
      <c r="F314">
        <v>9723788.8000000007</v>
      </c>
      <c r="G314">
        <v>0</v>
      </c>
      <c r="L314" t="s">
        <v>8</v>
      </c>
      <c r="M314" t="s">
        <v>7</v>
      </c>
      <c r="N314" t="s">
        <v>8</v>
      </c>
      <c r="P314">
        <f t="shared" si="964"/>
        <v>-0.95154185022026472</v>
      </c>
      <c r="Q314">
        <f t="shared" si="965"/>
        <v>-9252591.985903088</v>
      </c>
      <c r="R314">
        <f t="shared" si="966"/>
        <v>-833302666.84185731</v>
      </c>
      <c r="S314">
        <f t="shared" si="967"/>
        <v>-8333.0266684185735</v>
      </c>
      <c r="T314">
        <f t="shared" si="968"/>
        <v>-8.3330266684185741</v>
      </c>
    </row>
    <row r="315" spans="1:20" x14ac:dyDescent="0.25">
      <c r="A315" s="5">
        <v>44278</v>
      </c>
      <c r="B315">
        <v>0.32478000000000001</v>
      </c>
      <c r="C315">
        <v>0.35133999999999999</v>
      </c>
      <c r="D315">
        <v>0.30837999999999999</v>
      </c>
      <c r="E315">
        <v>0.32715</v>
      </c>
      <c r="F315">
        <v>8701407.3000000007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-0.12616387337057683</v>
      </c>
      <c r="Q315">
        <f t="shared" si="965"/>
        <v>-1097803.248743013</v>
      </c>
      <c r="R315">
        <f t="shared" si="966"/>
        <v>-824050074.85595417</v>
      </c>
      <c r="S315">
        <f t="shared" si="967"/>
        <v>-8240.5007485595415</v>
      </c>
      <c r="T315">
        <f t="shared" si="968"/>
        <v>-8.2405007485595423</v>
      </c>
    </row>
    <row r="316" spans="1:20" x14ac:dyDescent="0.25">
      <c r="A316" s="5">
        <v>44277</v>
      </c>
      <c r="B316">
        <v>0.35110000000000002</v>
      </c>
      <c r="C316">
        <v>0.36247000000000001</v>
      </c>
      <c r="D316">
        <v>0.31929000000000002</v>
      </c>
      <c r="E316">
        <v>0.32391999999999999</v>
      </c>
      <c r="F316">
        <v>10237841.6</v>
      </c>
      <c r="G316">
        <v>0</v>
      </c>
      <c r="L316" t="s">
        <v>8</v>
      </c>
      <c r="M316" t="s">
        <v>7</v>
      </c>
      <c r="N316" t="s">
        <v>8</v>
      </c>
      <c r="P316">
        <f t="shared" si="964"/>
        <v>-0.78554886521537892</v>
      </c>
      <c r="Q316">
        <f t="shared" si="965"/>
        <v>-8042324.8511347994</v>
      </c>
      <c r="R316">
        <f t="shared" si="966"/>
        <v>-822952271.60721111</v>
      </c>
      <c r="S316">
        <f t="shared" si="967"/>
        <v>-8229.5227160721115</v>
      </c>
      <c r="T316">
        <f t="shared" si="968"/>
        <v>-8.2295227160721112</v>
      </c>
    </row>
    <row r="317" spans="1:20" x14ac:dyDescent="0.25">
      <c r="A317" s="5">
        <v>44276</v>
      </c>
      <c r="B317">
        <v>0.32735999999999998</v>
      </c>
      <c r="C317">
        <v>0.36149999999999999</v>
      </c>
      <c r="D317">
        <v>0.31452999999999998</v>
      </c>
      <c r="E317">
        <v>0.35127000000000003</v>
      </c>
      <c r="F317">
        <v>12866441.4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0.56440281030445139</v>
      </c>
      <c r="Q317">
        <f t="shared" si="965"/>
        <v>7261855.6847775402</v>
      </c>
      <c r="R317">
        <f t="shared" si="966"/>
        <v>-814909946.75607634</v>
      </c>
      <c r="S317">
        <f t="shared" si="967"/>
        <v>-8149.0994675607635</v>
      </c>
      <c r="T317">
        <f t="shared" si="968"/>
        <v>-8.1490994675607631</v>
      </c>
    </row>
    <row r="318" spans="1:20" x14ac:dyDescent="0.25">
      <c r="A318" s="5">
        <v>44275</v>
      </c>
      <c r="B318">
        <v>0.34233999999999998</v>
      </c>
      <c r="C318">
        <v>0.37741000000000002</v>
      </c>
      <c r="D318">
        <v>0.32595000000000002</v>
      </c>
      <c r="E318">
        <v>0.32654</v>
      </c>
      <c r="F318">
        <v>28707245.5</v>
      </c>
      <c r="G318">
        <v>0</v>
      </c>
      <c r="L318" t="s">
        <v>7</v>
      </c>
      <c r="M318" t="s">
        <v>7</v>
      </c>
      <c r="N318" t="s">
        <v>8</v>
      </c>
      <c r="P318">
        <f t="shared" si="964"/>
        <v>-0.97706956859696936</v>
      </c>
      <c r="Q318">
        <f t="shared" si="965"/>
        <v>-28048975.97629229</v>
      </c>
      <c r="R318">
        <f t="shared" si="966"/>
        <v>-822171802.44085383</v>
      </c>
      <c r="S318">
        <f t="shared" si="967"/>
        <v>-8221.7180244085375</v>
      </c>
      <c r="T318">
        <f t="shared" si="968"/>
        <v>-8.2217180244085384</v>
      </c>
    </row>
    <row r="319" spans="1:20" x14ac:dyDescent="0.25">
      <c r="A319" s="5">
        <v>44274</v>
      </c>
      <c r="B319">
        <v>0.32385999999999998</v>
      </c>
      <c r="C319">
        <v>0.4</v>
      </c>
      <c r="D319">
        <v>0.31541000000000002</v>
      </c>
      <c r="E319">
        <v>0.34233999999999998</v>
      </c>
      <c r="F319">
        <v>59623876.399999999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-0.36328171178626423</v>
      </c>
      <c r="Q319">
        <f t="shared" si="965"/>
        <v>-21660263.88192464</v>
      </c>
      <c r="R319">
        <f t="shared" si="966"/>
        <v>-794122826.46456158</v>
      </c>
      <c r="S319">
        <f t="shared" si="967"/>
        <v>-7941.228264645616</v>
      </c>
      <c r="T319">
        <f t="shared" si="968"/>
        <v>-7.9412282646456163</v>
      </c>
    </row>
    <row r="320" spans="1:20" x14ac:dyDescent="0.25">
      <c r="A320" s="5">
        <v>44273</v>
      </c>
      <c r="B320">
        <v>0.30293999999999999</v>
      </c>
      <c r="C320">
        <v>0.33500000000000002</v>
      </c>
      <c r="D320">
        <v>0.29160000000000003</v>
      </c>
      <c r="E320">
        <v>0.32340999999999998</v>
      </c>
      <c r="F320">
        <v>21374143.100000001</v>
      </c>
      <c r="G320">
        <v>0</v>
      </c>
      <c r="L320" t="s">
        <v>7</v>
      </c>
      <c r="M320" t="s">
        <v>8</v>
      </c>
      <c r="N320" t="s">
        <v>8</v>
      </c>
      <c r="P320">
        <f t="shared" si="964"/>
        <v>0.46589861751151862</v>
      </c>
      <c r="Q320">
        <f t="shared" si="965"/>
        <v>9958183.7207833659</v>
      </c>
      <c r="R320">
        <f t="shared" si="966"/>
        <v>-772462562.58263695</v>
      </c>
      <c r="S320">
        <f t="shared" si="967"/>
        <v>-7724.6256258263693</v>
      </c>
      <c r="T320">
        <f t="shared" si="968"/>
        <v>-7.724625625826369</v>
      </c>
    </row>
    <row r="321" spans="1:20" x14ac:dyDescent="0.25">
      <c r="A321" s="5">
        <v>44272</v>
      </c>
      <c r="B321">
        <v>0.27501999999999999</v>
      </c>
      <c r="C321">
        <v>0.33500000000000002</v>
      </c>
      <c r="D321">
        <v>0.26768999999999998</v>
      </c>
      <c r="E321">
        <v>0.30298000000000003</v>
      </c>
      <c r="F321">
        <v>20534896.699999999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4.858119150200637E-2</v>
      </c>
      <c r="Q321">
        <f t="shared" si="965"/>
        <v>997609.74905661866</v>
      </c>
      <c r="R321">
        <f t="shared" si="966"/>
        <v>-782420746.30342031</v>
      </c>
      <c r="S321">
        <f t="shared" si="967"/>
        <v>-7824.2074630342031</v>
      </c>
      <c r="T321">
        <f t="shared" si="968"/>
        <v>-7.8242074630342033</v>
      </c>
    </row>
    <row r="322" spans="1:20" x14ac:dyDescent="0.25">
      <c r="A322" s="5">
        <v>44271</v>
      </c>
      <c r="B322">
        <v>0.28000000000000003</v>
      </c>
      <c r="C322">
        <v>0.28806999999999999</v>
      </c>
      <c r="D322">
        <v>0.26634000000000002</v>
      </c>
      <c r="E322">
        <v>0.27483999999999997</v>
      </c>
      <c r="F322">
        <v>8482999.6999999993</v>
      </c>
      <c r="G322">
        <v>0</v>
      </c>
      <c r="L322" t="s">
        <v>8</v>
      </c>
      <c r="M322" t="s">
        <v>7</v>
      </c>
      <c r="N322" t="s">
        <v>8</v>
      </c>
      <c r="P322">
        <f t="shared" si="964"/>
        <v>-0.21767142199724224</v>
      </c>
      <c r="Q322">
        <f t="shared" si="965"/>
        <v>-1846506.6075011792</v>
      </c>
      <c r="R322">
        <f t="shared" si="966"/>
        <v>-783418356.05247688</v>
      </c>
      <c r="S322">
        <f t="shared" si="967"/>
        <v>-7834.1835605247688</v>
      </c>
      <c r="T322">
        <f t="shared" si="968"/>
        <v>-7.8341835605247692</v>
      </c>
    </row>
    <row r="323" spans="1:20" x14ac:dyDescent="0.25">
      <c r="A323" s="5">
        <v>44270</v>
      </c>
      <c r="B323">
        <v>0.29343999999999998</v>
      </c>
      <c r="C323">
        <v>0.3009</v>
      </c>
      <c r="D323">
        <v>0.26416000000000001</v>
      </c>
      <c r="E323">
        <v>0.28000999999999998</v>
      </c>
      <c r="F323">
        <v>13307091.6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-0.13718018508437793</v>
      </c>
      <c r="Q323">
        <f t="shared" si="965"/>
        <v>-1825469.2886227709</v>
      </c>
      <c r="R323">
        <f t="shared" si="966"/>
        <v>-781571849.44497573</v>
      </c>
      <c r="S323">
        <f t="shared" si="967"/>
        <v>-7815.7184944497576</v>
      </c>
      <c r="T323">
        <f t="shared" si="968"/>
        <v>-7.815718494449758</v>
      </c>
    </row>
    <row r="324" spans="1:20" x14ac:dyDescent="0.25">
      <c r="A324" s="5">
        <v>44269</v>
      </c>
      <c r="B324">
        <v>0.29385</v>
      </c>
      <c r="C324">
        <v>0.34699999999999998</v>
      </c>
      <c r="D324">
        <v>0.28954999999999997</v>
      </c>
      <c r="E324">
        <v>0.29343999999999998</v>
      </c>
      <c r="F324">
        <v>25354010.300000001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-0.86457789382071348</v>
      </c>
      <c r="Q324">
        <f t="shared" si="965"/>
        <v>-21920516.825082678</v>
      </c>
      <c r="R324">
        <f t="shared" si="966"/>
        <v>-779746380.156353</v>
      </c>
      <c r="S324">
        <f t="shared" si="967"/>
        <v>-7797.4638015635301</v>
      </c>
      <c r="T324">
        <f t="shared" si="968"/>
        <v>-7.7974638015635298</v>
      </c>
    </row>
    <row r="325" spans="1:20" x14ac:dyDescent="0.25">
      <c r="A325" s="5">
        <v>44268</v>
      </c>
      <c r="B325">
        <v>0.26089000000000001</v>
      </c>
      <c r="C325">
        <v>0.34999000000000002</v>
      </c>
      <c r="D325">
        <v>0.25409999999999999</v>
      </c>
      <c r="E325">
        <v>0.29388999999999998</v>
      </c>
      <c r="F325">
        <v>26386895.899999999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-0.17009072896026742</v>
      </c>
      <c r="Q325">
        <f t="shared" si="965"/>
        <v>-4488166.3586296914</v>
      </c>
      <c r="R325">
        <f t="shared" si="966"/>
        <v>-757825863.33127034</v>
      </c>
      <c r="S325">
        <f t="shared" si="967"/>
        <v>-7578.2586333127038</v>
      </c>
      <c r="T325">
        <f t="shared" si="968"/>
        <v>-7.5782586333127036</v>
      </c>
    </row>
    <row r="326" spans="1:20" x14ac:dyDescent="0.25">
      <c r="A326" s="5">
        <v>44267</v>
      </c>
      <c r="B326">
        <v>0.26358999999999999</v>
      </c>
      <c r="C326">
        <v>0.27123000000000003</v>
      </c>
      <c r="D326">
        <v>0.24761</v>
      </c>
      <c r="E326">
        <v>0.26089000000000001</v>
      </c>
      <c r="F326">
        <v>14369818.199999999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0.12447078746824701</v>
      </c>
      <c r="Q326">
        <f t="shared" ref="Q326:Q389" si="970">F326*P326</f>
        <v>1788622.5871295477</v>
      </c>
      <c r="R326">
        <f t="shared" ref="R326:R389" si="971">R327+Q326</f>
        <v>-753337696.97264063</v>
      </c>
      <c r="S326">
        <f t="shared" ref="S326:S389" si="972">R326/100000</f>
        <v>-7533.3769697264061</v>
      </c>
      <c r="T326">
        <f t="shared" ref="T326:T389" si="973">S326/1000</f>
        <v>-7.5333769697264064</v>
      </c>
    </row>
    <row r="327" spans="1:20" x14ac:dyDescent="0.25">
      <c r="A327" s="5">
        <v>44266</v>
      </c>
      <c r="B327">
        <v>0.27304</v>
      </c>
      <c r="C327">
        <v>0.28999999999999998</v>
      </c>
      <c r="D327">
        <v>0.26100000000000001</v>
      </c>
      <c r="E327">
        <v>0.26351999999999998</v>
      </c>
      <c r="F327">
        <v>9784794.3000000007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-0.8262068965517263</v>
      </c>
      <c r="Q327">
        <f t="shared" si="970"/>
        <v>-8084264.532000022</v>
      </c>
      <c r="R327">
        <f t="shared" si="971"/>
        <v>-755126319.55977023</v>
      </c>
      <c r="S327">
        <f t="shared" si="972"/>
        <v>-7551.2631955977022</v>
      </c>
      <c r="T327">
        <f t="shared" si="973"/>
        <v>-7.5512631955977021</v>
      </c>
    </row>
    <row r="328" spans="1:20" x14ac:dyDescent="0.25">
      <c r="A328" s="5">
        <v>44265</v>
      </c>
      <c r="B328">
        <v>0.28954999999999997</v>
      </c>
      <c r="C328">
        <v>0.29399999999999998</v>
      </c>
      <c r="D328">
        <v>0.26806000000000002</v>
      </c>
      <c r="E328">
        <v>0.27315</v>
      </c>
      <c r="F328">
        <v>7126020.4000000004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-0.60755589822667766</v>
      </c>
      <c r="Q328">
        <f t="shared" si="970"/>
        <v>-4329455.7249036292</v>
      </c>
      <c r="R328">
        <f t="shared" si="971"/>
        <v>-747042055.02777016</v>
      </c>
      <c r="S328">
        <f t="shared" si="972"/>
        <v>-7470.4205502777013</v>
      </c>
      <c r="T328">
        <f t="shared" si="973"/>
        <v>-7.4704205502777015</v>
      </c>
    </row>
    <row r="329" spans="1:20" x14ac:dyDescent="0.25">
      <c r="A329" s="5">
        <v>44264</v>
      </c>
      <c r="B329">
        <v>0.27001999999999998</v>
      </c>
      <c r="C329">
        <v>0.29898000000000002</v>
      </c>
      <c r="D329">
        <v>0.26879999999999998</v>
      </c>
      <c r="E329">
        <v>0.28954999999999997</v>
      </c>
      <c r="F329">
        <v>10489085.699999999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0.37508283631543826</v>
      </c>
      <c r="Q329">
        <f t="shared" si="970"/>
        <v>3934276.0147117041</v>
      </c>
      <c r="R329">
        <f t="shared" si="971"/>
        <v>-742712599.30286658</v>
      </c>
      <c r="S329">
        <f t="shared" si="972"/>
        <v>-7427.125993028666</v>
      </c>
      <c r="T329">
        <f t="shared" si="973"/>
        <v>-7.4271259930286657</v>
      </c>
    </row>
    <row r="330" spans="1:20" x14ac:dyDescent="0.25">
      <c r="A330" s="5">
        <v>44263</v>
      </c>
      <c r="B330">
        <v>0.26268999999999998</v>
      </c>
      <c r="C330">
        <v>0.27145000000000002</v>
      </c>
      <c r="D330">
        <v>0.25448999999999999</v>
      </c>
      <c r="E330">
        <v>0.26973999999999998</v>
      </c>
      <c r="F330">
        <v>5036118.5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0.79834905660376865</v>
      </c>
      <c r="Q330">
        <f t="shared" si="970"/>
        <v>4020580.4534197864</v>
      </c>
      <c r="R330">
        <f t="shared" si="971"/>
        <v>-746646875.31757832</v>
      </c>
      <c r="S330">
        <f t="shared" si="972"/>
        <v>-7466.4687531757836</v>
      </c>
      <c r="T330">
        <f t="shared" si="973"/>
        <v>-7.4664687531757838</v>
      </c>
    </row>
    <row r="331" spans="1:20" x14ac:dyDescent="0.25">
      <c r="A331" s="5">
        <v>44262</v>
      </c>
      <c r="B331">
        <v>0.26200000000000001</v>
      </c>
      <c r="C331">
        <v>0.26722000000000001</v>
      </c>
      <c r="D331">
        <v>0.25641000000000003</v>
      </c>
      <c r="E331">
        <v>0.26239000000000001</v>
      </c>
      <c r="F331">
        <v>7521665.5999999996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0.10638297872340294</v>
      </c>
      <c r="Q331">
        <f t="shared" si="970"/>
        <v>800177.1914893518</v>
      </c>
      <c r="R331">
        <f t="shared" si="971"/>
        <v>-750667455.77099812</v>
      </c>
      <c r="S331">
        <f t="shared" si="972"/>
        <v>-7506.6745577099809</v>
      </c>
      <c r="T331">
        <f t="shared" si="973"/>
        <v>-7.5066745577099807</v>
      </c>
    </row>
    <row r="332" spans="1:20" x14ac:dyDescent="0.25">
      <c r="A332" s="5">
        <v>44261</v>
      </c>
      <c r="B332">
        <v>0.25945000000000001</v>
      </c>
      <c r="C332">
        <v>0.26662999999999998</v>
      </c>
      <c r="D332">
        <v>0.25380999999999998</v>
      </c>
      <c r="E332">
        <v>0.26196000000000003</v>
      </c>
      <c r="F332">
        <v>7679017.7000000002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0.27145085803432878</v>
      </c>
      <c r="Q332">
        <f t="shared" si="970"/>
        <v>2084475.9435257979</v>
      </c>
      <c r="R332">
        <f t="shared" si="971"/>
        <v>-751467632.96248746</v>
      </c>
      <c r="S332">
        <f t="shared" si="972"/>
        <v>-7514.6763296248746</v>
      </c>
      <c r="T332">
        <f t="shared" si="973"/>
        <v>-7.5146763296248746</v>
      </c>
    </row>
    <row r="333" spans="1:20" x14ac:dyDescent="0.25">
      <c r="A333" s="5">
        <v>44260</v>
      </c>
      <c r="B333">
        <v>0.27340999999999999</v>
      </c>
      <c r="C333">
        <v>0.28931000000000001</v>
      </c>
      <c r="D333">
        <v>0.24912000000000001</v>
      </c>
      <c r="E333">
        <v>0.25834000000000001</v>
      </c>
      <c r="F333">
        <v>10622146.800000001</v>
      </c>
      <c r="G333">
        <v>0</v>
      </c>
      <c r="L333" t="s">
        <v>7</v>
      </c>
      <c r="M333" t="s">
        <v>8</v>
      </c>
      <c r="N333" t="s">
        <v>8</v>
      </c>
      <c r="P333">
        <f t="shared" si="969"/>
        <v>-0.541179397860164</v>
      </c>
      <c r="Q333">
        <f t="shared" si="970"/>
        <v>-5748487.009206268</v>
      </c>
      <c r="R333">
        <f t="shared" si="971"/>
        <v>-753552108.90601325</v>
      </c>
      <c r="S333">
        <f t="shared" si="972"/>
        <v>-7535.5210890601329</v>
      </c>
      <c r="T333">
        <f t="shared" si="973"/>
        <v>-7.5355210890601327</v>
      </c>
    </row>
    <row r="334" spans="1:20" x14ac:dyDescent="0.25">
      <c r="A334" s="5">
        <v>44259</v>
      </c>
      <c r="B334">
        <v>0.2601</v>
      </c>
      <c r="C334">
        <v>0.28997000000000001</v>
      </c>
      <c r="D334">
        <v>0.25435999999999998</v>
      </c>
      <c r="E334">
        <v>0.27427000000000001</v>
      </c>
      <c r="F334">
        <v>12891356.6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0.11822521763549687</v>
      </c>
      <c r="Q334">
        <f t="shared" si="970"/>
        <v>1524083.4396517989</v>
      </c>
      <c r="R334">
        <f t="shared" si="971"/>
        <v>-747803621.89680696</v>
      </c>
      <c r="S334">
        <f t="shared" si="972"/>
        <v>-7478.03621896807</v>
      </c>
      <c r="T334">
        <f t="shared" si="973"/>
        <v>-7.4780362189680698</v>
      </c>
    </row>
    <row r="335" spans="1:20" x14ac:dyDescent="0.25">
      <c r="A335" s="5">
        <v>44258</v>
      </c>
      <c r="B335">
        <v>0.24589</v>
      </c>
      <c r="C335">
        <v>0.27128000000000002</v>
      </c>
      <c r="D335">
        <v>0.24318999999999999</v>
      </c>
      <c r="E335">
        <v>0.2601</v>
      </c>
      <c r="F335">
        <v>9297495.6999999993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0.20398718405126304</v>
      </c>
      <c r="Q335">
        <f t="shared" si="970"/>
        <v>1896569.9665717266</v>
      </c>
      <c r="R335">
        <f t="shared" si="971"/>
        <v>-749327705.3364588</v>
      </c>
      <c r="S335">
        <f t="shared" si="972"/>
        <v>-7493.277053364588</v>
      </c>
      <c r="T335">
        <f t="shared" si="973"/>
        <v>-7.4932770533645883</v>
      </c>
    </row>
    <row r="336" spans="1:20" x14ac:dyDescent="0.25">
      <c r="A336" s="5">
        <v>44257</v>
      </c>
      <c r="B336">
        <v>0.25147000000000003</v>
      </c>
      <c r="C336">
        <v>0.26717000000000002</v>
      </c>
      <c r="D336">
        <v>0.23880000000000001</v>
      </c>
      <c r="E336">
        <v>0.24648999999999999</v>
      </c>
      <c r="F336">
        <v>10405968.4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-0.45787804018329414</v>
      </c>
      <c r="Q336">
        <f t="shared" si="970"/>
        <v>-4764664.417201289</v>
      </c>
      <c r="R336">
        <f t="shared" si="971"/>
        <v>-751224275.30303049</v>
      </c>
      <c r="S336">
        <f t="shared" si="972"/>
        <v>-7512.2427530303048</v>
      </c>
      <c r="T336">
        <f t="shared" si="973"/>
        <v>-7.5122427530303044</v>
      </c>
    </row>
    <row r="337" spans="1:20" x14ac:dyDescent="0.25">
      <c r="A337" s="5">
        <v>44256</v>
      </c>
      <c r="B337">
        <v>0.2389</v>
      </c>
      <c r="C337">
        <v>0.25451000000000001</v>
      </c>
      <c r="D337">
        <v>0.23186000000000001</v>
      </c>
      <c r="E337">
        <v>0.25172</v>
      </c>
      <c r="F337">
        <v>8068858</v>
      </c>
      <c r="G337">
        <v>0</v>
      </c>
      <c r="L337" t="s">
        <v>8</v>
      </c>
      <c r="M337" t="s">
        <v>7</v>
      </c>
      <c r="N337" t="s">
        <v>7</v>
      </c>
      <c r="P337">
        <f t="shared" si="969"/>
        <v>0.75364238410595896</v>
      </c>
      <c r="Q337">
        <f t="shared" si="970"/>
        <v>6081033.3801324395</v>
      </c>
      <c r="R337">
        <f t="shared" si="971"/>
        <v>-746459610.88582921</v>
      </c>
      <c r="S337">
        <f t="shared" si="972"/>
        <v>-7464.5961088582917</v>
      </c>
      <c r="T337">
        <f t="shared" si="973"/>
        <v>-7.4645961088582915</v>
      </c>
    </row>
    <row r="338" spans="1:20" x14ac:dyDescent="0.25">
      <c r="A338" s="5">
        <v>44255</v>
      </c>
      <c r="B338">
        <v>0.24565000000000001</v>
      </c>
      <c r="C338">
        <v>0.25409999999999999</v>
      </c>
      <c r="D338">
        <v>0.21262</v>
      </c>
      <c r="E338">
        <v>0.23863000000000001</v>
      </c>
      <c r="F338">
        <v>9265606.0999999996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0.25409836065573826</v>
      </c>
      <c r="Q338">
        <f t="shared" si="970"/>
        <v>2354375.3204918085</v>
      </c>
      <c r="R338">
        <f t="shared" si="971"/>
        <v>-752540644.26596165</v>
      </c>
      <c r="S338">
        <f t="shared" si="972"/>
        <v>-7525.4064426596169</v>
      </c>
      <c r="T338">
        <f t="shared" si="973"/>
        <v>-7.5254064426596168</v>
      </c>
    </row>
    <row r="339" spans="1:20" x14ac:dyDescent="0.25">
      <c r="A339" s="5">
        <v>44254</v>
      </c>
      <c r="B339">
        <v>0.23649000000000001</v>
      </c>
      <c r="C339">
        <v>0.26834000000000002</v>
      </c>
      <c r="D339">
        <v>0.23166999999999999</v>
      </c>
      <c r="E339">
        <v>0.24554999999999999</v>
      </c>
      <c r="F339">
        <v>14414381.6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-0.24297791109899156</v>
      </c>
      <c r="Q339">
        <f t="shared" si="970"/>
        <v>-3502376.3309517396</v>
      </c>
      <c r="R339">
        <f t="shared" si="971"/>
        <v>-754895019.58645344</v>
      </c>
      <c r="S339">
        <f t="shared" si="972"/>
        <v>-7548.9501958645342</v>
      </c>
      <c r="T339">
        <f t="shared" si="973"/>
        <v>-7.548950195864534</v>
      </c>
    </row>
    <row r="340" spans="1:20" x14ac:dyDescent="0.25">
      <c r="A340" s="5">
        <v>44253</v>
      </c>
      <c r="B340">
        <v>0.251</v>
      </c>
      <c r="C340">
        <v>0.25574000000000002</v>
      </c>
      <c r="D340">
        <v>0.22327</v>
      </c>
      <c r="E340">
        <v>0.23591000000000001</v>
      </c>
      <c r="F340">
        <v>10302878.300000001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-0.22143517092700943</v>
      </c>
      <c r="Q340">
        <f t="shared" si="970"/>
        <v>-2281419.6174006765</v>
      </c>
      <c r="R340">
        <f t="shared" si="971"/>
        <v>-751392643.25550175</v>
      </c>
      <c r="S340">
        <f t="shared" si="972"/>
        <v>-7513.9264325550175</v>
      </c>
      <c r="T340">
        <f t="shared" si="973"/>
        <v>-7.5139264325550172</v>
      </c>
    </row>
    <row r="341" spans="1:20" x14ac:dyDescent="0.25">
      <c r="A341" s="5">
        <v>44252</v>
      </c>
      <c r="B341">
        <v>0.26423000000000002</v>
      </c>
      <c r="C341">
        <v>0.28000000000000003</v>
      </c>
      <c r="D341">
        <v>0.248</v>
      </c>
      <c r="E341">
        <v>0.24956999999999999</v>
      </c>
      <c r="F341">
        <v>11026258.699999999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-0.90187500000000087</v>
      </c>
      <c r="Q341">
        <f t="shared" si="970"/>
        <v>-9944307.0650625098</v>
      </c>
      <c r="R341">
        <f t="shared" si="971"/>
        <v>-749111223.6381011</v>
      </c>
      <c r="S341">
        <f t="shared" si="972"/>
        <v>-7491.1122363810109</v>
      </c>
      <c r="T341">
        <f t="shared" si="973"/>
        <v>-7.491112236381011</v>
      </c>
    </row>
    <row r="342" spans="1:20" x14ac:dyDescent="0.25">
      <c r="A342" s="5">
        <v>44251</v>
      </c>
      <c r="B342">
        <v>0.24401</v>
      </c>
      <c r="C342">
        <v>0.315</v>
      </c>
      <c r="D342">
        <v>0.22974</v>
      </c>
      <c r="E342">
        <v>0.26432</v>
      </c>
      <c r="F342">
        <v>20736701.199999999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-0.18883415435139575</v>
      </c>
      <c r="Q342">
        <f t="shared" si="970"/>
        <v>-3915797.4351395732</v>
      </c>
      <c r="R342">
        <f t="shared" si="971"/>
        <v>-739166916.57303858</v>
      </c>
      <c r="S342">
        <f t="shared" si="972"/>
        <v>-7391.6691657303854</v>
      </c>
      <c r="T342">
        <f t="shared" si="973"/>
        <v>-7.3916691657303852</v>
      </c>
    </row>
    <row r="343" spans="1:20" x14ac:dyDescent="0.25">
      <c r="A343" s="5">
        <v>44250</v>
      </c>
      <c r="B343">
        <v>0.27596999999999999</v>
      </c>
      <c r="C343">
        <v>0.28211000000000003</v>
      </c>
      <c r="D343">
        <v>0.17194999999999999</v>
      </c>
      <c r="E343">
        <v>0.24321000000000001</v>
      </c>
      <c r="F343">
        <v>24375806.899999999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0.29375453885257796</v>
      </c>
      <c r="Q343">
        <f t="shared" si="970"/>
        <v>7160503.9150689878</v>
      </c>
      <c r="R343">
        <f t="shared" si="971"/>
        <v>-735251119.13789904</v>
      </c>
      <c r="S343">
        <f t="shared" si="972"/>
        <v>-7352.5111913789906</v>
      </c>
      <c r="T343">
        <f t="shared" si="973"/>
        <v>-7.3525111913789907</v>
      </c>
    </row>
    <row r="344" spans="1:20" x14ac:dyDescent="0.25">
      <c r="A344" s="5">
        <v>44249</v>
      </c>
      <c r="B344">
        <v>0.30991999999999997</v>
      </c>
      <c r="C344">
        <v>0.31458999999999998</v>
      </c>
      <c r="D344">
        <v>0.24188999999999999</v>
      </c>
      <c r="E344">
        <v>0.27567000000000003</v>
      </c>
      <c r="F344">
        <v>13619577.5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-7.0701513067399219E-2</v>
      </c>
      <c r="Q344">
        <f t="shared" si="970"/>
        <v>-962924.73658870638</v>
      </c>
      <c r="R344">
        <f t="shared" si="971"/>
        <v>-742411623.05296803</v>
      </c>
      <c r="S344">
        <f t="shared" si="972"/>
        <v>-7424.1162305296803</v>
      </c>
      <c r="T344">
        <f t="shared" si="973"/>
        <v>-7.4241162305296804</v>
      </c>
    </row>
    <row r="345" spans="1:20" x14ac:dyDescent="0.25">
      <c r="A345" s="5">
        <v>44248</v>
      </c>
      <c r="B345">
        <v>0.31115999999999999</v>
      </c>
      <c r="C345">
        <v>0.31918000000000002</v>
      </c>
      <c r="D345">
        <v>0.29964000000000002</v>
      </c>
      <c r="E345">
        <v>0.31017</v>
      </c>
      <c r="F345">
        <v>11772371.300000001</v>
      </c>
      <c r="G345">
        <v>0</v>
      </c>
      <c r="L345" t="s">
        <v>8</v>
      </c>
      <c r="M345" t="s">
        <v>7</v>
      </c>
      <c r="N345" t="s">
        <v>7</v>
      </c>
      <c r="P345">
        <f t="shared" si="969"/>
        <v>7.7789150460591899E-2</v>
      </c>
      <c r="Q345">
        <f t="shared" si="970"/>
        <v>915762.76233365387</v>
      </c>
      <c r="R345">
        <f t="shared" si="971"/>
        <v>-741448698.31637931</v>
      </c>
      <c r="S345">
        <f t="shared" si="972"/>
        <v>-7414.4869831637934</v>
      </c>
      <c r="T345">
        <f t="shared" si="973"/>
        <v>-7.4144869831637932</v>
      </c>
    </row>
    <row r="346" spans="1:20" x14ac:dyDescent="0.25">
      <c r="A346" s="5">
        <v>44247</v>
      </c>
      <c r="B346">
        <v>0.32835999999999999</v>
      </c>
      <c r="C346">
        <v>0.33794000000000002</v>
      </c>
      <c r="D346">
        <v>0.29254000000000002</v>
      </c>
      <c r="E346">
        <v>0.31115999999999999</v>
      </c>
      <c r="F346">
        <v>14458389.5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-0.17973568281938451</v>
      </c>
      <c r="Q346">
        <f t="shared" si="970"/>
        <v>-2598688.5092511196</v>
      </c>
      <c r="R346">
        <f t="shared" si="971"/>
        <v>-742364461.07871294</v>
      </c>
      <c r="S346">
        <f t="shared" si="972"/>
        <v>-7423.6446107871297</v>
      </c>
      <c r="T346">
        <f t="shared" si="973"/>
        <v>-7.4236446107871297</v>
      </c>
    </row>
    <row r="347" spans="1:20" x14ac:dyDescent="0.25">
      <c r="A347" s="5">
        <v>44246</v>
      </c>
      <c r="B347">
        <v>0.31108000000000002</v>
      </c>
      <c r="C347">
        <v>0.35554999999999998</v>
      </c>
      <c r="D347">
        <v>0.31001000000000001</v>
      </c>
      <c r="E347">
        <v>0.32708999999999999</v>
      </c>
      <c r="F347">
        <v>16162219.9</v>
      </c>
      <c r="G347">
        <v>0</v>
      </c>
      <c r="L347" t="s">
        <v>8</v>
      </c>
      <c r="M347" t="s">
        <v>7</v>
      </c>
      <c r="N347" t="s">
        <v>7</v>
      </c>
      <c r="P347">
        <f t="shared" si="969"/>
        <v>-0.24989020641194573</v>
      </c>
      <c r="Q347">
        <f t="shared" si="970"/>
        <v>-4038780.4668862568</v>
      </c>
      <c r="R347">
        <f t="shared" si="971"/>
        <v>-739765772.56946182</v>
      </c>
      <c r="S347">
        <f t="shared" si="972"/>
        <v>-7397.6577256946184</v>
      </c>
      <c r="T347">
        <f t="shared" si="973"/>
        <v>-7.3976577256946188</v>
      </c>
    </row>
    <row r="348" spans="1:20" x14ac:dyDescent="0.25">
      <c r="A348" s="5">
        <v>44245</v>
      </c>
      <c r="B348">
        <v>0.31788</v>
      </c>
      <c r="C348">
        <v>0.33584999999999998</v>
      </c>
      <c r="D348">
        <v>0.30851000000000001</v>
      </c>
      <c r="E348">
        <v>0.31058999999999998</v>
      </c>
      <c r="F348">
        <v>14901062</v>
      </c>
      <c r="G348">
        <v>0</v>
      </c>
      <c r="L348" t="s">
        <v>8</v>
      </c>
      <c r="M348" t="s">
        <v>7</v>
      </c>
      <c r="N348" t="s">
        <v>7</v>
      </c>
      <c r="P348">
        <f t="shared" si="969"/>
        <v>-0.84784198975859748</v>
      </c>
      <c r="Q348">
        <f t="shared" si="970"/>
        <v>-12633746.055596227</v>
      </c>
      <c r="R348">
        <f t="shared" si="971"/>
        <v>-735726992.10257554</v>
      </c>
      <c r="S348">
        <f t="shared" si="972"/>
        <v>-7357.2699210257551</v>
      </c>
      <c r="T348">
        <f t="shared" si="973"/>
        <v>-7.3572699210257548</v>
      </c>
    </row>
    <row r="349" spans="1:20" x14ac:dyDescent="0.25">
      <c r="A349" s="5">
        <v>44244</v>
      </c>
      <c r="B349">
        <v>0.33274999999999999</v>
      </c>
      <c r="C349">
        <v>0.33528999999999998</v>
      </c>
      <c r="D349">
        <v>0.30207000000000001</v>
      </c>
      <c r="E349">
        <v>0.31707999999999997</v>
      </c>
      <c r="F349">
        <v>11344044.199999999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-9.6327513546057758E-2</v>
      </c>
      <c r="Q349">
        <f t="shared" si="970"/>
        <v>-1092743.5713425779</v>
      </c>
      <c r="R349">
        <f t="shared" si="971"/>
        <v>-723093246.04697931</v>
      </c>
      <c r="S349">
        <f t="shared" si="972"/>
        <v>-7230.9324604697931</v>
      </c>
      <c r="T349">
        <f t="shared" si="973"/>
        <v>-7.2309324604697931</v>
      </c>
    </row>
    <row r="350" spans="1:20" x14ac:dyDescent="0.25">
      <c r="A350" s="5">
        <v>44243</v>
      </c>
      <c r="B350">
        <v>0.31555</v>
      </c>
      <c r="C350">
        <v>0.37270999999999999</v>
      </c>
      <c r="D350">
        <v>0.30434</v>
      </c>
      <c r="E350">
        <v>0.33390999999999998</v>
      </c>
      <c r="F350">
        <v>23140347.5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-0.13500073131490445</v>
      </c>
      <c r="Q350">
        <f t="shared" si="970"/>
        <v>-3123963.8353810208</v>
      </c>
      <c r="R350">
        <f t="shared" si="971"/>
        <v>-722000502.47563672</v>
      </c>
      <c r="S350">
        <f t="shared" si="972"/>
        <v>-7220.0050247563668</v>
      </c>
      <c r="T350">
        <f t="shared" si="973"/>
        <v>-7.2200050247563672</v>
      </c>
    </row>
    <row r="351" spans="1:20" x14ac:dyDescent="0.25">
      <c r="A351" s="5">
        <v>44242</v>
      </c>
      <c r="B351">
        <v>0.31444</v>
      </c>
      <c r="C351">
        <v>0.35964000000000002</v>
      </c>
      <c r="D351">
        <v>0.27071000000000001</v>
      </c>
      <c r="E351">
        <v>0.31608999999999998</v>
      </c>
      <c r="F351">
        <v>18679820.899999999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2.0577982683008464E-2</v>
      </c>
      <c r="Q351">
        <f t="shared" si="970"/>
        <v>384393.03100189957</v>
      </c>
      <c r="R351">
        <f t="shared" si="971"/>
        <v>-718876538.64025569</v>
      </c>
      <c r="S351">
        <f t="shared" si="972"/>
        <v>-7188.7653864025569</v>
      </c>
      <c r="T351">
        <f t="shared" si="973"/>
        <v>-7.1887653864025571</v>
      </c>
    </row>
    <row r="352" spans="1:20" x14ac:dyDescent="0.25">
      <c r="A352" s="5">
        <v>44241</v>
      </c>
      <c r="B352">
        <v>0.34539999999999998</v>
      </c>
      <c r="C352">
        <v>0.373</v>
      </c>
      <c r="D352">
        <v>0.28558</v>
      </c>
      <c r="E352">
        <v>0.31473000000000001</v>
      </c>
      <c r="F352">
        <v>32315092.899999999</v>
      </c>
      <c r="G352">
        <v>0</v>
      </c>
      <c r="L352" t="s">
        <v>7</v>
      </c>
      <c r="M352" t="s">
        <v>7</v>
      </c>
      <c r="N352" t="s">
        <v>7</v>
      </c>
      <c r="P352">
        <f t="shared" si="969"/>
        <v>-0.33310455273392792</v>
      </c>
      <c r="Q352">
        <f t="shared" si="970"/>
        <v>-10764304.567009829</v>
      </c>
      <c r="R352">
        <f t="shared" si="971"/>
        <v>-719260931.67125762</v>
      </c>
      <c r="S352">
        <f t="shared" si="972"/>
        <v>-7192.6093167125764</v>
      </c>
      <c r="T352">
        <f t="shared" si="973"/>
        <v>-7.1926093167125762</v>
      </c>
    </row>
    <row r="353" spans="1:20" x14ac:dyDescent="0.25">
      <c r="A353" s="5">
        <v>44240</v>
      </c>
      <c r="B353">
        <v>0.29959999999999998</v>
      </c>
      <c r="C353">
        <v>0.42208000000000001</v>
      </c>
      <c r="D353">
        <v>0.28899999999999998</v>
      </c>
      <c r="E353">
        <v>0.34551999999999999</v>
      </c>
      <c r="F353">
        <v>118768576.3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-0.15058611361587013</v>
      </c>
      <c r="Q353">
        <f t="shared" si="970"/>
        <v>-17884898.324706938</v>
      </c>
      <c r="R353">
        <f t="shared" si="971"/>
        <v>-708496627.10424781</v>
      </c>
      <c r="S353">
        <f t="shared" si="972"/>
        <v>-7084.9662710424782</v>
      </c>
      <c r="T353">
        <f t="shared" si="973"/>
        <v>-7.0849662710424779</v>
      </c>
    </row>
    <row r="354" spans="1:20" x14ac:dyDescent="0.25">
      <c r="A354" s="5">
        <v>44239</v>
      </c>
      <c r="B354">
        <v>0.21296000000000001</v>
      </c>
      <c r="C354">
        <v>0.33001000000000003</v>
      </c>
      <c r="D354">
        <v>0.21192</v>
      </c>
      <c r="E354">
        <v>0.2999</v>
      </c>
      <c r="F354">
        <v>67574089.599999994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0.49004996189347078</v>
      </c>
      <c r="Q354">
        <f t="shared" si="970"/>
        <v>33114680.033465978</v>
      </c>
      <c r="R354">
        <f t="shared" si="971"/>
        <v>-690611728.7795409</v>
      </c>
      <c r="S354">
        <f t="shared" si="972"/>
        <v>-6906.1172877954086</v>
      </c>
      <c r="T354">
        <f t="shared" si="973"/>
        <v>-6.9061172877954089</v>
      </c>
    </row>
    <row r="355" spans="1:20" x14ac:dyDescent="0.25">
      <c r="A355" s="5">
        <v>44238</v>
      </c>
      <c r="B355">
        <v>0.19061</v>
      </c>
      <c r="C355">
        <v>0.23877000000000001</v>
      </c>
      <c r="D355">
        <v>0.18828</v>
      </c>
      <c r="E355">
        <v>0.21254999999999999</v>
      </c>
      <c r="F355">
        <v>22247384</v>
      </c>
      <c r="G355">
        <v>0</v>
      </c>
      <c r="L355" t="s">
        <v>8</v>
      </c>
      <c r="M355" t="s">
        <v>8</v>
      </c>
      <c r="N355" t="s">
        <v>7</v>
      </c>
      <c r="P355">
        <f t="shared" si="969"/>
        <v>-3.8621509209745192E-2</v>
      </c>
      <c r="Q355">
        <f t="shared" si="970"/>
        <v>-859227.54604873783</v>
      </c>
      <c r="R355">
        <f t="shared" si="971"/>
        <v>-723726408.81300688</v>
      </c>
      <c r="S355">
        <f t="shared" si="972"/>
        <v>-7237.2640881300686</v>
      </c>
      <c r="T355">
        <f t="shared" si="973"/>
        <v>-7.2372640881300683</v>
      </c>
    </row>
    <row r="356" spans="1:20" x14ac:dyDescent="0.25">
      <c r="A356" s="5">
        <v>44237</v>
      </c>
      <c r="B356">
        <v>0.19317000000000001</v>
      </c>
      <c r="C356">
        <v>0.20499999999999999</v>
      </c>
      <c r="D356">
        <v>0.17917</v>
      </c>
      <c r="E356">
        <v>0.19061</v>
      </c>
      <c r="F356">
        <v>18967239.899999999</v>
      </c>
      <c r="G356">
        <v>0</v>
      </c>
      <c r="L356" t="s">
        <v>7</v>
      </c>
      <c r="M356" t="s">
        <v>7</v>
      </c>
      <c r="N356" t="s">
        <v>7</v>
      </c>
      <c r="P356">
        <f t="shared" si="969"/>
        <v>-0.11420828493999154</v>
      </c>
      <c r="Q356">
        <f t="shared" si="970"/>
        <v>-2166215.9390243762</v>
      </c>
      <c r="R356">
        <f t="shared" si="971"/>
        <v>-722867181.26695812</v>
      </c>
      <c r="S356">
        <f t="shared" si="972"/>
        <v>-7228.6718126695814</v>
      </c>
      <c r="T356">
        <f t="shared" si="973"/>
        <v>-7.2286718126695817</v>
      </c>
    </row>
    <row r="357" spans="1:20" x14ac:dyDescent="0.25">
      <c r="A357" s="5">
        <v>44236</v>
      </c>
      <c r="B357">
        <v>0.19047</v>
      </c>
      <c r="C357">
        <v>0.19999</v>
      </c>
      <c r="D357">
        <v>0.18593999999999999</v>
      </c>
      <c r="E357">
        <v>0.19291</v>
      </c>
      <c r="F357">
        <v>18256318.899999999</v>
      </c>
      <c r="G357">
        <v>0</v>
      </c>
      <c r="L357" t="s">
        <v>7</v>
      </c>
      <c r="M357" t="s">
        <v>8</v>
      </c>
      <c r="N357" t="s">
        <v>7</v>
      </c>
      <c r="P357">
        <f t="shared" si="969"/>
        <v>-7.8291814946618455E-3</v>
      </c>
      <c r="Q357">
        <f t="shared" si="970"/>
        <v>-142932.03409252528</v>
      </c>
      <c r="R357">
        <f t="shared" si="971"/>
        <v>-720700965.32793379</v>
      </c>
      <c r="S357">
        <f t="shared" si="972"/>
        <v>-7207.0096532793377</v>
      </c>
      <c r="T357">
        <f t="shared" si="973"/>
        <v>-7.2070096532793375</v>
      </c>
    </row>
    <row r="358" spans="1:20" x14ac:dyDescent="0.25">
      <c r="A358" s="5">
        <v>44235</v>
      </c>
      <c r="B358">
        <v>0.18747</v>
      </c>
      <c r="C358">
        <v>0.21392</v>
      </c>
      <c r="D358">
        <v>0.18038999999999999</v>
      </c>
      <c r="E358">
        <v>0.19101000000000001</v>
      </c>
      <c r="F358">
        <v>27071140.100000001</v>
      </c>
      <c r="G358">
        <v>0</v>
      </c>
      <c r="L358" t="s">
        <v>8</v>
      </c>
      <c r="M358" t="s">
        <v>8</v>
      </c>
      <c r="N358" t="s">
        <v>7</v>
      </c>
      <c r="P358">
        <f t="shared" si="969"/>
        <v>-0.36653742916790832</v>
      </c>
      <c r="Q358">
        <f t="shared" si="970"/>
        <v>-9922586.0968982726</v>
      </c>
      <c r="R358">
        <f t="shared" si="971"/>
        <v>-720558033.29384124</v>
      </c>
      <c r="S358">
        <f t="shared" si="972"/>
        <v>-7205.5803329384125</v>
      </c>
      <c r="T358">
        <f t="shared" si="973"/>
        <v>-7.2055803329384123</v>
      </c>
    </row>
    <row r="359" spans="1:20" x14ac:dyDescent="0.25">
      <c r="A359" s="5">
        <v>44234</v>
      </c>
      <c r="B359">
        <v>0.20344000000000001</v>
      </c>
      <c r="C359">
        <v>0.21154999999999999</v>
      </c>
      <c r="D359">
        <v>0.1716</v>
      </c>
      <c r="E359">
        <v>0.18747</v>
      </c>
      <c r="F359">
        <v>48652176.100000001</v>
      </c>
      <c r="G359">
        <v>0</v>
      </c>
      <c r="L359" t="s">
        <v>7</v>
      </c>
      <c r="M359" t="s">
        <v>7</v>
      </c>
      <c r="N359" t="s">
        <v>7</v>
      </c>
      <c r="P359">
        <f t="shared" si="969"/>
        <v>-0.20550688360450559</v>
      </c>
      <c r="Q359">
        <f t="shared" si="970"/>
        <v>-9998357.0908886082</v>
      </c>
      <c r="R359">
        <f t="shared" si="971"/>
        <v>-710635447.19694293</v>
      </c>
      <c r="S359">
        <f t="shared" si="972"/>
        <v>-7106.3544719694291</v>
      </c>
      <c r="T359">
        <f t="shared" si="973"/>
        <v>-7.1063544719694294</v>
      </c>
    </row>
    <row r="360" spans="1:20" x14ac:dyDescent="0.25">
      <c r="A360" s="5">
        <v>44233</v>
      </c>
      <c r="B360">
        <v>0.15970000000000001</v>
      </c>
      <c r="C360">
        <v>0.249</v>
      </c>
      <c r="D360">
        <v>0.15590000000000001</v>
      </c>
      <c r="E360">
        <v>0.20265</v>
      </c>
      <c r="F360">
        <v>199868383.5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4.2964554242747987E-3</v>
      </c>
      <c r="Q360">
        <f t="shared" si="970"/>
        <v>858725.6004296107</v>
      </c>
      <c r="R360">
        <f t="shared" si="971"/>
        <v>-700637090.10605431</v>
      </c>
      <c r="S360">
        <f t="shared" si="972"/>
        <v>-7006.3709010605435</v>
      </c>
      <c r="T360">
        <f t="shared" si="973"/>
        <v>-7.0063709010605431</v>
      </c>
    </row>
    <row r="361" spans="1:20" x14ac:dyDescent="0.25">
      <c r="A361" s="5">
        <v>44232</v>
      </c>
      <c r="B361">
        <v>0.13039000000000001</v>
      </c>
      <c r="C361">
        <v>0.21299999999999999</v>
      </c>
      <c r="D361">
        <v>0.12886</v>
      </c>
      <c r="E361">
        <v>0.16053999999999999</v>
      </c>
      <c r="F361">
        <v>84941026.400000006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-0.24696933681958666</v>
      </c>
      <c r="Q361">
        <f t="shared" si="970"/>
        <v>-20977828.958783004</v>
      </c>
      <c r="R361">
        <f t="shared" si="971"/>
        <v>-701495815.70648396</v>
      </c>
      <c r="S361">
        <f t="shared" si="972"/>
        <v>-7014.9581570648397</v>
      </c>
      <c r="T361">
        <f t="shared" si="973"/>
        <v>-7.0149581570648394</v>
      </c>
    </row>
    <row r="362" spans="1:20" x14ac:dyDescent="0.25">
      <c r="A362" s="5">
        <v>44231</v>
      </c>
      <c r="B362">
        <v>0.13278999999999999</v>
      </c>
      <c r="C362">
        <v>0.13578000000000001</v>
      </c>
      <c r="D362">
        <v>0.12492</v>
      </c>
      <c r="E362">
        <v>0.13047</v>
      </c>
      <c r="F362">
        <v>22963134.199999999</v>
      </c>
      <c r="G362">
        <v>0</v>
      </c>
      <c r="L362" t="s">
        <v>7</v>
      </c>
      <c r="M362" t="s">
        <v>7</v>
      </c>
      <c r="N362" t="s">
        <v>7</v>
      </c>
      <c r="P362">
        <f t="shared" si="969"/>
        <v>2.2099447513811238E-2</v>
      </c>
      <c r="Q362">
        <f t="shared" si="970"/>
        <v>507472.57900550379</v>
      </c>
      <c r="R362">
        <f t="shared" si="971"/>
        <v>-680517986.74770093</v>
      </c>
      <c r="S362">
        <f t="shared" si="972"/>
        <v>-6805.1798674770089</v>
      </c>
      <c r="T362">
        <f t="shared" si="973"/>
        <v>-6.8051798674770092</v>
      </c>
    </row>
    <row r="363" spans="1:20" x14ac:dyDescent="0.25">
      <c r="A363" s="5">
        <v>44230</v>
      </c>
      <c r="B363">
        <v>0.12966</v>
      </c>
      <c r="C363">
        <v>0.13999</v>
      </c>
      <c r="D363">
        <v>0.12714</v>
      </c>
      <c r="E363">
        <v>0.13281000000000001</v>
      </c>
      <c r="F363">
        <v>15826014.5</v>
      </c>
      <c r="G363">
        <v>0</v>
      </c>
      <c r="L363" t="s">
        <v>8</v>
      </c>
      <c r="M363" t="s">
        <v>7</v>
      </c>
      <c r="N363" t="s">
        <v>7</v>
      </c>
      <c r="P363">
        <f t="shared" si="969"/>
        <v>-0.11750972762645787</v>
      </c>
      <c r="Q363">
        <f t="shared" si="970"/>
        <v>-1859710.6533073727</v>
      </c>
      <c r="R363">
        <f t="shared" si="971"/>
        <v>-681025459.32670641</v>
      </c>
      <c r="S363">
        <f t="shared" si="972"/>
        <v>-6810.2545932670637</v>
      </c>
      <c r="T363">
        <f t="shared" si="973"/>
        <v>-6.8102545932670635</v>
      </c>
    </row>
    <row r="364" spans="1:20" x14ac:dyDescent="0.25">
      <c r="A364" s="5">
        <v>44229</v>
      </c>
      <c r="B364">
        <v>0.12623000000000001</v>
      </c>
      <c r="C364">
        <v>0.13242000000000001</v>
      </c>
      <c r="D364">
        <v>0.12200999999999999</v>
      </c>
      <c r="E364">
        <v>0.12966</v>
      </c>
      <c r="F364">
        <v>15379098.199999999</v>
      </c>
      <c r="G364">
        <v>0</v>
      </c>
      <c r="L364" t="s">
        <v>7</v>
      </c>
      <c r="M364" t="s">
        <v>7</v>
      </c>
      <c r="N364" t="s">
        <v>7</v>
      </c>
      <c r="P364">
        <f t="shared" si="969"/>
        <v>0.46974063400576216</v>
      </c>
      <c r="Q364">
        <f t="shared" si="970"/>
        <v>7224187.3389048753</v>
      </c>
      <c r="R364">
        <f t="shared" si="971"/>
        <v>-679165748.67339909</v>
      </c>
      <c r="S364">
        <f t="shared" si="972"/>
        <v>-6791.6574867339905</v>
      </c>
      <c r="T364">
        <f t="shared" si="973"/>
        <v>-6.7916574867339907</v>
      </c>
    </row>
    <row r="365" spans="1:20" x14ac:dyDescent="0.25">
      <c r="A365" s="5">
        <v>44228</v>
      </c>
      <c r="B365">
        <v>0.12494</v>
      </c>
      <c r="C365">
        <v>0.14199999999999999</v>
      </c>
      <c r="D365">
        <v>0.121</v>
      </c>
      <c r="E365">
        <v>0.12661</v>
      </c>
      <c r="F365">
        <v>31885110.600000001</v>
      </c>
      <c r="G365">
        <v>0</v>
      </c>
      <c r="L365" t="s">
        <v>8</v>
      </c>
      <c r="M365" t="s">
        <v>7</v>
      </c>
      <c r="N365" t="s">
        <v>7</v>
      </c>
      <c r="P365">
        <f t="shared" si="969"/>
        <v>-0.46571428571428514</v>
      </c>
      <c r="Q365">
        <f t="shared" si="970"/>
        <v>-14849351.507999983</v>
      </c>
      <c r="R365">
        <f t="shared" si="971"/>
        <v>-686389936.01230395</v>
      </c>
      <c r="S365">
        <f t="shared" si="972"/>
        <v>-6863.8993601230395</v>
      </c>
      <c r="T365">
        <f t="shared" si="973"/>
        <v>-6.8638993601230398</v>
      </c>
    </row>
    <row r="366" spans="1:20" x14ac:dyDescent="0.25">
      <c r="A366" s="5">
        <v>44227</v>
      </c>
      <c r="B366">
        <v>0.12551000000000001</v>
      </c>
      <c r="C366">
        <v>0.13272</v>
      </c>
      <c r="D366">
        <v>0.12063</v>
      </c>
      <c r="E366">
        <v>0.12526000000000001</v>
      </c>
      <c r="F366">
        <v>17217442.600000001</v>
      </c>
      <c r="G366">
        <v>0</v>
      </c>
      <c r="L366" t="s">
        <v>8</v>
      </c>
      <c r="M366" t="s">
        <v>7</v>
      </c>
      <c r="N366" t="s">
        <v>7</v>
      </c>
      <c r="P366">
        <f t="shared" si="969"/>
        <v>-0.23407775020678118</v>
      </c>
      <c r="Q366">
        <f t="shared" si="970"/>
        <v>-4030220.2281223936</v>
      </c>
      <c r="R366">
        <f t="shared" si="971"/>
        <v>-671540584.50430393</v>
      </c>
      <c r="S366">
        <f t="shared" si="972"/>
        <v>-6715.4058450430393</v>
      </c>
      <c r="T366">
        <f t="shared" si="973"/>
        <v>-6.7154058450430396</v>
      </c>
    </row>
    <row r="367" spans="1:20" x14ac:dyDescent="0.25">
      <c r="A367" s="5">
        <v>44226</v>
      </c>
      <c r="B367">
        <v>0.12391000000000001</v>
      </c>
      <c r="C367">
        <v>0.14326</v>
      </c>
      <c r="D367">
        <v>0.11973</v>
      </c>
      <c r="E367">
        <v>0.12554999999999999</v>
      </c>
      <c r="F367">
        <v>46898041.100000001</v>
      </c>
      <c r="G367">
        <v>0</v>
      </c>
      <c r="L367" t="s">
        <v>7</v>
      </c>
      <c r="M367" t="s">
        <v>7</v>
      </c>
      <c r="N367" t="s">
        <v>7</v>
      </c>
      <c r="P367">
        <f t="shared" si="969"/>
        <v>-0.50531236719082084</v>
      </c>
      <c r="Q367">
        <f t="shared" si="970"/>
        <v>-23698160.164853409</v>
      </c>
      <c r="R367">
        <f t="shared" si="971"/>
        <v>-667510364.27618158</v>
      </c>
      <c r="S367">
        <f t="shared" si="972"/>
        <v>-6675.1036427618155</v>
      </c>
      <c r="T367">
        <f t="shared" si="973"/>
        <v>-6.6751036427618153</v>
      </c>
    </row>
    <row r="368" spans="1:20" x14ac:dyDescent="0.25">
      <c r="A368" s="5">
        <v>44225</v>
      </c>
      <c r="B368">
        <v>0.11297</v>
      </c>
      <c r="C368">
        <v>0.16828000000000001</v>
      </c>
      <c r="D368">
        <v>0.11033999999999999</v>
      </c>
      <c r="E368">
        <v>0.12393999999999999</v>
      </c>
      <c r="F368">
        <v>78074813.900000006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-0.53054884363134291</v>
      </c>
      <c r="Q368">
        <f t="shared" si="970"/>
        <v>-41422502.231377304</v>
      </c>
      <c r="R368">
        <f t="shared" si="971"/>
        <v>-643812204.11132813</v>
      </c>
      <c r="S368">
        <f t="shared" si="972"/>
        <v>-6438.1220411132808</v>
      </c>
      <c r="T368">
        <f t="shared" si="973"/>
        <v>-6.4381220411132807</v>
      </c>
    </row>
    <row r="369" spans="1:20" x14ac:dyDescent="0.25">
      <c r="A369" s="5">
        <v>44224</v>
      </c>
      <c r="B369">
        <v>0.10496</v>
      </c>
      <c r="C369">
        <v>0.13</v>
      </c>
      <c r="D369">
        <v>0.10288</v>
      </c>
      <c r="E369">
        <v>0.11308</v>
      </c>
      <c r="F369">
        <v>21818417.399999999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-0.24778761061946911</v>
      </c>
      <c r="Q369">
        <f t="shared" si="970"/>
        <v>-5406333.5150442496</v>
      </c>
      <c r="R369">
        <f t="shared" si="971"/>
        <v>-602389701.87995088</v>
      </c>
      <c r="S369">
        <f t="shared" si="972"/>
        <v>-6023.8970187995092</v>
      </c>
      <c r="T369">
        <f t="shared" si="973"/>
        <v>-6.0238970187995093</v>
      </c>
    </row>
    <row r="370" spans="1:20" x14ac:dyDescent="0.25">
      <c r="A370" s="5">
        <v>44223</v>
      </c>
      <c r="B370">
        <v>0.11479</v>
      </c>
      <c r="C370">
        <v>0.11489000000000001</v>
      </c>
      <c r="D370">
        <v>0.10022</v>
      </c>
      <c r="E370">
        <v>0.10478999999999999</v>
      </c>
      <c r="F370">
        <v>6924667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-0.37695978186775869</v>
      </c>
      <c r="Q370">
        <f t="shared" si="970"/>
        <v>-2610320.961826867</v>
      </c>
      <c r="R370">
        <f t="shared" si="971"/>
        <v>-596983368.36490667</v>
      </c>
      <c r="S370">
        <f t="shared" si="972"/>
        <v>-5969.8336836490671</v>
      </c>
      <c r="T370">
        <f t="shared" si="973"/>
        <v>-5.9698336836490675</v>
      </c>
    </row>
    <row r="371" spans="1:20" x14ac:dyDescent="0.25">
      <c r="A371" s="5">
        <v>44222</v>
      </c>
      <c r="B371">
        <v>0.11365</v>
      </c>
      <c r="C371">
        <v>0.1207</v>
      </c>
      <c r="D371">
        <v>0.1067</v>
      </c>
      <c r="E371">
        <v>0.11484</v>
      </c>
      <c r="F371">
        <v>7806922.7000000002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0.16285714285714217</v>
      </c>
      <c r="Q371">
        <f t="shared" si="970"/>
        <v>1271413.125428566</v>
      </c>
      <c r="R371">
        <f t="shared" si="971"/>
        <v>-594373047.40307975</v>
      </c>
      <c r="S371">
        <f t="shared" si="972"/>
        <v>-5943.7304740307973</v>
      </c>
      <c r="T371">
        <f t="shared" si="973"/>
        <v>-5.9437304740307972</v>
      </c>
    </row>
    <row r="372" spans="1:20" x14ac:dyDescent="0.25">
      <c r="A372" s="5">
        <v>44221</v>
      </c>
      <c r="B372">
        <v>0.11608</v>
      </c>
      <c r="C372">
        <v>0.11956</v>
      </c>
      <c r="D372">
        <v>0.11234</v>
      </c>
      <c r="E372">
        <v>0.11372</v>
      </c>
      <c r="F372">
        <v>6791104.2000000002</v>
      </c>
      <c r="G372">
        <v>0</v>
      </c>
      <c r="L372" t="s">
        <v>7</v>
      </c>
      <c r="M372" t="s">
        <v>8</v>
      </c>
      <c r="N372" t="s">
        <v>8</v>
      </c>
      <c r="P372">
        <f t="shared" si="969"/>
        <v>-0.61772853185595422</v>
      </c>
      <c r="Q372">
        <f t="shared" si="970"/>
        <v>-4195058.8271468049</v>
      </c>
      <c r="R372">
        <f t="shared" si="971"/>
        <v>-595644460.52850831</v>
      </c>
      <c r="S372">
        <f t="shared" si="972"/>
        <v>-5956.4446052850826</v>
      </c>
      <c r="T372">
        <f t="shared" si="973"/>
        <v>-5.9564446052850828</v>
      </c>
    </row>
    <row r="373" spans="1:20" x14ac:dyDescent="0.25">
      <c r="A373" s="5">
        <v>44220</v>
      </c>
      <c r="B373">
        <v>0.11404</v>
      </c>
      <c r="C373">
        <v>0.12299</v>
      </c>
      <c r="D373">
        <v>0.113</v>
      </c>
      <c r="E373">
        <v>0.11600000000000001</v>
      </c>
      <c r="F373">
        <v>8921088.5999999996</v>
      </c>
      <c r="G373">
        <v>0</v>
      </c>
      <c r="L373" t="s">
        <v>7</v>
      </c>
      <c r="M373" t="s">
        <v>8</v>
      </c>
      <c r="N373" t="s">
        <v>8</v>
      </c>
      <c r="P373">
        <f t="shared" si="969"/>
        <v>-0.39939939939939878</v>
      </c>
      <c r="Q373">
        <f t="shared" si="970"/>
        <v>-3563077.4288288234</v>
      </c>
      <c r="R373">
        <f t="shared" si="971"/>
        <v>-591449401.70136154</v>
      </c>
      <c r="S373">
        <f t="shared" si="972"/>
        <v>-5914.4940170136151</v>
      </c>
      <c r="T373">
        <f t="shared" si="973"/>
        <v>-5.9144940170136149</v>
      </c>
    </row>
    <row r="374" spans="1:20" x14ac:dyDescent="0.25">
      <c r="A374" s="5">
        <v>44219</v>
      </c>
      <c r="B374">
        <v>0.11344</v>
      </c>
      <c r="C374">
        <v>0.12479</v>
      </c>
      <c r="D374">
        <v>0.11260000000000001</v>
      </c>
      <c r="E374">
        <v>0.11415</v>
      </c>
      <c r="F374">
        <v>13175449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-0.74569319114027943</v>
      </c>
      <c r="Q374">
        <f t="shared" si="970"/>
        <v>-9824842.6095160041</v>
      </c>
      <c r="R374">
        <f t="shared" si="971"/>
        <v>-587886324.2725327</v>
      </c>
      <c r="S374">
        <f t="shared" si="972"/>
        <v>-5878.8632427253269</v>
      </c>
      <c r="T374">
        <f t="shared" si="973"/>
        <v>-5.8788632427253269</v>
      </c>
    </row>
    <row r="375" spans="1:20" x14ac:dyDescent="0.25">
      <c r="A375" s="5">
        <v>44218</v>
      </c>
      <c r="B375">
        <v>0.10248</v>
      </c>
      <c r="C375">
        <v>0.11899999999999999</v>
      </c>
      <c r="D375">
        <v>9.0319999999999998E-2</v>
      </c>
      <c r="E375">
        <v>0.11389000000000001</v>
      </c>
      <c r="F375">
        <v>16870644.899999999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0.64365411436541209</v>
      </c>
      <c r="Q375">
        <f t="shared" si="970"/>
        <v>10858860.001882855</v>
      </c>
      <c r="R375">
        <f t="shared" si="971"/>
        <v>-578061481.66301668</v>
      </c>
      <c r="S375">
        <f t="shared" si="972"/>
        <v>-5780.6148166301664</v>
      </c>
      <c r="T375">
        <f t="shared" si="973"/>
        <v>-5.7806148166301661</v>
      </c>
    </row>
    <row r="376" spans="1:20" x14ac:dyDescent="0.25">
      <c r="A376" s="5">
        <v>44217</v>
      </c>
      <c r="B376">
        <v>0.11626</v>
      </c>
      <c r="C376">
        <v>0.11713</v>
      </c>
      <c r="D376">
        <v>9.9019999999999997E-2</v>
      </c>
      <c r="E376">
        <v>0.10255</v>
      </c>
      <c r="F376">
        <v>14171984.9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-0.61016013252346712</v>
      </c>
      <c r="Q376">
        <f t="shared" si="970"/>
        <v>-8647180.1847045757</v>
      </c>
      <c r="R376">
        <f t="shared" si="971"/>
        <v>-588920341.66489959</v>
      </c>
      <c r="S376">
        <f t="shared" si="972"/>
        <v>-5889.2034166489957</v>
      </c>
      <c r="T376">
        <f t="shared" si="973"/>
        <v>-5.8892034166489955</v>
      </c>
    </row>
    <row r="377" spans="1:20" x14ac:dyDescent="0.25">
      <c r="A377" s="5">
        <v>44216</v>
      </c>
      <c r="B377">
        <v>0.11974</v>
      </c>
      <c r="C377">
        <v>0.12175</v>
      </c>
      <c r="D377">
        <v>0.10866000000000001</v>
      </c>
      <c r="E377">
        <v>0.11575000000000001</v>
      </c>
      <c r="F377">
        <v>15935384.9</v>
      </c>
      <c r="G377">
        <v>0</v>
      </c>
      <c r="L377" t="s">
        <v>7</v>
      </c>
      <c r="M377" t="s">
        <v>7</v>
      </c>
      <c r="N377" t="s">
        <v>7</v>
      </c>
      <c r="P377">
        <f t="shared" si="969"/>
        <v>8.3269671504966267E-2</v>
      </c>
      <c r="Q377">
        <f t="shared" si="970"/>
        <v>1326934.2659281997</v>
      </c>
      <c r="R377">
        <f t="shared" si="971"/>
        <v>-580273161.48019505</v>
      </c>
      <c r="S377">
        <f t="shared" si="972"/>
        <v>-5802.7316148019509</v>
      </c>
      <c r="T377">
        <f t="shared" si="973"/>
        <v>-5.8027316148019512</v>
      </c>
    </row>
    <row r="378" spans="1:20" x14ac:dyDescent="0.25">
      <c r="A378" s="5">
        <v>44215</v>
      </c>
      <c r="B378">
        <v>0.12411999999999999</v>
      </c>
      <c r="C378">
        <v>0.12469</v>
      </c>
      <c r="D378">
        <v>0.11849999999999999</v>
      </c>
      <c r="E378">
        <v>0.11975</v>
      </c>
      <c r="F378">
        <v>13140674.1</v>
      </c>
      <c r="G378">
        <v>0</v>
      </c>
      <c r="L378" t="s">
        <v>7</v>
      </c>
      <c r="M378" t="s">
        <v>8</v>
      </c>
      <c r="N378" t="s">
        <v>7</v>
      </c>
      <c r="P378">
        <f t="shared" si="969"/>
        <v>-0.59612277867528241</v>
      </c>
      <c r="Q378">
        <f t="shared" si="970"/>
        <v>-7833455.1581583153</v>
      </c>
      <c r="R378">
        <f t="shared" si="971"/>
        <v>-581600095.74612319</v>
      </c>
      <c r="S378">
        <f t="shared" si="972"/>
        <v>-5816.0009574612322</v>
      </c>
      <c r="T378">
        <f t="shared" si="973"/>
        <v>-5.8160009574612319</v>
      </c>
    </row>
    <row r="379" spans="1:20" x14ac:dyDescent="0.25">
      <c r="A379" s="5">
        <v>44214</v>
      </c>
      <c r="B379">
        <v>0.12026000000000001</v>
      </c>
      <c r="C379">
        <v>0.12912999999999999</v>
      </c>
      <c r="D379">
        <v>0.11749</v>
      </c>
      <c r="E379">
        <v>0.12393999999999999</v>
      </c>
      <c r="F379">
        <v>19873126.199999999</v>
      </c>
      <c r="G379">
        <v>0</v>
      </c>
      <c r="L379" t="s">
        <v>8</v>
      </c>
      <c r="M379" t="s">
        <v>8</v>
      </c>
      <c r="N379" t="s">
        <v>7</v>
      </c>
      <c r="P379">
        <f t="shared" si="969"/>
        <v>0.10824742268041215</v>
      </c>
      <c r="Q379">
        <f t="shared" si="970"/>
        <v>2151214.691752573</v>
      </c>
      <c r="R379">
        <f t="shared" si="971"/>
        <v>-573766640.58796489</v>
      </c>
      <c r="S379">
        <f t="shared" si="972"/>
        <v>-5737.6664058796487</v>
      </c>
      <c r="T379">
        <f t="shared" si="973"/>
        <v>-5.7376664058796489</v>
      </c>
    </row>
    <row r="380" spans="1:20" x14ac:dyDescent="0.25">
      <c r="A380" s="5">
        <v>44213</v>
      </c>
      <c r="B380">
        <v>0.12163</v>
      </c>
      <c r="C380">
        <v>0.12655</v>
      </c>
      <c r="D380">
        <v>0.11597</v>
      </c>
      <c r="E380">
        <v>0.12003999999999999</v>
      </c>
      <c r="F380">
        <v>16532419.800000001</v>
      </c>
      <c r="G380">
        <v>0</v>
      </c>
      <c r="L380" t="s">
        <v>7</v>
      </c>
      <c r="M380" t="s">
        <v>8</v>
      </c>
      <c r="N380" t="s">
        <v>7</v>
      </c>
      <c r="P380">
        <f t="shared" si="969"/>
        <v>-0.23062381852552111</v>
      </c>
      <c r="Q380">
        <f t="shared" si="970"/>
        <v>-3812769.7837429321</v>
      </c>
      <c r="R380">
        <f t="shared" si="971"/>
        <v>-575917855.27971745</v>
      </c>
      <c r="S380">
        <f t="shared" si="972"/>
        <v>-5759.1785527971742</v>
      </c>
      <c r="T380">
        <f t="shared" si="973"/>
        <v>-5.7591785527971746</v>
      </c>
    </row>
    <row r="381" spans="1:20" x14ac:dyDescent="0.25">
      <c r="A381" s="5">
        <v>44212</v>
      </c>
      <c r="B381">
        <v>0.11636000000000001</v>
      </c>
      <c r="C381">
        <v>0.13</v>
      </c>
      <c r="D381">
        <v>0.1139</v>
      </c>
      <c r="E381">
        <v>0.12191</v>
      </c>
      <c r="F381">
        <v>23818345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-4.9689440993786783E-3</v>
      </c>
      <c r="Q381">
        <f t="shared" si="970"/>
        <v>-118352.02484471565</v>
      </c>
      <c r="R381">
        <f t="shared" si="971"/>
        <v>-572105085.49597454</v>
      </c>
      <c r="S381">
        <f t="shared" si="972"/>
        <v>-5721.0508549597453</v>
      </c>
      <c r="T381">
        <f t="shared" si="973"/>
        <v>-5.7210508549597456</v>
      </c>
    </row>
    <row r="382" spans="1:20" x14ac:dyDescent="0.25">
      <c r="A382" s="5">
        <v>44211</v>
      </c>
      <c r="B382">
        <v>0.12631999999999999</v>
      </c>
      <c r="C382">
        <v>0.12778999999999999</v>
      </c>
      <c r="D382">
        <v>0.10525</v>
      </c>
      <c r="E382">
        <v>0.11635</v>
      </c>
      <c r="F382">
        <v>27008453.699999999</v>
      </c>
      <c r="G382">
        <v>0</v>
      </c>
      <c r="L382" t="s">
        <v>7</v>
      </c>
      <c r="M382" t="s">
        <v>7</v>
      </c>
      <c r="N382" t="s">
        <v>7</v>
      </c>
      <c r="P382">
        <f t="shared" si="969"/>
        <v>-1.5084294587399877E-2</v>
      </c>
      <c r="Q382">
        <f t="shared" si="970"/>
        <v>-407403.47196095018</v>
      </c>
      <c r="R382">
        <f t="shared" si="971"/>
        <v>-571986733.47112978</v>
      </c>
      <c r="S382">
        <f t="shared" si="972"/>
        <v>-5719.8673347112981</v>
      </c>
      <c r="T382">
        <f t="shared" si="973"/>
        <v>-5.7198673347112985</v>
      </c>
    </row>
    <row r="383" spans="1:20" x14ac:dyDescent="0.25">
      <c r="A383" s="5">
        <v>44210</v>
      </c>
      <c r="B383">
        <v>0.12742999999999999</v>
      </c>
      <c r="C383">
        <v>0.13514999999999999</v>
      </c>
      <c r="D383">
        <v>0.123</v>
      </c>
      <c r="E383">
        <v>0.12628</v>
      </c>
      <c r="F383">
        <v>33714962.700000003</v>
      </c>
      <c r="G383">
        <v>0</v>
      </c>
      <c r="L383" t="s">
        <v>8</v>
      </c>
      <c r="M383" t="s">
        <v>7</v>
      </c>
      <c r="N383" t="s">
        <v>8</v>
      </c>
      <c r="P383">
        <f t="shared" si="969"/>
        <v>-0.46008230452674787</v>
      </c>
      <c r="Q383">
        <f t="shared" si="970"/>
        <v>-15511657.736049347</v>
      </c>
      <c r="R383">
        <f t="shared" si="971"/>
        <v>-571579329.99916887</v>
      </c>
      <c r="S383">
        <f t="shared" si="972"/>
        <v>-5715.7932999916884</v>
      </c>
      <c r="T383">
        <f t="shared" si="973"/>
        <v>-5.7157932999916881</v>
      </c>
    </row>
    <row r="384" spans="1:20" x14ac:dyDescent="0.25">
      <c r="A384" s="5">
        <v>44209</v>
      </c>
      <c r="B384">
        <v>0.13106999999999999</v>
      </c>
      <c r="C384">
        <v>0.13797999999999999</v>
      </c>
      <c r="D384">
        <v>0.1157</v>
      </c>
      <c r="E384">
        <v>0.12744</v>
      </c>
      <c r="F384">
        <v>59667709.200000003</v>
      </c>
      <c r="G384">
        <v>0</v>
      </c>
      <c r="L384" t="s">
        <v>7</v>
      </c>
      <c r="M384" t="s">
        <v>7</v>
      </c>
      <c r="N384" t="s">
        <v>8</v>
      </c>
      <c r="P384">
        <f t="shared" si="969"/>
        <v>5.3859964093357582E-2</v>
      </c>
      <c r="Q384">
        <f t="shared" si="970"/>
        <v>3213700.6750449021</v>
      </c>
      <c r="R384">
        <f t="shared" si="971"/>
        <v>-556067672.26311958</v>
      </c>
      <c r="S384">
        <f t="shared" si="972"/>
        <v>-5560.6767226311958</v>
      </c>
      <c r="T384">
        <f t="shared" si="973"/>
        <v>-5.5606767226311957</v>
      </c>
    </row>
    <row r="385" spans="1:20" x14ac:dyDescent="0.25">
      <c r="A385" s="5">
        <v>44208</v>
      </c>
      <c r="B385">
        <v>0.10779</v>
      </c>
      <c r="C385">
        <v>0.16</v>
      </c>
      <c r="D385">
        <v>9.9580000000000002E-2</v>
      </c>
      <c r="E385">
        <v>0.13106999999999999</v>
      </c>
      <c r="F385">
        <v>159284965.80000001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4.23700761337302E-2</v>
      </c>
      <c r="Q385">
        <f t="shared" si="970"/>
        <v>6748916.1279046116</v>
      </c>
      <c r="R385">
        <f t="shared" si="971"/>
        <v>-559281372.93816447</v>
      </c>
      <c r="S385">
        <f t="shared" si="972"/>
        <v>-5592.8137293816444</v>
      </c>
      <c r="T385">
        <f t="shared" si="973"/>
        <v>-5.5928137293816444</v>
      </c>
    </row>
    <row r="386" spans="1:20" x14ac:dyDescent="0.25">
      <c r="A386" s="5">
        <v>44207</v>
      </c>
      <c r="B386">
        <v>0.11824999999999999</v>
      </c>
      <c r="C386">
        <v>0.11824999999999999</v>
      </c>
      <c r="D386">
        <v>7.5999999999999998E-2</v>
      </c>
      <c r="E386">
        <v>0.10857</v>
      </c>
      <c r="F386">
        <v>59413938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0.54177514792899428</v>
      </c>
      <c r="Q386">
        <f t="shared" si="970"/>
        <v>32188995.048994094</v>
      </c>
      <c r="R386">
        <f t="shared" si="971"/>
        <v>-566030289.06606913</v>
      </c>
      <c r="S386">
        <f t="shared" si="972"/>
        <v>-5660.3028906606914</v>
      </c>
      <c r="T386">
        <f t="shared" si="973"/>
        <v>-5.6603028906606916</v>
      </c>
    </row>
    <row r="387" spans="1:20" x14ac:dyDescent="0.25">
      <c r="A387" s="5">
        <v>44206</v>
      </c>
      <c r="B387">
        <v>0.1196</v>
      </c>
      <c r="C387">
        <v>0.14000000000000001</v>
      </c>
      <c r="D387">
        <v>0.10358000000000001</v>
      </c>
      <c r="E387">
        <v>0.11834</v>
      </c>
      <c r="F387">
        <v>60639880.600000001</v>
      </c>
      <c r="G387">
        <v>0</v>
      </c>
      <c r="L387" t="s">
        <v>7</v>
      </c>
      <c r="M387" t="s">
        <v>7</v>
      </c>
      <c r="N387" t="s">
        <v>7</v>
      </c>
      <c r="P387">
        <f t="shared" si="969"/>
        <v>-0.18945634266886369</v>
      </c>
      <c r="Q387">
        <f t="shared" si="970"/>
        <v>-11488609.99835258</v>
      </c>
      <c r="R387">
        <f t="shared" si="971"/>
        <v>-598219284.11506319</v>
      </c>
      <c r="S387">
        <f t="shared" si="972"/>
        <v>-5982.1928411506315</v>
      </c>
      <c r="T387">
        <f t="shared" si="973"/>
        <v>-5.9821928411506313</v>
      </c>
    </row>
    <row r="388" spans="1:20" x14ac:dyDescent="0.25">
      <c r="A388" s="5">
        <v>44205</v>
      </c>
      <c r="B388">
        <v>0.13621</v>
      </c>
      <c r="C388">
        <v>0.15026999999999999</v>
      </c>
      <c r="D388">
        <v>0.10803</v>
      </c>
      <c r="E388">
        <v>0.11947000000000001</v>
      </c>
      <c r="F388">
        <v>83307488.400000006</v>
      </c>
      <c r="G388">
        <v>0</v>
      </c>
      <c r="L388" t="s">
        <v>7</v>
      </c>
      <c r="M388" t="s">
        <v>7</v>
      </c>
      <c r="N388" t="s">
        <v>7</v>
      </c>
      <c r="P388">
        <f t="shared" si="969"/>
        <v>-0.45833333333333287</v>
      </c>
      <c r="Q388">
        <f t="shared" si="970"/>
        <v>-38182598.849999964</v>
      </c>
      <c r="R388">
        <f t="shared" si="971"/>
        <v>-586730674.11671066</v>
      </c>
      <c r="S388">
        <f t="shared" si="972"/>
        <v>-5867.3067411671063</v>
      </c>
      <c r="T388">
        <f t="shared" si="973"/>
        <v>-5.8673067411671065</v>
      </c>
    </row>
    <row r="389" spans="1:20" x14ac:dyDescent="0.25">
      <c r="A389" s="5">
        <v>44204</v>
      </c>
      <c r="B389">
        <v>0.18545</v>
      </c>
      <c r="C389">
        <v>0.20050000000000001</v>
      </c>
      <c r="D389">
        <v>0.12056</v>
      </c>
      <c r="E389">
        <v>0.13617000000000001</v>
      </c>
      <c r="F389">
        <v>365814446.30000001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-0.60945709281961447</v>
      </c>
      <c r="Q389">
        <f t="shared" si="970"/>
        <v>-222948208.95341498</v>
      </c>
      <c r="R389">
        <f t="shared" si="971"/>
        <v>-548548075.26671076</v>
      </c>
      <c r="S389">
        <f t="shared" si="972"/>
        <v>-5485.4807526671075</v>
      </c>
      <c r="T389">
        <f t="shared" si="973"/>
        <v>-5.4854807526671072</v>
      </c>
    </row>
    <row r="390" spans="1:20" x14ac:dyDescent="0.25">
      <c r="A390" s="5">
        <v>44203</v>
      </c>
      <c r="B390">
        <v>5.6219999999999999E-2</v>
      </c>
      <c r="C390">
        <v>0.21965999999999999</v>
      </c>
      <c r="D390">
        <v>5.518E-2</v>
      </c>
      <c r="E390">
        <v>0.18431</v>
      </c>
      <c r="F390">
        <v>440355221.80000001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0.57016050583657596</v>
      </c>
      <c r="Q390">
        <f t="shared" ref="Q390:Q453" si="975">F390*P390</f>
        <v>251073156.0092656</v>
      </c>
      <c r="R390">
        <f t="shared" ref="R390:R453" si="976">R391+Q390</f>
        <v>-325599866.31329578</v>
      </c>
      <c r="S390">
        <f t="shared" ref="S390:S453" si="977">R390/100000</f>
        <v>-3255.998663132958</v>
      </c>
      <c r="T390">
        <f t="shared" ref="T390:T453" si="978">S390/1000</f>
        <v>-3.2559986631329578</v>
      </c>
    </row>
    <row r="391" spans="1:20" x14ac:dyDescent="0.25">
      <c r="A391" s="5">
        <v>44202</v>
      </c>
      <c r="B391">
        <v>4.8899999999999999E-2</v>
      </c>
      <c r="C391">
        <v>6.4000000000000001E-2</v>
      </c>
      <c r="D391">
        <v>4.8149999999999998E-2</v>
      </c>
      <c r="E391">
        <v>5.6219999999999999E-2</v>
      </c>
      <c r="F391">
        <v>39373062.399999999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1.8296529968454166E-2</v>
      </c>
      <c r="Q391">
        <f t="shared" si="975"/>
        <v>720390.41615141591</v>
      </c>
      <c r="R391">
        <f t="shared" si="976"/>
        <v>-576673022.32256138</v>
      </c>
      <c r="S391">
        <f t="shared" si="977"/>
        <v>-5766.7302232256143</v>
      </c>
      <c r="T391">
        <f t="shared" si="978"/>
        <v>-5.7667302232256139</v>
      </c>
    </row>
    <row r="392" spans="1:20" x14ac:dyDescent="0.25">
      <c r="A392" s="5">
        <v>44201</v>
      </c>
      <c r="B392">
        <v>4.5330000000000002E-2</v>
      </c>
      <c r="C392">
        <v>0.05</v>
      </c>
      <c r="D392">
        <v>4.3569999999999998E-2</v>
      </c>
      <c r="E392">
        <v>4.8899999999999999E-2</v>
      </c>
      <c r="F392">
        <v>16271064.4</v>
      </c>
      <c r="G392">
        <v>0</v>
      </c>
      <c r="L392" t="s">
        <v>7</v>
      </c>
      <c r="M392" t="s">
        <v>7</v>
      </c>
      <c r="N392" t="s">
        <v>7</v>
      </c>
      <c r="P392">
        <f t="shared" si="974"/>
        <v>0.65785381026438483</v>
      </c>
      <c r="Q392">
        <f t="shared" si="975"/>
        <v>10703981.712597188</v>
      </c>
      <c r="R392">
        <f t="shared" si="976"/>
        <v>-577393412.73871279</v>
      </c>
      <c r="S392">
        <f t="shared" si="977"/>
        <v>-5773.9341273871278</v>
      </c>
      <c r="T392">
        <f t="shared" si="978"/>
        <v>-5.7739341273871281</v>
      </c>
    </row>
    <row r="393" spans="1:20" x14ac:dyDescent="0.25">
      <c r="A393" s="5">
        <v>44200</v>
      </c>
      <c r="B393">
        <v>4.5929999999999999E-2</v>
      </c>
      <c r="C393">
        <v>4.9849999999999998E-2</v>
      </c>
      <c r="D393">
        <v>4.4290000000000003E-2</v>
      </c>
      <c r="E393">
        <v>4.5440000000000001E-2</v>
      </c>
      <c r="F393">
        <v>10369848.9</v>
      </c>
      <c r="G393">
        <v>0</v>
      </c>
      <c r="L393" t="s">
        <v>8</v>
      </c>
      <c r="M393" t="s">
        <v>7</v>
      </c>
      <c r="N393" t="s">
        <v>7</v>
      </c>
      <c r="P393">
        <f t="shared" si="974"/>
        <v>-0.58633093525179891</v>
      </c>
      <c r="Q393">
        <f t="shared" si="975"/>
        <v>-6080163.2039568387</v>
      </c>
      <c r="R393">
        <f t="shared" si="976"/>
        <v>-588097394.45130992</v>
      </c>
      <c r="S393">
        <f t="shared" si="977"/>
        <v>-5880.973944513099</v>
      </c>
      <c r="T393">
        <f t="shared" si="978"/>
        <v>-5.8809739445130988</v>
      </c>
    </row>
    <row r="394" spans="1:20" x14ac:dyDescent="0.25">
      <c r="A394" s="5">
        <v>44199</v>
      </c>
      <c r="B394">
        <v>4.7390000000000002E-2</v>
      </c>
      <c r="C394">
        <v>4.7800000000000002E-2</v>
      </c>
      <c r="D394">
        <v>4.3249999999999997E-2</v>
      </c>
      <c r="E394">
        <v>4.6149999999999997E-2</v>
      </c>
      <c r="F394">
        <v>9603129.0999999996</v>
      </c>
      <c r="G394">
        <v>0</v>
      </c>
      <c r="L394" t="s">
        <v>8</v>
      </c>
      <c r="M394" t="s">
        <v>7</v>
      </c>
      <c r="N394" t="s">
        <v>7</v>
      </c>
      <c r="P394">
        <f t="shared" si="974"/>
        <v>0.27472527472527314</v>
      </c>
      <c r="Q394">
        <f t="shared" si="975"/>
        <v>2638222.2802197649</v>
      </c>
      <c r="R394">
        <f t="shared" si="976"/>
        <v>-582017231.24735308</v>
      </c>
      <c r="S394">
        <f t="shared" si="977"/>
        <v>-5820.1723124735308</v>
      </c>
      <c r="T394">
        <f t="shared" si="978"/>
        <v>-5.820172312473531</v>
      </c>
    </row>
    <row r="395" spans="1:20" x14ac:dyDescent="0.25">
      <c r="A395" s="5">
        <v>44198</v>
      </c>
      <c r="B395">
        <v>4.6370000000000001E-2</v>
      </c>
      <c r="C395">
        <v>4.7669999999999997E-2</v>
      </c>
      <c r="D395">
        <v>4.3180000000000003E-2</v>
      </c>
      <c r="E395">
        <v>4.7440000000000003E-2</v>
      </c>
      <c r="F395">
        <v>7804449.7999999998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0.8975501113585771</v>
      </c>
      <c r="Q395">
        <f t="shared" si="975"/>
        <v>7004884.7870824244</v>
      </c>
      <c r="R395">
        <f t="shared" si="976"/>
        <v>-584655453.52757287</v>
      </c>
      <c r="S395">
        <f t="shared" si="977"/>
        <v>-5846.554535275729</v>
      </c>
      <c r="T395">
        <f t="shared" si="978"/>
        <v>-5.8465545352757289</v>
      </c>
    </row>
    <row r="396" spans="1:20" x14ac:dyDescent="0.25">
      <c r="A396" s="5">
        <v>44197</v>
      </c>
      <c r="B396">
        <v>4.514E-2</v>
      </c>
      <c r="C396">
        <v>5.2330000000000002E-2</v>
      </c>
      <c r="D396">
        <v>4.4900000000000002E-2</v>
      </c>
      <c r="E396">
        <v>4.6330000000000003E-2</v>
      </c>
      <c r="F396">
        <v>23151447.199999999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-0.61507402422611013</v>
      </c>
      <c r="Q396">
        <f t="shared" si="975"/>
        <v>-14239853.795962309</v>
      </c>
      <c r="R396">
        <f t="shared" si="976"/>
        <v>-591660338.3146553</v>
      </c>
      <c r="S396">
        <f t="shared" si="977"/>
        <v>-5916.6033831465529</v>
      </c>
      <c r="T396">
        <f t="shared" si="978"/>
        <v>-5.916603383146553</v>
      </c>
    </row>
    <row r="397" spans="1:20" x14ac:dyDescent="0.25">
      <c r="A397" s="5">
        <v>44196</v>
      </c>
      <c r="B397">
        <v>4.6260000000000003E-2</v>
      </c>
      <c r="C397">
        <v>4.6760000000000003E-2</v>
      </c>
      <c r="D397">
        <v>4.4330000000000001E-2</v>
      </c>
      <c r="E397">
        <v>4.514E-2</v>
      </c>
      <c r="F397">
        <v>4509432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-0.33333333333333526</v>
      </c>
      <c r="Q397">
        <f t="shared" si="975"/>
        <v>-1503144.0000000086</v>
      </c>
      <c r="R397">
        <f t="shared" si="976"/>
        <v>-577420484.51869297</v>
      </c>
      <c r="S397">
        <f t="shared" si="977"/>
        <v>-5774.2048451869296</v>
      </c>
      <c r="T397">
        <f t="shared" si="978"/>
        <v>-5.7742048451869294</v>
      </c>
    </row>
    <row r="398" spans="1:20" x14ac:dyDescent="0.25">
      <c r="A398" s="5">
        <v>44195</v>
      </c>
      <c r="B398">
        <v>4.7759999999999997E-2</v>
      </c>
      <c r="C398">
        <v>4.82E-2</v>
      </c>
      <c r="D398">
        <v>4.5659999999999999E-2</v>
      </c>
      <c r="E398">
        <v>4.6289999999999998E-2</v>
      </c>
      <c r="F398">
        <v>6072145.0999999996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-0.50393700787401696</v>
      </c>
      <c r="Q398">
        <f t="shared" si="975"/>
        <v>-3059978.6330708731</v>
      </c>
      <c r="R398">
        <f t="shared" si="976"/>
        <v>-575917340.51869297</v>
      </c>
      <c r="S398">
        <f t="shared" si="977"/>
        <v>-5759.1734051869298</v>
      </c>
      <c r="T398">
        <f t="shared" si="978"/>
        <v>-5.7591734051869299</v>
      </c>
    </row>
    <row r="399" spans="1:20" x14ac:dyDescent="0.25">
      <c r="A399" s="5">
        <v>44194</v>
      </c>
      <c r="B399">
        <v>4.8419999999999998E-2</v>
      </c>
      <c r="C399">
        <v>5.0200000000000002E-2</v>
      </c>
      <c r="D399">
        <v>4.4850000000000001E-2</v>
      </c>
      <c r="E399">
        <v>4.802E-2</v>
      </c>
      <c r="F399">
        <v>13354633.1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0.1850467289719622</v>
      </c>
      <c r="Q399">
        <f t="shared" si="975"/>
        <v>2471231.1717756954</v>
      </c>
      <c r="R399">
        <f t="shared" si="976"/>
        <v>-572857361.88562214</v>
      </c>
      <c r="S399">
        <f t="shared" si="977"/>
        <v>-5728.5736188562214</v>
      </c>
      <c r="T399">
        <f t="shared" si="978"/>
        <v>-5.7285736188562213</v>
      </c>
    </row>
    <row r="400" spans="1:20" x14ac:dyDescent="0.25">
      <c r="A400" s="5">
        <v>44193</v>
      </c>
      <c r="B400">
        <v>4.9860000000000002E-2</v>
      </c>
      <c r="C400">
        <v>5.0389999999999997E-2</v>
      </c>
      <c r="D400">
        <v>4.761E-2</v>
      </c>
      <c r="E400">
        <v>4.8320000000000002E-2</v>
      </c>
      <c r="F400">
        <v>14482381.300000001</v>
      </c>
      <c r="G400">
        <v>0</v>
      </c>
      <c r="L400" t="s">
        <v>8</v>
      </c>
      <c r="M400" t="s">
        <v>7</v>
      </c>
      <c r="N400" t="s">
        <v>7</v>
      </c>
      <c r="P400">
        <f t="shared" si="974"/>
        <v>-0.48920863309352314</v>
      </c>
      <c r="Q400">
        <f t="shared" si="975"/>
        <v>-7084905.9597122008</v>
      </c>
      <c r="R400">
        <f t="shared" si="976"/>
        <v>-575328593.05739784</v>
      </c>
      <c r="S400">
        <f t="shared" si="977"/>
        <v>-5753.2859305739785</v>
      </c>
      <c r="T400">
        <f t="shared" si="978"/>
        <v>-5.7532859305739787</v>
      </c>
    </row>
    <row r="401" spans="1:20" x14ac:dyDescent="0.25">
      <c r="A401" s="5">
        <v>44192</v>
      </c>
      <c r="B401">
        <v>4.9360000000000001E-2</v>
      </c>
      <c r="C401">
        <v>5.3999999999999999E-2</v>
      </c>
      <c r="D401">
        <v>4.6550000000000001E-2</v>
      </c>
      <c r="E401">
        <v>4.9799999999999997E-2</v>
      </c>
      <c r="F401">
        <v>30138785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-0.12751677852349083</v>
      </c>
      <c r="Q401">
        <f t="shared" si="975"/>
        <v>-3843200.7718121074</v>
      </c>
      <c r="R401">
        <f t="shared" si="976"/>
        <v>-568243687.09768569</v>
      </c>
      <c r="S401">
        <f t="shared" si="977"/>
        <v>-5682.4368709768569</v>
      </c>
      <c r="T401">
        <f t="shared" si="978"/>
        <v>-5.6824368709768569</v>
      </c>
    </row>
    <row r="402" spans="1:20" x14ac:dyDescent="0.25">
      <c r="A402" s="5">
        <v>44191</v>
      </c>
      <c r="B402">
        <v>4.7699999999999999E-2</v>
      </c>
      <c r="C402">
        <v>5.4469999999999998E-2</v>
      </c>
      <c r="D402">
        <v>4.725E-2</v>
      </c>
      <c r="E402">
        <v>4.9270000000000001E-2</v>
      </c>
      <c r="F402">
        <v>44816158.700000003</v>
      </c>
      <c r="G402">
        <v>0</v>
      </c>
      <c r="L402" t="s">
        <v>8</v>
      </c>
      <c r="M402" t="s">
        <v>7</v>
      </c>
      <c r="N402" t="s">
        <v>7</v>
      </c>
      <c r="P402">
        <f t="shared" si="974"/>
        <v>-0.44044321329639841</v>
      </c>
      <c r="Q402">
        <f t="shared" si="975"/>
        <v>-19738972.945429344</v>
      </c>
      <c r="R402">
        <f t="shared" si="976"/>
        <v>-564400486.32587361</v>
      </c>
      <c r="S402">
        <f t="shared" si="977"/>
        <v>-5644.0048632587359</v>
      </c>
      <c r="T402">
        <f t="shared" si="978"/>
        <v>-5.6440048632587363</v>
      </c>
    </row>
    <row r="403" spans="1:20" x14ac:dyDescent="0.25">
      <c r="A403" s="5">
        <v>44190</v>
      </c>
      <c r="B403">
        <v>5.0020000000000002E-2</v>
      </c>
      <c r="C403">
        <v>5.8999999999999997E-2</v>
      </c>
      <c r="D403">
        <v>4.6949999999999999E-2</v>
      </c>
      <c r="E403">
        <v>4.7579999999999997E-2</v>
      </c>
      <c r="F403">
        <v>66428556.899999999</v>
      </c>
      <c r="G403">
        <v>0</v>
      </c>
      <c r="L403" t="s">
        <v>7</v>
      </c>
      <c r="M403" t="s">
        <v>7</v>
      </c>
      <c r="N403" t="s">
        <v>7</v>
      </c>
      <c r="P403">
        <f t="shared" si="974"/>
        <v>-0.89543568464730317</v>
      </c>
      <c r="Q403">
        <f t="shared" si="975"/>
        <v>-59482500.327883832</v>
      </c>
      <c r="R403">
        <f t="shared" si="976"/>
        <v>-544661513.38044429</v>
      </c>
      <c r="S403">
        <f t="shared" si="977"/>
        <v>-5446.6151338044428</v>
      </c>
      <c r="T403">
        <f t="shared" si="978"/>
        <v>-5.4466151338044426</v>
      </c>
    </row>
    <row r="404" spans="1:20" x14ac:dyDescent="0.25">
      <c r="A404" s="5">
        <v>44189</v>
      </c>
      <c r="B404">
        <v>5.3999999999999999E-2</v>
      </c>
      <c r="C404">
        <v>6.6839999999999997E-2</v>
      </c>
      <c r="D404">
        <v>4.41E-2</v>
      </c>
      <c r="E404">
        <v>4.9950000000000001E-2</v>
      </c>
      <c r="F404">
        <v>281399280.80000001</v>
      </c>
      <c r="G404">
        <v>0</v>
      </c>
      <c r="L404" t="s">
        <v>8</v>
      </c>
      <c r="M404" t="s">
        <v>8</v>
      </c>
      <c r="N404" t="s">
        <v>8</v>
      </c>
      <c r="P404">
        <f t="shared" si="974"/>
        <v>-0.48548812664907637</v>
      </c>
      <c r="Q404">
        <f t="shared" si="975"/>
        <v>-136616009.67598942</v>
      </c>
      <c r="R404">
        <f t="shared" si="976"/>
        <v>-485179013.05256045</v>
      </c>
      <c r="S404">
        <f t="shared" si="977"/>
        <v>-4851.7901305256046</v>
      </c>
      <c r="T404">
        <f t="shared" si="978"/>
        <v>-4.8517901305256048</v>
      </c>
    </row>
    <row r="405" spans="1:20" x14ac:dyDescent="0.25">
      <c r="A405" s="5">
        <v>44188</v>
      </c>
      <c r="B405">
        <v>4.4229999999999998E-2</v>
      </c>
      <c r="C405">
        <v>9.1910000000000006E-2</v>
      </c>
      <c r="D405">
        <v>3.8640000000000001E-2</v>
      </c>
      <c r="E405">
        <v>5.3999999999999999E-2</v>
      </c>
      <c r="F405">
        <v>191001974.59999999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-0.42331518678430646</v>
      </c>
      <c r="Q405">
        <f t="shared" si="975"/>
        <v>-80854036.553970352</v>
      </c>
      <c r="R405">
        <f t="shared" si="976"/>
        <v>-348563003.376571</v>
      </c>
      <c r="S405">
        <f t="shared" si="977"/>
        <v>-3485.6300337657099</v>
      </c>
      <c r="T405">
        <f t="shared" si="978"/>
        <v>-3.4856300337657098</v>
      </c>
    </row>
    <row r="406" spans="1:20" x14ac:dyDescent="0.25">
      <c r="A406" s="5">
        <v>44187</v>
      </c>
      <c r="B406">
        <v>4.5609999999999998E-2</v>
      </c>
      <c r="C406">
        <v>4.5830000000000003E-2</v>
      </c>
      <c r="D406">
        <v>4.2500000000000003E-2</v>
      </c>
      <c r="E406">
        <v>4.41E-2</v>
      </c>
      <c r="F406">
        <v>8934251.5999999996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-3.9039039039040581E-2</v>
      </c>
      <c r="Q406">
        <f t="shared" si="975"/>
        <v>-348784.59699701075</v>
      </c>
      <c r="R406">
        <f t="shared" si="976"/>
        <v>-267708966.82260066</v>
      </c>
      <c r="S406">
        <f t="shared" si="977"/>
        <v>-2677.0896682260068</v>
      </c>
      <c r="T406">
        <f t="shared" si="978"/>
        <v>-2.6770896682260066</v>
      </c>
    </row>
    <row r="407" spans="1:20" x14ac:dyDescent="0.25">
      <c r="A407" s="5">
        <v>44186</v>
      </c>
      <c r="B407">
        <v>4.6129999999999997E-2</v>
      </c>
      <c r="C407">
        <v>4.7989999999999998E-2</v>
      </c>
      <c r="D407">
        <v>4.3630000000000002E-2</v>
      </c>
      <c r="E407">
        <v>4.5539999999999997E-2</v>
      </c>
      <c r="F407">
        <v>10243498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-0.12385321100917575</v>
      </c>
      <c r="Q407">
        <f t="shared" si="975"/>
        <v>-1268690.1192660697</v>
      </c>
      <c r="R407">
        <f t="shared" si="976"/>
        <v>-267360182.22560364</v>
      </c>
      <c r="S407">
        <f t="shared" si="977"/>
        <v>-2673.6018222560365</v>
      </c>
      <c r="T407">
        <f t="shared" si="978"/>
        <v>-2.6736018222560363</v>
      </c>
    </row>
    <row r="408" spans="1:20" x14ac:dyDescent="0.25">
      <c r="A408" s="5">
        <v>44185</v>
      </c>
      <c r="B408">
        <v>4.8160000000000001E-2</v>
      </c>
      <c r="C408">
        <v>4.9599999999999998E-2</v>
      </c>
      <c r="D408">
        <v>4.5150000000000003E-2</v>
      </c>
      <c r="E408">
        <v>4.6109999999999998E-2</v>
      </c>
      <c r="F408">
        <v>12258219.300000001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-0.56853932584269817</v>
      </c>
      <c r="Q408">
        <f t="shared" si="975"/>
        <v>-6969279.7368539516</v>
      </c>
      <c r="R408">
        <f t="shared" si="976"/>
        <v>-266091492.10633758</v>
      </c>
      <c r="S408">
        <f t="shared" si="977"/>
        <v>-2660.9149210633759</v>
      </c>
      <c r="T408">
        <f t="shared" si="978"/>
        <v>-2.6609149210633758</v>
      </c>
    </row>
    <row r="409" spans="1:20" x14ac:dyDescent="0.25">
      <c r="A409" s="5">
        <v>44184</v>
      </c>
      <c r="B409">
        <v>4.9299999999999997E-2</v>
      </c>
      <c r="C409">
        <v>5.2310000000000002E-2</v>
      </c>
      <c r="D409">
        <v>4.7910000000000001E-2</v>
      </c>
      <c r="E409">
        <v>4.8210000000000003E-2</v>
      </c>
      <c r="F409">
        <v>12341690.6</v>
      </c>
      <c r="G409">
        <v>0</v>
      </c>
      <c r="L409" t="s">
        <v>8</v>
      </c>
      <c r="M409" t="s">
        <v>7</v>
      </c>
      <c r="N409" t="s">
        <v>7</v>
      </c>
      <c r="P409">
        <f t="shared" si="974"/>
        <v>-0.86363636363636287</v>
      </c>
      <c r="Q409">
        <f t="shared" si="975"/>
        <v>-10658732.790909082</v>
      </c>
      <c r="R409">
        <f t="shared" si="976"/>
        <v>-259122212.36948362</v>
      </c>
      <c r="S409">
        <f t="shared" si="977"/>
        <v>-2591.2221236948362</v>
      </c>
      <c r="T409">
        <f t="shared" si="978"/>
        <v>-2.5912221236948363</v>
      </c>
    </row>
    <row r="410" spans="1:20" x14ac:dyDescent="0.25">
      <c r="A410" s="5">
        <v>44183</v>
      </c>
      <c r="B410">
        <v>4.8590000000000001E-2</v>
      </c>
      <c r="C410">
        <v>5.0799999999999998E-2</v>
      </c>
      <c r="D410">
        <v>4.6050000000000001E-2</v>
      </c>
      <c r="E410">
        <v>4.938E-2</v>
      </c>
      <c r="F410">
        <v>9945880.5999999996</v>
      </c>
      <c r="G410">
        <v>0</v>
      </c>
      <c r="L410" t="s">
        <v>7</v>
      </c>
      <c r="M410" t="s">
        <v>7</v>
      </c>
      <c r="N410" t="s">
        <v>7</v>
      </c>
      <c r="P410">
        <f t="shared" si="974"/>
        <v>0.40210526315789541</v>
      </c>
      <c r="Q410">
        <f t="shared" si="975"/>
        <v>3999290.9360000067</v>
      </c>
      <c r="R410">
        <f t="shared" si="976"/>
        <v>-248463479.57857454</v>
      </c>
      <c r="S410">
        <f t="shared" si="977"/>
        <v>-2484.6347957857456</v>
      </c>
      <c r="T410">
        <f t="shared" si="978"/>
        <v>-2.4846347957857455</v>
      </c>
    </row>
    <row r="411" spans="1:20" x14ac:dyDescent="0.25">
      <c r="A411" s="5">
        <v>44182</v>
      </c>
      <c r="B411">
        <v>5.0180000000000002E-2</v>
      </c>
      <c r="C411">
        <v>5.1400000000000001E-2</v>
      </c>
      <c r="D411">
        <v>4.7100000000000003E-2</v>
      </c>
      <c r="E411">
        <v>4.8779999999999997E-2</v>
      </c>
      <c r="F411">
        <v>10497961.800000001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-0.21860465116279318</v>
      </c>
      <c r="Q411">
        <f t="shared" si="975"/>
        <v>-2294903.2772093285</v>
      </c>
      <c r="R411">
        <f t="shared" si="976"/>
        <v>-252462770.51457456</v>
      </c>
      <c r="S411">
        <f t="shared" si="977"/>
        <v>-2524.6277051457455</v>
      </c>
      <c r="T411">
        <f t="shared" si="978"/>
        <v>-2.5246277051457455</v>
      </c>
    </row>
    <row r="412" spans="1:20" x14ac:dyDescent="0.25">
      <c r="A412" s="5">
        <v>44181</v>
      </c>
      <c r="B412">
        <v>4.8480000000000002E-2</v>
      </c>
      <c r="C412">
        <v>5.0979999999999998E-2</v>
      </c>
      <c r="D412">
        <v>4.727E-2</v>
      </c>
      <c r="E412">
        <v>5.0180000000000002E-2</v>
      </c>
      <c r="F412">
        <v>13862401.199999999</v>
      </c>
      <c r="G412">
        <v>0</v>
      </c>
      <c r="L412" t="s">
        <v>8</v>
      </c>
      <c r="M412" t="s">
        <v>8</v>
      </c>
      <c r="N412" t="s">
        <v>7</v>
      </c>
      <c r="P412">
        <f t="shared" si="974"/>
        <v>0.56873315363881638</v>
      </c>
      <c r="Q412">
        <f t="shared" si="975"/>
        <v>7884007.1514825122</v>
      </c>
      <c r="R412">
        <f t="shared" si="976"/>
        <v>-250167867.23736522</v>
      </c>
      <c r="S412">
        <f t="shared" si="977"/>
        <v>-2501.6786723736523</v>
      </c>
      <c r="T412">
        <f t="shared" si="978"/>
        <v>-2.5016786723736524</v>
      </c>
    </row>
    <row r="413" spans="1:20" x14ac:dyDescent="0.25">
      <c r="A413" s="5">
        <v>44180</v>
      </c>
      <c r="B413">
        <v>5.0729999999999997E-2</v>
      </c>
      <c r="C413">
        <v>5.1999999999999998E-2</v>
      </c>
      <c r="D413">
        <v>4.734E-2</v>
      </c>
      <c r="E413">
        <v>4.8579999999999998E-2</v>
      </c>
      <c r="F413">
        <v>8945190.8000000007</v>
      </c>
      <c r="G413">
        <v>0</v>
      </c>
      <c r="L413" t="s">
        <v>7</v>
      </c>
      <c r="M413" t="s">
        <v>8</v>
      </c>
      <c r="N413" t="s">
        <v>7</v>
      </c>
      <c r="P413">
        <f t="shared" si="974"/>
        <v>-0.46781115879828383</v>
      </c>
      <c r="Q413">
        <f t="shared" si="975"/>
        <v>-4184660.0738197481</v>
      </c>
      <c r="R413">
        <f t="shared" si="976"/>
        <v>-258051874.38884774</v>
      </c>
      <c r="S413">
        <f t="shared" si="977"/>
        <v>-2580.5187438884773</v>
      </c>
      <c r="T413">
        <f t="shared" si="978"/>
        <v>-2.5805187438884771</v>
      </c>
    </row>
    <row r="414" spans="1:20" x14ac:dyDescent="0.25">
      <c r="A414" s="5">
        <v>44179</v>
      </c>
      <c r="B414">
        <v>5.1549999999999999E-2</v>
      </c>
      <c r="C414">
        <v>5.2699999999999997E-2</v>
      </c>
      <c r="D414">
        <v>0.05</v>
      </c>
      <c r="E414">
        <v>5.0709999999999998E-2</v>
      </c>
      <c r="F414">
        <v>4703303.7</v>
      </c>
      <c r="G414">
        <v>0</v>
      </c>
      <c r="L414" t="s">
        <v>7</v>
      </c>
      <c r="M414" t="s">
        <v>8</v>
      </c>
      <c r="N414" t="s">
        <v>7</v>
      </c>
      <c r="P414">
        <f t="shared" si="974"/>
        <v>-0.47407407407407637</v>
      </c>
      <c r="Q414">
        <f t="shared" si="975"/>
        <v>-2229714.3466666774</v>
      </c>
      <c r="R414">
        <f t="shared" si="976"/>
        <v>-253867214.31502798</v>
      </c>
      <c r="S414">
        <f t="shared" si="977"/>
        <v>-2538.6721431502797</v>
      </c>
      <c r="T414">
        <f t="shared" si="978"/>
        <v>-2.5386721431502797</v>
      </c>
    </row>
    <row r="415" spans="1:20" x14ac:dyDescent="0.25">
      <c r="A415" s="5">
        <v>44178</v>
      </c>
      <c r="B415">
        <v>5.1369999999999999E-2</v>
      </c>
      <c r="C415">
        <v>5.3310000000000003E-2</v>
      </c>
      <c r="D415">
        <v>5.0509999999999999E-2</v>
      </c>
      <c r="E415">
        <v>5.1580000000000001E-2</v>
      </c>
      <c r="F415">
        <v>6863245.5999999996</v>
      </c>
      <c r="G415">
        <v>0</v>
      </c>
      <c r="L415" t="s">
        <v>8</v>
      </c>
      <c r="M415" t="s">
        <v>8</v>
      </c>
      <c r="N415" t="s">
        <v>7</v>
      </c>
      <c r="P415">
        <f t="shared" si="974"/>
        <v>-0.23571428571428571</v>
      </c>
      <c r="Q415">
        <f t="shared" si="975"/>
        <v>-1617765.0342857142</v>
      </c>
      <c r="R415">
        <f t="shared" si="976"/>
        <v>-251637499.96836132</v>
      </c>
      <c r="S415">
        <f t="shared" si="977"/>
        <v>-2516.3749996836132</v>
      </c>
      <c r="T415">
        <f t="shared" si="978"/>
        <v>-2.5163749996836131</v>
      </c>
    </row>
    <row r="416" spans="1:20" x14ac:dyDescent="0.25">
      <c r="A416" s="5">
        <v>44177</v>
      </c>
      <c r="B416">
        <v>4.9739999999999999E-2</v>
      </c>
      <c r="C416">
        <v>5.4399999999999997E-2</v>
      </c>
      <c r="D416">
        <v>4.8809999999999999E-2</v>
      </c>
      <c r="E416">
        <v>5.1360000000000003E-2</v>
      </c>
      <c r="F416">
        <v>12124879.9</v>
      </c>
      <c r="G416">
        <v>0</v>
      </c>
      <c r="L416" t="s">
        <v>8</v>
      </c>
      <c r="M416" t="s">
        <v>8</v>
      </c>
      <c r="N416" t="s">
        <v>7</v>
      </c>
      <c r="P416">
        <f t="shared" si="974"/>
        <v>-8.7656529516992959E-2</v>
      </c>
      <c r="Q416">
        <f t="shared" si="975"/>
        <v>-1062824.8928443447</v>
      </c>
      <c r="R416">
        <f t="shared" si="976"/>
        <v>-250019734.93407559</v>
      </c>
      <c r="S416">
        <f t="shared" si="977"/>
        <v>-2500.1973493407559</v>
      </c>
      <c r="T416">
        <f t="shared" si="978"/>
        <v>-2.5001973493407559</v>
      </c>
    </row>
    <row r="417" spans="1:20" x14ac:dyDescent="0.25">
      <c r="A417" s="5">
        <v>44176</v>
      </c>
      <c r="B417">
        <v>4.9029999999999997E-2</v>
      </c>
      <c r="C417">
        <v>5.1529999999999999E-2</v>
      </c>
      <c r="D417">
        <v>4.6109999999999998E-2</v>
      </c>
      <c r="E417">
        <v>4.9660000000000003E-2</v>
      </c>
      <c r="F417">
        <v>13462310.699999999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0.30996309963099772</v>
      </c>
      <c r="Q417">
        <f t="shared" si="975"/>
        <v>4172819.5527675464</v>
      </c>
      <c r="R417">
        <f t="shared" si="976"/>
        <v>-248956910.04123124</v>
      </c>
      <c r="S417">
        <f t="shared" si="977"/>
        <v>-2489.5691004123123</v>
      </c>
      <c r="T417">
        <f t="shared" si="978"/>
        <v>-2.4895691004123122</v>
      </c>
    </row>
    <row r="418" spans="1:20" x14ac:dyDescent="0.25">
      <c r="A418" s="5">
        <v>44175</v>
      </c>
      <c r="B418">
        <v>5.0999999999999997E-2</v>
      </c>
      <c r="C418">
        <v>5.2389999999999999E-2</v>
      </c>
      <c r="D418">
        <v>4.786E-2</v>
      </c>
      <c r="E418">
        <v>4.9099999999999998E-2</v>
      </c>
      <c r="F418">
        <v>10006664.9</v>
      </c>
      <c r="G418">
        <v>0</v>
      </c>
      <c r="L418" t="s">
        <v>8</v>
      </c>
      <c r="M418" t="s">
        <v>7</v>
      </c>
      <c r="N418" t="s">
        <v>8</v>
      </c>
      <c r="P418">
        <f t="shared" si="974"/>
        <v>-0.45253863134657912</v>
      </c>
      <c r="Q418">
        <f t="shared" si="975"/>
        <v>-4528402.438189853</v>
      </c>
      <c r="R418">
        <f t="shared" si="976"/>
        <v>-253129729.59399879</v>
      </c>
      <c r="S418">
        <f t="shared" si="977"/>
        <v>-2531.2972959399881</v>
      </c>
      <c r="T418">
        <f t="shared" si="978"/>
        <v>-2.531297295939988</v>
      </c>
    </row>
    <row r="419" spans="1:20" x14ac:dyDescent="0.25">
      <c r="A419" s="5">
        <v>44174</v>
      </c>
      <c r="B419">
        <v>5.1299999999999998E-2</v>
      </c>
      <c r="C419">
        <v>5.4100000000000002E-2</v>
      </c>
      <c r="D419">
        <v>4.7719999999999999E-2</v>
      </c>
      <c r="E419">
        <v>5.0999999999999997E-2</v>
      </c>
      <c r="F419">
        <v>15190764.5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2.8213166144199459E-2</v>
      </c>
      <c r="Q419">
        <f t="shared" si="975"/>
        <v>428579.56269590702</v>
      </c>
      <c r="R419">
        <f t="shared" si="976"/>
        <v>-248601327.15580893</v>
      </c>
      <c r="S419">
        <f t="shared" si="977"/>
        <v>-2486.0132715580894</v>
      </c>
      <c r="T419">
        <f t="shared" si="978"/>
        <v>-2.4860132715580896</v>
      </c>
    </row>
    <row r="420" spans="1:20" x14ac:dyDescent="0.25">
      <c r="A420" s="5">
        <v>44173</v>
      </c>
      <c r="B420">
        <v>5.475E-2</v>
      </c>
      <c r="C420">
        <v>5.8529999999999999E-2</v>
      </c>
      <c r="D420">
        <v>5.0049999999999997E-2</v>
      </c>
      <c r="E420">
        <v>5.1299999999999998E-2</v>
      </c>
      <c r="F420">
        <v>28997102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-0.70518867924528283</v>
      </c>
      <c r="Q420">
        <f t="shared" si="975"/>
        <v>-20448428.061320748</v>
      </c>
      <c r="R420">
        <f t="shared" si="976"/>
        <v>-249029906.71850485</v>
      </c>
      <c r="S420">
        <f t="shared" si="977"/>
        <v>-2490.2990671850484</v>
      </c>
      <c r="T420">
        <f t="shared" si="978"/>
        <v>-2.4902990671850485</v>
      </c>
    </row>
    <row r="421" spans="1:20" x14ac:dyDescent="0.25">
      <c r="A421" s="5">
        <v>44172</v>
      </c>
      <c r="B421">
        <v>5.7299999999999997E-2</v>
      </c>
      <c r="C421">
        <v>5.7329999999999999E-2</v>
      </c>
      <c r="D421">
        <v>5.4149999999999997E-2</v>
      </c>
      <c r="E421">
        <v>5.4800000000000001E-2</v>
      </c>
      <c r="F421">
        <v>10860581.199999999</v>
      </c>
      <c r="G421">
        <v>0</v>
      </c>
      <c r="L421" t="s">
        <v>7</v>
      </c>
      <c r="M421" t="s">
        <v>7</v>
      </c>
      <c r="N421" t="s">
        <v>8</v>
      </c>
      <c r="P421">
        <f t="shared" si="974"/>
        <v>-0.59119496855345643</v>
      </c>
      <c r="Q421">
        <f t="shared" si="975"/>
        <v>-6420720.9610062595</v>
      </c>
      <c r="R421">
        <f t="shared" si="976"/>
        <v>-228581478.65718409</v>
      </c>
      <c r="S421">
        <f t="shared" si="977"/>
        <v>-2285.8147865718411</v>
      </c>
      <c r="T421">
        <f t="shared" si="978"/>
        <v>-2.2858147865718412</v>
      </c>
    </row>
    <row r="422" spans="1:20" x14ac:dyDescent="0.25">
      <c r="A422" s="5">
        <v>44171</v>
      </c>
      <c r="B422">
        <v>6.1359999999999998E-2</v>
      </c>
      <c r="C422">
        <v>6.4649999999999999E-2</v>
      </c>
      <c r="D422">
        <v>5.6000000000000001E-2</v>
      </c>
      <c r="E422">
        <v>5.74E-2</v>
      </c>
      <c r="F422">
        <v>39888763.799999997</v>
      </c>
      <c r="G422">
        <v>0</v>
      </c>
      <c r="L422" t="s">
        <v>8</v>
      </c>
      <c r="M422" t="s">
        <v>7</v>
      </c>
      <c r="N422" t="s">
        <v>8</v>
      </c>
      <c r="P422">
        <f t="shared" si="974"/>
        <v>-0.67630057803468235</v>
      </c>
      <c r="Q422">
        <f t="shared" si="975"/>
        <v>-26976794.015028909</v>
      </c>
      <c r="R422">
        <f t="shared" si="976"/>
        <v>-222160757.69617784</v>
      </c>
      <c r="S422">
        <f t="shared" si="977"/>
        <v>-2221.6075769617782</v>
      </c>
      <c r="T422">
        <f t="shared" si="978"/>
        <v>-2.2216075769617785</v>
      </c>
    </row>
    <row r="423" spans="1:20" x14ac:dyDescent="0.25">
      <c r="A423" s="5">
        <v>44170</v>
      </c>
      <c r="B423">
        <v>4.9979999999999997E-2</v>
      </c>
      <c r="C423">
        <v>6.5699999999999995E-2</v>
      </c>
      <c r="D423">
        <v>4.9169999999999998E-2</v>
      </c>
      <c r="E423">
        <v>6.1370000000000001E-2</v>
      </c>
      <c r="F423">
        <v>40072127.799999997</v>
      </c>
      <c r="G423">
        <v>0</v>
      </c>
      <c r="L423" t="s">
        <v>7</v>
      </c>
      <c r="M423" t="s">
        <v>8</v>
      </c>
      <c r="N423" t="s">
        <v>8</v>
      </c>
      <c r="P423">
        <f t="shared" si="974"/>
        <v>0.47610405323654026</v>
      </c>
      <c r="Q423">
        <f t="shared" si="975"/>
        <v>19078502.467392642</v>
      </c>
      <c r="R423">
        <f t="shared" si="976"/>
        <v>-195183963.68114895</v>
      </c>
      <c r="S423">
        <f t="shared" si="977"/>
        <v>-1951.8396368114895</v>
      </c>
      <c r="T423">
        <f t="shared" si="978"/>
        <v>-1.9518396368114894</v>
      </c>
    </row>
    <row r="424" spans="1:20" x14ac:dyDescent="0.25">
      <c r="A424" s="5">
        <v>44169</v>
      </c>
      <c r="B424">
        <v>5.4370000000000002E-2</v>
      </c>
      <c r="C424">
        <v>5.7079999999999999E-2</v>
      </c>
      <c r="D424">
        <v>4.9869999999999998E-2</v>
      </c>
      <c r="E424">
        <v>4.9950000000000001E-2</v>
      </c>
      <c r="F424">
        <v>18803616.600000001</v>
      </c>
      <c r="G424">
        <v>0</v>
      </c>
      <c r="L424" t="s">
        <v>7</v>
      </c>
      <c r="M424" t="s">
        <v>7</v>
      </c>
      <c r="N424" t="s">
        <v>8</v>
      </c>
      <c r="P424">
        <f t="shared" si="974"/>
        <v>-0.97780859916782148</v>
      </c>
      <c r="Q424">
        <f t="shared" si="975"/>
        <v>-18386338.006934796</v>
      </c>
      <c r="R424">
        <f t="shared" si="976"/>
        <v>-214262466.1485416</v>
      </c>
      <c r="S424">
        <f t="shared" si="977"/>
        <v>-2142.6246614854158</v>
      </c>
      <c r="T424">
        <f t="shared" si="978"/>
        <v>-2.1426246614854159</v>
      </c>
    </row>
    <row r="425" spans="1:20" x14ac:dyDescent="0.25">
      <c r="A425" s="5">
        <v>44168</v>
      </c>
      <c r="B425">
        <v>5.6899999999999999E-2</v>
      </c>
      <c r="C425">
        <v>6.1600000000000002E-2</v>
      </c>
      <c r="D425">
        <v>5.144E-2</v>
      </c>
      <c r="E425">
        <v>5.4280000000000002E-2</v>
      </c>
      <c r="F425">
        <v>41401427.299999997</v>
      </c>
      <c r="G425">
        <v>0</v>
      </c>
      <c r="L425" t="s">
        <v>7</v>
      </c>
      <c r="M425" t="s">
        <v>7</v>
      </c>
      <c r="N425" t="s">
        <v>8</v>
      </c>
      <c r="P425">
        <f t="shared" si="974"/>
        <v>-0.44094488188976344</v>
      </c>
      <c r="Q425">
        <f t="shared" si="975"/>
        <v>-18255747.470866125</v>
      </c>
      <c r="R425">
        <f t="shared" si="976"/>
        <v>-195876128.14160681</v>
      </c>
      <c r="S425">
        <f t="shared" si="977"/>
        <v>-1958.7612814160682</v>
      </c>
      <c r="T425">
        <f t="shared" si="978"/>
        <v>-1.9587612814160682</v>
      </c>
    </row>
    <row r="426" spans="1:20" x14ac:dyDescent="0.25">
      <c r="A426" s="5">
        <v>44167</v>
      </c>
      <c r="B426">
        <v>4.9849999999999998E-2</v>
      </c>
      <c r="C426">
        <v>6.4560000000000006E-2</v>
      </c>
      <c r="D426">
        <v>4.9270000000000001E-2</v>
      </c>
      <c r="E426">
        <v>5.6899999999999999E-2</v>
      </c>
      <c r="F426">
        <v>48968078.299999997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-1.9620667102687494E-3</v>
      </c>
      <c r="Q426">
        <f t="shared" si="975"/>
        <v>-96078.636298263533</v>
      </c>
      <c r="R426">
        <f t="shared" si="976"/>
        <v>-177620380.67074069</v>
      </c>
      <c r="S426">
        <f t="shared" si="977"/>
        <v>-1776.203806707407</v>
      </c>
      <c r="T426">
        <f t="shared" si="978"/>
        <v>-1.7762038067074071</v>
      </c>
    </row>
    <row r="427" spans="1:20" x14ac:dyDescent="0.25">
      <c r="A427" s="5">
        <v>44166</v>
      </c>
      <c r="B427">
        <v>5.0970000000000001E-2</v>
      </c>
      <c r="C427">
        <v>5.3650000000000003E-2</v>
      </c>
      <c r="D427">
        <v>4.7390000000000002E-2</v>
      </c>
      <c r="E427">
        <v>4.9959999999999997E-2</v>
      </c>
      <c r="F427">
        <v>11594350.199999999</v>
      </c>
      <c r="G427">
        <v>0</v>
      </c>
      <c r="L427" t="s">
        <v>8</v>
      </c>
      <c r="M427" t="s">
        <v>7</v>
      </c>
      <c r="N427" t="s">
        <v>7</v>
      </c>
      <c r="P427">
        <f t="shared" si="974"/>
        <v>-0.17891373801917085</v>
      </c>
      <c r="Q427">
        <f t="shared" si="975"/>
        <v>-2074388.5341853211</v>
      </c>
      <c r="R427">
        <f t="shared" si="976"/>
        <v>-177524302.03444242</v>
      </c>
      <c r="S427">
        <f t="shared" si="977"/>
        <v>-1775.2430203444242</v>
      </c>
      <c r="T427">
        <f t="shared" si="978"/>
        <v>-1.7752430203444243</v>
      </c>
    </row>
    <row r="428" spans="1:20" x14ac:dyDescent="0.25">
      <c r="A428" s="5">
        <v>44165</v>
      </c>
      <c r="B428">
        <v>4.9459999999999997E-2</v>
      </c>
      <c r="C428">
        <v>5.3159999999999999E-2</v>
      </c>
      <c r="D428">
        <v>4.8919999999999998E-2</v>
      </c>
      <c r="E428">
        <v>5.0799999999999998E-2</v>
      </c>
      <c r="F428">
        <v>10781452.9</v>
      </c>
      <c r="G428">
        <v>0</v>
      </c>
      <c r="L428" t="s">
        <v>8</v>
      </c>
      <c r="M428" t="s">
        <v>7</v>
      </c>
      <c r="N428" t="s">
        <v>7</v>
      </c>
      <c r="P428">
        <f t="shared" si="974"/>
        <v>-0.1132075471698116</v>
      </c>
      <c r="Q428">
        <f t="shared" si="975"/>
        <v>-1220541.8377358522</v>
      </c>
      <c r="R428">
        <f t="shared" si="976"/>
        <v>-175449913.5002571</v>
      </c>
      <c r="S428">
        <f t="shared" si="977"/>
        <v>-1754.4991350025709</v>
      </c>
      <c r="T428">
        <f t="shared" si="978"/>
        <v>-1.7544991350025709</v>
      </c>
    </row>
    <row r="429" spans="1:20" x14ac:dyDescent="0.25">
      <c r="A429" s="5">
        <v>44164</v>
      </c>
      <c r="B429">
        <v>5.0590000000000003E-2</v>
      </c>
      <c r="C429">
        <v>5.1830000000000001E-2</v>
      </c>
      <c r="D429">
        <v>4.8719999999999999E-2</v>
      </c>
      <c r="E429">
        <v>4.947E-2</v>
      </c>
      <c r="F429">
        <v>7890222.2000000002</v>
      </c>
      <c r="G429">
        <v>0</v>
      </c>
      <c r="L429" t="s">
        <v>7</v>
      </c>
      <c r="M429" t="s">
        <v>7</v>
      </c>
      <c r="N429" t="s">
        <v>7</v>
      </c>
      <c r="P429">
        <f t="shared" si="974"/>
        <v>-0.5176848874598069</v>
      </c>
      <c r="Q429">
        <f t="shared" si="975"/>
        <v>-4084648.79163987</v>
      </c>
      <c r="R429">
        <f t="shared" si="976"/>
        <v>-174229371.66252124</v>
      </c>
      <c r="S429">
        <f t="shared" si="977"/>
        <v>-1742.2937166252125</v>
      </c>
      <c r="T429">
        <f t="shared" si="978"/>
        <v>-1.7422937166252124</v>
      </c>
    </row>
    <row r="430" spans="1:20" x14ac:dyDescent="0.25">
      <c r="A430" s="5">
        <v>44163</v>
      </c>
      <c r="B430">
        <v>4.9500000000000002E-2</v>
      </c>
      <c r="C430">
        <v>5.3999999999999999E-2</v>
      </c>
      <c r="D430">
        <v>4.7960000000000003E-2</v>
      </c>
      <c r="E430">
        <v>5.0650000000000001E-2</v>
      </c>
      <c r="F430">
        <v>11837339</v>
      </c>
      <c r="G430">
        <v>0</v>
      </c>
      <c r="L430" t="s">
        <v>8</v>
      </c>
      <c r="M430" t="s">
        <v>7</v>
      </c>
      <c r="N430" t="s">
        <v>7</v>
      </c>
      <c r="P430">
        <f t="shared" si="974"/>
        <v>-0.10927152317880814</v>
      </c>
      <c r="Q430">
        <f t="shared" si="975"/>
        <v>-1293484.0629139096</v>
      </c>
      <c r="R430">
        <f t="shared" si="976"/>
        <v>-170144722.87088138</v>
      </c>
      <c r="S430">
        <f t="shared" si="977"/>
        <v>-1701.4472287088138</v>
      </c>
      <c r="T430">
        <f t="shared" si="978"/>
        <v>-1.7014472287088138</v>
      </c>
    </row>
    <row r="431" spans="1:20" x14ac:dyDescent="0.25">
      <c r="A431" s="5">
        <v>44162</v>
      </c>
      <c r="B431">
        <v>5.074E-2</v>
      </c>
      <c r="C431">
        <v>5.2220000000000003E-2</v>
      </c>
      <c r="D431">
        <v>4.7359999999999999E-2</v>
      </c>
      <c r="E431">
        <v>4.9549999999999997E-2</v>
      </c>
      <c r="F431">
        <v>12323977.199999999</v>
      </c>
      <c r="G431">
        <v>0</v>
      </c>
      <c r="L431" t="s">
        <v>7</v>
      </c>
      <c r="M431" t="s">
        <v>7</v>
      </c>
      <c r="N431" t="s">
        <v>7</v>
      </c>
      <c r="P431">
        <f t="shared" si="974"/>
        <v>-9.876543209876705E-2</v>
      </c>
      <c r="Q431">
        <f t="shared" si="975"/>
        <v>-1217182.9333333531</v>
      </c>
      <c r="R431">
        <f t="shared" si="976"/>
        <v>-168851238.80796745</v>
      </c>
      <c r="S431">
        <f t="shared" si="977"/>
        <v>-1688.5123880796746</v>
      </c>
      <c r="T431">
        <f t="shared" si="978"/>
        <v>-1.6885123880796746</v>
      </c>
    </row>
    <row r="432" spans="1:20" x14ac:dyDescent="0.25">
      <c r="A432" s="5">
        <v>44161</v>
      </c>
      <c r="B432">
        <v>6.0760000000000002E-2</v>
      </c>
      <c r="C432">
        <v>7.0000000000000007E-2</v>
      </c>
      <c r="D432">
        <v>4.5010000000000001E-2</v>
      </c>
      <c r="E432">
        <v>5.074E-2</v>
      </c>
      <c r="F432">
        <v>50628887.5</v>
      </c>
      <c r="G432">
        <v>0</v>
      </c>
      <c r="L432" t="s">
        <v>8</v>
      </c>
      <c r="M432" t="s">
        <v>8</v>
      </c>
      <c r="N432" t="s">
        <v>8</v>
      </c>
      <c r="P432">
        <f t="shared" si="974"/>
        <v>-0.54141656662665083</v>
      </c>
      <c r="Q432">
        <f t="shared" si="975"/>
        <v>-27411318.44237696</v>
      </c>
      <c r="R432">
        <f t="shared" si="976"/>
        <v>-167634055.87463409</v>
      </c>
      <c r="S432">
        <f t="shared" si="977"/>
        <v>-1676.3405587463408</v>
      </c>
      <c r="T432">
        <f t="shared" si="978"/>
        <v>-1.6763405587463407</v>
      </c>
    </row>
    <row r="433" spans="1:20" x14ac:dyDescent="0.25">
      <c r="A433" s="5">
        <v>44160</v>
      </c>
      <c r="B433">
        <v>4.5760000000000002E-2</v>
      </c>
      <c r="C433">
        <v>6.6000000000000003E-2</v>
      </c>
      <c r="D433">
        <v>4.5760000000000002E-2</v>
      </c>
      <c r="E433">
        <v>6.0490000000000002E-2</v>
      </c>
      <c r="F433">
        <v>85169503.799999997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0.45553359683794459</v>
      </c>
      <c r="Q433">
        <f t="shared" si="975"/>
        <v>38797570.406916991</v>
      </c>
      <c r="R433">
        <f t="shared" si="976"/>
        <v>-140222737.43225712</v>
      </c>
      <c r="S433">
        <f t="shared" si="977"/>
        <v>-1402.2273743225712</v>
      </c>
      <c r="T433">
        <f t="shared" si="978"/>
        <v>-1.4022273743225713</v>
      </c>
    </row>
    <row r="434" spans="1:20" x14ac:dyDescent="0.25">
      <c r="A434" s="5">
        <v>44159</v>
      </c>
      <c r="B434">
        <v>4.6629999999999998E-2</v>
      </c>
      <c r="C434">
        <v>4.9000000000000002E-2</v>
      </c>
      <c r="D434">
        <v>4.4499999999999998E-2</v>
      </c>
      <c r="E434">
        <v>4.58E-2</v>
      </c>
      <c r="F434">
        <v>22492376.600000001</v>
      </c>
      <c r="G434">
        <v>0</v>
      </c>
      <c r="L434" t="s">
        <v>7</v>
      </c>
      <c r="M434" t="s">
        <v>8</v>
      </c>
      <c r="N434" t="s">
        <v>7</v>
      </c>
      <c r="P434">
        <f t="shared" si="974"/>
        <v>-0.42222222222222161</v>
      </c>
      <c r="Q434">
        <f t="shared" si="975"/>
        <v>-9496781.2311110981</v>
      </c>
      <c r="R434">
        <f t="shared" si="976"/>
        <v>-179020307.83917409</v>
      </c>
      <c r="S434">
        <f t="shared" si="977"/>
        <v>-1790.203078391741</v>
      </c>
      <c r="T434">
        <f t="shared" si="978"/>
        <v>-1.7902030783917409</v>
      </c>
    </row>
    <row r="435" spans="1:20" x14ac:dyDescent="0.25">
      <c r="A435" s="5">
        <v>44158</v>
      </c>
      <c r="B435">
        <v>4.4019999999999997E-2</v>
      </c>
      <c r="C435">
        <v>5.1999999999999998E-2</v>
      </c>
      <c r="D435">
        <v>4.4019999999999997E-2</v>
      </c>
      <c r="E435">
        <v>4.666E-2</v>
      </c>
      <c r="F435">
        <v>39787380</v>
      </c>
      <c r="G435">
        <v>0</v>
      </c>
      <c r="L435" t="s">
        <v>8</v>
      </c>
      <c r="M435" t="s">
        <v>8</v>
      </c>
      <c r="N435" t="s">
        <v>7</v>
      </c>
      <c r="P435">
        <f t="shared" si="974"/>
        <v>-0.33834586466165334</v>
      </c>
      <c r="Q435">
        <f t="shared" si="975"/>
        <v>-13461895.488721773</v>
      </c>
      <c r="R435">
        <f t="shared" si="976"/>
        <v>-169523526.60806298</v>
      </c>
      <c r="S435">
        <f t="shared" si="977"/>
        <v>-1695.2352660806298</v>
      </c>
      <c r="T435">
        <f t="shared" si="978"/>
        <v>-1.6952352660806298</v>
      </c>
    </row>
    <row r="436" spans="1:20" x14ac:dyDescent="0.25">
      <c r="A436" s="5">
        <v>44157</v>
      </c>
      <c r="B436">
        <v>4.6309999999999997E-2</v>
      </c>
      <c r="C436">
        <v>4.6980000000000001E-2</v>
      </c>
      <c r="D436">
        <v>4.1599999999999998E-2</v>
      </c>
      <c r="E436">
        <v>4.3900000000000002E-2</v>
      </c>
      <c r="F436">
        <v>26888597.300000001</v>
      </c>
      <c r="G436">
        <v>0</v>
      </c>
      <c r="L436" t="s">
        <v>7</v>
      </c>
      <c r="M436" t="s">
        <v>7</v>
      </c>
      <c r="N436" t="s">
        <v>7</v>
      </c>
      <c r="P436">
        <f t="shared" si="974"/>
        <v>-0.14498141263940437</v>
      </c>
      <c r="Q436">
        <f t="shared" si="975"/>
        <v>-3898346.820446074</v>
      </c>
      <c r="R436">
        <f t="shared" si="976"/>
        <v>-156061631.11934119</v>
      </c>
      <c r="S436">
        <f t="shared" si="977"/>
        <v>-1560.616311193412</v>
      </c>
      <c r="T436">
        <f t="shared" si="978"/>
        <v>-1.5606163111934119</v>
      </c>
    </row>
    <row r="437" spans="1:20" x14ac:dyDescent="0.25">
      <c r="A437" s="5">
        <v>44156</v>
      </c>
      <c r="B437">
        <v>4.8129999999999999E-2</v>
      </c>
      <c r="C437">
        <v>5.16E-2</v>
      </c>
      <c r="D437">
        <v>4.4830000000000002E-2</v>
      </c>
      <c r="E437">
        <v>4.6280000000000002E-2</v>
      </c>
      <c r="F437">
        <v>36893531.799999997</v>
      </c>
      <c r="G437">
        <v>0</v>
      </c>
      <c r="L437" t="s">
        <v>7</v>
      </c>
      <c r="M437" t="s">
        <v>7</v>
      </c>
      <c r="N437" t="s">
        <v>7</v>
      </c>
      <c r="P437">
        <f t="shared" si="974"/>
        <v>-0.57163958641063506</v>
      </c>
      <c r="Q437">
        <f t="shared" si="975"/>
        <v>-21089803.25937961</v>
      </c>
      <c r="R437">
        <f t="shared" si="976"/>
        <v>-152163284.29889512</v>
      </c>
      <c r="S437">
        <f t="shared" si="977"/>
        <v>-1521.6328429889511</v>
      </c>
      <c r="T437">
        <f t="shared" si="978"/>
        <v>-1.5216328429889512</v>
      </c>
    </row>
    <row r="438" spans="1:20" x14ac:dyDescent="0.25">
      <c r="A438" s="5">
        <v>44155</v>
      </c>
      <c r="B438">
        <v>4.9950000000000001E-2</v>
      </c>
      <c r="C438">
        <v>5.1740000000000001E-2</v>
      </c>
      <c r="D438">
        <v>4.7750000000000001E-2</v>
      </c>
      <c r="E438">
        <v>4.8120000000000003E-2</v>
      </c>
      <c r="F438">
        <v>15305066.800000001</v>
      </c>
      <c r="G438">
        <v>0</v>
      </c>
      <c r="L438" t="s">
        <v>7</v>
      </c>
      <c r="M438" t="s">
        <v>7</v>
      </c>
      <c r="N438" t="s">
        <v>7</v>
      </c>
      <c r="P438">
        <f t="shared" si="974"/>
        <v>-0.81453634085212923</v>
      </c>
      <c r="Q438">
        <f t="shared" si="975"/>
        <v>-12466533.107769407</v>
      </c>
      <c r="R438">
        <f t="shared" si="976"/>
        <v>-131073481.03951553</v>
      </c>
      <c r="S438">
        <f t="shared" si="977"/>
        <v>-1310.7348103951554</v>
      </c>
      <c r="T438">
        <f t="shared" si="978"/>
        <v>-1.3107348103951553</v>
      </c>
    </row>
    <row r="439" spans="1:20" x14ac:dyDescent="0.25">
      <c r="A439" s="5">
        <v>44154</v>
      </c>
      <c r="B439">
        <v>5.176E-2</v>
      </c>
      <c r="C439">
        <v>5.2999999999999999E-2</v>
      </c>
      <c r="D439">
        <v>4.9570000000000003E-2</v>
      </c>
      <c r="E439">
        <v>4.9950000000000001E-2</v>
      </c>
      <c r="F439">
        <v>24060793.800000001</v>
      </c>
      <c r="G439">
        <v>0</v>
      </c>
      <c r="L439" t="s">
        <v>7</v>
      </c>
      <c r="M439" t="s">
        <v>8</v>
      </c>
      <c r="N439" t="s">
        <v>7</v>
      </c>
      <c r="P439">
        <f t="shared" si="974"/>
        <v>-0.77842565597667701</v>
      </c>
      <c r="Q439">
        <f t="shared" si="975"/>
        <v>-18729539.197084565</v>
      </c>
      <c r="R439">
        <f t="shared" si="976"/>
        <v>-118606947.93174611</v>
      </c>
      <c r="S439">
        <f t="shared" si="977"/>
        <v>-1186.0694793174612</v>
      </c>
      <c r="T439">
        <f t="shared" si="978"/>
        <v>-1.1860694793174611</v>
      </c>
    </row>
    <row r="440" spans="1:20" x14ac:dyDescent="0.25">
      <c r="A440" s="5">
        <v>44153</v>
      </c>
      <c r="B440">
        <v>5.3530000000000001E-2</v>
      </c>
      <c r="C440">
        <v>5.6590000000000001E-2</v>
      </c>
      <c r="D440">
        <v>4.9250000000000002E-2</v>
      </c>
      <c r="E440">
        <v>5.16E-2</v>
      </c>
      <c r="F440">
        <v>31331255</v>
      </c>
      <c r="G440">
        <v>0</v>
      </c>
      <c r="L440" t="s">
        <v>8</v>
      </c>
      <c r="M440" t="s">
        <v>8</v>
      </c>
      <c r="N440" t="s">
        <v>7</v>
      </c>
      <c r="P440">
        <f t="shared" si="974"/>
        <v>-0.35967302452316124</v>
      </c>
      <c r="Q440">
        <f t="shared" si="975"/>
        <v>-11269007.247956418</v>
      </c>
      <c r="R440">
        <f t="shared" si="976"/>
        <v>-99877408.734661549</v>
      </c>
      <c r="S440">
        <f t="shared" si="977"/>
        <v>-998.77408734661549</v>
      </c>
      <c r="T440">
        <f t="shared" si="978"/>
        <v>-0.99877408734661544</v>
      </c>
    </row>
    <row r="441" spans="1:20" x14ac:dyDescent="0.25">
      <c r="A441" s="5">
        <v>44152</v>
      </c>
      <c r="B441">
        <v>5.3679999999999999E-2</v>
      </c>
      <c r="C441">
        <v>6.3579999999999998E-2</v>
      </c>
      <c r="D441">
        <v>4.7870000000000003E-2</v>
      </c>
      <c r="E441">
        <v>5.355E-2</v>
      </c>
      <c r="F441">
        <v>45114985.799999997</v>
      </c>
      <c r="G441">
        <v>0</v>
      </c>
      <c r="L441" t="s">
        <v>7</v>
      </c>
      <c r="M441" t="s">
        <v>7</v>
      </c>
      <c r="N441" t="s">
        <v>7</v>
      </c>
      <c r="P441">
        <f t="shared" si="974"/>
        <v>-0.27689369828134952</v>
      </c>
      <c r="Q441">
        <f t="shared" si="975"/>
        <v>-12492055.266072568</v>
      </c>
      <c r="R441">
        <f t="shared" si="976"/>
        <v>-88608401.486705139</v>
      </c>
      <c r="S441">
        <f t="shared" si="977"/>
        <v>-886.08401486705134</v>
      </c>
      <c r="T441">
        <f t="shared" si="978"/>
        <v>-0.88608401486705135</v>
      </c>
    </row>
    <row r="442" spans="1:20" x14ac:dyDescent="0.25">
      <c r="A442" s="5">
        <v>44151</v>
      </c>
      <c r="B442">
        <v>5.919E-2</v>
      </c>
      <c r="C442">
        <v>5.9990000000000002E-2</v>
      </c>
      <c r="D442">
        <v>5.1999999999999998E-2</v>
      </c>
      <c r="E442">
        <v>5.3699999999999998E-2</v>
      </c>
      <c r="F442">
        <v>18965498.100000001</v>
      </c>
      <c r="G442">
        <v>0</v>
      </c>
      <c r="L442" t="s">
        <v>7</v>
      </c>
      <c r="M442" t="s">
        <v>7</v>
      </c>
      <c r="N442" t="s">
        <v>7</v>
      </c>
      <c r="P442">
        <f t="shared" si="974"/>
        <v>-0.57446808510638314</v>
      </c>
      <c r="Q442">
        <f t="shared" si="975"/>
        <v>-10895073.376595749</v>
      </c>
      <c r="R442">
        <f t="shared" si="976"/>
        <v>-76116346.220632568</v>
      </c>
      <c r="S442">
        <f t="shared" si="977"/>
        <v>-761.16346220632568</v>
      </c>
      <c r="T442">
        <f t="shared" si="978"/>
        <v>-0.76116346220632569</v>
      </c>
    </row>
    <row r="443" spans="1:20" x14ac:dyDescent="0.25">
      <c r="A443" s="5">
        <v>44150</v>
      </c>
      <c r="B443">
        <v>6.0339999999999998E-2</v>
      </c>
      <c r="C443">
        <v>6.1269999999999998E-2</v>
      </c>
      <c r="D443">
        <v>5.5390000000000002E-2</v>
      </c>
      <c r="E443">
        <v>5.9200000000000003E-2</v>
      </c>
      <c r="F443">
        <v>21672883.399999999</v>
      </c>
      <c r="G443">
        <v>0</v>
      </c>
      <c r="L443" t="s">
        <v>7</v>
      </c>
      <c r="M443" t="s">
        <v>7</v>
      </c>
      <c r="N443" t="s">
        <v>8</v>
      </c>
      <c r="P443">
        <f t="shared" si="974"/>
        <v>0.29591836734693988</v>
      </c>
      <c r="Q443">
        <f t="shared" si="975"/>
        <v>6413404.2714285953</v>
      </c>
      <c r="R443">
        <f t="shared" si="976"/>
        <v>-65221272.844036825</v>
      </c>
      <c r="S443">
        <f t="shared" si="977"/>
        <v>-652.21272844036821</v>
      </c>
      <c r="T443">
        <f t="shared" si="978"/>
        <v>-0.65221272844036826</v>
      </c>
    </row>
    <row r="444" spans="1:20" x14ac:dyDescent="0.25">
      <c r="A444" s="5">
        <v>44149</v>
      </c>
      <c r="B444">
        <v>6.0569999999999999E-2</v>
      </c>
      <c r="C444">
        <v>6.4990000000000006E-2</v>
      </c>
      <c r="D444">
        <v>5.604E-2</v>
      </c>
      <c r="E444">
        <v>6.0740000000000002E-2</v>
      </c>
      <c r="F444">
        <v>37293955.5</v>
      </c>
      <c r="G444">
        <v>0</v>
      </c>
      <c r="L444" t="s">
        <v>7</v>
      </c>
      <c r="M444" t="s">
        <v>7</v>
      </c>
      <c r="N444" t="s">
        <v>8</v>
      </c>
      <c r="P444">
        <f t="shared" si="974"/>
        <v>5.0279329608938397E-2</v>
      </c>
      <c r="Q444">
        <f t="shared" si="975"/>
        <v>1875115.081005581</v>
      </c>
      <c r="R444">
        <f t="shared" si="976"/>
        <v>-71634677.115465418</v>
      </c>
      <c r="S444">
        <f t="shared" si="977"/>
        <v>-716.34677115465422</v>
      </c>
      <c r="T444">
        <f t="shared" si="978"/>
        <v>-0.71634677115465417</v>
      </c>
    </row>
    <row r="445" spans="1:20" x14ac:dyDescent="0.25">
      <c r="A445" s="5">
        <v>44148</v>
      </c>
      <c r="B445">
        <v>6.1949999999999998E-2</v>
      </c>
      <c r="C445">
        <v>7.4999999999999997E-2</v>
      </c>
      <c r="D445">
        <v>5.4379999999999998E-2</v>
      </c>
      <c r="E445">
        <v>6.0569999999999999E-2</v>
      </c>
      <c r="F445">
        <v>98940833</v>
      </c>
      <c r="G445">
        <v>0</v>
      </c>
      <c r="L445" t="s">
        <v>8</v>
      </c>
      <c r="M445" t="s">
        <v>8</v>
      </c>
      <c r="N445" t="s">
        <v>8</v>
      </c>
      <c r="P445">
        <f t="shared" si="974"/>
        <v>-0.39961202715809879</v>
      </c>
      <c r="Q445">
        <f t="shared" si="975"/>
        <v>-39537946.843840919</v>
      </c>
      <c r="R445">
        <f t="shared" si="976"/>
        <v>-73509792.196471006</v>
      </c>
      <c r="S445">
        <f t="shared" si="977"/>
        <v>-735.09792196471005</v>
      </c>
      <c r="T445">
        <f t="shared" si="978"/>
        <v>-0.73509792196471002</v>
      </c>
    </row>
    <row r="446" spans="1:20" x14ac:dyDescent="0.25">
      <c r="A446" s="5">
        <v>44147</v>
      </c>
      <c r="B446">
        <v>5.1979999999999998E-2</v>
      </c>
      <c r="C446">
        <v>6.6900000000000001E-2</v>
      </c>
      <c r="D446">
        <v>4.4679999999999997E-2</v>
      </c>
      <c r="E446">
        <v>6.2059999999999997E-2</v>
      </c>
      <c r="F446">
        <v>27894787.300000001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0.56435643564356408</v>
      </c>
      <c r="Q446">
        <f t="shared" si="975"/>
        <v>15742602.73366336</v>
      </c>
      <c r="R446">
        <f t="shared" si="976"/>
        <v>-33971845.352630086</v>
      </c>
      <c r="S446">
        <f t="shared" si="977"/>
        <v>-339.71845352630083</v>
      </c>
      <c r="T446">
        <f t="shared" si="978"/>
        <v>-0.33971845352630081</v>
      </c>
    </row>
    <row r="447" spans="1:20" x14ac:dyDescent="0.25">
      <c r="A447" s="5">
        <v>44146</v>
      </c>
      <c r="B447">
        <v>6.0600000000000001E-2</v>
      </c>
      <c r="C447">
        <v>6.9940000000000002E-2</v>
      </c>
      <c r="D447">
        <v>4.7120000000000002E-2</v>
      </c>
      <c r="E447">
        <v>5.1670000000000001E-2</v>
      </c>
      <c r="F447">
        <v>42977825.600000001</v>
      </c>
      <c r="G447">
        <v>0</v>
      </c>
      <c r="L447" t="s">
        <v>7</v>
      </c>
      <c r="M447" t="s">
        <v>7</v>
      </c>
      <c r="N447" t="s">
        <v>7</v>
      </c>
      <c r="P447">
        <f t="shared" si="974"/>
        <v>-0.60122699386503076</v>
      </c>
      <c r="Q447">
        <f t="shared" si="975"/>
        <v>-25839428.888343561</v>
      </c>
      <c r="R447">
        <f t="shared" si="976"/>
        <v>-49714448.086293444</v>
      </c>
      <c r="S447">
        <f t="shared" si="977"/>
        <v>-497.14448086293442</v>
      </c>
      <c r="T447">
        <f t="shared" si="978"/>
        <v>-0.49714448086293439</v>
      </c>
    </row>
    <row r="448" spans="1:20" x14ac:dyDescent="0.25">
      <c r="A448" s="5">
        <v>44145</v>
      </c>
      <c r="B448">
        <v>6.3020000000000007E-2</v>
      </c>
      <c r="C448">
        <v>0.315</v>
      </c>
      <c r="D448">
        <v>5.16E-2</v>
      </c>
      <c r="E448">
        <v>6.0600000000000001E-2</v>
      </c>
      <c r="F448">
        <v>25626243.100000001</v>
      </c>
      <c r="G448">
        <v>0</v>
      </c>
      <c r="P448">
        <f t="shared" si="974"/>
        <v>-0.93166287015945326</v>
      </c>
      <c r="Q448">
        <f t="shared" si="975"/>
        <v>-23875019.197949886</v>
      </c>
      <c r="R448">
        <f t="shared" si="976"/>
        <v>-23875019.197949886</v>
      </c>
      <c r="S448">
        <f t="shared" si="977"/>
        <v>-238.75019197949885</v>
      </c>
      <c r="T448">
        <f t="shared" si="978"/>
        <v>-0.23875019197949884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Z716" sqref="IZ71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$A$715</v>
      </c>
      <c r="D111" s="1" t="str">
        <f>ADDRESS(C121-1,D121,1,1)</f>
        <v>$IZ$715</v>
      </c>
      <c r="E111"/>
    </row>
    <row r="112" spans="1:5" x14ac:dyDescent="0.25">
      <c r="A112" s="7">
        <v>12164.144957890772</v>
      </c>
      <c r="C112" s="1" t="str">
        <f>ADDRESS(C121,1,1,1)</f>
        <v>$A$716</v>
      </c>
      <c r="D112" s="1" t="str">
        <f>ADDRESS(C121,D121-1,1,1)</f>
        <v>$IY$716</v>
      </c>
      <c r="E112"/>
    </row>
    <row r="113" spans="1:5" x14ac:dyDescent="0.25">
      <c r="A113" s="7">
        <v>11925.63231165762</v>
      </c>
      <c r="C113" s="1" t="str">
        <f>ADDRESS(C121+1,1,1,1)</f>
        <v>$A$717</v>
      </c>
      <c r="D113" s="1" t="str">
        <f>ADDRESS(C121-1,D121+1,1,1)</f>
        <v>$JA$715</v>
      </c>
    </row>
    <row r="114" spans="1:5" x14ac:dyDescent="0.25">
      <c r="A114" s="7">
        <v>11691.796383978059</v>
      </c>
      <c r="C114" s="1" t="str">
        <f>ADDRESS(C121,D121,1,1)</f>
        <v>$IZ$716</v>
      </c>
      <c r="D114" s="1" t="str">
        <f>ADDRESS(C121+1,D121+1,1,1)</f>
        <v>$JA$717</v>
      </c>
    </row>
    <row r="115" spans="1:5" x14ac:dyDescent="0.25">
      <c r="A115" s="7">
        <v>11462.545474488292</v>
      </c>
      <c r="C115" s="1" t="str">
        <f>ADDRESS(C121+1,D121,1,1)</f>
        <v>$IZ$717</v>
      </c>
    </row>
    <row r="116" spans="1:5" x14ac:dyDescent="0.25">
      <c r="A116" s="7">
        <v>11237.789680870874</v>
      </c>
      <c r="C116" s="1">
        <f>C117-1</f>
        <v>715</v>
      </c>
    </row>
    <row r="117" spans="1:5" x14ac:dyDescent="0.25">
      <c r="A117" s="7">
        <v>11017.440863598895</v>
      </c>
      <c r="C117" s="1">
        <f>C121</f>
        <v>716</v>
      </c>
      <c r="D117" s="1">
        <f>D121</f>
        <v>260</v>
      </c>
    </row>
    <row r="118" spans="1:5" x14ac:dyDescent="0.25">
      <c r="A118" s="7">
        <v>10801.412611371465</v>
      </c>
      <c r="C118" s="1">
        <f>C117+1</f>
        <v>717</v>
      </c>
      <c r="D118" s="1">
        <f>D117+1</f>
        <v>261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716</v>
      </c>
      <c r="D121" s="19">
        <v>260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R716</v>
      </c>
      <c r="D123" s="1" t="str">
        <f>"C"&amp;D121</f>
        <v>C260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7.7728062567582412E-2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109" x14ac:dyDescent="0.25">
      <c r="A609" s="7">
        <v>0.64683903605157422</v>
      </c>
      <c r="B609"/>
      <c r="C609"/>
      <c r="D609"/>
      <c r="E609"/>
      <c r="F609" s="27" t="s">
        <v>7</v>
      </c>
    </row>
    <row r="610" spans="1:109" x14ac:dyDescent="0.25">
      <c r="A610" s="7">
        <v>0.63415591769762181</v>
      </c>
      <c r="B610"/>
      <c r="C610"/>
      <c r="D610"/>
      <c r="E610"/>
      <c r="F610" s="27" t="s">
        <v>7</v>
      </c>
    </row>
    <row r="611" spans="1:109" x14ac:dyDescent="0.25">
      <c r="A611" s="7">
        <v>0.62172148793884496</v>
      </c>
      <c r="B611"/>
      <c r="C611"/>
      <c r="D611"/>
      <c r="E611"/>
      <c r="F611" s="27" t="s">
        <v>7</v>
      </c>
    </row>
    <row r="612" spans="1:109" x14ac:dyDescent="0.25">
      <c r="A612" s="7">
        <v>0.60953087052827937</v>
      </c>
      <c r="B612"/>
      <c r="C612"/>
      <c r="D612"/>
      <c r="E612"/>
      <c r="F612" s="27" t="s">
        <v>7</v>
      </c>
    </row>
    <row r="613" spans="1:109" x14ac:dyDescent="0.25">
      <c r="A613" s="7">
        <v>0.59757928483164646</v>
      </c>
      <c r="B613"/>
      <c r="C613"/>
      <c r="D613"/>
      <c r="E613"/>
      <c r="F613" s="27" t="s">
        <v>7</v>
      </c>
    </row>
    <row r="614" spans="1:109" x14ac:dyDescent="0.25">
      <c r="A614" s="7">
        <v>0.58586204395259456</v>
      </c>
      <c r="B614"/>
      <c r="C614"/>
      <c r="D614"/>
      <c r="E614"/>
      <c r="F614" s="27" t="s">
        <v>7</v>
      </c>
    </row>
    <row r="615" spans="1:109" x14ac:dyDescent="0.25">
      <c r="A615" s="7">
        <v>0.57437455289470052</v>
      </c>
      <c r="B615"/>
      <c r="C615"/>
      <c r="D615"/>
      <c r="E615"/>
      <c r="F615" s="27" t="s">
        <v>7</v>
      </c>
    </row>
    <row r="616" spans="1:109" x14ac:dyDescent="0.25">
      <c r="A616" s="7">
        <v>0.56311230675951029</v>
      </c>
      <c r="B616"/>
      <c r="C616"/>
      <c r="D616"/>
      <c r="E616"/>
      <c r="F616" s="27" t="s">
        <v>7</v>
      </c>
    </row>
    <row r="617" spans="1:109" x14ac:dyDescent="0.25">
      <c r="A617" s="7">
        <v>0.55207088897991208</v>
      </c>
      <c r="B617"/>
      <c r="C617"/>
      <c r="D617"/>
      <c r="E617"/>
      <c r="F617" s="27" t="s">
        <v>7</v>
      </c>
    </row>
    <row r="618" spans="1:109" x14ac:dyDescent="0.25">
      <c r="A618" s="7">
        <v>0.54124596958814908</v>
      </c>
      <c r="B618"/>
      <c r="C618"/>
      <c r="D618"/>
      <c r="E618"/>
      <c r="F618" s="27" t="s">
        <v>7</v>
      </c>
    </row>
    <row r="619" spans="1:109" x14ac:dyDescent="0.25">
      <c r="A619" s="7">
        <v>0.53063330351779314</v>
      </c>
      <c r="B619"/>
      <c r="C619"/>
      <c r="D619"/>
      <c r="E619"/>
      <c r="F619" s="27" t="s">
        <v>7</v>
      </c>
    </row>
    <row r="620" spans="1:109" x14ac:dyDescent="0.25">
      <c r="A620" s="7">
        <v>0.52022872893901284</v>
      </c>
      <c r="B620"/>
      <c r="C620"/>
      <c r="D620"/>
      <c r="E620"/>
      <c r="F620" s="27" t="s">
        <v>7</v>
      </c>
    </row>
    <row r="621" spans="1:109" x14ac:dyDescent="0.25">
      <c r="A621" s="7">
        <v>0.51002816562648323</v>
      </c>
      <c r="B621"/>
      <c r="C621"/>
      <c r="D621"/>
      <c r="E621"/>
      <c r="F621" s="27" t="s">
        <v>7</v>
      </c>
    </row>
    <row r="622" spans="1:109" x14ac:dyDescent="0.25">
      <c r="A622" s="7">
        <v>0.50002761335929735</v>
      </c>
      <c r="B622"/>
      <c r="C622"/>
      <c r="D622"/>
      <c r="E622"/>
      <c r="F622" s="27" t="s">
        <v>7</v>
      </c>
      <c r="CY622" s="27" t="s">
        <v>8</v>
      </c>
    </row>
    <row r="623" spans="1:109" x14ac:dyDescent="0.25">
      <c r="A623" s="7">
        <v>0.49022315035225228</v>
      </c>
      <c r="B623"/>
      <c r="C623"/>
      <c r="D623"/>
      <c r="E623"/>
      <c r="F623" s="27" t="s">
        <v>7</v>
      </c>
      <c r="CY623" s="27" t="s">
        <v>8</v>
      </c>
      <c r="CZ623" s="27" t="s">
        <v>7</v>
      </c>
    </row>
    <row r="624" spans="1:109" x14ac:dyDescent="0.25">
      <c r="A624" s="7">
        <v>0.48061093171789437</v>
      </c>
      <c r="B624"/>
      <c r="C624"/>
      <c r="D624"/>
      <c r="E624"/>
      <c r="F624" s="27" t="s">
        <v>7</v>
      </c>
      <c r="CY624" s="27" t="s">
        <v>8</v>
      </c>
      <c r="CZ624" s="27" t="s">
        <v>7</v>
      </c>
      <c r="DE624" s="27" t="s">
        <v>8</v>
      </c>
    </row>
    <row r="625" spans="1:116" x14ac:dyDescent="0.25">
      <c r="A625" s="7">
        <v>0.47118718795871994</v>
      </c>
      <c r="B625"/>
      <c r="C625"/>
      <c r="D625"/>
      <c r="E625"/>
      <c r="F625" s="27" t="s">
        <v>7</v>
      </c>
      <c r="CY625" s="27" t="s">
        <v>8</v>
      </c>
      <c r="CZ625" s="27" t="s">
        <v>7</v>
      </c>
      <c r="DE625" s="27" t="s">
        <v>8</v>
      </c>
      <c r="DF625" s="27" t="s">
        <v>7</v>
      </c>
    </row>
    <row r="626" spans="1:116" x14ac:dyDescent="0.25">
      <c r="A626" s="7">
        <v>0.46194822348894116</v>
      </c>
      <c r="B626"/>
      <c r="C626"/>
      <c r="D626"/>
      <c r="E626"/>
      <c r="F626" s="27" t="s">
        <v>7</v>
      </c>
      <c r="CY626" s="27" t="s">
        <v>8</v>
      </c>
      <c r="CZ626" s="27" t="s">
        <v>7</v>
      </c>
      <c r="DE626" s="27" t="s">
        <v>8</v>
      </c>
      <c r="DF626" s="27" t="s">
        <v>7</v>
      </c>
    </row>
    <row r="627" spans="1:116" x14ac:dyDescent="0.25">
      <c r="A627" s="7">
        <v>0.45289041518523643</v>
      </c>
      <c r="B627"/>
      <c r="C627"/>
      <c r="D627"/>
      <c r="E627"/>
      <c r="F627" s="27" t="s">
        <v>7</v>
      </c>
      <c r="CY627" s="27" t="s">
        <v>8</v>
      </c>
      <c r="CZ627" s="27" t="s">
        <v>7</v>
      </c>
      <c r="DE627" s="27" t="s">
        <v>8</v>
      </c>
      <c r="DF627" s="27" t="s">
        <v>7</v>
      </c>
    </row>
    <row r="628" spans="1:116" x14ac:dyDescent="0.25">
      <c r="A628" s="7">
        <v>0.44401021096591808</v>
      </c>
      <c r="B628"/>
      <c r="C628"/>
      <c r="D628"/>
      <c r="E628"/>
      <c r="F628" s="27" t="s">
        <v>7</v>
      </c>
      <c r="CY628" s="27" t="s">
        <v>8</v>
      </c>
      <c r="CZ628" s="27" t="s">
        <v>7</v>
      </c>
      <c r="DE628" s="27" t="s">
        <v>8</v>
      </c>
      <c r="DF628" s="27" t="s">
        <v>7</v>
      </c>
    </row>
    <row r="629" spans="1:116" x14ac:dyDescent="0.25">
      <c r="A629" s="7">
        <v>0.4353041283979589</v>
      </c>
      <c r="B629"/>
      <c r="C629"/>
      <c r="D629"/>
      <c r="E629"/>
      <c r="F629" s="27" t="s">
        <v>7</v>
      </c>
      <c r="CY629" s="27" t="s">
        <v>8</v>
      </c>
      <c r="CZ629" s="27" t="s">
        <v>7</v>
      </c>
      <c r="DE629" s="27" t="s">
        <v>8</v>
      </c>
      <c r="DF629" s="27" t="s">
        <v>7</v>
      </c>
    </row>
    <row r="630" spans="1:116" x14ac:dyDescent="0.25">
      <c r="A630" s="7">
        <v>0.4267687533313323</v>
      </c>
      <c r="B630"/>
      <c r="C630"/>
      <c r="D630"/>
      <c r="E630"/>
      <c r="F630" s="27" t="s">
        <v>7</v>
      </c>
      <c r="CY630" s="27" t="s">
        <v>8</v>
      </c>
      <c r="CZ630" s="27" t="s">
        <v>7</v>
      </c>
      <c r="DE630" s="27" t="s">
        <v>8</v>
      </c>
      <c r="DF630" s="27" t="s">
        <v>7</v>
      </c>
    </row>
    <row r="631" spans="1:116" x14ac:dyDescent="0.25">
      <c r="A631" s="7">
        <v>0.41840073856012971</v>
      </c>
      <c r="B631"/>
      <c r="C631"/>
      <c r="D631"/>
      <c r="E631"/>
      <c r="F631" s="27" t="s">
        <v>7</v>
      </c>
      <c r="BI631" s="27" t="s">
        <v>8</v>
      </c>
      <c r="CY631" s="27" t="s">
        <v>8</v>
      </c>
      <c r="CZ631" s="27" t="s">
        <v>7</v>
      </c>
      <c r="DE631" s="27" t="s">
        <v>8</v>
      </c>
      <c r="DF631" s="27" t="s">
        <v>7</v>
      </c>
    </row>
    <row r="632" spans="1:116" x14ac:dyDescent="0.25">
      <c r="A632" s="7">
        <v>0.41019680250993112</v>
      </c>
      <c r="B632"/>
      <c r="C632"/>
      <c r="D632"/>
      <c r="E632"/>
      <c r="F632" s="27" t="s">
        <v>7</v>
      </c>
      <c r="BI632" s="27" t="s">
        <v>8</v>
      </c>
      <c r="BJ632" s="27" t="s">
        <v>7</v>
      </c>
      <c r="CY632" s="27" t="s">
        <v>8</v>
      </c>
      <c r="CZ632" s="27" t="s">
        <v>7</v>
      </c>
      <c r="DE632" s="27" t="s">
        <v>8</v>
      </c>
      <c r="DF632" s="27" t="s">
        <v>7</v>
      </c>
    </row>
    <row r="633" spans="1:116" x14ac:dyDescent="0.25">
      <c r="A633" s="7">
        <v>0.40215372795091286</v>
      </c>
      <c r="B633"/>
      <c r="C633"/>
      <c r="D633"/>
      <c r="E633"/>
      <c r="F633" s="27" t="s">
        <v>7</v>
      </c>
      <c r="BI633" s="27" t="s">
        <v>8</v>
      </c>
      <c r="BJ633" s="27" t="s">
        <v>7</v>
      </c>
      <c r="CY633" s="27" t="s">
        <v>8</v>
      </c>
      <c r="CZ633" s="27" t="s">
        <v>7</v>
      </c>
      <c r="DE633" s="27" t="s">
        <v>8</v>
      </c>
      <c r="DF633" s="27" t="s">
        <v>7</v>
      </c>
    </row>
    <row r="634" spans="1:116" x14ac:dyDescent="0.25">
      <c r="A634" s="7">
        <v>0.39426836073618904</v>
      </c>
      <c r="B634"/>
      <c r="C634"/>
      <c r="D634"/>
      <c r="E634"/>
      <c r="F634" s="27" t="s">
        <v>7</v>
      </c>
      <c r="BI634" s="27" t="s">
        <v>8</v>
      </c>
      <c r="BJ634" s="27" t="s">
        <v>7</v>
      </c>
      <c r="CC634" s="27" t="s">
        <v>8</v>
      </c>
      <c r="CW634" s="27" t="s">
        <v>8</v>
      </c>
      <c r="CY634" s="27" t="s">
        <v>8</v>
      </c>
      <c r="CZ634" s="27" t="s">
        <v>7</v>
      </c>
      <c r="DE634" s="27" t="s">
        <v>8</v>
      </c>
      <c r="DF634" s="27" t="s">
        <v>7</v>
      </c>
    </row>
    <row r="635" spans="1:116" x14ac:dyDescent="0.25">
      <c r="A635" s="7">
        <v>0.38653760856489122</v>
      </c>
      <c r="B635"/>
      <c r="C635"/>
      <c r="D635"/>
      <c r="E635"/>
      <c r="F635" s="27" t="s">
        <v>7</v>
      </c>
      <c r="BI635" s="27" t="s">
        <v>8</v>
      </c>
      <c r="BJ635" s="27" t="s">
        <v>7</v>
      </c>
      <c r="CC635" s="27" t="s">
        <v>8</v>
      </c>
      <c r="CD635" s="27" t="s">
        <v>7</v>
      </c>
      <c r="CW635" s="27" t="s">
        <v>8</v>
      </c>
      <c r="CX635" s="27" t="s">
        <v>7</v>
      </c>
      <c r="CY635" s="27" t="s">
        <v>8</v>
      </c>
      <c r="CZ635" s="27" t="s">
        <v>7</v>
      </c>
      <c r="DE635" s="27" t="s">
        <v>8</v>
      </c>
      <c r="DF635" s="27" t="s">
        <v>7</v>
      </c>
    </row>
    <row r="636" spans="1:116" x14ac:dyDescent="0.25">
      <c r="A636" s="7">
        <v>0.37895843976950117</v>
      </c>
      <c r="B636"/>
      <c r="C636"/>
      <c r="D636"/>
      <c r="E636"/>
      <c r="F636" s="27" t="s">
        <v>7</v>
      </c>
      <c r="BI636" s="27" t="s">
        <v>8</v>
      </c>
      <c r="BJ636" s="27" t="s">
        <v>7</v>
      </c>
      <c r="CC636" s="27" t="s">
        <v>8</v>
      </c>
      <c r="CD636" s="27" t="s">
        <v>7</v>
      </c>
      <c r="CW636" s="27" t="s">
        <v>8</v>
      </c>
      <c r="CX636" s="27" t="s">
        <v>7</v>
      </c>
      <c r="CY636" s="27" t="s">
        <v>8</v>
      </c>
      <c r="CZ636" s="27" t="s">
        <v>7</v>
      </c>
      <c r="DE636" s="27" t="s">
        <v>8</v>
      </c>
      <c r="DF636" s="27" t="s">
        <v>7</v>
      </c>
    </row>
    <row r="637" spans="1:116" x14ac:dyDescent="0.25">
      <c r="A637" s="7">
        <v>0.37152788212696197</v>
      </c>
      <c r="B637"/>
      <c r="C637"/>
      <c r="D637"/>
      <c r="E637"/>
      <c r="F637" s="27" t="s">
        <v>7</v>
      </c>
      <c r="BI637" s="27" t="s">
        <v>8</v>
      </c>
      <c r="BJ637" s="27" t="s">
        <v>7</v>
      </c>
      <c r="BK637" s="27" t="s">
        <v>8</v>
      </c>
      <c r="CC637" s="27" t="s">
        <v>8</v>
      </c>
      <c r="CD637" s="27" t="s">
        <v>7</v>
      </c>
      <c r="CW637" s="27" t="s">
        <v>8</v>
      </c>
      <c r="CX637" s="27" t="s">
        <v>7</v>
      </c>
      <c r="CY637" s="27" t="s">
        <v>8</v>
      </c>
      <c r="CZ637" s="27" t="s">
        <v>7</v>
      </c>
      <c r="DE637" s="27" t="s">
        <v>8</v>
      </c>
      <c r="DF637" s="27" t="s">
        <v>7</v>
      </c>
    </row>
    <row r="638" spans="1:116" x14ac:dyDescent="0.25">
      <c r="A638" s="7">
        <v>0.36424302169310002</v>
      </c>
      <c r="B638"/>
      <c r="C638"/>
      <c r="D638"/>
      <c r="E638"/>
      <c r="F638" s="27" t="s">
        <v>7</v>
      </c>
      <c r="BI638" s="27" t="s">
        <v>8</v>
      </c>
      <c r="BJ638" s="27" t="s">
        <v>7</v>
      </c>
      <c r="BK638" s="27" t="s">
        <v>8</v>
      </c>
      <c r="BL638" s="27" t="s">
        <v>7</v>
      </c>
      <c r="CC638" s="27" t="s">
        <v>8</v>
      </c>
      <c r="CD638" s="27" t="s">
        <v>7</v>
      </c>
      <c r="CW638" s="27" t="s">
        <v>8</v>
      </c>
      <c r="CX638" s="27" t="s">
        <v>7</v>
      </c>
      <c r="CY638" s="27" t="s">
        <v>8</v>
      </c>
      <c r="CZ638" s="27" t="s">
        <v>7</v>
      </c>
      <c r="DE638" s="27" t="s">
        <v>8</v>
      </c>
      <c r="DF638" s="27" t="s">
        <v>7</v>
      </c>
      <c r="DK638" s="27" t="s">
        <v>8</v>
      </c>
    </row>
    <row r="639" spans="1:116" x14ac:dyDescent="0.25">
      <c r="A639" s="7">
        <v>0.35710100165990194</v>
      </c>
      <c r="B639"/>
      <c r="C639"/>
      <c r="D639"/>
      <c r="E639"/>
      <c r="F639" s="27" t="s">
        <v>7</v>
      </c>
      <c r="BI639" s="27" t="s">
        <v>8</v>
      </c>
      <c r="BJ639" s="27" t="s">
        <v>7</v>
      </c>
      <c r="BK639" s="27" t="s">
        <v>8</v>
      </c>
      <c r="BL639" s="27" t="s">
        <v>7</v>
      </c>
      <c r="CC639" s="27" t="s">
        <v>8</v>
      </c>
      <c r="CD639" s="27" t="s">
        <v>7</v>
      </c>
      <c r="CE639" s="27" t="s">
        <v>8</v>
      </c>
      <c r="CW639" s="27" t="s">
        <v>8</v>
      </c>
      <c r="CX639" s="27" t="s">
        <v>7</v>
      </c>
      <c r="CY639" s="27" t="s">
        <v>8</v>
      </c>
      <c r="CZ639" s="27" t="s">
        <v>7</v>
      </c>
      <c r="DE639" s="27" t="s">
        <v>8</v>
      </c>
      <c r="DF639" s="27" t="s">
        <v>7</v>
      </c>
      <c r="DK639" s="27" t="s">
        <v>8</v>
      </c>
      <c r="DL639" s="27" t="s">
        <v>7</v>
      </c>
    </row>
    <row r="640" spans="1:116" x14ac:dyDescent="0.25">
      <c r="A640" s="7">
        <v>0.35009902123519804</v>
      </c>
      <c r="B640"/>
      <c r="C640"/>
      <c r="D640"/>
      <c r="E640"/>
      <c r="F640" s="27" t="s">
        <v>7</v>
      </c>
      <c r="BI640" s="27" t="s">
        <v>8</v>
      </c>
      <c r="BJ640" s="27" t="s">
        <v>7</v>
      </c>
      <c r="BK640" s="27" t="s">
        <v>8</v>
      </c>
      <c r="BL640" s="27" t="s">
        <v>7</v>
      </c>
      <c r="BM640" s="27" t="s">
        <v>8</v>
      </c>
      <c r="CC640" s="27" t="s">
        <v>8</v>
      </c>
      <c r="CD640" s="27" t="s">
        <v>7</v>
      </c>
      <c r="CE640" s="27" t="s">
        <v>8</v>
      </c>
      <c r="CF640" s="27" t="s">
        <v>7</v>
      </c>
      <c r="CG640" s="27" t="s">
        <v>8</v>
      </c>
      <c r="CW640" s="27" t="s">
        <v>8</v>
      </c>
      <c r="CX640" s="27" t="s">
        <v>7</v>
      </c>
      <c r="CY640" s="27" t="s">
        <v>8</v>
      </c>
      <c r="CZ640" s="27" t="s">
        <v>7</v>
      </c>
      <c r="DE640" s="27" t="s">
        <v>8</v>
      </c>
      <c r="DF640" s="27" t="s">
        <v>7</v>
      </c>
      <c r="DG640" s="27" t="s">
        <v>8</v>
      </c>
      <c r="DK640" s="27" t="s">
        <v>8</v>
      </c>
      <c r="DL640" s="27" t="s">
        <v>7</v>
      </c>
    </row>
    <row r="641" spans="1:124" x14ac:dyDescent="0.25">
      <c r="A641" s="7">
        <v>0.34323433454431179</v>
      </c>
      <c r="B641"/>
      <c r="C641"/>
      <c r="D641"/>
      <c r="E641"/>
      <c r="F641" s="27" t="s">
        <v>7</v>
      </c>
      <c r="BI641" s="27" t="s">
        <v>8</v>
      </c>
      <c r="BJ641" s="27" t="s">
        <v>7</v>
      </c>
      <c r="BK641" s="27" t="s">
        <v>8</v>
      </c>
      <c r="BL641" s="27" t="s">
        <v>7</v>
      </c>
      <c r="BM641" s="27" t="s">
        <v>8</v>
      </c>
      <c r="BN641" s="27" t="s">
        <v>7</v>
      </c>
      <c r="BY641" s="27" t="s">
        <v>8</v>
      </c>
      <c r="CC641" s="27" t="s">
        <v>8</v>
      </c>
      <c r="CD641" s="27" t="s">
        <v>7</v>
      </c>
      <c r="CE641" s="27" t="s">
        <v>8</v>
      </c>
      <c r="CF641" s="27" t="s">
        <v>7</v>
      </c>
      <c r="CG641" s="27" t="s">
        <v>8</v>
      </c>
      <c r="CH641" s="27" t="s">
        <v>7</v>
      </c>
      <c r="CM641" s="27" t="s">
        <v>8</v>
      </c>
      <c r="CU641" s="27" t="s">
        <v>8</v>
      </c>
      <c r="CW641" s="27" t="s">
        <v>8</v>
      </c>
      <c r="CX641" s="27" t="s">
        <v>7</v>
      </c>
      <c r="CY641" s="27" t="s">
        <v>8</v>
      </c>
      <c r="CZ641" s="27" t="s">
        <v>7</v>
      </c>
      <c r="DE641" s="27" t="s">
        <v>8</v>
      </c>
      <c r="DF641" s="27" t="s">
        <v>7</v>
      </c>
      <c r="DG641" s="27" t="s">
        <v>8</v>
      </c>
      <c r="DH641" s="27" t="s">
        <v>7</v>
      </c>
      <c r="DK641" s="27" t="s">
        <v>8</v>
      </c>
      <c r="DL641" s="27" t="s">
        <v>7</v>
      </c>
    </row>
    <row r="642" spans="1:124" x14ac:dyDescent="0.25">
      <c r="A642" s="7">
        <v>0.33650424955324681</v>
      </c>
      <c r="B642"/>
      <c r="C642"/>
      <c r="D642"/>
      <c r="E642"/>
      <c r="F642" s="27" t="s">
        <v>7</v>
      </c>
      <c r="BI642" s="27" t="s">
        <v>8</v>
      </c>
      <c r="BJ642" s="27" t="s">
        <v>7</v>
      </c>
      <c r="BK642" s="27" t="s">
        <v>8</v>
      </c>
      <c r="BL642" s="27" t="s">
        <v>7</v>
      </c>
      <c r="BM642" s="27" t="s">
        <v>8</v>
      </c>
      <c r="BN642" s="27" t="s">
        <v>7</v>
      </c>
      <c r="BY642" s="27" t="s">
        <v>8</v>
      </c>
      <c r="BZ642" s="27" t="s">
        <v>7</v>
      </c>
      <c r="CC642" s="27" t="s">
        <v>8</v>
      </c>
      <c r="CD642" s="27" t="s">
        <v>7</v>
      </c>
      <c r="CE642" s="27" t="s">
        <v>8</v>
      </c>
      <c r="CF642" s="27" t="s">
        <v>7</v>
      </c>
      <c r="CG642" s="27" t="s">
        <v>8</v>
      </c>
      <c r="CH642" s="27" t="s">
        <v>7</v>
      </c>
      <c r="CM642" s="27" t="s">
        <v>8</v>
      </c>
      <c r="CN642" s="27" t="s">
        <v>7</v>
      </c>
      <c r="CU642" s="27" t="s">
        <v>8</v>
      </c>
      <c r="CV642" s="27" t="s">
        <v>7</v>
      </c>
      <c r="CW642" s="27" t="s">
        <v>8</v>
      </c>
      <c r="CX642" s="27" t="s">
        <v>7</v>
      </c>
      <c r="CY642" s="27" t="s">
        <v>8</v>
      </c>
      <c r="CZ642" s="27" t="s">
        <v>7</v>
      </c>
      <c r="DE642" s="27" t="s">
        <v>8</v>
      </c>
      <c r="DF642" s="27" t="s">
        <v>7</v>
      </c>
      <c r="DG642" s="27" t="s">
        <v>8</v>
      </c>
      <c r="DH642" s="27" t="s">
        <v>7</v>
      </c>
      <c r="DK642" s="27" t="s">
        <v>8</v>
      </c>
      <c r="DL642" s="27" t="s">
        <v>7</v>
      </c>
    </row>
    <row r="643" spans="1:124" x14ac:dyDescent="0.25">
      <c r="A643" s="7">
        <v>0.3299061270129871</v>
      </c>
      <c r="B643"/>
      <c r="C643"/>
      <c r="D643"/>
      <c r="E643"/>
      <c r="F643" s="27" t="s">
        <v>7</v>
      </c>
      <c r="BI643" s="27" t="s">
        <v>8</v>
      </c>
      <c r="BJ643" s="27" t="s">
        <v>7</v>
      </c>
      <c r="BK643" s="27" t="s">
        <v>8</v>
      </c>
      <c r="BL643" s="27" t="s">
        <v>7</v>
      </c>
      <c r="BM643" s="27" t="s">
        <v>8</v>
      </c>
      <c r="BN643" s="27" t="s">
        <v>7</v>
      </c>
      <c r="BY643" s="27" t="s">
        <v>8</v>
      </c>
      <c r="BZ643" s="27" t="s">
        <v>7</v>
      </c>
      <c r="CA643" s="27" t="s">
        <v>8</v>
      </c>
      <c r="CC643" s="27" t="s">
        <v>8</v>
      </c>
      <c r="CD643" s="27" t="s">
        <v>7</v>
      </c>
      <c r="CE643" s="27" t="s">
        <v>8</v>
      </c>
      <c r="CF643" s="27" t="s">
        <v>7</v>
      </c>
      <c r="CG643" s="27" t="s">
        <v>8</v>
      </c>
      <c r="CH643" s="27" t="s">
        <v>7</v>
      </c>
      <c r="CI643" s="27" t="s">
        <v>8</v>
      </c>
      <c r="CM643" s="27" t="s">
        <v>8</v>
      </c>
      <c r="CN643" s="27" t="s">
        <v>7</v>
      </c>
      <c r="CO643" s="27" t="s">
        <v>8</v>
      </c>
      <c r="CU643" s="27" t="s">
        <v>8</v>
      </c>
      <c r="CV643" s="27" t="s">
        <v>7</v>
      </c>
      <c r="CW643" s="27" t="s">
        <v>8</v>
      </c>
      <c r="CX643" s="27" t="s">
        <v>7</v>
      </c>
      <c r="CY643" s="27" t="s">
        <v>8</v>
      </c>
      <c r="CZ643" s="27" t="s">
        <v>7</v>
      </c>
      <c r="DE643" s="27" t="s">
        <v>8</v>
      </c>
      <c r="DF643" s="27" t="s">
        <v>7</v>
      </c>
      <c r="DG643" s="27" t="s">
        <v>8</v>
      </c>
      <c r="DH643" s="27" t="s">
        <v>7</v>
      </c>
      <c r="DI643" s="27" t="s">
        <v>8</v>
      </c>
      <c r="DK643" s="27" t="s">
        <v>8</v>
      </c>
      <c r="DL643" s="27" t="s">
        <v>7</v>
      </c>
    </row>
    <row r="644" spans="1:124" x14ac:dyDescent="0.25">
      <c r="A644" s="7">
        <v>0.32343737942449713</v>
      </c>
      <c r="B644"/>
      <c r="C644"/>
      <c r="D644"/>
      <c r="E644"/>
      <c r="F644" s="27" t="s">
        <v>7</v>
      </c>
      <c r="BI644" s="27" t="s">
        <v>8</v>
      </c>
      <c r="BJ644" s="27" t="s">
        <v>7</v>
      </c>
      <c r="BK644" s="27" t="s">
        <v>8</v>
      </c>
      <c r="BL644" s="27" t="s">
        <v>7</v>
      </c>
      <c r="BM644" s="27" t="s">
        <v>8</v>
      </c>
      <c r="BN644" s="27" t="s">
        <v>7</v>
      </c>
      <c r="BY644" s="27" t="s">
        <v>8</v>
      </c>
      <c r="BZ644" s="27" t="s">
        <v>7</v>
      </c>
      <c r="CA644" s="27" t="s">
        <v>8</v>
      </c>
      <c r="CB644" s="27" t="s">
        <v>7</v>
      </c>
      <c r="CC644" s="27" t="s">
        <v>8</v>
      </c>
      <c r="CD644" s="27" t="s">
        <v>7</v>
      </c>
      <c r="CE644" s="27" t="s">
        <v>8</v>
      </c>
      <c r="CF644" s="27" t="s">
        <v>7</v>
      </c>
      <c r="CG644" s="27" t="s">
        <v>8</v>
      </c>
      <c r="CH644" s="27" t="s">
        <v>7</v>
      </c>
      <c r="CI644" s="27" t="s">
        <v>8</v>
      </c>
      <c r="CJ644" s="27" t="s">
        <v>7</v>
      </c>
      <c r="CM644" s="27" t="s">
        <v>8</v>
      </c>
      <c r="CN644" s="27" t="s">
        <v>7</v>
      </c>
      <c r="CO644" s="27" t="s">
        <v>8</v>
      </c>
      <c r="CP644" s="27" t="s">
        <v>7</v>
      </c>
      <c r="CU644" s="27" t="s">
        <v>8</v>
      </c>
      <c r="CV644" s="27" t="s">
        <v>7</v>
      </c>
      <c r="CW644" s="27" t="s">
        <v>8</v>
      </c>
      <c r="CX644" s="27" t="s">
        <v>7</v>
      </c>
      <c r="CY644" s="27" t="s">
        <v>8</v>
      </c>
      <c r="CZ644" s="27" t="s">
        <v>7</v>
      </c>
      <c r="DE644" s="27" t="s">
        <v>8</v>
      </c>
      <c r="DF644" s="27" t="s">
        <v>7</v>
      </c>
      <c r="DH644" s="27" t="s">
        <v>7</v>
      </c>
      <c r="DI644" s="27" t="s">
        <v>8</v>
      </c>
      <c r="DJ644" s="27" t="s">
        <v>7</v>
      </c>
      <c r="DK644" s="27" t="s">
        <v>8</v>
      </c>
      <c r="DL644" s="27" t="s">
        <v>7</v>
      </c>
    </row>
    <row r="645" spans="1:124" x14ac:dyDescent="0.25">
      <c r="A645" s="7">
        <v>0.31709547002401678</v>
      </c>
      <c r="B645"/>
      <c r="C645"/>
      <c r="D645"/>
      <c r="E645"/>
      <c r="F645" s="27" t="s">
        <v>7</v>
      </c>
      <c r="BI645" s="27" t="s">
        <v>8</v>
      </c>
      <c r="BJ645" s="27" t="s">
        <v>7</v>
      </c>
      <c r="BK645" s="27" t="s">
        <v>8</v>
      </c>
      <c r="BL645" s="27" t="s">
        <v>7</v>
      </c>
      <c r="BM645" s="27" t="s">
        <v>8</v>
      </c>
      <c r="BN645" s="27" t="s">
        <v>7</v>
      </c>
      <c r="BO645" s="27" t="s">
        <v>8</v>
      </c>
      <c r="BY645" s="27" t="s">
        <v>8</v>
      </c>
      <c r="BZ645" s="27" t="s">
        <v>7</v>
      </c>
      <c r="CA645" s="27" t="s">
        <v>8</v>
      </c>
      <c r="CB645" s="27" t="s">
        <v>7</v>
      </c>
      <c r="CC645" s="27" t="s">
        <v>8</v>
      </c>
      <c r="CD645" s="27" t="s">
        <v>7</v>
      </c>
      <c r="CF645" s="27" t="s">
        <v>7</v>
      </c>
      <c r="CG645" s="27" t="s">
        <v>8</v>
      </c>
      <c r="CH645" s="27" t="s">
        <v>7</v>
      </c>
      <c r="CI645" s="27" t="s">
        <v>8</v>
      </c>
      <c r="CJ645" s="27" t="s">
        <v>7</v>
      </c>
      <c r="CM645" s="27" t="s">
        <v>8</v>
      </c>
      <c r="CN645" s="27" t="s">
        <v>7</v>
      </c>
      <c r="CO645" s="27" t="s">
        <v>8</v>
      </c>
      <c r="CP645" s="27" t="s">
        <v>7</v>
      </c>
      <c r="CS645" s="27" t="s">
        <v>8</v>
      </c>
      <c r="CU645" s="27" t="s">
        <v>8</v>
      </c>
      <c r="CV645" s="27" t="s">
        <v>7</v>
      </c>
      <c r="CW645" s="27" t="s">
        <v>8</v>
      </c>
      <c r="CX645" s="27" t="s">
        <v>7</v>
      </c>
      <c r="CY645" s="27" t="s">
        <v>8</v>
      </c>
      <c r="CZ645" s="27" t="s">
        <v>7</v>
      </c>
      <c r="DC645" s="27" t="s">
        <v>8</v>
      </c>
      <c r="DE645" s="27" t="s">
        <v>8</v>
      </c>
      <c r="DH645" s="27" t="s">
        <v>7</v>
      </c>
      <c r="DI645" s="27" t="s">
        <v>8</v>
      </c>
      <c r="DJ645" s="27" t="s">
        <v>7</v>
      </c>
      <c r="DK645" s="27" t="s">
        <v>8</v>
      </c>
      <c r="DL645" s="27" t="s">
        <v>7</v>
      </c>
    </row>
    <row r="646" spans="1:124" x14ac:dyDescent="0.25">
      <c r="A646" s="7">
        <v>0.31087791178825175</v>
      </c>
      <c r="B646"/>
      <c r="C646"/>
      <c r="D646"/>
      <c r="E646"/>
      <c r="F646" s="27" t="s">
        <v>7</v>
      </c>
      <c r="BI646" s="27" t="s">
        <v>8</v>
      </c>
      <c r="BJ646" s="27" t="s">
        <v>7</v>
      </c>
      <c r="BK646" s="27" t="s">
        <v>8</v>
      </c>
      <c r="BL646" s="27" t="s">
        <v>7</v>
      </c>
      <c r="BM646" s="27" t="s">
        <v>8</v>
      </c>
      <c r="BN646" s="27" t="s">
        <v>7</v>
      </c>
      <c r="BO646" s="27" t="s">
        <v>8</v>
      </c>
      <c r="BP646" s="27" t="s">
        <v>7</v>
      </c>
      <c r="BQ646" s="27" t="s">
        <v>8</v>
      </c>
      <c r="BY646" s="27" t="s">
        <v>8</v>
      </c>
      <c r="BZ646" s="27" t="s">
        <v>7</v>
      </c>
      <c r="CA646" s="27" t="s">
        <v>8</v>
      </c>
      <c r="CB646" s="27" t="s">
        <v>7</v>
      </c>
      <c r="CC646" s="27" t="s">
        <v>8</v>
      </c>
      <c r="CF646" s="27" t="s">
        <v>7</v>
      </c>
      <c r="CH646" s="27" t="s">
        <v>7</v>
      </c>
      <c r="CI646" s="27" t="s">
        <v>8</v>
      </c>
      <c r="CJ646" s="27" t="s">
        <v>7</v>
      </c>
      <c r="CK646" s="27" t="s">
        <v>8</v>
      </c>
      <c r="CM646" s="27" t="s">
        <v>8</v>
      </c>
      <c r="CN646" s="27" t="s">
        <v>7</v>
      </c>
      <c r="CO646" s="27" t="s">
        <v>8</v>
      </c>
      <c r="CP646" s="27" t="s">
        <v>7</v>
      </c>
      <c r="CQ646" s="27" t="s">
        <v>8</v>
      </c>
      <c r="CS646" s="27" t="s">
        <v>8</v>
      </c>
      <c r="CT646" s="27" t="s">
        <v>7</v>
      </c>
      <c r="CU646" s="27" t="s">
        <v>8</v>
      </c>
      <c r="CV646" s="27" t="s">
        <v>7</v>
      </c>
      <c r="CW646" s="27" t="s">
        <v>8</v>
      </c>
      <c r="CX646" s="27" t="s">
        <v>7</v>
      </c>
      <c r="CY646" s="27" t="s">
        <v>8</v>
      </c>
      <c r="CZ646" s="27" t="s">
        <v>7</v>
      </c>
      <c r="DC646" s="27" t="s">
        <v>8</v>
      </c>
      <c r="DD646" s="27" t="s">
        <v>7</v>
      </c>
      <c r="DE646" s="27" t="s">
        <v>8</v>
      </c>
      <c r="DH646" s="27" t="s">
        <v>7</v>
      </c>
      <c r="DI646" s="27" t="s">
        <v>8</v>
      </c>
      <c r="DJ646" s="27" t="s">
        <v>7</v>
      </c>
      <c r="DK646" s="27" t="s">
        <v>8</v>
      </c>
      <c r="DL646" s="27" t="s">
        <v>7</v>
      </c>
    </row>
    <row r="647" spans="1:124" x14ac:dyDescent="0.25">
      <c r="A647" s="7">
        <v>0.30478226645907036</v>
      </c>
      <c r="B647"/>
      <c r="C647"/>
      <c r="D647"/>
      <c r="E647"/>
      <c r="F647" s="27" t="s">
        <v>7</v>
      </c>
      <c r="BI647" s="27" t="s">
        <v>8</v>
      </c>
      <c r="BJ647" s="27" t="s">
        <v>7</v>
      </c>
      <c r="BK647" s="27" t="s">
        <v>8</v>
      </c>
      <c r="BL647" s="27" t="s">
        <v>7</v>
      </c>
      <c r="BN647" s="27" t="s">
        <v>7</v>
      </c>
      <c r="BO647" s="27" t="s">
        <v>8</v>
      </c>
      <c r="BP647" s="27" t="s">
        <v>7</v>
      </c>
      <c r="BQ647" s="27" t="s">
        <v>8</v>
      </c>
      <c r="BR647" s="27" t="s">
        <v>7</v>
      </c>
      <c r="BY647" s="27" t="s">
        <v>8</v>
      </c>
      <c r="BZ647" s="27" t="s">
        <v>7</v>
      </c>
      <c r="CA647" s="27" t="s">
        <v>8</v>
      </c>
      <c r="CB647" s="27" t="s">
        <v>7</v>
      </c>
      <c r="CC647" s="27" t="s">
        <v>8</v>
      </c>
      <c r="CH647" s="27" t="s">
        <v>7</v>
      </c>
      <c r="CI647" s="27" t="s">
        <v>8</v>
      </c>
      <c r="CJ647" s="27" t="s">
        <v>7</v>
      </c>
      <c r="CK647" s="27" t="s">
        <v>8</v>
      </c>
      <c r="CL647" s="27" t="s">
        <v>7</v>
      </c>
      <c r="CM647" s="27" t="s">
        <v>8</v>
      </c>
      <c r="CN647" s="27" t="s">
        <v>7</v>
      </c>
      <c r="CO647" s="27" t="s">
        <v>8</v>
      </c>
      <c r="CP647" s="27" t="s">
        <v>7</v>
      </c>
      <c r="CQ647" s="27" t="s">
        <v>8</v>
      </c>
      <c r="CR647" s="27" t="s">
        <v>7</v>
      </c>
      <c r="CS647" s="27" t="s">
        <v>8</v>
      </c>
      <c r="CT647" s="27" t="s">
        <v>7</v>
      </c>
      <c r="CU647" s="27" t="s">
        <v>8</v>
      </c>
      <c r="CV647" s="27" t="s">
        <v>7</v>
      </c>
      <c r="CX647" s="27" t="s">
        <v>7</v>
      </c>
      <c r="CY647" s="27" t="s">
        <v>8</v>
      </c>
      <c r="CZ647" s="27" t="s">
        <v>7</v>
      </c>
      <c r="DC647" s="27" t="s">
        <v>8</v>
      </c>
      <c r="DD647" s="27" t="s">
        <v>7</v>
      </c>
      <c r="DE647" s="27" t="s">
        <v>8</v>
      </c>
      <c r="DH647" s="27" t="s">
        <v>7</v>
      </c>
      <c r="DI647" s="27" t="s">
        <v>8</v>
      </c>
      <c r="DJ647" s="27" t="s">
        <v>7</v>
      </c>
      <c r="DL647" s="27" t="s">
        <v>7</v>
      </c>
      <c r="DM647" s="27" t="s">
        <v>8</v>
      </c>
    </row>
    <row r="648" spans="1:124" x14ac:dyDescent="0.25">
      <c r="A648" s="7">
        <v>0.29880614358732388</v>
      </c>
      <c r="B648"/>
      <c r="C648"/>
      <c r="D648"/>
      <c r="E648"/>
      <c r="F648" s="27" t="s">
        <v>7</v>
      </c>
      <c r="BI648" s="27" t="s">
        <v>8</v>
      </c>
      <c r="BJ648" s="27" t="s">
        <v>7</v>
      </c>
      <c r="BK648" s="27" t="s">
        <v>8</v>
      </c>
      <c r="BN648" s="27" t="s">
        <v>7</v>
      </c>
      <c r="BO648" s="27" t="s">
        <v>8</v>
      </c>
      <c r="BP648" s="27" t="s">
        <v>7</v>
      </c>
      <c r="BQ648" s="27" t="s">
        <v>8</v>
      </c>
      <c r="BR648" s="27" t="s">
        <v>7</v>
      </c>
      <c r="BW648" s="27" t="s">
        <v>8</v>
      </c>
      <c r="BY648" s="27" t="s">
        <v>8</v>
      </c>
      <c r="BZ648" s="27" t="s">
        <v>7</v>
      </c>
      <c r="CA648" s="27" t="s">
        <v>8</v>
      </c>
      <c r="CB648" s="27" t="s">
        <v>7</v>
      </c>
      <c r="CC648" s="27" t="s">
        <v>8</v>
      </c>
      <c r="CH648" s="27" t="s">
        <v>7</v>
      </c>
      <c r="CI648" s="27" t="s">
        <v>8</v>
      </c>
      <c r="CJ648" s="27" t="s">
        <v>7</v>
      </c>
      <c r="CK648" s="27" t="s">
        <v>8</v>
      </c>
      <c r="CL648" s="27" t="s">
        <v>7</v>
      </c>
      <c r="CM648" s="27" t="s">
        <v>8</v>
      </c>
      <c r="CN648" s="27" t="s">
        <v>7</v>
      </c>
      <c r="CO648" s="27" t="s">
        <v>8</v>
      </c>
      <c r="CP648" s="27" t="s">
        <v>7</v>
      </c>
      <c r="CQ648" s="27" t="s">
        <v>8</v>
      </c>
      <c r="CR648" s="27" t="s">
        <v>7</v>
      </c>
      <c r="CS648" s="27" t="s">
        <v>8</v>
      </c>
      <c r="CT648" s="27" t="s">
        <v>7</v>
      </c>
      <c r="CX648" s="27" t="s">
        <v>7</v>
      </c>
      <c r="CY648" s="27" t="s">
        <v>8</v>
      </c>
      <c r="CZ648" s="27" t="s">
        <v>7</v>
      </c>
      <c r="DC648" s="27" t="s">
        <v>8</v>
      </c>
      <c r="DD648" s="27" t="s">
        <v>7</v>
      </c>
      <c r="DE648" s="27" t="s">
        <v>8</v>
      </c>
      <c r="DH648" s="27" t="s">
        <v>7</v>
      </c>
      <c r="DI648" s="27" t="s">
        <v>8</v>
      </c>
      <c r="DL648" s="27" t="s">
        <v>7</v>
      </c>
      <c r="DM648" s="27" t="s">
        <v>8</v>
      </c>
      <c r="DN648" s="27" t="s">
        <v>7</v>
      </c>
      <c r="DO648" s="27" t="s">
        <v>8</v>
      </c>
    </row>
    <row r="649" spans="1:124" x14ac:dyDescent="0.25">
      <c r="A649" s="7">
        <v>0.2929471995954156</v>
      </c>
      <c r="B649"/>
      <c r="C649"/>
      <c r="D649"/>
      <c r="E649"/>
      <c r="F649" s="27" t="s">
        <v>7</v>
      </c>
      <c r="BI649" s="27" t="s">
        <v>8</v>
      </c>
      <c r="BJ649" s="27" t="s">
        <v>7</v>
      </c>
      <c r="BK649" s="27" t="s">
        <v>8</v>
      </c>
      <c r="BN649" s="27" t="s">
        <v>7</v>
      </c>
      <c r="BP649" s="27" t="s">
        <v>7</v>
      </c>
      <c r="BQ649" s="27" t="s">
        <v>8</v>
      </c>
      <c r="BR649" s="27" t="s">
        <v>7</v>
      </c>
      <c r="BW649" s="27" t="s">
        <v>8</v>
      </c>
      <c r="BX649" s="27" t="s">
        <v>7</v>
      </c>
      <c r="BY649" s="27" t="s">
        <v>8</v>
      </c>
      <c r="BZ649" s="27" t="s">
        <v>7</v>
      </c>
      <c r="CA649" s="27" t="s">
        <v>8</v>
      </c>
      <c r="CB649" s="27" t="s">
        <v>7</v>
      </c>
      <c r="CH649" s="27" t="s">
        <v>7</v>
      </c>
      <c r="CI649" s="27" t="s">
        <v>8</v>
      </c>
      <c r="CJ649" s="27" t="s">
        <v>7</v>
      </c>
      <c r="CK649" s="27" t="s">
        <v>8</v>
      </c>
      <c r="CL649" s="27" t="s">
        <v>7</v>
      </c>
      <c r="CM649" s="27" t="s">
        <v>8</v>
      </c>
      <c r="CN649" s="27" t="s">
        <v>7</v>
      </c>
      <c r="CP649" s="27" t="s">
        <v>7</v>
      </c>
      <c r="CQ649" s="27" t="s">
        <v>8</v>
      </c>
      <c r="CR649" s="27" t="s">
        <v>7</v>
      </c>
      <c r="CX649" s="27" t="s">
        <v>7</v>
      </c>
      <c r="CY649" s="27" t="s">
        <v>8</v>
      </c>
      <c r="CZ649" s="27" t="s">
        <v>7</v>
      </c>
      <c r="DC649" s="27" t="s">
        <v>8</v>
      </c>
      <c r="DD649" s="27" t="s">
        <v>7</v>
      </c>
      <c r="DE649" s="27" t="s">
        <v>8</v>
      </c>
      <c r="DH649" s="27" t="s">
        <v>7</v>
      </c>
      <c r="DI649" s="27" t="s">
        <v>8</v>
      </c>
      <c r="DL649" s="27" t="s">
        <v>7</v>
      </c>
      <c r="DM649" s="27" t="s">
        <v>8</v>
      </c>
      <c r="DN649" s="27" t="s">
        <v>7</v>
      </c>
      <c r="DO649" s="27" t="s">
        <v>8</v>
      </c>
      <c r="DP649" s="27" t="s">
        <v>7</v>
      </c>
      <c r="DQ649" s="27" t="s">
        <v>8</v>
      </c>
    </row>
    <row r="650" spans="1:124" x14ac:dyDescent="0.25">
      <c r="A650" s="7">
        <v>0.28720313685825055</v>
      </c>
      <c r="B650"/>
      <c r="C650"/>
      <c r="D650"/>
      <c r="E650"/>
      <c r="F650" s="27" t="s">
        <v>7</v>
      </c>
      <c r="BI650" s="27" t="s">
        <v>8</v>
      </c>
      <c r="BJ650" s="27" t="s">
        <v>7</v>
      </c>
      <c r="BK650" s="27" t="s">
        <v>8</v>
      </c>
      <c r="BP650" s="27" t="s">
        <v>7</v>
      </c>
      <c r="BQ650" s="27" t="s">
        <v>8</v>
      </c>
      <c r="BR650" s="27" t="s">
        <v>7</v>
      </c>
      <c r="BU650" s="27" t="s">
        <v>8</v>
      </c>
      <c r="BW650" s="27" t="s">
        <v>8</v>
      </c>
      <c r="BX650" s="27" t="s">
        <v>7</v>
      </c>
      <c r="BY650" s="27" t="s">
        <v>8</v>
      </c>
      <c r="BZ650" s="27" t="s">
        <v>7</v>
      </c>
      <c r="CA650" s="27" t="s">
        <v>8</v>
      </c>
      <c r="CH650" s="27" t="s">
        <v>7</v>
      </c>
      <c r="CI650" s="27" t="s">
        <v>8</v>
      </c>
      <c r="CJ650" s="27" t="s">
        <v>7</v>
      </c>
      <c r="CL650" s="27" t="s">
        <v>7</v>
      </c>
      <c r="CM650" s="27" t="s">
        <v>8</v>
      </c>
      <c r="CP650" s="27" t="s">
        <v>7</v>
      </c>
      <c r="CQ650" s="27" t="s">
        <v>8</v>
      </c>
      <c r="CX650" s="27" t="s">
        <v>7</v>
      </c>
      <c r="CY650" s="27" t="s">
        <v>8</v>
      </c>
      <c r="CZ650" s="27" t="s">
        <v>7</v>
      </c>
      <c r="DA650" s="27" t="s">
        <v>8</v>
      </c>
      <c r="DC650" s="27" t="s">
        <v>8</v>
      </c>
      <c r="DD650" s="27" t="s">
        <v>7</v>
      </c>
      <c r="DE650" s="27" t="s">
        <v>8</v>
      </c>
      <c r="DH650" s="27" t="s">
        <v>7</v>
      </c>
      <c r="DL650" s="27" t="s">
        <v>7</v>
      </c>
      <c r="DM650" s="27" t="s">
        <v>8</v>
      </c>
      <c r="DN650" s="27" t="s">
        <v>7</v>
      </c>
      <c r="DO650" s="27" t="s">
        <v>8</v>
      </c>
      <c r="DP650" s="27" t="s">
        <v>7</v>
      </c>
      <c r="DQ650" s="27" t="s">
        <v>8</v>
      </c>
      <c r="DR650" s="27" t="s">
        <v>7</v>
      </c>
    </row>
    <row r="651" spans="1:124" x14ac:dyDescent="0.25">
      <c r="A651" s="7">
        <v>0.28157170280220645</v>
      </c>
      <c r="B651"/>
      <c r="C651"/>
      <c r="D651"/>
      <c r="E651"/>
      <c r="F651" s="27" t="s">
        <v>7</v>
      </c>
      <c r="BI651" s="27" t="s">
        <v>8</v>
      </c>
      <c r="BJ651" s="27" t="s">
        <v>7</v>
      </c>
      <c r="BK651" s="27" t="s">
        <v>8</v>
      </c>
      <c r="BP651" s="27" t="s">
        <v>7</v>
      </c>
      <c r="BQ651" s="27" t="s">
        <v>8</v>
      </c>
      <c r="BR651" s="27" t="s">
        <v>7</v>
      </c>
      <c r="BU651" s="27" t="s">
        <v>8</v>
      </c>
      <c r="BV651" s="27" t="s">
        <v>7</v>
      </c>
      <c r="BW651" s="27" t="s">
        <v>8</v>
      </c>
      <c r="BX651" s="27" t="s">
        <v>7</v>
      </c>
      <c r="BY651" s="27" t="s">
        <v>8</v>
      </c>
      <c r="BZ651" s="27" t="s">
        <v>7</v>
      </c>
      <c r="CA651" s="27" t="s">
        <v>8</v>
      </c>
      <c r="CH651" s="27" t="s">
        <v>7</v>
      </c>
      <c r="CI651" s="27" t="s">
        <v>8</v>
      </c>
      <c r="CL651" s="27" t="s">
        <v>7</v>
      </c>
      <c r="CM651" s="27" t="s">
        <v>8</v>
      </c>
      <c r="CP651" s="27" t="s">
        <v>7</v>
      </c>
      <c r="CX651" s="27" t="s">
        <v>7</v>
      </c>
      <c r="CY651" s="27" t="s">
        <v>8</v>
      </c>
      <c r="CZ651" s="27" t="s">
        <v>7</v>
      </c>
      <c r="DA651" s="27" t="s">
        <v>8</v>
      </c>
      <c r="DB651" s="27" t="s">
        <v>7</v>
      </c>
      <c r="DC651" s="27" t="s">
        <v>8</v>
      </c>
      <c r="DD651" s="27" t="s">
        <v>7</v>
      </c>
      <c r="DL651" s="27" t="s">
        <v>7</v>
      </c>
      <c r="DM651" s="27" t="s">
        <v>8</v>
      </c>
      <c r="DN651" s="27" t="s">
        <v>7</v>
      </c>
      <c r="DO651" s="27" t="s">
        <v>8</v>
      </c>
      <c r="DP651" s="27" t="s">
        <v>7</v>
      </c>
      <c r="DQ651" s="27" t="s">
        <v>8</v>
      </c>
      <c r="DR651" s="27" t="s">
        <v>7</v>
      </c>
    </row>
    <row r="652" spans="1:124" x14ac:dyDescent="0.25">
      <c r="A652" s="7">
        <v>0.27605068902177105</v>
      </c>
      <c r="B652"/>
      <c r="C652"/>
      <c r="D652"/>
      <c r="E652"/>
      <c r="F652" s="27" t="s">
        <v>7</v>
      </c>
      <c r="BI652" s="27" t="s">
        <v>8</v>
      </c>
      <c r="BJ652" s="27" t="s">
        <v>7</v>
      </c>
      <c r="BP652" s="27" t="s">
        <v>7</v>
      </c>
      <c r="BQ652" s="27" t="s">
        <v>8</v>
      </c>
      <c r="BR652" s="27" t="s">
        <v>7</v>
      </c>
      <c r="BU652" s="27" t="s">
        <v>8</v>
      </c>
      <c r="BV652" s="27" t="s">
        <v>7</v>
      </c>
      <c r="BW652" s="27" t="s">
        <v>8</v>
      </c>
      <c r="BX652" s="27" t="s">
        <v>7</v>
      </c>
      <c r="BY652" s="27" t="s">
        <v>8</v>
      </c>
      <c r="BZ652" s="27" t="s">
        <v>7</v>
      </c>
      <c r="CA652" s="27" t="s">
        <v>8</v>
      </c>
      <c r="CH652" s="27" t="s">
        <v>7</v>
      </c>
      <c r="CI652" s="27" t="s">
        <v>8</v>
      </c>
      <c r="CL652" s="27" t="s">
        <v>7</v>
      </c>
      <c r="CM652" s="27" t="s">
        <v>8</v>
      </c>
      <c r="CX652" s="27" t="s">
        <v>7</v>
      </c>
      <c r="CY652" s="27" t="s">
        <v>8</v>
      </c>
      <c r="CZ652" s="27" t="s">
        <v>7</v>
      </c>
      <c r="DA652" s="27" t="s">
        <v>8</v>
      </c>
      <c r="DB652" s="27" t="s">
        <v>7</v>
      </c>
      <c r="DC652" s="27" t="s">
        <v>8</v>
      </c>
      <c r="DL652" s="27" t="s">
        <v>7</v>
      </c>
      <c r="DN652" s="27" t="s">
        <v>7</v>
      </c>
      <c r="DO652" s="27" t="s">
        <v>8</v>
      </c>
      <c r="DP652" s="27" t="s">
        <v>7</v>
      </c>
      <c r="DQ652" s="27" t="s">
        <v>8</v>
      </c>
      <c r="DR652" s="27" t="s">
        <v>7</v>
      </c>
      <c r="DS652" s="27" t="s">
        <v>8</v>
      </c>
    </row>
    <row r="653" spans="1:124" x14ac:dyDescent="0.25">
      <c r="A653" s="7">
        <v>0.27063793041350104</v>
      </c>
      <c r="B653"/>
      <c r="C653"/>
      <c r="D653"/>
      <c r="E653"/>
      <c r="F653" s="27" t="s">
        <v>7</v>
      </c>
      <c r="BI653" s="27" t="s">
        <v>8</v>
      </c>
      <c r="BP653" s="27" t="s">
        <v>7</v>
      </c>
      <c r="BQ653" s="27" t="s">
        <v>8</v>
      </c>
      <c r="BR653" s="27" t="s">
        <v>7</v>
      </c>
      <c r="BU653" s="27" t="s">
        <v>8</v>
      </c>
      <c r="BV653" s="27" t="s">
        <v>7</v>
      </c>
      <c r="BW653" s="27" t="s">
        <v>8</v>
      </c>
      <c r="BX653" s="27" t="s">
        <v>7</v>
      </c>
      <c r="BY653" s="27" t="s">
        <v>8</v>
      </c>
      <c r="BZ653" s="27" t="s">
        <v>7</v>
      </c>
      <c r="CA653" s="27" t="s">
        <v>8</v>
      </c>
      <c r="CH653" s="27" t="s">
        <v>7</v>
      </c>
      <c r="CL653" s="27" t="s">
        <v>7</v>
      </c>
      <c r="CM653" s="27" t="s">
        <v>8</v>
      </c>
      <c r="CX653" s="27" t="s">
        <v>7</v>
      </c>
      <c r="CY653" s="27" t="s">
        <v>8</v>
      </c>
      <c r="CZ653" s="27" t="s">
        <v>7</v>
      </c>
      <c r="DA653" s="27" t="s">
        <v>8</v>
      </c>
      <c r="DB653" s="27" t="s">
        <v>7</v>
      </c>
      <c r="DC653" s="27" t="s">
        <v>8</v>
      </c>
      <c r="DN653" s="27" t="s">
        <v>7</v>
      </c>
      <c r="DO653" s="27" t="s">
        <v>8</v>
      </c>
      <c r="DP653" s="27" t="s">
        <v>7</v>
      </c>
      <c r="DQ653" s="27" t="s">
        <v>8</v>
      </c>
      <c r="DR653" s="27" t="s">
        <v>7</v>
      </c>
      <c r="DS653" s="27" t="s">
        <v>8</v>
      </c>
      <c r="DT653" s="27" t="s">
        <v>7</v>
      </c>
    </row>
    <row r="654" spans="1:124" x14ac:dyDescent="0.25">
      <c r="A654" s="7">
        <v>0.26533130432696184</v>
      </c>
      <c r="B654"/>
      <c r="C654"/>
      <c r="D654"/>
      <c r="E654"/>
      <c r="F654" s="27" t="s">
        <v>7</v>
      </c>
      <c r="BI654" s="27" t="s">
        <v>8</v>
      </c>
      <c r="BP654" s="27" t="s">
        <v>7</v>
      </c>
      <c r="BQ654" s="27" t="s">
        <v>8</v>
      </c>
      <c r="BR654" s="27" t="s">
        <v>7</v>
      </c>
      <c r="BS654" s="27" t="s">
        <v>8</v>
      </c>
      <c r="BU654" s="27" t="s">
        <v>8</v>
      </c>
      <c r="BV654" s="27" t="s">
        <v>7</v>
      </c>
      <c r="BW654" s="27" t="s">
        <v>8</v>
      </c>
      <c r="BX654" s="27" t="s">
        <v>7</v>
      </c>
      <c r="BY654" s="27" t="s">
        <v>8</v>
      </c>
      <c r="BZ654" s="27" t="s">
        <v>7</v>
      </c>
      <c r="CL654" s="27" t="s">
        <v>7</v>
      </c>
      <c r="CX654" s="27" t="s">
        <v>7</v>
      </c>
      <c r="CY654" s="27" t="s">
        <v>8</v>
      </c>
      <c r="CZ654" s="27" t="s">
        <v>7</v>
      </c>
      <c r="DA654" s="27" t="s">
        <v>8</v>
      </c>
      <c r="DB654" s="27" t="s">
        <v>7</v>
      </c>
      <c r="DC654" s="27" t="s">
        <v>8</v>
      </c>
      <c r="DN654" s="27" t="s">
        <v>7</v>
      </c>
      <c r="DO654" s="27" t="s">
        <v>8</v>
      </c>
      <c r="DP654" s="27" t="s">
        <v>7</v>
      </c>
      <c r="DQ654" s="27" t="s">
        <v>8</v>
      </c>
      <c r="DR654" s="27" t="s">
        <v>7</v>
      </c>
      <c r="DS654" s="27" t="s">
        <v>8</v>
      </c>
      <c r="DT654" s="27" t="s">
        <v>7</v>
      </c>
    </row>
    <row r="655" spans="1:124" x14ac:dyDescent="0.25">
      <c r="A655" s="7">
        <v>0.26012872973231554</v>
      </c>
      <c r="B655"/>
      <c r="C655"/>
      <c r="D655"/>
      <c r="E655"/>
      <c r="F655" s="27" t="s">
        <v>7</v>
      </c>
      <c r="BI655" s="27" t="s">
        <v>8</v>
      </c>
      <c r="BP655" s="27" t="s">
        <v>7</v>
      </c>
      <c r="BQ655" s="27" t="s">
        <v>8</v>
      </c>
      <c r="BR655" s="27" t="s">
        <v>7</v>
      </c>
      <c r="BS655" s="27" t="s">
        <v>8</v>
      </c>
      <c r="BT655" s="27" t="s">
        <v>7</v>
      </c>
      <c r="BU655" s="27" t="s">
        <v>8</v>
      </c>
      <c r="BV655" s="27" t="s">
        <v>7</v>
      </c>
      <c r="BW655" s="27" t="s">
        <v>8</v>
      </c>
      <c r="BX655" s="27" t="s">
        <v>7</v>
      </c>
      <c r="BY655" s="27" t="s">
        <v>8</v>
      </c>
      <c r="CX655" s="27" t="s">
        <v>7</v>
      </c>
      <c r="CZ655" s="27" t="s">
        <v>7</v>
      </c>
      <c r="DA655" s="27" t="s">
        <v>8</v>
      </c>
      <c r="DB655" s="27" t="s">
        <v>7</v>
      </c>
      <c r="DC655" s="27" t="s">
        <v>8</v>
      </c>
      <c r="DN655" s="27" t="s">
        <v>7</v>
      </c>
      <c r="DO655" s="27" t="s">
        <v>8</v>
      </c>
      <c r="DP655" s="27" t="s">
        <v>7</v>
      </c>
      <c r="DQ655" s="27" t="s">
        <v>8</v>
      </c>
      <c r="DR655" s="27" t="s">
        <v>7</v>
      </c>
      <c r="DS655" s="27" t="s">
        <v>8</v>
      </c>
      <c r="DT655" s="27" t="s">
        <v>7</v>
      </c>
    </row>
    <row r="656" spans="1:124" x14ac:dyDescent="0.25">
      <c r="A656" s="7">
        <v>0.25502816640423093</v>
      </c>
      <c r="B656"/>
      <c r="C656"/>
      <c r="D656"/>
      <c r="E656"/>
      <c r="F656" s="27" t="s">
        <v>7</v>
      </c>
      <c r="BI656" s="27" t="s">
        <v>8</v>
      </c>
      <c r="BP656" s="27" t="s">
        <v>7</v>
      </c>
      <c r="BQ656" s="27" t="s">
        <v>8</v>
      </c>
      <c r="BR656" s="27" t="s">
        <v>7</v>
      </c>
      <c r="BS656" s="27" t="s">
        <v>8</v>
      </c>
      <c r="BT656" s="27" t="s">
        <v>7</v>
      </c>
      <c r="BU656" s="27" t="s">
        <v>8</v>
      </c>
      <c r="BV656" s="27" t="s">
        <v>7</v>
      </c>
      <c r="BW656" s="27" t="s">
        <v>8</v>
      </c>
      <c r="BX656" s="27" t="s">
        <v>7</v>
      </c>
      <c r="BY656" s="27" t="s">
        <v>8</v>
      </c>
      <c r="CZ656" s="27" t="s">
        <v>7</v>
      </c>
      <c r="DA656" s="27" t="s">
        <v>8</v>
      </c>
      <c r="DB656" s="27" t="s">
        <v>7</v>
      </c>
      <c r="DC656" s="27" t="s">
        <v>8</v>
      </c>
      <c r="DN656" s="27" t="s">
        <v>7</v>
      </c>
      <c r="DO656" s="27" t="s">
        <v>8</v>
      </c>
      <c r="DP656" s="27" t="s">
        <v>7</v>
      </c>
      <c r="DQ656" s="27" t="s">
        <v>8</v>
      </c>
      <c r="DR656" s="27" t="s">
        <v>7</v>
      </c>
      <c r="DS656" s="27" t="s">
        <v>8</v>
      </c>
      <c r="DT656" s="27" t="s">
        <v>7</v>
      </c>
    </row>
    <row r="657" spans="1:232" x14ac:dyDescent="0.25">
      <c r="A657" s="7">
        <v>0.25002761412179503</v>
      </c>
      <c r="B657"/>
      <c r="C657"/>
      <c r="D657"/>
      <c r="E657"/>
      <c r="F657" s="27" t="s">
        <v>7</v>
      </c>
      <c r="BI657" s="27" t="s">
        <v>8</v>
      </c>
      <c r="BP657" s="27" t="s">
        <v>7</v>
      </c>
      <c r="BQ657" s="27" t="s">
        <v>8</v>
      </c>
      <c r="BR657" s="27" t="s">
        <v>7</v>
      </c>
      <c r="BS657" s="27" t="s">
        <v>8</v>
      </c>
      <c r="BT657" s="27" t="s">
        <v>7</v>
      </c>
      <c r="BU657" s="27" t="s">
        <v>8</v>
      </c>
      <c r="BV657" s="27" t="s">
        <v>7</v>
      </c>
      <c r="BX657" s="27" t="s">
        <v>7</v>
      </c>
      <c r="CZ657" s="27" t="s">
        <v>7</v>
      </c>
      <c r="DA657" s="27" t="s">
        <v>8</v>
      </c>
      <c r="DB657" s="27" t="s">
        <v>7</v>
      </c>
      <c r="DC657" s="27" t="s">
        <v>8</v>
      </c>
      <c r="DN657" s="27" t="s">
        <v>7</v>
      </c>
      <c r="DO657" s="27" t="s">
        <v>8</v>
      </c>
      <c r="DP657" s="27" t="s">
        <v>7</v>
      </c>
      <c r="DQ657" s="27" t="s">
        <v>8</v>
      </c>
      <c r="DR657" s="27" t="s">
        <v>7</v>
      </c>
      <c r="DS657" s="27" t="s">
        <v>8</v>
      </c>
      <c r="DT657" s="27" t="s">
        <v>7</v>
      </c>
    </row>
    <row r="658" spans="1:232" x14ac:dyDescent="0.25">
      <c r="A658" s="7">
        <v>0.24512511188411276</v>
      </c>
      <c r="B658"/>
      <c r="C658"/>
      <c r="D658"/>
      <c r="E658"/>
      <c r="F658" s="27" t="s">
        <v>7</v>
      </c>
      <c r="BE658" s="27" t="s">
        <v>8</v>
      </c>
      <c r="BI658" s="27" t="s">
        <v>8</v>
      </c>
      <c r="BP658" s="27" t="s">
        <v>7</v>
      </c>
      <c r="BQ658" s="27" t="s">
        <v>8</v>
      </c>
      <c r="BR658" s="27" t="s">
        <v>7</v>
      </c>
      <c r="BS658" s="27" t="s">
        <v>8</v>
      </c>
      <c r="BT658" s="27" t="s">
        <v>7</v>
      </c>
      <c r="BU658" s="27" t="s">
        <v>8</v>
      </c>
      <c r="CZ658" s="27" t="s">
        <v>7</v>
      </c>
      <c r="DA658" s="27" t="s">
        <v>8</v>
      </c>
      <c r="DB658" s="27" t="s">
        <v>7</v>
      </c>
      <c r="DC658" s="27" t="s">
        <v>8</v>
      </c>
      <c r="DN658" s="27" t="s">
        <v>7</v>
      </c>
      <c r="DP658" s="27" t="s">
        <v>7</v>
      </c>
      <c r="DQ658" s="27" t="s">
        <v>8</v>
      </c>
      <c r="DR658" s="27" t="s">
        <v>7</v>
      </c>
      <c r="DS658" s="27" t="s">
        <v>8</v>
      </c>
      <c r="DT658" s="27" t="s">
        <v>7</v>
      </c>
      <c r="GA658" s="27" t="s">
        <v>8</v>
      </c>
    </row>
    <row r="659" spans="1:232" x14ac:dyDescent="0.25">
      <c r="A659" s="7">
        <v>0.24031873714128701</v>
      </c>
      <c r="B659"/>
      <c r="C659"/>
      <c r="D659"/>
      <c r="E659"/>
      <c r="F659" s="27" t="s">
        <v>7</v>
      </c>
      <c r="BE659" s="27" t="s">
        <v>8</v>
      </c>
      <c r="BF659" s="27" t="s">
        <v>7</v>
      </c>
      <c r="BI659" s="27" t="s">
        <v>8</v>
      </c>
      <c r="BP659" s="27" t="s">
        <v>7</v>
      </c>
      <c r="BQ659" s="27" t="s">
        <v>8</v>
      </c>
      <c r="BR659" s="27" t="s">
        <v>7</v>
      </c>
      <c r="BS659" s="27" t="s">
        <v>8</v>
      </c>
      <c r="BT659" s="27" t="s">
        <v>7</v>
      </c>
      <c r="BU659" s="27" t="s">
        <v>8</v>
      </c>
      <c r="CZ659" s="27" t="s">
        <v>7</v>
      </c>
      <c r="DA659" s="27" t="s">
        <v>8</v>
      </c>
      <c r="DB659" s="27" t="s">
        <v>7</v>
      </c>
      <c r="DP659" s="27" t="s">
        <v>7</v>
      </c>
      <c r="DQ659" s="27" t="s">
        <v>8</v>
      </c>
      <c r="DR659" s="27" t="s">
        <v>7</v>
      </c>
      <c r="DS659" s="27" t="s">
        <v>8</v>
      </c>
      <c r="DT659" s="27" t="s">
        <v>7</v>
      </c>
      <c r="GA659" s="27" t="s">
        <v>8</v>
      </c>
      <c r="GB659" s="27" t="s">
        <v>7</v>
      </c>
      <c r="GY659" s="27" t="s">
        <v>8</v>
      </c>
    </row>
    <row r="660" spans="1:232" x14ac:dyDescent="0.25">
      <c r="A660" s="7">
        <v>0.23560660504047748</v>
      </c>
      <c r="B660"/>
      <c r="C660"/>
      <c r="D660"/>
      <c r="E660"/>
      <c r="F660" s="27" t="s">
        <v>7</v>
      </c>
      <c r="BE660" s="27" t="s">
        <v>8</v>
      </c>
      <c r="BF660" s="27" t="s">
        <v>7</v>
      </c>
      <c r="BI660" s="27" t="s">
        <v>8</v>
      </c>
      <c r="BP660" s="27" t="s">
        <v>7</v>
      </c>
      <c r="BQ660" s="27" t="s">
        <v>8</v>
      </c>
      <c r="BR660" s="27" t="s">
        <v>7</v>
      </c>
      <c r="BS660" s="27" t="s">
        <v>8</v>
      </c>
      <c r="BT660" s="27" t="s">
        <v>7</v>
      </c>
      <c r="BU660" s="27" t="s">
        <v>8</v>
      </c>
      <c r="CZ660" s="27" t="s">
        <v>7</v>
      </c>
      <c r="DA660" s="27" t="s">
        <v>8</v>
      </c>
      <c r="DP660" s="27" t="s">
        <v>7</v>
      </c>
      <c r="DR660" s="27" t="s">
        <v>7</v>
      </c>
      <c r="DS660" s="27" t="s">
        <v>8</v>
      </c>
      <c r="DT660" s="27" t="s">
        <v>7</v>
      </c>
      <c r="GA660" s="27" t="s">
        <v>8</v>
      </c>
      <c r="GB660" s="27" t="s">
        <v>7</v>
      </c>
      <c r="GY660" s="27" t="s">
        <v>8</v>
      </c>
      <c r="GZ660" s="27" t="s">
        <v>7</v>
      </c>
    </row>
    <row r="661" spans="1:232" x14ac:dyDescent="0.25">
      <c r="A661" s="7">
        <v>0.23098686768674265</v>
      </c>
      <c r="B661"/>
      <c r="C661"/>
      <c r="D661"/>
      <c r="E661"/>
      <c r="F661" s="27" t="s">
        <v>7</v>
      </c>
      <c r="BE661" s="27" t="s">
        <v>8</v>
      </c>
      <c r="BF661" s="27" t="s">
        <v>7</v>
      </c>
      <c r="BI661" s="27" t="s">
        <v>8</v>
      </c>
      <c r="BP661" s="27" t="s">
        <v>7</v>
      </c>
      <c r="BQ661" s="27" t="s">
        <v>8</v>
      </c>
      <c r="BR661" s="27" t="s">
        <v>7</v>
      </c>
      <c r="BS661" s="27" t="s">
        <v>8</v>
      </c>
      <c r="BT661" s="27" t="s">
        <v>7</v>
      </c>
      <c r="BU661" s="27" t="s">
        <v>8</v>
      </c>
      <c r="CZ661" s="27" t="s">
        <v>7</v>
      </c>
      <c r="DA661" s="27" t="s">
        <v>8</v>
      </c>
      <c r="DR661" s="27" t="s">
        <v>7</v>
      </c>
      <c r="DS661" s="27" t="s">
        <v>8</v>
      </c>
      <c r="DT661" s="27" t="s">
        <v>7</v>
      </c>
      <c r="GA661" s="27" t="s">
        <v>8</v>
      </c>
      <c r="GB661" s="27" t="s">
        <v>7</v>
      </c>
      <c r="GY661" s="27" t="s">
        <v>8</v>
      </c>
      <c r="GZ661" s="27" t="s">
        <v>7</v>
      </c>
    </row>
    <row r="662" spans="1:232" x14ac:dyDescent="0.25">
      <c r="A662" s="7">
        <v>0.22645771341837515</v>
      </c>
      <c r="B662"/>
      <c r="C662"/>
      <c r="D662"/>
      <c r="E662"/>
      <c r="F662" s="27" t="s">
        <v>7</v>
      </c>
      <c r="BE662" s="27" t="s">
        <v>8</v>
      </c>
      <c r="BF662" s="27" t="s">
        <v>7</v>
      </c>
      <c r="BI662" s="27" t="s">
        <v>8</v>
      </c>
      <c r="BP662" s="27" t="s">
        <v>7</v>
      </c>
      <c r="BQ662" s="27" t="s">
        <v>8</v>
      </c>
      <c r="BR662" s="27" t="s">
        <v>7</v>
      </c>
      <c r="BT662" s="27" t="s">
        <v>7</v>
      </c>
      <c r="BU662" s="27" t="s">
        <v>8</v>
      </c>
      <c r="CZ662" s="27" t="s">
        <v>7</v>
      </c>
      <c r="DA662" s="27" t="s">
        <v>8</v>
      </c>
      <c r="DR662" s="27" t="s">
        <v>7</v>
      </c>
      <c r="DS662" s="27" t="s">
        <v>8</v>
      </c>
      <c r="DT662" s="27" t="s">
        <v>7</v>
      </c>
      <c r="FY662" s="27" t="s">
        <v>8</v>
      </c>
      <c r="GA662" s="27" t="s">
        <v>8</v>
      </c>
      <c r="GB662" s="27" t="s">
        <v>7</v>
      </c>
      <c r="GY662" s="27" t="s">
        <v>8</v>
      </c>
      <c r="GZ662" s="27" t="s">
        <v>7</v>
      </c>
    </row>
    <row r="663" spans="1:232" x14ac:dyDescent="0.25">
      <c r="A663" s="7">
        <v>0.22201736609644623</v>
      </c>
      <c r="B663"/>
      <c r="C663"/>
      <c r="D663"/>
      <c r="E663"/>
      <c r="F663" s="27" t="s">
        <v>7</v>
      </c>
      <c r="BE663" s="27" t="s">
        <v>8</v>
      </c>
      <c r="BF663" s="27" t="s">
        <v>7</v>
      </c>
      <c r="BI663" s="27" t="s">
        <v>8</v>
      </c>
      <c r="BP663" s="27" t="s">
        <v>7</v>
      </c>
      <c r="BQ663" s="27" t="s">
        <v>8</v>
      </c>
      <c r="BT663" s="27" t="s">
        <v>7</v>
      </c>
      <c r="BU663" s="27" t="s">
        <v>8</v>
      </c>
      <c r="CZ663" s="27" t="s">
        <v>7</v>
      </c>
      <c r="DR663" s="27" t="s">
        <v>7</v>
      </c>
      <c r="DS663" s="27" t="s">
        <v>8</v>
      </c>
      <c r="DT663" s="27" t="s">
        <v>7</v>
      </c>
      <c r="DY663" s="27" t="s">
        <v>8</v>
      </c>
      <c r="EK663" s="27" t="s">
        <v>8</v>
      </c>
      <c r="FY663" s="27" t="s">
        <v>8</v>
      </c>
      <c r="FZ663" s="27" t="s">
        <v>7</v>
      </c>
      <c r="GA663" s="27" t="s">
        <v>8</v>
      </c>
      <c r="GB663" s="27" t="s">
        <v>7</v>
      </c>
      <c r="GY663" s="27" t="s">
        <v>8</v>
      </c>
      <c r="GZ663" s="27" t="s">
        <v>7</v>
      </c>
    </row>
    <row r="664" spans="1:232" x14ac:dyDescent="0.25">
      <c r="A664" s="7">
        <v>0.21766408440828061</v>
      </c>
      <c r="B664"/>
      <c r="C664"/>
      <c r="D664"/>
      <c r="E664"/>
      <c r="F664" s="27" t="s">
        <v>7</v>
      </c>
      <c r="AM664" s="27" t="s">
        <v>8</v>
      </c>
      <c r="BE664" s="27" t="s">
        <v>8</v>
      </c>
      <c r="BF664" s="27" t="s">
        <v>7</v>
      </c>
      <c r="BI664" s="27" t="s">
        <v>8</v>
      </c>
      <c r="BP664" s="27" t="s">
        <v>7</v>
      </c>
      <c r="BQ664" s="27" t="s">
        <v>8</v>
      </c>
      <c r="BT664" s="27" t="s">
        <v>7</v>
      </c>
      <c r="BU664" s="27" t="s">
        <v>8</v>
      </c>
      <c r="DR664" s="27" t="s">
        <v>7</v>
      </c>
      <c r="DS664" s="27" t="s">
        <v>8</v>
      </c>
      <c r="DT664" s="27" t="s">
        <v>7</v>
      </c>
      <c r="DY664" s="27" t="s">
        <v>8</v>
      </c>
      <c r="DZ664" s="27" t="s">
        <v>7</v>
      </c>
      <c r="EK664" s="27" t="s">
        <v>8</v>
      </c>
      <c r="EL664" s="27" t="s">
        <v>7</v>
      </c>
      <c r="FO664" s="27" t="s">
        <v>8</v>
      </c>
      <c r="FY664" s="27" t="s">
        <v>8</v>
      </c>
      <c r="FZ664" s="27" t="s">
        <v>7</v>
      </c>
      <c r="GA664" s="27" t="s">
        <v>8</v>
      </c>
      <c r="GB664" s="27" t="s">
        <v>7</v>
      </c>
      <c r="GY664" s="27" t="s">
        <v>8</v>
      </c>
      <c r="GZ664" s="27" t="s">
        <v>7</v>
      </c>
      <c r="HW664" s="27" t="s">
        <v>8</v>
      </c>
    </row>
    <row r="665" spans="1:232" x14ac:dyDescent="0.25">
      <c r="A665" s="7">
        <v>0.21339616118458882</v>
      </c>
      <c r="B665"/>
      <c r="C665"/>
      <c r="D665"/>
      <c r="E665"/>
      <c r="F665" s="27" t="s">
        <v>7</v>
      </c>
      <c r="AM665" s="27" t="s">
        <v>8</v>
      </c>
      <c r="AN665" s="27" t="s">
        <v>7</v>
      </c>
      <c r="BE665" s="27" t="s">
        <v>8</v>
      </c>
      <c r="BF665" s="27" t="s">
        <v>7</v>
      </c>
      <c r="BG665" s="27" t="s">
        <v>8</v>
      </c>
      <c r="BI665" s="27" t="s">
        <v>8</v>
      </c>
      <c r="BP665" s="27" t="s">
        <v>7</v>
      </c>
      <c r="BQ665" s="27" t="s">
        <v>8</v>
      </c>
      <c r="BT665" s="27" t="s">
        <v>7</v>
      </c>
      <c r="DR665" s="27" t="s">
        <v>7</v>
      </c>
      <c r="DS665" s="27" t="s">
        <v>8</v>
      </c>
      <c r="DT665" s="27" t="s">
        <v>7</v>
      </c>
      <c r="DY665" s="27" t="s">
        <v>8</v>
      </c>
      <c r="DZ665" s="27" t="s">
        <v>7</v>
      </c>
      <c r="EK665" s="27" t="s">
        <v>8</v>
      </c>
      <c r="EL665" s="27" t="s">
        <v>7</v>
      </c>
      <c r="FO665" s="27" t="s">
        <v>8</v>
      </c>
      <c r="FP665" s="27" t="s">
        <v>7</v>
      </c>
      <c r="FY665" s="27" t="s">
        <v>8</v>
      </c>
      <c r="FZ665" s="27" t="s">
        <v>7</v>
      </c>
      <c r="GA665" s="27" t="s">
        <v>8</v>
      </c>
      <c r="GB665" s="27" t="s">
        <v>7</v>
      </c>
      <c r="GY665" s="27" t="s">
        <v>8</v>
      </c>
      <c r="GZ665" s="27" t="s">
        <v>7</v>
      </c>
      <c r="HW665" s="27" t="s">
        <v>8</v>
      </c>
      <c r="HX665" s="27" t="s">
        <v>7</v>
      </c>
    </row>
    <row r="666" spans="1:232" x14ac:dyDescent="0.25">
      <c r="A666" s="7">
        <v>0.20921192272998904</v>
      </c>
      <c r="B666"/>
      <c r="C666"/>
      <c r="D666"/>
      <c r="E666"/>
      <c r="F666" s="27" t="s">
        <v>7</v>
      </c>
      <c r="AM666" s="27" t="s">
        <v>8</v>
      </c>
      <c r="AN666" s="27" t="s">
        <v>7</v>
      </c>
      <c r="BE666" s="27" t="s">
        <v>8</v>
      </c>
      <c r="BF666" s="27" t="s">
        <v>7</v>
      </c>
      <c r="BG666" s="27" t="s">
        <v>8</v>
      </c>
      <c r="BH666" s="27" t="s">
        <v>7</v>
      </c>
      <c r="BI666" s="27" t="s">
        <v>8</v>
      </c>
      <c r="BP666" s="27" t="s">
        <v>7</v>
      </c>
      <c r="BQ666" s="27" t="s">
        <v>8</v>
      </c>
      <c r="DR666" s="27" t="s">
        <v>7</v>
      </c>
      <c r="DS666" s="27" t="s">
        <v>8</v>
      </c>
      <c r="DT666" s="27" t="s">
        <v>7</v>
      </c>
      <c r="DY666" s="27" t="s">
        <v>8</v>
      </c>
      <c r="DZ666" s="27" t="s">
        <v>7</v>
      </c>
      <c r="EK666" s="27" t="s">
        <v>8</v>
      </c>
      <c r="EL666" s="27" t="s">
        <v>7</v>
      </c>
      <c r="FO666" s="27" t="s">
        <v>8</v>
      </c>
      <c r="FP666" s="27" t="s">
        <v>7</v>
      </c>
      <c r="FY666" s="27" t="s">
        <v>8</v>
      </c>
      <c r="FZ666" s="27" t="s">
        <v>7</v>
      </c>
      <c r="GA666" s="27" t="s">
        <v>8</v>
      </c>
      <c r="GB666" s="27" t="s">
        <v>7</v>
      </c>
      <c r="GS666" s="27" t="s">
        <v>8</v>
      </c>
      <c r="GU666" s="27" t="s">
        <v>8</v>
      </c>
      <c r="GY666" s="27" t="s">
        <v>8</v>
      </c>
      <c r="GZ666" s="27" t="s">
        <v>7</v>
      </c>
      <c r="HW666" s="27" t="s">
        <v>8</v>
      </c>
      <c r="HX666" s="27" t="s">
        <v>7</v>
      </c>
    </row>
    <row r="667" spans="1:232" x14ac:dyDescent="0.25">
      <c r="A667" s="7">
        <v>0.20510972816665593</v>
      </c>
      <c r="B667"/>
      <c r="C667"/>
      <c r="D667"/>
      <c r="E667"/>
      <c r="F667" s="27" t="s">
        <v>7</v>
      </c>
      <c r="AM667" s="27" t="s">
        <v>8</v>
      </c>
      <c r="AN667" s="27" t="s">
        <v>7</v>
      </c>
      <c r="BE667" s="27" t="s">
        <v>8</v>
      </c>
      <c r="BF667" s="27" t="s">
        <v>7</v>
      </c>
      <c r="BG667" s="27" t="s">
        <v>8</v>
      </c>
      <c r="BH667" s="27" t="s">
        <v>7</v>
      </c>
      <c r="BI667" s="27" t="s">
        <v>8</v>
      </c>
      <c r="BP667" s="27" t="s">
        <v>7</v>
      </c>
      <c r="BQ667" s="27" t="s">
        <v>8</v>
      </c>
      <c r="DR667" s="27" t="s">
        <v>7</v>
      </c>
      <c r="DS667" s="27" t="s">
        <v>8</v>
      </c>
      <c r="DT667" s="27" t="s">
        <v>7</v>
      </c>
      <c r="DY667" s="27" t="s">
        <v>8</v>
      </c>
      <c r="DZ667" s="27" t="s">
        <v>7</v>
      </c>
      <c r="EK667" s="27" t="s">
        <v>8</v>
      </c>
      <c r="EL667" s="27" t="s">
        <v>7</v>
      </c>
      <c r="FO667" s="27" t="s">
        <v>8</v>
      </c>
      <c r="FP667" s="27" t="s">
        <v>7</v>
      </c>
      <c r="FS667" s="27" t="s">
        <v>8</v>
      </c>
      <c r="FU667" s="27" t="s">
        <v>8</v>
      </c>
      <c r="FY667" s="27" t="s">
        <v>8</v>
      </c>
      <c r="FZ667" s="27" t="s">
        <v>7</v>
      </c>
      <c r="GA667" s="27" t="s">
        <v>8</v>
      </c>
      <c r="GB667" s="27" t="s">
        <v>7</v>
      </c>
      <c r="GS667" s="27" t="s">
        <v>8</v>
      </c>
      <c r="GT667" s="27" t="s">
        <v>7</v>
      </c>
      <c r="GU667" s="27" t="s">
        <v>8</v>
      </c>
      <c r="GV667" s="27" t="s">
        <v>7</v>
      </c>
      <c r="GY667" s="27" t="s">
        <v>8</v>
      </c>
      <c r="GZ667" s="27" t="s">
        <v>7</v>
      </c>
      <c r="HG667" s="27" t="s">
        <v>8</v>
      </c>
      <c r="HI667" s="27" t="s">
        <v>8</v>
      </c>
      <c r="HQ667" s="27" t="s">
        <v>8</v>
      </c>
      <c r="HW667" s="27" t="s">
        <v>8</v>
      </c>
      <c r="HX667" s="27" t="s">
        <v>7</v>
      </c>
    </row>
    <row r="668" spans="1:232" x14ac:dyDescent="0.25">
      <c r="A668" s="7">
        <v>0.20108796879083912</v>
      </c>
      <c r="B668"/>
      <c r="C668"/>
      <c r="D668"/>
      <c r="E668"/>
      <c r="F668" s="27" t="s">
        <v>7</v>
      </c>
      <c r="AM668" s="27" t="s">
        <v>8</v>
      </c>
      <c r="AN668" s="27" t="s">
        <v>7</v>
      </c>
      <c r="BE668" s="27" t="s">
        <v>8</v>
      </c>
      <c r="BF668" s="27" t="s">
        <v>7</v>
      </c>
      <c r="BG668" s="27" t="s">
        <v>8</v>
      </c>
      <c r="BH668" s="27" t="s">
        <v>7</v>
      </c>
      <c r="BI668" s="27" t="s">
        <v>8</v>
      </c>
      <c r="BP668" s="27" t="s">
        <v>7</v>
      </c>
      <c r="BQ668" s="27" t="s">
        <v>8</v>
      </c>
      <c r="DR668" s="27" t="s">
        <v>7</v>
      </c>
      <c r="DS668" s="27" t="s">
        <v>8</v>
      </c>
      <c r="DT668" s="27" t="s">
        <v>7</v>
      </c>
      <c r="DU668" s="27" t="s">
        <v>8</v>
      </c>
      <c r="DW668" s="27" t="s">
        <v>8</v>
      </c>
      <c r="DY668" s="27" t="s">
        <v>8</v>
      </c>
      <c r="DZ668" s="27" t="s">
        <v>7</v>
      </c>
      <c r="EC668" s="27" t="s">
        <v>8</v>
      </c>
      <c r="EK668" s="27" t="s">
        <v>8</v>
      </c>
      <c r="EL668" s="27" t="s">
        <v>7</v>
      </c>
      <c r="FO668" s="27" t="s">
        <v>8</v>
      </c>
      <c r="FP668" s="27" t="s">
        <v>7</v>
      </c>
      <c r="FQ668" s="27" t="s">
        <v>8</v>
      </c>
      <c r="FS668" s="27" t="s">
        <v>8</v>
      </c>
      <c r="FT668" s="27" t="s">
        <v>7</v>
      </c>
      <c r="FU668" s="27" t="s">
        <v>8</v>
      </c>
      <c r="FV668" s="27" t="s">
        <v>7</v>
      </c>
      <c r="FY668" s="27" t="s">
        <v>8</v>
      </c>
      <c r="FZ668" s="27" t="s">
        <v>7</v>
      </c>
      <c r="GA668" s="27" t="s">
        <v>8</v>
      </c>
      <c r="GB668" s="27" t="s">
        <v>7</v>
      </c>
      <c r="GS668" s="27" t="s">
        <v>8</v>
      </c>
      <c r="GT668" s="27" t="s">
        <v>7</v>
      </c>
      <c r="GU668" s="27" t="s">
        <v>8</v>
      </c>
      <c r="GV668" s="27" t="s">
        <v>7</v>
      </c>
      <c r="GY668" s="27" t="s">
        <v>8</v>
      </c>
      <c r="GZ668" s="27" t="s">
        <v>7</v>
      </c>
      <c r="HG668" s="27" t="s">
        <v>8</v>
      </c>
      <c r="HH668" s="27" t="s">
        <v>7</v>
      </c>
      <c r="HI668" s="27" t="s">
        <v>8</v>
      </c>
      <c r="HJ668" s="27" t="s">
        <v>7</v>
      </c>
      <c r="HK668" s="27" t="s">
        <v>8</v>
      </c>
      <c r="HQ668" s="27" t="s">
        <v>8</v>
      </c>
      <c r="HR668" s="27" t="s">
        <v>7</v>
      </c>
      <c r="HW668" s="27" t="s">
        <v>8</v>
      </c>
      <c r="HX668" s="27" t="s">
        <v>7</v>
      </c>
    </row>
    <row r="669" spans="1:232" x14ac:dyDescent="0.25">
      <c r="A669" s="7">
        <v>0.19714506744199917</v>
      </c>
      <c r="B669"/>
      <c r="C669"/>
      <c r="D669"/>
      <c r="E669"/>
      <c r="F669" s="27" t="s">
        <v>7</v>
      </c>
      <c r="AM669" s="27" t="s">
        <v>8</v>
      </c>
      <c r="AN669" s="27" t="s">
        <v>7</v>
      </c>
      <c r="BE669" s="27" t="s">
        <v>8</v>
      </c>
      <c r="BF669" s="27" t="s">
        <v>7</v>
      </c>
      <c r="BG669" s="27" t="s">
        <v>8</v>
      </c>
      <c r="BH669" s="27" t="s">
        <v>7</v>
      </c>
      <c r="BI669" s="27" t="s">
        <v>8</v>
      </c>
      <c r="BP669" s="27" t="s">
        <v>7</v>
      </c>
      <c r="BQ669" s="27" t="s">
        <v>8</v>
      </c>
      <c r="DR669" s="27" t="s">
        <v>7</v>
      </c>
      <c r="DS669" s="27" t="s">
        <v>8</v>
      </c>
      <c r="DT669" s="27" t="s">
        <v>7</v>
      </c>
      <c r="DU669" s="27" t="s">
        <v>8</v>
      </c>
      <c r="DV669" s="27" t="s">
        <v>7</v>
      </c>
      <c r="DW669" s="27" t="s">
        <v>8</v>
      </c>
      <c r="DX669" s="27" t="s">
        <v>7</v>
      </c>
      <c r="DY669" s="27" t="s">
        <v>8</v>
      </c>
      <c r="DZ669" s="27" t="s">
        <v>7</v>
      </c>
      <c r="EC669" s="27" t="s">
        <v>8</v>
      </c>
      <c r="ED669" s="27" t="s">
        <v>7</v>
      </c>
      <c r="EK669" s="27" t="s">
        <v>8</v>
      </c>
      <c r="EL669" s="27" t="s">
        <v>7</v>
      </c>
      <c r="FO669" s="27" t="s">
        <v>8</v>
      </c>
      <c r="FP669" s="27" t="s">
        <v>7</v>
      </c>
      <c r="FQ669" s="27" t="s">
        <v>8</v>
      </c>
      <c r="FR669" s="27" t="s">
        <v>7</v>
      </c>
      <c r="FS669" s="27" t="s">
        <v>8</v>
      </c>
      <c r="FT669" s="27" t="s">
        <v>7</v>
      </c>
      <c r="FU669" s="27" t="s">
        <v>8</v>
      </c>
      <c r="FV669" s="27" t="s">
        <v>7</v>
      </c>
      <c r="FY669" s="27" t="s">
        <v>8</v>
      </c>
      <c r="FZ669" s="27" t="s">
        <v>7</v>
      </c>
      <c r="GA669" s="27" t="s">
        <v>8</v>
      </c>
      <c r="GB669" s="27" t="s">
        <v>7</v>
      </c>
      <c r="GS669" s="27" t="s">
        <v>8</v>
      </c>
      <c r="GT669" s="27" t="s">
        <v>7</v>
      </c>
      <c r="GU669" s="27" t="s">
        <v>8</v>
      </c>
      <c r="GV669" s="27" t="s">
        <v>7</v>
      </c>
      <c r="GY669" s="27" t="s">
        <v>8</v>
      </c>
      <c r="GZ669" s="27" t="s">
        <v>7</v>
      </c>
      <c r="HG669" s="27" t="s">
        <v>8</v>
      </c>
      <c r="HH669" s="27" t="s">
        <v>7</v>
      </c>
      <c r="HI669" s="27" t="s">
        <v>8</v>
      </c>
      <c r="HJ669" s="27" t="s">
        <v>7</v>
      </c>
      <c r="HK669" s="27" t="s">
        <v>8</v>
      </c>
      <c r="HL669" s="27" t="s">
        <v>7</v>
      </c>
      <c r="HQ669" s="27" t="s">
        <v>8</v>
      </c>
      <c r="HR669" s="27" t="s">
        <v>7</v>
      </c>
      <c r="HW669" s="27" t="s">
        <v>8</v>
      </c>
      <c r="HX669" s="27" t="s">
        <v>7</v>
      </c>
    </row>
    <row r="670" spans="1:232" x14ac:dyDescent="0.25">
      <c r="A670" s="7">
        <v>0.19327947788431293</v>
      </c>
      <c r="B670"/>
      <c r="C670"/>
      <c r="D670"/>
      <c r="E670"/>
      <c r="F670" s="27" t="s">
        <v>7</v>
      </c>
      <c r="AM670" s="27" t="s">
        <v>8</v>
      </c>
      <c r="AN670" s="27" t="s">
        <v>7</v>
      </c>
      <c r="BE670" s="27" t="s">
        <v>8</v>
      </c>
      <c r="BF670" s="27" t="s">
        <v>7</v>
      </c>
      <c r="BG670" s="27" t="s">
        <v>8</v>
      </c>
      <c r="BH670" s="27" t="s">
        <v>7</v>
      </c>
      <c r="BI670" s="27" t="s">
        <v>8</v>
      </c>
      <c r="BP670" s="27" t="s">
        <v>7</v>
      </c>
      <c r="BQ670" s="27" t="s">
        <v>8</v>
      </c>
      <c r="DR670" s="27" t="s">
        <v>7</v>
      </c>
      <c r="DS670" s="27" t="s">
        <v>8</v>
      </c>
      <c r="DT670" s="27" t="s">
        <v>7</v>
      </c>
      <c r="DU670" s="27" t="s">
        <v>8</v>
      </c>
      <c r="DV670" s="27" t="s">
        <v>7</v>
      </c>
      <c r="DW670" s="27" t="s">
        <v>8</v>
      </c>
      <c r="DX670" s="27" t="s">
        <v>7</v>
      </c>
      <c r="DY670" s="27" t="s">
        <v>8</v>
      </c>
      <c r="DZ670" s="27" t="s">
        <v>7</v>
      </c>
      <c r="EA670" s="27" t="s">
        <v>8</v>
      </c>
      <c r="EC670" s="27" t="s">
        <v>8</v>
      </c>
      <c r="ED670" s="27" t="s">
        <v>7</v>
      </c>
      <c r="EK670" s="27" t="s">
        <v>8</v>
      </c>
      <c r="EL670" s="27" t="s">
        <v>7</v>
      </c>
      <c r="FA670" s="27" t="s">
        <v>8</v>
      </c>
      <c r="FK670" s="27" t="s">
        <v>8</v>
      </c>
      <c r="FO670" s="27" t="s">
        <v>8</v>
      </c>
      <c r="FP670" s="27" t="s">
        <v>7</v>
      </c>
      <c r="FQ670" s="27" t="s">
        <v>8</v>
      </c>
      <c r="FR670" s="27" t="s">
        <v>7</v>
      </c>
      <c r="FS670" s="27" t="s">
        <v>8</v>
      </c>
      <c r="FT670" s="27" t="s">
        <v>7</v>
      </c>
      <c r="FU670" s="27" t="s">
        <v>8</v>
      </c>
      <c r="FV670" s="27" t="s">
        <v>7</v>
      </c>
      <c r="FW670" s="27" t="s">
        <v>8</v>
      </c>
      <c r="FY670" s="27" t="s">
        <v>8</v>
      </c>
      <c r="FZ670" s="27" t="s">
        <v>7</v>
      </c>
      <c r="GA670" s="27" t="s">
        <v>8</v>
      </c>
      <c r="GB670" s="27" t="s">
        <v>7</v>
      </c>
      <c r="GS670" s="27" t="s">
        <v>8</v>
      </c>
      <c r="GT670" s="27" t="s">
        <v>7</v>
      </c>
      <c r="GU670" s="27" t="s">
        <v>8</v>
      </c>
      <c r="GV670" s="27" t="s">
        <v>7</v>
      </c>
      <c r="GY670" s="27" t="s">
        <v>8</v>
      </c>
      <c r="GZ670" s="27" t="s">
        <v>7</v>
      </c>
      <c r="HA670" s="27" t="s">
        <v>8</v>
      </c>
      <c r="HG670" s="27" t="s">
        <v>8</v>
      </c>
      <c r="HH670" s="27" t="s">
        <v>7</v>
      </c>
      <c r="HI670" s="27" t="s">
        <v>8</v>
      </c>
      <c r="HJ670" s="27" t="s">
        <v>7</v>
      </c>
      <c r="HK670" s="27" t="s">
        <v>8</v>
      </c>
      <c r="HL670" s="27" t="s">
        <v>7</v>
      </c>
      <c r="HM670" s="27" t="s">
        <v>8</v>
      </c>
      <c r="HQ670" s="27" t="s">
        <v>8</v>
      </c>
      <c r="HR670" s="27" t="s">
        <v>7</v>
      </c>
      <c r="HS670" s="27" t="s">
        <v>8</v>
      </c>
      <c r="HW670" s="27" t="s">
        <v>8</v>
      </c>
      <c r="HX670" s="27" t="s">
        <v>7</v>
      </c>
    </row>
    <row r="671" spans="1:232" x14ac:dyDescent="0.25">
      <c r="A671" s="7">
        <v>0.18948968420030682</v>
      </c>
      <c r="B671"/>
      <c r="C671"/>
      <c r="D671"/>
      <c r="E671"/>
      <c r="F671" s="27" t="s">
        <v>7</v>
      </c>
      <c r="AM671" s="27" t="s">
        <v>8</v>
      </c>
      <c r="AN671" s="27" t="s">
        <v>7</v>
      </c>
      <c r="BE671" s="27" t="s">
        <v>8</v>
      </c>
      <c r="BF671" s="27" t="s">
        <v>7</v>
      </c>
      <c r="BG671" s="27" t="s">
        <v>8</v>
      </c>
      <c r="BH671" s="27" t="s">
        <v>7</v>
      </c>
      <c r="BI671" s="27" t="s">
        <v>8</v>
      </c>
      <c r="BP671" s="27" t="s">
        <v>7</v>
      </c>
      <c r="BQ671" s="27" t="s">
        <v>8</v>
      </c>
      <c r="DR671" s="27" t="s">
        <v>7</v>
      </c>
      <c r="DS671" s="27" t="s">
        <v>8</v>
      </c>
      <c r="DT671" s="27" t="s">
        <v>7</v>
      </c>
      <c r="DU671" s="27" t="s">
        <v>8</v>
      </c>
      <c r="DV671" s="27" t="s">
        <v>7</v>
      </c>
      <c r="DW671" s="27" t="s">
        <v>8</v>
      </c>
      <c r="DX671" s="27" t="s">
        <v>7</v>
      </c>
      <c r="DY671" s="27" t="s">
        <v>8</v>
      </c>
      <c r="DZ671" s="27" t="s">
        <v>7</v>
      </c>
      <c r="EA671" s="27" t="s">
        <v>8</v>
      </c>
      <c r="EB671" s="27" t="s">
        <v>7</v>
      </c>
      <c r="EC671" s="27" t="s">
        <v>8</v>
      </c>
      <c r="ED671" s="27" t="s">
        <v>7</v>
      </c>
      <c r="EK671" s="27" t="s">
        <v>8</v>
      </c>
      <c r="EL671" s="27" t="s">
        <v>7</v>
      </c>
      <c r="FA671" s="27" t="s">
        <v>8</v>
      </c>
      <c r="FB671" s="27" t="s">
        <v>7</v>
      </c>
      <c r="FK671" s="27" t="s">
        <v>8</v>
      </c>
      <c r="FL671" s="27" t="s">
        <v>7</v>
      </c>
      <c r="FO671" s="27" t="s">
        <v>8</v>
      </c>
      <c r="FP671" s="27" t="s">
        <v>7</v>
      </c>
      <c r="FR671" s="27" t="s">
        <v>7</v>
      </c>
      <c r="FS671" s="27" t="s">
        <v>8</v>
      </c>
      <c r="FT671" s="27" t="s">
        <v>7</v>
      </c>
      <c r="FU671" s="27" t="s">
        <v>8</v>
      </c>
      <c r="FV671" s="27" t="s">
        <v>7</v>
      </c>
      <c r="FW671" s="27" t="s">
        <v>8</v>
      </c>
      <c r="FX671" s="27" t="s">
        <v>7</v>
      </c>
      <c r="FY671" s="27" t="s">
        <v>8</v>
      </c>
      <c r="FZ671" s="27" t="s">
        <v>7</v>
      </c>
      <c r="GA671" s="27" t="s">
        <v>8</v>
      </c>
      <c r="GB671" s="27" t="s">
        <v>7</v>
      </c>
      <c r="GC671" s="27" t="s">
        <v>8</v>
      </c>
      <c r="GE671" s="27" t="s">
        <v>8</v>
      </c>
      <c r="GG671" s="27" t="s">
        <v>8</v>
      </c>
      <c r="GI671" s="27" t="s">
        <v>8</v>
      </c>
      <c r="GS671" s="27" t="s">
        <v>8</v>
      </c>
      <c r="GT671" s="27" t="s">
        <v>7</v>
      </c>
      <c r="GU671" s="27" t="s">
        <v>8</v>
      </c>
      <c r="GV671" s="27" t="s">
        <v>7</v>
      </c>
      <c r="GY671" s="27" t="s">
        <v>8</v>
      </c>
      <c r="GZ671" s="27" t="s">
        <v>7</v>
      </c>
      <c r="HA671" s="27" t="s">
        <v>8</v>
      </c>
      <c r="HB671" s="27" t="s">
        <v>7</v>
      </c>
      <c r="HG671" s="27" t="s">
        <v>8</v>
      </c>
      <c r="HH671" s="27" t="s">
        <v>7</v>
      </c>
      <c r="HI671" s="27" t="s">
        <v>8</v>
      </c>
      <c r="HJ671" s="27" t="s">
        <v>7</v>
      </c>
      <c r="HK671" s="27" t="s">
        <v>8</v>
      </c>
      <c r="HL671" s="27" t="s">
        <v>7</v>
      </c>
      <c r="HM671" s="27" t="s">
        <v>8</v>
      </c>
      <c r="HN671" s="27" t="s">
        <v>7</v>
      </c>
      <c r="HQ671" s="27" t="s">
        <v>8</v>
      </c>
      <c r="HR671" s="27" t="s">
        <v>7</v>
      </c>
      <c r="HS671" s="27" t="s">
        <v>8</v>
      </c>
      <c r="HT671" s="27" t="s">
        <v>7</v>
      </c>
      <c r="HW671" s="27" t="s">
        <v>8</v>
      </c>
      <c r="HX671" s="27" t="s">
        <v>7</v>
      </c>
    </row>
    <row r="672" spans="1:232" x14ac:dyDescent="0.25">
      <c r="A672" s="7">
        <v>0.18577420019637925</v>
      </c>
      <c r="B672"/>
      <c r="C672"/>
      <c r="D672"/>
      <c r="E672"/>
      <c r="F672" s="27" t="s">
        <v>7</v>
      </c>
      <c r="AM672" s="27" t="s">
        <v>8</v>
      </c>
      <c r="AN672" s="27" t="s">
        <v>7</v>
      </c>
      <c r="BE672" s="27" t="s">
        <v>8</v>
      </c>
      <c r="BF672" s="27" t="s">
        <v>7</v>
      </c>
      <c r="BG672" s="27" t="s">
        <v>8</v>
      </c>
      <c r="BH672" s="27" t="s">
        <v>7</v>
      </c>
      <c r="BI672" s="27" t="s">
        <v>8</v>
      </c>
      <c r="BP672" s="27" t="s">
        <v>7</v>
      </c>
      <c r="BQ672" s="27" t="s">
        <v>8</v>
      </c>
      <c r="DR672" s="27" t="s">
        <v>7</v>
      </c>
      <c r="DS672" s="27" t="s">
        <v>8</v>
      </c>
      <c r="DT672" s="27" t="s">
        <v>7</v>
      </c>
      <c r="DU672" s="27" t="s">
        <v>8</v>
      </c>
      <c r="DV672" s="27" t="s">
        <v>7</v>
      </c>
      <c r="DW672" s="27" t="s">
        <v>8</v>
      </c>
      <c r="DX672" s="27" t="s">
        <v>7</v>
      </c>
      <c r="DY672" s="27" t="s">
        <v>8</v>
      </c>
      <c r="DZ672" s="27" t="s">
        <v>7</v>
      </c>
      <c r="EA672" s="27" t="s">
        <v>8</v>
      </c>
      <c r="EB672" s="27" t="s">
        <v>7</v>
      </c>
      <c r="EC672" s="27" t="s">
        <v>8</v>
      </c>
      <c r="ED672" s="27" t="s">
        <v>7</v>
      </c>
      <c r="EE672" s="27" t="s">
        <v>8</v>
      </c>
      <c r="EK672" s="27" t="s">
        <v>8</v>
      </c>
      <c r="EL672" s="27" t="s">
        <v>7</v>
      </c>
      <c r="FA672" s="27" t="s">
        <v>8</v>
      </c>
      <c r="FB672" s="27" t="s">
        <v>7</v>
      </c>
      <c r="FK672" s="27" t="s">
        <v>8</v>
      </c>
      <c r="FL672" s="27" t="s">
        <v>7</v>
      </c>
      <c r="FO672" s="27" t="s">
        <v>8</v>
      </c>
      <c r="FR672" s="27" t="s">
        <v>7</v>
      </c>
      <c r="FS672" s="27" t="s">
        <v>8</v>
      </c>
      <c r="FT672" s="27" t="s">
        <v>7</v>
      </c>
      <c r="FV672" s="27" t="s">
        <v>7</v>
      </c>
      <c r="FW672" s="27" t="s">
        <v>8</v>
      </c>
      <c r="FX672" s="27" t="s">
        <v>7</v>
      </c>
      <c r="FY672" s="27" t="s">
        <v>8</v>
      </c>
      <c r="FZ672" s="27" t="s">
        <v>7</v>
      </c>
      <c r="GA672" s="27" t="s">
        <v>8</v>
      </c>
      <c r="GB672" s="27" t="s">
        <v>7</v>
      </c>
      <c r="GC672" s="27" t="s">
        <v>8</v>
      </c>
      <c r="GD672" s="27" t="s">
        <v>7</v>
      </c>
      <c r="GE672" s="27" t="s">
        <v>8</v>
      </c>
      <c r="GF672" s="27" t="s">
        <v>7</v>
      </c>
      <c r="GG672" s="27" t="s">
        <v>8</v>
      </c>
      <c r="GH672" s="27" t="s">
        <v>7</v>
      </c>
      <c r="GI672" s="27" t="s">
        <v>8</v>
      </c>
      <c r="GJ672" s="27" t="s">
        <v>7</v>
      </c>
      <c r="GS672" s="27" t="s">
        <v>8</v>
      </c>
      <c r="GT672" s="27" t="s">
        <v>7</v>
      </c>
      <c r="GU672" s="27" t="s">
        <v>8</v>
      </c>
      <c r="GV672" s="27" t="s">
        <v>7</v>
      </c>
      <c r="GY672" s="27" t="s">
        <v>8</v>
      </c>
      <c r="GZ672" s="27" t="s">
        <v>7</v>
      </c>
      <c r="HA672" s="27" t="s">
        <v>8</v>
      </c>
      <c r="HB672" s="27" t="s">
        <v>7</v>
      </c>
      <c r="HG672" s="27" t="s">
        <v>8</v>
      </c>
      <c r="HH672" s="27" t="s">
        <v>7</v>
      </c>
      <c r="HI672" s="27" t="s">
        <v>8</v>
      </c>
      <c r="HJ672" s="27" t="s">
        <v>7</v>
      </c>
      <c r="HK672" s="27" t="s">
        <v>8</v>
      </c>
      <c r="HL672" s="27" t="s">
        <v>7</v>
      </c>
      <c r="HM672" s="27" t="s">
        <v>8</v>
      </c>
      <c r="HN672" s="27" t="s">
        <v>7</v>
      </c>
      <c r="HQ672" s="27" t="s">
        <v>8</v>
      </c>
      <c r="HR672" s="27" t="s">
        <v>7</v>
      </c>
      <c r="HS672" s="27" t="s">
        <v>8</v>
      </c>
      <c r="HT672" s="27" t="s">
        <v>7</v>
      </c>
      <c r="HW672" s="27" t="s">
        <v>8</v>
      </c>
      <c r="HX672" s="27" t="s">
        <v>7</v>
      </c>
    </row>
    <row r="673" spans="1:250" x14ac:dyDescent="0.25">
      <c r="A673" s="7">
        <v>0.18213156881997963</v>
      </c>
      <c r="B673"/>
      <c r="C673"/>
      <c r="D673"/>
      <c r="E673"/>
      <c r="F673" s="27" t="s">
        <v>7</v>
      </c>
      <c r="AM673" s="27" t="s">
        <v>8</v>
      </c>
      <c r="AN673" s="27" t="s">
        <v>7</v>
      </c>
      <c r="BE673" s="27" t="s">
        <v>8</v>
      </c>
      <c r="BF673" s="27" t="s">
        <v>7</v>
      </c>
      <c r="BG673" s="27" t="s">
        <v>8</v>
      </c>
      <c r="BH673" s="27" t="s">
        <v>7</v>
      </c>
      <c r="BP673" s="27" t="s">
        <v>7</v>
      </c>
      <c r="BQ673" s="27" t="s">
        <v>8</v>
      </c>
      <c r="DR673" s="27" t="s">
        <v>7</v>
      </c>
      <c r="DS673" s="27" t="s">
        <v>8</v>
      </c>
      <c r="DT673" s="27" t="s">
        <v>7</v>
      </c>
      <c r="DU673" s="27" t="s">
        <v>8</v>
      </c>
      <c r="DV673" s="27" t="s">
        <v>7</v>
      </c>
      <c r="DW673" s="27" t="s">
        <v>8</v>
      </c>
      <c r="DX673" s="27" t="s">
        <v>7</v>
      </c>
      <c r="DY673" s="27" t="s">
        <v>8</v>
      </c>
      <c r="DZ673" s="27" t="s">
        <v>7</v>
      </c>
      <c r="EA673" s="27" t="s">
        <v>8</v>
      </c>
      <c r="EB673" s="27" t="s">
        <v>7</v>
      </c>
      <c r="EC673" s="27" t="s">
        <v>8</v>
      </c>
      <c r="ED673" s="27" t="s">
        <v>7</v>
      </c>
      <c r="EE673" s="27" t="s">
        <v>8</v>
      </c>
      <c r="EF673" s="27" t="s">
        <v>7</v>
      </c>
      <c r="EK673" s="27" t="s">
        <v>8</v>
      </c>
      <c r="EL673" s="27" t="s">
        <v>7</v>
      </c>
      <c r="FA673" s="27" t="s">
        <v>8</v>
      </c>
      <c r="FB673" s="27" t="s">
        <v>7</v>
      </c>
      <c r="FK673" s="27" t="s">
        <v>8</v>
      </c>
      <c r="FL673" s="27" t="s">
        <v>7</v>
      </c>
      <c r="FO673" s="27" t="s">
        <v>8</v>
      </c>
      <c r="FR673" s="27" t="s">
        <v>7</v>
      </c>
      <c r="FS673" s="27" t="s">
        <v>8</v>
      </c>
      <c r="FV673" s="27" t="s">
        <v>7</v>
      </c>
      <c r="FW673" s="27" t="s">
        <v>8</v>
      </c>
      <c r="FX673" s="27" t="s">
        <v>7</v>
      </c>
      <c r="FY673" s="27" t="s">
        <v>8</v>
      </c>
      <c r="FZ673" s="27" t="s">
        <v>7</v>
      </c>
      <c r="GB673" s="27" t="s">
        <v>7</v>
      </c>
      <c r="GC673" s="27" t="s">
        <v>8</v>
      </c>
      <c r="GD673" s="27" t="s">
        <v>7</v>
      </c>
      <c r="GE673" s="27" t="s">
        <v>8</v>
      </c>
      <c r="GF673" s="27" t="s">
        <v>7</v>
      </c>
      <c r="GG673" s="27" t="s">
        <v>8</v>
      </c>
      <c r="GH673" s="27" t="s">
        <v>7</v>
      </c>
      <c r="GI673" s="27" t="s">
        <v>8</v>
      </c>
      <c r="GJ673" s="27" t="s">
        <v>7</v>
      </c>
      <c r="GS673" s="27" t="s">
        <v>8</v>
      </c>
      <c r="GT673" s="27" t="s">
        <v>7</v>
      </c>
      <c r="GU673" s="27" t="s">
        <v>8</v>
      </c>
      <c r="GV673" s="27" t="s">
        <v>7</v>
      </c>
      <c r="GW673" s="27" t="s">
        <v>8</v>
      </c>
      <c r="GY673" s="27" t="s">
        <v>8</v>
      </c>
      <c r="GZ673" s="27" t="s">
        <v>7</v>
      </c>
      <c r="HA673" s="27" t="s">
        <v>8</v>
      </c>
      <c r="HB673" s="27" t="s">
        <v>7</v>
      </c>
      <c r="HC673" s="27" t="s">
        <v>8</v>
      </c>
      <c r="HG673" s="27" t="s">
        <v>8</v>
      </c>
      <c r="HH673" s="27" t="s">
        <v>7</v>
      </c>
      <c r="HI673" s="27" t="s">
        <v>8</v>
      </c>
      <c r="HJ673" s="27" t="s">
        <v>7</v>
      </c>
      <c r="HK673" s="27" t="s">
        <v>8</v>
      </c>
      <c r="HL673" s="27" t="s">
        <v>7</v>
      </c>
      <c r="HN673" s="27" t="s">
        <v>7</v>
      </c>
      <c r="HQ673" s="27" t="s">
        <v>8</v>
      </c>
      <c r="HR673" s="27" t="s">
        <v>7</v>
      </c>
      <c r="HS673" s="27" t="s">
        <v>8</v>
      </c>
      <c r="HT673" s="27" t="s">
        <v>7</v>
      </c>
      <c r="HU673" s="27" t="s">
        <v>8</v>
      </c>
      <c r="HW673" s="27" t="s">
        <v>8</v>
      </c>
      <c r="HX673" s="27" t="s">
        <v>7</v>
      </c>
    </row>
    <row r="674" spans="1:250" x14ac:dyDescent="0.25">
      <c r="A674" s="7">
        <v>0.17856036158821534</v>
      </c>
      <c r="B674"/>
      <c r="C674"/>
      <c r="D674"/>
      <c r="E674"/>
      <c r="F674" s="27" t="s">
        <v>7</v>
      </c>
      <c r="AM674" s="27" t="s">
        <v>8</v>
      </c>
      <c r="AN674" s="27" t="s">
        <v>7</v>
      </c>
      <c r="BE674" s="27" t="s">
        <v>8</v>
      </c>
      <c r="BF674" s="27" t="s">
        <v>7</v>
      </c>
      <c r="BG674" s="27" t="s">
        <v>8</v>
      </c>
      <c r="BP674" s="27" t="s">
        <v>7</v>
      </c>
      <c r="BQ674" s="27" t="s">
        <v>8</v>
      </c>
      <c r="DR674" s="27" t="s">
        <v>7</v>
      </c>
      <c r="DS674" s="27" t="s">
        <v>8</v>
      </c>
      <c r="DT674" s="27" t="s">
        <v>7</v>
      </c>
      <c r="DU674" s="27" t="s">
        <v>8</v>
      </c>
      <c r="DV674" s="27" t="s">
        <v>7</v>
      </c>
      <c r="DW674" s="27" t="s">
        <v>8</v>
      </c>
      <c r="DX674" s="27" t="s">
        <v>7</v>
      </c>
      <c r="DY674" s="27" t="s">
        <v>8</v>
      </c>
      <c r="DZ674" s="27" t="s">
        <v>7</v>
      </c>
      <c r="EA674" s="27" t="s">
        <v>8</v>
      </c>
      <c r="EB674" s="27" t="s">
        <v>7</v>
      </c>
      <c r="EC674" s="27" t="s">
        <v>8</v>
      </c>
      <c r="ED674" s="27" t="s">
        <v>7</v>
      </c>
      <c r="EE674" s="27" t="s">
        <v>8</v>
      </c>
      <c r="EF674" s="27" t="s">
        <v>7</v>
      </c>
      <c r="EK674" s="27" t="s">
        <v>8</v>
      </c>
      <c r="EL674" s="27" t="s">
        <v>7</v>
      </c>
      <c r="FA674" s="27" t="s">
        <v>8</v>
      </c>
      <c r="FB674" s="27" t="s">
        <v>7</v>
      </c>
      <c r="FK674" s="27" t="s">
        <v>8</v>
      </c>
      <c r="FL674" s="27" t="s">
        <v>7</v>
      </c>
      <c r="FM674" s="27" t="s">
        <v>8</v>
      </c>
      <c r="FO674" s="27" t="s">
        <v>8</v>
      </c>
      <c r="FR674" s="27" t="s">
        <v>7</v>
      </c>
      <c r="FS674" s="27" t="s">
        <v>8</v>
      </c>
      <c r="FV674" s="27" t="s">
        <v>7</v>
      </c>
      <c r="FW674" s="27" t="s">
        <v>8</v>
      </c>
      <c r="FX674" s="27" t="s">
        <v>7</v>
      </c>
      <c r="GB674" s="27" t="s">
        <v>7</v>
      </c>
      <c r="GC674" s="27" t="s">
        <v>8</v>
      </c>
      <c r="GD674" s="27" t="s">
        <v>7</v>
      </c>
      <c r="GE674" s="27" t="s">
        <v>8</v>
      </c>
      <c r="GF674" s="27" t="s">
        <v>7</v>
      </c>
      <c r="GG674" s="27" t="s">
        <v>8</v>
      </c>
      <c r="GH674" s="27" t="s">
        <v>7</v>
      </c>
      <c r="GI674" s="27" t="s">
        <v>8</v>
      </c>
      <c r="GJ674" s="27" t="s">
        <v>7</v>
      </c>
      <c r="GS674" s="27" t="s">
        <v>8</v>
      </c>
      <c r="GT674" s="27" t="s">
        <v>7</v>
      </c>
      <c r="GU674" s="27" t="s">
        <v>8</v>
      </c>
      <c r="GV674" s="27" t="s">
        <v>7</v>
      </c>
      <c r="GW674" s="27" t="s">
        <v>8</v>
      </c>
      <c r="GX674" s="27" t="s">
        <v>7</v>
      </c>
      <c r="GY674" s="27" t="s">
        <v>8</v>
      </c>
      <c r="GZ674" s="27" t="s">
        <v>7</v>
      </c>
      <c r="HA674" s="27" t="s">
        <v>8</v>
      </c>
      <c r="HB674" s="27" t="s">
        <v>7</v>
      </c>
      <c r="HC674" s="27" t="s">
        <v>8</v>
      </c>
      <c r="HD674" s="27" t="s">
        <v>7</v>
      </c>
      <c r="HE674" s="27" t="s">
        <v>8</v>
      </c>
      <c r="HG674" s="27" t="s">
        <v>8</v>
      </c>
      <c r="HH674" s="27" t="s">
        <v>7</v>
      </c>
      <c r="HI674" s="27" t="s">
        <v>8</v>
      </c>
      <c r="HJ674" s="27" t="s">
        <v>7</v>
      </c>
      <c r="HK674" s="27" t="s">
        <v>8</v>
      </c>
      <c r="HN674" s="27" t="s">
        <v>7</v>
      </c>
      <c r="HO674" s="27" t="s">
        <v>8</v>
      </c>
      <c r="HQ674" s="27" t="s">
        <v>8</v>
      </c>
      <c r="HR674" s="27" t="s">
        <v>7</v>
      </c>
      <c r="HS674" s="27" t="s">
        <v>8</v>
      </c>
      <c r="HT674" s="27" t="s">
        <v>7</v>
      </c>
      <c r="HU674" s="27" t="s">
        <v>8</v>
      </c>
      <c r="HV674" s="27" t="s">
        <v>7</v>
      </c>
      <c r="HW674" s="27" t="s">
        <v>8</v>
      </c>
      <c r="HX674" s="27" t="s">
        <v>7</v>
      </c>
    </row>
    <row r="675" spans="1:250" x14ac:dyDescent="0.25">
      <c r="A675" s="7">
        <v>0.17505917802766208</v>
      </c>
      <c r="B675"/>
      <c r="C675"/>
      <c r="D675"/>
      <c r="E675"/>
      <c r="F675" s="27" t="s">
        <v>7</v>
      </c>
      <c r="AM675" s="27" t="s">
        <v>8</v>
      </c>
      <c r="AN675" s="27" t="s">
        <v>7</v>
      </c>
      <c r="BE675" s="27" t="s">
        <v>8</v>
      </c>
      <c r="BF675" s="27" t="s">
        <v>7</v>
      </c>
      <c r="BG675" s="27" t="s">
        <v>8</v>
      </c>
      <c r="BP675" s="27" t="s">
        <v>7</v>
      </c>
      <c r="DR675" s="27" t="s">
        <v>7</v>
      </c>
      <c r="DS675" s="27" t="s">
        <v>8</v>
      </c>
      <c r="DT675" s="27" t="s">
        <v>7</v>
      </c>
      <c r="DU675" s="27" t="s">
        <v>8</v>
      </c>
      <c r="DV675" s="27" t="s">
        <v>7</v>
      </c>
      <c r="DW675" s="27" t="s">
        <v>8</v>
      </c>
      <c r="DX675" s="27" t="s">
        <v>7</v>
      </c>
      <c r="DY675" s="27" t="s">
        <v>8</v>
      </c>
      <c r="DZ675" s="27" t="s">
        <v>7</v>
      </c>
      <c r="EA675" s="27" t="s">
        <v>8</v>
      </c>
      <c r="EB675" s="27" t="s">
        <v>7</v>
      </c>
      <c r="EC675" s="27" t="s">
        <v>8</v>
      </c>
      <c r="ED675" s="27" t="s">
        <v>7</v>
      </c>
      <c r="EE675" s="27" t="s">
        <v>8</v>
      </c>
      <c r="EF675" s="27" t="s">
        <v>7</v>
      </c>
      <c r="EK675" s="27" t="s">
        <v>8</v>
      </c>
      <c r="EL675" s="27" t="s">
        <v>7</v>
      </c>
      <c r="FA675" s="27" t="s">
        <v>8</v>
      </c>
      <c r="FB675" s="27" t="s">
        <v>7</v>
      </c>
      <c r="FK675" s="27" t="s">
        <v>8</v>
      </c>
      <c r="FL675" s="27" t="s">
        <v>7</v>
      </c>
      <c r="FM675" s="27" t="s">
        <v>8</v>
      </c>
      <c r="FN675" s="27" t="s">
        <v>7</v>
      </c>
      <c r="FO675" s="27" t="s">
        <v>8</v>
      </c>
      <c r="FR675" s="27" t="s">
        <v>7</v>
      </c>
      <c r="FS675" s="27" t="s">
        <v>8</v>
      </c>
      <c r="FV675" s="27" t="s">
        <v>7</v>
      </c>
      <c r="FW675" s="27" t="s">
        <v>8</v>
      </c>
      <c r="GB675" s="27" t="s">
        <v>7</v>
      </c>
      <c r="GC675" s="27" t="s">
        <v>8</v>
      </c>
      <c r="GD675" s="27" t="s">
        <v>7</v>
      </c>
      <c r="GE675" s="27" t="s">
        <v>8</v>
      </c>
      <c r="GF675" s="27" t="s">
        <v>7</v>
      </c>
      <c r="GG675" s="27" t="s">
        <v>8</v>
      </c>
      <c r="GH675" s="27" t="s">
        <v>7</v>
      </c>
      <c r="GI675" s="27" t="s">
        <v>8</v>
      </c>
      <c r="GJ675" s="27" t="s">
        <v>7</v>
      </c>
      <c r="GQ675" s="27" t="s">
        <v>8</v>
      </c>
      <c r="GS675" s="27" t="s">
        <v>8</v>
      </c>
      <c r="GT675" s="27" t="s">
        <v>7</v>
      </c>
      <c r="GU675" s="27" t="s">
        <v>8</v>
      </c>
      <c r="GV675" s="27" t="s">
        <v>7</v>
      </c>
      <c r="GW675" s="27" t="s">
        <v>8</v>
      </c>
      <c r="GX675" s="27" t="s">
        <v>7</v>
      </c>
      <c r="GY675" s="27" t="s">
        <v>8</v>
      </c>
      <c r="GZ675" s="27" t="s">
        <v>7</v>
      </c>
      <c r="HA675" s="27" t="s">
        <v>8</v>
      </c>
      <c r="HB675" s="27" t="s">
        <v>7</v>
      </c>
      <c r="HC675" s="27" t="s">
        <v>8</v>
      </c>
      <c r="HD675" s="27" t="s">
        <v>7</v>
      </c>
      <c r="HE675" s="27" t="s">
        <v>8</v>
      </c>
      <c r="HF675" s="27" t="s">
        <v>7</v>
      </c>
      <c r="HG675" s="27" t="s">
        <v>8</v>
      </c>
      <c r="HH675" s="27" t="s">
        <v>7</v>
      </c>
      <c r="HI675" s="27" t="s">
        <v>8</v>
      </c>
      <c r="HJ675" s="27" t="s">
        <v>7</v>
      </c>
      <c r="HN675" s="27" t="s">
        <v>7</v>
      </c>
      <c r="HO675" s="27" t="s">
        <v>8</v>
      </c>
      <c r="HP675" s="27" t="s">
        <v>7</v>
      </c>
      <c r="HQ675" s="27" t="s">
        <v>8</v>
      </c>
      <c r="HR675" s="27" t="s">
        <v>7</v>
      </c>
      <c r="HS675" s="27" t="s">
        <v>8</v>
      </c>
      <c r="HT675" s="27" t="s">
        <v>7</v>
      </c>
      <c r="HU675" s="27" t="s">
        <v>8</v>
      </c>
      <c r="HV675" s="27" t="s">
        <v>7</v>
      </c>
      <c r="HW675" s="27" t="s">
        <v>8</v>
      </c>
      <c r="HX675" s="27" t="s">
        <v>7</v>
      </c>
    </row>
    <row r="676" spans="1:250" x14ac:dyDescent="0.25">
      <c r="A676" s="7">
        <v>0.17162664512515888</v>
      </c>
      <c r="B676"/>
      <c r="C676"/>
      <c r="D676"/>
      <c r="E676"/>
      <c r="F676" s="27" t="s">
        <v>7</v>
      </c>
      <c r="AM676" s="27" t="s">
        <v>8</v>
      </c>
      <c r="AN676" s="27" t="s">
        <v>7</v>
      </c>
      <c r="BE676" s="27" t="s">
        <v>8</v>
      </c>
      <c r="BF676" s="27" t="s">
        <v>7</v>
      </c>
      <c r="DR676" s="27" t="s">
        <v>7</v>
      </c>
      <c r="DS676" s="27" t="s">
        <v>8</v>
      </c>
      <c r="DT676" s="27" t="s">
        <v>7</v>
      </c>
      <c r="DU676" s="27" t="s">
        <v>8</v>
      </c>
      <c r="DV676" s="27" t="s">
        <v>7</v>
      </c>
      <c r="DW676" s="27" t="s">
        <v>8</v>
      </c>
      <c r="DX676" s="27" t="s">
        <v>7</v>
      </c>
      <c r="DY676" s="27" t="s">
        <v>8</v>
      </c>
      <c r="DZ676" s="27" t="s">
        <v>7</v>
      </c>
      <c r="EA676" s="27" t="s">
        <v>8</v>
      </c>
      <c r="EB676" s="27" t="s">
        <v>7</v>
      </c>
      <c r="ED676" s="27" t="s">
        <v>7</v>
      </c>
      <c r="EF676" s="27" t="s">
        <v>7</v>
      </c>
      <c r="EK676" s="27" t="s">
        <v>8</v>
      </c>
      <c r="EL676" s="27" t="s">
        <v>7</v>
      </c>
      <c r="FA676" s="27" t="s">
        <v>8</v>
      </c>
      <c r="FB676" s="27" t="s">
        <v>7</v>
      </c>
      <c r="FI676" s="27" t="s">
        <v>8</v>
      </c>
      <c r="FK676" s="27" t="s">
        <v>8</v>
      </c>
      <c r="FL676" s="27" t="s">
        <v>7</v>
      </c>
      <c r="FM676" s="27" t="s">
        <v>8</v>
      </c>
      <c r="FN676" s="27" t="s">
        <v>7</v>
      </c>
      <c r="FO676" s="27" t="s">
        <v>8</v>
      </c>
      <c r="FR676" s="27" t="s">
        <v>7</v>
      </c>
      <c r="FS676" s="27" t="s">
        <v>8</v>
      </c>
      <c r="FV676" s="27" t="s">
        <v>7</v>
      </c>
      <c r="FW676" s="27" t="s">
        <v>8</v>
      </c>
      <c r="GB676" s="27" t="s">
        <v>7</v>
      </c>
      <c r="GC676" s="27" t="s">
        <v>8</v>
      </c>
      <c r="GD676" s="27" t="s">
        <v>7</v>
      </c>
      <c r="GE676" s="27" t="s">
        <v>8</v>
      </c>
      <c r="GF676" s="27" t="s">
        <v>7</v>
      </c>
      <c r="GG676" s="27" t="s">
        <v>8</v>
      </c>
      <c r="GH676" s="27" t="s">
        <v>7</v>
      </c>
      <c r="GJ676" s="27" t="s">
        <v>7</v>
      </c>
      <c r="GQ676" s="27" t="s">
        <v>8</v>
      </c>
      <c r="GR676" s="27" t="s">
        <v>7</v>
      </c>
      <c r="GS676" s="27" t="s">
        <v>8</v>
      </c>
      <c r="GT676" s="27" t="s">
        <v>7</v>
      </c>
      <c r="GU676" s="27" t="s">
        <v>8</v>
      </c>
      <c r="GV676" s="27" t="s">
        <v>7</v>
      </c>
      <c r="GW676" s="27" t="s">
        <v>8</v>
      </c>
      <c r="GX676" s="27" t="s">
        <v>7</v>
      </c>
      <c r="GY676" s="27" t="s">
        <v>8</v>
      </c>
      <c r="GZ676" s="27" t="s">
        <v>7</v>
      </c>
      <c r="HB676" s="27" t="s">
        <v>7</v>
      </c>
      <c r="HC676" s="27" t="s">
        <v>8</v>
      </c>
      <c r="HD676" s="27" t="s">
        <v>7</v>
      </c>
      <c r="HE676" s="27" t="s">
        <v>8</v>
      </c>
      <c r="HF676" s="27" t="s">
        <v>7</v>
      </c>
      <c r="HG676" s="27" t="s">
        <v>8</v>
      </c>
      <c r="HH676" s="27" t="s">
        <v>7</v>
      </c>
      <c r="HN676" s="27" t="s">
        <v>7</v>
      </c>
      <c r="HO676" s="27" t="s">
        <v>8</v>
      </c>
      <c r="HP676" s="27" t="s">
        <v>7</v>
      </c>
      <c r="HQ676" s="27" t="s">
        <v>8</v>
      </c>
      <c r="HR676" s="27" t="s">
        <v>7</v>
      </c>
      <c r="HS676" s="27" t="s">
        <v>8</v>
      </c>
      <c r="HT676" s="27" t="s">
        <v>7</v>
      </c>
      <c r="HU676" s="27" t="s">
        <v>8</v>
      </c>
      <c r="HV676" s="27" t="s">
        <v>7</v>
      </c>
      <c r="HW676" s="27" t="s">
        <v>8</v>
      </c>
      <c r="HX676" s="27" t="s">
        <v>7</v>
      </c>
    </row>
    <row r="677" spans="1:250" x14ac:dyDescent="0.25">
      <c r="A677" s="7">
        <v>0.16826141678937145</v>
      </c>
      <c r="B677"/>
      <c r="C677"/>
      <c r="D677"/>
      <c r="E677"/>
      <c r="F677" s="27" t="s">
        <v>7</v>
      </c>
      <c r="AM677" s="27" t="s">
        <v>8</v>
      </c>
      <c r="AN677" s="27" t="s">
        <v>7</v>
      </c>
      <c r="AY677" s="27" t="s">
        <v>8</v>
      </c>
      <c r="BE677" s="27" t="s">
        <v>8</v>
      </c>
      <c r="DR677" s="27" t="s">
        <v>7</v>
      </c>
      <c r="DS677" s="27" t="s">
        <v>8</v>
      </c>
      <c r="DT677" s="27" t="s">
        <v>7</v>
      </c>
      <c r="DV677" s="27" t="s">
        <v>7</v>
      </c>
      <c r="DW677" s="27" t="s">
        <v>8</v>
      </c>
      <c r="DX677" s="27" t="s">
        <v>7</v>
      </c>
      <c r="DZ677" s="27" t="s">
        <v>7</v>
      </c>
      <c r="EA677" s="27" t="s">
        <v>8</v>
      </c>
      <c r="EF677" s="27" t="s">
        <v>7</v>
      </c>
      <c r="EG677" s="27" t="s">
        <v>8</v>
      </c>
      <c r="EK677" s="27" t="s">
        <v>8</v>
      </c>
      <c r="EL677" s="27" t="s">
        <v>7</v>
      </c>
      <c r="FA677" s="27" t="s">
        <v>8</v>
      </c>
      <c r="FB677" s="27" t="s">
        <v>7</v>
      </c>
      <c r="FI677" s="27" t="s">
        <v>8</v>
      </c>
      <c r="FJ677" s="27" t="s">
        <v>7</v>
      </c>
      <c r="FK677" s="27" t="s">
        <v>8</v>
      </c>
      <c r="FL677" s="27" t="s">
        <v>7</v>
      </c>
      <c r="FM677" s="27" t="s">
        <v>8</v>
      </c>
      <c r="FN677" s="27" t="s">
        <v>7</v>
      </c>
      <c r="FO677" s="27" t="s">
        <v>8</v>
      </c>
      <c r="FR677" s="27" t="s">
        <v>7</v>
      </c>
      <c r="FV677" s="27" t="s">
        <v>7</v>
      </c>
      <c r="GB677" s="27" t="s">
        <v>7</v>
      </c>
      <c r="GC677" s="27" t="s">
        <v>8</v>
      </c>
      <c r="GD677" s="27" t="s">
        <v>7</v>
      </c>
      <c r="GF677" s="27" t="s">
        <v>7</v>
      </c>
      <c r="GG677" s="27" t="s">
        <v>8</v>
      </c>
      <c r="GJ677" s="27" t="s">
        <v>7</v>
      </c>
      <c r="GQ677" s="27" t="s">
        <v>8</v>
      </c>
      <c r="GR677" s="27" t="s">
        <v>7</v>
      </c>
      <c r="GS677" s="27" t="s">
        <v>8</v>
      </c>
      <c r="GT677" s="27" t="s">
        <v>7</v>
      </c>
      <c r="GU677" s="27" t="s">
        <v>8</v>
      </c>
      <c r="GV677" s="27" t="s">
        <v>7</v>
      </c>
      <c r="GW677" s="27" t="s">
        <v>8</v>
      </c>
      <c r="GX677" s="27" t="s">
        <v>7</v>
      </c>
      <c r="GY677" s="27" t="s">
        <v>8</v>
      </c>
      <c r="HB677" s="27" t="s">
        <v>7</v>
      </c>
      <c r="HC677" s="27" t="s">
        <v>8</v>
      </c>
      <c r="HD677" s="27" t="s">
        <v>7</v>
      </c>
      <c r="HE677" s="27" t="s">
        <v>8</v>
      </c>
      <c r="HF677" s="27" t="s">
        <v>7</v>
      </c>
      <c r="HG677" s="27" t="s">
        <v>8</v>
      </c>
      <c r="HN677" s="27" t="s">
        <v>7</v>
      </c>
      <c r="HO677" s="27" t="s">
        <v>8</v>
      </c>
      <c r="HP677" s="27" t="s">
        <v>7</v>
      </c>
      <c r="HQ677" s="27" t="s">
        <v>8</v>
      </c>
      <c r="HR677" s="27" t="s">
        <v>7</v>
      </c>
      <c r="HS677" s="27" t="s">
        <v>8</v>
      </c>
      <c r="HT677" s="27" t="s">
        <v>7</v>
      </c>
      <c r="HU677" s="27" t="s">
        <v>8</v>
      </c>
      <c r="HV677" s="27" t="s">
        <v>7</v>
      </c>
      <c r="HW677" s="27" t="s">
        <v>8</v>
      </c>
      <c r="HX677" s="27" t="s">
        <v>7</v>
      </c>
      <c r="HY677" s="27" t="s">
        <v>8</v>
      </c>
    </row>
    <row r="678" spans="1:250" x14ac:dyDescent="0.25">
      <c r="A678" s="7">
        <v>0.16496217332291319</v>
      </c>
      <c r="B678"/>
      <c r="C678"/>
      <c r="D678"/>
      <c r="E678"/>
      <c r="F678" s="27" t="s">
        <v>7</v>
      </c>
      <c r="AM678" s="27" t="s">
        <v>8</v>
      </c>
      <c r="AN678" s="27" t="s">
        <v>7</v>
      </c>
      <c r="AY678" s="27" t="s">
        <v>8</v>
      </c>
      <c r="AZ678" s="27" t="s">
        <v>7</v>
      </c>
      <c r="BE678" s="27" t="s">
        <v>8</v>
      </c>
      <c r="DR678" s="27" t="s">
        <v>7</v>
      </c>
      <c r="DS678" s="27" t="s">
        <v>8</v>
      </c>
      <c r="DV678" s="27" t="s">
        <v>7</v>
      </c>
      <c r="DW678" s="27" t="s">
        <v>8</v>
      </c>
      <c r="DZ678" s="27" t="s">
        <v>7</v>
      </c>
      <c r="EA678" s="27" t="s">
        <v>8</v>
      </c>
      <c r="EF678" s="27" t="s">
        <v>7</v>
      </c>
      <c r="EG678" s="27" t="s">
        <v>8</v>
      </c>
      <c r="EH678" s="27" t="s">
        <v>7</v>
      </c>
      <c r="EK678" s="27" t="s">
        <v>8</v>
      </c>
      <c r="EL678" s="27" t="s">
        <v>7</v>
      </c>
      <c r="FA678" s="27" t="s">
        <v>8</v>
      </c>
      <c r="FB678" s="27" t="s">
        <v>7</v>
      </c>
      <c r="FG678" s="27" t="s">
        <v>8</v>
      </c>
      <c r="FI678" s="27" t="s">
        <v>8</v>
      </c>
      <c r="FJ678" s="27" t="s">
        <v>7</v>
      </c>
      <c r="FK678" s="27" t="s">
        <v>8</v>
      </c>
      <c r="FL678" s="27" t="s">
        <v>7</v>
      </c>
      <c r="FM678" s="27" t="s">
        <v>8</v>
      </c>
      <c r="FN678" s="27" t="s">
        <v>7</v>
      </c>
      <c r="GB678" s="27" t="s">
        <v>7</v>
      </c>
      <c r="GC678" s="27" t="s">
        <v>8</v>
      </c>
      <c r="GF678" s="27" t="s">
        <v>7</v>
      </c>
      <c r="GG678" s="27" t="s">
        <v>8</v>
      </c>
      <c r="GJ678" s="27" t="s">
        <v>7</v>
      </c>
      <c r="GQ678" s="27" t="s">
        <v>8</v>
      </c>
      <c r="GR678" s="27" t="s">
        <v>7</v>
      </c>
      <c r="GS678" s="27" t="s">
        <v>8</v>
      </c>
      <c r="GT678" s="27" t="s">
        <v>7</v>
      </c>
      <c r="GU678" s="27" t="s">
        <v>8</v>
      </c>
      <c r="GV678" s="27" t="s">
        <v>7</v>
      </c>
      <c r="GW678" s="27" t="s">
        <v>8</v>
      </c>
      <c r="GX678" s="27" t="s">
        <v>7</v>
      </c>
      <c r="GY678" s="27" t="s">
        <v>8</v>
      </c>
      <c r="HB678" s="27" t="s">
        <v>7</v>
      </c>
      <c r="HC678" s="27" t="s">
        <v>8</v>
      </c>
      <c r="HD678" s="27" t="s">
        <v>7</v>
      </c>
      <c r="HE678" s="27" t="s">
        <v>8</v>
      </c>
      <c r="HF678" s="27" t="s">
        <v>7</v>
      </c>
      <c r="HG678" s="27" t="s">
        <v>8</v>
      </c>
      <c r="HN678" s="27" t="s">
        <v>7</v>
      </c>
      <c r="HO678" s="27" t="s">
        <v>8</v>
      </c>
      <c r="HP678" s="27" t="s">
        <v>7</v>
      </c>
      <c r="HQ678" s="27" t="s">
        <v>8</v>
      </c>
      <c r="HR678" s="27" t="s">
        <v>7</v>
      </c>
      <c r="HS678" s="27" t="s">
        <v>8</v>
      </c>
      <c r="HT678" s="27" t="s">
        <v>7</v>
      </c>
      <c r="HU678" s="27" t="s">
        <v>8</v>
      </c>
      <c r="HV678" s="27" t="s">
        <v>7</v>
      </c>
      <c r="HW678" s="27" t="s">
        <v>8</v>
      </c>
      <c r="HX678" s="27" t="s">
        <v>7</v>
      </c>
      <c r="HY678" s="27" t="s">
        <v>8</v>
      </c>
      <c r="HZ678" s="27" t="s">
        <v>7</v>
      </c>
    </row>
    <row r="679" spans="1:250" x14ac:dyDescent="0.25">
      <c r="A679" s="7">
        <v>0.16172762090481685</v>
      </c>
      <c r="B679"/>
      <c r="C679"/>
      <c r="D679"/>
      <c r="E679"/>
      <c r="F679" s="27" t="s">
        <v>7</v>
      </c>
      <c r="AM679" s="27" t="s">
        <v>8</v>
      </c>
      <c r="AN679" s="27" t="s">
        <v>7</v>
      </c>
      <c r="AY679" s="27" t="s">
        <v>8</v>
      </c>
      <c r="AZ679" s="27" t="s">
        <v>7</v>
      </c>
      <c r="BE679" s="27" t="s">
        <v>8</v>
      </c>
      <c r="DR679" s="27" t="s">
        <v>7</v>
      </c>
      <c r="DS679" s="27" t="s">
        <v>8</v>
      </c>
      <c r="DV679" s="27" t="s">
        <v>7</v>
      </c>
      <c r="DW679" s="27" t="s">
        <v>8</v>
      </c>
      <c r="DZ679" s="27" t="s">
        <v>7</v>
      </c>
      <c r="EA679" s="27" t="s">
        <v>8</v>
      </c>
      <c r="EF679" s="27" t="s">
        <v>7</v>
      </c>
      <c r="EG679" s="27" t="s">
        <v>8</v>
      </c>
      <c r="EH679" s="27" t="s">
        <v>7</v>
      </c>
      <c r="EK679" s="27" t="s">
        <v>8</v>
      </c>
      <c r="EL679" s="27" t="s">
        <v>7</v>
      </c>
      <c r="FA679" s="27" t="s">
        <v>8</v>
      </c>
      <c r="FB679" s="27" t="s">
        <v>7</v>
      </c>
      <c r="FG679" s="27" t="s">
        <v>8</v>
      </c>
      <c r="FH679" s="27" t="s">
        <v>7</v>
      </c>
      <c r="FI679" s="27" t="s">
        <v>8</v>
      </c>
      <c r="FJ679" s="27" t="s">
        <v>7</v>
      </c>
      <c r="FK679" s="27" t="s">
        <v>8</v>
      </c>
      <c r="FL679" s="27" t="s">
        <v>7</v>
      </c>
      <c r="FM679" s="27" t="s">
        <v>8</v>
      </c>
      <c r="GB679" s="27" t="s">
        <v>7</v>
      </c>
      <c r="GC679" s="27" t="s">
        <v>8</v>
      </c>
      <c r="GF679" s="27" t="s">
        <v>7</v>
      </c>
      <c r="GJ679" s="27" t="s">
        <v>7</v>
      </c>
      <c r="GK679" s="27" t="s">
        <v>8</v>
      </c>
      <c r="GM679" s="27" t="s">
        <v>8</v>
      </c>
      <c r="GQ679" s="27" t="s">
        <v>8</v>
      </c>
      <c r="GR679" s="27" t="s">
        <v>7</v>
      </c>
      <c r="GS679" s="27" t="s">
        <v>8</v>
      </c>
      <c r="GT679" s="27" t="s">
        <v>7</v>
      </c>
      <c r="GU679" s="27" t="s">
        <v>8</v>
      </c>
      <c r="GV679" s="27" t="s">
        <v>7</v>
      </c>
      <c r="GW679" s="27" t="s">
        <v>8</v>
      </c>
      <c r="GX679" s="27" t="s">
        <v>7</v>
      </c>
      <c r="GY679" s="27" t="s">
        <v>8</v>
      </c>
      <c r="HB679" s="27" t="s">
        <v>7</v>
      </c>
      <c r="HC679" s="27" t="s">
        <v>8</v>
      </c>
      <c r="HD679" s="27" t="s">
        <v>7</v>
      </c>
      <c r="HF679" s="27" t="s">
        <v>7</v>
      </c>
      <c r="HN679" s="27" t="s">
        <v>7</v>
      </c>
      <c r="HO679" s="27" t="s">
        <v>8</v>
      </c>
      <c r="HP679" s="27" t="s">
        <v>7</v>
      </c>
      <c r="HQ679" s="27" t="s">
        <v>8</v>
      </c>
      <c r="HR679" s="27" t="s">
        <v>7</v>
      </c>
      <c r="HT679" s="27" t="s">
        <v>7</v>
      </c>
      <c r="HV679" s="27" t="s">
        <v>7</v>
      </c>
      <c r="HX679" s="27" t="s">
        <v>7</v>
      </c>
      <c r="HY679" s="27" t="s">
        <v>8</v>
      </c>
      <c r="HZ679" s="27" t="s">
        <v>7</v>
      </c>
    </row>
    <row r="680" spans="1:250" x14ac:dyDescent="0.25">
      <c r="A680" s="7">
        <v>0.15855649108315376</v>
      </c>
      <c r="B680"/>
      <c r="C680"/>
      <c r="D680"/>
      <c r="E680"/>
      <c r="F680" s="27" t="s">
        <v>7</v>
      </c>
      <c r="AM680" s="27" t="s">
        <v>8</v>
      </c>
      <c r="AN680" s="27" t="s">
        <v>7</v>
      </c>
      <c r="AO680" s="27" t="s">
        <v>8</v>
      </c>
      <c r="AY680" s="27" t="s">
        <v>8</v>
      </c>
      <c r="AZ680" s="27" t="s">
        <v>7</v>
      </c>
      <c r="BE680" s="27" t="s">
        <v>8</v>
      </c>
      <c r="DR680" s="27" t="s">
        <v>7</v>
      </c>
      <c r="DS680" s="27" t="s">
        <v>8</v>
      </c>
      <c r="DV680" s="27" t="s">
        <v>7</v>
      </c>
      <c r="DW680" s="27" t="s">
        <v>8</v>
      </c>
      <c r="DZ680" s="27" t="s">
        <v>7</v>
      </c>
      <c r="EF680" s="27" t="s">
        <v>7</v>
      </c>
      <c r="EG680" s="27" t="s">
        <v>8</v>
      </c>
      <c r="EH680" s="27" t="s">
        <v>7</v>
      </c>
      <c r="EI680" s="27" t="s">
        <v>8</v>
      </c>
      <c r="EK680" s="27" t="s">
        <v>8</v>
      </c>
      <c r="EL680" s="27" t="s">
        <v>7</v>
      </c>
      <c r="FA680" s="27" t="s">
        <v>8</v>
      </c>
      <c r="FB680" s="27" t="s">
        <v>7</v>
      </c>
      <c r="FG680" s="27" t="s">
        <v>8</v>
      </c>
      <c r="FH680" s="27" t="s">
        <v>7</v>
      </c>
      <c r="FI680" s="27" t="s">
        <v>8</v>
      </c>
      <c r="FJ680" s="27" t="s">
        <v>7</v>
      </c>
      <c r="FK680" s="27" t="s">
        <v>8</v>
      </c>
      <c r="FL680" s="27" t="s">
        <v>7</v>
      </c>
      <c r="FM680" s="27" t="s">
        <v>8</v>
      </c>
      <c r="GB680" s="27" t="s">
        <v>7</v>
      </c>
      <c r="GJ680" s="27" t="s">
        <v>7</v>
      </c>
      <c r="GK680" s="27" t="s">
        <v>8</v>
      </c>
      <c r="GL680" s="27" t="s">
        <v>7</v>
      </c>
      <c r="GM680" s="27" t="s">
        <v>8</v>
      </c>
      <c r="GN680" s="27" t="s">
        <v>7</v>
      </c>
      <c r="GO680" s="27" t="s">
        <v>8</v>
      </c>
      <c r="GQ680" s="27" t="s">
        <v>8</v>
      </c>
      <c r="GR680" s="27" t="s">
        <v>7</v>
      </c>
      <c r="GS680" s="27" t="s">
        <v>8</v>
      </c>
      <c r="GT680" s="27" t="s">
        <v>7</v>
      </c>
      <c r="GU680" s="27" t="s">
        <v>8</v>
      </c>
      <c r="GV680" s="27" t="s">
        <v>7</v>
      </c>
      <c r="GW680" s="27" t="s">
        <v>8</v>
      </c>
      <c r="GX680" s="27" t="s">
        <v>7</v>
      </c>
      <c r="GY680" s="27" t="s">
        <v>8</v>
      </c>
      <c r="HB680" s="27" t="s">
        <v>7</v>
      </c>
      <c r="HC680" s="27" t="s">
        <v>8</v>
      </c>
      <c r="HN680" s="27" t="s">
        <v>7</v>
      </c>
      <c r="HO680" s="27" t="s">
        <v>8</v>
      </c>
      <c r="HP680" s="27" t="s">
        <v>7</v>
      </c>
      <c r="HX680" s="27" t="s">
        <v>7</v>
      </c>
      <c r="HY680" s="27" t="s">
        <v>8</v>
      </c>
      <c r="HZ680" s="27" t="s">
        <v>7</v>
      </c>
      <c r="IA680" s="27" t="s">
        <v>8</v>
      </c>
    </row>
    <row r="681" spans="1:250" x14ac:dyDescent="0.25">
      <c r="A681" s="7">
        <v>0.15544754027760171</v>
      </c>
      <c r="B681"/>
      <c r="C681"/>
      <c r="D681"/>
      <c r="E681"/>
      <c r="F681" s="27" t="s">
        <v>7</v>
      </c>
      <c r="AM681" s="27" t="s">
        <v>8</v>
      </c>
      <c r="AN681" s="27" t="s">
        <v>7</v>
      </c>
      <c r="AO681" s="27" t="s">
        <v>8</v>
      </c>
      <c r="AP681" s="27" t="s">
        <v>7</v>
      </c>
      <c r="AY681" s="27" t="s">
        <v>8</v>
      </c>
      <c r="AZ681" s="27" t="s">
        <v>7</v>
      </c>
      <c r="BE681" s="27" t="s">
        <v>8</v>
      </c>
      <c r="DR681" s="27" t="s">
        <v>7</v>
      </c>
      <c r="DS681" s="27" t="s">
        <v>8</v>
      </c>
      <c r="DV681" s="27" t="s">
        <v>7</v>
      </c>
      <c r="DW681" s="27" t="s">
        <v>8</v>
      </c>
      <c r="EF681" s="27" t="s">
        <v>7</v>
      </c>
      <c r="EG681" s="27" t="s">
        <v>8</v>
      </c>
      <c r="EH681" s="27" t="s">
        <v>7</v>
      </c>
      <c r="EI681" s="27" t="s">
        <v>8</v>
      </c>
      <c r="EJ681" s="27" t="s">
        <v>7</v>
      </c>
      <c r="EK681" s="27" t="s">
        <v>8</v>
      </c>
      <c r="EL681" s="27" t="s">
        <v>7</v>
      </c>
      <c r="FA681" s="27" t="s">
        <v>8</v>
      </c>
      <c r="FB681" s="27" t="s">
        <v>7</v>
      </c>
      <c r="FG681" s="27" t="s">
        <v>8</v>
      </c>
      <c r="FH681" s="27" t="s">
        <v>7</v>
      </c>
      <c r="FI681" s="27" t="s">
        <v>8</v>
      </c>
      <c r="FJ681" s="27" t="s">
        <v>7</v>
      </c>
      <c r="FK681" s="27" t="s">
        <v>8</v>
      </c>
      <c r="FL681" s="27" t="s">
        <v>7</v>
      </c>
      <c r="GJ681" s="27" t="s">
        <v>7</v>
      </c>
      <c r="GK681" s="27" t="s">
        <v>8</v>
      </c>
      <c r="GL681" s="27" t="s">
        <v>7</v>
      </c>
      <c r="GM681" s="27" t="s">
        <v>8</v>
      </c>
      <c r="GN681" s="27" t="s">
        <v>7</v>
      </c>
      <c r="GO681" s="27" t="s">
        <v>8</v>
      </c>
      <c r="GP681" s="27" t="s">
        <v>7</v>
      </c>
      <c r="GQ681" s="27" t="s">
        <v>8</v>
      </c>
      <c r="GR681" s="27" t="s">
        <v>7</v>
      </c>
      <c r="GS681" s="27" t="s">
        <v>8</v>
      </c>
      <c r="GT681" s="27" t="s">
        <v>7</v>
      </c>
      <c r="GU681" s="27" t="s">
        <v>8</v>
      </c>
      <c r="GV681" s="27" t="s">
        <v>7</v>
      </c>
      <c r="GW681" s="27" t="s">
        <v>8</v>
      </c>
      <c r="GX681" s="27" t="s">
        <v>7</v>
      </c>
      <c r="GY681" s="27" t="s">
        <v>8</v>
      </c>
      <c r="HB681" s="27" t="s">
        <v>7</v>
      </c>
      <c r="HN681" s="27" t="s">
        <v>7</v>
      </c>
      <c r="HO681" s="27" t="s">
        <v>8</v>
      </c>
      <c r="HX681" s="27" t="s">
        <v>7</v>
      </c>
      <c r="HY681" s="27" t="s">
        <v>8</v>
      </c>
      <c r="HZ681" s="27" t="s">
        <v>7</v>
      </c>
      <c r="IA681" s="27" t="s">
        <v>8</v>
      </c>
      <c r="IB681" s="27" t="s">
        <v>7</v>
      </c>
      <c r="IK681" s="27" t="s">
        <v>8</v>
      </c>
    </row>
    <row r="682" spans="1:250" x14ac:dyDescent="0.25">
      <c r="A682" s="7">
        <v>0.15239954929176638</v>
      </c>
      <c r="B682"/>
      <c r="C682"/>
      <c r="D682"/>
      <c r="E682"/>
      <c r="F682" s="27" t="s">
        <v>7</v>
      </c>
      <c r="AM682" s="27" t="s">
        <v>8</v>
      </c>
      <c r="AN682" s="27" t="s">
        <v>7</v>
      </c>
      <c r="AO682" s="27" t="s">
        <v>8</v>
      </c>
      <c r="AP682" s="27" t="s">
        <v>7</v>
      </c>
      <c r="AY682" s="27" t="s">
        <v>8</v>
      </c>
      <c r="AZ682" s="27" t="s">
        <v>7</v>
      </c>
      <c r="BE682" s="27" t="s">
        <v>8</v>
      </c>
      <c r="DR682" s="27" t="s">
        <v>7</v>
      </c>
      <c r="DS682" s="27" t="s">
        <v>8</v>
      </c>
      <c r="DV682" s="27" t="s">
        <v>7</v>
      </c>
      <c r="DW682" s="27" t="s">
        <v>8</v>
      </c>
      <c r="EF682" s="27" t="s">
        <v>7</v>
      </c>
      <c r="EG682" s="27" t="s">
        <v>8</v>
      </c>
      <c r="EH682" s="27" t="s">
        <v>7</v>
      </c>
      <c r="EI682" s="27" t="s">
        <v>8</v>
      </c>
      <c r="EJ682" s="27" t="s">
        <v>7</v>
      </c>
      <c r="EK682" s="27" t="s">
        <v>8</v>
      </c>
      <c r="EL682" s="27" t="s">
        <v>7</v>
      </c>
      <c r="FA682" s="27" t="s">
        <v>8</v>
      </c>
      <c r="FB682" s="27" t="s">
        <v>7</v>
      </c>
      <c r="FG682" s="27" t="s">
        <v>8</v>
      </c>
      <c r="FH682" s="27" t="s">
        <v>7</v>
      </c>
      <c r="FI682" s="27" t="s">
        <v>8</v>
      </c>
      <c r="FJ682" s="27" t="s">
        <v>7</v>
      </c>
      <c r="FK682" s="27" t="s">
        <v>8</v>
      </c>
      <c r="GJ682" s="27" t="s">
        <v>7</v>
      </c>
      <c r="GK682" s="27" t="s">
        <v>8</v>
      </c>
      <c r="GL682" s="27" t="s">
        <v>7</v>
      </c>
      <c r="GM682" s="27" t="s">
        <v>8</v>
      </c>
      <c r="GN682" s="27" t="s">
        <v>7</v>
      </c>
      <c r="GO682" s="27" t="s">
        <v>8</v>
      </c>
      <c r="GP682" s="27" t="s">
        <v>7</v>
      </c>
      <c r="GQ682" s="27" t="s">
        <v>8</v>
      </c>
      <c r="GR682" s="27" t="s">
        <v>7</v>
      </c>
      <c r="GS682" s="27" t="s">
        <v>8</v>
      </c>
      <c r="GT682" s="27" t="s">
        <v>7</v>
      </c>
      <c r="GU682" s="27" t="s">
        <v>8</v>
      </c>
      <c r="GV682" s="27" t="s">
        <v>7</v>
      </c>
      <c r="GX682" s="27" t="s">
        <v>7</v>
      </c>
      <c r="HN682" s="27" t="s">
        <v>7</v>
      </c>
      <c r="HO682" s="27" t="s">
        <v>8</v>
      </c>
      <c r="HX682" s="27" t="s">
        <v>7</v>
      </c>
      <c r="HY682" s="27" t="s">
        <v>8</v>
      </c>
      <c r="HZ682" s="27" t="s">
        <v>7</v>
      </c>
      <c r="IA682" s="27" t="s">
        <v>8</v>
      </c>
      <c r="IB682" s="27" t="s">
        <v>7</v>
      </c>
      <c r="IC682" s="27" t="s">
        <v>8</v>
      </c>
      <c r="IK682" s="27" t="s">
        <v>8</v>
      </c>
      <c r="IL682" s="27" t="s">
        <v>7</v>
      </c>
    </row>
    <row r="683" spans="1:250" x14ac:dyDescent="0.25">
      <c r="A683" s="7">
        <v>0.14941132283506509</v>
      </c>
      <c r="B683"/>
      <c r="C683"/>
      <c r="D683"/>
      <c r="E683"/>
      <c r="F683" s="27" t="s">
        <v>7</v>
      </c>
      <c r="AM683" s="27" t="s">
        <v>8</v>
      </c>
      <c r="AN683" s="27" t="s">
        <v>7</v>
      </c>
      <c r="AO683" s="27" t="s">
        <v>8</v>
      </c>
      <c r="AP683" s="27" t="s">
        <v>7</v>
      </c>
      <c r="AY683" s="27" t="s">
        <v>8</v>
      </c>
      <c r="AZ683" s="27" t="s">
        <v>7</v>
      </c>
      <c r="BE683" s="27" t="s">
        <v>8</v>
      </c>
      <c r="DR683" s="27" t="s">
        <v>7</v>
      </c>
      <c r="DS683" s="27" t="s">
        <v>8</v>
      </c>
      <c r="DV683" s="27" t="s">
        <v>7</v>
      </c>
      <c r="DW683" s="27" t="s">
        <v>8</v>
      </c>
      <c r="EF683" s="27" t="s">
        <v>7</v>
      </c>
      <c r="EG683" s="27" t="s">
        <v>8</v>
      </c>
      <c r="EH683" s="27" t="s">
        <v>7</v>
      </c>
      <c r="EI683" s="27" t="s">
        <v>8</v>
      </c>
      <c r="EJ683" s="27" t="s">
        <v>7</v>
      </c>
      <c r="EK683" s="27" t="s">
        <v>8</v>
      </c>
      <c r="EL683" s="27" t="s">
        <v>7</v>
      </c>
      <c r="FA683" s="27" t="s">
        <v>8</v>
      </c>
      <c r="FB683" s="27" t="s">
        <v>7</v>
      </c>
      <c r="FG683" s="27" t="s">
        <v>8</v>
      </c>
      <c r="FH683" s="27" t="s">
        <v>7</v>
      </c>
      <c r="FI683" s="27" t="s">
        <v>8</v>
      </c>
      <c r="FJ683" s="27" t="s">
        <v>7</v>
      </c>
      <c r="FK683" s="27" t="s">
        <v>8</v>
      </c>
      <c r="GJ683" s="27" t="s">
        <v>7</v>
      </c>
      <c r="GK683" s="27" t="s">
        <v>8</v>
      </c>
      <c r="GL683" s="27" t="s">
        <v>7</v>
      </c>
      <c r="GM683" s="27" t="s">
        <v>8</v>
      </c>
      <c r="GN683" s="27" t="s">
        <v>7</v>
      </c>
      <c r="GO683" s="27" t="s">
        <v>8</v>
      </c>
      <c r="GP683" s="27" t="s">
        <v>7</v>
      </c>
      <c r="GQ683" s="27" t="s">
        <v>8</v>
      </c>
      <c r="GR683" s="27" t="s">
        <v>7</v>
      </c>
      <c r="GS683" s="27" t="s">
        <v>8</v>
      </c>
      <c r="GT683" s="27" t="s">
        <v>7</v>
      </c>
      <c r="GU683" s="27" t="s">
        <v>8</v>
      </c>
      <c r="HN683" s="27" t="s">
        <v>7</v>
      </c>
      <c r="HO683" s="27" t="s">
        <v>8</v>
      </c>
      <c r="HX683" s="27" t="s">
        <v>7</v>
      </c>
      <c r="HY683" s="27" t="s">
        <v>8</v>
      </c>
      <c r="HZ683" s="27" t="s">
        <v>7</v>
      </c>
      <c r="IA683" s="27" t="s">
        <v>8</v>
      </c>
      <c r="IB683" s="27" t="s">
        <v>7</v>
      </c>
      <c r="IC683" s="27" t="s">
        <v>8</v>
      </c>
      <c r="ID683" s="27" t="s">
        <v>7</v>
      </c>
      <c r="IK683" s="27" t="s">
        <v>8</v>
      </c>
      <c r="IL683" s="27" t="s">
        <v>7</v>
      </c>
    </row>
    <row r="684" spans="1:250" x14ac:dyDescent="0.25">
      <c r="A684" s="7">
        <v>0.14648168905398537</v>
      </c>
      <c r="B684"/>
      <c r="C684"/>
      <c r="D684"/>
      <c r="E684"/>
      <c r="F684" s="27" t="s">
        <v>7</v>
      </c>
      <c r="AM684" s="27" t="s">
        <v>8</v>
      </c>
      <c r="AN684" s="27" t="s">
        <v>7</v>
      </c>
      <c r="AO684" s="27" t="s">
        <v>8</v>
      </c>
      <c r="AP684" s="27" t="s">
        <v>7</v>
      </c>
      <c r="AY684" s="27" t="s">
        <v>8</v>
      </c>
      <c r="AZ684" s="27" t="s">
        <v>7</v>
      </c>
      <c r="BE684" s="27" t="s">
        <v>8</v>
      </c>
      <c r="DR684" s="27" t="s">
        <v>7</v>
      </c>
      <c r="DS684" s="27" t="s">
        <v>8</v>
      </c>
      <c r="DV684" s="27" t="s">
        <v>7</v>
      </c>
      <c r="DW684" s="27" t="s">
        <v>8</v>
      </c>
      <c r="EF684" s="27" t="s">
        <v>7</v>
      </c>
      <c r="EH684" s="27" t="s">
        <v>7</v>
      </c>
      <c r="EI684" s="27" t="s">
        <v>8</v>
      </c>
      <c r="EJ684" s="27" t="s">
        <v>7</v>
      </c>
      <c r="EK684" s="27" t="s">
        <v>8</v>
      </c>
      <c r="EL684" s="27" t="s">
        <v>7</v>
      </c>
      <c r="FA684" s="27" t="s">
        <v>8</v>
      </c>
      <c r="FB684" s="27" t="s">
        <v>7</v>
      </c>
      <c r="FG684" s="27" t="s">
        <v>8</v>
      </c>
      <c r="FH684" s="27" t="s">
        <v>7</v>
      </c>
      <c r="FI684" s="27" t="s">
        <v>8</v>
      </c>
      <c r="FJ684" s="27" t="s">
        <v>7</v>
      </c>
      <c r="FK684" s="27" t="s">
        <v>8</v>
      </c>
      <c r="GJ684" s="27" t="s">
        <v>7</v>
      </c>
      <c r="GK684" s="27" t="s">
        <v>8</v>
      </c>
      <c r="GL684" s="27" t="s">
        <v>7</v>
      </c>
      <c r="GM684" s="27" t="s">
        <v>8</v>
      </c>
      <c r="GN684" s="27" t="s">
        <v>7</v>
      </c>
      <c r="GO684" s="27" t="s">
        <v>8</v>
      </c>
      <c r="GP684" s="27" t="s">
        <v>7</v>
      </c>
      <c r="GQ684" s="27" t="s">
        <v>8</v>
      </c>
      <c r="GR684" s="27" t="s">
        <v>7</v>
      </c>
      <c r="GT684" s="27" t="s">
        <v>7</v>
      </c>
      <c r="GU684" s="27" t="s">
        <v>8</v>
      </c>
      <c r="HN684" s="27" t="s">
        <v>7</v>
      </c>
      <c r="HO684" s="27" t="s">
        <v>8</v>
      </c>
      <c r="HX684" s="27" t="s">
        <v>7</v>
      </c>
      <c r="HY684" s="27" t="s">
        <v>8</v>
      </c>
      <c r="HZ684" s="27" t="s">
        <v>7</v>
      </c>
      <c r="IA684" s="27" t="s">
        <v>8</v>
      </c>
      <c r="IB684" s="27" t="s">
        <v>7</v>
      </c>
      <c r="IC684" s="27" t="s">
        <v>8</v>
      </c>
      <c r="ID684" s="27" t="s">
        <v>7</v>
      </c>
      <c r="IE684" s="27" t="s">
        <v>8</v>
      </c>
      <c r="IK684" s="27" t="s">
        <v>8</v>
      </c>
      <c r="IL684" s="27" t="s">
        <v>7</v>
      </c>
    </row>
    <row r="685" spans="1:250" x14ac:dyDescent="0.25">
      <c r="A685" s="7">
        <v>0.14360949907253467</v>
      </c>
      <c r="B685"/>
      <c r="C685"/>
      <c r="D685"/>
      <c r="E685"/>
      <c r="F685" s="27" t="s">
        <v>7</v>
      </c>
      <c r="AM685" s="27" t="s">
        <v>8</v>
      </c>
      <c r="AN685" s="27" t="s">
        <v>7</v>
      </c>
      <c r="AO685" s="27" t="s">
        <v>8</v>
      </c>
      <c r="AP685" s="27" t="s">
        <v>7</v>
      </c>
      <c r="AY685" s="27" t="s">
        <v>8</v>
      </c>
      <c r="AZ685" s="27" t="s">
        <v>7</v>
      </c>
      <c r="BE685" s="27" t="s">
        <v>8</v>
      </c>
      <c r="DR685" s="27" t="s">
        <v>7</v>
      </c>
      <c r="DS685" s="27" t="s">
        <v>8</v>
      </c>
      <c r="DV685" s="27" t="s">
        <v>7</v>
      </c>
      <c r="DW685" s="27" t="s">
        <v>8</v>
      </c>
      <c r="EH685" s="27" t="s">
        <v>7</v>
      </c>
      <c r="EI685" s="27" t="s">
        <v>8</v>
      </c>
      <c r="EJ685" s="27" t="s">
        <v>7</v>
      </c>
      <c r="EK685" s="27" t="s">
        <v>8</v>
      </c>
      <c r="EL685" s="27" t="s">
        <v>7</v>
      </c>
      <c r="EO685" s="27" t="s">
        <v>8</v>
      </c>
      <c r="FA685" s="27" t="s">
        <v>8</v>
      </c>
      <c r="FB685" s="27" t="s">
        <v>7</v>
      </c>
      <c r="FG685" s="27" t="s">
        <v>8</v>
      </c>
      <c r="FH685" s="27" t="s">
        <v>7</v>
      </c>
      <c r="FI685" s="27" t="s">
        <v>8</v>
      </c>
      <c r="FJ685" s="27" t="s">
        <v>7</v>
      </c>
      <c r="FK685" s="27" t="s">
        <v>8</v>
      </c>
      <c r="GJ685" s="27" t="s">
        <v>7</v>
      </c>
      <c r="GK685" s="27" t="s">
        <v>8</v>
      </c>
      <c r="GL685" s="27" t="s">
        <v>7</v>
      </c>
      <c r="GM685" s="27" t="s">
        <v>8</v>
      </c>
      <c r="GN685" s="27" t="s">
        <v>7</v>
      </c>
      <c r="GO685" s="27" t="s">
        <v>8</v>
      </c>
      <c r="GP685" s="27" t="s">
        <v>7</v>
      </c>
      <c r="GQ685" s="27" t="s">
        <v>8</v>
      </c>
      <c r="GT685" s="27" t="s">
        <v>7</v>
      </c>
      <c r="GU685" s="27" t="s">
        <v>8</v>
      </c>
      <c r="HN685" s="27" t="s">
        <v>7</v>
      </c>
      <c r="HX685" s="27" t="s">
        <v>7</v>
      </c>
      <c r="HY685" s="27" t="s">
        <v>8</v>
      </c>
      <c r="HZ685" s="27" t="s">
        <v>7</v>
      </c>
      <c r="IA685" s="27" t="s">
        <v>8</v>
      </c>
      <c r="IB685" s="27" t="s">
        <v>7</v>
      </c>
      <c r="IC685" s="27" t="s">
        <v>8</v>
      </c>
      <c r="ID685" s="27" t="s">
        <v>7</v>
      </c>
      <c r="IE685" s="27" t="s">
        <v>8</v>
      </c>
      <c r="IF685" s="27" t="s">
        <v>7</v>
      </c>
      <c r="II685" s="27" t="s">
        <v>8</v>
      </c>
      <c r="IK685" s="27" t="s">
        <v>8</v>
      </c>
      <c r="IL685" s="27" t="s">
        <v>7</v>
      </c>
    </row>
    <row r="686" spans="1:250" x14ac:dyDescent="0.25">
      <c r="A686" s="7">
        <v>0.14079362654170066</v>
      </c>
      <c r="B686"/>
      <c r="C686"/>
      <c r="D686"/>
      <c r="E686"/>
      <c r="F686" s="27" t="s">
        <v>7</v>
      </c>
      <c r="AM686" s="27" t="s">
        <v>8</v>
      </c>
      <c r="AN686" s="27" t="s">
        <v>7</v>
      </c>
      <c r="AO686" s="27" t="s">
        <v>8</v>
      </c>
      <c r="AP686" s="27" t="s">
        <v>7</v>
      </c>
      <c r="AY686" s="27" t="s">
        <v>8</v>
      </c>
      <c r="AZ686" s="27" t="s">
        <v>7</v>
      </c>
      <c r="BA686" s="27" t="s">
        <v>8</v>
      </c>
      <c r="BE686" s="27" t="s">
        <v>8</v>
      </c>
      <c r="DR686" s="27" t="s">
        <v>7</v>
      </c>
      <c r="DS686" s="27" t="s">
        <v>8</v>
      </c>
      <c r="DV686" s="27" t="s">
        <v>7</v>
      </c>
      <c r="DW686" s="27" t="s">
        <v>8</v>
      </c>
      <c r="EH686" s="27" t="s">
        <v>7</v>
      </c>
      <c r="EI686" s="27" t="s">
        <v>8</v>
      </c>
      <c r="EJ686" s="27" t="s">
        <v>7</v>
      </c>
      <c r="EK686" s="27" t="s">
        <v>8</v>
      </c>
      <c r="EL686" s="27" t="s">
        <v>7</v>
      </c>
      <c r="EO686" s="27" t="s">
        <v>8</v>
      </c>
      <c r="EP686" s="27" t="s">
        <v>7</v>
      </c>
      <c r="EQ686" s="27" t="s">
        <v>8</v>
      </c>
      <c r="EU686" s="27" t="s">
        <v>8</v>
      </c>
      <c r="FA686" s="27" t="s">
        <v>8</v>
      </c>
      <c r="FB686" s="27" t="s">
        <v>7</v>
      </c>
      <c r="FG686" s="27" t="s">
        <v>8</v>
      </c>
      <c r="FH686" s="27" t="s">
        <v>7</v>
      </c>
      <c r="FI686" s="27" t="s">
        <v>8</v>
      </c>
      <c r="FJ686" s="27" t="s">
        <v>7</v>
      </c>
      <c r="FK686" s="27" t="s">
        <v>8</v>
      </c>
      <c r="GJ686" s="27" t="s">
        <v>7</v>
      </c>
      <c r="GK686" s="27" t="s">
        <v>8</v>
      </c>
      <c r="GL686" s="27" t="s">
        <v>7</v>
      </c>
      <c r="GN686" s="27" t="s">
        <v>7</v>
      </c>
      <c r="GO686" s="27" t="s">
        <v>8</v>
      </c>
      <c r="GP686" s="27" t="s">
        <v>7</v>
      </c>
      <c r="GQ686" s="27" t="s">
        <v>8</v>
      </c>
      <c r="GT686" s="27" t="s">
        <v>7</v>
      </c>
      <c r="GU686" s="27" t="s">
        <v>8</v>
      </c>
      <c r="HX686" s="27" t="s">
        <v>7</v>
      </c>
      <c r="HY686" s="27" t="s">
        <v>8</v>
      </c>
      <c r="HZ686" s="27" t="s">
        <v>7</v>
      </c>
      <c r="IA686" s="27" t="s">
        <v>8</v>
      </c>
      <c r="IB686" s="27" t="s">
        <v>7</v>
      </c>
      <c r="ID686" s="27" t="s">
        <v>7</v>
      </c>
      <c r="IE686" s="27" t="s">
        <v>8</v>
      </c>
      <c r="IF686" s="27" t="s">
        <v>7</v>
      </c>
      <c r="II686" s="27" t="s">
        <v>8</v>
      </c>
      <c r="IJ686" s="27" t="s">
        <v>7</v>
      </c>
      <c r="IK686" s="27" t="s">
        <v>8</v>
      </c>
      <c r="IL686" s="27" t="s">
        <v>7</v>
      </c>
      <c r="IO686" s="27" t="s">
        <v>8</v>
      </c>
    </row>
    <row r="687" spans="1:250" x14ac:dyDescent="0.25">
      <c r="A687" s="7">
        <v>0.13803296719774574</v>
      </c>
      <c r="B687"/>
      <c r="C687"/>
      <c r="D687"/>
      <c r="E687"/>
      <c r="F687" s="27" t="s">
        <v>7</v>
      </c>
      <c r="AM687" s="27" t="s">
        <v>8</v>
      </c>
      <c r="AN687" s="27" t="s">
        <v>7</v>
      </c>
      <c r="AO687" s="27" t="s">
        <v>8</v>
      </c>
      <c r="AP687" s="27" t="s">
        <v>7</v>
      </c>
      <c r="AY687" s="27" t="s">
        <v>8</v>
      </c>
      <c r="AZ687" s="27" t="s">
        <v>7</v>
      </c>
      <c r="BA687" s="27" t="s">
        <v>8</v>
      </c>
      <c r="BB687" s="27" t="s">
        <v>7</v>
      </c>
      <c r="BC687" s="27" t="s">
        <v>8</v>
      </c>
      <c r="BE687" s="27" t="s">
        <v>8</v>
      </c>
      <c r="DR687" s="27" t="s">
        <v>7</v>
      </c>
      <c r="DS687" s="27" t="s">
        <v>8</v>
      </c>
      <c r="DV687" s="27" t="s">
        <v>7</v>
      </c>
      <c r="DW687" s="27" t="s">
        <v>8</v>
      </c>
      <c r="EH687" s="27" t="s">
        <v>7</v>
      </c>
      <c r="EI687" s="27" t="s">
        <v>8</v>
      </c>
      <c r="EJ687" s="27" t="s">
        <v>7</v>
      </c>
      <c r="EK687" s="27" t="s">
        <v>8</v>
      </c>
      <c r="EL687" s="27" t="s">
        <v>7</v>
      </c>
      <c r="EM687" s="27" t="s">
        <v>8</v>
      </c>
      <c r="EO687" s="27" t="s">
        <v>8</v>
      </c>
      <c r="EP687" s="27" t="s">
        <v>7</v>
      </c>
      <c r="EQ687" s="27" t="s">
        <v>8</v>
      </c>
      <c r="ER687" s="27" t="s">
        <v>7</v>
      </c>
      <c r="EU687" s="27" t="s">
        <v>8</v>
      </c>
      <c r="EV687" s="27" t="s">
        <v>7</v>
      </c>
      <c r="FA687" s="27" t="s">
        <v>8</v>
      </c>
      <c r="FB687" s="27" t="s">
        <v>7</v>
      </c>
      <c r="FE687" s="27" t="s">
        <v>8</v>
      </c>
      <c r="FG687" s="27" t="s">
        <v>8</v>
      </c>
      <c r="FH687" s="27" t="s">
        <v>7</v>
      </c>
      <c r="FI687" s="27" t="s">
        <v>8</v>
      </c>
      <c r="FJ687" s="27" t="s">
        <v>7</v>
      </c>
      <c r="GJ687" s="27" t="s">
        <v>7</v>
      </c>
      <c r="GN687" s="27" t="s">
        <v>7</v>
      </c>
      <c r="GP687" s="27" t="s">
        <v>7</v>
      </c>
      <c r="GT687" s="27" t="s">
        <v>7</v>
      </c>
      <c r="HX687" s="27" t="s">
        <v>7</v>
      </c>
      <c r="HY687" s="27" t="s">
        <v>8</v>
      </c>
      <c r="HZ687" s="27" t="s">
        <v>7</v>
      </c>
      <c r="ID687" s="27" t="s">
        <v>7</v>
      </c>
      <c r="IF687" s="27" t="s">
        <v>7</v>
      </c>
      <c r="IG687" s="27" t="s">
        <v>8</v>
      </c>
      <c r="II687" s="27" t="s">
        <v>8</v>
      </c>
      <c r="IJ687" s="27" t="s">
        <v>7</v>
      </c>
      <c r="IK687" s="27" t="s">
        <v>8</v>
      </c>
      <c r="IL687" s="27" t="s">
        <v>7</v>
      </c>
      <c r="IM687" s="27" t="s">
        <v>8</v>
      </c>
      <c r="IO687" s="27" t="s">
        <v>8</v>
      </c>
      <c r="IP687" s="27" t="s">
        <v>7</v>
      </c>
    </row>
    <row r="688" spans="1:250" x14ac:dyDescent="0.25">
      <c r="A688" s="7">
        <v>0.1353264384291625</v>
      </c>
      <c r="B688"/>
      <c r="C688"/>
      <c r="D688"/>
      <c r="E688"/>
      <c r="F688" s="27" t="s">
        <v>7</v>
      </c>
      <c r="AM688" s="27" t="s">
        <v>8</v>
      </c>
      <c r="AN688" s="27" t="s">
        <v>7</v>
      </c>
      <c r="AO688" s="27" t="s">
        <v>8</v>
      </c>
      <c r="AP688" s="27" t="s">
        <v>7</v>
      </c>
      <c r="AY688" s="27" t="s">
        <v>8</v>
      </c>
      <c r="AZ688" s="27" t="s">
        <v>7</v>
      </c>
      <c r="BA688" s="27" t="s">
        <v>8</v>
      </c>
      <c r="BB688" s="27" t="s">
        <v>7</v>
      </c>
      <c r="BC688" s="27" t="s">
        <v>8</v>
      </c>
      <c r="BD688" s="27" t="s">
        <v>7</v>
      </c>
      <c r="BE688" s="27" t="s">
        <v>8</v>
      </c>
      <c r="DR688" s="27" t="s">
        <v>7</v>
      </c>
      <c r="DV688" s="27" t="s">
        <v>7</v>
      </c>
      <c r="DW688" s="27" t="s">
        <v>8</v>
      </c>
      <c r="EH688" s="27" t="s">
        <v>7</v>
      </c>
      <c r="EJ688" s="27" t="s">
        <v>7</v>
      </c>
      <c r="EK688" s="27" t="s">
        <v>8</v>
      </c>
      <c r="EL688" s="27" t="s">
        <v>7</v>
      </c>
      <c r="EM688" s="27" t="s">
        <v>8</v>
      </c>
      <c r="EN688" s="27" t="s">
        <v>7</v>
      </c>
      <c r="EO688" s="27" t="s">
        <v>8</v>
      </c>
      <c r="EP688" s="27" t="s">
        <v>7</v>
      </c>
      <c r="EQ688" s="27" t="s">
        <v>8</v>
      </c>
      <c r="ER688" s="27" t="s">
        <v>7</v>
      </c>
      <c r="ES688" s="27" t="s">
        <v>8</v>
      </c>
      <c r="EU688" s="27" t="s">
        <v>8</v>
      </c>
      <c r="EV688" s="27" t="s">
        <v>7</v>
      </c>
      <c r="EW688" s="27" t="s">
        <v>8</v>
      </c>
      <c r="FA688" s="27" t="s">
        <v>8</v>
      </c>
      <c r="FB688" s="27" t="s">
        <v>7</v>
      </c>
      <c r="FE688" s="27" t="s">
        <v>8</v>
      </c>
      <c r="FF688" s="27" t="s">
        <v>7</v>
      </c>
      <c r="FG688" s="27" t="s">
        <v>8</v>
      </c>
      <c r="FH688" s="27" t="s">
        <v>7</v>
      </c>
      <c r="HX688" s="27" t="s">
        <v>7</v>
      </c>
      <c r="HY688" s="27" t="s">
        <v>8</v>
      </c>
      <c r="IF688" s="27" t="s">
        <v>7</v>
      </c>
      <c r="IG688" s="27" t="s">
        <v>8</v>
      </c>
      <c r="IH688" s="27" t="s">
        <v>7</v>
      </c>
      <c r="II688" s="27" t="s">
        <v>8</v>
      </c>
      <c r="IJ688" s="27" t="s">
        <v>7</v>
      </c>
      <c r="IK688" s="27" t="s">
        <v>8</v>
      </c>
      <c r="IL688" s="27" t="s">
        <v>7</v>
      </c>
      <c r="IM688" s="27" t="s">
        <v>8</v>
      </c>
      <c r="IN688" s="27" t="s">
        <v>7</v>
      </c>
      <c r="IO688" s="27" t="s">
        <v>8</v>
      </c>
      <c r="IP688" s="27" t="s">
        <v>7</v>
      </c>
    </row>
    <row r="689" spans="1:256" x14ac:dyDescent="0.25">
      <c r="A689" s="7">
        <v>0.13267297885212009</v>
      </c>
      <c r="B689"/>
      <c r="C689"/>
      <c r="D689"/>
      <c r="E689"/>
      <c r="F689" s="27" t="s">
        <v>7</v>
      </c>
      <c r="AM689" s="27" t="s">
        <v>8</v>
      </c>
      <c r="AN689" s="27" t="s">
        <v>7</v>
      </c>
      <c r="AO689" s="27" t="s">
        <v>8</v>
      </c>
      <c r="AP689" s="27" t="s">
        <v>7</v>
      </c>
      <c r="AQ689" s="27" t="s">
        <v>8</v>
      </c>
      <c r="AY689" s="27" t="s">
        <v>8</v>
      </c>
      <c r="AZ689" s="27" t="s">
        <v>7</v>
      </c>
      <c r="BA689" s="27" t="s">
        <v>8</v>
      </c>
      <c r="BB689" s="27" t="s">
        <v>7</v>
      </c>
      <c r="BC689" s="27" t="s">
        <v>8</v>
      </c>
      <c r="BD689" s="27" t="s">
        <v>7</v>
      </c>
      <c r="BE689" s="27" t="s">
        <v>8</v>
      </c>
      <c r="DV689" s="27" t="s">
        <v>7</v>
      </c>
      <c r="DW689" s="27" t="s">
        <v>8</v>
      </c>
      <c r="EJ689" s="27" t="s">
        <v>7</v>
      </c>
      <c r="EK689" s="27" t="s">
        <v>8</v>
      </c>
      <c r="EL689" s="27" t="s">
        <v>7</v>
      </c>
      <c r="EM689" s="27" t="s">
        <v>8</v>
      </c>
      <c r="EN689" s="27" t="s">
        <v>7</v>
      </c>
      <c r="EO689" s="27" t="s">
        <v>8</v>
      </c>
      <c r="EP689" s="27" t="s">
        <v>7</v>
      </c>
      <c r="EQ689" s="27" t="s">
        <v>8</v>
      </c>
      <c r="ER689" s="27" t="s">
        <v>7</v>
      </c>
      <c r="ES689" s="27" t="s">
        <v>8</v>
      </c>
      <c r="ET689" s="27" t="s">
        <v>7</v>
      </c>
      <c r="EU689" s="27" t="s">
        <v>8</v>
      </c>
      <c r="EV689" s="27" t="s">
        <v>7</v>
      </c>
      <c r="EW689" s="27" t="s">
        <v>8</v>
      </c>
      <c r="EX689" s="27" t="s">
        <v>7</v>
      </c>
      <c r="FA689" s="27" t="s">
        <v>8</v>
      </c>
      <c r="FB689" s="27" t="s">
        <v>7</v>
      </c>
      <c r="FE689" s="27" t="s">
        <v>8</v>
      </c>
      <c r="FF689" s="27" t="s">
        <v>7</v>
      </c>
      <c r="FG689" s="27" t="s">
        <v>8</v>
      </c>
      <c r="HX689" s="27" t="s">
        <v>7</v>
      </c>
      <c r="HY689" s="27" t="s">
        <v>8</v>
      </c>
      <c r="IF689" s="27" t="s">
        <v>7</v>
      </c>
      <c r="IG689" s="27" t="s">
        <v>8</v>
      </c>
      <c r="IH689" s="27" t="s">
        <v>7</v>
      </c>
      <c r="II689" s="27" t="s">
        <v>8</v>
      </c>
      <c r="IJ689" s="27" t="s">
        <v>7</v>
      </c>
      <c r="IK689" s="27" t="s">
        <v>8</v>
      </c>
      <c r="IL689" s="27" t="s">
        <v>7</v>
      </c>
      <c r="IM689" s="27" t="s">
        <v>8</v>
      </c>
      <c r="IN689" s="27" t="s">
        <v>7</v>
      </c>
      <c r="IO689" s="27" t="s">
        <v>8</v>
      </c>
      <c r="IP689" s="27" t="s">
        <v>7</v>
      </c>
    </row>
    <row r="690" spans="1:256" x14ac:dyDescent="0.25">
      <c r="A690" s="7">
        <v>0.13007154789423539</v>
      </c>
      <c r="B690"/>
      <c r="C690"/>
      <c r="D690"/>
      <c r="E690"/>
      <c r="F690" s="27" t="s">
        <v>7</v>
      </c>
      <c r="AM690" s="27" t="s">
        <v>8</v>
      </c>
      <c r="AN690" s="27" t="s">
        <v>7</v>
      </c>
      <c r="AO690" s="27" t="s">
        <v>8</v>
      </c>
      <c r="AP690" s="27" t="s">
        <v>7</v>
      </c>
      <c r="AQ690" s="27" t="s">
        <v>8</v>
      </c>
      <c r="AR690" s="27" t="s">
        <v>7</v>
      </c>
      <c r="AY690" s="27" t="s">
        <v>8</v>
      </c>
      <c r="AZ690" s="27" t="s">
        <v>7</v>
      </c>
      <c r="BA690" s="27" t="s">
        <v>8</v>
      </c>
      <c r="BB690" s="27" t="s">
        <v>7</v>
      </c>
      <c r="BC690" s="27" t="s">
        <v>8</v>
      </c>
      <c r="BD690" s="27" t="s">
        <v>7</v>
      </c>
      <c r="BE690" s="27" t="s">
        <v>8</v>
      </c>
      <c r="DV690" s="27" t="s">
        <v>7</v>
      </c>
      <c r="DW690" s="27" t="s">
        <v>8</v>
      </c>
      <c r="EJ690" s="27" t="s">
        <v>7</v>
      </c>
      <c r="EK690" s="27" t="s">
        <v>8</v>
      </c>
      <c r="EL690" s="27" t="s">
        <v>7</v>
      </c>
      <c r="EM690" s="27" t="s">
        <v>8</v>
      </c>
      <c r="EN690" s="27" t="s">
        <v>7</v>
      </c>
      <c r="EO690" s="27" t="s">
        <v>8</v>
      </c>
      <c r="EP690" s="27" t="s">
        <v>7</v>
      </c>
      <c r="ER690" s="27" t="s">
        <v>7</v>
      </c>
      <c r="ES690" s="27" t="s">
        <v>8</v>
      </c>
      <c r="ET690" s="27" t="s">
        <v>7</v>
      </c>
      <c r="EU690" s="27" t="s">
        <v>8</v>
      </c>
      <c r="EV690" s="27" t="s">
        <v>7</v>
      </c>
      <c r="EW690" s="27" t="s">
        <v>8</v>
      </c>
      <c r="EX690" s="27" t="s">
        <v>7</v>
      </c>
      <c r="FA690" s="27" t="s">
        <v>8</v>
      </c>
      <c r="FB690" s="27" t="s">
        <v>7</v>
      </c>
      <c r="FE690" s="27" t="s">
        <v>8</v>
      </c>
      <c r="FF690" s="27" t="s">
        <v>7</v>
      </c>
      <c r="FG690" s="27" t="s">
        <v>8</v>
      </c>
      <c r="HX690" s="27" t="s">
        <v>7</v>
      </c>
      <c r="HY690" s="27" t="s">
        <v>8</v>
      </c>
      <c r="IF690" s="27" t="s">
        <v>7</v>
      </c>
      <c r="IG690" s="27" t="s">
        <v>8</v>
      </c>
      <c r="IH690" s="27" t="s">
        <v>7</v>
      </c>
      <c r="IJ690" s="27" t="s">
        <v>7</v>
      </c>
      <c r="IK690" s="27" t="s">
        <v>8</v>
      </c>
      <c r="IL690" s="27" t="s">
        <v>7</v>
      </c>
      <c r="IM690" s="27" t="s">
        <v>8</v>
      </c>
      <c r="IN690" s="27" t="s">
        <v>7</v>
      </c>
      <c r="IO690" s="27" t="s">
        <v>8</v>
      </c>
      <c r="IP690" s="27" t="s">
        <v>7</v>
      </c>
    </row>
    <row r="691" spans="1:256" x14ac:dyDescent="0.25">
      <c r="A691" s="7">
        <v>0.12752112538650529</v>
      </c>
      <c r="B691"/>
      <c r="C691"/>
      <c r="D691"/>
      <c r="E691"/>
      <c r="F691" s="27" t="s">
        <v>7</v>
      </c>
      <c r="AM691" s="27" t="s">
        <v>8</v>
      </c>
      <c r="AN691" s="27" t="s">
        <v>7</v>
      </c>
      <c r="AO691" s="27" t="s">
        <v>8</v>
      </c>
      <c r="AP691" s="27" t="s">
        <v>7</v>
      </c>
      <c r="AQ691" s="27" t="s">
        <v>8</v>
      </c>
      <c r="AR691" s="27" t="s">
        <v>7</v>
      </c>
      <c r="AS691" s="27" t="s">
        <v>8</v>
      </c>
      <c r="AU691" s="27" t="s">
        <v>8</v>
      </c>
      <c r="AY691" s="27" t="s">
        <v>8</v>
      </c>
      <c r="AZ691" s="27" t="s">
        <v>7</v>
      </c>
      <c r="BA691" s="27" t="s">
        <v>8</v>
      </c>
      <c r="BB691" s="27" t="s">
        <v>7</v>
      </c>
      <c r="BC691" s="27" t="s">
        <v>8</v>
      </c>
      <c r="BD691" s="27" t="s">
        <v>7</v>
      </c>
      <c r="BE691" s="27" t="s">
        <v>8</v>
      </c>
      <c r="DV691" s="27" t="s">
        <v>7</v>
      </c>
      <c r="DW691" s="27" t="s">
        <v>8</v>
      </c>
      <c r="EJ691" s="27" t="s">
        <v>7</v>
      </c>
      <c r="EK691" s="27" t="s">
        <v>8</v>
      </c>
      <c r="EL691" s="27" t="s">
        <v>7</v>
      </c>
      <c r="EM691" s="27" t="s">
        <v>8</v>
      </c>
      <c r="EN691" s="27" t="s">
        <v>7</v>
      </c>
      <c r="EO691" s="27" t="s">
        <v>8</v>
      </c>
      <c r="ER691" s="27" t="s">
        <v>7</v>
      </c>
      <c r="ET691" s="27" t="s">
        <v>7</v>
      </c>
      <c r="EU691" s="27" t="s">
        <v>8</v>
      </c>
      <c r="EV691" s="27" t="s">
        <v>7</v>
      </c>
      <c r="EX691" s="27" t="s">
        <v>7</v>
      </c>
      <c r="EY691" s="27" t="s">
        <v>8</v>
      </c>
      <c r="FA691" s="27" t="s">
        <v>8</v>
      </c>
      <c r="FB691" s="27" t="s">
        <v>7</v>
      </c>
      <c r="FE691" s="27" t="s">
        <v>8</v>
      </c>
      <c r="FF691" s="27" t="s">
        <v>7</v>
      </c>
      <c r="FG691" s="27" t="s">
        <v>8</v>
      </c>
      <c r="HX691" s="27" t="s">
        <v>7</v>
      </c>
      <c r="HY691" s="27" t="s">
        <v>8</v>
      </c>
      <c r="IF691" s="27" t="s">
        <v>7</v>
      </c>
      <c r="IG691" s="27" t="s">
        <v>8</v>
      </c>
      <c r="IJ691" s="27" t="s">
        <v>7</v>
      </c>
      <c r="IK691" s="27" t="s">
        <v>8</v>
      </c>
      <c r="IL691" s="27" t="s">
        <v>7</v>
      </c>
      <c r="IN691" s="27" t="s">
        <v>7</v>
      </c>
      <c r="IP691" s="27" t="s">
        <v>7</v>
      </c>
    </row>
    <row r="692" spans="1:256" x14ac:dyDescent="0.25">
      <c r="A692" s="7">
        <v>0.12502071116324048</v>
      </c>
      <c r="B692"/>
      <c r="C692"/>
      <c r="D692"/>
      <c r="E692"/>
      <c r="F692" s="27" t="s">
        <v>7</v>
      </c>
      <c r="AM692" s="27" t="s">
        <v>8</v>
      </c>
      <c r="AN692" s="27" t="s">
        <v>7</v>
      </c>
      <c r="AO692" s="27" t="s">
        <v>8</v>
      </c>
      <c r="AP692" s="27" t="s">
        <v>7</v>
      </c>
      <c r="AQ692" s="27" t="s">
        <v>8</v>
      </c>
      <c r="AR692" s="27" t="s">
        <v>7</v>
      </c>
      <c r="AS692" s="27" t="s">
        <v>8</v>
      </c>
      <c r="AT692" s="27" t="s">
        <v>7</v>
      </c>
      <c r="AU692" s="27" t="s">
        <v>8</v>
      </c>
      <c r="AV692" s="27" t="s">
        <v>7</v>
      </c>
      <c r="AY692" s="27" t="s">
        <v>8</v>
      </c>
      <c r="AZ692" s="27" t="s">
        <v>7</v>
      </c>
      <c r="BA692" s="27" t="s">
        <v>8</v>
      </c>
      <c r="BB692" s="27" t="s">
        <v>7</v>
      </c>
      <c r="BC692" s="27" t="s">
        <v>8</v>
      </c>
      <c r="BD692" s="27" t="s">
        <v>7</v>
      </c>
      <c r="DV692" s="27" t="s">
        <v>7</v>
      </c>
      <c r="DW692" s="27" t="s">
        <v>8</v>
      </c>
      <c r="EJ692" s="27" t="s">
        <v>7</v>
      </c>
      <c r="EK692" s="27" t="s">
        <v>8</v>
      </c>
      <c r="EL692" s="27" t="s">
        <v>7</v>
      </c>
      <c r="EM692" s="27" t="s">
        <v>8</v>
      </c>
      <c r="EN692" s="27" t="s">
        <v>7</v>
      </c>
      <c r="EO692" s="27" t="s">
        <v>8</v>
      </c>
      <c r="ET692" s="27" t="s">
        <v>7</v>
      </c>
      <c r="EX692" s="27" t="s">
        <v>7</v>
      </c>
      <c r="EY692" s="27" t="s">
        <v>8</v>
      </c>
      <c r="EZ692" s="27" t="s">
        <v>7</v>
      </c>
      <c r="FA692" s="27" t="s">
        <v>8</v>
      </c>
      <c r="FB692" s="27" t="s">
        <v>7</v>
      </c>
      <c r="FE692" s="27" t="s">
        <v>8</v>
      </c>
      <c r="FF692" s="27" t="s">
        <v>7</v>
      </c>
      <c r="FG692" s="27" t="s">
        <v>8</v>
      </c>
      <c r="HX692" s="27" t="s">
        <v>7</v>
      </c>
      <c r="IF692" s="27" t="s">
        <v>7</v>
      </c>
      <c r="IG692" s="27" t="s">
        <v>8</v>
      </c>
      <c r="IJ692" s="27" t="s">
        <v>7</v>
      </c>
      <c r="IP692" s="27" t="s">
        <v>7</v>
      </c>
    </row>
    <row r="693" spans="1:256" x14ac:dyDescent="0.25">
      <c r="A693" s="7">
        <v>0.1225693246698436</v>
      </c>
      <c r="B693"/>
      <c r="C693"/>
      <c r="D693"/>
      <c r="E693"/>
      <c r="F693" s="27" t="s">
        <v>7</v>
      </c>
      <c r="AM693" s="27" t="s">
        <v>8</v>
      </c>
      <c r="AN693" s="27" t="s">
        <v>7</v>
      </c>
      <c r="AO693" s="27" t="s">
        <v>8</v>
      </c>
      <c r="AP693" s="27" t="s">
        <v>7</v>
      </c>
      <c r="AQ693" s="27" t="s">
        <v>8</v>
      </c>
      <c r="AR693" s="27" t="s">
        <v>7</v>
      </c>
      <c r="AS693" s="27" t="s">
        <v>8</v>
      </c>
      <c r="AT693" s="27" t="s">
        <v>7</v>
      </c>
      <c r="AU693" s="27" t="s">
        <v>8</v>
      </c>
      <c r="AV693" s="27" t="s">
        <v>7</v>
      </c>
      <c r="AW693" s="27" t="s">
        <v>8</v>
      </c>
      <c r="AY693" s="27" t="s">
        <v>8</v>
      </c>
      <c r="AZ693" s="27" t="s">
        <v>7</v>
      </c>
      <c r="BA693" s="27" t="s">
        <v>8</v>
      </c>
      <c r="BB693" s="27" t="s">
        <v>7</v>
      </c>
      <c r="DV693" s="27" t="s">
        <v>7</v>
      </c>
      <c r="EJ693" s="27" t="s">
        <v>7</v>
      </c>
      <c r="EL693" s="27" t="s">
        <v>7</v>
      </c>
      <c r="EM693" s="27" t="s">
        <v>8</v>
      </c>
      <c r="EN693" s="27" t="s">
        <v>7</v>
      </c>
      <c r="EO693" s="27" t="s">
        <v>8</v>
      </c>
      <c r="EX693" s="27" t="s">
        <v>7</v>
      </c>
      <c r="EY693" s="27" t="s">
        <v>8</v>
      </c>
      <c r="EZ693" s="27" t="s">
        <v>7</v>
      </c>
      <c r="FA693" s="27" t="s">
        <v>8</v>
      </c>
      <c r="FB693" s="27" t="s">
        <v>7</v>
      </c>
      <c r="FC693" s="27" t="s">
        <v>8</v>
      </c>
      <c r="FE693" s="27" t="s">
        <v>8</v>
      </c>
      <c r="FF693" s="27" t="s">
        <v>7</v>
      </c>
      <c r="FG693" s="27" t="s">
        <v>8</v>
      </c>
      <c r="IF693" s="27" t="s">
        <v>7</v>
      </c>
      <c r="IG693" s="27" t="s">
        <v>8</v>
      </c>
      <c r="IP693" s="27" t="s">
        <v>7</v>
      </c>
    </row>
    <row r="694" spans="1:256" x14ac:dyDescent="0.25">
      <c r="A694" s="7">
        <v>0.12016600457827803</v>
      </c>
      <c r="B694"/>
      <c r="C694"/>
      <c r="D694"/>
      <c r="E694"/>
      <c r="F694" s="27" t="s">
        <v>7</v>
      </c>
      <c r="AM694" s="27" t="s">
        <v>8</v>
      </c>
      <c r="AN694" s="27" t="s">
        <v>7</v>
      </c>
      <c r="AO694" s="27" t="s">
        <v>8</v>
      </c>
      <c r="AP694" s="27" t="s">
        <v>7</v>
      </c>
      <c r="AQ694" s="27" t="s">
        <v>8</v>
      </c>
      <c r="AR694" s="27" t="s">
        <v>7</v>
      </c>
      <c r="AS694" s="27" t="s">
        <v>8</v>
      </c>
      <c r="AT694" s="27" t="s">
        <v>7</v>
      </c>
      <c r="AU694" s="27" t="s">
        <v>8</v>
      </c>
      <c r="AV694" s="27" t="s">
        <v>7</v>
      </c>
      <c r="AW694" s="27" t="s">
        <v>8</v>
      </c>
      <c r="AX694" s="27" t="s">
        <v>7</v>
      </c>
      <c r="AY694" s="27" t="s">
        <v>8</v>
      </c>
      <c r="AZ694" s="27" t="s">
        <v>7</v>
      </c>
      <c r="EL694" s="27" t="s">
        <v>7</v>
      </c>
      <c r="EM694" s="27" t="s">
        <v>8</v>
      </c>
      <c r="EN694" s="27" t="s">
        <v>7</v>
      </c>
      <c r="EO694" s="27" t="s">
        <v>8</v>
      </c>
      <c r="EX694" s="27" t="s">
        <v>7</v>
      </c>
      <c r="EZ694" s="27" t="s">
        <v>7</v>
      </c>
      <c r="FA694" s="27" t="s">
        <v>8</v>
      </c>
      <c r="FB694" s="27" t="s">
        <v>7</v>
      </c>
      <c r="FC694" s="27" t="s">
        <v>8</v>
      </c>
      <c r="FD694" s="27" t="s">
        <v>7</v>
      </c>
      <c r="FE694" s="27" t="s">
        <v>8</v>
      </c>
      <c r="FF694" s="27" t="s">
        <v>7</v>
      </c>
      <c r="IF694" s="27" t="s">
        <v>7</v>
      </c>
      <c r="IP694" s="27" t="s">
        <v>7</v>
      </c>
    </row>
    <row r="695" spans="1:256" x14ac:dyDescent="0.25">
      <c r="A695" s="7">
        <v>0.1178098084100765</v>
      </c>
      <c r="B695"/>
      <c r="C695"/>
      <c r="D695"/>
      <c r="E695"/>
      <c r="F695" s="27" t="s">
        <v>7</v>
      </c>
      <c r="AM695" s="27" t="s">
        <v>8</v>
      </c>
      <c r="AN695" s="27" t="s">
        <v>7</v>
      </c>
      <c r="AO695" s="27" t="s">
        <v>8</v>
      </c>
      <c r="AP695" s="27" t="s">
        <v>7</v>
      </c>
      <c r="AR695" s="27" t="s">
        <v>7</v>
      </c>
      <c r="AS695" s="27" t="s">
        <v>8</v>
      </c>
      <c r="AT695" s="27" t="s">
        <v>7</v>
      </c>
      <c r="AV695" s="27" t="s">
        <v>7</v>
      </c>
      <c r="AW695" s="27" t="s">
        <v>8</v>
      </c>
      <c r="AX695" s="27" t="s">
        <v>7</v>
      </c>
      <c r="AY695" s="27" t="s">
        <v>8</v>
      </c>
      <c r="EL695" s="27" t="s">
        <v>7</v>
      </c>
      <c r="EM695" s="27" t="s">
        <v>8</v>
      </c>
      <c r="EN695" s="27" t="s">
        <v>7</v>
      </c>
      <c r="EO695" s="27" t="s">
        <v>8</v>
      </c>
      <c r="EZ695" s="27" t="s">
        <v>7</v>
      </c>
      <c r="FA695" s="27" t="s">
        <v>8</v>
      </c>
      <c r="FB695" s="27" t="s">
        <v>7</v>
      </c>
      <c r="FC695" s="27" t="s">
        <v>8</v>
      </c>
      <c r="FD695" s="27" t="s">
        <v>7</v>
      </c>
      <c r="FE695" s="27" t="s">
        <v>8</v>
      </c>
      <c r="IP695" s="27" t="s">
        <v>7</v>
      </c>
      <c r="IU695" s="27" t="s">
        <v>8</v>
      </c>
    </row>
    <row r="696" spans="1:256" x14ac:dyDescent="0.25">
      <c r="A696" s="7">
        <v>0.11549981216674166</v>
      </c>
      <c r="B696"/>
      <c r="C696"/>
      <c r="D696"/>
      <c r="E696"/>
      <c r="F696" s="27" t="s">
        <v>7</v>
      </c>
      <c r="AM696" s="27" t="s">
        <v>8</v>
      </c>
      <c r="AN696" s="27" t="s">
        <v>7</v>
      </c>
      <c r="AO696" s="27" t="s">
        <v>8</v>
      </c>
      <c r="AR696" s="27" t="s">
        <v>7</v>
      </c>
      <c r="AS696" s="27" t="s">
        <v>8</v>
      </c>
      <c r="AV696" s="27" t="s">
        <v>7</v>
      </c>
      <c r="AW696" s="27" t="s">
        <v>8</v>
      </c>
      <c r="AX696" s="27" t="s">
        <v>7</v>
      </c>
      <c r="AY696" s="27" t="s">
        <v>8</v>
      </c>
      <c r="EL696" s="27" t="s">
        <v>7</v>
      </c>
      <c r="EM696" s="27" t="s">
        <v>8</v>
      </c>
      <c r="EN696" s="27" t="s">
        <v>7</v>
      </c>
      <c r="EO696" s="27" t="s">
        <v>8</v>
      </c>
      <c r="EZ696" s="27" t="s">
        <v>7</v>
      </c>
      <c r="FA696" s="27" t="s">
        <v>8</v>
      </c>
      <c r="FB696" s="27" t="s">
        <v>7</v>
      </c>
      <c r="FC696" s="27" t="s">
        <v>8</v>
      </c>
      <c r="FD696" s="27" t="s">
        <v>7</v>
      </c>
      <c r="FE696" s="27" t="s">
        <v>8</v>
      </c>
      <c r="IP696" s="27" t="s">
        <v>7</v>
      </c>
      <c r="IQ696" s="27" t="s">
        <v>8</v>
      </c>
      <c r="IS696" s="27" t="s">
        <v>8</v>
      </c>
      <c r="IU696" s="27" t="s">
        <v>8</v>
      </c>
      <c r="IV696" s="27" t="s">
        <v>7</v>
      </c>
    </row>
    <row r="697" spans="1:256" x14ac:dyDescent="0.25">
      <c r="A697" s="7">
        <v>0.11323510996739378</v>
      </c>
      <c r="B697"/>
      <c r="C697"/>
      <c r="D697"/>
      <c r="E697"/>
      <c r="F697" s="27" t="s">
        <v>7</v>
      </c>
      <c r="AM697" s="27" t="s">
        <v>8</v>
      </c>
      <c r="AN697" s="27" t="s">
        <v>7</v>
      </c>
      <c r="AO697" s="27" t="s">
        <v>8</v>
      </c>
      <c r="AR697" s="27" t="s">
        <v>7</v>
      </c>
      <c r="AS697" s="27" t="s">
        <v>8</v>
      </c>
      <c r="AV697" s="27" t="s">
        <v>7</v>
      </c>
      <c r="AW697" s="27" t="s">
        <v>8</v>
      </c>
      <c r="AX697" s="27" t="s">
        <v>7</v>
      </c>
      <c r="AY697" s="27" t="s">
        <v>8</v>
      </c>
      <c r="EL697" s="27" t="s">
        <v>7</v>
      </c>
      <c r="EM697" s="27" t="s">
        <v>8</v>
      </c>
      <c r="EN697" s="27" t="s">
        <v>7</v>
      </c>
      <c r="EO697" s="27" t="s">
        <v>8</v>
      </c>
      <c r="EZ697" s="27" t="s">
        <v>7</v>
      </c>
      <c r="FA697" s="27" t="s">
        <v>8</v>
      </c>
      <c r="FB697" s="27" t="s">
        <v>7</v>
      </c>
      <c r="FC697" s="27" t="s">
        <v>8</v>
      </c>
      <c r="FD697" s="27" t="s">
        <v>7</v>
      </c>
      <c r="FE697" s="27" t="s">
        <v>8</v>
      </c>
      <c r="IP697" s="27" t="s">
        <v>7</v>
      </c>
      <c r="IQ697" s="27" t="s">
        <v>8</v>
      </c>
      <c r="IR697" s="27" t="s">
        <v>7</v>
      </c>
      <c r="IS697" s="27" t="s">
        <v>8</v>
      </c>
      <c r="IT697" s="27" t="s">
        <v>7</v>
      </c>
      <c r="IU697" s="27" t="s">
        <v>8</v>
      </c>
      <c r="IV697" s="27" t="s">
        <v>7</v>
      </c>
    </row>
    <row r="698" spans="1:256" x14ac:dyDescent="0.25">
      <c r="A698" s="7">
        <v>0.11101481369352331</v>
      </c>
      <c r="B698"/>
      <c r="C698"/>
      <c r="D698"/>
      <c r="E698"/>
      <c r="F698" s="27" t="s">
        <v>7</v>
      </c>
      <c r="AM698" s="27" t="s">
        <v>8</v>
      </c>
      <c r="AN698" s="27" t="s">
        <v>7</v>
      </c>
      <c r="AO698" s="27" t="s">
        <v>8</v>
      </c>
      <c r="AR698" s="27" t="s">
        <v>7</v>
      </c>
      <c r="AS698" s="27" t="s">
        <v>8</v>
      </c>
      <c r="AV698" s="27" t="s">
        <v>7</v>
      </c>
      <c r="AW698" s="27" t="s">
        <v>8</v>
      </c>
      <c r="AX698" s="27" t="s">
        <v>7</v>
      </c>
      <c r="AY698" s="27" t="s">
        <v>8</v>
      </c>
      <c r="EL698" s="27" t="s">
        <v>7</v>
      </c>
      <c r="EM698" s="27" t="s">
        <v>8</v>
      </c>
      <c r="EN698" s="27" t="s">
        <v>7</v>
      </c>
      <c r="EO698" s="27" t="s">
        <v>8</v>
      </c>
      <c r="EZ698" s="27" t="s">
        <v>7</v>
      </c>
      <c r="FB698" s="27" t="s">
        <v>7</v>
      </c>
      <c r="FC698" s="27" t="s">
        <v>8</v>
      </c>
      <c r="FD698" s="27" t="s">
        <v>7</v>
      </c>
      <c r="IP698" s="27" t="s">
        <v>7</v>
      </c>
      <c r="IQ698" s="27" t="s">
        <v>8</v>
      </c>
      <c r="IR698" s="27" t="s">
        <v>7</v>
      </c>
      <c r="IS698" s="27" t="s">
        <v>8</v>
      </c>
      <c r="IT698" s="27" t="s">
        <v>7</v>
      </c>
      <c r="IU698" s="27" t="s">
        <v>8</v>
      </c>
      <c r="IV698" s="27" t="s">
        <v>7</v>
      </c>
    </row>
    <row r="699" spans="1:256" x14ac:dyDescent="0.25">
      <c r="A699" s="7">
        <v>0.10883805264070913</v>
      </c>
      <c r="B699"/>
      <c r="C699"/>
      <c r="D699"/>
      <c r="E699"/>
      <c r="F699" s="27" t="s">
        <v>7</v>
      </c>
      <c r="AM699" s="27" t="s">
        <v>8</v>
      </c>
      <c r="AN699" s="27" t="s">
        <v>7</v>
      </c>
      <c r="AO699" s="27" t="s">
        <v>8</v>
      </c>
      <c r="AR699" s="27" t="s">
        <v>7</v>
      </c>
      <c r="AS699" s="27" t="s">
        <v>8</v>
      </c>
      <c r="AV699" s="27" t="s">
        <v>7</v>
      </c>
      <c r="AW699" s="27" t="s">
        <v>8</v>
      </c>
      <c r="AX699" s="27" t="s">
        <v>7</v>
      </c>
      <c r="AY699" s="27" t="s">
        <v>8</v>
      </c>
      <c r="EL699" s="27" t="s">
        <v>7</v>
      </c>
      <c r="EN699" s="27" t="s">
        <v>7</v>
      </c>
      <c r="FB699" s="27" t="s">
        <v>7</v>
      </c>
      <c r="FC699" s="27" t="s">
        <v>8</v>
      </c>
      <c r="IP699" s="27" t="s">
        <v>7</v>
      </c>
      <c r="IR699" s="27" t="s">
        <v>7</v>
      </c>
      <c r="IS699" s="27" t="s">
        <v>8</v>
      </c>
      <c r="IT699" s="27" t="s">
        <v>7</v>
      </c>
      <c r="IV699" s="27" t="s">
        <v>7</v>
      </c>
    </row>
    <row r="700" spans="1:256" x14ac:dyDescent="0.25">
      <c r="A700" s="7">
        <v>0.10670397317716582</v>
      </c>
      <c r="B700"/>
      <c r="C700"/>
      <c r="D700"/>
      <c r="E700"/>
      <c r="F700" s="27" t="s">
        <v>7</v>
      </c>
      <c r="AM700" s="27" t="s">
        <v>8</v>
      </c>
      <c r="AN700" s="27" t="s">
        <v>7</v>
      </c>
      <c r="AO700" s="27" t="s">
        <v>8</v>
      </c>
      <c r="AR700" s="27" t="s">
        <v>7</v>
      </c>
      <c r="AV700" s="27" t="s">
        <v>7</v>
      </c>
      <c r="AW700" s="27" t="s">
        <v>8</v>
      </c>
      <c r="AX700" s="27" t="s">
        <v>7</v>
      </c>
      <c r="AY700" s="27" t="s">
        <v>8</v>
      </c>
      <c r="FB700" s="18" t="s">
        <v>7</v>
      </c>
      <c r="FC700" s="27" t="s">
        <v>8</v>
      </c>
      <c r="IR700" s="27" t="s">
        <v>7</v>
      </c>
      <c r="IS700" s="27" t="s">
        <v>8</v>
      </c>
      <c r="IV700" s="27" t="s">
        <v>7</v>
      </c>
    </row>
    <row r="701" spans="1:256" x14ac:dyDescent="0.25">
      <c r="A701" s="7">
        <v>0.1046117384089861</v>
      </c>
      <c r="B701"/>
      <c r="C701"/>
      <c r="D701"/>
      <c r="E701"/>
      <c r="F701" s="27" t="s">
        <v>7</v>
      </c>
      <c r="AM701" s="27" t="s">
        <v>8</v>
      </c>
      <c r="AN701" s="27" t="s">
        <v>7</v>
      </c>
      <c r="AO701" s="27" t="s">
        <v>8</v>
      </c>
      <c r="AV701" s="27" t="s">
        <v>7</v>
      </c>
      <c r="AW701" s="27" t="s">
        <v>8</v>
      </c>
      <c r="AX701" s="27" t="s">
        <v>7</v>
      </c>
      <c r="AY701" s="27" t="s">
        <v>8</v>
      </c>
      <c r="FB701" s="27" t="s">
        <v>7</v>
      </c>
      <c r="FC701" s="27" t="s">
        <v>8</v>
      </c>
      <c r="IR701" s="27" t="s">
        <v>7</v>
      </c>
      <c r="IS701" s="27" t="s">
        <v>8</v>
      </c>
      <c r="IV701" s="27" t="s">
        <v>7</v>
      </c>
    </row>
    <row r="702" spans="1:256" x14ac:dyDescent="0.25">
      <c r="A702" s="7">
        <v>0.10256052785194716</v>
      </c>
      <c r="B702"/>
      <c r="C702"/>
      <c r="D702"/>
      <c r="E702"/>
      <c r="F702" s="27" t="s">
        <v>7</v>
      </c>
      <c r="AM702" s="27" t="s">
        <v>8</v>
      </c>
      <c r="AN702" s="27" t="s">
        <v>7</v>
      </c>
      <c r="AO702" s="27" t="s">
        <v>8</v>
      </c>
      <c r="AV702" s="27" t="s">
        <v>7</v>
      </c>
      <c r="AW702" s="27" t="s">
        <v>8</v>
      </c>
      <c r="AX702" s="27" t="s">
        <v>7</v>
      </c>
      <c r="AY702" s="27" t="s">
        <v>8</v>
      </c>
      <c r="FB702" s="27" t="s">
        <v>7</v>
      </c>
      <c r="FC702" s="27" t="s">
        <v>8</v>
      </c>
      <c r="IR702" s="27" t="s">
        <v>7</v>
      </c>
      <c r="IV702" s="27" t="s">
        <v>7</v>
      </c>
    </row>
    <row r="703" spans="1:256" x14ac:dyDescent="0.25">
      <c r="A703" s="7">
        <v>0.10054953710975212</v>
      </c>
      <c r="B703"/>
      <c r="C703"/>
      <c r="D703"/>
      <c r="E703"/>
      <c r="F703" s="27" t="s">
        <v>7</v>
      </c>
      <c r="AM703" s="27" t="s">
        <v>8</v>
      </c>
      <c r="AN703" s="27" t="s">
        <v>7</v>
      </c>
      <c r="AO703" s="27" t="s">
        <v>8</v>
      </c>
      <c r="AV703" s="27" t="s">
        <v>7</v>
      </c>
      <c r="AW703" s="27" t="s">
        <v>8</v>
      </c>
      <c r="AX703" s="27" t="s">
        <v>7</v>
      </c>
      <c r="FB703" s="27" t="s">
        <v>7</v>
      </c>
      <c r="FC703" s="27" t="s">
        <v>8</v>
      </c>
      <c r="IV703" s="27" t="s">
        <v>7</v>
      </c>
    </row>
    <row r="704" spans="1:256" x14ac:dyDescent="0.25">
      <c r="A704" s="7">
        <v>9.8577977558580512E-2</v>
      </c>
      <c r="B704"/>
      <c r="C704"/>
      <c r="D704"/>
      <c r="E704"/>
      <c r="F704" s="27" t="s">
        <v>7</v>
      </c>
      <c r="AM704" s="27" t="s">
        <v>8</v>
      </c>
      <c r="AN704" s="27" t="s">
        <v>7</v>
      </c>
      <c r="AO704" s="27" t="s">
        <v>8</v>
      </c>
      <c r="AV704" s="27" t="s">
        <v>7</v>
      </c>
      <c r="AW704" s="27" t="s">
        <v>8</v>
      </c>
      <c r="FB704" s="27" t="s">
        <v>7</v>
      </c>
      <c r="IV704" s="27" t="s">
        <v>7</v>
      </c>
    </row>
    <row r="705" spans="1:260" x14ac:dyDescent="0.25">
      <c r="A705" s="7">
        <v>9.6645076037824032E-2</v>
      </c>
      <c r="B705"/>
      <c r="C705"/>
      <c r="D705"/>
      <c r="E705"/>
      <c r="F705" s="27" t="s">
        <v>7</v>
      </c>
      <c r="AM705" s="27" t="s">
        <v>8</v>
      </c>
      <c r="AN705" s="27" t="s">
        <v>7</v>
      </c>
      <c r="AO705" s="27" t="s">
        <v>8</v>
      </c>
      <c r="AV705" s="27" t="s">
        <v>7</v>
      </c>
      <c r="AW705" s="27" t="s">
        <v>8</v>
      </c>
      <c r="IV705" s="27" t="s">
        <v>7</v>
      </c>
    </row>
    <row r="706" spans="1:260" x14ac:dyDescent="0.25">
      <c r="A706" s="7">
        <v>9.4750074546886304E-2</v>
      </c>
      <c r="B706"/>
      <c r="C706"/>
      <c r="D706"/>
      <c r="E706"/>
      <c r="F706" s="27" t="s">
        <v>7</v>
      </c>
      <c r="AM706" s="27" t="s">
        <v>8</v>
      </c>
      <c r="AN706" s="27" t="s">
        <v>7</v>
      </c>
      <c r="AO706" s="27" t="s">
        <v>8</v>
      </c>
      <c r="AV706" s="27" t="s">
        <v>7</v>
      </c>
      <c r="AW706" s="27" t="s">
        <v>8</v>
      </c>
      <c r="IV706" s="27" t="s">
        <v>7</v>
      </c>
    </row>
    <row r="707" spans="1:260" x14ac:dyDescent="0.25">
      <c r="A707" s="7">
        <v>9.2892229947927743E-2</v>
      </c>
      <c r="B707"/>
      <c r="C707"/>
      <c r="D707"/>
      <c r="E707"/>
      <c r="F707" s="27" t="s">
        <v>7</v>
      </c>
      <c r="AM707" s="27" t="s">
        <v>8</v>
      </c>
      <c r="AN707" s="27" t="s">
        <v>7</v>
      </c>
      <c r="AO707" s="27" t="s">
        <v>8</v>
      </c>
      <c r="AV707" s="27" t="s">
        <v>7</v>
      </c>
      <c r="AW707" s="27" t="s">
        <v>8</v>
      </c>
      <c r="IV707" s="27" t="s">
        <v>7</v>
      </c>
    </row>
    <row r="708" spans="1:260" x14ac:dyDescent="0.25">
      <c r="A708" s="7">
        <v>9.1070813674438963E-2</v>
      </c>
      <c r="B708"/>
      <c r="C708"/>
      <c r="D708"/>
      <c r="E708"/>
      <c r="F708" s="27" t="s">
        <v>7</v>
      </c>
      <c r="AM708" s="27" t="s">
        <v>8</v>
      </c>
      <c r="AN708" s="27" t="s">
        <v>7</v>
      </c>
      <c r="AO708" s="27" t="s">
        <v>8</v>
      </c>
      <c r="AV708" s="27" t="s">
        <v>7</v>
      </c>
      <c r="IV708" s="27" t="s">
        <v>7</v>
      </c>
    </row>
    <row r="709" spans="1:260" x14ac:dyDescent="0.25">
      <c r="A709" s="7">
        <v>8.9285111445528392E-2</v>
      </c>
      <c r="B709"/>
      <c r="C709"/>
      <c r="D709"/>
      <c r="E709"/>
      <c r="F709" s="27" t="s">
        <v>7</v>
      </c>
      <c r="AM709" s="27" t="s">
        <v>8</v>
      </c>
      <c r="AN709" s="27" t="s">
        <v>7</v>
      </c>
      <c r="AO709" s="27" t="s">
        <v>8</v>
      </c>
      <c r="IV709" s="27" t="s">
        <v>7</v>
      </c>
    </row>
    <row r="710" spans="1:260" x14ac:dyDescent="0.25">
      <c r="A710" s="7">
        <v>8.7534422985812155E-2</v>
      </c>
      <c r="B710"/>
      <c r="C710"/>
      <c r="D710"/>
      <c r="E710"/>
      <c r="F710" s="27" t="s">
        <v>7</v>
      </c>
      <c r="AM710" s="27" t="s">
        <v>8</v>
      </c>
      <c r="AN710" s="27" t="s">
        <v>7</v>
      </c>
      <c r="AO710" s="27" t="s">
        <v>8</v>
      </c>
      <c r="IV710" s="27" t="s">
        <v>7</v>
      </c>
    </row>
    <row r="711" spans="1:260" x14ac:dyDescent="0.25">
      <c r="A711" s="7">
        <v>8.5818061750796232E-2</v>
      </c>
      <c r="B711"/>
      <c r="C711"/>
      <c r="D711"/>
      <c r="E711"/>
      <c r="F711" s="27" t="s">
        <v>7</v>
      </c>
      <c r="AM711" s="27" t="s">
        <v>8</v>
      </c>
      <c r="AN711" s="27" t="s">
        <v>7</v>
      </c>
      <c r="AO711" s="27" t="s">
        <v>8</v>
      </c>
      <c r="IV711" s="27" t="s">
        <v>7</v>
      </c>
      <c r="IW711" s="27" t="s">
        <v>8</v>
      </c>
      <c r="IY711" s="27" t="s">
        <v>8</v>
      </c>
    </row>
    <row r="712" spans="1:260" x14ac:dyDescent="0.25">
      <c r="A712" s="7">
        <v>8.4135354657643366E-2</v>
      </c>
      <c r="B712"/>
      <c r="C712"/>
      <c r="D712"/>
      <c r="E712"/>
      <c r="F712" s="27" t="s">
        <v>7</v>
      </c>
      <c r="AM712" s="27" t="s">
        <v>8</v>
      </c>
      <c r="AN712" s="27" t="s">
        <v>7</v>
      </c>
      <c r="AO712" s="27" t="s">
        <v>8</v>
      </c>
      <c r="IV712" s="27" t="s">
        <v>7</v>
      </c>
      <c r="IW712" s="27" t="s">
        <v>8</v>
      </c>
      <c r="IX712" s="27" t="s">
        <v>7</v>
      </c>
      <c r="IY712" s="27" t="s">
        <v>8</v>
      </c>
      <c r="IZ712" s="27" t="s">
        <v>7</v>
      </c>
    </row>
    <row r="713" spans="1:260" x14ac:dyDescent="0.25">
      <c r="A713" s="7">
        <v>8.248564182121898E-2</v>
      </c>
      <c r="B713"/>
      <c r="C713"/>
      <c r="D713"/>
      <c r="E713"/>
      <c r="F713" s="27" t="s">
        <v>7</v>
      </c>
      <c r="AM713" s="27" t="s">
        <v>8</v>
      </c>
      <c r="AN713" s="27" t="s">
        <v>7</v>
      </c>
      <c r="AO713" s="27" t="s">
        <v>8</v>
      </c>
      <c r="IV713" s="27" t="s">
        <v>7</v>
      </c>
      <c r="IW713" s="27" t="s">
        <v>8</v>
      </c>
      <c r="IX713" s="27" t="s">
        <v>7</v>
      </c>
      <c r="IY713" s="27" t="s">
        <v>8</v>
      </c>
      <c r="IZ713" s="27" t="s">
        <v>7</v>
      </c>
    </row>
    <row r="714" spans="1:260" x14ac:dyDescent="0.25">
      <c r="A714" s="7">
        <v>8.0868276295312735E-2</v>
      </c>
      <c r="B714"/>
      <c r="C714"/>
      <c r="D714"/>
      <c r="E714"/>
      <c r="F714" s="27" t="s">
        <v>7</v>
      </c>
      <c r="AM714" s="27" t="s">
        <v>8</v>
      </c>
      <c r="AN714" s="27" t="s">
        <v>7</v>
      </c>
      <c r="AO714" s="27" t="s">
        <v>8</v>
      </c>
      <c r="IV714" s="27" t="s">
        <v>7</v>
      </c>
      <c r="IW714" s="27" t="s">
        <v>8</v>
      </c>
      <c r="IX714" s="27" t="s">
        <v>7</v>
      </c>
      <c r="IY714" s="27" t="s">
        <v>8</v>
      </c>
      <c r="IZ714" s="27" t="s">
        <v>7</v>
      </c>
    </row>
    <row r="715" spans="1:260" x14ac:dyDescent="0.25">
      <c r="A715" s="7">
        <v>7.9282623818934056E-2</v>
      </c>
      <c r="B715"/>
      <c r="C715"/>
      <c r="D715"/>
      <c r="E715"/>
      <c r="F715" s="27" t="s">
        <v>7</v>
      </c>
      <c r="AM715" s="27" t="s">
        <v>8</v>
      </c>
      <c r="AN715" s="27" t="s">
        <v>7</v>
      </c>
      <c r="AO715" s="27" t="s">
        <v>8</v>
      </c>
      <c r="IV715" s="27" t="s">
        <v>7</v>
      </c>
      <c r="IW715" s="27" t="s">
        <v>8</v>
      </c>
      <c r="IX715" s="27" t="s">
        <v>7</v>
      </c>
      <c r="IY715" s="27" t="s">
        <v>8</v>
      </c>
      <c r="IZ715" s="27" t="s">
        <v>7</v>
      </c>
    </row>
    <row r="716" spans="1:260" x14ac:dyDescent="0.25">
      <c r="A716" s="7">
        <v>7.7728062567582412E-2</v>
      </c>
      <c r="B716"/>
      <c r="C716"/>
      <c r="D716"/>
      <c r="E716"/>
      <c r="F716" s="27" t="s">
        <v>7</v>
      </c>
      <c r="AM716" s="27" t="s">
        <v>8</v>
      </c>
      <c r="AN716" s="27" t="s">
        <v>7</v>
      </c>
      <c r="AO716" s="27" t="s">
        <v>8</v>
      </c>
      <c r="IV716" s="27" t="s">
        <v>7</v>
      </c>
      <c r="IW716" s="27" t="s">
        <v>8</v>
      </c>
      <c r="IX716" s="27" t="s">
        <v>7</v>
      </c>
      <c r="IY716" s="27" t="s">
        <v>8</v>
      </c>
      <c r="IZ716" s="27" t="s">
        <v>7</v>
      </c>
    </row>
    <row r="717" spans="1:260" x14ac:dyDescent="0.25">
      <c r="A717" s="7">
        <v>7.6203982909394521E-2</v>
      </c>
      <c r="B717"/>
      <c r="C717"/>
      <c r="D717"/>
      <c r="E717"/>
      <c r="F717" s="27" t="s">
        <v>7</v>
      </c>
      <c r="AM717" s="27" t="s">
        <v>8</v>
      </c>
      <c r="AN717" s="27" t="s">
        <v>7</v>
      </c>
      <c r="IV717" s="27" t="s">
        <v>7</v>
      </c>
      <c r="IW717" s="27" t="s">
        <v>8</v>
      </c>
      <c r="IX717" s="27" t="s">
        <v>7</v>
      </c>
      <c r="IY717" s="27" t="s">
        <v>8</v>
      </c>
    </row>
    <row r="718" spans="1:260" x14ac:dyDescent="0.25">
      <c r="A718" s="7">
        <v>7.4709787166073058E-2</v>
      </c>
      <c r="B718"/>
      <c r="C718"/>
      <c r="D718"/>
      <c r="E718"/>
      <c r="F718" s="27" t="s">
        <v>7</v>
      </c>
      <c r="G718" s="27" t="s">
        <v>8</v>
      </c>
      <c r="AM718" s="27" t="s">
        <v>8</v>
      </c>
      <c r="IV718" s="27" t="s">
        <v>7</v>
      </c>
      <c r="IW718" s="27" t="s">
        <v>8</v>
      </c>
      <c r="IX718" s="27" t="s">
        <v>7</v>
      </c>
      <c r="IY718" s="27" t="s">
        <v>8</v>
      </c>
    </row>
    <row r="719" spans="1:260" x14ac:dyDescent="0.25">
      <c r="A719" s="7">
        <v>7.3244889378503E-2</v>
      </c>
      <c r="B719"/>
      <c r="C719"/>
      <c r="D719"/>
      <c r="E719"/>
      <c r="F719" s="27" t="s">
        <v>7</v>
      </c>
      <c r="G719" s="27" t="s">
        <v>8</v>
      </c>
      <c r="H719" s="27" t="s">
        <v>7</v>
      </c>
      <c r="AM719" s="27" t="s">
        <v>8</v>
      </c>
      <c r="IV719" s="27" t="s">
        <v>7</v>
      </c>
      <c r="IW719" s="27" t="s">
        <v>8</v>
      </c>
      <c r="IX719" s="27" t="s">
        <v>7</v>
      </c>
      <c r="IY719" s="27" t="s">
        <v>8</v>
      </c>
    </row>
    <row r="720" spans="1:260" x14ac:dyDescent="0.25">
      <c r="A720" s="7">
        <v>7.1808715076963722E-2</v>
      </c>
      <c r="B720"/>
      <c r="C720"/>
      <c r="D720"/>
      <c r="E720"/>
      <c r="F720" s="27" t="s">
        <v>7</v>
      </c>
      <c r="G720" s="27" t="s">
        <v>8</v>
      </c>
      <c r="H720" s="27" t="s">
        <v>7</v>
      </c>
      <c r="AM720" s="27" t="s">
        <v>8</v>
      </c>
      <c r="IV720" s="27" t="s">
        <v>7</v>
      </c>
      <c r="IW720" s="27" t="s">
        <v>8</v>
      </c>
      <c r="IX720" s="27" t="s">
        <v>7</v>
      </c>
      <c r="IY720" s="27" t="s">
        <v>8</v>
      </c>
    </row>
    <row r="721" spans="1:259" x14ac:dyDescent="0.25">
      <c r="A721" s="7">
        <v>7.0400701055846782E-2</v>
      </c>
      <c r="B721"/>
      <c r="C721"/>
      <c r="D721"/>
      <c r="E721"/>
      <c r="F721" s="27" t="s">
        <v>7</v>
      </c>
      <c r="G721" s="27" t="s">
        <v>8</v>
      </c>
      <c r="H721" s="27" t="s">
        <v>7</v>
      </c>
      <c r="AM721" s="27" t="s">
        <v>8</v>
      </c>
      <c r="IV721" s="27" t="s">
        <v>7</v>
      </c>
      <c r="IW721" s="27" t="s">
        <v>8</v>
      </c>
      <c r="IX721" s="27" t="s">
        <v>7</v>
      </c>
      <c r="IY721" s="27" t="s">
        <v>8</v>
      </c>
    </row>
    <row r="722" spans="1:259" x14ac:dyDescent="0.25">
      <c r="A722" s="7">
        <v>6.9020295152790956E-2</v>
      </c>
      <c r="B722"/>
      <c r="C722"/>
      <c r="D722"/>
      <c r="E722"/>
      <c r="F722" s="27" t="s">
        <v>7</v>
      </c>
      <c r="G722" s="27" t="s">
        <v>8</v>
      </c>
      <c r="H722" s="27" t="s">
        <v>7</v>
      </c>
      <c r="M722" s="27" t="s">
        <v>8</v>
      </c>
      <c r="AM722" s="27" t="s">
        <v>8</v>
      </c>
      <c r="IV722" s="27" t="s">
        <v>7</v>
      </c>
      <c r="IW722" s="27" t="s">
        <v>8</v>
      </c>
      <c r="IX722" s="27" t="s">
        <v>7</v>
      </c>
      <c r="IY722" s="27" t="s">
        <v>8</v>
      </c>
    </row>
    <row r="723" spans="1:259" x14ac:dyDescent="0.25">
      <c r="A723" s="7">
        <v>6.7666956032147993E-2</v>
      </c>
      <c r="B723"/>
      <c r="C723"/>
      <c r="D723"/>
      <c r="E723"/>
      <c r="F723" s="27" t="s">
        <v>7</v>
      </c>
      <c r="G723" s="27" t="s">
        <v>8</v>
      </c>
      <c r="H723" s="27" t="s">
        <v>7</v>
      </c>
      <c r="M723" s="27" t="s">
        <v>8</v>
      </c>
      <c r="N723" s="27" t="s">
        <v>7</v>
      </c>
      <c r="AM723" s="27" t="s">
        <v>8</v>
      </c>
      <c r="IV723" s="27" t="s">
        <v>7</v>
      </c>
      <c r="IX723" s="27" t="s">
        <v>7</v>
      </c>
      <c r="IY723" s="27" t="s">
        <v>8</v>
      </c>
    </row>
    <row r="724" spans="1:259" x14ac:dyDescent="0.25">
      <c r="A724" s="7">
        <v>6.6340152972694105E-2</v>
      </c>
      <c r="B724"/>
      <c r="C724"/>
      <c r="D724"/>
      <c r="E724"/>
      <c r="F724" s="27" t="s">
        <v>7</v>
      </c>
      <c r="G724" s="27" t="s">
        <v>8</v>
      </c>
      <c r="H724" s="27" t="s">
        <v>7</v>
      </c>
      <c r="M724" s="27" t="s">
        <v>8</v>
      </c>
      <c r="N724" s="27" t="s">
        <v>7</v>
      </c>
      <c r="AC724" s="27" t="s">
        <v>8</v>
      </c>
      <c r="AM724" s="27" t="s">
        <v>8</v>
      </c>
      <c r="IX724" s="27" t="s">
        <v>7</v>
      </c>
    </row>
    <row r="725" spans="1:259" x14ac:dyDescent="0.25">
      <c r="A725" s="7">
        <v>6.5039365659504023E-2</v>
      </c>
      <c r="B725"/>
      <c r="C725"/>
      <c r="D725"/>
      <c r="E725"/>
      <c r="F725" s="27" t="s">
        <v>7</v>
      </c>
      <c r="G725" s="27" t="s">
        <v>8</v>
      </c>
      <c r="H725" s="27" t="s">
        <v>7</v>
      </c>
      <c r="M725" s="27" t="s">
        <v>8</v>
      </c>
      <c r="N725" s="27" t="s">
        <v>7</v>
      </c>
      <c r="AC725" s="27" t="s">
        <v>8</v>
      </c>
      <c r="AD725" s="27" t="s">
        <v>7</v>
      </c>
      <c r="AM725" s="27" t="s">
        <v>8</v>
      </c>
    </row>
    <row r="726" spans="1:259" x14ac:dyDescent="0.25">
      <c r="A726" s="7">
        <v>6.3764083979905906E-2</v>
      </c>
      <c r="B726"/>
      <c r="C726"/>
      <c r="D726"/>
      <c r="E726"/>
      <c r="F726" s="27" t="s">
        <v>7</v>
      </c>
      <c r="G726" s="27" t="s">
        <v>8</v>
      </c>
      <c r="H726" s="27" t="s">
        <v>7</v>
      </c>
      <c r="M726" s="27" t="s">
        <v>8</v>
      </c>
      <c r="N726" s="27" t="s">
        <v>7</v>
      </c>
      <c r="Q726" s="27" t="s">
        <v>8</v>
      </c>
      <c r="S726" s="27" t="s">
        <v>8</v>
      </c>
      <c r="AC726" s="27" t="s">
        <v>8</v>
      </c>
      <c r="AD726" s="27" t="s">
        <v>7</v>
      </c>
      <c r="AM726" s="27" t="s">
        <v>8</v>
      </c>
    </row>
    <row r="727" spans="1:259" x14ac:dyDescent="0.25">
      <c r="A727" s="7">
        <v>6.251380782343717E-2</v>
      </c>
      <c r="B727"/>
      <c r="C727"/>
      <c r="D727"/>
      <c r="E727"/>
      <c r="F727" s="27" t="s">
        <v>7</v>
      </c>
      <c r="G727" s="27" t="s">
        <v>8</v>
      </c>
      <c r="H727" s="27" t="s">
        <v>7</v>
      </c>
      <c r="M727" s="27" t="s">
        <v>8</v>
      </c>
      <c r="N727" s="27" t="s">
        <v>7</v>
      </c>
      <c r="Q727" s="27" t="s">
        <v>8</v>
      </c>
      <c r="R727" s="27" t="s">
        <v>7</v>
      </c>
      <c r="S727" s="27" t="s">
        <v>8</v>
      </c>
      <c r="T727" s="27" t="s">
        <v>7</v>
      </c>
      <c r="AC727" s="27" t="s">
        <v>8</v>
      </c>
      <c r="AD727" s="27" t="s">
        <v>7</v>
      </c>
      <c r="AM727" s="27" t="s">
        <v>8</v>
      </c>
    </row>
    <row r="728" spans="1:259" x14ac:dyDescent="0.25">
      <c r="A728" s="7">
        <v>6.1288046885722716E-2</v>
      </c>
      <c r="B728"/>
      <c r="C728"/>
      <c r="D728"/>
      <c r="E728"/>
      <c r="F728" s="27" t="s">
        <v>7</v>
      </c>
      <c r="G728" s="27" t="s">
        <v>8</v>
      </c>
      <c r="H728" s="27" t="s">
        <v>7</v>
      </c>
      <c r="M728" s="27" t="s">
        <v>8</v>
      </c>
      <c r="N728" s="27" t="s">
        <v>7</v>
      </c>
      <c r="Q728" s="27" t="s">
        <v>8</v>
      </c>
      <c r="R728" s="27" t="s">
        <v>7</v>
      </c>
      <c r="S728" s="27" t="s">
        <v>8</v>
      </c>
      <c r="T728" s="27" t="s">
        <v>7</v>
      </c>
      <c r="AC728" s="27" t="s">
        <v>8</v>
      </c>
      <c r="AD728" s="27" t="s">
        <v>7</v>
      </c>
      <c r="AM728" s="27" t="s">
        <v>8</v>
      </c>
    </row>
    <row r="729" spans="1:259" x14ac:dyDescent="0.25">
      <c r="A729" s="7">
        <v>6.0086320476198739E-2</v>
      </c>
      <c r="B729"/>
      <c r="C729"/>
      <c r="D729"/>
      <c r="E729"/>
      <c r="F729" s="27" t="s">
        <v>7</v>
      </c>
      <c r="G729" s="27" t="s">
        <v>8</v>
      </c>
      <c r="H729" s="27" t="s">
        <v>7</v>
      </c>
      <c r="M729" s="27" t="s">
        <v>8</v>
      </c>
      <c r="N729" s="27" t="s">
        <v>7</v>
      </c>
      <c r="Q729" s="27" t="s">
        <v>8</v>
      </c>
      <c r="R729" s="27" t="s">
        <v>7</v>
      </c>
      <c r="S729" s="27" t="s">
        <v>8</v>
      </c>
      <c r="T729" s="27" t="s">
        <v>7</v>
      </c>
      <c r="AC729" s="27" t="s">
        <v>8</v>
      </c>
      <c r="AD729" s="27" t="s">
        <v>7</v>
      </c>
      <c r="AM729" s="27" t="s">
        <v>8</v>
      </c>
    </row>
    <row r="730" spans="1:259" x14ac:dyDescent="0.25">
      <c r="A730" s="7">
        <v>5.8908157329606609E-2</v>
      </c>
      <c r="B730"/>
      <c r="C730"/>
      <c r="D730"/>
      <c r="E730"/>
      <c r="F730" s="27" t="s">
        <v>7</v>
      </c>
      <c r="G730" s="27" t="s">
        <v>8</v>
      </c>
      <c r="H730" s="27" t="s">
        <v>7</v>
      </c>
      <c r="M730" s="27" t="s">
        <v>8</v>
      </c>
      <c r="N730" s="27" t="s">
        <v>7</v>
      </c>
      <c r="Q730" s="27" t="s">
        <v>8</v>
      </c>
      <c r="R730" s="27" t="s">
        <v>7</v>
      </c>
      <c r="S730" s="27" t="s">
        <v>8</v>
      </c>
      <c r="T730" s="27" t="s">
        <v>7</v>
      </c>
      <c r="AC730" s="27" t="s">
        <v>8</v>
      </c>
      <c r="AD730" s="27" t="s">
        <v>7</v>
      </c>
      <c r="AM730" s="27" t="s">
        <v>8</v>
      </c>
    </row>
    <row r="731" spans="1:259" x14ac:dyDescent="0.25">
      <c r="A731" s="7">
        <v>5.7753095421182947E-2</v>
      </c>
      <c r="B731"/>
      <c r="C731"/>
      <c r="D731"/>
      <c r="E731"/>
      <c r="F731" s="27" t="s">
        <v>7</v>
      </c>
      <c r="G731" s="27" t="s">
        <v>8</v>
      </c>
      <c r="H731" s="27" t="s">
        <v>7</v>
      </c>
      <c r="M731" s="27" t="s">
        <v>8</v>
      </c>
      <c r="N731" s="27" t="s">
        <v>7</v>
      </c>
      <c r="Q731" s="27" t="s">
        <v>8</v>
      </c>
      <c r="R731" s="27" t="s">
        <v>7</v>
      </c>
      <c r="S731" s="27" t="s">
        <v>8</v>
      </c>
      <c r="T731" s="27" t="s">
        <v>7</v>
      </c>
      <c r="AC731" s="27" t="s">
        <v>8</v>
      </c>
      <c r="AD731" s="27" t="s">
        <v>7</v>
      </c>
      <c r="AM731" s="27" t="s">
        <v>8</v>
      </c>
    </row>
    <row r="732" spans="1:259" x14ac:dyDescent="0.25">
      <c r="A732" s="7">
        <v>5.6620681785473484E-2</v>
      </c>
      <c r="B732"/>
      <c r="C732"/>
      <c r="D732"/>
      <c r="E732"/>
      <c r="F732" s="27" t="s">
        <v>7</v>
      </c>
      <c r="G732" s="27" t="s">
        <v>8</v>
      </c>
      <c r="H732" s="27" t="s">
        <v>7</v>
      </c>
      <c r="M732" s="27" t="s">
        <v>8</v>
      </c>
      <c r="N732" s="27" t="s">
        <v>7</v>
      </c>
      <c r="Q732" s="27" t="s">
        <v>8</v>
      </c>
      <c r="R732" s="27" t="s">
        <v>7</v>
      </c>
      <c r="S732" s="27" t="s">
        <v>8</v>
      </c>
      <c r="T732" s="27" t="s">
        <v>7</v>
      </c>
      <c r="AC732" s="27" t="s">
        <v>8</v>
      </c>
      <c r="AD732" s="27" t="s">
        <v>7</v>
      </c>
      <c r="AM732" s="27" t="s">
        <v>8</v>
      </c>
    </row>
    <row r="733" spans="1:259" x14ac:dyDescent="0.25">
      <c r="A733" s="7">
        <v>5.5510472338699497E-2</v>
      </c>
      <c r="B733"/>
      <c r="C733"/>
      <c r="D733"/>
      <c r="E733"/>
      <c r="F733" s="27" t="s">
        <v>7</v>
      </c>
      <c r="G733" s="27" t="s">
        <v>8</v>
      </c>
      <c r="H733" s="27" t="s">
        <v>7</v>
      </c>
      <c r="I733" s="27" t="s">
        <v>8</v>
      </c>
      <c r="M733" s="27" t="s">
        <v>8</v>
      </c>
      <c r="N733" s="27" t="s">
        <v>7</v>
      </c>
      <c r="Q733" s="27" t="s">
        <v>8</v>
      </c>
      <c r="R733" s="27" t="s">
        <v>7</v>
      </c>
      <c r="S733" s="27" t="s">
        <v>8</v>
      </c>
      <c r="T733" s="27" t="s">
        <v>7</v>
      </c>
      <c r="AC733" s="27" t="s">
        <v>8</v>
      </c>
      <c r="AD733" s="27" t="s">
        <v>7</v>
      </c>
      <c r="AM733" s="27" t="s">
        <v>8</v>
      </c>
    </row>
    <row r="734" spans="1:259" x14ac:dyDescent="0.25">
      <c r="A734" s="7">
        <v>5.4422031704607354E-2</v>
      </c>
      <c r="B734"/>
      <c r="C734"/>
      <c r="D734"/>
      <c r="E734"/>
      <c r="F734" s="27" t="s">
        <v>7</v>
      </c>
      <c r="G734" s="27" t="s">
        <v>8</v>
      </c>
      <c r="H734" s="27" t="s">
        <v>7</v>
      </c>
      <c r="I734" s="27" t="s">
        <v>8</v>
      </c>
      <c r="J734" s="27" t="s">
        <v>7</v>
      </c>
      <c r="M734" s="27" t="s">
        <v>8</v>
      </c>
      <c r="N734" s="27" t="s">
        <v>7</v>
      </c>
      <c r="Q734" s="27" t="s">
        <v>8</v>
      </c>
      <c r="R734" s="27" t="s">
        <v>7</v>
      </c>
      <c r="S734" s="27" t="s">
        <v>8</v>
      </c>
      <c r="T734" s="27" t="s">
        <v>7</v>
      </c>
      <c r="AC734" s="27" t="s">
        <v>8</v>
      </c>
      <c r="AD734" s="27" t="s">
        <v>7</v>
      </c>
      <c r="AE734" s="27" t="s">
        <v>8</v>
      </c>
      <c r="AM734" s="27" t="s">
        <v>8</v>
      </c>
    </row>
    <row r="735" spans="1:259" x14ac:dyDescent="0.25">
      <c r="A735" s="7">
        <v>5.3354933043732705E-2</v>
      </c>
      <c r="B735"/>
      <c r="C735"/>
      <c r="D735"/>
      <c r="E735"/>
      <c r="F735" s="27" t="s">
        <v>7</v>
      </c>
      <c r="G735" s="27" t="s">
        <v>8</v>
      </c>
      <c r="H735" s="27" t="s">
        <v>7</v>
      </c>
      <c r="I735" s="27" t="s">
        <v>8</v>
      </c>
      <c r="J735" s="27" t="s">
        <v>7</v>
      </c>
      <c r="M735" s="27" t="s">
        <v>8</v>
      </c>
      <c r="N735" s="27" t="s">
        <v>7</v>
      </c>
      <c r="O735" s="27" t="s">
        <v>8</v>
      </c>
      <c r="Q735" s="27" t="s">
        <v>8</v>
      </c>
      <c r="R735" s="27" t="s">
        <v>7</v>
      </c>
      <c r="S735" s="27" t="s">
        <v>8</v>
      </c>
      <c r="T735" s="27" t="s">
        <v>7</v>
      </c>
      <c r="W735" s="27" t="s">
        <v>8</v>
      </c>
      <c r="AC735" s="27" t="s">
        <v>8</v>
      </c>
      <c r="AD735" s="27" t="s">
        <v>7</v>
      </c>
      <c r="AE735" s="27" t="s">
        <v>8</v>
      </c>
      <c r="AF735" s="27" t="s">
        <v>7</v>
      </c>
      <c r="AM735" s="27" t="s">
        <v>8</v>
      </c>
    </row>
    <row r="736" spans="1:259" x14ac:dyDescent="0.25">
      <c r="A736" s="7">
        <v>5.2308757886012455E-2</v>
      </c>
      <c r="B736"/>
      <c r="C736"/>
      <c r="D736"/>
      <c r="E736"/>
      <c r="F736" s="27" t="s">
        <v>7</v>
      </c>
      <c r="G736" s="27" t="s">
        <v>8</v>
      </c>
      <c r="H736" s="27" t="s">
        <v>7</v>
      </c>
      <c r="I736" s="27" t="s">
        <v>8</v>
      </c>
      <c r="J736" s="27" t="s">
        <v>7</v>
      </c>
      <c r="M736" s="27" t="s">
        <v>8</v>
      </c>
      <c r="N736" s="27" t="s">
        <v>7</v>
      </c>
      <c r="O736" s="27" t="s">
        <v>8</v>
      </c>
      <c r="P736" s="27" t="s">
        <v>7</v>
      </c>
      <c r="Q736" s="27" t="s">
        <v>8</v>
      </c>
      <c r="R736" s="27" t="s">
        <v>7</v>
      </c>
      <c r="S736" s="27" t="s">
        <v>8</v>
      </c>
      <c r="T736" s="27" t="s">
        <v>7</v>
      </c>
      <c r="U736" s="27" t="s">
        <v>8</v>
      </c>
      <c r="W736" s="27" t="s">
        <v>8</v>
      </c>
      <c r="X736" s="27" t="s">
        <v>7</v>
      </c>
      <c r="AA736" s="27" t="s">
        <v>8</v>
      </c>
      <c r="AC736" s="27" t="s">
        <v>8</v>
      </c>
      <c r="AD736" s="27" t="s">
        <v>7</v>
      </c>
      <c r="AE736" s="27" t="s">
        <v>8</v>
      </c>
      <c r="AF736" s="27" t="s">
        <v>7</v>
      </c>
      <c r="AI736" s="27" t="s">
        <v>8</v>
      </c>
      <c r="AM736" s="27" t="s">
        <v>8</v>
      </c>
    </row>
    <row r="737" spans="1:39" x14ac:dyDescent="0.25">
      <c r="A737" s="7">
        <v>5.1283095966678877E-2</v>
      </c>
      <c r="B737"/>
      <c r="C737"/>
      <c r="D737"/>
      <c r="E737"/>
      <c r="F737" s="27" t="s">
        <v>7</v>
      </c>
      <c r="G737" s="27" t="s">
        <v>8</v>
      </c>
      <c r="H737" s="27" t="s">
        <v>7</v>
      </c>
      <c r="I737" s="27" t="s">
        <v>8</v>
      </c>
      <c r="J737" s="27" t="s">
        <v>7</v>
      </c>
      <c r="K737" s="27" t="s">
        <v>8</v>
      </c>
      <c r="M737" s="27" t="s">
        <v>8</v>
      </c>
      <c r="N737" s="27" t="s">
        <v>7</v>
      </c>
      <c r="O737" s="27" t="s">
        <v>8</v>
      </c>
      <c r="P737" s="27" t="s">
        <v>7</v>
      </c>
      <c r="Q737" s="27" t="s">
        <v>8</v>
      </c>
      <c r="R737" s="27" t="s">
        <v>7</v>
      </c>
      <c r="S737" s="27" t="s">
        <v>8</v>
      </c>
      <c r="T737" s="27" t="s">
        <v>7</v>
      </c>
      <c r="U737" s="27" t="s">
        <v>8</v>
      </c>
      <c r="V737" s="27" t="s">
        <v>7</v>
      </c>
      <c r="W737" s="27" t="s">
        <v>8</v>
      </c>
      <c r="X737" s="27" t="s">
        <v>7</v>
      </c>
      <c r="Y737" s="27" t="s">
        <v>8</v>
      </c>
      <c r="AA737" s="27" t="s">
        <v>8</v>
      </c>
      <c r="AB737" s="27" t="s">
        <v>7</v>
      </c>
      <c r="AC737" s="27" t="s">
        <v>8</v>
      </c>
      <c r="AD737" s="27" t="s">
        <v>7</v>
      </c>
      <c r="AE737" s="27" t="s">
        <v>8</v>
      </c>
      <c r="AF737" s="27" t="s">
        <v>7</v>
      </c>
      <c r="AI737" s="27" t="s">
        <v>8</v>
      </c>
      <c r="AJ737" s="27" t="s">
        <v>7</v>
      </c>
      <c r="AM737" s="27" t="s">
        <v>8</v>
      </c>
    </row>
    <row r="738" spans="1:39" x14ac:dyDescent="0.25">
      <c r="A738" s="7">
        <v>5.0277545065371444E-2</v>
      </c>
      <c r="B738"/>
      <c r="C738"/>
      <c r="D738"/>
      <c r="E738"/>
      <c r="F738" s="27" t="s">
        <v>7</v>
      </c>
      <c r="G738" s="27" t="s">
        <v>8</v>
      </c>
      <c r="H738" s="27" t="s">
        <v>7</v>
      </c>
      <c r="I738" s="27" t="s">
        <v>8</v>
      </c>
      <c r="J738" s="27" t="s">
        <v>7</v>
      </c>
      <c r="K738" s="27" t="s">
        <v>8</v>
      </c>
      <c r="L738" s="27" t="s">
        <v>7</v>
      </c>
      <c r="M738" s="27" t="s">
        <v>8</v>
      </c>
      <c r="N738" s="27" t="s">
        <v>7</v>
      </c>
      <c r="O738" s="27" t="s">
        <v>8</v>
      </c>
      <c r="P738" s="27" t="s">
        <v>7</v>
      </c>
      <c r="Q738" s="27" t="s">
        <v>8</v>
      </c>
      <c r="R738" s="27" t="s">
        <v>7</v>
      </c>
      <c r="S738" s="27" t="s">
        <v>8</v>
      </c>
      <c r="T738" s="27" t="s">
        <v>7</v>
      </c>
      <c r="U738" s="27" t="s">
        <v>8</v>
      </c>
      <c r="V738" s="27" t="s">
        <v>7</v>
      </c>
      <c r="W738" s="27" t="s">
        <v>8</v>
      </c>
      <c r="X738" s="27" t="s">
        <v>7</v>
      </c>
      <c r="Y738" s="27" t="s">
        <v>8</v>
      </c>
      <c r="Z738" s="27" t="s">
        <v>7</v>
      </c>
      <c r="AA738" s="27" t="s">
        <v>8</v>
      </c>
      <c r="AB738" s="27" t="s">
        <v>7</v>
      </c>
      <c r="AC738" s="27" t="s">
        <v>8</v>
      </c>
      <c r="AD738" s="27" t="s">
        <v>7</v>
      </c>
      <c r="AE738" s="27" t="s">
        <v>8</v>
      </c>
      <c r="AF738" s="27" t="s">
        <v>7</v>
      </c>
      <c r="AG738" s="27" t="s">
        <v>8</v>
      </c>
      <c r="AI738" s="27" t="s">
        <v>8</v>
      </c>
      <c r="AJ738" s="27" t="s">
        <v>7</v>
      </c>
      <c r="AM738" s="27" t="s">
        <v>8</v>
      </c>
    </row>
    <row r="739" spans="1:39" x14ac:dyDescent="0.25">
      <c r="A739" s="7">
        <v>4.9291710848403378E-2</v>
      </c>
      <c r="B739"/>
      <c r="C739"/>
      <c r="D739"/>
      <c r="E739"/>
      <c r="F739" s="27" t="s">
        <v>7</v>
      </c>
      <c r="G739" s="27" t="s">
        <v>8</v>
      </c>
      <c r="H739" s="27" t="s">
        <v>7</v>
      </c>
      <c r="I739" s="27" t="s">
        <v>8</v>
      </c>
      <c r="J739" s="27" t="s">
        <v>7</v>
      </c>
      <c r="K739" s="27" t="s">
        <v>8</v>
      </c>
      <c r="L739" s="27" t="s">
        <v>7</v>
      </c>
      <c r="M739" s="27" t="s">
        <v>8</v>
      </c>
      <c r="N739" s="27" t="s">
        <v>7</v>
      </c>
      <c r="O739" s="27" t="s">
        <v>8</v>
      </c>
      <c r="P739" s="27" t="s">
        <v>7</v>
      </c>
      <c r="R739" s="27" t="s">
        <v>7</v>
      </c>
      <c r="T739" s="27" t="s">
        <v>7</v>
      </c>
      <c r="U739" s="27" t="s">
        <v>8</v>
      </c>
      <c r="V739" s="27" t="s">
        <v>7</v>
      </c>
      <c r="W739" s="27" t="s">
        <v>8</v>
      </c>
      <c r="X739" s="27" t="s">
        <v>7</v>
      </c>
      <c r="Y739" s="27" t="s">
        <v>8</v>
      </c>
      <c r="Z739" s="27" t="s">
        <v>7</v>
      </c>
      <c r="AA739" s="27" t="s">
        <v>8</v>
      </c>
      <c r="AB739" s="27" t="s">
        <v>7</v>
      </c>
      <c r="AC739" s="27" t="s">
        <v>8</v>
      </c>
      <c r="AD739" s="27" t="s">
        <v>7</v>
      </c>
      <c r="AE739" s="27" t="s">
        <v>8</v>
      </c>
      <c r="AF739" s="27" t="s">
        <v>7</v>
      </c>
      <c r="AG739" s="27" t="s">
        <v>8</v>
      </c>
      <c r="AH739" s="27" t="s">
        <v>7</v>
      </c>
      <c r="AI739" s="27" t="s">
        <v>8</v>
      </c>
      <c r="AJ739" s="27" t="s">
        <v>7</v>
      </c>
      <c r="AK739" s="27" t="s">
        <v>8</v>
      </c>
      <c r="AM739" s="27" t="s">
        <v>8</v>
      </c>
    </row>
    <row r="740" spans="1:39" x14ac:dyDescent="0.25">
      <c r="A740" s="7">
        <v>4.8325206714120959E-2</v>
      </c>
      <c r="B740"/>
      <c r="C740"/>
      <c r="D740"/>
      <c r="E740"/>
      <c r="F740" s="27" t="s">
        <v>7</v>
      </c>
      <c r="G740" s="27" t="s">
        <v>8</v>
      </c>
      <c r="H740" s="27" t="s">
        <v>7</v>
      </c>
      <c r="J740" s="27" t="s">
        <v>7</v>
      </c>
      <c r="K740" s="27" t="s">
        <v>8</v>
      </c>
      <c r="L740" s="27" t="s">
        <v>7</v>
      </c>
      <c r="M740" s="27" t="s">
        <v>8</v>
      </c>
      <c r="N740" s="27" t="s">
        <v>7</v>
      </c>
      <c r="O740" s="27" t="s">
        <v>8</v>
      </c>
      <c r="T740" s="27" t="s">
        <v>7</v>
      </c>
      <c r="V740" s="27" t="s">
        <v>7</v>
      </c>
      <c r="W740" s="27" t="s">
        <v>8</v>
      </c>
      <c r="X740" s="27" t="s">
        <v>7</v>
      </c>
      <c r="Y740" s="27" t="s">
        <v>8</v>
      </c>
      <c r="Z740" s="27" t="s">
        <v>7</v>
      </c>
      <c r="AA740" s="27" t="s">
        <v>8</v>
      </c>
      <c r="AB740" s="27" t="s">
        <v>7</v>
      </c>
      <c r="AC740" s="27" t="s">
        <v>8</v>
      </c>
      <c r="AD740" s="27" t="s">
        <v>7</v>
      </c>
      <c r="AE740" s="27" t="s">
        <v>8</v>
      </c>
      <c r="AF740" s="27" t="s">
        <v>7</v>
      </c>
      <c r="AG740" s="27" t="s">
        <v>8</v>
      </c>
      <c r="AH740" s="27" t="s">
        <v>7</v>
      </c>
      <c r="AI740" s="27" t="s">
        <v>8</v>
      </c>
      <c r="AJ740" s="27" t="s">
        <v>7</v>
      </c>
      <c r="AK740" s="27" t="s">
        <v>8</v>
      </c>
      <c r="AL740" s="27" t="s">
        <v>7</v>
      </c>
      <c r="AM740" s="27" t="s">
        <v>8</v>
      </c>
    </row>
    <row r="741" spans="1:39" x14ac:dyDescent="0.25">
      <c r="A741" s="7">
        <v>4.7377653641295057E-2</v>
      </c>
      <c r="B741"/>
      <c r="C741"/>
      <c r="D741"/>
      <c r="E741"/>
      <c r="F741" s="27" t="s">
        <v>7</v>
      </c>
      <c r="G741" s="27" t="s">
        <v>8</v>
      </c>
      <c r="J741" s="27" t="s">
        <v>7</v>
      </c>
      <c r="K741" s="27" t="s">
        <v>8</v>
      </c>
      <c r="L741" s="27" t="s">
        <v>7</v>
      </c>
      <c r="M741" s="27" t="s">
        <v>8</v>
      </c>
      <c r="N741" s="27" t="s">
        <v>7</v>
      </c>
      <c r="V741" s="27" t="s">
        <v>7</v>
      </c>
      <c r="W741" s="27" t="s">
        <v>8</v>
      </c>
      <c r="X741" s="27" t="s">
        <v>7</v>
      </c>
      <c r="Z741" s="27" t="s">
        <v>7</v>
      </c>
      <c r="AA741" s="27" t="s">
        <v>8</v>
      </c>
      <c r="AB741" s="27" t="s">
        <v>7</v>
      </c>
      <c r="AC741" s="27" t="s">
        <v>8</v>
      </c>
      <c r="AD741" s="27" t="s">
        <v>7</v>
      </c>
      <c r="AF741" s="27" t="s">
        <v>7</v>
      </c>
      <c r="AH741" s="27" t="s">
        <v>7</v>
      </c>
      <c r="AI741" s="27" t="s">
        <v>8</v>
      </c>
      <c r="AJ741" s="27" t="s">
        <v>7</v>
      </c>
      <c r="AK741" s="27" t="s">
        <v>8</v>
      </c>
      <c r="AL741" s="27" t="s">
        <v>7</v>
      </c>
      <c r="AM741" s="27" t="s">
        <v>8</v>
      </c>
    </row>
    <row r="742" spans="1:39" x14ac:dyDescent="0.25">
      <c r="A742" s="7">
        <v>4.644868004048535E-2</v>
      </c>
      <c r="B742"/>
      <c r="C742"/>
      <c r="D742"/>
      <c r="E742"/>
      <c r="F742" s="27" t="s">
        <v>7</v>
      </c>
      <c r="G742" s="27" t="s">
        <v>8</v>
      </c>
      <c r="J742" s="27" t="s">
        <v>7</v>
      </c>
      <c r="K742" s="27" t="s">
        <v>8</v>
      </c>
      <c r="L742" s="27" t="s">
        <v>7</v>
      </c>
      <c r="M742" s="27" t="s">
        <v>8</v>
      </c>
      <c r="V742" s="27" t="s">
        <v>7</v>
      </c>
      <c r="Z742" s="27" t="s">
        <v>7</v>
      </c>
      <c r="AB742" s="27" t="s">
        <v>7</v>
      </c>
      <c r="AC742" s="27" t="s">
        <v>8</v>
      </c>
      <c r="AH742" s="27" t="s">
        <v>7</v>
      </c>
      <c r="AI742" s="27" t="s">
        <v>8</v>
      </c>
      <c r="AJ742" s="27" t="s">
        <v>7</v>
      </c>
      <c r="AK742" s="27" t="s">
        <v>8</v>
      </c>
      <c r="AL742" s="27" t="s">
        <v>7</v>
      </c>
      <c r="AM742" s="27" t="s">
        <v>8</v>
      </c>
    </row>
    <row r="743" spans="1:39" x14ac:dyDescent="0.25">
      <c r="A743" s="7">
        <v>4.5537921608318974E-2</v>
      </c>
      <c r="B743"/>
      <c r="C743"/>
      <c r="D743"/>
      <c r="E743"/>
      <c r="F743" s="27" t="s">
        <v>7</v>
      </c>
      <c r="J743" s="27" t="s">
        <v>7</v>
      </c>
      <c r="K743" s="27" t="s">
        <v>8</v>
      </c>
      <c r="L743" s="27" t="s">
        <v>7</v>
      </c>
      <c r="M743" s="27" t="s">
        <v>8</v>
      </c>
      <c r="AB743" s="27" t="s">
        <v>7</v>
      </c>
      <c r="AC743" s="27" t="s">
        <v>8</v>
      </c>
      <c r="AH743" s="27" t="s">
        <v>7</v>
      </c>
      <c r="AI743" s="27" t="s">
        <v>8</v>
      </c>
      <c r="AJ743" s="27" t="s">
        <v>7</v>
      </c>
      <c r="AK743" s="27" t="s">
        <v>8</v>
      </c>
      <c r="AL743" s="27" t="s">
        <v>7</v>
      </c>
      <c r="AM743" s="27" t="s">
        <v>8</v>
      </c>
    </row>
    <row r="744" spans="1:39" x14ac:dyDescent="0.25">
      <c r="A744" s="7">
        <v>4.4645021184626446E-2</v>
      </c>
      <c r="B744"/>
      <c r="C744"/>
      <c r="D744"/>
      <c r="E744"/>
      <c r="J744" s="27" t="s">
        <v>7</v>
      </c>
      <c r="K744" s="27" t="s">
        <v>8</v>
      </c>
      <c r="L744" s="27" t="s">
        <v>7</v>
      </c>
      <c r="AB744" s="27" t="s">
        <v>7</v>
      </c>
      <c r="AC744" s="27" t="s">
        <v>8</v>
      </c>
      <c r="AH744" s="27" t="s">
        <v>7</v>
      </c>
      <c r="AJ744" s="27" t="s">
        <v>7</v>
      </c>
      <c r="AK744" s="27" t="s">
        <v>8</v>
      </c>
      <c r="AL744" s="27" t="s">
        <v>7</v>
      </c>
      <c r="AM744" s="27" t="s">
        <v>8</v>
      </c>
    </row>
    <row r="745" spans="1:39" x14ac:dyDescent="0.25">
      <c r="A745" s="7">
        <v>4.3769628612378868E-2</v>
      </c>
      <c r="B745"/>
      <c r="C745"/>
      <c r="D745"/>
      <c r="E745"/>
      <c r="J745" s="27" t="s">
        <v>7</v>
      </c>
      <c r="K745" s="27" t="s">
        <v>8</v>
      </c>
      <c r="AB745" s="27" t="s">
        <v>7</v>
      </c>
      <c r="AC745" s="27" t="s">
        <v>8</v>
      </c>
      <c r="AJ745" s="27" t="s">
        <v>7</v>
      </c>
      <c r="AL745" s="27" t="s">
        <v>7</v>
      </c>
    </row>
    <row r="746" spans="1:39" x14ac:dyDescent="0.25">
      <c r="A746" s="7">
        <v>4.2911400600371442E-2</v>
      </c>
      <c r="B746"/>
      <c r="C746"/>
      <c r="D746"/>
      <c r="E746"/>
      <c r="J746" s="27" t="s">
        <v>7</v>
      </c>
      <c r="K746" s="27" t="s">
        <v>8</v>
      </c>
      <c r="AB746" s="27" t="s">
        <v>7</v>
      </c>
      <c r="AC746" s="27" t="s">
        <v>8</v>
      </c>
    </row>
    <row r="747" spans="1:39" x14ac:dyDescent="0.25">
      <c r="A747" s="7">
        <v>4.2070000588599457E-2</v>
      </c>
      <c r="B747"/>
      <c r="C747"/>
      <c r="D747"/>
      <c r="E747"/>
      <c r="J747" s="27" t="s">
        <v>7</v>
      </c>
      <c r="AB747" s="27" t="s">
        <v>7</v>
      </c>
      <c r="AC747" s="27" t="s">
        <v>8</v>
      </c>
    </row>
    <row r="748" spans="1:39" x14ac:dyDescent="0.25">
      <c r="A748" s="7">
        <v>4.1245098616273977E-2</v>
      </c>
      <c r="B748"/>
      <c r="C748"/>
      <c r="D748"/>
      <c r="E748"/>
      <c r="AB748" s="27" t="s">
        <v>7</v>
      </c>
      <c r="AC748" s="27" t="s">
        <v>8</v>
      </c>
    </row>
    <row r="749" spans="1:39" x14ac:dyDescent="0.25">
      <c r="A749" s="7">
        <v>4.043637119242547E-2</v>
      </c>
      <c r="B749"/>
      <c r="C749"/>
      <c r="D749"/>
      <c r="E749"/>
      <c r="AB749" s="27" t="s">
        <v>7</v>
      </c>
      <c r="AC749" s="27" t="s">
        <v>8</v>
      </c>
    </row>
    <row r="750" spans="1:39" x14ac:dyDescent="0.25">
      <c r="A750" s="7">
        <v>3.9643501169044582E-2</v>
      </c>
      <c r="B750"/>
      <c r="C750"/>
      <c r="D750"/>
      <c r="E750"/>
      <c r="AB750" s="27" t="s">
        <v>7</v>
      </c>
      <c r="AC750" s="27" t="s">
        <v>8</v>
      </c>
    </row>
    <row r="751" spans="1:39" x14ac:dyDescent="0.25">
      <c r="A751" s="7">
        <v>3.8866177616710372E-2</v>
      </c>
      <c r="B751"/>
      <c r="C751"/>
      <c r="D751"/>
      <c r="E751"/>
      <c r="AB751" s="27" t="s">
        <v>7</v>
      </c>
    </row>
    <row r="752" spans="1:39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49" operator="equal">
      <formula>$U$1</formula>
    </cfRule>
    <cfRule type="cellIs" dxfId="89" priority="850" operator="equal">
      <formula>$S$1</formula>
    </cfRule>
  </conditionalFormatting>
  <conditionalFormatting sqref="D27">
    <cfRule type="cellIs" dxfId="88" priority="847" operator="equal">
      <formula>$S$1</formula>
    </cfRule>
    <cfRule type="cellIs" dxfId="87" priority="848" operator="equal">
      <formula>$U$1</formula>
    </cfRule>
  </conditionalFormatting>
  <conditionalFormatting sqref="C164">
    <cfRule type="cellIs" dxfId="86" priority="845" operator="equal">
      <formula>$U$1</formula>
    </cfRule>
    <cfRule type="cellIs" dxfId="85" priority="846" operator="equal">
      <formula>$S$1</formula>
    </cfRule>
  </conditionalFormatting>
  <conditionalFormatting sqref="D164">
    <cfRule type="cellIs" dxfId="84" priority="843" operator="equal">
      <formula>$S$1</formula>
    </cfRule>
    <cfRule type="cellIs" dxfId="83" priority="844" operator="equal">
      <formula>$U$1</formula>
    </cfRule>
  </conditionalFormatting>
  <conditionalFormatting sqref="C55">
    <cfRule type="cellIs" dxfId="82" priority="841" operator="equal">
      <formula>$U$1</formula>
    </cfRule>
    <cfRule type="cellIs" dxfId="81" priority="842" operator="equal">
      <formula>$S$1</formula>
    </cfRule>
  </conditionalFormatting>
  <conditionalFormatting sqref="D55">
    <cfRule type="cellIs" dxfId="80" priority="839" operator="equal">
      <formula>$S$1</formula>
    </cfRule>
    <cfRule type="cellIs" dxfId="79" priority="840" operator="equal">
      <formula>$U$1</formula>
    </cfRule>
  </conditionalFormatting>
  <conditionalFormatting sqref="C89">
    <cfRule type="cellIs" dxfId="78" priority="837" operator="equal">
      <formula>$U$1</formula>
    </cfRule>
    <cfRule type="cellIs" dxfId="77" priority="838" operator="equal">
      <formula>$S$1</formula>
    </cfRule>
  </conditionalFormatting>
  <conditionalFormatting sqref="D89">
    <cfRule type="cellIs" dxfId="76" priority="835" operator="equal">
      <formula>$S$1</formula>
    </cfRule>
    <cfRule type="cellIs" dxfId="75" priority="836" operator="equal">
      <formula>$U$1</formula>
    </cfRule>
  </conditionalFormatting>
  <conditionalFormatting sqref="C136">
    <cfRule type="cellIs" dxfId="74" priority="833" operator="equal">
      <formula>$U$1</formula>
    </cfRule>
    <cfRule type="cellIs" dxfId="73" priority="834" operator="equal">
      <formula>$S$1</formula>
    </cfRule>
  </conditionalFormatting>
  <conditionalFormatting sqref="D136">
    <cfRule type="cellIs" dxfId="72" priority="831" operator="equal">
      <formula>$S$1</formula>
    </cfRule>
    <cfRule type="cellIs" dxfId="71" priority="832" operator="equal">
      <formula>$U$1</formula>
    </cfRule>
  </conditionalFormatting>
  <conditionalFormatting sqref="C1">
    <cfRule type="cellIs" dxfId="70" priority="830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EC291" sqref="EC291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$A$290</v>
      </c>
      <c r="D111" s="1" t="str">
        <f>ADDRESS(C121-1,D121,1,1)</f>
        <v>$EC$290</v>
      </c>
      <c r="E111"/>
    </row>
    <row r="112" spans="1:5" x14ac:dyDescent="0.25">
      <c r="A112" s="30">
        <v>515.50191262726139</v>
      </c>
      <c r="C112" s="1" t="str">
        <f>ADDRESS(C121,1,1,1)</f>
        <v>$A$291</v>
      </c>
      <c r="D112" s="1" t="str">
        <f>ADDRESS(C121,D121-1,1,1)</f>
        <v>$EB$291</v>
      </c>
      <c r="E112"/>
    </row>
    <row r="113" spans="1:5" x14ac:dyDescent="0.25">
      <c r="A113" s="30">
        <v>490.95420250215363</v>
      </c>
      <c r="C113" s="1" t="str">
        <f>ADDRESS(C121+1,1,1,1)</f>
        <v>$A$292</v>
      </c>
      <c r="D113" s="1" t="str">
        <f>ADDRESS(C121-1,D121+1,1,1)</f>
        <v>$ED$290</v>
      </c>
    </row>
    <row r="114" spans="1:5" x14ac:dyDescent="0.25">
      <c r="A114" s="30">
        <v>467.57543095443202</v>
      </c>
      <c r="C114" s="1" t="str">
        <f>ADDRESS(C121,D121,1,1)</f>
        <v>$EC$291</v>
      </c>
      <c r="D114" s="1" t="str">
        <f>ADDRESS(C121+1,D121+1,1,1)</f>
        <v>$ED$292</v>
      </c>
    </row>
    <row r="115" spans="1:5" x14ac:dyDescent="0.25">
      <c r="A115" s="30">
        <v>445.30993424231622</v>
      </c>
      <c r="C115" s="1" t="str">
        <f>ADDRESS(C121+1,D121,1,1)</f>
        <v>$EC$292</v>
      </c>
    </row>
    <row r="116" spans="1:5" x14ac:dyDescent="0.25">
      <c r="A116" s="30">
        <v>424.10469927839637</v>
      </c>
      <c r="C116" s="1">
        <f>C117-1</f>
        <v>290</v>
      </c>
    </row>
    <row r="117" spans="1:5" x14ac:dyDescent="0.25">
      <c r="A117" s="30">
        <v>403.9092374079965</v>
      </c>
      <c r="C117" s="1">
        <f>C121</f>
        <v>291</v>
      </c>
      <c r="D117" s="1">
        <f>D121</f>
        <v>133</v>
      </c>
    </row>
    <row r="118" spans="1:5" x14ac:dyDescent="0.25">
      <c r="A118" s="30">
        <v>384.6754641980919</v>
      </c>
      <c r="C118" s="1">
        <f>C117+1</f>
        <v>292</v>
      </c>
      <c r="D118" s="1">
        <f>D117+1</f>
        <v>134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291</v>
      </c>
      <c r="D121" s="19">
        <v>133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R291</v>
      </c>
      <c r="D123" s="1" t="str">
        <f>"C"&amp;D121</f>
        <v>C133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8.3051168545122747E-2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0" x14ac:dyDescent="0.25">
      <c r="A241" s="30">
        <v>0.952380952380952</v>
      </c>
      <c r="B241"/>
      <c r="C241"/>
      <c r="D241"/>
      <c r="E241"/>
      <c r="F241" s="27" t="s">
        <v>7</v>
      </c>
    </row>
    <row r="242" spans="1:60" x14ac:dyDescent="0.25">
      <c r="A242" s="30">
        <v>0.90702947845804915</v>
      </c>
      <c r="B242"/>
      <c r="C242"/>
      <c r="D242"/>
      <c r="E242"/>
      <c r="F242" s="27" t="s">
        <v>7</v>
      </c>
    </row>
    <row r="243" spans="1:60" x14ac:dyDescent="0.25">
      <c r="A243" s="30">
        <v>0.86383759853147501</v>
      </c>
      <c r="B243"/>
      <c r="C243"/>
      <c r="D243"/>
      <c r="E243"/>
      <c r="F243" s="27" t="s">
        <v>7</v>
      </c>
    </row>
    <row r="244" spans="1:60" x14ac:dyDescent="0.25">
      <c r="A244" s="30">
        <v>0.82270247479188063</v>
      </c>
      <c r="B244"/>
      <c r="C244"/>
      <c r="D244"/>
      <c r="E244"/>
      <c r="F244" s="27" t="s">
        <v>7</v>
      </c>
    </row>
    <row r="245" spans="1:60" x14ac:dyDescent="0.25">
      <c r="A245" s="30">
        <v>0.78352616646845741</v>
      </c>
      <c r="B245"/>
      <c r="C245"/>
      <c r="D245"/>
      <c r="E245"/>
      <c r="F245" s="27" t="s">
        <v>7</v>
      </c>
    </row>
    <row r="246" spans="1:60" x14ac:dyDescent="0.25">
      <c r="A246" s="30">
        <v>0.74621539663662584</v>
      </c>
      <c r="B246"/>
      <c r="C246"/>
      <c r="D246"/>
      <c r="E246"/>
      <c r="F246" s="27" t="s">
        <v>7</v>
      </c>
    </row>
    <row r="247" spans="1:60" x14ac:dyDescent="0.25">
      <c r="A247" s="30">
        <v>0.71068133013011958</v>
      </c>
      <c r="B247"/>
      <c r="C247"/>
      <c r="D247"/>
      <c r="E247"/>
      <c r="F247" s="27" t="s">
        <v>7</v>
      </c>
    </row>
    <row r="248" spans="1:60" x14ac:dyDescent="0.25">
      <c r="A248" s="30">
        <v>0.676839362028685</v>
      </c>
      <c r="B248"/>
      <c r="C248"/>
      <c r="D248"/>
      <c r="E248"/>
      <c r="F248" s="27" t="s">
        <v>7</v>
      </c>
    </row>
    <row r="249" spans="1:60" x14ac:dyDescent="0.25">
      <c r="A249" s="30">
        <v>0.64460891621779492</v>
      </c>
      <c r="B249"/>
      <c r="C249"/>
      <c r="D249"/>
      <c r="E249"/>
      <c r="F249" s="27" t="s">
        <v>7</v>
      </c>
    </row>
    <row r="250" spans="1:60" x14ac:dyDescent="0.25">
      <c r="A250" s="30">
        <v>0.61391325354075688</v>
      </c>
      <c r="B250"/>
      <c r="C250"/>
      <c r="D250"/>
      <c r="E250"/>
      <c r="F250" s="27" t="s">
        <v>7</v>
      </c>
    </row>
    <row r="251" spans="1:60" x14ac:dyDescent="0.25">
      <c r="A251" s="30">
        <v>0.58467928908643485</v>
      </c>
      <c r="B251"/>
      <c r="C251"/>
      <c r="D251"/>
      <c r="E251"/>
      <c r="F251" s="27" t="s">
        <v>7</v>
      </c>
    </row>
    <row r="252" spans="1:60" x14ac:dyDescent="0.25">
      <c r="A252" s="30">
        <v>0.55683741817755672</v>
      </c>
      <c r="B252"/>
      <c r="C252"/>
      <c r="D252"/>
      <c r="E252"/>
      <c r="F252" s="27" t="s">
        <v>7</v>
      </c>
    </row>
    <row r="253" spans="1:60" x14ac:dyDescent="0.25">
      <c r="A253" s="30">
        <v>0.53032135064529184</v>
      </c>
      <c r="B253"/>
      <c r="C253"/>
      <c r="D253"/>
      <c r="E253"/>
      <c r="F253" s="27" t="s">
        <v>7</v>
      </c>
    </row>
    <row r="254" spans="1:60" x14ac:dyDescent="0.25">
      <c r="A254" s="30">
        <v>0.50506795299551588</v>
      </c>
      <c r="B254"/>
      <c r="C254"/>
      <c r="D254"/>
      <c r="E254"/>
      <c r="F254" s="27" t="s">
        <v>7</v>
      </c>
      <c r="BC254" s="27" t="s">
        <v>8</v>
      </c>
    </row>
    <row r="255" spans="1:60" x14ac:dyDescent="0.25">
      <c r="A255" s="30">
        <v>0.48101709809096732</v>
      </c>
      <c r="E255"/>
      <c r="F255" s="27" t="s">
        <v>7</v>
      </c>
      <c r="BC255" s="27" t="s">
        <v>8</v>
      </c>
      <c r="BD255" s="27" t="s">
        <v>7</v>
      </c>
      <c r="BG255" s="27" t="s">
        <v>8</v>
      </c>
    </row>
    <row r="256" spans="1:60" x14ac:dyDescent="0.25">
      <c r="A256" s="30">
        <v>0.45811152199139726</v>
      </c>
      <c r="E256"/>
      <c r="F256" s="27" t="s">
        <v>7</v>
      </c>
      <c r="BC256" s="27" t="s">
        <v>8</v>
      </c>
      <c r="BD256" s="27" t="s">
        <v>7</v>
      </c>
      <c r="BG256" s="27" t="s">
        <v>8</v>
      </c>
      <c r="BH256" s="27" t="s">
        <v>7</v>
      </c>
    </row>
    <row r="257" spans="1:123" x14ac:dyDescent="0.25">
      <c r="A257" s="30">
        <v>0.43629668761085438</v>
      </c>
      <c r="B257"/>
      <c r="C257"/>
      <c r="D257"/>
      <c r="E257"/>
      <c r="F257" s="27" t="s">
        <v>7</v>
      </c>
      <c r="BC257" s="27" t="s">
        <v>8</v>
      </c>
      <c r="BD257" s="27" t="s">
        <v>7</v>
      </c>
      <c r="BG257" s="27" t="s">
        <v>8</v>
      </c>
      <c r="BH257" s="27" t="s">
        <v>7</v>
      </c>
    </row>
    <row r="258" spans="1:123" x14ac:dyDescent="0.25">
      <c r="A258" s="30">
        <v>0.41552065486748019</v>
      </c>
      <c r="B258"/>
      <c r="C258"/>
      <c r="D258"/>
      <c r="E258"/>
      <c r="F258" s="27" t="s">
        <v>7</v>
      </c>
      <c r="AI258" s="27" t="s">
        <v>8</v>
      </c>
      <c r="BC258" s="27" t="s">
        <v>8</v>
      </c>
      <c r="BD258" s="27" t="s">
        <v>7</v>
      </c>
      <c r="BG258" s="27" t="s">
        <v>8</v>
      </c>
      <c r="BH258" s="27" t="s">
        <v>7</v>
      </c>
    </row>
    <row r="259" spans="1:123" x14ac:dyDescent="0.25">
      <c r="A259" s="30">
        <v>0.39573395701664765</v>
      </c>
      <c r="B259"/>
      <c r="C259"/>
      <c r="D259"/>
      <c r="E259"/>
      <c r="F259" s="27" t="s">
        <v>7</v>
      </c>
      <c r="AI259" s="27" t="s">
        <v>8</v>
      </c>
      <c r="AJ259" s="27" t="s">
        <v>7</v>
      </c>
      <c r="AU259" s="27" t="s">
        <v>8</v>
      </c>
      <c r="BC259" s="27" t="s">
        <v>8</v>
      </c>
      <c r="BD259" s="27" t="s">
        <v>7</v>
      </c>
      <c r="BG259" s="27" t="s">
        <v>8</v>
      </c>
      <c r="BH259" s="27" t="s">
        <v>7</v>
      </c>
    </row>
    <row r="260" spans="1:123" x14ac:dyDescent="0.25">
      <c r="A260" s="30">
        <v>0.37688948287299762</v>
      </c>
      <c r="B260"/>
      <c r="C260"/>
      <c r="D260"/>
      <c r="E260"/>
      <c r="F260" s="27" t="s">
        <v>7</v>
      </c>
      <c r="AI260" s="27" t="s">
        <v>8</v>
      </c>
      <c r="AJ260" s="27" t="s">
        <v>7</v>
      </c>
      <c r="AU260" s="27" t="s">
        <v>8</v>
      </c>
      <c r="AV260" s="27" t="s">
        <v>7</v>
      </c>
      <c r="BA260" s="27" t="s">
        <v>8</v>
      </c>
      <c r="BC260" s="27" t="s">
        <v>8</v>
      </c>
      <c r="BD260" s="27" t="s">
        <v>7</v>
      </c>
      <c r="BG260" s="27" t="s">
        <v>8</v>
      </c>
      <c r="BH260" s="27" t="s">
        <v>7</v>
      </c>
    </row>
    <row r="261" spans="1:123" x14ac:dyDescent="0.25">
      <c r="A261" s="30">
        <v>0.35894236464094997</v>
      </c>
      <c r="B261"/>
      <c r="C261"/>
      <c r="D261"/>
      <c r="E261"/>
      <c r="F261" s="27" t="s">
        <v>7</v>
      </c>
      <c r="AI261" s="27" t="s">
        <v>8</v>
      </c>
      <c r="AJ261" s="27" t="s">
        <v>7</v>
      </c>
      <c r="AK261" s="27" t="s">
        <v>8</v>
      </c>
      <c r="AU261" s="27" t="s">
        <v>8</v>
      </c>
      <c r="AV261" s="27" t="s">
        <v>7</v>
      </c>
      <c r="BA261" s="27" t="s">
        <v>8</v>
      </c>
      <c r="BB261" s="27" t="s">
        <v>7</v>
      </c>
      <c r="BC261" s="27" t="s">
        <v>8</v>
      </c>
      <c r="BD261" s="27" t="s">
        <v>7</v>
      </c>
      <c r="BG261" s="27" t="s">
        <v>8</v>
      </c>
      <c r="BH261" s="27" t="s">
        <v>7</v>
      </c>
      <c r="BI261" s="27" t="s">
        <v>8</v>
      </c>
    </row>
    <row r="262" spans="1:123" x14ac:dyDescent="0.25">
      <c r="A262" s="30">
        <v>0.34184987108661891</v>
      </c>
      <c r="B262"/>
      <c r="C262"/>
      <c r="D262"/>
      <c r="E262"/>
      <c r="F262" s="27" t="s">
        <v>7</v>
      </c>
      <c r="AI262" s="27" t="s">
        <v>8</v>
      </c>
      <c r="AJ262" s="27" t="s">
        <v>7</v>
      </c>
      <c r="AK262" s="27" t="s">
        <v>8</v>
      </c>
      <c r="AL262" s="27" t="s">
        <v>7</v>
      </c>
      <c r="AS262" s="27" t="s">
        <v>8</v>
      </c>
      <c r="AU262" s="27" t="s">
        <v>8</v>
      </c>
      <c r="AV262" s="27" t="s">
        <v>7</v>
      </c>
      <c r="AY262" s="27" t="s">
        <v>8</v>
      </c>
      <c r="BA262" s="27" t="s">
        <v>8</v>
      </c>
      <c r="BB262" s="27" t="s">
        <v>7</v>
      </c>
      <c r="BC262" s="27" t="s">
        <v>8</v>
      </c>
      <c r="BD262" s="27" t="s">
        <v>7</v>
      </c>
      <c r="BG262" s="27" t="s">
        <v>8</v>
      </c>
      <c r="BH262" s="27" t="s">
        <v>7</v>
      </c>
      <c r="BI262" s="27" t="s">
        <v>8</v>
      </c>
      <c r="BJ262" s="27" t="s">
        <v>7</v>
      </c>
    </row>
    <row r="263" spans="1:123" x14ac:dyDescent="0.25">
      <c r="A263" s="30">
        <v>0.32557130579677979</v>
      </c>
      <c r="B263"/>
      <c r="C263"/>
      <c r="D263"/>
      <c r="E263"/>
      <c r="F263" s="27" t="s">
        <v>7</v>
      </c>
      <c r="AI263" s="27" t="s">
        <v>8</v>
      </c>
      <c r="AJ263" s="27" t="s">
        <v>7</v>
      </c>
      <c r="AK263" s="27" t="s">
        <v>8</v>
      </c>
      <c r="AL263" s="27" t="s">
        <v>7</v>
      </c>
      <c r="AS263" s="27" t="s">
        <v>8</v>
      </c>
      <c r="AT263" s="27" t="s">
        <v>7</v>
      </c>
      <c r="AU263" s="27" t="s">
        <v>8</v>
      </c>
      <c r="AV263" s="27" t="s">
        <v>7</v>
      </c>
      <c r="AW263" s="27" t="s">
        <v>8</v>
      </c>
      <c r="AY263" s="27" t="s">
        <v>8</v>
      </c>
      <c r="AZ263" s="27" t="s">
        <v>7</v>
      </c>
      <c r="BA263" s="27" t="s">
        <v>8</v>
      </c>
      <c r="BB263" s="27" t="s">
        <v>7</v>
      </c>
      <c r="BC263" s="27" t="s">
        <v>8</v>
      </c>
      <c r="BD263" s="27" t="s">
        <v>7</v>
      </c>
      <c r="BG263" s="27" t="s">
        <v>8</v>
      </c>
      <c r="BH263" s="27" t="s">
        <v>7</v>
      </c>
      <c r="BI263" s="27" t="s">
        <v>8</v>
      </c>
      <c r="BJ263" s="27" t="s">
        <v>7</v>
      </c>
    </row>
    <row r="264" spans="1:123" x14ac:dyDescent="0.25">
      <c r="A264" s="30">
        <v>0.3100679102826473</v>
      </c>
      <c r="B264"/>
      <c r="C264"/>
      <c r="D264"/>
      <c r="E264"/>
      <c r="F264" s="27" t="s">
        <v>7</v>
      </c>
      <c r="AI264" s="27" t="s">
        <v>8</v>
      </c>
      <c r="AJ264" s="27" t="s">
        <v>7</v>
      </c>
      <c r="AK264" s="27" t="s">
        <v>8</v>
      </c>
      <c r="AL264" s="27" t="s">
        <v>7</v>
      </c>
      <c r="AM264" s="27" t="s">
        <v>8</v>
      </c>
      <c r="AS264" s="27" t="s">
        <v>8</v>
      </c>
      <c r="AT264" s="27" t="s">
        <v>7</v>
      </c>
      <c r="AU264" s="27" t="s">
        <v>8</v>
      </c>
      <c r="AV264" s="27" t="s">
        <v>7</v>
      </c>
      <c r="AW264" s="27" t="s">
        <v>8</v>
      </c>
      <c r="AX264" s="27" t="s">
        <v>7</v>
      </c>
      <c r="AY264" s="27" t="s">
        <v>8</v>
      </c>
      <c r="AZ264" s="27" t="s">
        <v>7</v>
      </c>
      <c r="BA264" s="27" t="s">
        <v>8</v>
      </c>
      <c r="BB264" s="27" t="s">
        <v>7</v>
      </c>
      <c r="BC264" s="27" t="s">
        <v>8</v>
      </c>
      <c r="BD264" s="27" t="s">
        <v>7</v>
      </c>
      <c r="BG264" s="27" t="s">
        <v>8</v>
      </c>
      <c r="BH264" s="27" t="s">
        <v>7</v>
      </c>
      <c r="BI264" s="27" t="s">
        <v>8</v>
      </c>
      <c r="BJ264" s="27" t="s">
        <v>7</v>
      </c>
    </row>
    <row r="265" spans="1:123" x14ac:dyDescent="0.25">
      <c r="A265" s="30">
        <v>0.2953027716977592</v>
      </c>
      <c r="B265"/>
      <c r="C265"/>
      <c r="D265"/>
      <c r="E265"/>
      <c r="F265" s="27" t="s">
        <v>7</v>
      </c>
      <c r="AI265" s="27" t="s">
        <v>8</v>
      </c>
      <c r="AJ265" s="27" t="s">
        <v>7</v>
      </c>
      <c r="AK265" s="27" t="s">
        <v>8</v>
      </c>
      <c r="AL265" s="27" t="s">
        <v>7</v>
      </c>
      <c r="AM265" s="27" t="s">
        <v>8</v>
      </c>
      <c r="AN265" s="27" t="s">
        <v>7</v>
      </c>
      <c r="AQ265" s="27" t="s">
        <v>8</v>
      </c>
      <c r="AS265" s="27" t="s">
        <v>8</v>
      </c>
      <c r="AT265" s="27" t="s">
        <v>7</v>
      </c>
      <c r="AU265" s="27" t="s">
        <v>8</v>
      </c>
      <c r="AV265" s="27" t="s">
        <v>7</v>
      </c>
      <c r="AW265" s="27" t="s">
        <v>8</v>
      </c>
      <c r="AX265" s="27" t="s">
        <v>7</v>
      </c>
      <c r="AY265" s="27" t="s">
        <v>8</v>
      </c>
      <c r="AZ265" s="27" t="s">
        <v>7</v>
      </c>
      <c r="BA265" s="27" t="s">
        <v>8</v>
      </c>
      <c r="BB265" s="27" t="s">
        <v>7</v>
      </c>
      <c r="BC265" s="27" t="s">
        <v>8</v>
      </c>
      <c r="BD265" s="27" t="s">
        <v>7</v>
      </c>
      <c r="BG265" s="27" t="s">
        <v>8</v>
      </c>
      <c r="BH265" s="27" t="s">
        <v>7</v>
      </c>
      <c r="BJ265" s="27" t="s">
        <v>7</v>
      </c>
      <c r="BK265" s="27" t="s">
        <v>8</v>
      </c>
    </row>
    <row r="266" spans="1:123" x14ac:dyDescent="0.25">
      <c r="A266" s="30">
        <v>0.28124073495024676</v>
      </c>
      <c r="B266"/>
      <c r="C266"/>
      <c r="D266"/>
      <c r="E266"/>
      <c r="F266" s="27" t="s">
        <v>7</v>
      </c>
      <c r="AI266" s="27" t="s">
        <v>8</v>
      </c>
      <c r="AJ266" s="27" t="s">
        <v>7</v>
      </c>
      <c r="AL266" s="27" t="s">
        <v>7</v>
      </c>
      <c r="AM266" s="27" t="s">
        <v>8</v>
      </c>
      <c r="AN266" s="27" t="s">
        <v>7</v>
      </c>
      <c r="AQ266" s="27" t="s">
        <v>8</v>
      </c>
      <c r="AR266" s="27" t="s">
        <v>7</v>
      </c>
      <c r="AS266" s="27" t="s">
        <v>8</v>
      </c>
      <c r="AT266" s="27" t="s">
        <v>7</v>
      </c>
      <c r="AU266" s="27" t="s">
        <v>8</v>
      </c>
      <c r="AV266" s="27" t="s">
        <v>7</v>
      </c>
      <c r="AX266" s="27" t="s">
        <v>7</v>
      </c>
      <c r="AY266" s="27" t="s">
        <v>8</v>
      </c>
      <c r="AZ266" s="27" t="s">
        <v>7</v>
      </c>
      <c r="BB266" s="27" t="s">
        <v>7</v>
      </c>
      <c r="BC266" s="27" t="s">
        <v>8</v>
      </c>
      <c r="BD266" s="27" t="s">
        <v>7</v>
      </c>
      <c r="BE266" s="27" t="s">
        <v>8</v>
      </c>
      <c r="BG266" s="27" t="s">
        <v>8</v>
      </c>
      <c r="BJ266" s="27" t="s">
        <v>7</v>
      </c>
      <c r="BK266" s="27" t="s">
        <v>8</v>
      </c>
      <c r="BL266" s="27" t="s">
        <v>7</v>
      </c>
      <c r="BM266" s="27" t="s">
        <v>8</v>
      </c>
    </row>
    <row r="267" spans="1:123" x14ac:dyDescent="0.25">
      <c r="A267" s="30">
        <v>0.26784831900023492</v>
      </c>
      <c r="B267"/>
      <c r="C267"/>
      <c r="D267"/>
      <c r="E267"/>
      <c r="F267" s="27" t="s">
        <v>7</v>
      </c>
      <c r="AI267" s="27" t="s">
        <v>8</v>
      </c>
      <c r="AL267" s="27" t="s">
        <v>7</v>
      </c>
      <c r="AM267" s="27" t="s">
        <v>8</v>
      </c>
      <c r="AN267" s="27" t="s">
        <v>7</v>
      </c>
      <c r="AO267" s="27" t="s">
        <v>8</v>
      </c>
      <c r="AQ267" s="27" t="s">
        <v>8</v>
      </c>
      <c r="AR267" s="27" t="s">
        <v>7</v>
      </c>
      <c r="AS267" s="27" t="s">
        <v>8</v>
      </c>
      <c r="AT267" s="27" t="s">
        <v>7</v>
      </c>
      <c r="AX267" s="27" t="s">
        <v>7</v>
      </c>
      <c r="BB267" s="27" t="s">
        <v>7</v>
      </c>
      <c r="BD267" s="27" t="s">
        <v>7</v>
      </c>
      <c r="BE267" s="27" t="s">
        <v>8</v>
      </c>
      <c r="BF267" s="27" t="s">
        <v>7</v>
      </c>
      <c r="BG267" s="27" t="s">
        <v>8</v>
      </c>
      <c r="BJ267" s="27" t="s">
        <v>7</v>
      </c>
      <c r="BK267" s="27" t="s">
        <v>8</v>
      </c>
      <c r="BL267" s="27" t="s">
        <v>7</v>
      </c>
      <c r="BM267" s="27" t="s">
        <v>8</v>
      </c>
      <c r="BN267" s="27" t="s">
        <v>7</v>
      </c>
      <c r="BO267" s="27" t="s">
        <v>8</v>
      </c>
    </row>
    <row r="268" spans="1:123" x14ac:dyDescent="0.25">
      <c r="A268" s="30">
        <v>0.25509363714308075</v>
      </c>
      <c r="B268"/>
      <c r="C268"/>
      <c r="D268"/>
      <c r="E268"/>
      <c r="F268" s="27" t="s">
        <v>7</v>
      </c>
      <c r="AI268" s="27" t="s">
        <v>8</v>
      </c>
      <c r="AL268" s="27" t="s">
        <v>7</v>
      </c>
      <c r="AM268" s="27" t="s">
        <v>8</v>
      </c>
      <c r="AN268" s="27" t="s">
        <v>7</v>
      </c>
      <c r="AO268" s="27" t="s">
        <v>8</v>
      </c>
      <c r="AP268" s="27" t="s">
        <v>7</v>
      </c>
      <c r="AQ268" s="27" t="s">
        <v>8</v>
      </c>
      <c r="AR268" s="27" t="s">
        <v>7</v>
      </c>
      <c r="BD268" s="27" t="s">
        <v>7</v>
      </c>
      <c r="BE268" s="27" t="s">
        <v>8</v>
      </c>
      <c r="BF268" s="27" t="s">
        <v>7</v>
      </c>
      <c r="BG268" s="27" t="s">
        <v>8</v>
      </c>
      <c r="BJ268" s="27" t="s">
        <v>7</v>
      </c>
      <c r="BL268" s="27" t="s">
        <v>7</v>
      </c>
      <c r="BM268" s="27" t="s">
        <v>8</v>
      </c>
      <c r="BN268" s="27" t="s">
        <v>7</v>
      </c>
      <c r="BO268" s="27" t="s">
        <v>8</v>
      </c>
      <c r="BP268" s="27" t="s">
        <v>7</v>
      </c>
    </row>
    <row r="269" spans="1:123" x14ac:dyDescent="0.25">
      <c r="A269" s="30">
        <v>0.24294632108864825</v>
      </c>
      <c r="B269"/>
      <c r="C269"/>
      <c r="D269"/>
      <c r="E269"/>
      <c r="F269" s="27" t="s">
        <v>7</v>
      </c>
      <c r="AE269" s="27" t="s">
        <v>8</v>
      </c>
      <c r="AI269" s="27" t="s">
        <v>8</v>
      </c>
      <c r="AL269" s="27" t="s">
        <v>7</v>
      </c>
      <c r="AM269" s="27" t="s">
        <v>8</v>
      </c>
      <c r="AN269" s="27" t="s">
        <v>7</v>
      </c>
      <c r="AO269" s="27" t="s">
        <v>8</v>
      </c>
      <c r="AP269" s="27" t="s">
        <v>7</v>
      </c>
      <c r="AQ269" s="27" t="s">
        <v>8</v>
      </c>
      <c r="BD269" s="27" t="s">
        <v>7</v>
      </c>
      <c r="BE269" s="27" t="s">
        <v>8</v>
      </c>
      <c r="BF269" s="27" t="s">
        <v>7</v>
      </c>
      <c r="BL269" s="27" t="s">
        <v>7</v>
      </c>
      <c r="BN269" s="27" t="s">
        <v>7</v>
      </c>
      <c r="BO269" s="27" t="s">
        <v>8</v>
      </c>
      <c r="BP269" s="27" t="s">
        <v>7</v>
      </c>
      <c r="CU269" s="27" t="s">
        <v>8</v>
      </c>
      <c r="DI269" s="27" t="s">
        <v>8</v>
      </c>
    </row>
    <row r="270" spans="1:123" x14ac:dyDescent="0.25">
      <c r="A270" s="30">
        <v>0.23137744865585538</v>
      </c>
      <c r="B270"/>
      <c r="C270"/>
      <c r="D270"/>
      <c r="E270"/>
      <c r="F270" s="27" t="s">
        <v>7</v>
      </c>
      <c r="AE270" s="27" t="s">
        <v>8</v>
      </c>
      <c r="AF270" s="27" t="s">
        <v>7</v>
      </c>
      <c r="AI270" s="27" t="s">
        <v>8</v>
      </c>
      <c r="AL270" s="27" t="s">
        <v>7</v>
      </c>
      <c r="AM270" s="27" t="s">
        <v>8</v>
      </c>
      <c r="AN270" s="27" t="s">
        <v>7</v>
      </c>
      <c r="AP270" s="27" t="s">
        <v>7</v>
      </c>
      <c r="AQ270" s="27" t="s">
        <v>8</v>
      </c>
      <c r="BD270" s="27" t="s">
        <v>7</v>
      </c>
      <c r="BE270" s="27" t="s">
        <v>8</v>
      </c>
      <c r="BN270" s="27" t="s">
        <v>7</v>
      </c>
      <c r="BO270" s="27" t="s">
        <v>8</v>
      </c>
      <c r="BP270" s="27" t="s">
        <v>7</v>
      </c>
      <c r="CU270" s="27" t="s">
        <v>8</v>
      </c>
      <c r="CV270" s="27" t="s">
        <v>7</v>
      </c>
      <c r="DI270" s="27" t="s">
        <v>8</v>
      </c>
      <c r="DJ270" s="27" t="s">
        <v>7</v>
      </c>
    </row>
    <row r="271" spans="1:123" x14ac:dyDescent="0.25">
      <c r="A271" s="30">
        <v>0.22035947491033836</v>
      </c>
      <c r="B271"/>
      <c r="C271"/>
      <c r="D271"/>
      <c r="E271"/>
      <c r="F271" s="27" t="s">
        <v>7</v>
      </c>
      <c r="AE271" s="27" t="s">
        <v>8</v>
      </c>
      <c r="AF271" s="27" t="s">
        <v>7</v>
      </c>
      <c r="AI271" s="27" t="s">
        <v>8</v>
      </c>
      <c r="AL271" s="27" t="s">
        <v>7</v>
      </c>
      <c r="AM271" s="27" t="s">
        <v>8</v>
      </c>
      <c r="AP271" s="27" t="s">
        <v>7</v>
      </c>
      <c r="BD271" s="27" t="s">
        <v>7</v>
      </c>
      <c r="BN271" s="27" t="s">
        <v>7</v>
      </c>
      <c r="BO271" s="27" t="s">
        <v>8</v>
      </c>
      <c r="BP271" s="27" t="s">
        <v>7</v>
      </c>
      <c r="BU271" s="27" t="s">
        <v>8</v>
      </c>
      <c r="CA271" s="27" t="s">
        <v>8</v>
      </c>
      <c r="CS271" s="27" t="s">
        <v>8</v>
      </c>
      <c r="CU271" s="27" t="s">
        <v>8</v>
      </c>
      <c r="CV271" s="27" t="s">
        <v>7</v>
      </c>
      <c r="DI271" s="27" t="s">
        <v>8</v>
      </c>
      <c r="DJ271" s="27" t="s">
        <v>7</v>
      </c>
    </row>
    <row r="272" spans="1:123" x14ac:dyDescent="0.25">
      <c r="A272" s="30">
        <v>0.20986616658127455</v>
      </c>
      <c r="B272"/>
      <c r="C272"/>
      <c r="D272"/>
      <c r="E272"/>
      <c r="F272" s="27" t="s">
        <v>7</v>
      </c>
      <c r="U272" s="27" t="s">
        <v>8</v>
      </c>
      <c r="AE272" s="27" t="s">
        <v>8</v>
      </c>
      <c r="AF272" s="27" t="s">
        <v>7</v>
      </c>
      <c r="AG272" s="27" t="s">
        <v>8</v>
      </c>
      <c r="AI272" s="27" t="s">
        <v>8</v>
      </c>
      <c r="AL272" s="27" t="s">
        <v>7</v>
      </c>
      <c r="AM272" s="27" t="s">
        <v>8</v>
      </c>
      <c r="BN272" s="27" t="s">
        <v>7</v>
      </c>
      <c r="BO272" s="27" t="s">
        <v>8</v>
      </c>
      <c r="BP272" s="27" t="s">
        <v>7</v>
      </c>
      <c r="BU272" s="27" t="s">
        <v>8</v>
      </c>
      <c r="BV272" s="27" t="s">
        <v>7</v>
      </c>
      <c r="CA272" s="27" t="s">
        <v>8</v>
      </c>
      <c r="CB272" s="27" t="s">
        <v>7</v>
      </c>
      <c r="CO272" s="27" t="s">
        <v>8</v>
      </c>
      <c r="CS272" s="27" t="s">
        <v>8</v>
      </c>
      <c r="CT272" s="27" t="s">
        <v>7</v>
      </c>
      <c r="CU272" s="27" t="s">
        <v>8</v>
      </c>
      <c r="CV272" s="27" t="s">
        <v>7</v>
      </c>
      <c r="DC272" s="27" t="s">
        <v>8</v>
      </c>
      <c r="DE272" s="27" t="s">
        <v>8</v>
      </c>
      <c r="DI272" s="27" t="s">
        <v>8</v>
      </c>
      <c r="DJ272" s="27" t="s">
        <v>7</v>
      </c>
      <c r="DM272" s="27" t="s">
        <v>8</v>
      </c>
      <c r="DS272" s="27" t="s">
        <v>8</v>
      </c>
    </row>
    <row r="273" spans="1:130" x14ac:dyDescent="0.25">
      <c r="A273" s="30">
        <v>0.19987253960121379</v>
      </c>
      <c r="B273"/>
      <c r="C273"/>
      <c r="D273"/>
      <c r="E273"/>
      <c r="F273" s="27" t="s">
        <v>7</v>
      </c>
      <c r="U273" s="27" t="s">
        <v>8</v>
      </c>
      <c r="V273" s="27" t="s">
        <v>7</v>
      </c>
      <c r="AE273" s="27" t="s">
        <v>8</v>
      </c>
      <c r="AF273" s="27" t="s">
        <v>7</v>
      </c>
      <c r="AG273" s="27" t="s">
        <v>8</v>
      </c>
      <c r="AH273" s="27" t="s">
        <v>7</v>
      </c>
      <c r="AI273" s="27" t="s">
        <v>8</v>
      </c>
      <c r="AL273" s="27" t="s">
        <v>7</v>
      </c>
      <c r="AM273" s="27" t="s">
        <v>8</v>
      </c>
      <c r="BN273" s="27" t="s">
        <v>7</v>
      </c>
      <c r="BO273" s="27" t="s">
        <v>8</v>
      </c>
      <c r="BP273" s="27" t="s">
        <v>7</v>
      </c>
      <c r="BQ273" s="27" t="s">
        <v>8</v>
      </c>
      <c r="BS273" s="27" t="s">
        <v>8</v>
      </c>
      <c r="BU273" s="27" t="s">
        <v>8</v>
      </c>
      <c r="BV273" s="27" t="s">
        <v>7</v>
      </c>
      <c r="BW273" s="27" t="s">
        <v>8</v>
      </c>
      <c r="CA273" s="27" t="s">
        <v>8</v>
      </c>
      <c r="CB273" s="27" t="s">
        <v>7</v>
      </c>
      <c r="CO273" s="27" t="s">
        <v>8</v>
      </c>
      <c r="CP273" s="27" t="s">
        <v>7</v>
      </c>
      <c r="CQ273" s="27" t="s">
        <v>8</v>
      </c>
      <c r="CS273" s="27" t="s">
        <v>8</v>
      </c>
      <c r="CT273" s="27" t="s">
        <v>7</v>
      </c>
      <c r="CU273" s="27" t="s">
        <v>8</v>
      </c>
      <c r="CV273" s="27" t="s">
        <v>7</v>
      </c>
      <c r="DC273" s="27" t="s">
        <v>8</v>
      </c>
      <c r="DD273" s="27" t="s">
        <v>7</v>
      </c>
      <c r="DE273" s="27" t="s">
        <v>8</v>
      </c>
      <c r="DF273" s="27" t="s">
        <v>7</v>
      </c>
      <c r="DI273" s="27" t="s">
        <v>8</v>
      </c>
      <c r="DJ273" s="27" t="s">
        <v>7</v>
      </c>
      <c r="DK273" s="27" t="s">
        <v>8</v>
      </c>
      <c r="DM273" s="27" t="s">
        <v>8</v>
      </c>
      <c r="DN273" s="27" t="s">
        <v>7</v>
      </c>
      <c r="DO273" s="27" t="s">
        <v>8</v>
      </c>
      <c r="DS273" s="27" t="s">
        <v>8</v>
      </c>
      <c r="DT273" s="27" t="s">
        <v>7</v>
      </c>
    </row>
    <row r="274" spans="1:130" x14ac:dyDescent="0.25">
      <c r="A274" s="30">
        <v>0.19035479962020352</v>
      </c>
      <c r="B274"/>
      <c r="C274"/>
      <c r="D274"/>
      <c r="E274"/>
      <c r="F274" s="27" t="s">
        <v>7</v>
      </c>
      <c r="U274" s="27" t="s">
        <v>8</v>
      </c>
      <c r="V274" s="27" t="s">
        <v>7</v>
      </c>
      <c r="AE274" s="27" t="s">
        <v>8</v>
      </c>
      <c r="AF274" s="27" t="s">
        <v>7</v>
      </c>
      <c r="AG274" s="27" t="s">
        <v>8</v>
      </c>
      <c r="AH274" s="27" t="s">
        <v>7</v>
      </c>
      <c r="AI274" s="27" t="s">
        <v>8</v>
      </c>
      <c r="AL274" s="27" t="s">
        <v>7</v>
      </c>
      <c r="AM274" s="27" t="s">
        <v>8</v>
      </c>
      <c r="BN274" s="27" t="s">
        <v>7</v>
      </c>
      <c r="BO274" s="27" t="s">
        <v>8</v>
      </c>
      <c r="BP274" s="27" t="s">
        <v>7</v>
      </c>
      <c r="BQ274" s="27" t="s">
        <v>8</v>
      </c>
      <c r="BR274" s="27" t="s">
        <v>7</v>
      </c>
      <c r="BS274" s="27" t="s">
        <v>8</v>
      </c>
      <c r="BT274" s="27" t="s">
        <v>7</v>
      </c>
      <c r="BU274" s="27" t="s">
        <v>8</v>
      </c>
      <c r="BV274" s="27" t="s">
        <v>7</v>
      </c>
      <c r="BW274" s="27" t="s">
        <v>8</v>
      </c>
      <c r="BX274" s="27" t="s">
        <v>7</v>
      </c>
      <c r="CA274" s="27" t="s">
        <v>8</v>
      </c>
      <c r="CB274" s="27" t="s">
        <v>7</v>
      </c>
      <c r="CG274" s="27" t="s">
        <v>8</v>
      </c>
      <c r="CM274" s="27" t="s">
        <v>8</v>
      </c>
      <c r="CO274" s="27" t="s">
        <v>8</v>
      </c>
      <c r="CP274" s="27" t="s">
        <v>7</v>
      </c>
      <c r="CQ274" s="27" t="s">
        <v>8</v>
      </c>
      <c r="CR274" s="27" t="s">
        <v>7</v>
      </c>
      <c r="CS274" s="27" t="s">
        <v>8</v>
      </c>
      <c r="CT274" s="27" t="s">
        <v>7</v>
      </c>
      <c r="CV274" s="27" t="s">
        <v>7</v>
      </c>
      <c r="CW274" s="27" t="s">
        <v>8</v>
      </c>
      <c r="CY274" s="27" t="s">
        <v>8</v>
      </c>
      <c r="DC274" s="27" t="s">
        <v>8</v>
      </c>
      <c r="DD274" s="27" t="s">
        <v>7</v>
      </c>
      <c r="DE274" s="27" t="s">
        <v>8</v>
      </c>
      <c r="DF274" s="27" t="s">
        <v>7</v>
      </c>
      <c r="DI274" s="27" t="s">
        <v>8</v>
      </c>
      <c r="DJ274" s="27" t="s">
        <v>7</v>
      </c>
      <c r="DK274" s="27" t="s">
        <v>8</v>
      </c>
      <c r="DL274" s="27" t="s">
        <v>7</v>
      </c>
      <c r="DM274" s="27" t="s">
        <v>8</v>
      </c>
      <c r="DN274" s="27" t="s">
        <v>7</v>
      </c>
      <c r="DO274" s="27" t="s">
        <v>8</v>
      </c>
      <c r="DP274" s="27" t="s">
        <v>7</v>
      </c>
      <c r="DQ274" s="27" t="s">
        <v>8</v>
      </c>
      <c r="DS274" s="27" t="s">
        <v>8</v>
      </c>
      <c r="DT274" s="27" t="s">
        <v>7</v>
      </c>
    </row>
    <row r="275" spans="1:130" x14ac:dyDescent="0.25">
      <c r="A275" s="30">
        <v>0.18129028535257471</v>
      </c>
      <c r="B275"/>
      <c r="C275"/>
      <c r="D275"/>
      <c r="E275"/>
      <c r="F275" s="27" t="s">
        <v>7</v>
      </c>
      <c r="U275" s="27" t="s">
        <v>8</v>
      </c>
      <c r="V275" s="27" t="s">
        <v>7</v>
      </c>
      <c r="AE275" s="27" t="s">
        <v>8</v>
      </c>
      <c r="AF275" s="27" t="s">
        <v>7</v>
      </c>
      <c r="AG275" s="27" t="s">
        <v>8</v>
      </c>
      <c r="AH275" s="27" t="s">
        <v>7</v>
      </c>
      <c r="AL275" s="27" t="s">
        <v>7</v>
      </c>
      <c r="AM275" s="27" t="s">
        <v>8</v>
      </c>
      <c r="BN275" s="27" t="s">
        <v>7</v>
      </c>
      <c r="BO275" s="27" t="s">
        <v>8</v>
      </c>
      <c r="BP275" s="27" t="s">
        <v>7</v>
      </c>
      <c r="BQ275" s="27" t="s">
        <v>8</v>
      </c>
      <c r="BR275" s="27" t="s">
        <v>7</v>
      </c>
      <c r="BS275" s="27" t="s">
        <v>8</v>
      </c>
      <c r="BT275" s="27" t="s">
        <v>7</v>
      </c>
      <c r="BU275" s="27" t="s">
        <v>8</v>
      </c>
      <c r="BV275" s="27" t="s">
        <v>7</v>
      </c>
      <c r="BW275" s="27" t="s">
        <v>8</v>
      </c>
      <c r="BX275" s="27" t="s">
        <v>7</v>
      </c>
      <c r="CA275" s="27" t="s">
        <v>8</v>
      </c>
      <c r="CB275" s="27" t="s">
        <v>7</v>
      </c>
      <c r="CG275" s="27" t="s">
        <v>8</v>
      </c>
      <c r="CH275" s="27" t="s">
        <v>7</v>
      </c>
      <c r="CM275" s="27" t="s">
        <v>8</v>
      </c>
      <c r="CN275" s="27" t="s">
        <v>7</v>
      </c>
      <c r="CO275" s="27" t="s">
        <v>8</v>
      </c>
      <c r="CP275" s="27" t="s">
        <v>7</v>
      </c>
      <c r="CQ275" s="27" t="s">
        <v>8</v>
      </c>
      <c r="CR275" s="27" t="s">
        <v>7</v>
      </c>
      <c r="CS275" s="27" t="s">
        <v>8</v>
      </c>
      <c r="CV275" s="27" t="s">
        <v>7</v>
      </c>
      <c r="CW275" s="27" t="s">
        <v>8</v>
      </c>
      <c r="CX275" s="27" t="s">
        <v>7</v>
      </c>
      <c r="CY275" s="27" t="s">
        <v>8</v>
      </c>
      <c r="CZ275" s="27" t="s">
        <v>7</v>
      </c>
      <c r="DC275" s="27" t="s">
        <v>8</v>
      </c>
      <c r="DD275" s="27" t="s">
        <v>7</v>
      </c>
      <c r="DE275" s="27" t="s">
        <v>8</v>
      </c>
      <c r="DF275" s="27" t="s">
        <v>7</v>
      </c>
      <c r="DG275" s="27" t="s">
        <v>8</v>
      </c>
      <c r="DI275" s="27" t="s">
        <v>8</v>
      </c>
      <c r="DJ275" s="27" t="s">
        <v>7</v>
      </c>
      <c r="DK275" s="27" t="s">
        <v>8</v>
      </c>
      <c r="DL275" s="27" t="s">
        <v>7</v>
      </c>
      <c r="DM275" s="27" t="s">
        <v>8</v>
      </c>
      <c r="DN275" s="27" t="s">
        <v>7</v>
      </c>
      <c r="DO275" s="27" t="s">
        <v>8</v>
      </c>
      <c r="DP275" s="27" t="s">
        <v>7</v>
      </c>
      <c r="DQ275" s="27" t="s">
        <v>8</v>
      </c>
      <c r="DR275" s="27" t="s">
        <v>7</v>
      </c>
      <c r="DS275" s="27" t="s">
        <v>8</v>
      </c>
      <c r="DT275" s="27" t="s">
        <v>7</v>
      </c>
    </row>
    <row r="276" spans="1:130" x14ac:dyDescent="0.25">
      <c r="A276" s="30">
        <v>0.17265741462149967</v>
      </c>
      <c r="B276"/>
      <c r="C276"/>
      <c r="D276"/>
      <c r="E276"/>
      <c r="F276" s="27" t="s">
        <v>7</v>
      </c>
      <c r="U276" s="27" t="s">
        <v>8</v>
      </c>
      <c r="V276" s="27" t="s">
        <v>7</v>
      </c>
      <c r="AE276" s="27" t="s">
        <v>8</v>
      </c>
      <c r="AF276" s="27" t="s">
        <v>7</v>
      </c>
      <c r="AL276" s="27" t="s">
        <v>7</v>
      </c>
      <c r="BN276" s="27" t="s">
        <v>7</v>
      </c>
      <c r="BO276" s="27" t="s">
        <v>8</v>
      </c>
      <c r="BP276" s="27" t="s">
        <v>7</v>
      </c>
      <c r="BR276" s="27" t="s">
        <v>7</v>
      </c>
      <c r="BS276" s="27" t="s">
        <v>8</v>
      </c>
      <c r="BT276" s="27" t="s">
        <v>7</v>
      </c>
      <c r="BV276" s="27" t="s">
        <v>7</v>
      </c>
      <c r="BW276" s="27" t="s">
        <v>8</v>
      </c>
      <c r="BX276" s="27" t="s">
        <v>7</v>
      </c>
      <c r="CA276" s="27" t="s">
        <v>8</v>
      </c>
      <c r="CB276" s="27" t="s">
        <v>7</v>
      </c>
      <c r="CG276" s="27" t="s">
        <v>8</v>
      </c>
      <c r="CH276" s="27" t="s">
        <v>7</v>
      </c>
      <c r="CM276" s="27" t="s">
        <v>8</v>
      </c>
      <c r="CN276" s="27" t="s">
        <v>7</v>
      </c>
      <c r="CO276" s="27" t="s">
        <v>8</v>
      </c>
      <c r="CP276" s="27" t="s">
        <v>7</v>
      </c>
      <c r="CR276" s="27" t="s">
        <v>7</v>
      </c>
      <c r="CV276" s="27" t="s">
        <v>7</v>
      </c>
      <c r="CW276" s="27" t="s">
        <v>8</v>
      </c>
      <c r="CX276" s="27" t="s">
        <v>7</v>
      </c>
      <c r="CY276" s="27" t="s">
        <v>8</v>
      </c>
      <c r="CZ276" s="27" t="s">
        <v>7</v>
      </c>
      <c r="DA276" s="27" t="s">
        <v>8</v>
      </c>
      <c r="DC276" s="27" t="s">
        <v>8</v>
      </c>
      <c r="DD276" s="27" t="s">
        <v>7</v>
      </c>
      <c r="DE276" s="27" t="s">
        <v>8</v>
      </c>
      <c r="DF276" s="27" t="s">
        <v>7</v>
      </c>
      <c r="DG276" s="27" t="s">
        <v>8</v>
      </c>
      <c r="DH276" s="27" t="s">
        <v>7</v>
      </c>
      <c r="DI276" s="27" t="s">
        <v>8</v>
      </c>
      <c r="DJ276" s="27" t="s">
        <v>7</v>
      </c>
      <c r="DK276" s="27" t="s">
        <v>8</v>
      </c>
      <c r="DL276" s="27" t="s">
        <v>7</v>
      </c>
      <c r="DN276" s="27" t="s">
        <v>7</v>
      </c>
      <c r="DO276" s="27" t="s">
        <v>8</v>
      </c>
      <c r="DP276" s="27" t="s">
        <v>7</v>
      </c>
      <c r="DQ276" s="27" t="s">
        <v>8</v>
      </c>
      <c r="DR276" s="27" t="s">
        <v>7</v>
      </c>
      <c r="DS276" s="27" t="s">
        <v>8</v>
      </c>
      <c r="DT276" s="27" t="s">
        <v>7</v>
      </c>
    </row>
    <row r="277" spans="1:130" x14ac:dyDescent="0.25">
      <c r="A277" s="30">
        <v>0.16443563297285677</v>
      </c>
      <c r="B277"/>
      <c r="C277"/>
      <c r="D277"/>
      <c r="E277"/>
      <c r="F277" s="27" t="s">
        <v>7</v>
      </c>
      <c r="U277" s="27" t="s">
        <v>8</v>
      </c>
      <c r="V277" s="27" t="s">
        <v>7</v>
      </c>
      <c r="AC277" s="27" t="s">
        <v>8</v>
      </c>
      <c r="AE277" s="27" t="s">
        <v>8</v>
      </c>
      <c r="BN277" s="27" t="s">
        <v>7</v>
      </c>
      <c r="BO277" s="27" t="s">
        <v>8</v>
      </c>
      <c r="BR277" s="27" t="s">
        <v>7</v>
      </c>
      <c r="BS277" s="27" t="s">
        <v>8</v>
      </c>
      <c r="BV277" s="27" t="s">
        <v>7</v>
      </c>
      <c r="BX277" s="27" t="s">
        <v>7</v>
      </c>
      <c r="CA277" s="27" t="s">
        <v>8</v>
      </c>
      <c r="CB277" s="27" t="s">
        <v>7</v>
      </c>
      <c r="CG277" s="27" t="s">
        <v>8</v>
      </c>
      <c r="CH277" s="27" t="s">
        <v>7</v>
      </c>
      <c r="CI277" s="27" t="s">
        <v>8</v>
      </c>
      <c r="CK277" s="27" t="s">
        <v>8</v>
      </c>
      <c r="CM277" s="27" t="s">
        <v>8</v>
      </c>
      <c r="CN277" s="27" t="s">
        <v>7</v>
      </c>
      <c r="CO277" s="27" t="s">
        <v>8</v>
      </c>
      <c r="CV277" s="27" t="s">
        <v>7</v>
      </c>
      <c r="CX277" s="27" t="s">
        <v>7</v>
      </c>
      <c r="CZ277" s="27" t="s">
        <v>7</v>
      </c>
      <c r="DA277" s="27" t="s">
        <v>8</v>
      </c>
      <c r="DB277" s="27" t="s">
        <v>7</v>
      </c>
      <c r="DC277" s="27" t="s">
        <v>8</v>
      </c>
      <c r="DD277" s="27" t="s">
        <v>7</v>
      </c>
      <c r="DE277" s="27" t="s">
        <v>8</v>
      </c>
      <c r="DF277" s="27" t="s">
        <v>7</v>
      </c>
      <c r="DG277" s="27" t="s">
        <v>8</v>
      </c>
      <c r="DH277" s="27" t="s">
        <v>7</v>
      </c>
      <c r="DI277" s="27" t="s">
        <v>8</v>
      </c>
      <c r="DJ277" s="27" t="s">
        <v>7</v>
      </c>
      <c r="DK277" s="27" t="s">
        <v>8</v>
      </c>
      <c r="DN277" s="27" t="s">
        <v>7</v>
      </c>
      <c r="DO277" s="27" t="s">
        <v>8</v>
      </c>
      <c r="DP277" s="27" t="s">
        <v>7</v>
      </c>
      <c r="DR277" s="27" t="s">
        <v>7</v>
      </c>
      <c r="DT277" s="27" t="s">
        <v>7</v>
      </c>
      <c r="DU277" s="27" t="s">
        <v>8</v>
      </c>
    </row>
    <row r="278" spans="1:130" x14ac:dyDescent="0.25">
      <c r="A278" s="30">
        <v>0.15660536473605399</v>
      </c>
      <c r="B278"/>
      <c r="C278"/>
      <c r="D278"/>
      <c r="E278"/>
      <c r="F278" s="27" t="s">
        <v>7</v>
      </c>
      <c r="U278" s="27" t="s">
        <v>8</v>
      </c>
      <c r="V278" s="27" t="s">
        <v>7</v>
      </c>
      <c r="W278" s="27" t="s">
        <v>8</v>
      </c>
      <c r="AC278" s="27" t="s">
        <v>8</v>
      </c>
      <c r="AD278" s="27" t="s">
        <v>7</v>
      </c>
      <c r="AE278" s="27" t="s">
        <v>8</v>
      </c>
      <c r="BN278" s="27" t="s">
        <v>7</v>
      </c>
      <c r="BO278" s="27" t="s">
        <v>8</v>
      </c>
      <c r="BR278" s="27" t="s">
        <v>7</v>
      </c>
      <c r="BS278" s="27" t="s">
        <v>8</v>
      </c>
      <c r="BX278" s="27" t="s">
        <v>7</v>
      </c>
      <c r="BY278" s="27" t="s">
        <v>8</v>
      </c>
      <c r="CA278" s="27" t="s">
        <v>8</v>
      </c>
      <c r="CB278" s="27" t="s">
        <v>7</v>
      </c>
      <c r="CG278" s="27" t="s">
        <v>8</v>
      </c>
      <c r="CH278" s="27" t="s">
        <v>7</v>
      </c>
      <c r="CI278" s="27" t="s">
        <v>8</v>
      </c>
      <c r="CJ278" s="27" t="s">
        <v>7</v>
      </c>
      <c r="CK278" s="27" t="s">
        <v>8</v>
      </c>
      <c r="CL278" s="27" t="s">
        <v>7</v>
      </c>
      <c r="CM278" s="27" t="s">
        <v>8</v>
      </c>
      <c r="CN278" s="27" t="s">
        <v>7</v>
      </c>
      <c r="CZ278" s="27" t="s">
        <v>7</v>
      </c>
      <c r="DA278" s="27" t="s">
        <v>8</v>
      </c>
      <c r="DB278" s="27" t="s">
        <v>7</v>
      </c>
      <c r="DC278" s="27" t="s">
        <v>8</v>
      </c>
      <c r="DD278" s="27" t="s">
        <v>7</v>
      </c>
      <c r="DE278" s="27" t="s">
        <v>8</v>
      </c>
      <c r="DF278" s="27" t="s">
        <v>7</v>
      </c>
      <c r="DH278" s="27" t="s">
        <v>7</v>
      </c>
      <c r="DJ278" s="27" t="s">
        <v>7</v>
      </c>
      <c r="DN278" s="27" t="s">
        <v>7</v>
      </c>
      <c r="DO278" s="27" t="s">
        <v>8</v>
      </c>
      <c r="DT278" s="27" t="s">
        <v>7</v>
      </c>
      <c r="DU278" s="27" t="s">
        <v>8</v>
      </c>
      <c r="DV278" s="27" t="s">
        <v>7</v>
      </c>
      <c r="DW278" s="27" t="s">
        <v>8</v>
      </c>
    </row>
    <row r="279" spans="1:130" x14ac:dyDescent="0.25">
      <c r="A279" s="30">
        <v>0.14914796641528946</v>
      </c>
      <c r="B279"/>
      <c r="C279"/>
      <c r="D279"/>
      <c r="E279"/>
      <c r="F279" s="27" t="s">
        <v>7</v>
      </c>
      <c r="U279" s="27" t="s">
        <v>8</v>
      </c>
      <c r="V279" s="27" t="s">
        <v>7</v>
      </c>
      <c r="W279" s="27" t="s">
        <v>8</v>
      </c>
      <c r="X279" s="27" t="s">
        <v>7</v>
      </c>
      <c r="AC279" s="27" t="s">
        <v>8</v>
      </c>
      <c r="AD279" s="27" t="s">
        <v>7</v>
      </c>
      <c r="AE279" s="27" t="s">
        <v>8</v>
      </c>
      <c r="BN279" s="27" t="s">
        <v>7</v>
      </c>
      <c r="BO279" s="27" t="s">
        <v>8</v>
      </c>
      <c r="BR279" s="27" t="s">
        <v>7</v>
      </c>
      <c r="BS279" s="27" t="s">
        <v>8</v>
      </c>
      <c r="BX279" s="27" t="s">
        <v>7</v>
      </c>
      <c r="BY279" s="27" t="s">
        <v>8</v>
      </c>
      <c r="BZ279" s="27" t="s">
        <v>7</v>
      </c>
      <c r="CA279" s="27" t="s">
        <v>8</v>
      </c>
      <c r="CB279" s="27" t="s">
        <v>7</v>
      </c>
      <c r="CG279" s="27" t="s">
        <v>8</v>
      </c>
      <c r="CH279" s="27" t="s">
        <v>7</v>
      </c>
      <c r="CI279" s="27" t="s">
        <v>8</v>
      </c>
      <c r="CJ279" s="27" t="s">
        <v>7</v>
      </c>
      <c r="CK279" s="27" t="s">
        <v>8</v>
      </c>
      <c r="CL279" s="27" t="s">
        <v>7</v>
      </c>
      <c r="CM279" s="27" t="s">
        <v>8</v>
      </c>
      <c r="CZ279" s="27" t="s">
        <v>7</v>
      </c>
      <c r="DA279" s="27" t="s">
        <v>8</v>
      </c>
      <c r="DB279" s="27" t="s">
        <v>7</v>
      </c>
      <c r="DD279" s="27" t="s">
        <v>7</v>
      </c>
      <c r="DE279" s="27" t="s">
        <v>8</v>
      </c>
      <c r="DN279" s="27" t="s">
        <v>7</v>
      </c>
      <c r="DT279" s="27" t="s">
        <v>7</v>
      </c>
      <c r="DU279" s="27" t="s">
        <v>8</v>
      </c>
      <c r="DV279" s="27" t="s">
        <v>7</v>
      </c>
      <c r="DW279" s="27" t="s">
        <v>8</v>
      </c>
      <c r="DX279" s="27" t="s">
        <v>7</v>
      </c>
    </row>
    <row r="280" spans="1:130" x14ac:dyDescent="0.25">
      <c r="A280" s="30">
        <v>0.14204568230027562</v>
      </c>
      <c r="B280"/>
      <c r="C280"/>
      <c r="D280"/>
      <c r="E280"/>
      <c r="F280" s="27" t="s">
        <v>7</v>
      </c>
      <c r="U280" s="27" t="s">
        <v>8</v>
      </c>
      <c r="V280" s="27" t="s">
        <v>7</v>
      </c>
      <c r="W280" s="27" t="s">
        <v>8</v>
      </c>
      <c r="X280" s="27" t="s">
        <v>7</v>
      </c>
      <c r="AC280" s="27" t="s">
        <v>8</v>
      </c>
      <c r="AD280" s="27" t="s">
        <v>7</v>
      </c>
      <c r="AE280" s="27" t="s">
        <v>8</v>
      </c>
      <c r="BN280" s="27" t="s">
        <v>7</v>
      </c>
      <c r="BO280" s="27" t="s">
        <v>8</v>
      </c>
      <c r="BR280" s="27" t="s">
        <v>7</v>
      </c>
      <c r="BS280" s="27" t="s">
        <v>8</v>
      </c>
      <c r="BX280" s="27" t="s">
        <v>7</v>
      </c>
      <c r="BY280" s="27" t="s">
        <v>8</v>
      </c>
      <c r="BZ280" s="27" t="s">
        <v>7</v>
      </c>
      <c r="CA280" s="27" t="s">
        <v>8</v>
      </c>
      <c r="CB280" s="27" t="s">
        <v>7</v>
      </c>
      <c r="CE280" s="27" t="s">
        <v>8</v>
      </c>
      <c r="CG280" s="27" t="s">
        <v>8</v>
      </c>
      <c r="CH280" s="27" t="s">
        <v>7</v>
      </c>
      <c r="CI280" s="27" t="s">
        <v>8</v>
      </c>
      <c r="CJ280" s="27" t="s">
        <v>7</v>
      </c>
      <c r="CK280" s="27" t="s">
        <v>8</v>
      </c>
      <c r="CL280" s="27" t="s">
        <v>7</v>
      </c>
      <c r="CZ280" s="27" t="s">
        <v>7</v>
      </c>
      <c r="DA280" s="27" t="s">
        <v>8</v>
      </c>
      <c r="DD280" s="27" t="s">
        <v>7</v>
      </c>
      <c r="DT280" s="27" t="s">
        <v>7</v>
      </c>
      <c r="DU280" s="27" t="s">
        <v>8</v>
      </c>
      <c r="DV280" s="27" t="s">
        <v>7</v>
      </c>
      <c r="DW280" s="27" t="s">
        <v>8</v>
      </c>
      <c r="DX280" s="27" t="s">
        <v>7</v>
      </c>
    </row>
    <row r="281" spans="1:130" x14ac:dyDescent="0.25">
      <c r="A281" s="30">
        <v>0.13528160219073862</v>
      </c>
      <c r="B281"/>
      <c r="C281"/>
      <c r="D281"/>
      <c r="E281"/>
      <c r="F281" s="27" t="s">
        <v>7</v>
      </c>
      <c r="U281" s="27" t="s">
        <v>8</v>
      </c>
      <c r="V281" s="27" t="s">
        <v>7</v>
      </c>
      <c r="W281" s="27" t="s">
        <v>8</v>
      </c>
      <c r="X281" s="27" t="s">
        <v>7</v>
      </c>
      <c r="AC281" s="27" t="s">
        <v>8</v>
      </c>
      <c r="AD281" s="27" t="s">
        <v>7</v>
      </c>
      <c r="AE281" s="27" t="s">
        <v>8</v>
      </c>
      <c r="BN281" s="27" t="s">
        <v>7</v>
      </c>
      <c r="BR281" s="27" t="s">
        <v>7</v>
      </c>
      <c r="BS281" s="27" t="s">
        <v>8</v>
      </c>
      <c r="BX281" s="27" t="s">
        <v>7</v>
      </c>
      <c r="BZ281" s="27" t="s">
        <v>7</v>
      </c>
      <c r="CA281" s="27" t="s">
        <v>8</v>
      </c>
      <c r="CB281" s="27" t="s">
        <v>7</v>
      </c>
      <c r="CC281" s="27" t="s">
        <v>8</v>
      </c>
      <c r="CE281" s="27" t="s">
        <v>8</v>
      </c>
      <c r="CF281" s="27" t="s">
        <v>7</v>
      </c>
      <c r="CG281" s="27" t="s">
        <v>8</v>
      </c>
      <c r="CH281" s="27" t="s">
        <v>7</v>
      </c>
      <c r="CI281" s="27" t="s">
        <v>8</v>
      </c>
      <c r="CJ281" s="27" t="s">
        <v>7</v>
      </c>
      <c r="CZ281" s="27" t="s">
        <v>7</v>
      </c>
      <c r="DT281" s="27" t="s">
        <v>7</v>
      </c>
      <c r="DU281" s="27" t="s">
        <v>8</v>
      </c>
      <c r="DV281" s="27" t="s">
        <v>7</v>
      </c>
      <c r="DW281" s="27" t="s">
        <v>8</v>
      </c>
      <c r="DX281" s="27" t="s">
        <v>7</v>
      </c>
    </row>
    <row r="282" spans="1:130" x14ac:dyDescent="0.25">
      <c r="A282" s="30">
        <v>0.12883962113403674</v>
      </c>
      <c r="B282"/>
      <c r="C282"/>
      <c r="D282"/>
      <c r="E282"/>
      <c r="F282" s="27" t="s">
        <v>7</v>
      </c>
      <c r="U282" s="27" t="s">
        <v>8</v>
      </c>
      <c r="V282" s="27" t="s">
        <v>7</v>
      </c>
      <c r="W282" s="27" t="s">
        <v>8</v>
      </c>
      <c r="X282" s="27" t="s">
        <v>7</v>
      </c>
      <c r="Y282" s="27" t="s">
        <v>8</v>
      </c>
      <c r="AC282" s="27" t="s">
        <v>8</v>
      </c>
      <c r="AD282" s="27" t="s">
        <v>7</v>
      </c>
      <c r="AE282" s="27" t="s">
        <v>8</v>
      </c>
      <c r="BR282" s="27" t="s">
        <v>7</v>
      </c>
      <c r="BS282" s="27" t="s">
        <v>8</v>
      </c>
      <c r="BZ282" s="27" t="s">
        <v>7</v>
      </c>
      <c r="CA282" s="27" t="s">
        <v>8</v>
      </c>
      <c r="CB282" s="27" t="s">
        <v>7</v>
      </c>
      <c r="CC282" s="27" t="s">
        <v>8</v>
      </c>
      <c r="CD282" s="27" t="s">
        <v>7</v>
      </c>
      <c r="CE282" s="27" t="s">
        <v>8</v>
      </c>
      <c r="CF282" s="27" t="s">
        <v>7</v>
      </c>
      <c r="CG282" s="27" t="s">
        <v>8</v>
      </c>
      <c r="CH282" s="27" t="s">
        <v>7</v>
      </c>
      <c r="CI282" s="27" t="s">
        <v>8</v>
      </c>
      <c r="DT282" s="27" t="s">
        <v>7</v>
      </c>
      <c r="DV282" s="27" t="s">
        <v>7</v>
      </c>
      <c r="DW282" s="27" t="s">
        <v>8</v>
      </c>
      <c r="DX282" s="27" t="s">
        <v>7</v>
      </c>
    </row>
    <row r="283" spans="1:130" x14ac:dyDescent="0.25">
      <c r="A283" s="30">
        <v>0.12270440108003494</v>
      </c>
      <c r="B283"/>
      <c r="C283"/>
      <c r="D283"/>
      <c r="E283"/>
      <c r="F283" s="27" t="s">
        <v>7</v>
      </c>
      <c r="U283" s="27" t="s">
        <v>8</v>
      </c>
      <c r="V283" s="27" t="s">
        <v>7</v>
      </c>
      <c r="W283" s="27" t="s">
        <v>8</v>
      </c>
      <c r="X283" s="27" t="s">
        <v>7</v>
      </c>
      <c r="Y283" s="27" t="s">
        <v>8</v>
      </c>
      <c r="Z283" s="27" t="s">
        <v>7</v>
      </c>
      <c r="AA283" s="27" t="s">
        <v>8</v>
      </c>
      <c r="AC283" s="27" t="s">
        <v>8</v>
      </c>
      <c r="AD283" s="27" t="s">
        <v>7</v>
      </c>
      <c r="BR283" s="27" t="s">
        <v>7</v>
      </c>
      <c r="BZ283" s="27" t="s">
        <v>7</v>
      </c>
      <c r="CA283" s="27" t="s">
        <v>8</v>
      </c>
      <c r="CB283" s="27" t="s">
        <v>7</v>
      </c>
      <c r="CC283" s="27" t="s">
        <v>8</v>
      </c>
      <c r="CD283" s="27" t="s">
        <v>7</v>
      </c>
      <c r="CE283" s="27" t="s">
        <v>8</v>
      </c>
      <c r="CF283" s="27" t="s">
        <v>7</v>
      </c>
      <c r="CG283" s="27" t="s">
        <v>8</v>
      </c>
      <c r="CH283" s="27" t="s">
        <v>7</v>
      </c>
      <c r="CI283" s="27" t="s">
        <v>8</v>
      </c>
      <c r="DV283" s="27" t="s">
        <v>7</v>
      </c>
      <c r="DX283" s="27" t="s">
        <v>7</v>
      </c>
    </row>
    <row r="284" spans="1:130" x14ac:dyDescent="0.25">
      <c r="A284" s="30">
        <v>0.11686133436193799</v>
      </c>
      <c r="B284"/>
      <c r="C284"/>
      <c r="D284"/>
      <c r="E284"/>
      <c r="F284" s="27" t="s">
        <v>7</v>
      </c>
      <c r="U284" s="27" t="s">
        <v>8</v>
      </c>
      <c r="V284" s="27" t="s">
        <v>7</v>
      </c>
      <c r="W284" s="27" t="s">
        <v>8</v>
      </c>
      <c r="X284" s="27" t="s">
        <v>7</v>
      </c>
      <c r="Y284" s="27" t="s">
        <v>8</v>
      </c>
      <c r="Z284" s="27" t="s">
        <v>7</v>
      </c>
      <c r="AA284" s="27" t="s">
        <v>8</v>
      </c>
      <c r="AB284" s="27" t="s">
        <v>7</v>
      </c>
      <c r="AC284" s="27" t="s">
        <v>8</v>
      </c>
      <c r="BZ284" s="27" t="s">
        <v>7</v>
      </c>
      <c r="CB284" s="27" t="s">
        <v>7</v>
      </c>
      <c r="CC284" s="27" t="s">
        <v>8</v>
      </c>
      <c r="CD284" s="27" t="s">
        <v>7</v>
      </c>
      <c r="CE284" s="27" t="s">
        <v>8</v>
      </c>
      <c r="CF284" s="27" t="s">
        <v>7</v>
      </c>
      <c r="CG284" s="27" t="s">
        <v>8</v>
      </c>
      <c r="CH284" s="27" t="s">
        <v>7</v>
      </c>
      <c r="CI284" s="27" t="s">
        <v>8</v>
      </c>
      <c r="DX284" s="27" t="s">
        <v>7</v>
      </c>
      <c r="DY284" s="27" t="s">
        <v>8</v>
      </c>
    </row>
    <row r="285" spans="1:130" x14ac:dyDescent="0.25">
      <c r="A285" s="30">
        <v>0.11129650891613138</v>
      </c>
      <c r="B285"/>
      <c r="C285"/>
      <c r="D285"/>
      <c r="E285"/>
      <c r="F285" s="27" t="s">
        <v>7</v>
      </c>
      <c r="U285" s="27" t="s">
        <v>8</v>
      </c>
      <c r="V285" s="27" t="s">
        <v>7</v>
      </c>
      <c r="W285" s="27" t="s">
        <v>8</v>
      </c>
      <c r="X285" s="27" t="s">
        <v>7</v>
      </c>
      <c r="Y285" s="27" t="s">
        <v>8</v>
      </c>
      <c r="Z285" s="27" t="s">
        <v>7</v>
      </c>
      <c r="AA285" s="27" t="s">
        <v>8</v>
      </c>
      <c r="AB285" s="27" t="s">
        <v>7</v>
      </c>
      <c r="AC285" s="27" t="s">
        <v>8</v>
      </c>
      <c r="CB285" s="27" t="s">
        <v>7</v>
      </c>
      <c r="CD285" s="27" t="s">
        <v>7</v>
      </c>
      <c r="CF285" s="27" t="s">
        <v>7</v>
      </c>
      <c r="CH285" s="18" t="s">
        <v>7</v>
      </c>
      <c r="CI285" s="27" t="s">
        <v>8</v>
      </c>
      <c r="DX285" s="27" t="s">
        <v>7</v>
      </c>
      <c r="DY285" s="27" t="s">
        <v>8</v>
      </c>
      <c r="DZ285" s="27" t="s">
        <v>7</v>
      </c>
    </row>
    <row r="286" spans="1:130" x14ac:dyDescent="0.25">
      <c r="A286" s="30">
        <v>0.10599667515822032</v>
      </c>
      <c r="B286"/>
      <c r="C286"/>
      <c r="D286"/>
      <c r="E286"/>
      <c r="F286" s="27" t="s">
        <v>7</v>
      </c>
      <c r="U286" s="27" t="s">
        <v>8</v>
      </c>
      <c r="V286" s="27" t="s">
        <v>7</v>
      </c>
      <c r="W286" s="27" t="s">
        <v>8</v>
      </c>
      <c r="X286" s="27" t="s">
        <v>7</v>
      </c>
      <c r="Z286" s="27" t="s">
        <v>7</v>
      </c>
      <c r="AA286" s="27" t="s">
        <v>8</v>
      </c>
      <c r="AB286" s="27" t="s">
        <v>7</v>
      </c>
      <c r="AC286" s="27" t="s">
        <v>8</v>
      </c>
      <c r="CH286" s="27" t="s">
        <v>7</v>
      </c>
      <c r="CI286" s="27" t="s">
        <v>8</v>
      </c>
      <c r="DX286" s="27" t="s">
        <v>7</v>
      </c>
      <c r="DY286" s="27" t="s">
        <v>8</v>
      </c>
      <c r="DZ286" s="27" t="s">
        <v>7</v>
      </c>
    </row>
    <row r="287" spans="1:130" x14ac:dyDescent="0.25">
      <c r="A287" s="30">
        <v>0.10094921443640027</v>
      </c>
      <c r="B287"/>
      <c r="C287"/>
      <c r="D287"/>
      <c r="E287"/>
      <c r="F287" s="27" t="s">
        <v>7</v>
      </c>
      <c r="U287" s="27" t="s">
        <v>8</v>
      </c>
      <c r="V287" s="27" t="s">
        <v>7</v>
      </c>
      <c r="W287" s="27" t="s">
        <v>8</v>
      </c>
      <c r="Z287" s="27" t="s">
        <v>7</v>
      </c>
      <c r="AA287" s="27" t="s">
        <v>8</v>
      </c>
      <c r="AB287" s="27" t="s">
        <v>7</v>
      </c>
      <c r="CH287" s="27" t="s">
        <v>7</v>
      </c>
      <c r="DX287" s="27" t="s">
        <v>7</v>
      </c>
      <c r="DZ287" s="27" t="s">
        <v>7</v>
      </c>
    </row>
    <row r="288" spans="1:130" x14ac:dyDescent="0.25">
      <c r="A288" s="30">
        <v>9.6142108987047836E-2</v>
      </c>
      <c r="B288"/>
      <c r="C288"/>
      <c r="D288"/>
      <c r="E288"/>
      <c r="F288" s="27" t="s">
        <v>7</v>
      </c>
      <c r="U288" s="27" t="s">
        <v>8</v>
      </c>
      <c r="V288" s="27" t="s">
        <v>7</v>
      </c>
      <c r="W288" s="27" t="s">
        <v>8</v>
      </c>
      <c r="Z288" s="27" t="s">
        <v>7</v>
      </c>
      <c r="AA288" s="27" t="s">
        <v>8</v>
      </c>
      <c r="DZ288" s="27" t="s">
        <v>7</v>
      </c>
    </row>
    <row r="289" spans="1:133" x14ac:dyDescent="0.25">
      <c r="A289" s="30">
        <v>9.1563913320997906E-2</v>
      </c>
      <c r="B289"/>
      <c r="C289"/>
      <c r="D289"/>
      <c r="E289"/>
      <c r="F289" s="27" t="s">
        <v>7</v>
      </c>
      <c r="U289" s="27" t="s">
        <v>8</v>
      </c>
      <c r="V289" s="27" t="s">
        <v>7</v>
      </c>
      <c r="W289" s="27" t="s">
        <v>8</v>
      </c>
      <c r="Z289" s="27" t="s">
        <v>7</v>
      </c>
      <c r="DZ289" s="27" t="s">
        <v>7</v>
      </c>
    </row>
    <row r="290" spans="1:133" x14ac:dyDescent="0.25">
      <c r="A290" s="30">
        <v>8.7203726972378923E-2</v>
      </c>
      <c r="B290"/>
      <c r="C290"/>
      <c r="D290"/>
      <c r="E290"/>
      <c r="F290" s="27" t="s">
        <v>7</v>
      </c>
      <c r="U290" s="27" t="s">
        <v>8</v>
      </c>
      <c r="V290" s="27" t="s">
        <v>7</v>
      </c>
      <c r="W290" s="27" t="s">
        <v>8</v>
      </c>
      <c r="DZ290" s="27" t="s">
        <v>7</v>
      </c>
    </row>
    <row r="291" spans="1:133" x14ac:dyDescent="0.25">
      <c r="A291" s="30">
        <v>8.3051168545122747E-2</v>
      </c>
      <c r="B291"/>
      <c r="C291"/>
      <c r="D291"/>
      <c r="E291"/>
      <c r="F291" s="27" t="s">
        <v>7</v>
      </c>
      <c r="U291" s="27" t="s">
        <v>8</v>
      </c>
      <c r="V291" s="27" t="s">
        <v>7</v>
      </c>
      <c r="W291" s="27" t="s">
        <v>8</v>
      </c>
      <c r="DZ291" s="27" t="s">
        <v>7</v>
      </c>
      <c r="EA291" s="27" t="s">
        <v>8</v>
      </c>
      <c r="EC291" s="27" t="s">
        <v>8</v>
      </c>
    </row>
    <row r="292" spans="1:133" x14ac:dyDescent="0.25">
      <c r="A292" s="30">
        <v>7.9096350995354961E-2</v>
      </c>
      <c r="B292"/>
      <c r="C292"/>
      <c r="D292"/>
      <c r="E292"/>
      <c r="F292" s="27" t="s">
        <v>7</v>
      </c>
      <c r="U292" s="27" t="s">
        <v>8</v>
      </c>
      <c r="V292" s="27" t="s">
        <v>7</v>
      </c>
      <c r="DZ292" s="27" t="s">
        <v>7</v>
      </c>
      <c r="EA292" s="27" t="s">
        <v>8</v>
      </c>
      <c r="EB292" s="27" t="s">
        <v>7</v>
      </c>
      <c r="EC292" s="27" t="s">
        <v>8</v>
      </c>
    </row>
    <row r="293" spans="1:133" x14ac:dyDescent="0.25">
      <c r="A293" s="30">
        <v>7.5329858090814217E-2</v>
      </c>
      <c r="B293"/>
      <c r="C293"/>
      <c r="D293"/>
      <c r="E293"/>
      <c r="F293" s="27" t="s">
        <v>7</v>
      </c>
      <c r="U293" s="27" t="s">
        <v>8</v>
      </c>
      <c r="DZ293" s="27" t="s">
        <v>7</v>
      </c>
      <c r="EA293" s="27" t="s">
        <v>8</v>
      </c>
      <c r="EB293" s="27" t="s">
        <v>7</v>
      </c>
      <c r="EC293" s="27" t="s">
        <v>8</v>
      </c>
    </row>
    <row r="294" spans="1:133" x14ac:dyDescent="0.25">
      <c r="A294" s="30">
        <v>7.1742721991251604E-2</v>
      </c>
      <c r="B294"/>
      <c r="C294"/>
      <c r="D294"/>
      <c r="E294"/>
      <c r="F294" s="27" t="s">
        <v>7</v>
      </c>
      <c r="G294" s="27" t="s">
        <v>8</v>
      </c>
      <c r="U294" s="27" t="s">
        <v>8</v>
      </c>
      <c r="DZ294" s="27" t="s">
        <v>7</v>
      </c>
      <c r="EA294" s="27" t="s">
        <v>8</v>
      </c>
      <c r="EB294" s="27" t="s">
        <v>7</v>
      </c>
      <c r="EC294" s="27" t="s">
        <v>8</v>
      </c>
    </row>
    <row r="295" spans="1:133" x14ac:dyDescent="0.25">
      <c r="A295" s="30">
        <v>6.8326401896430078E-2</v>
      </c>
      <c r="B295"/>
      <c r="C295"/>
      <c r="D295"/>
      <c r="E295"/>
      <c r="F295" s="27" t="s">
        <v>7</v>
      </c>
      <c r="G295" s="27" t="s">
        <v>8</v>
      </c>
      <c r="H295" s="27" t="s">
        <v>7</v>
      </c>
      <c r="K295" s="27" t="s">
        <v>8</v>
      </c>
      <c r="U295" s="27" t="s">
        <v>8</v>
      </c>
      <c r="DZ295" s="27" t="s">
        <v>7</v>
      </c>
      <c r="EB295" s="27" t="s">
        <v>7</v>
      </c>
    </row>
    <row r="296" spans="1:133" x14ac:dyDescent="0.25">
      <c r="A296" s="30">
        <v>6.5072763710885759E-2</v>
      </c>
      <c r="B296"/>
      <c r="C296"/>
      <c r="D296"/>
      <c r="E296"/>
      <c r="F296" s="27" t="s">
        <v>7</v>
      </c>
      <c r="G296" s="27" t="s">
        <v>8</v>
      </c>
      <c r="H296" s="27" t="s">
        <v>7</v>
      </c>
      <c r="K296" s="27" t="s">
        <v>8</v>
      </c>
      <c r="L296" s="27" t="s">
        <v>7</v>
      </c>
      <c r="O296" s="27" t="s">
        <v>8</v>
      </c>
      <c r="S296" s="27" t="s">
        <v>8</v>
      </c>
      <c r="U296" s="27" t="s">
        <v>8</v>
      </c>
    </row>
    <row r="297" spans="1:133" x14ac:dyDescent="0.25">
      <c r="A297" s="30">
        <v>6.197406067703403E-2</v>
      </c>
      <c r="B297"/>
      <c r="C297"/>
      <c r="D297"/>
      <c r="E297"/>
      <c r="F297" s="27" t="s">
        <v>7</v>
      </c>
      <c r="G297" s="27" t="s">
        <v>8</v>
      </c>
      <c r="H297" s="27" t="s">
        <v>7</v>
      </c>
      <c r="K297" s="27" t="s">
        <v>8</v>
      </c>
      <c r="L297" s="27" t="s">
        <v>7</v>
      </c>
      <c r="M297" s="27" t="s">
        <v>8</v>
      </c>
      <c r="O297" s="27" t="s">
        <v>8</v>
      </c>
      <c r="P297" s="27" t="s">
        <v>7</v>
      </c>
      <c r="S297" s="27" t="s">
        <v>8</v>
      </c>
      <c r="T297" s="27" t="s">
        <v>7</v>
      </c>
      <c r="U297" s="27" t="s">
        <v>8</v>
      </c>
    </row>
    <row r="298" spans="1:133" x14ac:dyDescent="0.25">
      <c r="A298" s="30">
        <v>5.9022914930508576E-2</v>
      </c>
      <c r="B298"/>
      <c r="C298"/>
      <c r="D298"/>
      <c r="E298"/>
      <c r="F298" s="27" t="s">
        <v>7</v>
      </c>
      <c r="G298" s="27" t="s">
        <v>8</v>
      </c>
      <c r="H298" s="27" t="s">
        <v>7</v>
      </c>
      <c r="K298" s="27" t="s">
        <v>8</v>
      </c>
      <c r="L298" s="27" t="s">
        <v>7</v>
      </c>
      <c r="M298" s="27" t="s">
        <v>8</v>
      </c>
      <c r="N298" s="27" t="s">
        <v>7</v>
      </c>
      <c r="O298" s="27" t="s">
        <v>8</v>
      </c>
      <c r="P298" s="27" t="s">
        <v>7</v>
      </c>
      <c r="S298" s="27" t="s">
        <v>8</v>
      </c>
      <c r="T298" s="27" t="s">
        <v>7</v>
      </c>
      <c r="U298" s="27" t="s">
        <v>8</v>
      </c>
    </row>
    <row r="299" spans="1:133" x14ac:dyDescent="0.25">
      <c r="A299" s="30">
        <v>5.6212299933817669E-2</v>
      </c>
      <c r="B299"/>
      <c r="C299"/>
      <c r="D299"/>
      <c r="E299"/>
      <c r="F299" s="27" t="s">
        <v>7</v>
      </c>
      <c r="G299" s="27" t="s">
        <v>8</v>
      </c>
      <c r="H299" s="27" t="s">
        <v>7</v>
      </c>
      <c r="I299" s="27" t="s">
        <v>8</v>
      </c>
      <c r="K299" s="27" t="s">
        <v>8</v>
      </c>
      <c r="L299" s="27" t="s">
        <v>7</v>
      </c>
      <c r="M299" s="27" t="s">
        <v>8</v>
      </c>
      <c r="N299" s="27" t="s">
        <v>7</v>
      </c>
      <c r="O299" s="27" t="s">
        <v>8</v>
      </c>
      <c r="P299" s="27" t="s">
        <v>7</v>
      </c>
      <c r="S299" s="27" t="s">
        <v>8</v>
      </c>
      <c r="T299" s="27" t="s">
        <v>7</v>
      </c>
      <c r="U299" s="27" t="s">
        <v>8</v>
      </c>
    </row>
    <row r="300" spans="1:133" x14ac:dyDescent="0.25">
      <c r="A300" s="30">
        <v>5.3535523746492994E-2</v>
      </c>
      <c r="B300"/>
      <c r="C300"/>
      <c r="D300"/>
      <c r="E300"/>
      <c r="F300" s="27" t="s">
        <v>7</v>
      </c>
      <c r="G300" s="27" t="s">
        <v>8</v>
      </c>
      <c r="H300" s="27" t="s">
        <v>7</v>
      </c>
      <c r="I300" s="27" t="s">
        <v>8</v>
      </c>
      <c r="J300" s="27" t="s">
        <v>7</v>
      </c>
      <c r="K300" s="27" t="s">
        <v>8</v>
      </c>
      <c r="L300" s="27" t="s">
        <v>7</v>
      </c>
      <c r="M300" s="27" t="s">
        <v>8</v>
      </c>
      <c r="N300" s="27" t="s">
        <v>7</v>
      </c>
      <c r="O300" s="27" t="s">
        <v>8</v>
      </c>
      <c r="P300" s="27" t="s">
        <v>7</v>
      </c>
      <c r="Q300" s="27" t="s">
        <v>8</v>
      </c>
      <c r="S300" s="27" t="s">
        <v>8</v>
      </c>
      <c r="T300" s="27" t="s">
        <v>7</v>
      </c>
      <c r="U300" s="27" t="s">
        <v>8</v>
      </c>
    </row>
    <row r="301" spans="1:133" x14ac:dyDescent="0.25">
      <c r="A301" s="30">
        <v>5.0986213091898068E-2</v>
      </c>
      <c r="B301"/>
      <c r="C301"/>
      <c r="D301"/>
      <c r="E301"/>
      <c r="F301" s="27" t="s">
        <v>7</v>
      </c>
      <c r="G301" s="27" t="s">
        <v>8</v>
      </c>
      <c r="H301" s="27" t="s">
        <v>7</v>
      </c>
      <c r="I301" s="27" t="s">
        <v>8</v>
      </c>
      <c r="J301" s="27" t="s">
        <v>7</v>
      </c>
      <c r="K301" s="27" t="s">
        <v>8</v>
      </c>
      <c r="L301" s="27" t="s">
        <v>7</v>
      </c>
      <c r="M301" s="27" t="s">
        <v>8</v>
      </c>
      <c r="N301" s="27" t="s">
        <v>7</v>
      </c>
      <c r="P301" s="27" t="s">
        <v>7</v>
      </c>
      <c r="Q301" s="27" t="s">
        <v>8</v>
      </c>
      <c r="R301" s="27" t="s">
        <v>7</v>
      </c>
      <c r="S301" s="27" t="s">
        <v>8</v>
      </c>
      <c r="T301" s="27" t="s">
        <v>7</v>
      </c>
      <c r="U301" s="27" t="s">
        <v>8</v>
      </c>
    </row>
    <row r="302" spans="1:133" x14ac:dyDescent="0.25">
      <c r="A302" s="30">
        <v>4.8558298182760043E-2</v>
      </c>
      <c r="B302"/>
      <c r="C302"/>
      <c r="D302"/>
      <c r="E302"/>
      <c r="F302" s="27" t="s">
        <v>7</v>
      </c>
      <c r="G302" s="27" t="s">
        <v>8</v>
      </c>
      <c r="H302" s="27" t="s">
        <v>7</v>
      </c>
      <c r="J302" s="27" t="s">
        <v>7</v>
      </c>
      <c r="K302" s="27" t="s">
        <v>8</v>
      </c>
      <c r="L302" s="27" t="s">
        <v>7</v>
      </c>
      <c r="P302" s="27" t="s">
        <v>7</v>
      </c>
      <c r="Q302" s="27" t="s">
        <v>8</v>
      </c>
      <c r="R302" s="27" t="s">
        <v>7</v>
      </c>
      <c r="S302" s="27" t="s">
        <v>8</v>
      </c>
      <c r="T302" s="27" t="s">
        <v>7</v>
      </c>
      <c r="U302" s="27" t="s">
        <v>8</v>
      </c>
    </row>
    <row r="303" spans="1:133" x14ac:dyDescent="0.25">
      <c r="A303" s="30">
        <v>4.6245998269295263E-2</v>
      </c>
      <c r="B303"/>
      <c r="C303"/>
      <c r="D303"/>
      <c r="E303"/>
      <c r="F303" s="27" t="s">
        <v>7</v>
      </c>
      <c r="J303" s="27" t="s">
        <v>7</v>
      </c>
      <c r="K303" s="27" t="s">
        <v>8</v>
      </c>
      <c r="P303" s="27" t="s">
        <v>7</v>
      </c>
      <c r="R303" s="27" t="s">
        <v>7</v>
      </c>
      <c r="S303" s="27" t="s">
        <v>8</v>
      </c>
      <c r="T303" s="27" t="s">
        <v>7</v>
      </c>
      <c r="U303" s="27" t="s">
        <v>8</v>
      </c>
    </row>
    <row r="304" spans="1:133" x14ac:dyDescent="0.25">
      <c r="A304" s="30">
        <v>4.4043807875519279E-2</v>
      </c>
      <c r="B304"/>
      <c r="C304"/>
      <c r="D304"/>
      <c r="E304"/>
      <c r="J304" s="27" t="s">
        <v>7</v>
      </c>
      <c r="K304" s="27" t="s">
        <v>8</v>
      </c>
      <c r="R304" s="27" t="s">
        <v>7</v>
      </c>
      <c r="S304" s="27" t="s">
        <v>8</v>
      </c>
      <c r="T304" s="27" t="s">
        <v>7</v>
      </c>
    </row>
    <row r="305" spans="1:19" x14ac:dyDescent="0.25">
      <c r="A305" s="30">
        <v>4.1946483690970725E-2</v>
      </c>
      <c r="B305"/>
      <c r="C305"/>
      <c r="D305"/>
      <c r="E305"/>
      <c r="J305" s="27" t="s">
        <v>7</v>
      </c>
      <c r="R305" s="27" t="s">
        <v>7</v>
      </c>
      <c r="S305" s="27" t="s">
        <v>8</v>
      </c>
    </row>
    <row r="306" spans="1:19" x14ac:dyDescent="0.25">
      <c r="A306" s="30">
        <v>3.9949032086638768E-2</v>
      </c>
      <c r="B306"/>
      <c r="C306"/>
      <c r="D306"/>
      <c r="E306"/>
      <c r="R306" s="27" t="s">
        <v>7</v>
      </c>
    </row>
    <row r="307" spans="1:19" x14ac:dyDescent="0.25">
      <c r="A307" s="30">
        <v>3.8046697225370241E-2</v>
      </c>
      <c r="B307"/>
      <c r="C307"/>
      <c r="D307"/>
      <c r="E307"/>
    </row>
    <row r="308" spans="1:19" x14ac:dyDescent="0.25">
      <c r="A308" s="30">
        <v>3.6234949738447833E-2</v>
      </c>
      <c r="B308"/>
      <c r="C308"/>
      <c r="D308"/>
      <c r="E308"/>
    </row>
    <row r="309" spans="1:19" x14ac:dyDescent="0.25">
      <c r="A309" s="30">
        <v>3.4509475941378875E-2</v>
      </c>
      <c r="B309"/>
      <c r="C309"/>
      <c r="D309"/>
      <c r="E309"/>
    </row>
    <row r="310" spans="1:19" x14ac:dyDescent="0.25">
      <c r="A310" s="30">
        <v>3.286616756321796E-2</v>
      </c>
      <c r="B310"/>
      <c r="C310"/>
      <c r="D310"/>
      <c r="E310"/>
    </row>
    <row r="311" spans="1:19" x14ac:dyDescent="0.25">
      <c r="A311" s="30">
        <v>3.1301111964969472E-2</v>
      </c>
      <c r="B311"/>
      <c r="C311"/>
      <c r="D311"/>
      <c r="E311"/>
    </row>
    <row r="312" spans="1:19" x14ac:dyDescent="0.25">
      <c r="A312" s="30">
        <v>2.9810582823780438E-2</v>
      </c>
      <c r="B312"/>
      <c r="C312"/>
      <c r="D312"/>
      <c r="E312"/>
    </row>
    <row r="313" spans="1:19" x14ac:dyDescent="0.25">
      <c r="A313" s="30">
        <v>2.8391031260743264E-2</v>
      </c>
      <c r="B313"/>
      <c r="C313"/>
      <c r="D313"/>
      <c r="E313"/>
    </row>
    <row r="314" spans="1:19" x14ac:dyDescent="0.25">
      <c r="A314" s="30">
        <v>2.7039077391184052E-2</v>
      </c>
      <c r="B314"/>
      <c r="C314"/>
      <c r="D314"/>
      <c r="E314"/>
    </row>
    <row r="315" spans="1:19" x14ac:dyDescent="0.25">
      <c r="A315" s="30">
        <v>2.5751502277318133E-2</v>
      </c>
      <c r="B315"/>
      <c r="C315"/>
      <c r="D315"/>
      <c r="E315"/>
    </row>
    <row r="316" spans="1:19" x14ac:dyDescent="0.25">
      <c r="A316" s="30">
        <v>2.4525240264112496E-2</v>
      </c>
      <c r="B316"/>
      <c r="C316"/>
      <c r="D316"/>
      <c r="E316"/>
    </row>
    <row r="317" spans="1:19" x14ac:dyDescent="0.25">
      <c r="A317" s="30">
        <v>2.3357371680107129E-2</v>
      </c>
      <c r="B317"/>
      <c r="C317"/>
      <c r="D317"/>
      <c r="E317"/>
    </row>
    <row r="318" spans="1:19" x14ac:dyDescent="0.25">
      <c r="A318" s="30">
        <v>2.2245115885816305E-2</v>
      </c>
      <c r="B318"/>
      <c r="C318"/>
      <c r="D318"/>
      <c r="E318"/>
    </row>
    <row r="319" spans="1:19" x14ac:dyDescent="0.25">
      <c r="A319" s="30">
        <v>2.1185824653158377E-2</v>
      </c>
      <c r="B319"/>
      <c r="C319"/>
      <c r="D319"/>
      <c r="E319"/>
    </row>
    <row r="320" spans="1:19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64" operator="equal">
      <formula>$U$1</formula>
    </cfRule>
    <cfRule type="cellIs" dxfId="67" priority="865" operator="equal">
      <formula>$S$1</formula>
    </cfRule>
  </conditionalFormatting>
  <conditionalFormatting sqref="D136">
    <cfRule type="cellIs" dxfId="66" priority="862" operator="equal">
      <formula>$S$1</formula>
    </cfRule>
    <cfRule type="cellIs" dxfId="65" priority="863" operator="equal">
      <formula>$U$1</formula>
    </cfRule>
  </conditionalFormatting>
  <conditionalFormatting sqref="C162">
    <cfRule type="cellIs" dxfId="64" priority="860" operator="equal">
      <formula>$U$1</formula>
    </cfRule>
    <cfRule type="cellIs" dxfId="63" priority="861" operator="equal">
      <formula>$S$1</formula>
    </cfRule>
  </conditionalFormatting>
  <conditionalFormatting sqref="D162">
    <cfRule type="cellIs" dxfId="62" priority="858" operator="equal">
      <formula>$S$1</formula>
    </cfRule>
    <cfRule type="cellIs" dxfId="61" priority="859" operator="equal">
      <formula>$U$1</formula>
    </cfRule>
  </conditionalFormatting>
  <conditionalFormatting sqref="C187">
    <cfRule type="cellIs" dxfId="60" priority="856" operator="equal">
      <formula>$U$1</formula>
    </cfRule>
    <cfRule type="cellIs" dxfId="59" priority="857" operator="equal">
      <formula>$S$1</formula>
    </cfRule>
  </conditionalFormatting>
  <conditionalFormatting sqref="D187">
    <cfRule type="cellIs" dxfId="58" priority="854" operator="equal">
      <formula>$S$1</formula>
    </cfRule>
    <cfRule type="cellIs" dxfId="57" priority="855" operator="equal">
      <formula>$U$1</formula>
    </cfRule>
  </conditionalFormatting>
  <conditionalFormatting sqref="C212">
    <cfRule type="cellIs" dxfId="56" priority="852" operator="equal">
      <formula>$U$1</formula>
    </cfRule>
    <cfRule type="cellIs" dxfId="55" priority="853" operator="equal">
      <formula>$S$1</formula>
    </cfRule>
  </conditionalFormatting>
  <conditionalFormatting sqref="D212">
    <cfRule type="cellIs" dxfId="54" priority="850" operator="equal">
      <formula>$S$1</formula>
    </cfRule>
    <cfRule type="cellIs" dxfId="53" priority="851" operator="equal">
      <formula>$U$1</formula>
    </cfRule>
  </conditionalFormatting>
  <conditionalFormatting sqref="C237">
    <cfRule type="cellIs" dxfId="52" priority="848" operator="equal">
      <formula>$U$1</formula>
    </cfRule>
    <cfRule type="cellIs" dxfId="51" priority="849" operator="equal">
      <formula>$S$1</formula>
    </cfRule>
  </conditionalFormatting>
  <conditionalFormatting sqref="D237">
    <cfRule type="cellIs" dxfId="50" priority="846" operator="equal">
      <formula>$S$1</formula>
    </cfRule>
    <cfRule type="cellIs" dxfId="49" priority="847" operator="equal">
      <formula>$U$1</formula>
    </cfRule>
  </conditionalFormatting>
  <conditionalFormatting sqref="C106">
    <cfRule type="cellIs" dxfId="48" priority="844" operator="equal">
      <formula>$U$1</formula>
    </cfRule>
    <cfRule type="cellIs" dxfId="47" priority="845" operator="equal">
      <formula>$S$1</formula>
    </cfRule>
  </conditionalFormatting>
  <conditionalFormatting sqref="D106">
    <cfRule type="cellIs" dxfId="46" priority="842" operator="equal">
      <formula>$S$1</formula>
    </cfRule>
    <cfRule type="cellIs" dxfId="45" priority="843" operator="equal">
      <formula>$U$1</formula>
    </cfRule>
  </conditionalFormatting>
  <conditionalFormatting sqref="C81">
    <cfRule type="cellIs" dxfId="44" priority="840" operator="equal">
      <formula>$U$1</formula>
    </cfRule>
    <cfRule type="cellIs" dxfId="43" priority="841" operator="equal">
      <formula>$S$1</formula>
    </cfRule>
  </conditionalFormatting>
  <conditionalFormatting sqref="D81">
    <cfRule type="cellIs" dxfId="42" priority="838" operator="equal">
      <formula>$S$1</formula>
    </cfRule>
    <cfRule type="cellIs" dxfId="41" priority="839" operator="equal">
      <formula>$U$1</formula>
    </cfRule>
  </conditionalFormatting>
  <conditionalFormatting sqref="C56">
    <cfRule type="cellIs" dxfId="40" priority="836" operator="equal">
      <formula>$U$1</formula>
    </cfRule>
    <cfRule type="cellIs" dxfId="39" priority="837" operator="equal">
      <formula>$S$1</formula>
    </cfRule>
  </conditionalFormatting>
  <conditionalFormatting sqref="D56">
    <cfRule type="cellIs" dxfId="38" priority="834" operator="equal">
      <formula>$S$1</formula>
    </cfRule>
    <cfRule type="cellIs" dxfId="37" priority="835" operator="equal">
      <formula>$U$1</formula>
    </cfRule>
  </conditionalFormatting>
  <conditionalFormatting sqref="C31">
    <cfRule type="cellIs" dxfId="36" priority="832" operator="equal">
      <formula>$U$1</formula>
    </cfRule>
    <cfRule type="cellIs" dxfId="35" priority="833" operator="equal">
      <formula>$S$1</formula>
    </cfRule>
  </conditionalFormatting>
  <conditionalFormatting sqref="D31">
    <cfRule type="cellIs" dxfId="34" priority="830" operator="equal">
      <formula>$S$1</formula>
    </cfRule>
    <cfRule type="cellIs" dxfId="33" priority="831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Z149" sqref="AZ14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$A$148</v>
      </c>
      <c r="D111" s="1" t="str">
        <f>ADDRESS(C121-1,D121,1,1)</f>
        <v>$AZ$148</v>
      </c>
      <c r="E111"/>
    </row>
    <row r="112" spans="1:5" x14ac:dyDescent="0.25">
      <c r="A112" s="30">
        <v>2.3579476910000019</v>
      </c>
      <c r="C112" s="1" t="str">
        <f>ADDRESS(C121,1,1,1)</f>
        <v>$A$149</v>
      </c>
      <c r="D112" s="1" t="str">
        <f>ADDRESS(C121,D121-1,1,1)</f>
        <v>$AY$149</v>
      </c>
      <c r="E112"/>
    </row>
    <row r="113" spans="1:6" x14ac:dyDescent="0.25">
      <c r="A113" s="30">
        <v>2.1435888100000016</v>
      </c>
      <c r="C113" s="1" t="str">
        <f>ADDRESS(C121+1,1,1,1)</f>
        <v>$A$150</v>
      </c>
      <c r="D113" s="1" t="str">
        <f>ADDRESS(C121-1,D121+1,1,1)</f>
        <v>$BA$148</v>
      </c>
    </row>
    <row r="114" spans="1:6" x14ac:dyDescent="0.25">
      <c r="A114" s="30">
        <v>1.9487171000000014</v>
      </c>
      <c r="C114" s="1" t="str">
        <f>ADDRESS(C121,D121,1,1)</f>
        <v>$AZ$149</v>
      </c>
      <c r="D114" s="1" t="str">
        <f>ADDRESS(C121+1,D121+1,1,1)</f>
        <v>$BA$150</v>
      </c>
    </row>
    <row r="115" spans="1:6" x14ac:dyDescent="0.25">
      <c r="A115" s="30">
        <v>1.7715610000000011</v>
      </c>
      <c r="C115" s="1" t="str">
        <f>ADDRESS(C121+1,D121,1,1)</f>
        <v>$AZ$150</v>
      </c>
    </row>
    <row r="116" spans="1:6" x14ac:dyDescent="0.25">
      <c r="A116" s="30">
        <v>1.6105100000000008</v>
      </c>
      <c r="C116" s="1">
        <f>C117-1</f>
        <v>148</v>
      </c>
    </row>
    <row r="117" spans="1:6" x14ac:dyDescent="0.25">
      <c r="A117" s="30">
        <v>1.4641000000000006</v>
      </c>
      <c r="C117" s="1">
        <f>C121</f>
        <v>149</v>
      </c>
      <c r="D117" s="1">
        <f>D121</f>
        <v>52</v>
      </c>
    </row>
    <row r="118" spans="1:6" x14ac:dyDescent="0.25">
      <c r="A118" s="30">
        <v>1.3310000000000004</v>
      </c>
      <c r="C118" s="1">
        <f>C117+1</f>
        <v>150</v>
      </c>
      <c r="D118" s="1">
        <f>D117+1</f>
        <v>53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149</v>
      </c>
      <c r="D121" s="19">
        <v>52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R149</v>
      </c>
      <c r="D123" s="1" t="str">
        <f>"C"&amp;D121</f>
        <v>C52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6.9343349494413078E-2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52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AE129" s="27" t="s">
        <v>8</v>
      </c>
      <c r="AG129" s="27" t="s">
        <v>8</v>
      </c>
    </row>
    <row r="130" spans="1:52" x14ac:dyDescent="0.25">
      <c r="A130" s="30">
        <v>0.42409761837248428</v>
      </c>
      <c r="C130" s="6"/>
      <c r="D130" s="6"/>
      <c r="E130"/>
      <c r="F130" s="27" t="s">
        <v>7</v>
      </c>
      <c r="AE130" s="27" t="s">
        <v>8</v>
      </c>
      <c r="AF130" s="27" t="s">
        <v>7</v>
      </c>
      <c r="AG130" s="27" t="s">
        <v>8</v>
      </c>
      <c r="AH130" s="27" t="s">
        <v>7</v>
      </c>
    </row>
    <row r="131" spans="1:52" x14ac:dyDescent="0.25">
      <c r="A131" s="30">
        <v>0.38554328942953109</v>
      </c>
      <c r="E131"/>
      <c r="F131" s="27" t="s">
        <v>7</v>
      </c>
      <c r="W131" s="27" t="s">
        <v>8</v>
      </c>
      <c r="AA131" s="27" t="s">
        <v>8</v>
      </c>
      <c r="AC131" s="27" t="s">
        <v>8</v>
      </c>
      <c r="AE131" s="27" t="s">
        <v>8</v>
      </c>
      <c r="AF131" s="27" t="s">
        <v>7</v>
      </c>
      <c r="AG131" s="27" t="s">
        <v>8</v>
      </c>
      <c r="AH131" s="27" t="s">
        <v>7</v>
      </c>
    </row>
    <row r="132" spans="1:52" x14ac:dyDescent="0.25">
      <c r="A132" s="30">
        <v>0.35049389948139187</v>
      </c>
      <c r="C132" s="1" t="s">
        <v>13</v>
      </c>
      <c r="E132"/>
      <c r="F132" s="27" t="s">
        <v>7</v>
      </c>
      <c r="W132" s="27" t="s">
        <v>8</v>
      </c>
      <c r="X132" s="27" t="s">
        <v>7</v>
      </c>
      <c r="AA132" s="27" t="s">
        <v>8</v>
      </c>
      <c r="AB132" s="27" t="s">
        <v>7</v>
      </c>
      <c r="AC132" s="27" t="s">
        <v>8</v>
      </c>
      <c r="AD132" s="27" t="s">
        <v>7</v>
      </c>
      <c r="AE132" s="27" t="s">
        <v>8</v>
      </c>
      <c r="AF132" s="27" t="s">
        <v>7</v>
      </c>
      <c r="AG132" s="27" t="s">
        <v>8</v>
      </c>
      <c r="AH132" s="27" t="s">
        <v>7</v>
      </c>
    </row>
    <row r="133" spans="1:52" x14ac:dyDescent="0.25">
      <c r="A133" s="30">
        <v>0.31863081771035617</v>
      </c>
      <c r="C133" s="1" t="str">
        <f>C122</f>
        <v>O</v>
      </c>
      <c r="E133"/>
      <c r="F133" s="27" t="s">
        <v>7</v>
      </c>
      <c r="W133" s="27" t="s">
        <v>8</v>
      </c>
      <c r="X133" s="27" t="s">
        <v>7</v>
      </c>
      <c r="AA133" s="27" t="s">
        <v>8</v>
      </c>
      <c r="AB133" s="27" t="s">
        <v>7</v>
      </c>
      <c r="AC133" s="27" t="s">
        <v>8</v>
      </c>
      <c r="AD133" s="27" t="s">
        <v>7</v>
      </c>
      <c r="AE133" s="27" t="s">
        <v>8</v>
      </c>
      <c r="AF133" s="27" t="s">
        <v>7</v>
      </c>
      <c r="AG133" s="27" t="s">
        <v>8</v>
      </c>
      <c r="AH133" s="27" t="s">
        <v>7</v>
      </c>
    </row>
    <row r="134" spans="1:52" x14ac:dyDescent="0.25">
      <c r="A134" s="30">
        <v>0.28966437973668741</v>
      </c>
      <c r="C134"/>
      <c r="D134"/>
      <c r="E134"/>
      <c r="F134" s="27" t="s">
        <v>7</v>
      </c>
      <c r="W134" s="27" t="s">
        <v>8</v>
      </c>
      <c r="X134" s="27" t="s">
        <v>7</v>
      </c>
      <c r="Y134" s="27" t="s">
        <v>8</v>
      </c>
      <c r="AA134" s="27" t="s">
        <v>8</v>
      </c>
      <c r="AB134" s="27" t="s">
        <v>7</v>
      </c>
      <c r="AC134" s="27" t="s">
        <v>8</v>
      </c>
      <c r="AD134" s="27" t="s">
        <v>7</v>
      </c>
      <c r="AE134" s="27" t="s">
        <v>8</v>
      </c>
      <c r="AF134" s="27" t="s">
        <v>7</v>
      </c>
      <c r="AG134" s="27" t="s">
        <v>8</v>
      </c>
      <c r="AH134" s="27" t="s">
        <v>7</v>
      </c>
    </row>
    <row r="135" spans="1:52" x14ac:dyDescent="0.25">
      <c r="A135" s="30">
        <v>0.2633312543060794</v>
      </c>
      <c r="C135" s="1" t="s">
        <v>14</v>
      </c>
      <c r="E135"/>
      <c r="F135" s="27" t="s">
        <v>7</v>
      </c>
      <c r="W135" s="27" t="s">
        <v>8</v>
      </c>
      <c r="X135" s="27" t="s">
        <v>7</v>
      </c>
      <c r="Y135" s="27" t="s">
        <v>8</v>
      </c>
      <c r="Z135" s="27" t="s">
        <v>7</v>
      </c>
      <c r="AA135" s="27" t="s">
        <v>8</v>
      </c>
      <c r="AB135" s="27" t="s">
        <v>7</v>
      </c>
      <c r="AD135" s="27" t="s">
        <v>7</v>
      </c>
      <c r="AF135" s="27" t="s">
        <v>7</v>
      </c>
      <c r="AG135" s="27" t="s">
        <v>8</v>
      </c>
      <c r="AH135" s="27" t="s">
        <v>7</v>
      </c>
      <c r="AI135" s="27" t="s">
        <v>8</v>
      </c>
    </row>
    <row r="136" spans="1:52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U136" s="27" t="s">
        <v>8</v>
      </c>
      <c r="W136" s="27" t="s">
        <v>8</v>
      </c>
      <c r="X136" s="27" t="s">
        <v>7</v>
      </c>
      <c r="Y136" s="27" t="s">
        <v>8</v>
      </c>
      <c r="Z136" s="27" t="s">
        <v>7</v>
      </c>
      <c r="AA136" s="27" t="s">
        <v>8</v>
      </c>
      <c r="AF136" s="27" t="s">
        <v>7</v>
      </c>
      <c r="AH136" s="27" t="s">
        <v>7</v>
      </c>
      <c r="AI136" s="27" t="s">
        <v>8</v>
      </c>
      <c r="AJ136" s="27" t="s">
        <v>7</v>
      </c>
      <c r="AS136" s="27" t="s">
        <v>8</v>
      </c>
      <c r="AW136" s="27" t="s">
        <v>8</v>
      </c>
    </row>
    <row r="137" spans="1:52" x14ac:dyDescent="0.25">
      <c r="A137" s="30">
        <v>0.2176291357901482</v>
      </c>
      <c r="E137"/>
      <c r="F137" s="27" t="s">
        <v>7</v>
      </c>
      <c r="O137" s="27" t="s">
        <v>8</v>
      </c>
      <c r="U137" s="27" t="s">
        <v>8</v>
      </c>
      <c r="V137" s="27" t="s">
        <v>7</v>
      </c>
      <c r="W137" s="27" t="s">
        <v>8</v>
      </c>
      <c r="X137" s="27" t="s">
        <v>7</v>
      </c>
      <c r="Y137" s="27" t="s">
        <v>8</v>
      </c>
      <c r="Z137" s="27" t="s">
        <v>7</v>
      </c>
      <c r="AH137" s="27" t="s">
        <v>7</v>
      </c>
      <c r="AI137" s="27" t="s">
        <v>8</v>
      </c>
      <c r="AJ137" s="27" t="s">
        <v>7</v>
      </c>
      <c r="AK137" s="27" t="s">
        <v>8</v>
      </c>
      <c r="AM137" s="27" t="s">
        <v>8</v>
      </c>
      <c r="AS137" s="27" t="s">
        <v>8</v>
      </c>
      <c r="AT137" s="27" t="s">
        <v>7</v>
      </c>
      <c r="AW137" s="27" t="s">
        <v>8</v>
      </c>
      <c r="AX137" s="27" t="s">
        <v>7</v>
      </c>
      <c r="AY137" s="27" t="s">
        <v>8</v>
      </c>
    </row>
    <row r="138" spans="1:52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O138" s="27" t="s">
        <v>8</v>
      </c>
      <c r="P138" s="27" t="s">
        <v>7</v>
      </c>
      <c r="U138" s="27" t="s">
        <v>8</v>
      </c>
      <c r="V138" s="27" t="s">
        <v>7</v>
      </c>
      <c r="W138" s="27" t="s">
        <v>8</v>
      </c>
      <c r="X138" s="27" t="s">
        <v>7</v>
      </c>
      <c r="Y138" s="27" t="s">
        <v>8</v>
      </c>
      <c r="AH138" s="27" t="s">
        <v>7</v>
      </c>
      <c r="AI138" s="27" t="s">
        <v>8</v>
      </c>
      <c r="AJ138" s="27" t="s">
        <v>7</v>
      </c>
      <c r="AK138" s="27" t="s">
        <v>8</v>
      </c>
      <c r="AL138" s="27" t="s">
        <v>7</v>
      </c>
      <c r="AM138" s="27" t="s">
        <v>8</v>
      </c>
      <c r="AN138" s="27" t="s">
        <v>7</v>
      </c>
      <c r="AS138" s="27" t="s">
        <v>8</v>
      </c>
      <c r="AT138" s="27" t="s">
        <v>7</v>
      </c>
      <c r="AU138" s="27" t="s">
        <v>8</v>
      </c>
      <c r="AW138" s="27" t="s">
        <v>8</v>
      </c>
      <c r="AX138" s="27" t="s">
        <v>7</v>
      </c>
      <c r="AY138" s="27" t="s">
        <v>8</v>
      </c>
      <c r="AZ138" s="27" t="s">
        <v>7</v>
      </c>
    </row>
    <row r="139" spans="1:52" x14ac:dyDescent="0.25">
      <c r="A139" s="30">
        <v>0.17985878990921333</v>
      </c>
      <c r="E139"/>
      <c r="F139" s="27" t="s">
        <v>7</v>
      </c>
      <c r="O139" s="27" t="s">
        <v>8</v>
      </c>
      <c r="P139" s="27" t="s">
        <v>7</v>
      </c>
      <c r="U139" s="27" t="s">
        <v>8</v>
      </c>
      <c r="V139" s="27" t="s">
        <v>7</v>
      </c>
      <c r="X139" s="27" t="s">
        <v>7</v>
      </c>
      <c r="AH139" s="27" t="s">
        <v>7</v>
      </c>
      <c r="AI139" s="27" t="s">
        <v>8</v>
      </c>
      <c r="AJ139" s="27" t="s">
        <v>7</v>
      </c>
      <c r="AK139" s="27" t="s">
        <v>8</v>
      </c>
      <c r="AL139" s="27" t="s">
        <v>7</v>
      </c>
      <c r="AM139" s="27" t="s">
        <v>8</v>
      </c>
      <c r="AN139" s="27" t="s">
        <v>7</v>
      </c>
      <c r="AQ139" s="27" t="s">
        <v>8</v>
      </c>
      <c r="AS139" s="27" t="s">
        <v>8</v>
      </c>
      <c r="AT139" s="27" t="s">
        <v>7</v>
      </c>
      <c r="AU139" s="27" t="s">
        <v>8</v>
      </c>
      <c r="AV139" s="27" t="s">
        <v>7</v>
      </c>
      <c r="AW139" s="27" t="s">
        <v>8</v>
      </c>
      <c r="AX139" s="27" t="s">
        <v>7</v>
      </c>
      <c r="AY139" s="27" t="s">
        <v>8</v>
      </c>
      <c r="AZ139" s="27" t="s">
        <v>7</v>
      </c>
    </row>
    <row r="140" spans="1:52" x14ac:dyDescent="0.25">
      <c r="A140" s="30">
        <v>0.16350799082655756</v>
      </c>
      <c r="C140" s="1">
        <v>0</v>
      </c>
      <c r="E140"/>
      <c r="F140" s="27" t="s">
        <v>7</v>
      </c>
      <c r="O140" s="27" t="s">
        <v>8</v>
      </c>
      <c r="P140" s="27" t="s">
        <v>7</v>
      </c>
      <c r="S140" s="27" t="s">
        <v>8</v>
      </c>
      <c r="U140" s="27" t="s">
        <v>8</v>
      </c>
      <c r="AH140" s="27" t="s">
        <v>7</v>
      </c>
      <c r="AI140" s="27" t="s">
        <v>8</v>
      </c>
      <c r="AJ140" s="27" t="s">
        <v>7</v>
      </c>
      <c r="AK140" s="27" t="s">
        <v>8</v>
      </c>
      <c r="AL140" s="27" t="s">
        <v>7</v>
      </c>
      <c r="AM140" s="27" t="s">
        <v>8</v>
      </c>
      <c r="AN140" s="27" t="s">
        <v>7</v>
      </c>
      <c r="AQ140" s="27" t="s">
        <v>8</v>
      </c>
      <c r="AR140" s="27" t="s">
        <v>7</v>
      </c>
      <c r="AS140" s="27" t="s">
        <v>8</v>
      </c>
      <c r="AT140" s="27" t="s">
        <v>7</v>
      </c>
      <c r="AU140" s="27" t="s">
        <v>8</v>
      </c>
      <c r="AV140" s="27" t="s">
        <v>7</v>
      </c>
      <c r="AW140" s="27" t="s">
        <v>8</v>
      </c>
      <c r="AX140" s="27" t="s">
        <v>7</v>
      </c>
      <c r="AY140" s="27" t="s">
        <v>8</v>
      </c>
      <c r="AZ140" s="27" t="s">
        <v>7</v>
      </c>
    </row>
    <row r="141" spans="1:52" x14ac:dyDescent="0.25">
      <c r="A141" s="30">
        <v>0.14864362802414322</v>
      </c>
      <c r="C141" s="1">
        <v>1</v>
      </c>
      <c r="E141"/>
      <c r="F141" s="27" t="s">
        <v>7</v>
      </c>
      <c r="O141" s="27" t="s">
        <v>8</v>
      </c>
      <c r="P141" s="27" t="s">
        <v>7</v>
      </c>
      <c r="Q141" s="27" t="s">
        <v>8</v>
      </c>
      <c r="S141" s="27" t="s">
        <v>8</v>
      </c>
      <c r="T141" s="27" t="s">
        <v>7</v>
      </c>
      <c r="U141" s="27" t="s">
        <v>8</v>
      </c>
      <c r="AH141" s="27" t="s">
        <v>7</v>
      </c>
      <c r="AJ141" s="27" t="s">
        <v>7</v>
      </c>
      <c r="AK141" s="27" t="s">
        <v>8</v>
      </c>
      <c r="AL141" s="27" t="s">
        <v>7</v>
      </c>
      <c r="AM141" s="27" t="s">
        <v>8</v>
      </c>
      <c r="AN141" s="27" t="s">
        <v>7</v>
      </c>
      <c r="AO141" s="27" t="s">
        <v>8</v>
      </c>
      <c r="AQ141" s="27" t="s">
        <v>8</v>
      </c>
      <c r="AR141" s="27" t="s">
        <v>7</v>
      </c>
      <c r="AS141" s="27" t="s">
        <v>8</v>
      </c>
      <c r="AT141" s="27" t="s">
        <v>7</v>
      </c>
      <c r="AU141" s="27" t="s">
        <v>8</v>
      </c>
      <c r="AV141" s="27" t="s">
        <v>7</v>
      </c>
      <c r="AX141" s="27" t="s">
        <v>7</v>
      </c>
      <c r="AZ141" s="27" t="s">
        <v>7</v>
      </c>
    </row>
    <row r="142" spans="1:52" x14ac:dyDescent="0.25">
      <c r="A142" s="30">
        <v>0.13513057093103928</v>
      </c>
      <c r="C142" s="1">
        <v>2</v>
      </c>
      <c r="E142"/>
      <c r="F142" s="27" t="s">
        <v>7</v>
      </c>
      <c r="O142" s="27" t="s">
        <v>8</v>
      </c>
      <c r="P142" s="27" t="s">
        <v>7</v>
      </c>
      <c r="Q142" s="27" t="s">
        <v>8</v>
      </c>
      <c r="R142" s="27" t="s">
        <v>7</v>
      </c>
      <c r="S142" s="27" t="s">
        <v>8</v>
      </c>
      <c r="T142" s="27" t="s">
        <v>7</v>
      </c>
      <c r="U142" s="27" t="s">
        <v>8</v>
      </c>
      <c r="AJ142" s="27" t="s">
        <v>7</v>
      </c>
      <c r="AK142" s="27" t="s">
        <v>8</v>
      </c>
      <c r="AL142" s="27" t="s">
        <v>7</v>
      </c>
      <c r="AM142" s="27" t="s">
        <v>8</v>
      </c>
      <c r="AN142" s="27" t="s">
        <v>7</v>
      </c>
      <c r="AO142" s="27" t="s">
        <v>8</v>
      </c>
      <c r="AP142" s="27" t="s">
        <v>7</v>
      </c>
      <c r="AQ142" s="27" t="s">
        <v>8</v>
      </c>
      <c r="AR142" s="27" t="s">
        <v>7</v>
      </c>
      <c r="AS142" s="27" t="s">
        <v>8</v>
      </c>
      <c r="AT142" s="27" t="s">
        <v>7</v>
      </c>
      <c r="AZ142" s="27" t="s">
        <v>7</v>
      </c>
    </row>
    <row r="143" spans="1:52" x14ac:dyDescent="0.25">
      <c r="A143" s="30">
        <v>0.12284597357367205</v>
      </c>
      <c r="C143" s="1">
        <v>3</v>
      </c>
      <c r="E143"/>
      <c r="F143" s="27" t="s">
        <v>7</v>
      </c>
      <c r="O143" s="27" t="s">
        <v>8</v>
      </c>
      <c r="P143" s="27" t="s">
        <v>7</v>
      </c>
      <c r="Q143" s="27" t="s">
        <v>8</v>
      </c>
      <c r="R143" s="27" t="s">
        <v>7</v>
      </c>
      <c r="S143" s="27" t="s">
        <v>8</v>
      </c>
      <c r="T143" s="27" t="s">
        <v>7</v>
      </c>
      <c r="AJ143" s="27" t="s">
        <v>7</v>
      </c>
      <c r="AL143" s="27" t="s">
        <v>7</v>
      </c>
      <c r="AN143" s="27" t="s">
        <v>7</v>
      </c>
      <c r="AO143" s="27" t="s">
        <v>8</v>
      </c>
      <c r="AP143" s="27" t="s">
        <v>7</v>
      </c>
      <c r="AQ143" s="27" t="s">
        <v>8</v>
      </c>
      <c r="AR143" s="27" t="s">
        <v>7</v>
      </c>
      <c r="AS143" s="27" t="s">
        <v>8</v>
      </c>
      <c r="AZ143" s="27" t="s">
        <v>7</v>
      </c>
    </row>
    <row r="144" spans="1:52" x14ac:dyDescent="0.25">
      <c r="A144" s="30">
        <v>0.11167815779424731</v>
      </c>
      <c r="C144" s="1">
        <v>4</v>
      </c>
      <c r="E144"/>
      <c r="F144" s="27" t="s">
        <v>7</v>
      </c>
      <c r="O144" s="27" t="s">
        <v>8</v>
      </c>
      <c r="P144" s="27" t="s">
        <v>7</v>
      </c>
      <c r="Q144" s="27" t="s">
        <v>8</v>
      </c>
      <c r="R144" s="27" t="s">
        <v>7</v>
      </c>
      <c r="S144" s="27" t="s">
        <v>8</v>
      </c>
      <c r="AN144" s="27" t="s">
        <v>7</v>
      </c>
      <c r="AP144" s="27" t="s">
        <v>7</v>
      </c>
      <c r="AR144" s="18" t="s">
        <v>7</v>
      </c>
      <c r="AS144" s="27" t="s">
        <v>8</v>
      </c>
      <c r="AZ144" s="27" t="s">
        <v>7</v>
      </c>
    </row>
    <row r="145" spans="1:52" x14ac:dyDescent="0.25">
      <c r="A145" s="30">
        <v>0.10152559799477026</v>
      </c>
      <c r="B145"/>
      <c r="C145"/>
      <c r="D145"/>
      <c r="E145"/>
      <c r="F145" s="27" t="s">
        <v>7</v>
      </c>
      <c r="O145" s="27" t="s">
        <v>8</v>
      </c>
      <c r="P145" s="27" t="s">
        <v>7</v>
      </c>
      <c r="Q145" s="27" t="s">
        <v>8</v>
      </c>
      <c r="R145" s="27" t="s">
        <v>7</v>
      </c>
      <c r="S145" s="27" t="s">
        <v>8</v>
      </c>
      <c r="AR145" s="27" t="s">
        <v>7</v>
      </c>
      <c r="AZ145" s="27" t="s">
        <v>7</v>
      </c>
    </row>
    <row r="146" spans="1:52" x14ac:dyDescent="0.25">
      <c r="A146" s="30">
        <v>9.2295998177063854E-2</v>
      </c>
      <c r="B146"/>
      <c r="C146"/>
      <c r="D146"/>
      <c r="E146"/>
      <c r="F146" s="27" t="s">
        <v>7</v>
      </c>
      <c r="O146" s="27" t="s">
        <v>8</v>
      </c>
      <c r="P146" s="27" t="s">
        <v>7</v>
      </c>
      <c r="Q146" s="27" t="s">
        <v>8</v>
      </c>
      <c r="R146" s="27" t="s">
        <v>7</v>
      </c>
      <c r="AZ146" s="27" t="s">
        <v>7</v>
      </c>
    </row>
    <row r="147" spans="1:52" x14ac:dyDescent="0.25">
      <c r="A147" s="30">
        <v>8.3905452888239848E-2</v>
      </c>
      <c r="B147"/>
      <c r="C147"/>
      <c r="D147"/>
      <c r="E147"/>
      <c r="F147" s="27" t="s">
        <v>7</v>
      </c>
      <c r="O147" s="27" t="s">
        <v>8</v>
      </c>
      <c r="P147" s="27" t="s">
        <v>7</v>
      </c>
      <c r="Q147" s="27" t="s">
        <v>8</v>
      </c>
      <c r="AZ147" s="27" t="s">
        <v>7</v>
      </c>
    </row>
    <row r="148" spans="1:52" x14ac:dyDescent="0.25">
      <c r="A148" s="30">
        <v>7.6277684443854396E-2</v>
      </c>
      <c r="B148"/>
      <c r="C148"/>
      <c r="D148"/>
      <c r="E148"/>
      <c r="F148" s="27" t="s">
        <v>7</v>
      </c>
      <c r="O148" s="27" t="s">
        <v>8</v>
      </c>
      <c r="P148" s="27" t="s">
        <v>7</v>
      </c>
      <c r="AZ148" s="27" t="s">
        <v>7</v>
      </c>
    </row>
    <row r="149" spans="1:52" x14ac:dyDescent="0.25">
      <c r="A149" s="30">
        <v>6.9343349494413078E-2</v>
      </c>
      <c r="B149"/>
      <c r="C149"/>
      <c r="D149"/>
      <c r="E149"/>
      <c r="F149" s="27" t="s">
        <v>7</v>
      </c>
      <c r="G149" s="27" t="s">
        <v>8</v>
      </c>
      <c r="I149" s="27" t="s">
        <v>8</v>
      </c>
      <c r="O149" s="27" t="s">
        <v>8</v>
      </c>
      <c r="AZ149" s="27" t="s">
        <v>7</v>
      </c>
    </row>
    <row r="150" spans="1:52" x14ac:dyDescent="0.25">
      <c r="A150" s="30">
        <v>6.3039408631284613E-2</v>
      </c>
      <c r="B150"/>
      <c r="C150"/>
      <c r="D150"/>
      <c r="E150"/>
      <c r="F150" s="27" t="s">
        <v>7</v>
      </c>
      <c r="G150" s="27" t="s">
        <v>8</v>
      </c>
      <c r="H150" s="27" t="s">
        <v>7</v>
      </c>
      <c r="I150" s="27" t="s">
        <v>8</v>
      </c>
      <c r="J150" s="27" t="s">
        <v>7</v>
      </c>
      <c r="K150" s="27" t="s">
        <v>8</v>
      </c>
      <c r="M150" s="27" t="s">
        <v>8</v>
      </c>
      <c r="O150" s="27" t="s">
        <v>8</v>
      </c>
    </row>
    <row r="151" spans="1:52" x14ac:dyDescent="0.25">
      <c r="A151" s="30">
        <v>5.7308553301167818E-2</v>
      </c>
      <c r="B151"/>
      <c r="C151"/>
      <c r="D151"/>
      <c r="E151"/>
      <c r="F151" s="27" t="s">
        <v>7</v>
      </c>
      <c r="G151" s="27" t="s">
        <v>8</v>
      </c>
      <c r="H151" s="27" t="s">
        <v>7</v>
      </c>
      <c r="I151" s="27" t="s">
        <v>8</v>
      </c>
      <c r="J151" s="27" t="s">
        <v>7</v>
      </c>
      <c r="K151" s="27" t="s">
        <v>8</v>
      </c>
      <c r="L151" s="27" t="s">
        <v>7</v>
      </c>
      <c r="M151" s="27" t="s">
        <v>8</v>
      </c>
      <c r="N151" s="27" t="s">
        <v>7</v>
      </c>
      <c r="O151" s="27" t="s">
        <v>8</v>
      </c>
    </row>
    <row r="152" spans="1:52" x14ac:dyDescent="0.25">
      <c r="A152" s="30">
        <v>5.2098684819243464E-2</v>
      </c>
      <c r="B152"/>
      <c r="C152"/>
      <c r="D152"/>
      <c r="E152"/>
      <c r="F152" s="27" t="s">
        <v>7</v>
      </c>
      <c r="G152" s="27" t="s">
        <v>8</v>
      </c>
      <c r="H152" s="27" t="s">
        <v>7</v>
      </c>
      <c r="I152" s="27" t="s">
        <v>8</v>
      </c>
      <c r="J152" s="27" t="s">
        <v>7</v>
      </c>
      <c r="K152" s="27" t="s">
        <v>8</v>
      </c>
      <c r="L152" s="27" t="s">
        <v>7</v>
      </c>
      <c r="M152" s="27" t="s">
        <v>8</v>
      </c>
      <c r="N152" s="27" t="s">
        <v>7</v>
      </c>
      <c r="O152" s="27" t="s">
        <v>8</v>
      </c>
    </row>
    <row r="153" spans="1:52" x14ac:dyDescent="0.25">
      <c r="A153" s="30">
        <v>4.7362440744766775E-2</v>
      </c>
      <c r="B153"/>
      <c r="C153"/>
      <c r="D153"/>
      <c r="E153"/>
      <c r="F153" s="27" t="s">
        <v>7</v>
      </c>
      <c r="H153" s="27" t="s">
        <v>7</v>
      </c>
      <c r="I153" s="27" t="s">
        <v>8</v>
      </c>
      <c r="J153" s="27" t="s">
        <v>7</v>
      </c>
      <c r="L153" s="27" t="s">
        <v>7</v>
      </c>
      <c r="M153" s="27" t="s">
        <v>8</v>
      </c>
      <c r="N153" s="27" t="s">
        <v>7</v>
      </c>
    </row>
    <row r="154" spans="1:52" x14ac:dyDescent="0.25">
      <c r="A154" s="30">
        <v>4.3056764313424332E-2</v>
      </c>
      <c r="B154"/>
      <c r="C154"/>
      <c r="D154"/>
      <c r="E154"/>
      <c r="H154" s="27" t="s">
        <v>7</v>
      </c>
      <c r="L154" s="27" t="s">
        <v>7</v>
      </c>
      <c r="M154" s="27" t="s">
        <v>8</v>
      </c>
    </row>
    <row r="155" spans="1:52" x14ac:dyDescent="0.25">
      <c r="A155" s="30">
        <v>3.9142513012203929E-2</v>
      </c>
      <c r="B155"/>
      <c r="C155"/>
      <c r="D155"/>
      <c r="E155"/>
      <c r="L155" s="27" t="s">
        <v>7</v>
      </c>
    </row>
    <row r="156" spans="1:52" x14ac:dyDescent="0.25">
      <c r="A156" s="30">
        <v>3.55841027383672E-2</v>
      </c>
      <c r="B156"/>
      <c r="C156"/>
      <c r="D156"/>
      <c r="E156"/>
    </row>
    <row r="157" spans="1:52" x14ac:dyDescent="0.25">
      <c r="A157" s="30">
        <v>3.2349184307606541E-2</v>
      </c>
      <c r="B157"/>
      <c r="C157"/>
      <c r="D157"/>
      <c r="E157"/>
    </row>
    <row r="158" spans="1:52" x14ac:dyDescent="0.25">
      <c r="A158" s="30">
        <v>2.9408349370551395E-2</v>
      </c>
      <c r="B158"/>
      <c r="C158"/>
      <c r="D158"/>
      <c r="E158"/>
    </row>
    <row r="159" spans="1:52" x14ac:dyDescent="0.25">
      <c r="A159" s="30">
        <v>2.6734863064137627E-2</v>
      </c>
      <c r="B159"/>
      <c r="C159"/>
      <c r="D159"/>
      <c r="E159"/>
    </row>
    <row r="160" spans="1:52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48" operator="equal">
      <formula>$U$1</formula>
    </cfRule>
    <cfRule type="cellIs" dxfId="30" priority="849" operator="equal">
      <formula>$S$1</formula>
    </cfRule>
  </conditionalFormatting>
  <conditionalFormatting sqref="D136">
    <cfRule type="cellIs" dxfId="29" priority="846" operator="equal">
      <formula>$S$1</formula>
    </cfRule>
    <cfRule type="cellIs" dxfId="28" priority="847" operator="equal">
      <formula>$U$1</formula>
    </cfRule>
  </conditionalFormatting>
  <conditionalFormatting sqref="C102">
    <cfRule type="cellIs" dxfId="27" priority="844" operator="equal">
      <formula>$U$1</formula>
    </cfRule>
    <cfRule type="cellIs" dxfId="26" priority="845" operator="equal">
      <formula>$S$1</formula>
    </cfRule>
  </conditionalFormatting>
  <conditionalFormatting sqref="D102">
    <cfRule type="cellIs" dxfId="25" priority="842" operator="equal">
      <formula>$S$1</formula>
    </cfRule>
    <cfRule type="cellIs" dxfId="24" priority="843" operator="equal">
      <formula>$U$1</formula>
    </cfRule>
  </conditionalFormatting>
  <conditionalFormatting sqref="C77">
    <cfRule type="cellIs" dxfId="23" priority="840" operator="equal">
      <formula>$U$1</formula>
    </cfRule>
    <cfRule type="cellIs" dxfId="22" priority="841" operator="equal">
      <formula>$S$1</formula>
    </cfRule>
  </conditionalFormatting>
  <conditionalFormatting sqref="D77">
    <cfRule type="cellIs" dxfId="21" priority="838" operator="equal">
      <formula>$S$1</formula>
    </cfRule>
    <cfRule type="cellIs" dxfId="20" priority="839" operator="equal">
      <formula>$U$1</formula>
    </cfRule>
  </conditionalFormatting>
  <conditionalFormatting sqref="C52">
    <cfRule type="cellIs" dxfId="19" priority="836" operator="equal">
      <formula>$U$1</formula>
    </cfRule>
    <cfRule type="cellIs" dxfId="18" priority="837" operator="equal">
      <formula>$S$1</formula>
    </cfRule>
  </conditionalFormatting>
  <conditionalFormatting sqref="D52">
    <cfRule type="cellIs" dxfId="17" priority="834" operator="equal">
      <formula>$S$1</formula>
    </cfRule>
    <cfRule type="cellIs" dxfId="16" priority="835" operator="equal">
      <formula>$U$1</formula>
    </cfRule>
  </conditionalFormatting>
  <conditionalFormatting sqref="C26">
    <cfRule type="cellIs" dxfId="15" priority="832" operator="equal">
      <formula>$U$1</formula>
    </cfRule>
    <cfRule type="cellIs" dxfId="14" priority="833" operator="equal">
      <formula>$S$1</formula>
    </cfRule>
  </conditionalFormatting>
  <conditionalFormatting sqref="D26">
    <cfRule type="cellIs" dxfId="13" priority="830" operator="equal">
      <formula>$S$1</formula>
    </cfRule>
    <cfRule type="cellIs" dxfId="12" priority="831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2022-01-28T01:15:54Z</dcterms:modified>
</cp:coreProperties>
</file>