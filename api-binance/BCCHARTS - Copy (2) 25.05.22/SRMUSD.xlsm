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90BE027-9745-430F-ADC7-63D0EE3C813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H3" i="6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22" i="4"/>
  <c r="C133" i="4" s="1"/>
  <c r="D136" i="4" s="1"/>
  <c r="C116" i="3"/>
  <c r="C122" i="3"/>
  <c r="C133" i="3" s="1"/>
  <c r="C136" i="3" s="1"/>
  <c r="R765" i="1"/>
  <c r="C136" i="5" l="1"/>
  <c r="C138" i="5" s="1"/>
  <c r="C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<sst xmlns="http://schemas.openxmlformats.org/spreadsheetml/2006/main" count="5676" uniqueCount="34">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</sst>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2.0680000000000001</c:v>
                </c:pt>
                <c:pt idx="1">
                  <c:v>2.1120000000000001</c:v>
                </c:pt>
                <c:pt idx="2">
                  <c:v>2.1019999999999999</c:v>
                </c:pt>
                <c:pt idx="3">
                  <c:v>2.1179999999999999</c:v>
                </c:pt>
                <c:pt idx="4">
                  <c:v>2.262</c:v>
                </c:pt>
                <c:pt idx="5">
                  <c:v>2.21</c:v>
                </c:pt>
                <c:pt idx="6">
                  <c:v>2.4470000000000001</c:v>
                </c:pt>
                <c:pt idx="7">
                  <c:v>2.762</c:v>
                </c:pt>
                <c:pt idx="8">
                  <c:v>2.8889999999999998</c:v>
                </c:pt>
                <c:pt idx="9">
                  <c:v>2.992</c:v>
                </c:pt>
                <c:pt idx="10">
                  <c:v>3.0070000000000001</c:v>
                </c:pt>
                <c:pt idx="11">
                  <c:v>3.1739999999999999</c:v>
                </c:pt>
                <c:pt idx="12">
                  <c:v>3.214</c:v>
                </c:pt>
                <c:pt idx="13">
                  <c:v>3.1680000000000001</c:v>
                </c:pt>
                <c:pt idx="14">
                  <c:v>3.0779999999999998</c:v>
                </c:pt>
                <c:pt idx="15">
                  <c:v>3.1669999999999998</c:v>
                </c:pt>
                <c:pt idx="16">
                  <c:v>3.0270000000000001</c:v>
                </c:pt>
                <c:pt idx="17">
                  <c:v>2.9020000000000001</c:v>
                </c:pt>
                <c:pt idx="18">
                  <c:v>3.0289999999999999</c:v>
                </c:pt>
                <c:pt idx="19">
                  <c:v>2.9670000000000001</c:v>
                </c:pt>
                <c:pt idx="20">
                  <c:v>3.1030000000000002</c:v>
                </c:pt>
                <c:pt idx="21">
                  <c:v>3.266</c:v>
                </c:pt>
                <c:pt idx="22">
                  <c:v>3.3919999999999999</c:v>
                </c:pt>
                <c:pt idx="23">
                  <c:v>3.605</c:v>
                </c:pt>
                <c:pt idx="24">
                  <c:v>3.6469999999999998</c:v>
                </c:pt>
                <c:pt idx="25">
                  <c:v>3.8039999999999998</c:v>
                </c:pt>
                <c:pt idx="26">
                  <c:v>3.6709999999999998</c:v>
                </c:pt>
                <c:pt idx="27">
                  <c:v>3.4089999999999998</c:v>
                </c:pt>
                <c:pt idx="28">
                  <c:v>3.4769999999999999</c:v>
                </c:pt>
                <c:pt idx="29">
                  <c:v>3.4039999999999999</c:v>
                </c:pt>
                <c:pt idx="30">
                  <c:v>3.637</c:v>
                </c:pt>
                <c:pt idx="31">
                  <c:v>4.0570000000000004</c:v>
                </c:pt>
                <c:pt idx="32">
                  <c:v>4.0359999999999996</c:v>
                </c:pt>
                <c:pt idx="33">
                  <c:v>4.1059999999999999</c:v>
                </c:pt>
                <c:pt idx="34">
                  <c:v>4.0369999999999999</c:v>
                </c:pt>
                <c:pt idx="35">
                  <c:v>3.887</c:v>
                </c:pt>
                <c:pt idx="36">
                  <c:v>3.6659999999999999</c:v>
                </c:pt>
                <c:pt idx="37">
                  <c:v>3.5310000000000001</c:v>
                </c:pt>
                <c:pt idx="38">
                  <c:v>3.339</c:v>
                </c:pt>
                <c:pt idx="39">
                  <c:v>3.3839999999999999</c:v>
                </c:pt>
                <c:pt idx="40">
                  <c:v>3.492</c:v>
                </c:pt>
                <c:pt idx="41">
                  <c:v>3.3450000000000002</c:v>
                </c:pt>
                <c:pt idx="42">
                  <c:v>3.472</c:v>
                </c:pt>
                <c:pt idx="43">
                  <c:v>3.5609999999999999</c:v>
                </c:pt>
                <c:pt idx="44">
                  <c:v>3.4340000000000002</c:v>
                </c:pt>
                <c:pt idx="45">
                  <c:v>3.3460000000000001</c:v>
                </c:pt>
                <c:pt idx="46">
                  <c:v>3.7989999999999999</c:v>
                </c:pt>
                <c:pt idx="47">
                  <c:v>3.6070000000000002</c:v>
                </c:pt>
                <c:pt idx="48">
                  <c:v>3.6110000000000002</c:v>
                </c:pt>
                <c:pt idx="49">
                  <c:v>3.9260000000000002</c:v>
                </c:pt>
                <c:pt idx="50">
                  <c:v>4.3630000000000004</c:v>
                </c:pt>
                <c:pt idx="51">
                  <c:v>4.24</c:v>
                </c:pt>
                <c:pt idx="52">
                  <c:v>4.0940000000000003</c:v>
                </c:pt>
                <c:pt idx="53">
                  <c:v>4.0419999999999998</c:v>
                </c:pt>
                <c:pt idx="54">
                  <c:v>4.3170000000000002</c:v>
                </c:pt>
                <c:pt idx="55">
                  <c:v>5.1420000000000003</c:v>
                </c:pt>
                <c:pt idx="56">
                  <c:v>5.5620000000000003</c:v>
                </c:pt>
                <c:pt idx="57">
                  <c:v>5.694</c:v>
                </c:pt>
                <c:pt idx="58">
                  <c:v>5.6449999999999996</c:v>
                </c:pt>
                <c:pt idx="59">
                  <c:v>5.5709999999999997</c:v>
                </c:pt>
                <c:pt idx="60">
                  <c:v>5.2</c:v>
                </c:pt>
                <c:pt idx="61">
                  <c:v>5.1379999999999999</c:v>
                </c:pt>
                <c:pt idx="62">
                  <c:v>5.1390000000000002</c:v>
                </c:pt>
                <c:pt idx="63">
                  <c:v>5.8170000000000002</c:v>
                </c:pt>
                <c:pt idx="64">
                  <c:v>5.6859999999999999</c:v>
                </c:pt>
                <c:pt idx="65">
                  <c:v>5.7610000000000001</c:v>
                </c:pt>
                <c:pt idx="66">
                  <c:v>5.75</c:v>
                </c:pt>
                <c:pt idx="67">
                  <c:v>6.1630000000000003</c:v>
                </c:pt>
                <c:pt idx="68">
                  <c:v>6.0739999999999998</c:v>
                </c:pt>
                <c:pt idx="69">
                  <c:v>5.8959999999999999</c:v>
                </c:pt>
                <c:pt idx="70">
                  <c:v>5.6340000000000003</c:v>
                </c:pt>
                <c:pt idx="71">
                  <c:v>6.306</c:v>
                </c:pt>
                <c:pt idx="72">
                  <c:v>6.3090000000000002</c:v>
                </c:pt>
                <c:pt idx="73">
                  <c:v>6.899</c:v>
                </c:pt>
                <c:pt idx="74">
                  <c:v>7.03</c:v>
                </c:pt>
                <c:pt idx="75">
                  <c:v>7.1109999999999998</c:v>
                </c:pt>
                <c:pt idx="76">
                  <c:v>6.9530000000000003</c:v>
                </c:pt>
                <c:pt idx="77">
                  <c:v>7.0659999999999998</c:v>
                </c:pt>
                <c:pt idx="78">
                  <c:v>6.9809999999999999</c:v>
                </c:pt>
                <c:pt idx="79">
                  <c:v>7.5039999999999996</c:v>
                </c:pt>
                <c:pt idx="80">
                  <c:v>7.8390000000000004</c:v>
                </c:pt>
                <c:pt idx="81">
                  <c:v>7.7190000000000003</c:v>
                </c:pt>
                <c:pt idx="82">
                  <c:v>7.8319999999999999</c:v>
                </c:pt>
                <c:pt idx="83">
                  <c:v>7.6219999999999999</c:v>
                </c:pt>
                <c:pt idx="84">
                  <c:v>8.1150000000000002</c:v>
                </c:pt>
                <c:pt idx="85">
                  <c:v>8.7050000000000001</c:v>
                </c:pt>
                <c:pt idx="86">
                  <c:v>7.7489999999999997</c:v>
                </c:pt>
                <c:pt idx="87">
                  <c:v>7.5229999999999997</c:v>
                </c:pt>
                <c:pt idx="88">
                  <c:v>7.2450000000000001</c:v>
                </c:pt>
                <c:pt idx="89">
                  <c:v>7.2869999999999999</c:v>
                </c:pt>
                <c:pt idx="90">
                  <c:v>7.38</c:v>
                </c:pt>
                <c:pt idx="91">
                  <c:v>6.9489999999999998</c:v>
                </c:pt>
                <c:pt idx="92">
                  <c:v>6.6289999999999996</c:v>
                </c:pt>
                <c:pt idx="93">
                  <c:v>7.6280000000000001</c:v>
                </c:pt>
                <c:pt idx="94">
                  <c:v>7.7329999999999997</c:v>
                </c:pt>
                <c:pt idx="95">
                  <c:v>7.4749999999999996</c:v>
                </c:pt>
                <c:pt idx="96">
                  <c:v>7.8029999999999999</c:v>
                </c:pt>
                <c:pt idx="97">
                  <c:v>7.9509999999999996</c:v>
                </c:pt>
                <c:pt idx="98">
                  <c:v>7.3760000000000003</c:v>
                </c:pt>
                <c:pt idx="99">
                  <c:v>7.6109999999999998</c:v>
                </c:pt>
                <c:pt idx="100">
                  <c:v>7.1070000000000002</c:v>
                </c:pt>
                <c:pt idx="101">
                  <c:v>7.0110000000000001</c:v>
                </c:pt>
                <c:pt idx="102">
                  <c:v>7.1749999999999998</c:v>
                </c:pt>
                <c:pt idx="103">
                  <c:v>7.3070000000000004</c:v>
                </c:pt>
                <c:pt idx="104">
                  <c:v>7.4850000000000003</c:v>
                </c:pt>
                <c:pt idx="105">
                  <c:v>7.633</c:v>
                </c:pt>
                <c:pt idx="106">
                  <c:v>7.5629999999999997</c:v>
                </c:pt>
                <c:pt idx="107">
                  <c:v>7.4989999999999997</c:v>
                </c:pt>
                <c:pt idx="108">
                  <c:v>7.3490000000000002</c:v>
                </c:pt>
                <c:pt idx="109">
                  <c:v>7.4580000000000002</c:v>
                </c:pt>
                <c:pt idx="110">
                  <c:v>8.0879999999999992</c:v>
                </c:pt>
                <c:pt idx="111">
                  <c:v>7.9119999999999999</c:v>
                </c:pt>
                <c:pt idx="112">
                  <c:v>8.1280000000000001</c:v>
                </c:pt>
                <c:pt idx="113">
                  <c:v>8.1829999999999998</c:v>
                </c:pt>
                <c:pt idx="114">
                  <c:v>8.4819999999999993</c:v>
                </c:pt>
                <c:pt idx="115">
                  <c:v>8.57</c:v>
                </c:pt>
                <c:pt idx="116">
                  <c:v>8.9120000000000008</c:v>
                </c:pt>
                <c:pt idx="117">
                  <c:v>8.6129999999999995</c:v>
                </c:pt>
                <c:pt idx="118">
                  <c:v>8.2439999999999998</c:v>
                </c:pt>
                <c:pt idx="119">
                  <c:v>7.4649999999999999</c:v>
                </c:pt>
                <c:pt idx="120">
                  <c:v>7</c:v>
                </c:pt>
                <c:pt idx="121">
                  <c:v>6.9470000000000001</c:v>
                </c:pt>
                <c:pt idx="122">
                  <c:v>7.4569999999999999</c:v>
                </c:pt>
                <c:pt idx="123">
                  <c:v>7.6130000000000004</c:v>
                </c:pt>
                <c:pt idx="124">
                  <c:v>7.5430000000000001</c:v>
                </c:pt>
                <c:pt idx="125">
                  <c:v>7.8310000000000004</c:v>
                </c:pt>
                <c:pt idx="126">
                  <c:v>8.6289999999999996</c:v>
                </c:pt>
                <c:pt idx="127">
                  <c:v>8.3170000000000002</c:v>
                </c:pt>
                <c:pt idx="128">
                  <c:v>7.1059999999999999</c:v>
                </c:pt>
                <c:pt idx="129">
                  <c:v>8.593</c:v>
                </c:pt>
                <c:pt idx="130">
                  <c:v>9.8849999999999998</c:v>
                </c:pt>
                <c:pt idx="131">
                  <c:v>10.731999999999999</c:v>
                </c:pt>
                <c:pt idx="132">
                  <c:v>9.6869999999999994</c:v>
                </c:pt>
                <c:pt idx="133">
                  <c:v>10.237</c:v>
                </c:pt>
                <c:pt idx="134">
                  <c:v>10.691000000000001</c:v>
                </c:pt>
                <c:pt idx="135">
                  <c:v>10.47</c:v>
                </c:pt>
                <c:pt idx="136">
                  <c:v>11.22</c:v>
                </c:pt>
                <c:pt idx="137">
                  <c:v>12.484999999999999</c:v>
                </c:pt>
                <c:pt idx="138">
                  <c:v>11.848000000000001</c:v>
                </c:pt>
                <c:pt idx="139">
                  <c:v>11.452999999999999</c:v>
                </c:pt>
                <c:pt idx="140">
                  <c:v>10.789</c:v>
                </c:pt>
                <c:pt idx="141">
                  <c:v>8.8559999999999999</c:v>
                </c:pt>
                <c:pt idx="142">
                  <c:v>8.32</c:v>
                </c:pt>
                <c:pt idx="143">
                  <c:v>9.0619999999999994</c:v>
                </c:pt>
                <c:pt idx="144">
                  <c:v>8.7270000000000003</c:v>
                </c:pt>
                <c:pt idx="145">
                  <c:v>8.8109999999999999</c:v>
                </c:pt>
                <c:pt idx="146">
                  <c:v>9.2449999999999992</c:v>
                </c:pt>
                <c:pt idx="147">
                  <c:v>8.8339999999999996</c:v>
                </c:pt>
                <c:pt idx="148">
                  <c:v>8.7100000000000009</c:v>
                </c:pt>
                <c:pt idx="149">
                  <c:v>8.3520000000000003</c:v>
                </c:pt>
                <c:pt idx="150">
                  <c:v>8.202</c:v>
                </c:pt>
                <c:pt idx="151">
                  <c:v>7.8710000000000004</c:v>
                </c:pt>
                <c:pt idx="152">
                  <c:v>8.2479999999999993</c:v>
                </c:pt>
                <c:pt idx="153">
                  <c:v>7.5</c:v>
                </c:pt>
                <c:pt idx="154">
                  <c:v>6.3819999999999997</c:v>
                </c:pt>
                <c:pt idx="155">
                  <c:v>6.9997999999999996</c:v>
                </c:pt>
                <c:pt idx="156">
                  <c:v>6.7561</c:v>
                </c:pt>
                <c:pt idx="157">
                  <c:v>7.5675999999999997</c:v>
                </c:pt>
                <c:pt idx="158">
                  <c:v>7.7062999999999997</c:v>
                </c:pt>
                <c:pt idx="159">
                  <c:v>7.6563999999999997</c:v>
                </c:pt>
                <c:pt idx="160">
                  <c:v>7.8876999999999997</c:v>
                </c:pt>
                <c:pt idx="161">
                  <c:v>7.8960999999999997</c:v>
                </c:pt>
                <c:pt idx="162">
                  <c:v>7.7885999999999997</c:v>
                </c:pt>
                <c:pt idx="163">
                  <c:v>6.2854999999999999</c:v>
                </c:pt>
                <c:pt idx="164">
                  <c:v>6.7674000000000003</c:v>
                </c:pt>
                <c:pt idx="165">
                  <c:v>6.1760000000000002</c:v>
                </c:pt>
                <c:pt idx="166">
                  <c:v>5.2375999999999996</c:v>
                </c:pt>
                <c:pt idx="167">
                  <c:v>5.2247000000000003</c:v>
                </c:pt>
                <c:pt idx="168">
                  <c:v>4.6985000000000001</c:v>
                </c:pt>
                <c:pt idx="169">
                  <c:v>4.8411999999999997</c:v>
                </c:pt>
                <c:pt idx="170">
                  <c:v>4.6440999999999999</c:v>
                </c:pt>
                <c:pt idx="171">
                  <c:v>4.5778999999999996</c:v>
                </c:pt>
                <c:pt idx="172">
                  <c:v>4.2535999999999996</c:v>
                </c:pt>
                <c:pt idx="173">
                  <c:v>4.5864000000000003</c:v>
                </c:pt>
                <c:pt idx="174">
                  <c:v>4.5441000000000003</c:v>
                </c:pt>
                <c:pt idx="175">
                  <c:v>4.4538000000000002</c:v>
                </c:pt>
                <c:pt idx="176">
                  <c:v>4.5593000000000004</c:v>
                </c:pt>
                <c:pt idx="177">
                  <c:v>4.5145999999999997</c:v>
                </c:pt>
                <c:pt idx="178">
                  <c:v>3.9373</c:v>
                </c:pt>
                <c:pt idx="179">
                  <c:v>3.7652999999999999</c:v>
                </c:pt>
                <c:pt idx="180">
                  <c:v>4.0313999999999997</c:v>
                </c:pt>
                <c:pt idx="181">
                  <c:v>3.895</c:v>
                </c:pt>
                <c:pt idx="182">
                  <c:v>3.5859999999999999</c:v>
                </c:pt>
                <c:pt idx="183">
                  <c:v>3.2465999999999999</c:v>
                </c:pt>
                <c:pt idx="184">
                  <c:v>3.1844999999999999</c:v>
                </c:pt>
                <c:pt idx="185">
                  <c:v>3.0482</c:v>
                </c:pt>
                <c:pt idx="186">
                  <c:v>2.9735999999999998</c:v>
                </c:pt>
                <c:pt idx="187">
                  <c:v>2.8834</c:v>
                </c:pt>
                <c:pt idx="188">
                  <c:v>2.8043999999999998</c:v>
                </c:pt>
                <c:pt idx="189">
                  <c:v>2.7522000000000002</c:v>
                </c:pt>
                <c:pt idx="190">
                  <c:v>2.7183000000000002</c:v>
                </c:pt>
                <c:pt idx="191">
                  <c:v>2.4649000000000001</c:v>
                </c:pt>
                <c:pt idx="192">
                  <c:v>2.6631999999999998</c:v>
                </c:pt>
                <c:pt idx="193">
                  <c:v>2.9068000000000001</c:v>
                </c:pt>
                <c:pt idx="194">
                  <c:v>2.6905000000000001</c:v>
                </c:pt>
                <c:pt idx="195">
                  <c:v>2.6667000000000001</c:v>
                </c:pt>
                <c:pt idx="196">
                  <c:v>2.8449</c:v>
                </c:pt>
                <c:pt idx="197">
                  <c:v>3</c:v>
                </c:pt>
                <c:pt idx="198">
                  <c:v>3.0659999999999998</c:v>
                </c:pt>
                <c:pt idx="199">
                  <c:v>3.2088000000000001</c:v>
                </c:pt>
                <c:pt idx="200">
                  <c:v>3.2065000000000001</c:v>
                </c:pt>
                <c:pt idx="201">
                  <c:v>3.1354000000000002</c:v>
                </c:pt>
                <c:pt idx="202">
                  <c:v>3.1960000000000002</c:v>
                </c:pt>
                <c:pt idx="203">
                  <c:v>3.1941000000000002</c:v>
                </c:pt>
                <c:pt idx="204">
                  <c:v>3.5931000000000002</c:v>
                </c:pt>
                <c:pt idx="205">
                  <c:v>3.7444000000000002</c:v>
                </c:pt>
                <c:pt idx="206">
                  <c:v>3.3062</c:v>
                </c:pt>
                <c:pt idx="207">
                  <c:v>3.4622999999999999</c:v>
                </c:pt>
                <c:pt idx="208">
                  <c:v>3.3969999999999998</c:v>
                </c:pt>
                <c:pt idx="209">
                  <c:v>3.2536</c:v>
                </c:pt>
                <c:pt idx="210">
                  <c:v>3.2606000000000002</c:v>
                </c:pt>
                <c:pt idx="211">
                  <c:v>3.5424000000000002</c:v>
                </c:pt>
                <c:pt idx="212">
                  <c:v>3.2534000000000001</c:v>
                </c:pt>
                <c:pt idx="213">
                  <c:v>3.0548999999999999</c:v>
                </c:pt>
                <c:pt idx="214">
                  <c:v>2.8609</c:v>
                </c:pt>
                <c:pt idx="215">
                  <c:v>2.6880000000000002</c:v>
                </c:pt>
                <c:pt idx="216">
                  <c:v>2.6857000000000002</c:v>
                </c:pt>
                <c:pt idx="217">
                  <c:v>2.9836</c:v>
                </c:pt>
                <c:pt idx="218">
                  <c:v>2.8866000000000001</c:v>
                </c:pt>
                <c:pt idx="219">
                  <c:v>2.7383000000000002</c:v>
                </c:pt>
                <c:pt idx="220">
                  <c:v>2.9352</c:v>
                </c:pt>
                <c:pt idx="221">
                  <c:v>3.7595000000000001</c:v>
                </c:pt>
                <c:pt idx="222">
                  <c:v>3.7227000000000001</c:v>
                </c:pt>
                <c:pt idx="223">
                  <c:v>3.8435000000000001</c:v>
                </c:pt>
                <c:pt idx="224">
                  <c:v>4.0701999999999998</c:v>
                </c:pt>
                <c:pt idx="225">
                  <c:v>4.1313000000000004</c:v>
                </c:pt>
                <c:pt idx="226">
                  <c:v>4.3423999999999996</c:v>
                </c:pt>
                <c:pt idx="227">
                  <c:v>4.2324000000000002</c:v>
                </c:pt>
                <c:pt idx="228">
                  <c:v>3.9668999999999999</c:v>
                </c:pt>
                <c:pt idx="229">
                  <c:v>3.6629999999999998</c:v>
                </c:pt>
                <c:pt idx="230">
                  <c:v>3.8611</c:v>
                </c:pt>
                <c:pt idx="231">
                  <c:v>4.1999000000000004</c:v>
                </c:pt>
                <c:pt idx="232">
                  <c:v>4.4960000000000004</c:v>
                </c:pt>
                <c:pt idx="233">
                  <c:v>4.2699999999999996</c:v>
                </c:pt>
                <c:pt idx="234">
                  <c:v>4.4650999999999996</c:v>
                </c:pt>
                <c:pt idx="235">
                  <c:v>4.8007999999999997</c:v>
                </c:pt>
                <c:pt idx="236">
                  <c:v>4.5975999999999999</c:v>
                </c:pt>
                <c:pt idx="237">
                  <c:v>4.7156000000000002</c:v>
                </c:pt>
                <c:pt idx="238">
                  <c:v>5.2912999999999997</c:v>
                </c:pt>
                <c:pt idx="239">
                  <c:v>4.8949999999999996</c:v>
                </c:pt>
                <c:pt idx="240">
                  <c:v>4.5895000000000001</c:v>
                </c:pt>
                <c:pt idx="241">
                  <c:v>4.7541000000000002</c:v>
                </c:pt>
                <c:pt idx="242">
                  <c:v>4.3128000000000002</c:v>
                </c:pt>
                <c:pt idx="243">
                  <c:v>4.0639000000000003</c:v>
                </c:pt>
                <c:pt idx="244">
                  <c:v>4.3444000000000003</c:v>
                </c:pt>
                <c:pt idx="245">
                  <c:v>5.0769000000000002</c:v>
                </c:pt>
                <c:pt idx="246">
                  <c:v>5.4725999999999999</c:v>
                </c:pt>
                <c:pt idx="247">
                  <c:v>4.6104000000000003</c:v>
                </c:pt>
                <c:pt idx="248">
                  <c:v>4.75</c:v>
                </c:pt>
                <c:pt idx="249">
                  <c:v>3.8210000000000002</c:v>
                </c:pt>
                <c:pt idx="250">
                  <c:v>4.8183999999999996</c:v>
                </c:pt>
                <c:pt idx="251">
                  <c:v>5.5500999999999996</c:v>
                </c:pt>
                <c:pt idx="252">
                  <c:v>6.5320999999999998</c:v>
                </c:pt>
                <c:pt idx="253">
                  <c:v>5.4347000000000003</c:v>
                </c:pt>
                <c:pt idx="254">
                  <c:v>9.6004000000000005</c:v>
                </c:pt>
                <c:pt idx="255">
                  <c:v>9.2166999999999994</c:v>
                </c:pt>
                <c:pt idx="256">
                  <c:v>9.7100000000000009</c:v>
                </c:pt>
                <c:pt idx="257">
                  <c:v>7.8903999999999996</c:v>
                </c:pt>
                <c:pt idx="258">
                  <c:v>8.7378999999999998</c:v>
                </c:pt>
                <c:pt idx="259">
                  <c:v>8.2692999999999994</c:v>
                </c:pt>
                <c:pt idx="260">
                  <c:v>8.4667999999999992</c:v>
                </c:pt>
                <c:pt idx="261">
                  <c:v>9.7484999999999999</c:v>
                </c:pt>
                <c:pt idx="262">
                  <c:v>9.1532</c:v>
                </c:pt>
                <c:pt idx="263">
                  <c:v>10.293900000000001</c:v>
                </c:pt>
                <c:pt idx="264">
                  <c:v>10.811999999999999</c:v>
                </c:pt>
                <c:pt idx="265">
                  <c:v>10.146599999999999</c:v>
                </c:pt>
                <c:pt idx="266">
                  <c:v>10.328200000000001</c:v>
                </c:pt>
                <c:pt idx="267">
                  <c:v>11.152799999999999</c:v>
                </c:pt>
                <c:pt idx="268">
                  <c:v>10.280900000000001</c:v>
                </c:pt>
                <c:pt idx="269">
                  <c:v>11.6996</c:v>
                </c:pt>
                <c:pt idx="270">
                  <c:v>10.699199999999999</c:v>
                </c:pt>
                <c:pt idx="271">
                  <c:v>10.5564</c:v>
                </c:pt>
                <c:pt idx="272">
                  <c:v>9.5856999999999992</c:v>
                </c:pt>
                <c:pt idx="273">
                  <c:v>9.2354000000000003</c:v>
                </c:pt>
                <c:pt idx="274">
                  <c:v>9.6515000000000004</c:v>
                </c:pt>
                <c:pt idx="275">
                  <c:v>10.368</c:v>
                </c:pt>
                <c:pt idx="276">
                  <c:v>9.5045000000000002</c:v>
                </c:pt>
                <c:pt idx="277">
                  <c:v>7.4671000000000003</c:v>
                </c:pt>
                <c:pt idx="278">
                  <c:v>5.7801</c:v>
                </c:pt>
                <c:pt idx="279">
                  <c:v>5.7866</c:v>
                </c:pt>
                <c:pt idx="280">
                  <c:v>6.5080999999999998</c:v>
                </c:pt>
                <c:pt idx="281">
                  <c:v>5.9291999999999998</c:v>
                </c:pt>
                <c:pt idx="282">
                  <c:v>5.9222000000000001</c:v>
                </c:pt>
                <c:pt idx="283">
                  <c:v>5.7603</c:v>
                </c:pt>
                <c:pt idx="284">
                  <c:v>6.2409999999999997</c:v>
                </c:pt>
                <c:pt idx="285">
                  <c:v>6.5007000000000001</c:v>
                </c:pt>
                <c:pt idx="286">
                  <c:v>6.6599000000000004</c:v>
                </c:pt>
                <c:pt idx="287">
                  <c:v>7.3657000000000004</c:v>
                </c:pt>
                <c:pt idx="288">
                  <c:v>7.3472999999999997</c:v>
                </c:pt>
                <c:pt idx="289">
                  <c:v>7.2876000000000003</c:v>
                </c:pt>
                <c:pt idx="290">
                  <c:v>7.4555999999999996</c:v>
                </c:pt>
                <c:pt idx="291">
                  <c:v>8.0747999999999998</c:v>
                </c:pt>
                <c:pt idx="292">
                  <c:v>7.0544000000000002</c:v>
                </c:pt>
                <c:pt idx="293">
                  <c:v>7.0270000000000001</c:v>
                </c:pt>
                <c:pt idx="294">
                  <c:v>6.0747999999999998</c:v>
                </c:pt>
                <c:pt idx="295">
                  <c:v>5.6801000000000004</c:v>
                </c:pt>
                <c:pt idx="296">
                  <c:v>6.3592000000000004</c:v>
                </c:pt>
                <c:pt idx="297">
                  <c:v>6.1064999999999996</c:v>
                </c:pt>
                <c:pt idx="298">
                  <c:v>6.5381</c:v>
                </c:pt>
                <c:pt idx="299">
                  <c:v>5.6917999999999997</c:v>
                </c:pt>
                <c:pt idx="300">
                  <c:v>5.9337999999999997</c:v>
                </c:pt>
                <c:pt idx="301">
                  <c:v>5.2545000000000002</c:v>
                </c:pt>
                <c:pt idx="302">
                  <c:v>5.5049999999999999</c:v>
                </c:pt>
                <c:pt idx="303">
                  <c:v>5.3971</c:v>
                </c:pt>
                <c:pt idx="304">
                  <c:v>5.2214</c:v>
                </c:pt>
                <c:pt idx="305">
                  <c:v>4.9194000000000004</c:v>
                </c:pt>
                <c:pt idx="306">
                  <c:v>4.6349</c:v>
                </c:pt>
                <c:pt idx="307">
                  <c:v>4.5951000000000004</c:v>
                </c:pt>
                <c:pt idx="308">
                  <c:v>4.0454999999999997</c:v>
                </c:pt>
                <c:pt idx="309">
                  <c:v>4.2329999999999997</c:v>
                </c:pt>
                <c:pt idx="310">
                  <c:v>4.6863999999999999</c:v>
                </c:pt>
                <c:pt idx="311">
                  <c:v>4.8448000000000002</c:v>
                </c:pt>
                <c:pt idx="312">
                  <c:v>5.0282999999999998</c:v>
                </c:pt>
                <c:pt idx="313">
                  <c:v>5.0511999999999997</c:v>
                </c:pt>
                <c:pt idx="314">
                  <c:v>5.2502000000000004</c:v>
                </c:pt>
                <c:pt idx="315">
                  <c:v>5.1986999999999997</c:v>
                </c:pt>
                <c:pt idx="316">
                  <c:v>5.29</c:v>
                </c:pt>
                <c:pt idx="317">
                  <c:v>5.3692000000000002</c:v>
                </c:pt>
                <c:pt idx="318">
                  <c:v>5.6361999999999997</c:v>
                </c:pt>
                <c:pt idx="319">
                  <c:v>6.1947000000000001</c:v>
                </c:pt>
                <c:pt idx="320">
                  <c:v>6.0397999999999996</c:v>
                </c:pt>
                <c:pt idx="321">
                  <c:v>5.4907000000000004</c:v>
                </c:pt>
                <c:pt idx="322">
                  <c:v>5.8291000000000004</c:v>
                </c:pt>
                <c:pt idx="323">
                  <c:v>5.8552</c:v>
                </c:pt>
                <c:pt idx="324">
                  <c:v>6.4191000000000003</c:v>
                </c:pt>
                <c:pt idx="325">
                  <c:v>6.0625</c:v>
                </c:pt>
                <c:pt idx="326">
                  <c:v>6.0064000000000002</c:v>
                </c:pt>
                <c:pt idx="327">
                  <c:v>5.3173000000000004</c:v>
                </c:pt>
                <c:pt idx="328">
                  <c:v>4.8296999999999999</c:v>
                </c:pt>
                <c:pt idx="329">
                  <c:v>4.9728000000000003</c:v>
                </c:pt>
                <c:pt idx="330">
                  <c:v>5.3310000000000004</c:v>
                </c:pt>
                <c:pt idx="331">
                  <c:v>5.2864000000000004</c:v>
                </c:pt>
                <c:pt idx="332">
                  <c:v>5.6691000000000003</c:v>
                </c:pt>
                <c:pt idx="333">
                  <c:v>4.9813000000000001</c:v>
                </c:pt>
                <c:pt idx="334">
                  <c:v>5.2721</c:v>
                </c:pt>
                <c:pt idx="335">
                  <c:v>5.4810999999999996</c:v>
                </c:pt>
                <c:pt idx="336">
                  <c:v>5.9886999999999997</c:v>
                </c:pt>
                <c:pt idx="337">
                  <c:v>6.9969999999999999</c:v>
                </c:pt>
                <c:pt idx="338">
                  <c:v>6.96</c:v>
                </c:pt>
                <c:pt idx="339">
                  <c:v>5.7058999999999997</c:v>
                </c:pt>
                <c:pt idx="340">
                  <c:v>4.8197000000000001</c:v>
                </c:pt>
                <c:pt idx="341">
                  <c:v>4.5724</c:v>
                </c:pt>
                <c:pt idx="342">
                  <c:v>5.1069000000000004</c:v>
                </c:pt>
                <c:pt idx="343">
                  <c:v>3.9876</c:v>
                </c:pt>
                <c:pt idx="344">
                  <c:v>3.8336999999999999</c:v>
                </c:pt>
                <c:pt idx="345">
                  <c:v>3.6191</c:v>
                </c:pt>
                <c:pt idx="346">
                  <c:v>3.6472000000000002</c:v>
                </c:pt>
                <c:pt idx="347">
                  <c:v>3.8249</c:v>
                </c:pt>
                <c:pt idx="348">
                  <c:v>4.1162999999999998</c:v>
                </c:pt>
                <c:pt idx="349">
                  <c:v>4.1657000000000002</c:v>
                </c:pt>
                <c:pt idx="350">
                  <c:v>4.1184000000000003</c:v>
                </c:pt>
                <c:pt idx="351">
                  <c:v>4.2259000000000002</c:v>
                </c:pt>
                <c:pt idx="352">
                  <c:v>3.3589000000000002</c:v>
                </c:pt>
                <c:pt idx="353">
                  <c:v>3.1291000000000002</c:v>
                </c:pt>
                <c:pt idx="354">
                  <c:v>2.8818999999999999</c:v>
                </c:pt>
                <c:pt idx="355">
                  <c:v>2.903</c:v>
                </c:pt>
                <c:pt idx="356">
                  <c:v>3.1328</c:v>
                </c:pt>
                <c:pt idx="357">
                  <c:v>2.8723000000000001</c:v>
                </c:pt>
                <c:pt idx="358">
                  <c:v>2.8460999999999999</c:v>
                </c:pt>
                <c:pt idx="359">
                  <c:v>2.9605000000000001</c:v>
                </c:pt>
                <c:pt idx="360">
                  <c:v>2.8483999999999998</c:v>
                </c:pt>
                <c:pt idx="361">
                  <c:v>2.484</c:v>
                </c:pt>
                <c:pt idx="362">
                  <c:v>2.0655999999999999</c:v>
                </c:pt>
                <c:pt idx="363">
                  <c:v>1.8835999999999999</c:v>
                </c:pt>
                <c:pt idx="364">
                  <c:v>1.9174</c:v>
                </c:pt>
                <c:pt idx="365">
                  <c:v>1.8835</c:v>
                </c:pt>
                <c:pt idx="366">
                  <c:v>2.2269000000000001</c:v>
                </c:pt>
                <c:pt idx="367">
                  <c:v>1.8996999999999999</c:v>
                </c:pt>
                <c:pt idx="368">
                  <c:v>1.9742</c:v>
                </c:pt>
                <c:pt idx="369">
                  <c:v>1.7625</c:v>
                </c:pt>
                <c:pt idx="370">
                  <c:v>1.6718999999999999</c:v>
                </c:pt>
                <c:pt idx="371">
                  <c:v>1.5367</c:v>
                </c:pt>
                <c:pt idx="372">
                  <c:v>1.8304</c:v>
                </c:pt>
                <c:pt idx="373">
                  <c:v>1.7970999999999999</c:v>
                </c:pt>
                <c:pt idx="374">
                  <c:v>1.9077</c:v>
                </c:pt>
                <c:pt idx="375">
                  <c:v>1.8191999999999999</c:v>
                </c:pt>
                <c:pt idx="376">
                  <c:v>1.7703</c:v>
                </c:pt>
                <c:pt idx="377">
                  <c:v>1.71</c:v>
                </c:pt>
                <c:pt idx="378">
                  <c:v>1.6968000000000001</c:v>
                </c:pt>
                <c:pt idx="379">
                  <c:v>1.6573</c:v>
                </c:pt>
                <c:pt idx="380">
                  <c:v>1.4436</c:v>
                </c:pt>
                <c:pt idx="381">
                  <c:v>1.41</c:v>
                </c:pt>
                <c:pt idx="382">
                  <c:v>1.6185</c:v>
                </c:pt>
                <c:pt idx="383">
                  <c:v>1.7242</c:v>
                </c:pt>
                <c:pt idx="384">
                  <c:v>1.6338999999999999</c:v>
                </c:pt>
                <c:pt idx="385">
                  <c:v>1.3991</c:v>
                </c:pt>
                <c:pt idx="386">
                  <c:v>1.4424999999999999</c:v>
                </c:pt>
                <c:pt idx="387">
                  <c:v>1.4791000000000001</c:v>
                </c:pt>
                <c:pt idx="388">
                  <c:v>1.3149</c:v>
                </c:pt>
                <c:pt idx="389">
                  <c:v>1.1813</c:v>
                </c:pt>
                <c:pt idx="390">
                  <c:v>1.0604</c:v>
                </c:pt>
                <c:pt idx="391">
                  <c:v>1.1317999999999999</c:v>
                </c:pt>
                <c:pt idx="392">
                  <c:v>1.0428999999999999</c:v>
                </c:pt>
                <c:pt idx="393">
                  <c:v>1.0357000000000001</c:v>
                </c:pt>
                <c:pt idx="394">
                  <c:v>1.0803</c:v>
                </c:pt>
                <c:pt idx="395">
                  <c:v>1.0130999999999999</c:v>
                </c:pt>
                <c:pt idx="396">
                  <c:v>1.0005999999999999</c:v>
                </c:pt>
                <c:pt idx="397">
                  <c:v>0.98299999999999998</c:v>
                </c:pt>
                <c:pt idx="398">
                  <c:v>1.0319</c:v>
                </c:pt>
                <c:pt idx="399">
                  <c:v>1.0430999999999999</c:v>
                </c:pt>
                <c:pt idx="400">
                  <c:v>0.98399999999999999</c:v>
                </c:pt>
                <c:pt idx="401">
                  <c:v>1.1140000000000001</c:v>
                </c:pt>
                <c:pt idx="402">
                  <c:v>1.0663</c:v>
                </c:pt>
                <c:pt idx="403">
                  <c:v>1.1362000000000001</c:v>
                </c:pt>
                <c:pt idx="404">
                  <c:v>1.2132000000000001</c:v>
                </c:pt>
                <c:pt idx="405">
                  <c:v>1.1589</c:v>
                </c:pt>
                <c:pt idx="406">
                  <c:v>1.1394</c:v>
                </c:pt>
                <c:pt idx="407">
                  <c:v>1.1858</c:v>
                </c:pt>
                <c:pt idx="408">
                  <c:v>1.1283000000000001</c:v>
                </c:pt>
                <c:pt idx="409">
                  <c:v>1.0591999999999999</c:v>
                </c:pt>
                <c:pt idx="410">
                  <c:v>1.0709</c:v>
                </c:pt>
                <c:pt idx="411">
                  <c:v>1.0505</c:v>
                </c:pt>
                <c:pt idx="412">
                  <c:v>1.0198</c:v>
                </c:pt>
                <c:pt idx="413">
                  <c:v>1.0496000000000001</c:v>
                </c:pt>
                <c:pt idx="414">
                  <c:v>1.0978000000000001</c:v>
                </c:pt>
                <c:pt idx="415">
                  <c:v>1.0747</c:v>
                </c:pt>
                <c:pt idx="416">
                  <c:v>1.1858</c:v>
                </c:pt>
                <c:pt idx="417">
                  <c:v>1.1512</c:v>
                </c:pt>
                <c:pt idx="418">
                  <c:v>1.1778</c:v>
                </c:pt>
                <c:pt idx="419">
                  <c:v>1.1147</c:v>
                </c:pt>
                <c:pt idx="420">
                  <c:v>1.2484999999999999</c:v>
                </c:pt>
                <c:pt idx="421">
                  <c:v>1.2135</c:v>
                </c:pt>
                <c:pt idx="422">
                  <c:v>1.2033</c:v>
                </c:pt>
                <c:pt idx="423">
                  <c:v>1.0651999999999999</c:v>
                </c:pt>
                <c:pt idx="424">
                  <c:v>1.0313000000000001</c:v>
                </c:pt>
                <c:pt idx="425">
                  <c:v>1.014</c:v>
                </c:pt>
                <c:pt idx="426">
                  <c:v>0.99719999999999998</c:v>
                </c:pt>
                <c:pt idx="427">
                  <c:v>1.0285</c:v>
                </c:pt>
                <c:pt idx="428">
                  <c:v>1.1556999999999999</c:v>
                </c:pt>
                <c:pt idx="429">
                  <c:v>1.23</c:v>
                </c:pt>
                <c:pt idx="430">
                  <c:v>1.2863</c:v>
                </c:pt>
                <c:pt idx="431">
                  <c:v>1.1872</c:v>
                </c:pt>
                <c:pt idx="432">
                  <c:v>1.2583</c:v>
                </c:pt>
                <c:pt idx="433">
                  <c:v>1.1404000000000001</c:v>
                </c:pt>
                <c:pt idx="434">
                  <c:v>1.1157999999999999</c:v>
                </c:pt>
                <c:pt idx="435">
                  <c:v>1.1298999999999999</c:v>
                </c:pt>
                <c:pt idx="436">
                  <c:v>1.2423999999999999</c:v>
                </c:pt>
                <c:pt idx="437">
                  <c:v>1.2637</c:v>
                </c:pt>
                <c:pt idx="438">
                  <c:v>1.1859999999999999</c:v>
                </c:pt>
                <c:pt idx="439">
                  <c:v>1.0347</c:v>
                </c:pt>
                <c:pt idx="440">
                  <c:v>1.0716000000000001</c:v>
                </c:pt>
                <c:pt idx="441">
                  <c:v>1.0369999999999999</c:v>
                </c:pt>
                <c:pt idx="442">
                  <c:v>1.0972999999999999</c:v>
                </c:pt>
                <c:pt idx="443">
                  <c:v>1.1801999999999999</c:v>
                </c:pt>
                <c:pt idx="444">
                  <c:v>1.0278</c:v>
                </c:pt>
                <c:pt idx="445">
                  <c:v>1.1141000000000001</c:v>
                </c:pt>
                <c:pt idx="446">
                  <c:v>1.0754999999999999</c:v>
                </c:pt>
                <c:pt idx="447">
                  <c:v>0.995</c:v>
                </c:pt>
                <c:pt idx="448">
                  <c:v>0.86260000000000003</c:v>
                </c:pt>
                <c:pt idx="449">
                  <c:v>0.83189999999999997</c:v>
                </c:pt>
                <c:pt idx="450">
                  <c:v>0.85389999999999999</c:v>
                </c:pt>
                <c:pt idx="451">
                  <c:v>0.93779999999999997</c:v>
                </c:pt>
                <c:pt idx="452">
                  <c:v>0.9839</c:v>
                </c:pt>
                <c:pt idx="453">
                  <c:v>0.97689999999999999</c:v>
                </c:pt>
                <c:pt idx="454">
                  <c:v>0.98919999999999997</c:v>
                </c:pt>
                <c:pt idx="455">
                  <c:v>1.0265</c:v>
                </c:pt>
                <c:pt idx="456">
                  <c:v>1.0046999999999999</c:v>
                </c:pt>
                <c:pt idx="457">
                  <c:v>1.1087</c:v>
                </c:pt>
                <c:pt idx="458">
                  <c:v>1.0327999999999999</c:v>
                </c:pt>
                <c:pt idx="459">
                  <c:v>1.0938000000000001</c:v>
                </c:pt>
                <c:pt idx="460">
                  <c:v>1.0541</c:v>
                </c:pt>
                <c:pt idx="461">
                  <c:v>1.0708</c:v>
                </c:pt>
                <c:pt idx="462">
                  <c:v>1.1158999999999999</c:v>
                </c:pt>
                <c:pt idx="463">
                  <c:v>1.1023000000000001</c:v>
                </c:pt>
                <c:pt idx="464">
                  <c:v>1.0415000000000001</c:v>
                </c:pt>
                <c:pt idx="465">
                  <c:v>1.1856</c:v>
                </c:pt>
                <c:pt idx="466">
                  <c:v>1.2941</c:v>
                </c:pt>
                <c:pt idx="467">
                  <c:v>1.2815000000000001</c:v>
                </c:pt>
                <c:pt idx="468">
                  <c:v>1.278</c:v>
                </c:pt>
                <c:pt idx="469">
                  <c:v>1.4029</c:v>
                </c:pt>
                <c:pt idx="470">
                  <c:v>1.3689</c:v>
                </c:pt>
                <c:pt idx="471">
                  <c:v>1.3242</c:v>
                </c:pt>
                <c:pt idx="472">
                  <c:v>1.3109</c:v>
                </c:pt>
                <c:pt idx="473">
                  <c:v>1.2862</c:v>
                </c:pt>
                <c:pt idx="474">
                  <c:v>1.2585</c:v>
                </c:pt>
                <c:pt idx="475">
                  <c:v>1.3645</c:v>
                </c:pt>
                <c:pt idx="476">
                  <c:v>1.2616000000000001</c:v>
                </c:pt>
                <c:pt idx="477">
                  <c:v>1.2461</c:v>
                </c:pt>
                <c:pt idx="478">
                  <c:v>1.1543000000000001</c:v>
                </c:pt>
                <c:pt idx="479">
                  <c:v>1.5465</c:v>
                </c:pt>
                <c:pt idx="480">
                  <c:v>1.5864</c:v>
                </c:pt>
                <c:pt idx="481">
                  <c:v>1.5837000000000001</c:v>
                </c:pt>
                <c:pt idx="482">
                  <c:v>1.6500999999999999</c:v>
                </c:pt>
                <c:pt idx="483">
                  <c:v>1.7810999999999999</c:v>
                </c:pt>
                <c:pt idx="484">
                  <c:v>1.8452999999999999</c:v>
                </c:pt>
                <c:pt idx="485">
                  <c:v>1.7778</c:v>
                </c:pt>
                <c:pt idx="486">
                  <c:v>1.7830999999999999</c:v>
                </c:pt>
                <c:pt idx="487">
                  <c:v>1.8831</c:v>
                </c:pt>
                <c:pt idx="488">
                  <c:v>1.8955</c:v>
                </c:pt>
                <c:pt idx="489">
                  <c:v>1.9690000000000001</c:v>
                </c:pt>
                <c:pt idx="490">
                  <c:v>1.9779</c:v>
                </c:pt>
                <c:pt idx="491">
                  <c:v>1.7501</c:v>
                </c:pt>
                <c:pt idx="492">
                  <c:v>1.8581000000000001</c:v>
                </c:pt>
                <c:pt idx="493">
                  <c:v>1.7347999999999999</c:v>
                </c:pt>
                <c:pt idx="494">
                  <c:v>1.8838999999999999</c:v>
                </c:pt>
                <c:pt idx="495">
                  <c:v>2.0118999999999998</c:v>
                </c:pt>
                <c:pt idx="496">
                  <c:v>2.11</c:v>
                </c:pt>
                <c:pt idx="497">
                  <c:v>1.9399</c:v>
                </c:pt>
                <c:pt idx="498">
                  <c:v>1.8233999999999999</c:v>
                </c:pt>
                <c:pt idx="499">
                  <c:v>2.0373999999999999</c:v>
                </c:pt>
                <c:pt idx="500">
                  <c:v>2.3984000000000001</c:v>
                </c:pt>
                <c:pt idx="501">
                  <c:v>2.38</c:v>
                </c:pt>
                <c:pt idx="502">
                  <c:v>2.4123999999999999</c:v>
                </c:pt>
                <c:pt idx="503">
                  <c:v>2.3837000000000002</c:v>
                </c:pt>
                <c:pt idx="504">
                  <c:v>2.2864</c:v>
                </c:pt>
                <c:pt idx="505">
                  <c:v>2.4575</c:v>
                </c:pt>
                <c:pt idx="506">
                  <c:v>2.1315</c:v>
                </c:pt>
                <c:pt idx="507">
                  <c:v>2.4388000000000001</c:v>
                </c:pt>
                <c:pt idx="508">
                  <c:v>2.6023999999999998</c:v>
                </c:pt>
                <c:pt idx="509">
                  <c:v>2.2050999999999998</c:v>
                </c:pt>
                <c:pt idx="510">
                  <c:v>2.8889999999999998</c:v>
                </c:pt>
                <c:pt idx="511">
                  <c:v>2.8881000000000001</c:v>
                </c:pt>
                <c:pt idx="512">
                  <c:v>3.5872000000000002</c:v>
                </c:pt>
                <c:pt idx="513">
                  <c:v>3.12</c:v>
                </c:pt>
                <c:pt idx="514">
                  <c:v>3.2905000000000002</c:v>
                </c:pt>
                <c:pt idx="515">
                  <c:v>2.8881999999999999</c:v>
                </c:pt>
                <c:pt idx="516">
                  <c:v>2.823</c:v>
                </c:pt>
                <c:pt idx="517">
                  <c:v>2.4148999999999998</c:v>
                </c:pt>
                <c:pt idx="518">
                  <c:v>2.5394999999999999</c:v>
                </c:pt>
                <c:pt idx="519">
                  <c:v>2.0703</c:v>
                </c:pt>
                <c:pt idx="520">
                  <c:v>1.6720999999999999</c:v>
                </c:pt>
                <c:pt idx="521">
                  <c:v>1.8353999999999999</c:v>
                </c:pt>
                <c:pt idx="522">
                  <c:v>1.5306999999999999</c:v>
                </c:pt>
                <c:pt idx="523">
                  <c:v>1.5425</c:v>
                </c:pt>
                <c:pt idx="524">
                  <c:v>1.5098</c:v>
                </c:pt>
                <c:pt idx="525">
                  <c:v>1.7747999999999999</c:v>
                </c:pt>
                <c:pt idx="526">
                  <c:v>1.5992999999999999</c:v>
                </c:pt>
                <c:pt idx="527">
                  <c:v>1.6714</c:v>
                </c:pt>
                <c:pt idx="528">
                  <c:v>1.6503000000000001</c:v>
                </c:pt>
                <c:pt idx="529">
                  <c:v>1.73</c:v>
                </c:pt>
                <c:pt idx="530">
                  <c:v>1.6651</c:v>
                </c:pt>
                <c:pt idx="531">
                  <c:v>1.8573999999999999</c:v>
                </c:pt>
                <c:pt idx="532">
                  <c:v>2.0068000000000001</c:v>
                </c:pt>
                <c:pt idx="533">
                  <c:v>1.6657999999999999</c:v>
                </c:pt>
                <c:pt idx="534">
                  <c:v>1.5629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79-42A3-95F6-DE6ADF8259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1.1266122378133656</c:v>
                </c:pt>
                <c:pt idx="1">
                  <c:v>1.1288245752133657</c:v>
                </c:pt>
                <c:pt idx="2">
                  <c:v>1.1506822939138264</c:v>
                </c:pt>
                <c:pt idx="3">
                  <c:v>1.150183043059281</c:v>
                </c:pt>
                <c:pt idx="4">
                  <c:v>1.1430233681533988</c:v>
                </c:pt>
                <c:pt idx="5">
                  <c:v>1.1215395656918603</c:v>
                </c:pt>
                <c:pt idx="6">
                  <c:v>1.1306682078653496</c:v>
                </c:pt>
                <c:pt idx="7">
                  <c:v>1.1578688368607413</c:v>
                </c:pt>
                <c:pt idx="8">
                  <c:v>1.17950164748529</c:v>
                </c:pt>
                <c:pt idx="9">
                  <c:v>1.1868956342601245</c:v>
                </c:pt>
                <c:pt idx="10">
                  <c:v>1.179476222773638</c:v>
                </c:pt>
                <c:pt idx="11">
                  <c:v>1.187275140092787</c:v>
                </c:pt>
                <c:pt idx="12">
                  <c:v>1.1885945294544893</c:v>
                </c:pt>
                <c:pt idx="13">
                  <c:v>1.1883638078691232</c:v>
                </c:pt>
                <c:pt idx="14">
                  <c:v>1.1773013189560799</c:v>
                </c:pt>
                <c:pt idx="15">
                  <c:v>1.1989777562023856</c:v>
                </c:pt>
                <c:pt idx="16">
                  <c:v>1.1877508422598015</c:v>
                </c:pt>
                <c:pt idx="17">
                  <c:v>1.1802948043451098</c:v>
                </c:pt>
                <c:pt idx="18">
                  <c:v>1.1823645960779616</c:v>
                </c:pt>
                <c:pt idx="19">
                  <c:v>1.1801235361185023</c:v>
                </c:pt>
                <c:pt idx="20">
                  <c:v>1.1940291918327879</c:v>
                </c:pt>
                <c:pt idx="21">
                  <c:v>1.2377596382349856</c:v>
                </c:pt>
                <c:pt idx="22">
                  <c:v>1.2481094976805995</c:v>
                </c:pt>
                <c:pt idx="23">
                  <c:v>1.2831420616197302</c:v>
                </c:pt>
                <c:pt idx="24">
                  <c:v>1.2873807598333225</c:v>
                </c:pt>
                <c:pt idx="25">
                  <c:v>1.2949862600655324</c:v>
                </c:pt>
                <c:pt idx="26">
                  <c:v>1.2819658529727489</c:v>
                </c:pt>
                <c:pt idx="27">
                  <c:v>1.2630027859050796</c:v>
                </c:pt>
                <c:pt idx="28">
                  <c:v>1.272345299135849</c:v>
                </c:pt>
                <c:pt idx="29">
                  <c:v>1.2714120418642836</c:v>
                </c:pt>
                <c:pt idx="30">
                  <c:v>1.2973687491615811</c:v>
                </c:pt>
                <c:pt idx="31">
                  <c:v>1.3413837858996762</c:v>
                </c:pt>
                <c:pt idx="32">
                  <c:v>1.3625721638855419</c:v>
                </c:pt>
                <c:pt idx="33">
                  <c:v>1.3642839842779471</c:v>
                </c:pt>
                <c:pt idx="34">
                  <c:v>1.3478550342512801</c:v>
                </c:pt>
                <c:pt idx="35">
                  <c:v>1.3455848427555537</c:v>
                </c:pt>
                <c:pt idx="36">
                  <c:v>1.3236832046571931</c:v>
                </c:pt>
                <c:pt idx="37">
                  <c:v>1.3239385896194571</c:v>
                </c:pt>
                <c:pt idx="38">
                  <c:v>1.3066819766316027</c:v>
                </c:pt>
                <c:pt idx="39">
                  <c:v>1.3013674939043298</c:v>
                </c:pt>
                <c:pt idx="40">
                  <c:v>1.3218143689220816</c:v>
                </c:pt>
                <c:pt idx="41">
                  <c:v>1.2994628770521628</c:v>
                </c:pt>
                <c:pt idx="42">
                  <c:v>1.3106964940045436</c:v>
                </c:pt>
                <c:pt idx="43">
                  <c:v>1.3385406515695661</c:v>
                </c:pt>
                <c:pt idx="44">
                  <c:v>1.321522820212782</c:v>
                </c:pt>
                <c:pt idx="45">
                  <c:v>1.3120752326100424</c:v>
                </c:pt>
                <c:pt idx="46">
                  <c:v>1.3428684076735344</c:v>
                </c:pt>
                <c:pt idx="47">
                  <c:v>1.3290674606267259</c:v>
                </c:pt>
                <c:pt idx="48">
                  <c:v>1.3216929637458967</c:v>
                </c:pt>
                <c:pt idx="49">
                  <c:v>1.3526188487652517</c:v>
                </c:pt>
                <c:pt idx="50">
                  <c:v>1.3801621780095106</c:v>
                </c:pt>
                <c:pt idx="51">
                  <c:v>1.3440833769369034</c:v>
                </c:pt>
                <c:pt idx="52">
                  <c:v>1.3206835943914483</c:v>
                </c:pt>
                <c:pt idx="53">
                  <c:v>1.282384727825042</c:v>
                </c:pt>
                <c:pt idx="54">
                  <c:v>1.3004991454231234</c:v>
                </c:pt>
                <c:pt idx="55">
                  <c:v>1.3329721160444834</c:v>
                </c:pt>
                <c:pt idx="56">
                  <c:v>1.3431182666859927</c:v>
                </c:pt>
                <c:pt idx="57">
                  <c:v>1.3497410698732435</c:v>
                </c:pt>
                <c:pt idx="58">
                  <c:v>1.3697163385048226</c:v>
                </c:pt>
                <c:pt idx="59">
                  <c:v>1.3894103348754832</c:v>
                </c:pt>
                <c:pt idx="60">
                  <c:v>1.3490731228062369</c:v>
                </c:pt>
                <c:pt idx="61">
                  <c:v>1.3194604196062369</c:v>
                </c:pt>
                <c:pt idx="62">
                  <c:v>1.3259489554071027</c:v>
                </c:pt>
                <c:pt idx="63">
                  <c:v>1.3605430323949597</c:v>
                </c:pt>
                <c:pt idx="64">
                  <c:v>1.346494273869614</c:v>
                </c:pt>
                <c:pt idx="65">
                  <c:v>1.3481395055784746</c:v>
                </c:pt>
                <c:pt idx="66">
                  <c:v>1.3418562333733464</c:v>
                </c:pt>
                <c:pt idx="67">
                  <c:v>1.3626539846262646</c:v>
                </c:pt>
                <c:pt idx="68">
                  <c:v>1.3483837649268109</c:v>
                </c:pt>
                <c:pt idx="69">
                  <c:v>1.3324466740403969</c:v>
                </c:pt>
                <c:pt idx="70">
                  <c:v>1.3115611890087224</c:v>
                </c:pt>
                <c:pt idx="71">
                  <c:v>1.3368757860625333</c:v>
                </c:pt>
                <c:pt idx="72">
                  <c:v>1.3141965789915655</c:v>
                </c:pt>
                <c:pt idx="73">
                  <c:v>1.3395067005444019</c:v>
                </c:pt>
                <c:pt idx="74">
                  <c:v>1.3569401318385197</c:v>
                </c:pt>
                <c:pt idx="75">
                  <c:v>1.3569401318385197</c:v>
                </c:pt>
                <c:pt idx="76">
                  <c:v>1.3458144291780032</c:v>
                </c:pt>
                <c:pt idx="77">
                  <c:v>1.3463048392547623</c:v>
                </c:pt>
                <c:pt idx="78">
                  <c:v>1.3443426807622252</c:v>
                </c:pt>
                <c:pt idx="79">
                  <c:v>1.364228765254238</c:v>
                </c:pt>
                <c:pt idx="80">
                  <c:v>1.3913415324062079</c:v>
                </c:pt>
                <c:pt idx="81">
                  <c:v>1.3592188776231091</c:v>
                </c:pt>
                <c:pt idx="82">
                  <c:v>1.3730539718278874</c:v>
                </c:pt>
                <c:pt idx="83">
                  <c:v>1.3411895558874776</c:v>
                </c:pt>
                <c:pt idx="84">
                  <c:v>1.3681119984865113</c:v>
                </c:pt>
                <c:pt idx="85">
                  <c:v>1.3960840535210837</c:v>
                </c:pt>
                <c:pt idx="86">
                  <c:v>1.2970245608145374</c:v>
                </c:pt>
                <c:pt idx="87">
                  <c:v>1.2519422890117204</c:v>
                </c:pt>
                <c:pt idx="88">
                  <c:v>1.2229475626968418</c:v>
                </c:pt>
                <c:pt idx="89">
                  <c:v>1.2079116922829074</c:v>
                </c:pt>
                <c:pt idx="90">
                  <c:v>1.2199838643152698</c:v>
                </c:pt>
                <c:pt idx="91">
                  <c:v>1.191577055450239</c:v>
                </c:pt>
                <c:pt idx="92">
                  <c:v>1.1728469227488172</c:v>
                </c:pt>
                <c:pt idx="93">
                  <c:v>1.223845431954792</c:v>
                </c:pt>
                <c:pt idx="94">
                  <c:v>1.2458187293516487</c:v>
                </c:pt>
                <c:pt idx="95">
                  <c:v>1.2316155357996488</c:v>
                </c:pt>
                <c:pt idx="96">
                  <c:v>1.2393955881530827</c:v>
                </c:pt>
                <c:pt idx="97">
                  <c:v>1.2570913562996342</c:v>
                </c:pt>
                <c:pt idx="98">
                  <c:v>1.2036336958218827</c:v>
                </c:pt>
                <c:pt idx="99">
                  <c:v>1.2504721574896678</c:v>
                </c:pt>
                <c:pt idx="100">
                  <c:v>1.1974503130111305</c:v>
                </c:pt>
                <c:pt idx="101">
                  <c:v>1.186733493577502</c:v>
                </c:pt>
                <c:pt idx="102">
                  <c:v>1.1995901964122129</c:v>
                </c:pt>
                <c:pt idx="103">
                  <c:v>1.1970379410509961</c:v>
                </c:pt>
                <c:pt idx="104">
                  <c:v>1.2220577743611227</c:v>
                </c:pt>
                <c:pt idx="105">
                  <c:v>1.2585188690905345</c:v>
                </c:pt>
                <c:pt idx="106">
                  <c:v>1.2670411142883955</c:v>
                </c:pt>
                <c:pt idx="107">
                  <c:v>1.2432576673529114</c:v>
                </c:pt>
                <c:pt idx="108">
                  <c:v>1.2056803533529115</c:v>
                </c:pt>
                <c:pt idx="109">
                  <c:v>1.2172817959271689</c:v>
                </c:pt>
                <c:pt idx="110">
                  <c:v>1.2444927330830131</c:v>
                </c:pt>
                <c:pt idx="111">
                  <c:v>1.2293818813262565</c:v>
                </c:pt>
                <c:pt idx="112">
                  <c:v>1.2535536170110111</c:v>
                </c:pt>
                <c:pt idx="113">
                  <c:v>1.2557754337299301</c:v>
                </c:pt>
                <c:pt idx="114">
                  <c:v>1.2350335881682863</c:v>
                </c:pt>
                <c:pt idx="115">
                  <c:v>1.2248444264713716</c:v>
                </c:pt>
                <c:pt idx="116">
                  <c:v>1.2393217295512828</c:v>
                </c:pt>
                <c:pt idx="117">
                  <c:v>1.2595158710556091</c:v>
                </c:pt>
                <c:pt idx="118">
                  <c:v>1.252456163612371</c:v>
                </c:pt>
                <c:pt idx="119">
                  <c:v>1.1838305807546676</c:v>
                </c:pt>
                <c:pt idx="120">
                  <c:v>1.1343667287582391</c:v>
                </c:pt>
                <c:pt idx="121">
                  <c:v>1.1516218688832391</c:v>
                </c:pt>
                <c:pt idx="122">
                  <c:v>1.192889633685599</c:v>
                </c:pt>
                <c:pt idx="123">
                  <c:v>1.2657770182463224</c:v>
                </c:pt>
                <c:pt idx="124">
                  <c:v>1.2509461915912248</c:v>
                </c:pt>
                <c:pt idx="125">
                  <c:v>1.2613582985271439</c:v>
                </c:pt>
                <c:pt idx="126">
                  <c:v>1.2697119066132549</c:v>
                </c:pt>
                <c:pt idx="127">
                  <c:v>1.2143962850813401</c:v>
                </c:pt>
                <c:pt idx="128">
                  <c:v>1.1214199700813401</c:v>
                </c:pt>
                <c:pt idx="129">
                  <c:v>1.205035017756767</c:v>
                </c:pt>
                <c:pt idx="130">
                  <c:v>1.2544275413614185</c:v>
                </c:pt>
                <c:pt idx="131">
                  <c:v>1.320246538493518</c:v>
                </c:pt>
                <c:pt idx="132">
                  <c:v>1.2252266007215886</c:v>
                </c:pt>
                <c:pt idx="133">
                  <c:v>1.2584566768041572</c:v>
                </c:pt>
                <c:pt idx="134">
                  <c:v>1.2942264576768845</c:v>
                </c:pt>
                <c:pt idx="135">
                  <c:v>1.2801763643940562</c:v>
                </c:pt>
                <c:pt idx="136">
                  <c:v>1.2925170602175045</c:v>
                </c:pt>
                <c:pt idx="137">
                  <c:v>1.3090535445496236</c:v>
                </c:pt>
                <c:pt idx="138">
                  <c:v>1.2552540065523674</c:v>
                </c:pt>
                <c:pt idx="139">
                  <c:v>1.415507555509649</c:v>
                </c:pt>
                <c:pt idx="140">
                  <c:v>1.2351376958622602</c:v>
                </c:pt>
                <c:pt idx="141">
                  <c:v>1.1359905650272601</c:v>
                </c:pt>
                <c:pt idx="142">
                  <c:v>1.0311533958565648</c:v>
                </c:pt>
                <c:pt idx="143">
                  <c:v>1.12607228863177</c:v>
                </c:pt>
                <c:pt idx="144">
                  <c:v>1.050200584064096</c:v>
                </c:pt>
                <c:pt idx="145">
                  <c:v>1.0246824880415226</c:v>
                </c:pt>
                <c:pt idx="146">
                  <c:v>1.0636550407223735</c:v>
                </c:pt>
                <c:pt idx="147">
                  <c:v>1.0814445168606821</c:v>
                </c:pt>
                <c:pt idx="148">
                  <c:v>1.0919103050648706</c:v>
                </c:pt>
                <c:pt idx="149">
                  <c:v>1.0589002324752628</c:v>
                </c:pt>
                <c:pt idx="150">
                  <c:v>1.2023056139771287</c:v>
                </c:pt>
                <c:pt idx="151">
                  <c:v>1.2517950029532809</c:v>
                </c:pt>
                <c:pt idx="152">
                  <c:v>1.2779385610841372</c:v>
                </c:pt>
                <c:pt idx="153">
                  <c:v>1.2305681966464714</c:v>
                </c:pt>
                <c:pt idx="154">
                  <c:v>1.0688514083975487</c:v>
                </c:pt>
                <c:pt idx="155">
                  <c:v>1.0917438193114022</c:v>
                </c:pt>
                <c:pt idx="156">
                  <c:v>1.0538061388769995</c:v>
                </c:pt>
                <c:pt idx="157">
                  <c:v>1.0978149569022917</c:v>
                </c:pt>
                <c:pt idx="158">
                  <c:v>1.1031653050831431</c:v>
                </c:pt>
                <c:pt idx="159">
                  <c:v>1.1012552690198107</c:v>
                </c:pt>
                <c:pt idx="160">
                  <c:v>1.134484283858991</c:v>
                </c:pt>
                <c:pt idx="161">
                  <c:v>1.1005861588532548</c:v>
                </c:pt>
                <c:pt idx="162">
                  <c:v>1.1338715957664911</c:v>
                </c:pt>
                <c:pt idx="163">
                  <c:v>0.97577631557319189</c:v>
                </c:pt>
                <c:pt idx="164">
                  <c:v>1.0668577055988666</c:v>
                </c:pt>
                <c:pt idx="165">
                  <c:v>1.0653172279437479</c:v>
                </c:pt>
                <c:pt idx="166">
                  <c:v>0.97754905370704559</c:v>
                </c:pt>
                <c:pt idx="167">
                  <c:v>0.95042609751359119</c:v>
                </c:pt>
                <c:pt idx="168">
                  <c:v>0.92522197962504105</c:v>
                </c:pt>
                <c:pt idx="169">
                  <c:v>0.93341643024654297</c:v>
                </c:pt>
                <c:pt idx="170">
                  <c:v>0.94821379302510311</c:v>
                </c:pt>
                <c:pt idx="171">
                  <c:v>0.96419777789208361</c:v>
                </c:pt>
                <c:pt idx="172">
                  <c:v>0.94618221197574381</c:v>
                </c:pt>
                <c:pt idx="173">
                  <c:v>0.95910421491934916</c:v>
                </c:pt>
                <c:pt idx="174">
                  <c:v>0.95615365777013395</c:v>
                </c:pt>
                <c:pt idx="175">
                  <c:v>0.94674602479654124</c:v>
                </c:pt>
                <c:pt idx="176">
                  <c:v>0.9394757848493851</c:v>
                </c:pt>
                <c:pt idx="177">
                  <c:v>0.89928857417012165</c:v>
                </c:pt>
                <c:pt idx="178">
                  <c:v>0.8549739493701215</c:v>
                </c:pt>
                <c:pt idx="179">
                  <c:v>0.85123954426119997</c:v>
                </c:pt>
                <c:pt idx="180">
                  <c:v>0.88617885432771581</c:v>
                </c:pt>
                <c:pt idx="181">
                  <c:v>0.87881280957655938</c:v>
                </c:pt>
                <c:pt idx="182">
                  <c:v>0.82261323383103346</c:v>
                </c:pt>
                <c:pt idx="183">
                  <c:v>0.79514849851687552</c:v>
                </c:pt>
                <c:pt idx="184">
                  <c:v>0.7782400608839436</c:v>
                </c:pt>
                <c:pt idx="185">
                  <c:v>0.76522137418021252</c:v>
                </c:pt>
                <c:pt idx="186">
                  <c:v>0.81189819685802167</c:v>
                </c:pt>
                <c:pt idx="187">
                  <c:v>0.80381606019752805</c:v>
                </c:pt>
                <c:pt idx="188">
                  <c:v>0.80153227470842381</c:v>
                </c:pt>
                <c:pt idx="189">
                  <c:v>0.79240942361505029</c:v>
                </c:pt>
                <c:pt idx="190">
                  <c:v>0.79581037270764299</c:v>
                </c:pt>
                <c:pt idx="191">
                  <c:v>0.7803420286281576</c:v>
                </c:pt>
                <c:pt idx="192">
                  <c:v>0.79261367751124356</c:v>
                </c:pt>
                <c:pt idx="193">
                  <c:v>0.82794204097755886</c:v>
                </c:pt>
                <c:pt idx="194">
                  <c:v>0.83542723480718983</c:v>
                </c:pt>
                <c:pt idx="195">
                  <c:v>0.83294544014356853</c:v>
                </c:pt>
                <c:pt idx="196">
                  <c:v>0.84607415081367743</c:v>
                </c:pt>
                <c:pt idx="197">
                  <c:v>0.85588264020548432</c:v>
                </c:pt>
                <c:pt idx="198">
                  <c:v>0.84786044058696275</c:v>
                </c:pt>
                <c:pt idx="199">
                  <c:v>0.85198497051590094</c:v>
                </c:pt>
                <c:pt idx="200">
                  <c:v>0.85163258320272572</c:v>
                </c:pt>
                <c:pt idx="201">
                  <c:v>0.84450564519738702</c:v>
                </c:pt>
                <c:pt idx="202">
                  <c:v>0.8473676367186852</c:v>
                </c:pt>
                <c:pt idx="203">
                  <c:v>0.83886842879512658</c:v>
                </c:pt>
                <c:pt idx="204">
                  <c:v>0.85998694101608497</c:v>
                </c:pt>
                <c:pt idx="205">
                  <c:v>0.89199410393413003</c:v>
                </c:pt>
                <c:pt idx="206">
                  <c:v>0.85328267116720558</c:v>
                </c:pt>
                <c:pt idx="207">
                  <c:v>0.8559283946325521</c:v>
                </c:pt>
                <c:pt idx="208">
                  <c:v>0.84985671708707655</c:v>
                </c:pt>
                <c:pt idx="209">
                  <c:v>0.84126172031789159</c:v>
                </c:pt>
                <c:pt idx="210">
                  <c:v>0.82985086282324338</c:v>
                </c:pt>
                <c:pt idx="211">
                  <c:v>0.84078878942077717</c:v>
                </c:pt>
                <c:pt idx="212">
                  <c:v>0.81784528339675033</c:v>
                </c:pt>
                <c:pt idx="213">
                  <c:v>0.81930144988838116</c:v>
                </c:pt>
                <c:pt idx="214">
                  <c:v>0.80647326405883302</c:v>
                </c:pt>
                <c:pt idx="215">
                  <c:v>0.79130609298100174</c:v>
                </c:pt>
                <c:pt idx="216">
                  <c:v>0.78495674717081088</c:v>
                </c:pt>
                <c:pt idx="217">
                  <c:v>0.80265386660948279</c:v>
                </c:pt>
                <c:pt idx="218">
                  <c:v>0.79054828468790361</c:v>
                </c:pt>
                <c:pt idx="219">
                  <c:v>0.78699481856454234</c:v>
                </c:pt>
                <c:pt idx="220">
                  <c:v>0.78765319634512854</c:v>
                </c:pt>
                <c:pt idx="221">
                  <c:v>0.82085201628806814</c:v>
                </c:pt>
                <c:pt idx="222">
                  <c:v>0.80980535630521611</c:v>
                </c:pt>
                <c:pt idx="223">
                  <c:v>0.81944387100372562</c:v>
                </c:pt>
                <c:pt idx="224">
                  <c:v>0.82189341836079155</c:v>
                </c:pt>
                <c:pt idx="225">
                  <c:v>0.82837161461216557</c:v>
                </c:pt>
                <c:pt idx="226">
                  <c:v>0.85181624207633755</c:v>
                </c:pt>
                <c:pt idx="227">
                  <c:v>0.83407191899040833</c:v>
                </c:pt>
                <c:pt idx="228">
                  <c:v>0.81598103741134564</c:v>
                </c:pt>
                <c:pt idx="229">
                  <c:v>0.8035770435557289</c:v>
                </c:pt>
                <c:pt idx="230">
                  <c:v>0.80500258838543604</c:v>
                </c:pt>
                <c:pt idx="231">
                  <c:v>0.82288050386480638</c:v>
                </c:pt>
                <c:pt idx="232">
                  <c:v>0.83937132971720174</c:v>
                </c:pt>
                <c:pt idx="233">
                  <c:v>0.81044201875895394</c:v>
                </c:pt>
                <c:pt idx="234">
                  <c:v>0.79603230872078456</c:v>
                </c:pt>
                <c:pt idx="235">
                  <c:v>0.84064971869756344</c:v>
                </c:pt>
                <c:pt idx="236">
                  <c:v>0.82770239621550334</c:v>
                </c:pt>
                <c:pt idx="237">
                  <c:v>0.8413313236075719</c:v>
                </c:pt>
                <c:pt idx="238">
                  <c:v>0.8590871755295828</c:v>
                </c:pt>
                <c:pt idx="239">
                  <c:v>0.82911023686923613</c:v>
                </c:pt>
                <c:pt idx="240">
                  <c:v>0.82300366330306018</c:v>
                </c:pt>
                <c:pt idx="241">
                  <c:v>0.82971002557600415</c:v>
                </c:pt>
                <c:pt idx="242">
                  <c:v>0.80117839664040302</c:v>
                </c:pt>
                <c:pt idx="243">
                  <c:v>0.78647400520278365</c:v>
                </c:pt>
                <c:pt idx="244">
                  <c:v>0.79972710849982409</c:v>
                </c:pt>
                <c:pt idx="245">
                  <c:v>0.83084970405167957</c:v>
                </c:pt>
                <c:pt idx="246">
                  <c:v>0.84439068227905045</c:v>
                </c:pt>
                <c:pt idx="247">
                  <c:v>0.77165662027857485</c:v>
                </c:pt>
                <c:pt idx="248">
                  <c:v>0.7551476812386072</c:v>
                </c:pt>
                <c:pt idx="249">
                  <c:v>0.68071741582647027</c:v>
                </c:pt>
                <c:pt idx="250">
                  <c:v>0.70213045700487309</c:v>
                </c:pt>
                <c:pt idx="251">
                  <c:v>0.73239168384133135</c:v>
                </c:pt>
                <c:pt idx="252">
                  <c:v>0.75734084120242628</c:v>
                </c:pt>
                <c:pt idx="253">
                  <c:v>0.66245429358101104</c:v>
                </c:pt>
                <c:pt idx="254">
                  <c:v>0.76915943436829826</c:v>
                </c:pt>
                <c:pt idx="255">
                  <c:v>0.79013624031512764</c:v>
                </c:pt>
                <c:pt idx="256">
                  <c:v>0.92451067401309139</c:v>
                </c:pt>
                <c:pt idx="257">
                  <c:v>0.86230950304531628</c:v>
                </c:pt>
                <c:pt idx="258">
                  <c:v>0.89011693858553154</c:v>
                </c:pt>
                <c:pt idx="259">
                  <c:v>0.89109554599478391</c:v>
                </c:pt>
                <c:pt idx="260">
                  <c:v>0.90020699261737092</c:v>
                </c:pt>
                <c:pt idx="261">
                  <c:v>0.93506177340122532</c:v>
                </c:pt>
                <c:pt idx="262">
                  <c:v>0.90576566816938342</c:v>
                </c:pt>
                <c:pt idx="263">
                  <c:v>0.92336843653712675</c:v>
                </c:pt>
                <c:pt idx="264">
                  <c:v>0.9254248561663726</c:v>
                </c:pt>
                <c:pt idx="265">
                  <c:v>0.9171060067884288</c:v>
                </c:pt>
                <c:pt idx="266">
                  <c:v>0.91968227131233704</c:v>
                </c:pt>
                <c:pt idx="267">
                  <c:v>0.939715922110261</c:v>
                </c:pt>
                <c:pt idx="268">
                  <c:v>0.91155582530741697</c:v>
                </c:pt>
                <c:pt idx="269">
                  <c:v>1.0173295754547276</c:v>
                </c:pt>
                <c:pt idx="270">
                  <c:v>1.0308587345444178</c:v>
                </c:pt>
                <c:pt idx="271">
                  <c:v>0.99696459037433749</c:v>
                </c:pt>
                <c:pt idx="272">
                  <c:v>0.91951011524641446</c:v>
                </c:pt>
                <c:pt idx="273">
                  <c:v>0.90077101660043546</c:v>
                </c:pt>
                <c:pt idx="274">
                  <c:v>0.88824226965062147</c:v>
                </c:pt>
                <c:pt idx="275">
                  <c:v>0.89496447224699183</c:v>
                </c:pt>
                <c:pt idx="276">
                  <c:v>0.9100143902336586</c:v>
                </c:pt>
                <c:pt idx="277">
                  <c:v>0.87652900701945335</c:v>
                </c:pt>
                <c:pt idx="278">
                  <c:v>0.72278996362566783</c:v>
                </c:pt>
                <c:pt idx="279">
                  <c:v>0.69618408965918888</c:v>
                </c:pt>
                <c:pt idx="280">
                  <c:v>0.71793976193568865</c:v>
                </c:pt>
                <c:pt idx="281">
                  <c:v>0.73788212889758087</c:v>
                </c:pt>
                <c:pt idx="282">
                  <c:v>0.77137791800469746</c:v>
                </c:pt>
                <c:pt idx="283">
                  <c:v>0.72096642444346981</c:v>
                </c:pt>
                <c:pt idx="284">
                  <c:v>0.79616902051711835</c:v>
                </c:pt>
                <c:pt idx="285">
                  <c:v>0.74442687476512959</c:v>
                </c:pt>
                <c:pt idx="286">
                  <c:v>0.78415292503156886</c:v>
                </c:pt>
                <c:pt idx="287">
                  <c:v>0.80734610931244244</c:v>
                </c:pt>
                <c:pt idx="288">
                  <c:v>0.79883377402870503</c:v>
                </c:pt>
                <c:pt idx="289">
                  <c:v>0.74314963584140858</c:v>
                </c:pt>
                <c:pt idx="290">
                  <c:v>0.7330140430952673</c:v>
                </c:pt>
                <c:pt idx="291">
                  <c:v>0.75391141440650777</c:v>
                </c:pt>
                <c:pt idx="292">
                  <c:v>0.66346140212625615</c:v>
                </c:pt>
                <c:pt idx="293">
                  <c:v>0.65800790393854225</c:v>
                </c:pt>
                <c:pt idx="294">
                  <c:v>0.59589183759737008</c:v>
                </c:pt>
                <c:pt idx="295">
                  <c:v>0.56547511283281326</c:v>
                </c:pt>
                <c:pt idx="296">
                  <c:v>0.5960713099918008</c:v>
                </c:pt>
                <c:pt idx="297">
                  <c:v>0.53644744460681193</c:v>
                </c:pt>
                <c:pt idx="298">
                  <c:v>0.57019468605692747</c:v>
                </c:pt>
                <c:pt idx="299">
                  <c:v>0.52780038757913594</c:v>
                </c:pt>
                <c:pt idx="300">
                  <c:v>0.59205804748598845</c:v>
                </c:pt>
                <c:pt idx="301">
                  <c:v>0.55266797366577869</c:v>
                </c:pt>
                <c:pt idx="302">
                  <c:v>0.56454040806140704</c:v>
                </c:pt>
                <c:pt idx="303">
                  <c:v>0.53528930563914268</c:v>
                </c:pt>
                <c:pt idx="304">
                  <c:v>0.54888809465901511</c:v>
                </c:pt>
                <c:pt idx="305">
                  <c:v>0.52399915092938898</c:v>
                </c:pt>
                <c:pt idx="306">
                  <c:v>0.5194142866622028</c:v>
                </c:pt>
                <c:pt idx="307">
                  <c:v>0.50266201625908891</c:v>
                </c:pt>
                <c:pt idx="308">
                  <c:v>0.47897162433866458</c:v>
                </c:pt>
                <c:pt idx="309">
                  <c:v>0.48710810009614641</c:v>
                </c:pt>
                <c:pt idx="310">
                  <c:v>0.51590843736348313</c:v>
                </c:pt>
                <c:pt idx="311">
                  <c:v>0.5346352350271627</c:v>
                </c:pt>
                <c:pt idx="312">
                  <c:v>0.58181886940424399</c:v>
                </c:pt>
                <c:pt idx="313">
                  <c:v>0.57121117117920339</c:v>
                </c:pt>
                <c:pt idx="314">
                  <c:v>0.60927458430740866</c:v>
                </c:pt>
                <c:pt idx="315">
                  <c:v>0.60713812303716796</c:v>
                </c:pt>
                <c:pt idx="316">
                  <c:v>0.63135046691743946</c:v>
                </c:pt>
                <c:pt idx="317">
                  <c:v>0.61198108701981391</c:v>
                </c:pt>
                <c:pt idx="318">
                  <c:v>0.61689403293247691</c:v>
                </c:pt>
                <c:pt idx="319">
                  <c:v>0.65581601223727581</c:v>
                </c:pt>
                <c:pt idx="320">
                  <c:v>0.65960595640654407</c:v>
                </c:pt>
                <c:pt idx="321">
                  <c:v>0.62691648247642173</c:v>
                </c:pt>
                <c:pt idx="322">
                  <c:v>0.64221162649176744</c:v>
                </c:pt>
                <c:pt idx="323">
                  <c:v>0.64702923927156275</c:v>
                </c:pt>
                <c:pt idx="324">
                  <c:v>0.67177626505886023</c:v>
                </c:pt>
                <c:pt idx="325">
                  <c:v>0.64286926385436705</c:v>
                </c:pt>
                <c:pt idx="326">
                  <c:v>0.60782372020378084</c:v>
                </c:pt>
                <c:pt idx="327">
                  <c:v>0.58550593574059351</c:v>
                </c:pt>
                <c:pt idx="328">
                  <c:v>0.55459938483007332</c:v>
                </c:pt>
                <c:pt idx="329">
                  <c:v>0.54289674364813745</c:v>
                </c:pt>
                <c:pt idx="330">
                  <c:v>0.56645514507658534</c:v>
                </c:pt>
                <c:pt idx="331">
                  <c:v>0.59118450941155032</c:v>
                </c:pt>
                <c:pt idx="332">
                  <c:v>0.60381339085508734</c:v>
                </c:pt>
                <c:pt idx="333">
                  <c:v>0.56622073538054785</c:v>
                </c:pt>
                <c:pt idx="334">
                  <c:v>0.53099165727203645</c:v>
                </c:pt>
                <c:pt idx="335">
                  <c:v>0.56579106486016184</c:v>
                </c:pt>
                <c:pt idx="336">
                  <c:v>0.65612967290710722</c:v>
                </c:pt>
                <c:pt idx="337">
                  <c:v>0.78057585996533596</c:v>
                </c:pt>
                <c:pt idx="338">
                  <c:v>0.72037146244394468</c:v>
                </c:pt>
                <c:pt idx="339">
                  <c:v>0.46928597261357591</c:v>
                </c:pt>
                <c:pt idx="340">
                  <c:v>0.37557871361494877</c:v>
                </c:pt>
                <c:pt idx="341">
                  <c:v>0.36521821563749607</c:v>
                </c:pt>
                <c:pt idx="342">
                  <c:v>0.40132917737303908</c:v>
                </c:pt>
                <c:pt idx="343">
                  <c:v>0.30855720060844694</c:v>
                </c:pt>
                <c:pt idx="344">
                  <c:v>0.28160146601282304</c:v>
                </c:pt>
                <c:pt idx="345">
                  <c:v>0.24204762638328614</c:v>
                </c:pt>
                <c:pt idx="346">
                  <c:v>0.25701013748347257</c:v>
                </c:pt>
                <c:pt idx="347">
                  <c:v>0.25651992293698145</c:v>
                </c:pt>
                <c:pt idx="348">
                  <c:v>0.27198654696686386</c:v>
                </c:pt>
                <c:pt idx="349">
                  <c:v>0.27554391490387048</c:v>
                </c:pt>
                <c:pt idx="350">
                  <c:v>0.27401018596841881</c:v>
                </c:pt>
                <c:pt idx="351">
                  <c:v>0.29687261207927801</c:v>
                </c:pt>
                <c:pt idx="352">
                  <c:v>0.19107144531361067</c:v>
                </c:pt>
                <c:pt idx="353">
                  <c:v>0.16637059447426619</c:v>
                </c:pt>
                <c:pt idx="354">
                  <c:v>0.13780271382725248</c:v>
                </c:pt>
                <c:pt idx="355">
                  <c:v>0.11098590213827689</c:v>
                </c:pt>
                <c:pt idx="356">
                  <c:v>0.17671720332169055</c:v>
                </c:pt>
                <c:pt idx="357">
                  <c:v>0.1873280476622898</c:v>
                </c:pt>
                <c:pt idx="358">
                  <c:v>0.16890803434630811</c:v>
                </c:pt>
                <c:pt idx="359">
                  <c:v>0.16686231355910247</c:v>
                </c:pt>
                <c:pt idx="360">
                  <c:v>0.12149990131222028</c:v>
                </c:pt>
                <c:pt idx="361">
                  <c:v>9.4546015520261973E-3</c:v>
                </c:pt>
                <c:pt idx="362">
                  <c:v>-0.12034363795559734</c:v>
                </c:pt>
                <c:pt idx="363">
                  <c:v>-0.16949573899363335</c:v>
                </c:pt>
                <c:pt idx="364">
                  <c:v>-0.18506830145901501</c:v>
                </c:pt>
                <c:pt idx="365">
                  <c:v>-0.17116320267933197</c:v>
                </c:pt>
                <c:pt idx="366">
                  <c:v>-0.12661311004942158</c:v>
                </c:pt>
                <c:pt idx="367">
                  <c:v>-0.2184158857530176</c:v>
                </c:pt>
                <c:pt idx="368">
                  <c:v>-0.1501029056695527</c:v>
                </c:pt>
                <c:pt idx="369">
                  <c:v>-0.20239648983365929</c:v>
                </c:pt>
                <c:pt idx="370">
                  <c:v>-0.2335563515909572</c:v>
                </c:pt>
                <c:pt idx="371">
                  <c:v>-0.27124886180741603</c:v>
                </c:pt>
                <c:pt idx="372">
                  <c:v>-0.21865208634247982</c:v>
                </c:pt>
                <c:pt idx="373">
                  <c:v>-0.24912538184105726</c:v>
                </c:pt>
                <c:pt idx="374">
                  <c:v>-0.21094635706958245</c:v>
                </c:pt>
                <c:pt idx="375">
                  <c:v>-0.2086743434264299</c:v>
                </c:pt>
                <c:pt idx="376">
                  <c:v>-0.26648816334564379</c:v>
                </c:pt>
                <c:pt idx="377">
                  <c:v>-0.22362623631582931</c:v>
                </c:pt>
                <c:pt idx="378">
                  <c:v>-0.28386795223057482</c:v>
                </c:pt>
                <c:pt idx="379">
                  <c:v>-0.31754271110211657</c:v>
                </c:pt>
                <c:pt idx="380">
                  <c:v>-0.37721951884306903</c:v>
                </c:pt>
                <c:pt idx="381">
                  <c:v>-0.375105430568069</c:v>
                </c:pt>
                <c:pt idx="382">
                  <c:v>-0.3733343233825645</c:v>
                </c:pt>
                <c:pt idx="383">
                  <c:v>-0.31988716578345927</c:v>
                </c:pt>
                <c:pt idx="384">
                  <c:v>-0.39180201883164201</c:v>
                </c:pt>
                <c:pt idx="385">
                  <c:v>-0.42833823094724194</c:v>
                </c:pt>
                <c:pt idx="386">
                  <c:v>-0.40029075207264736</c:v>
                </c:pt>
                <c:pt idx="387">
                  <c:v>-0.37435542719812354</c:v>
                </c:pt>
                <c:pt idx="388">
                  <c:v>-0.44013964269301248</c:v>
                </c:pt>
                <c:pt idx="389">
                  <c:v>-0.55154149641494554</c:v>
                </c:pt>
                <c:pt idx="390">
                  <c:v>-0.5826191591441735</c:v>
                </c:pt>
                <c:pt idx="391">
                  <c:v>-0.55961391337989352</c:v>
                </c:pt>
                <c:pt idx="392">
                  <c:v>-0.5953191825350691</c:v>
                </c:pt>
                <c:pt idx="393">
                  <c:v>-0.61642269685338735</c:v>
                </c:pt>
                <c:pt idx="394">
                  <c:v>-0.61297442435270721</c:v>
                </c:pt>
                <c:pt idx="395">
                  <c:v>-0.61172450839271864</c:v>
                </c:pt>
                <c:pt idx="396">
                  <c:v>-0.59022919051330691</c:v>
                </c:pt>
                <c:pt idx="397">
                  <c:v>-0.60130481152741722</c:v>
                </c:pt>
                <c:pt idx="398">
                  <c:v>-0.59497809306587879</c:v>
                </c:pt>
                <c:pt idx="399">
                  <c:v>-0.59518309999296204</c:v>
                </c:pt>
                <c:pt idx="400">
                  <c:v>-0.61456128070205296</c:v>
                </c:pt>
                <c:pt idx="401">
                  <c:v>-0.60796158202133854</c:v>
                </c:pt>
                <c:pt idx="402">
                  <c:v>-0.60232241959381316</c:v>
                </c:pt>
                <c:pt idx="403">
                  <c:v>-0.58464481540829238</c:v>
                </c:pt>
                <c:pt idx="404">
                  <c:v>-0.5673581243144149</c:v>
                </c:pt>
                <c:pt idx="405">
                  <c:v>-0.57503947047665527</c:v>
                </c:pt>
                <c:pt idx="406">
                  <c:v>-0.58515934697344829</c:v>
                </c:pt>
                <c:pt idx="407">
                  <c:v>-0.5629594687983418</c:v>
                </c:pt>
                <c:pt idx="408">
                  <c:v>-0.60342611392027079</c:v>
                </c:pt>
                <c:pt idx="409">
                  <c:v>-0.62172375372514888</c:v>
                </c:pt>
                <c:pt idx="410">
                  <c:v>-0.62538277113878515</c:v>
                </c:pt>
                <c:pt idx="411">
                  <c:v>-0.6304473047921848</c:v>
                </c:pt>
                <c:pt idx="412">
                  <c:v>-0.63429507544644848</c:v>
                </c:pt>
                <c:pt idx="413">
                  <c:v>-0.63727875625063701</c:v>
                </c:pt>
                <c:pt idx="414">
                  <c:v>-0.63255078027296252</c:v>
                </c:pt>
                <c:pt idx="415">
                  <c:v>-0.6619403197350413</c:v>
                </c:pt>
                <c:pt idx="416">
                  <c:v>-0.61839482721331229</c:v>
                </c:pt>
                <c:pt idx="417">
                  <c:v>-0.63365112539326074</c:v>
                </c:pt>
                <c:pt idx="418">
                  <c:v>-0.63475386824099733</c:v>
                </c:pt>
                <c:pt idx="419">
                  <c:v>-0.64696717814352356</c:v>
                </c:pt>
                <c:pt idx="420">
                  <c:v>-0.61815756757491902</c:v>
                </c:pt>
                <c:pt idx="421">
                  <c:v>-0.6386941168329836</c:v>
                </c:pt>
                <c:pt idx="422">
                  <c:v>-0.6250754012972134</c:v>
                </c:pt>
                <c:pt idx="423">
                  <c:v>-0.62521657732765257</c:v>
                </c:pt>
                <c:pt idx="424">
                  <c:v>-0.63204212695967865</c:v>
                </c:pt>
                <c:pt idx="425">
                  <c:v>-0.63926002328678144</c:v>
                </c:pt>
                <c:pt idx="426">
                  <c:v>-0.64523017222925449</c:v>
                </c:pt>
                <c:pt idx="427">
                  <c:v>-0.64301372614469154</c:v>
                </c:pt>
                <c:pt idx="428">
                  <c:v>-0.6322086178521017</c:v>
                </c:pt>
                <c:pt idx="429">
                  <c:v>-0.60784223609147636</c:v>
                </c:pt>
                <c:pt idx="430">
                  <c:v>-0.57660723840825867</c:v>
                </c:pt>
                <c:pt idx="431">
                  <c:v>-0.59342289329274234</c:v>
                </c:pt>
                <c:pt idx="432">
                  <c:v>-0.58818412396301256</c:v>
                </c:pt>
                <c:pt idx="433">
                  <c:v>-0.62758692638722968</c:v>
                </c:pt>
                <c:pt idx="434">
                  <c:v>-0.61234431873812167</c:v>
                </c:pt>
                <c:pt idx="435">
                  <c:v>-0.60862471119413875</c:v>
                </c:pt>
                <c:pt idx="436">
                  <c:v>-0.58605171994319527</c:v>
                </c:pt>
                <c:pt idx="437">
                  <c:v>-0.59289808209871964</c:v>
                </c:pt>
                <c:pt idx="438">
                  <c:v>-0.59832383787117471</c:v>
                </c:pt>
                <c:pt idx="439">
                  <c:v>-0.64997741767546924</c:v>
                </c:pt>
                <c:pt idx="440">
                  <c:v>-0.64534573192718492</c:v>
                </c:pt>
                <c:pt idx="441">
                  <c:v>-0.64996045474814579</c:v>
                </c:pt>
                <c:pt idx="442">
                  <c:v>-0.63750331540288074</c:v>
                </c:pt>
                <c:pt idx="443">
                  <c:v>-0.61325568359877225</c:v>
                </c:pt>
                <c:pt idx="444">
                  <c:v>-0.63647368820567696</c:v>
                </c:pt>
                <c:pt idx="445">
                  <c:v>-0.62330667014012586</c:v>
                </c:pt>
                <c:pt idx="446">
                  <c:v>-0.63957276615443726</c:v>
                </c:pt>
                <c:pt idx="447">
                  <c:v>-0.62198310381025101</c:v>
                </c:pt>
                <c:pt idx="448">
                  <c:v>-0.64431522062389046</c:v>
                </c:pt>
                <c:pt idx="449">
                  <c:v>-0.65407831605191113</c:v>
                </c:pt>
                <c:pt idx="450">
                  <c:v>-0.65825075089675955</c:v>
                </c:pt>
                <c:pt idx="451">
                  <c:v>-0.64218442387391694</c:v>
                </c:pt>
                <c:pt idx="452">
                  <c:v>-0.63021864602318456</c:v>
                </c:pt>
                <c:pt idx="453">
                  <c:v>-0.62912979404438607</c:v>
                </c:pt>
                <c:pt idx="454">
                  <c:v>-0.62152194276388284</c:v>
                </c:pt>
                <c:pt idx="455">
                  <c:v>-0.62168622192564404</c:v>
                </c:pt>
                <c:pt idx="456">
                  <c:v>-0.63944542834284057</c:v>
                </c:pt>
                <c:pt idx="457">
                  <c:v>-0.59360590275197134</c:v>
                </c:pt>
                <c:pt idx="458">
                  <c:v>-0.58764462634478687</c:v>
                </c:pt>
                <c:pt idx="459">
                  <c:v>-0.5896390350938161</c:v>
                </c:pt>
                <c:pt idx="460">
                  <c:v>-0.59301884126262872</c:v>
                </c:pt>
                <c:pt idx="461">
                  <c:v>-0.58495070498899682</c:v>
                </c:pt>
                <c:pt idx="462">
                  <c:v>-0.57810596155316629</c:v>
                </c:pt>
                <c:pt idx="463">
                  <c:v>-0.57437916951959578</c:v>
                </c:pt>
                <c:pt idx="464">
                  <c:v>-0.57944088750258904</c:v>
                </c:pt>
                <c:pt idx="465">
                  <c:v>-0.55665390514997359</c:v>
                </c:pt>
                <c:pt idx="466">
                  <c:v>-0.54123217215584118</c:v>
                </c:pt>
                <c:pt idx="467">
                  <c:v>-0.54020891884692401</c:v>
                </c:pt>
                <c:pt idx="468">
                  <c:v>-0.54086180456236033</c:v>
                </c:pt>
                <c:pt idx="469">
                  <c:v>-0.52134385947289019</c:v>
                </c:pt>
                <c:pt idx="470">
                  <c:v>-0.46260841770706446</c:v>
                </c:pt>
                <c:pt idx="471">
                  <c:v>-0.48469390863787526</c:v>
                </c:pt>
                <c:pt idx="472">
                  <c:v>-0.49280488954809565</c:v>
                </c:pt>
                <c:pt idx="473">
                  <c:v>-0.48284441724067995</c:v>
                </c:pt>
                <c:pt idx="474">
                  <c:v>-0.48582762428010851</c:v>
                </c:pt>
                <c:pt idx="475">
                  <c:v>-0.46450058092609153</c:v>
                </c:pt>
                <c:pt idx="476">
                  <c:v>-0.47550182620323167</c:v>
                </c:pt>
                <c:pt idx="477">
                  <c:v>-0.50169867438360549</c:v>
                </c:pt>
                <c:pt idx="478">
                  <c:v>-0.51192420829479079</c:v>
                </c:pt>
                <c:pt idx="479">
                  <c:v>-0.45264242223902978</c:v>
                </c:pt>
                <c:pt idx="480">
                  <c:v>-0.44424841831374418</c:v>
                </c:pt>
                <c:pt idx="481">
                  <c:v>-0.45012444214414415</c:v>
                </c:pt>
                <c:pt idx="482">
                  <c:v>-0.43641090558524848</c:v>
                </c:pt>
                <c:pt idx="483">
                  <c:v>-0.42867206680232711</c:v>
                </c:pt>
                <c:pt idx="484">
                  <c:v>-0.42526540686321185</c:v>
                </c:pt>
                <c:pt idx="485">
                  <c:v>-0.44433149661803223</c:v>
                </c:pt>
                <c:pt idx="486">
                  <c:v>-0.45036330233407507</c:v>
                </c:pt>
                <c:pt idx="487">
                  <c:v>-0.4353345170475581</c:v>
                </c:pt>
                <c:pt idx="488">
                  <c:v>-0.44048538362960493</c:v>
                </c:pt>
                <c:pt idx="489">
                  <c:v>-0.42752911507246205</c:v>
                </c:pt>
                <c:pt idx="490">
                  <c:v>-0.44984207800824183</c:v>
                </c:pt>
                <c:pt idx="491">
                  <c:v>-0.49024722266284582</c:v>
                </c:pt>
                <c:pt idx="492">
                  <c:v>-0.44042726215098565</c:v>
                </c:pt>
                <c:pt idx="493">
                  <c:v>-0.472670462226364</c:v>
                </c:pt>
                <c:pt idx="494">
                  <c:v>-0.45388591937454059</c:v>
                </c:pt>
                <c:pt idx="495">
                  <c:v>-0.44622407331399189</c:v>
                </c:pt>
                <c:pt idx="496">
                  <c:v>-0.43089429953544262</c:v>
                </c:pt>
                <c:pt idx="497">
                  <c:v>-0.44127530040912682</c:v>
                </c:pt>
                <c:pt idx="498">
                  <c:v>-0.47484144227264391</c:v>
                </c:pt>
                <c:pt idx="499">
                  <c:v>-0.43201646875598293</c:v>
                </c:pt>
                <c:pt idx="500">
                  <c:v>-0.35384712475801122</c:v>
                </c:pt>
                <c:pt idx="501">
                  <c:v>-0.35753006020332617</c:v>
                </c:pt>
                <c:pt idx="502">
                  <c:v>-0.33213337217889177</c:v>
                </c:pt>
                <c:pt idx="503">
                  <c:v>-0.35006573601137259</c:v>
                </c:pt>
                <c:pt idx="504">
                  <c:v>-0.38533046710710622</c:v>
                </c:pt>
                <c:pt idx="505">
                  <c:v>-0.32676745556952175</c:v>
                </c:pt>
                <c:pt idx="506">
                  <c:v>-0.3762326489657194</c:v>
                </c:pt>
                <c:pt idx="507">
                  <c:v>-0.32000900455877163</c:v>
                </c:pt>
                <c:pt idx="508">
                  <c:v>-0.34068566593033311</c:v>
                </c:pt>
                <c:pt idx="509">
                  <c:v>-0.43591467214576857</c:v>
                </c:pt>
                <c:pt idx="510">
                  <c:v>-0.35754779262992464</c:v>
                </c:pt>
                <c:pt idx="511">
                  <c:v>-0.35236290643087714</c:v>
                </c:pt>
                <c:pt idx="512">
                  <c:v>-0.24619969447524057</c:v>
                </c:pt>
                <c:pt idx="513">
                  <c:v>-0.36708899094124064</c:v>
                </c:pt>
                <c:pt idx="514">
                  <c:v>-0.22489216868072673</c:v>
                </c:pt>
                <c:pt idx="515">
                  <c:v>-0.28125645528340443</c:v>
                </c:pt>
                <c:pt idx="516">
                  <c:v>-0.33834640116402592</c:v>
                </c:pt>
                <c:pt idx="517">
                  <c:v>-0.41744756604924321</c:v>
                </c:pt>
                <c:pt idx="518">
                  <c:v>-0.29733560027334149</c:v>
                </c:pt>
                <c:pt idx="519">
                  <c:v>-0.49489350467584342</c:v>
                </c:pt>
                <c:pt idx="520">
                  <c:v>-0.61190538482880497</c:v>
                </c:pt>
                <c:pt idx="521">
                  <c:v>-0.59119972802597021</c:v>
                </c:pt>
                <c:pt idx="522">
                  <c:v>-0.68793132370438326</c:v>
                </c:pt>
                <c:pt idx="523">
                  <c:v>-0.68786080262462845</c:v>
                </c:pt>
                <c:pt idx="524">
                  <c:v>-0.70777502060123521</c:v>
                </c:pt>
                <c:pt idx="525">
                  <c:v>-0.66869775865379</c:v>
                </c:pt>
                <c:pt idx="526">
                  <c:v>-0.70127783948677958</c:v>
                </c:pt>
                <c:pt idx="527">
                  <c:v>-0.67795121217268861</c:v>
                </c:pt>
                <c:pt idx="528">
                  <c:v>-0.68217652014741559</c:v>
                </c:pt>
                <c:pt idx="529">
                  <c:v>-0.64480416428101661</c:v>
                </c:pt>
                <c:pt idx="530">
                  <c:v>-0.67329168197190925</c:v>
                </c:pt>
                <c:pt idx="531">
                  <c:v>-0.5826299443712859</c:v>
                </c:pt>
                <c:pt idx="532">
                  <c:v>-0.4871163611876882</c:v>
                </c:pt>
                <c:pt idx="533">
                  <c:v>-0.57820287786040969</c:v>
                </c:pt>
                <c:pt idx="534">
                  <c:v>-0.24385712163826997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79-42A3-95F6-DE6ADF825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381520"/>
        <c:axId val="622397664"/>
      </c:lineChart>
      <c:dateAx>
        <c:axId val="254381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97664"/>
        <c:crosses val="autoZero"/>
        <c:auto val="1"/>
        <c:lblOffset val="100"/>
        <c:baseTimeUnit val="days"/>
      </c:dateAx>
      <c:valAx>
        <c:axId val="62239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8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D1B5F9C-4694-41DB-B863-24A0EFDAFA01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59E5DD-5976-4B54-935E-6AA594937F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13.731999999999999</v>
      </c>
      <c r="D2" s="4">
        <f>MIN(D3:D1912)</f>
        <v>0.11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2.1150000000000002</v>
      </c>
      <c r="C5">
        <v>2.137</v>
      </c>
      <c r="D5">
        <v>2.0619999999999998</v>
      </c>
      <c r="E5">
        <v>2.0680000000000001</v>
      </c>
      <c r="F5">
        <v>263373.5</v>
      </c>
      <c r="G5">
        <v>2.0680000000000001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-0.83999999999999431</v>
      </c>
      <c r="Q5">
        <f t="shared" ref="Q5" si="1">F5*P5</f>
        <v>-221233.73999999851</v>
      </c>
      <c r="R5">
        <f t="shared" ref="R5" si="2">R6+Q5</f>
        <v>112661223.78133658</v>
      </c>
      <c r="S5">
        <f t="shared" ref="S5" si="3">R5/100000</f>
        <v>1126.6122378133657</v>
      </c>
      <c r="T5">
        <f t="shared" ref="T5" si="4">S5/1000</f>
        <v>1.1266122378133656</v>
      </c>
    </row>
    <row r="6" spans="1:20" x14ac:dyDescent="0.25">
      <c r="A6" s="5">
        <v>44587</v>
      </c>
      <c r="B6">
        <v>2.1030000000000002</v>
      </c>
      <c r="C6">
        <v>2.2919999999999998</v>
      </c>
      <c r="D6">
        <v>2.0750000000000002</v>
      </c>
      <c r="E6">
        <v>2.1120000000000001</v>
      </c>
      <c r="F6">
        <v>3316870.6</v>
      </c>
      <c r="G6">
        <v>2.1120000000000001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-0.65898617511520752</v>
      </c>
      <c r="Q6">
        <f t="shared" ref="Q6" si="6">F6*P6</f>
        <v>-2185771.8700460833</v>
      </c>
      <c r="R6">
        <f t="shared" ref="R6" si="7">R7+Q6</f>
        <v>112882457.52133657</v>
      </c>
      <c r="S6">
        <f t="shared" ref="S6" si="8">R6/100000</f>
        <v>1128.8245752133657</v>
      </c>
      <c r="T6">
        <f t="shared" ref="T6" si="9">S6/1000</f>
        <v>1.1288245752133657</v>
      </c>
    </row>
    <row r="7" spans="1:20" x14ac:dyDescent="0.25">
      <c r="A7" s="5">
        <v>44586</v>
      </c>
      <c r="B7">
        <v>2.1179999999999999</v>
      </c>
      <c r="C7">
        <v>2.1560000000000001</v>
      </c>
      <c r="D7">
        <v>2.0459999999999998</v>
      </c>
      <c r="E7">
        <v>2.1019999999999999</v>
      </c>
      <c r="F7">
        <v>2745879.7</v>
      </c>
      <c r="G7">
        <v>2.1019999999999999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1.8181818181816127E-2</v>
      </c>
      <c r="Q7">
        <f t="shared" ref="Q7" si="11">F7*P7</f>
        <v>49925.085454539818</v>
      </c>
      <c r="R7">
        <f t="shared" ref="R7" si="12">R8+Q7</f>
        <v>115068229.39138265</v>
      </c>
      <c r="S7">
        <f t="shared" ref="S7" si="13">R7/100000</f>
        <v>1150.6822939138265</v>
      </c>
      <c r="T7">
        <f t="shared" ref="T7" si="14">S7/1000</f>
        <v>1.1506822939138264</v>
      </c>
    </row>
    <row r="8" spans="1:20" x14ac:dyDescent="0.25">
      <c r="A8" s="5">
        <v>44585</v>
      </c>
      <c r="B8">
        <v>2.2610000000000001</v>
      </c>
      <c r="C8">
        <v>2.262</v>
      </c>
      <c r="D8">
        <v>1.9219999999999999</v>
      </c>
      <c r="E8">
        <v>2.1179999999999999</v>
      </c>
      <c r="F8">
        <v>4681325.9000000004</v>
      </c>
      <c r="G8">
        <v>2.1179999999999999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0.15294117647058769</v>
      </c>
      <c r="Q8">
        <f t="shared" ref="Q8" si="16">F8*P8</f>
        <v>715967.49058823276</v>
      </c>
      <c r="R8">
        <f t="shared" ref="R8" si="17">R9+Q8</f>
        <v>115018304.30592811</v>
      </c>
      <c r="S8">
        <f t="shared" ref="S8" si="18">R8/100000</f>
        <v>1150.1830430592811</v>
      </c>
      <c r="T8">
        <f t="shared" ref="T8" si="19">S8/1000</f>
        <v>1.150183043059281</v>
      </c>
    </row>
    <row r="9" spans="1:20" x14ac:dyDescent="0.25">
      <c r="A9" s="5">
        <v>44584</v>
      </c>
      <c r="B9">
        <v>2.21</v>
      </c>
      <c r="C9">
        <v>2.2919999999999998</v>
      </c>
      <c r="D9">
        <v>2.1360000000000001</v>
      </c>
      <c r="E9">
        <v>2.262</v>
      </c>
      <c r="F9">
        <v>3491117.9</v>
      </c>
      <c r="G9">
        <v>2.262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0.61538461538461708</v>
      </c>
      <c r="Q9">
        <f t="shared" ref="Q9" si="21">F9*P9</f>
        <v>2148380.246153852</v>
      </c>
      <c r="R9">
        <f t="shared" ref="R9" si="22">R10+Q9</f>
        <v>114302336.81533988</v>
      </c>
      <c r="S9">
        <f t="shared" ref="S9" si="23">R9/100000</f>
        <v>1143.0233681533987</v>
      </c>
      <c r="T9">
        <f t="shared" ref="T9" si="24">S9/1000</f>
        <v>1.1430233681533988</v>
      </c>
    </row>
    <row r="10" spans="1:20" x14ac:dyDescent="0.25">
      <c r="A10" s="5">
        <v>44583</v>
      </c>
      <c r="B10">
        <v>2.4470000000000001</v>
      </c>
      <c r="C10">
        <v>2.5030000000000001</v>
      </c>
      <c r="D10">
        <v>1.99</v>
      </c>
      <c r="E10">
        <v>2.21</v>
      </c>
      <c r="F10">
        <v>6415059.5</v>
      </c>
      <c r="G10">
        <v>2.21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-0.14230019493177418</v>
      </c>
      <c r="Q10">
        <f t="shared" ref="Q10" si="26">F10*P10</f>
        <v>-912864.21734892973</v>
      </c>
      <c r="R10">
        <f t="shared" ref="R10" si="27">R11+Q10</f>
        <v>112153956.56918603</v>
      </c>
      <c r="S10">
        <f t="shared" ref="S10" si="28">R10/100000</f>
        <v>1121.5395656918604</v>
      </c>
      <c r="T10">
        <f t="shared" ref="T10" si="29">S10/1000</f>
        <v>1.1215395656918603</v>
      </c>
    </row>
    <row r="11" spans="1:20" x14ac:dyDescent="0.25">
      <c r="A11" s="5">
        <v>44582</v>
      </c>
      <c r="B11">
        <v>2.7589999999999999</v>
      </c>
      <c r="C11">
        <v>2.7839999999999998</v>
      </c>
      <c r="D11">
        <v>2.35</v>
      </c>
      <c r="E11">
        <v>2.4470000000000001</v>
      </c>
      <c r="F11">
        <v>4918780.41</v>
      </c>
      <c r="G11">
        <v>2.4470000000000001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-0.55299539170506895</v>
      </c>
      <c r="Q11">
        <f t="shared" ref="Q11" si="31">F11*P11</f>
        <v>-2720062.8995391699</v>
      </c>
      <c r="R11">
        <f t="shared" ref="R11" si="32">R12+Q11</f>
        <v>113066820.78653497</v>
      </c>
      <c r="S11">
        <f t="shared" ref="S11" si="33">R11/100000</f>
        <v>1130.6682078653496</v>
      </c>
      <c r="T11">
        <f t="shared" ref="T11" si="34">S11/1000</f>
        <v>1.1306682078653496</v>
      </c>
    </row>
    <row r="12" spans="1:20" x14ac:dyDescent="0.25">
      <c r="A12" s="5">
        <v>44581</v>
      </c>
      <c r="B12">
        <v>2.891</v>
      </c>
      <c r="C12">
        <v>3.02</v>
      </c>
      <c r="D12">
        <v>2.7429999999999999</v>
      </c>
      <c r="E12">
        <v>2.762</v>
      </c>
      <c r="F12">
        <v>2507233.7000000002</v>
      </c>
      <c r="G12">
        <v>2.762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-0.86281588447653346</v>
      </c>
      <c r="Q12">
        <f t="shared" ref="Q12" si="36">F12*P12</f>
        <v>-2163281.0624548718</v>
      </c>
      <c r="R12">
        <f t="shared" ref="R12" si="37">R13+Q12</f>
        <v>115786883.68607414</v>
      </c>
      <c r="S12">
        <f t="shared" ref="S12" si="38">R12/100000</f>
        <v>1157.8688368607413</v>
      </c>
      <c r="T12">
        <f t="shared" ref="T12" si="39">S12/1000</f>
        <v>1.1578688368607413</v>
      </c>
    </row>
    <row r="13" spans="1:20" x14ac:dyDescent="0.25">
      <c r="A13" s="5">
        <v>44580</v>
      </c>
      <c r="B13">
        <v>2.992</v>
      </c>
      <c r="C13">
        <v>3.0009999999999999</v>
      </c>
      <c r="D13">
        <v>2.85</v>
      </c>
      <c r="E13">
        <v>2.8889999999999998</v>
      </c>
      <c r="F13">
        <v>1529441.1</v>
      </c>
      <c r="G13">
        <v>2.8889999999999998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-0.48344370860927477</v>
      </c>
      <c r="Q13">
        <f t="shared" ref="Q13" si="41">F13*P13</f>
        <v>-739398.67748344876</v>
      </c>
      <c r="R13">
        <f t="shared" ref="R13" si="42">R14+Q13</f>
        <v>117950164.748529</v>
      </c>
      <c r="S13">
        <f t="shared" ref="S13" si="43">R13/100000</f>
        <v>1179.5016474852901</v>
      </c>
      <c r="T13">
        <f t="shared" ref="T13" si="44">S13/1000</f>
        <v>1.17950164748529</v>
      </c>
    </row>
    <row r="14" spans="1:20" x14ac:dyDescent="0.25">
      <c r="A14" s="5">
        <v>44579</v>
      </c>
      <c r="B14">
        <v>3.008</v>
      </c>
      <c r="C14">
        <v>3.036</v>
      </c>
      <c r="D14">
        <v>2.8879999999999999</v>
      </c>
      <c r="E14">
        <v>2.992</v>
      </c>
      <c r="F14">
        <v>1830121.5</v>
      </c>
      <c r="G14">
        <v>2.992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0.40540540540540543</v>
      </c>
      <c r="Q14">
        <f t="shared" ref="Q14" si="46">F14*P14</f>
        <v>741941.14864864864</v>
      </c>
      <c r="R14">
        <f t="shared" ref="R14" si="47">R15+Q14</f>
        <v>118689563.42601246</v>
      </c>
      <c r="S14">
        <f t="shared" ref="S14" si="48">R14/100000</f>
        <v>1186.8956342601246</v>
      </c>
      <c r="T14">
        <f t="shared" ref="T14" si="49">S14/1000</f>
        <v>1.1868956342601245</v>
      </c>
    </row>
    <row r="15" spans="1:20" x14ac:dyDescent="0.25">
      <c r="A15" s="5">
        <v>44578</v>
      </c>
      <c r="B15">
        <v>3.1760000000000002</v>
      </c>
      <c r="C15">
        <v>3.1819999999999999</v>
      </c>
      <c r="D15">
        <v>2.9470000000000001</v>
      </c>
      <c r="E15">
        <v>3.0070000000000001</v>
      </c>
      <c r="F15">
        <v>1593691.8</v>
      </c>
      <c r="G15">
        <v>3.0070000000000001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-0.48936170212765884</v>
      </c>
      <c r="Q15">
        <f t="shared" ref="Q15" si="51">F15*P15</f>
        <v>-779891.73191489244</v>
      </c>
      <c r="R15">
        <f t="shared" ref="R15" si="52">R16+Q15</f>
        <v>117947622.27736381</v>
      </c>
      <c r="S15">
        <f t="shared" ref="S15" si="53">R15/100000</f>
        <v>1179.476222773638</v>
      </c>
      <c r="T15">
        <f t="shared" ref="T15" si="54">S15/1000</f>
        <v>1.179476222773638</v>
      </c>
    </row>
    <row r="16" spans="1:20" x14ac:dyDescent="0.25">
      <c r="A16" s="5">
        <v>44577</v>
      </c>
      <c r="B16">
        <v>3.2130000000000001</v>
      </c>
      <c r="C16">
        <v>3.226</v>
      </c>
      <c r="D16">
        <v>3.1320000000000001</v>
      </c>
      <c r="E16">
        <v>3.1739999999999999</v>
      </c>
      <c r="F16">
        <v>1240226</v>
      </c>
      <c r="G16">
        <v>3.1739999999999999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-0.10638297872340687</v>
      </c>
      <c r="Q16">
        <f t="shared" ref="Q16" si="56">F16*P16</f>
        <v>-131938.93617021601</v>
      </c>
      <c r="R16">
        <f t="shared" ref="R16" si="57">R17+Q16</f>
        <v>118727514.0092787</v>
      </c>
      <c r="S16">
        <f t="shared" ref="S16" si="58">R16/100000</f>
        <v>1187.2751400927871</v>
      </c>
      <c r="T16">
        <f t="shared" ref="T16" si="59">S16/1000</f>
        <v>1.187275140092787</v>
      </c>
    </row>
    <row r="17" spans="1:20" x14ac:dyDescent="0.25">
      <c r="A17" s="5">
        <v>44576</v>
      </c>
      <c r="B17">
        <v>3.17</v>
      </c>
      <c r="C17">
        <v>3.2949999999999999</v>
      </c>
      <c r="D17">
        <v>3.1309999999999998</v>
      </c>
      <c r="E17">
        <v>3.214</v>
      </c>
      <c r="F17">
        <v>1891917</v>
      </c>
      <c r="G17">
        <v>3.214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1.2195121951220866E-2</v>
      </c>
      <c r="Q17">
        <f t="shared" ref="Q17" si="61">F17*P17</f>
        <v>23072.158536587925</v>
      </c>
      <c r="R17">
        <f t="shared" ref="R17" si="62">R18+Q17</f>
        <v>118859452.94544892</v>
      </c>
      <c r="S17">
        <f t="shared" ref="S17" si="63">R17/100000</f>
        <v>1188.5945294544892</v>
      </c>
      <c r="T17">
        <f t="shared" ref="T17" si="64">S17/1000</f>
        <v>1.1885945294544893</v>
      </c>
    </row>
    <row r="18" spans="1:20" x14ac:dyDescent="0.25">
      <c r="A18" s="5">
        <v>44575</v>
      </c>
      <c r="B18">
        <v>3.08</v>
      </c>
      <c r="C18">
        <v>3.2</v>
      </c>
      <c r="D18">
        <v>3.016</v>
      </c>
      <c r="E18">
        <v>3.1680000000000001</v>
      </c>
      <c r="F18">
        <v>1696248.3</v>
      </c>
      <c r="G18">
        <v>3.1680000000000001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0.65217391304347827</v>
      </c>
      <c r="Q18">
        <f t="shared" ref="Q18" si="66">F18*P18</f>
        <v>1106248.8913043479</v>
      </c>
      <c r="R18">
        <f t="shared" ref="R18" si="67">R19+Q18</f>
        <v>118836380.78691234</v>
      </c>
      <c r="S18">
        <f t="shared" ref="S18" si="68">R18/100000</f>
        <v>1188.3638078691233</v>
      </c>
      <c r="T18">
        <f t="shared" ref="T18" si="69">S18/1000</f>
        <v>1.1883638078691232</v>
      </c>
    </row>
    <row r="19" spans="1:20" x14ac:dyDescent="0.25">
      <c r="A19" s="5">
        <v>44574</v>
      </c>
      <c r="B19">
        <v>3.169</v>
      </c>
      <c r="C19">
        <v>3.266</v>
      </c>
      <c r="D19">
        <v>3.0630000000000002</v>
      </c>
      <c r="E19">
        <v>3.0779999999999998</v>
      </c>
      <c r="F19">
        <v>2543535.7000000002</v>
      </c>
      <c r="G19">
        <v>3.0779999999999998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-0.85221674876847597</v>
      </c>
      <c r="Q19">
        <f t="shared" ref="Q19" si="71">F19*P19</f>
        <v>-2167643.72463055</v>
      </c>
      <c r="R19">
        <f t="shared" ref="R19" si="72">R20+Q19</f>
        <v>117730131.89560799</v>
      </c>
      <c r="S19">
        <f t="shared" ref="S19" si="73">R19/100000</f>
        <v>1177.30131895608</v>
      </c>
      <c r="T19">
        <f t="shared" ref="T19" si="74">S19/1000</f>
        <v>1.1773013189560799</v>
      </c>
    </row>
    <row r="20" spans="1:20" x14ac:dyDescent="0.25">
      <c r="A20" s="5">
        <v>44573</v>
      </c>
      <c r="B20">
        <v>3.0270000000000001</v>
      </c>
      <c r="C20">
        <v>3.2269999999999999</v>
      </c>
      <c r="D20">
        <v>3.0179999999999998</v>
      </c>
      <c r="E20">
        <v>3.1669999999999998</v>
      </c>
      <c r="F20">
        <v>2636432.6</v>
      </c>
      <c r="G20">
        <v>3.1669999999999998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0.42583732057416235</v>
      </c>
      <c r="Q20">
        <f t="shared" ref="Q20" si="76">F20*P20</f>
        <v>1122691.3942583725</v>
      </c>
      <c r="R20">
        <f t="shared" ref="R20" si="77">R21+Q20</f>
        <v>119897775.62023854</v>
      </c>
      <c r="S20">
        <f t="shared" ref="S20" si="78">R20/100000</f>
        <v>1198.9777562023855</v>
      </c>
      <c r="T20">
        <f t="shared" ref="T20" si="79">S20/1000</f>
        <v>1.1989777562023856</v>
      </c>
    </row>
    <row r="21" spans="1:20" x14ac:dyDescent="0.25">
      <c r="A21" s="5">
        <v>44572</v>
      </c>
      <c r="B21">
        <v>2.9009999999999998</v>
      </c>
      <c r="C21">
        <v>3.0950000000000002</v>
      </c>
      <c r="D21">
        <v>2.8839999999999999</v>
      </c>
      <c r="E21">
        <v>3.0270000000000001</v>
      </c>
      <c r="F21">
        <v>2097632</v>
      </c>
      <c r="G21">
        <v>3.0270000000000001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0.35545023696682498</v>
      </c>
      <c r="Q21">
        <f t="shared" ref="Q21" si="81">F21*P21</f>
        <v>745603.79146919504</v>
      </c>
      <c r="R21">
        <f t="shared" ref="R21" si="82">R22+Q21</f>
        <v>118775084.22598016</v>
      </c>
      <c r="S21">
        <f t="shared" ref="S21" si="83">R21/100000</f>
        <v>1187.7508422598016</v>
      </c>
      <c r="T21">
        <f t="shared" ref="T21" si="84">S21/1000</f>
        <v>1.1877508422598015</v>
      </c>
    </row>
    <row r="22" spans="1:20" x14ac:dyDescent="0.25">
      <c r="A22" s="5">
        <v>44571</v>
      </c>
      <c r="B22">
        <v>3.0310000000000001</v>
      </c>
      <c r="C22">
        <v>3.0539999999999998</v>
      </c>
      <c r="D22">
        <v>2.7770000000000001</v>
      </c>
      <c r="E22">
        <v>2.9020000000000001</v>
      </c>
      <c r="F22">
        <v>2123453</v>
      </c>
      <c r="G22">
        <v>2.9020000000000001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-9.747292418772463E-2</v>
      </c>
      <c r="Q22">
        <f t="shared" ref="Q22" si="86">F22*P22</f>
        <v>-206979.17328519642</v>
      </c>
      <c r="R22">
        <f t="shared" ref="R22" si="87">R23+Q22</f>
        <v>118029480.43451096</v>
      </c>
      <c r="S22">
        <f t="shared" ref="S22" si="88">R22/100000</f>
        <v>1180.2948043451097</v>
      </c>
      <c r="T22">
        <f t="shared" ref="T22" si="89">S22/1000</f>
        <v>1.1802948043451098</v>
      </c>
    </row>
    <row r="23" spans="1:20" x14ac:dyDescent="0.25">
      <c r="A23" s="5">
        <v>44570</v>
      </c>
      <c r="B23">
        <v>2.97</v>
      </c>
      <c r="C23">
        <v>3.0939999999999999</v>
      </c>
      <c r="D23">
        <v>2.9460000000000002</v>
      </c>
      <c r="E23">
        <v>3.0289999999999999</v>
      </c>
      <c r="F23">
        <v>1842649.3</v>
      </c>
      <c r="G23">
        <v>3.0289999999999999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0.12162162162162049</v>
      </c>
      <c r="Q23">
        <f t="shared" ref="Q23" si="91">F23*P23</f>
        <v>224105.99594594387</v>
      </c>
      <c r="R23">
        <f t="shared" ref="R23" si="92">R24+Q23</f>
        <v>118236459.60779616</v>
      </c>
      <c r="S23">
        <f t="shared" ref="S23" si="93">R23/100000</f>
        <v>1182.3645960779616</v>
      </c>
      <c r="T23">
        <f t="shared" ref="T23" si="94">S23/1000</f>
        <v>1.1823645960779616</v>
      </c>
    </row>
    <row r="24" spans="1:20" x14ac:dyDescent="0.25">
      <c r="A24" s="5">
        <v>44569</v>
      </c>
      <c r="B24">
        <v>3.1040000000000001</v>
      </c>
      <c r="C24">
        <v>3.1819999999999999</v>
      </c>
      <c r="D24">
        <v>2.8809999999999998</v>
      </c>
      <c r="E24">
        <v>2.9670000000000001</v>
      </c>
      <c r="F24">
        <v>3244653</v>
      </c>
      <c r="G24">
        <v>2.9670000000000001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-0.42857142857142688</v>
      </c>
      <c r="Q24">
        <f t="shared" ref="Q24" si="96">F24*P24</f>
        <v>-1390565.571428566</v>
      </c>
      <c r="R24">
        <f t="shared" ref="R24" si="97">R25+Q24</f>
        <v>118012353.61185022</v>
      </c>
      <c r="S24">
        <f t="shared" ref="S24" si="98">R24/100000</f>
        <v>1180.1235361185022</v>
      </c>
      <c r="T24">
        <f t="shared" ref="T24" si="99">S24/1000</f>
        <v>1.1801235361185023</v>
      </c>
    </row>
    <row r="25" spans="1:20" x14ac:dyDescent="0.25">
      <c r="A25" s="5">
        <v>44568</v>
      </c>
      <c r="B25">
        <v>3.2629999999999999</v>
      </c>
      <c r="C25">
        <v>3.5219999999999998</v>
      </c>
      <c r="D25">
        <v>2.976</v>
      </c>
      <c r="E25">
        <v>3.1030000000000002</v>
      </c>
      <c r="F25">
        <v>8176994.4299999997</v>
      </c>
      <c r="G25">
        <v>3.1030000000000002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-0.53479853479853379</v>
      </c>
      <c r="Q25">
        <f t="shared" ref="Q25" si="101">F25*P25</f>
        <v>-4373044.6402197722</v>
      </c>
      <c r="R25">
        <f t="shared" ref="R25" si="102">R26+Q25</f>
        <v>119402919.18327878</v>
      </c>
      <c r="S25">
        <f t="shared" ref="S25" si="103">R25/100000</f>
        <v>1194.0291918327878</v>
      </c>
      <c r="T25">
        <f t="shared" ref="T25" si="104">S25/1000</f>
        <v>1.1940291918327879</v>
      </c>
    </row>
    <row r="26" spans="1:20" x14ac:dyDescent="0.25">
      <c r="A26" s="5">
        <v>44567</v>
      </c>
      <c r="B26">
        <v>3.391</v>
      </c>
      <c r="C26">
        <v>3.45</v>
      </c>
      <c r="D26">
        <v>3.165</v>
      </c>
      <c r="E26">
        <v>3.266</v>
      </c>
      <c r="F26">
        <v>3553867.4</v>
      </c>
      <c r="G26">
        <v>3.266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-0.29122807017543911</v>
      </c>
      <c r="Q26">
        <f t="shared" ref="Q26" si="106">F26*P26</f>
        <v>-1034985.9445614053</v>
      </c>
      <c r="R26">
        <f t="shared" ref="R26" si="107">R27+Q26</f>
        <v>123775963.82349856</v>
      </c>
      <c r="S26">
        <f t="shared" ref="S26" si="108">R26/100000</f>
        <v>1237.7596382349857</v>
      </c>
      <c r="T26">
        <f t="shared" ref="T26" si="109">S26/1000</f>
        <v>1.2377596382349856</v>
      </c>
    </row>
    <row r="27" spans="1:20" x14ac:dyDescent="0.25">
      <c r="A27" s="5">
        <v>44566</v>
      </c>
      <c r="B27">
        <v>3.6059999999999999</v>
      </c>
      <c r="C27">
        <v>3.9260000000000002</v>
      </c>
      <c r="D27">
        <v>3.2360000000000002</v>
      </c>
      <c r="E27">
        <v>3.3919999999999999</v>
      </c>
      <c r="F27">
        <v>6394833.0999999996</v>
      </c>
      <c r="G27">
        <v>3.3919999999999999</v>
      </c>
      <c r="L27" t="s">
        <v>7</v>
      </c>
      <c r="M27" t="s">
        <v>8</v>
      </c>
      <c r="N27" t="s">
        <v>7</v>
      </c>
      <c r="P27">
        <f t="shared" ref="P27" si="110">IF(C27=D27,0,((E27-D27)-(C27-E27))/(C27-D27))</f>
        <v>-0.54782608695652257</v>
      </c>
      <c r="Q27">
        <f t="shared" ref="Q27" si="111">F27*P27</f>
        <v>-3503256.3939130488</v>
      </c>
      <c r="R27">
        <f t="shared" ref="R27" si="112">R28+Q27</f>
        <v>124810949.76805997</v>
      </c>
      <c r="S27">
        <f t="shared" ref="S27" si="113">R27/100000</f>
        <v>1248.1094976805996</v>
      </c>
      <c r="T27">
        <f t="shared" ref="T27" si="114">S27/1000</f>
        <v>1.2481094976805995</v>
      </c>
    </row>
    <row r="28" spans="1:20" x14ac:dyDescent="0.25">
      <c r="A28" s="5">
        <v>44565</v>
      </c>
      <c r="B28">
        <v>3.65</v>
      </c>
      <c r="C28">
        <v>3.7210000000000001</v>
      </c>
      <c r="D28">
        <v>3.5150000000000001</v>
      </c>
      <c r="E28">
        <v>3.605</v>
      </c>
      <c r="F28">
        <v>3358353.2</v>
      </c>
      <c r="G28">
        <v>3.605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-0.12621359223301093</v>
      </c>
      <c r="Q28">
        <f t="shared" ref="Q28" si="116">F28*P28</f>
        <v>-423869.82135922741</v>
      </c>
      <c r="R28">
        <f t="shared" ref="R28" si="117">R29+Q28</f>
        <v>128314206.16197301</v>
      </c>
      <c r="S28">
        <f t="shared" ref="S28" si="118">R28/100000</f>
        <v>1283.1420616197302</v>
      </c>
      <c r="T28">
        <f t="shared" ref="T28" si="119">S28/1000</f>
        <v>1.2831420616197302</v>
      </c>
    </row>
    <row r="29" spans="1:20" x14ac:dyDescent="0.25">
      <c r="A29" s="5">
        <v>44564</v>
      </c>
      <c r="B29">
        <v>3.8</v>
      </c>
      <c r="C29">
        <v>3.8140000000000001</v>
      </c>
      <c r="D29">
        <v>3.5470000000000002</v>
      </c>
      <c r="E29">
        <v>3.6469999999999998</v>
      </c>
      <c r="F29">
        <v>3030848.6</v>
      </c>
      <c r="G29">
        <v>3.6469999999999998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-0.25093632958801737</v>
      </c>
      <c r="Q29">
        <f t="shared" ref="Q29" si="121">F29*P29</f>
        <v>-760550.02322098101</v>
      </c>
      <c r="R29">
        <f t="shared" ref="R29" si="122">R30+Q29</f>
        <v>128738075.98333225</v>
      </c>
      <c r="S29">
        <f t="shared" ref="S29" si="123">R29/100000</f>
        <v>1287.3807598333224</v>
      </c>
      <c r="T29">
        <f t="shared" ref="T29" si="124">S29/1000</f>
        <v>1.2873807598333225</v>
      </c>
    </row>
    <row r="30" spans="1:20" x14ac:dyDescent="0.25">
      <c r="A30" s="5">
        <v>44563</v>
      </c>
      <c r="B30">
        <v>3.669</v>
      </c>
      <c r="C30">
        <v>3.879</v>
      </c>
      <c r="D30">
        <v>3.5880000000000001</v>
      </c>
      <c r="E30">
        <v>3.8039999999999998</v>
      </c>
      <c r="F30">
        <v>2687190.4</v>
      </c>
      <c r="G30">
        <v>3.8039999999999998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0.48453608247422547</v>
      </c>
      <c r="Q30">
        <f t="shared" ref="Q30" si="126">F30*P30</f>
        <v>1302040.709278347</v>
      </c>
      <c r="R30">
        <f t="shared" ref="R30" si="127">R31+Q30</f>
        <v>129498626.00655323</v>
      </c>
      <c r="S30">
        <f t="shared" ref="S30" si="128">R30/100000</f>
        <v>1294.9862600655324</v>
      </c>
      <c r="T30">
        <f t="shared" ref="T30" si="129">S30/1000</f>
        <v>1.2949862600655324</v>
      </c>
    </row>
    <row r="31" spans="1:20" x14ac:dyDescent="0.25">
      <c r="A31" s="5">
        <v>44562</v>
      </c>
      <c r="B31">
        <v>3.411</v>
      </c>
      <c r="C31">
        <v>3.677</v>
      </c>
      <c r="D31">
        <v>3.411</v>
      </c>
      <c r="E31">
        <v>3.6709999999999998</v>
      </c>
      <c r="F31">
        <v>1985896</v>
      </c>
      <c r="G31">
        <v>3.6709999999999998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0.95488721804511112</v>
      </c>
      <c r="Q31">
        <f t="shared" ref="Q31" si="131">F31*P31</f>
        <v>1896306.7067669139</v>
      </c>
      <c r="R31">
        <f t="shared" ref="R31" si="132">R32+Q31</f>
        <v>128196585.29727489</v>
      </c>
      <c r="S31">
        <f t="shared" ref="S31" si="133">R31/100000</f>
        <v>1281.965852972749</v>
      </c>
      <c r="T31">
        <f t="shared" ref="T31" si="134">S31/1000</f>
        <v>1.2819658529727489</v>
      </c>
    </row>
    <row r="32" spans="1:20" x14ac:dyDescent="0.25">
      <c r="A32" s="5">
        <v>44561</v>
      </c>
      <c r="B32">
        <v>3.4780000000000002</v>
      </c>
      <c r="C32">
        <v>3.6</v>
      </c>
      <c r="D32">
        <v>3.3140000000000001</v>
      </c>
      <c r="E32">
        <v>3.4089999999999998</v>
      </c>
      <c r="F32">
        <v>2783290.4</v>
      </c>
      <c r="G32">
        <v>3.4089999999999998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-0.33566433566433745</v>
      </c>
      <c r="Q32">
        <f t="shared" ref="Q32" si="136">F32*P32</f>
        <v>-934251.32307692803</v>
      </c>
      <c r="R32">
        <f t="shared" ref="R32" si="137">R33+Q32</f>
        <v>126300278.59050797</v>
      </c>
      <c r="S32">
        <f t="shared" ref="S32" si="138">R32/100000</f>
        <v>1263.0027859050797</v>
      </c>
      <c r="T32">
        <f t="shared" ref="T32" si="139">S32/1000</f>
        <v>1.2630027859050796</v>
      </c>
    </row>
    <row r="33" spans="1:20" x14ac:dyDescent="0.25">
      <c r="A33" s="5">
        <v>44560</v>
      </c>
      <c r="B33">
        <v>3.4039999999999999</v>
      </c>
      <c r="C33">
        <v>3.629</v>
      </c>
      <c r="D33">
        <v>3.3159999999999998</v>
      </c>
      <c r="E33">
        <v>3.4769999999999999</v>
      </c>
      <c r="F33">
        <v>3245661.4</v>
      </c>
      <c r="G33">
        <v>3.4769999999999999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2.8753993610223298E-2</v>
      </c>
      <c r="Q33">
        <f t="shared" ref="Q33" si="141">F33*P33</f>
        <v>93325.727156548397</v>
      </c>
      <c r="R33">
        <f t="shared" ref="R33" si="142">R34+Q33</f>
        <v>127234529.9135849</v>
      </c>
      <c r="S33">
        <f t="shared" ref="S33" si="143">R33/100000</f>
        <v>1272.345299135849</v>
      </c>
      <c r="T33">
        <f t="shared" ref="T33" si="144">S33/1000</f>
        <v>1.272345299135849</v>
      </c>
    </row>
    <row r="34" spans="1:20" x14ac:dyDescent="0.25">
      <c r="A34" s="5">
        <v>44559</v>
      </c>
      <c r="B34">
        <v>3.641</v>
      </c>
      <c r="C34">
        <v>3.698</v>
      </c>
      <c r="D34">
        <v>3.3650000000000002</v>
      </c>
      <c r="E34">
        <v>3.4039999999999999</v>
      </c>
      <c r="F34">
        <v>3389640.6</v>
      </c>
      <c r="G34">
        <v>3.4039999999999999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-0.76576576576576738</v>
      </c>
      <c r="Q34">
        <f t="shared" ref="Q34" si="146">F34*P34</f>
        <v>-2595670.7297297353</v>
      </c>
      <c r="R34">
        <f t="shared" ref="R34" si="147">R35+Q34</f>
        <v>127141204.18642835</v>
      </c>
      <c r="S34">
        <f t="shared" ref="S34" si="148">R34/100000</f>
        <v>1271.4120418642835</v>
      </c>
      <c r="T34">
        <f t="shared" ref="T34" si="149">S34/1000</f>
        <v>1.2714120418642836</v>
      </c>
    </row>
    <row r="35" spans="1:20" x14ac:dyDescent="0.25">
      <c r="A35" s="5">
        <v>44558</v>
      </c>
      <c r="B35">
        <v>4.0549999999999997</v>
      </c>
      <c r="C35">
        <v>4.056</v>
      </c>
      <c r="D35">
        <v>3.6360000000000001</v>
      </c>
      <c r="E35">
        <v>3.637</v>
      </c>
      <c r="F35">
        <v>4422563.5</v>
      </c>
      <c r="G35">
        <v>3.637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-0.99523809523809581</v>
      </c>
      <c r="Q35">
        <f t="shared" ref="Q35" si="151">F35*P35</f>
        <v>-4401503.6738095265</v>
      </c>
      <c r="R35">
        <f t="shared" ref="R35" si="152">R36+Q35</f>
        <v>129736874.9161581</v>
      </c>
      <c r="S35">
        <f t="shared" ref="S35" si="153">R35/100000</f>
        <v>1297.368749161581</v>
      </c>
      <c r="T35">
        <f t="shared" ref="T35" si="154">S35/1000</f>
        <v>1.2973687491615811</v>
      </c>
    </row>
    <row r="36" spans="1:20" x14ac:dyDescent="0.25">
      <c r="A36" s="5">
        <v>44557</v>
      </c>
      <c r="B36">
        <v>4.0369999999999999</v>
      </c>
      <c r="C36">
        <v>4.2830000000000004</v>
      </c>
      <c r="D36">
        <v>4</v>
      </c>
      <c r="E36">
        <v>4.0570000000000004</v>
      </c>
      <c r="F36">
        <v>3548113</v>
      </c>
      <c r="G36">
        <v>4.0570000000000004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-0.59717314487632289</v>
      </c>
      <c r="Q36">
        <f t="shared" ref="Q36" si="156">F36*P36</f>
        <v>-2118837.7985865646</v>
      </c>
      <c r="R36">
        <f t="shared" ref="R36" si="157">R37+Q36</f>
        <v>134138378.58996762</v>
      </c>
      <c r="S36">
        <f t="shared" ref="S36" si="158">R36/100000</f>
        <v>1341.3837858996762</v>
      </c>
      <c r="T36">
        <f t="shared" ref="T36" si="159">S36/1000</f>
        <v>1.3413837858996762</v>
      </c>
    </row>
    <row r="37" spans="1:20" x14ac:dyDescent="0.25">
      <c r="A37" s="5">
        <v>44556</v>
      </c>
      <c r="B37">
        <v>4.1070000000000002</v>
      </c>
      <c r="C37">
        <v>4.2</v>
      </c>
      <c r="D37">
        <v>3.8839999999999999</v>
      </c>
      <c r="E37">
        <v>4.0359999999999996</v>
      </c>
      <c r="F37">
        <v>4507793.7</v>
      </c>
      <c r="G37">
        <v>4.0359999999999996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-3.7974683544306609E-2</v>
      </c>
      <c r="Q37">
        <f t="shared" ref="Q37" si="161">F37*P37</f>
        <v>-171182.03924051902</v>
      </c>
      <c r="R37">
        <f t="shared" ref="R37" si="162">R38+Q37</f>
        <v>136257216.38855419</v>
      </c>
      <c r="S37">
        <f t="shared" ref="S37" si="163">R37/100000</f>
        <v>1362.5721638855418</v>
      </c>
      <c r="T37">
        <f t="shared" ref="T37" si="164">S37/1000</f>
        <v>1.3625721638855419</v>
      </c>
    </row>
    <row r="38" spans="1:20" x14ac:dyDescent="0.25">
      <c r="A38" s="5">
        <v>44555</v>
      </c>
      <c r="B38">
        <v>4.0380000000000003</v>
      </c>
      <c r="C38">
        <v>4.1289999999999996</v>
      </c>
      <c r="D38">
        <v>3.9790000000000001</v>
      </c>
      <c r="E38">
        <v>4.1059999999999999</v>
      </c>
      <c r="F38">
        <v>2369560.1</v>
      </c>
      <c r="G38">
        <v>4.1059999999999999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0.69333333333333647</v>
      </c>
      <c r="Q38">
        <f t="shared" ref="Q38" si="166">F38*P38</f>
        <v>1642895.0026666741</v>
      </c>
      <c r="R38">
        <f t="shared" ref="R38" si="167">R39+Q38</f>
        <v>136428398.42779469</v>
      </c>
      <c r="S38">
        <f t="shared" ref="S38" si="168">R38/100000</f>
        <v>1364.283984277947</v>
      </c>
      <c r="T38">
        <f t="shared" ref="T38" si="169">S38/1000</f>
        <v>1.3642839842779471</v>
      </c>
    </row>
    <row r="39" spans="1:20" x14ac:dyDescent="0.25">
      <c r="A39" s="5">
        <v>44554</v>
      </c>
      <c r="B39">
        <v>3.8879999999999999</v>
      </c>
      <c r="C39">
        <v>4.2050000000000001</v>
      </c>
      <c r="D39">
        <v>3.8540000000000001</v>
      </c>
      <c r="E39">
        <v>4.0369999999999999</v>
      </c>
      <c r="F39">
        <v>5312248.0999999996</v>
      </c>
      <c r="G39">
        <v>4.0369999999999999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4.2735042735041827E-2</v>
      </c>
      <c r="Q39">
        <f t="shared" ref="Q39" si="171">F39*P39</f>
        <v>227019.14957264473</v>
      </c>
      <c r="R39">
        <f t="shared" ref="R39" si="172">R40+Q39</f>
        <v>134785503.42512801</v>
      </c>
      <c r="S39">
        <f t="shared" ref="S39" si="173">R39/100000</f>
        <v>1347.8550342512801</v>
      </c>
      <c r="T39">
        <f t="shared" ref="T39" si="174">S39/1000</f>
        <v>1.3478550342512801</v>
      </c>
    </row>
    <row r="40" spans="1:20" x14ac:dyDescent="0.25">
      <c r="A40" s="5">
        <v>44553</v>
      </c>
      <c r="B40">
        <v>3.6640000000000001</v>
      </c>
      <c r="C40">
        <v>3.9470000000000001</v>
      </c>
      <c r="D40">
        <v>3.581</v>
      </c>
      <c r="E40">
        <v>3.887</v>
      </c>
      <c r="F40">
        <v>3258536.4</v>
      </c>
      <c r="G40">
        <v>3.887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0.67213114754098335</v>
      </c>
      <c r="Q40">
        <f t="shared" ref="Q40" si="176">F40*P40</f>
        <v>2190163.8098360645</v>
      </c>
      <c r="R40">
        <f t="shared" ref="R40" si="177">R41+Q40</f>
        <v>134558484.27555537</v>
      </c>
      <c r="S40">
        <f t="shared" ref="S40" si="178">R40/100000</f>
        <v>1345.5848427555536</v>
      </c>
      <c r="T40">
        <f t="shared" ref="T40" si="179">S40/1000</f>
        <v>1.3455848427555537</v>
      </c>
    </row>
    <row r="41" spans="1:20" x14ac:dyDescent="0.25">
      <c r="A41" s="5">
        <v>44552</v>
      </c>
      <c r="B41">
        <v>3.5310000000000001</v>
      </c>
      <c r="C41">
        <v>3.8260000000000001</v>
      </c>
      <c r="D41">
        <v>3.508</v>
      </c>
      <c r="E41">
        <v>3.6659999999999999</v>
      </c>
      <c r="F41">
        <v>4060620.9</v>
      </c>
      <c r="G41">
        <v>3.6659999999999999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-6.2893081761013318E-3</v>
      </c>
      <c r="Q41">
        <f t="shared" ref="Q41" si="181">F41*P41</f>
        <v>-25538.496226417948</v>
      </c>
      <c r="R41">
        <f t="shared" ref="R41" si="182">R42+Q41</f>
        <v>132368320.4657193</v>
      </c>
      <c r="S41">
        <f t="shared" ref="S41" si="183">R41/100000</f>
        <v>1323.6832046571931</v>
      </c>
      <c r="T41">
        <f t="shared" ref="T41" si="184">S41/1000</f>
        <v>1.3236832046571931</v>
      </c>
    </row>
    <row r="42" spans="1:20" x14ac:dyDescent="0.25">
      <c r="A42" s="5">
        <v>44551</v>
      </c>
      <c r="B42">
        <v>3.339</v>
      </c>
      <c r="C42">
        <v>3.556</v>
      </c>
      <c r="D42">
        <v>3.3090000000000002</v>
      </c>
      <c r="E42">
        <v>3.5310000000000001</v>
      </c>
      <c r="F42">
        <v>2163646.4</v>
      </c>
      <c r="G42">
        <v>3.5310000000000001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0.79757085020242979</v>
      </c>
      <c r="Q42">
        <f t="shared" ref="Q42" si="186">F42*P42</f>
        <v>1725661.2987854264</v>
      </c>
      <c r="R42">
        <f t="shared" ref="R42" si="187">R43+Q42</f>
        <v>132393858.96194571</v>
      </c>
      <c r="S42">
        <f t="shared" ref="S42" si="188">R42/100000</f>
        <v>1323.9385896194572</v>
      </c>
      <c r="T42">
        <f t="shared" ref="T42" si="189">S42/1000</f>
        <v>1.3239385896194571</v>
      </c>
    </row>
    <row r="43" spans="1:20" x14ac:dyDescent="0.25">
      <c r="A43" s="5">
        <v>44550</v>
      </c>
      <c r="B43">
        <v>3.383</v>
      </c>
      <c r="C43">
        <v>3.4209999999999998</v>
      </c>
      <c r="D43">
        <v>3.2010000000000001</v>
      </c>
      <c r="E43">
        <v>3.339</v>
      </c>
      <c r="F43">
        <v>2087832.5</v>
      </c>
      <c r="G43">
        <v>3.339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0.25454545454545507</v>
      </c>
      <c r="Q43">
        <f t="shared" ref="Q43" si="191">F43*P43</f>
        <v>531448.27272727387</v>
      </c>
      <c r="R43">
        <f t="shared" ref="R43" si="192">R44+Q43</f>
        <v>130668197.66316028</v>
      </c>
      <c r="S43">
        <f t="shared" ref="S43" si="193">R43/100000</f>
        <v>1306.6819766316028</v>
      </c>
      <c r="T43">
        <f t="shared" ref="T43" si="194">S43/1000</f>
        <v>1.3066819766316027</v>
      </c>
    </row>
    <row r="44" spans="1:20" x14ac:dyDescent="0.25">
      <c r="A44" s="5">
        <v>44549</v>
      </c>
      <c r="B44">
        <v>3.4889999999999999</v>
      </c>
      <c r="C44">
        <v>3.5430000000000001</v>
      </c>
      <c r="D44">
        <v>3.3740000000000001</v>
      </c>
      <c r="E44">
        <v>3.3839999999999999</v>
      </c>
      <c r="F44">
        <v>2319142.2000000002</v>
      </c>
      <c r="G44">
        <v>3.3839999999999999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-0.88165680473373031</v>
      </c>
      <c r="Q44">
        <f t="shared" ref="Q44" si="196">F44*P44</f>
        <v>-2044687.5017751539</v>
      </c>
      <c r="R44">
        <f t="shared" ref="R44" si="197">R45+Q44</f>
        <v>130136749.390433</v>
      </c>
      <c r="S44">
        <f t="shared" ref="S44" si="198">R44/100000</f>
        <v>1301.3674939043299</v>
      </c>
      <c r="T44">
        <f t="shared" ref="T44" si="199">S44/1000</f>
        <v>1.3013674939043298</v>
      </c>
    </row>
    <row r="45" spans="1:20" x14ac:dyDescent="0.25">
      <c r="A45" s="5">
        <v>44548</v>
      </c>
      <c r="B45">
        <v>3.3410000000000002</v>
      </c>
      <c r="C45">
        <v>3.52</v>
      </c>
      <c r="D45">
        <v>3.274</v>
      </c>
      <c r="E45">
        <v>3.492</v>
      </c>
      <c r="F45">
        <v>2893930</v>
      </c>
      <c r="G45">
        <v>3.492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0.77235772357723553</v>
      </c>
      <c r="Q45">
        <f t="shared" ref="Q45" si="201">F45*P45</f>
        <v>2235149.186991869</v>
      </c>
      <c r="R45">
        <f t="shared" ref="R45" si="202">R46+Q45</f>
        <v>132181436.89220816</v>
      </c>
      <c r="S45">
        <f t="shared" ref="S45" si="203">R45/100000</f>
        <v>1321.8143689220815</v>
      </c>
      <c r="T45">
        <f t="shared" ref="T45" si="204">S45/1000</f>
        <v>1.3218143689220816</v>
      </c>
    </row>
    <row r="46" spans="1:20" x14ac:dyDescent="0.25">
      <c r="A46" s="5">
        <v>44547</v>
      </c>
      <c r="B46">
        <v>3.472</v>
      </c>
      <c r="C46">
        <v>3.5150000000000001</v>
      </c>
      <c r="D46">
        <v>3.2629999999999999</v>
      </c>
      <c r="E46">
        <v>3.3450000000000002</v>
      </c>
      <c r="F46">
        <v>3216899.4</v>
      </c>
      <c r="G46">
        <v>3.3450000000000002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-0.34920634920634747</v>
      </c>
      <c r="Q46">
        <f t="shared" ref="Q46" si="206">F46*P46</f>
        <v>-1123361.6952380897</v>
      </c>
      <c r="R46">
        <f t="shared" ref="R46" si="207">R47+Q46</f>
        <v>129946287.70521629</v>
      </c>
      <c r="S46">
        <f t="shared" ref="S46" si="208">R46/100000</f>
        <v>1299.4628770521629</v>
      </c>
      <c r="T46">
        <f t="shared" ref="T46" si="209">S46/1000</f>
        <v>1.2994628770521628</v>
      </c>
    </row>
    <row r="47" spans="1:20" x14ac:dyDescent="0.25">
      <c r="A47" s="5">
        <v>44546</v>
      </c>
      <c r="B47">
        <v>3.5640000000000001</v>
      </c>
      <c r="C47">
        <v>3.6819999999999999</v>
      </c>
      <c r="D47">
        <v>3.4590000000000001</v>
      </c>
      <c r="E47">
        <v>3.472</v>
      </c>
      <c r="F47">
        <v>3151902.1</v>
      </c>
      <c r="G47">
        <v>3.472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-0.8834080717488797</v>
      </c>
      <c r="Q47">
        <f t="shared" ref="Q47" si="211">F47*P47</f>
        <v>-2784415.7565022446</v>
      </c>
      <c r="R47">
        <f t="shared" ref="R47" si="212">R48+Q47</f>
        <v>131069649.40045437</v>
      </c>
      <c r="S47">
        <f t="shared" ref="S47" si="213">R47/100000</f>
        <v>1310.6964940045436</v>
      </c>
      <c r="T47">
        <f t="shared" ref="T47" si="214">S47/1000</f>
        <v>1.3106964940045436</v>
      </c>
    </row>
    <row r="48" spans="1:20" x14ac:dyDescent="0.25">
      <c r="A48" s="5">
        <v>44545</v>
      </c>
      <c r="B48">
        <v>3.4329999999999998</v>
      </c>
      <c r="C48">
        <v>3.67</v>
      </c>
      <c r="D48">
        <v>3.2719999999999998</v>
      </c>
      <c r="E48">
        <v>3.5609999999999999</v>
      </c>
      <c r="F48">
        <v>3762831.6</v>
      </c>
      <c r="G48">
        <v>3.5609999999999999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0.45226130653266355</v>
      </c>
      <c r="Q48">
        <f t="shared" ref="Q48" si="216">F48*P48</f>
        <v>1701783.1356783928</v>
      </c>
      <c r="R48">
        <f t="shared" ref="R48" si="217">R49+Q48</f>
        <v>133854065.15695661</v>
      </c>
      <c r="S48">
        <f t="shared" ref="S48" si="218">R48/100000</f>
        <v>1338.5406515695661</v>
      </c>
      <c r="T48">
        <f t="shared" ref="T48" si="219">S48/1000</f>
        <v>1.3385406515695661</v>
      </c>
    </row>
    <row r="49" spans="1:20" x14ac:dyDescent="0.25">
      <c r="A49" s="5">
        <v>44544</v>
      </c>
      <c r="B49">
        <v>3.3460000000000001</v>
      </c>
      <c r="C49">
        <v>3.5430000000000001</v>
      </c>
      <c r="D49">
        <v>3.2509999999999999</v>
      </c>
      <c r="E49">
        <v>3.4340000000000002</v>
      </c>
      <c r="F49">
        <v>3727967</v>
      </c>
      <c r="G49">
        <v>3.4340000000000002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0.25342465753424731</v>
      </c>
      <c r="Q49">
        <f t="shared" ref="Q49" si="221">F49*P49</f>
        <v>944758.76027397532</v>
      </c>
      <c r="R49">
        <f t="shared" ref="R49" si="222">R50+Q49</f>
        <v>132152282.02127822</v>
      </c>
      <c r="S49">
        <f t="shared" ref="S49" si="223">R49/100000</f>
        <v>1321.5228202127821</v>
      </c>
      <c r="T49">
        <f t="shared" ref="T49" si="224">S49/1000</f>
        <v>1.321522820212782</v>
      </c>
    </row>
    <row r="50" spans="1:20" x14ac:dyDescent="0.25">
      <c r="A50" s="5">
        <v>44543</v>
      </c>
      <c r="B50">
        <v>3.7989999999999999</v>
      </c>
      <c r="C50">
        <v>3.88</v>
      </c>
      <c r="D50">
        <v>3.3130000000000002</v>
      </c>
      <c r="E50">
        <v>3.3460000000000001</v>
      </c>
      <c r="F50">
        <v>3484976.1</v>
      </c>
      <c r="G50">
        <v>3.3460000000000001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-0.88359788359788383</v>
      </c>
      <c r="Q50">
        <f t="shared" ref="Q50" si="226">F50*P50</f>
        <v>-3079317.5063492074</v>
      </c>
      <c r="R50">
        <f t="shared" ref="R50" si="227">R51+Q50</f>
        <v>131207523.26100424</v>
      </c>
      <c r="S50">
        <f t="shared" ref="S50" si="228">R50/100000</f>
        <v>1312.0752326100423</v>
      </c>
      <c r="T50">
        <f t="shared" ref="T50" si="229">S50/1000</f>
        <v>1.3120752326100424</v>
      </c>
    </row>
    <row r="51" spans="1:20" x14ac:dyDescent="0.25">
      <c r="A51" s="5">
        <v>44542</v>
      </c>
      <c r="B51">
        <v>3.7669999999999999</v>
      </c>
      <c r="C51">
        <v>3.85</v>
      </c>
      <c r="D51">
        <v>3.6150000000000002</v>
      </c>
      <c r="E51">
        <v>3.7989999999999999</v>
      </c>
      <c r="F51">
        <v>2438513.2000000002</v>
      </c>
      <c r="G51">
        <v>3.7989999999999999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0.56595744680850912</v>
      </c>
      <c r="Q51">
        <f t="shared" ref="Q51" si="231">F51*P51</f>
        <v>1380094.7046808475</v>
      </c>
      <c r="R51">
        <f t="shared" ref="R51" si="232">R52+Q51</f>
        <v>134286840.76735345</v>
      </c>
      <c r="S51">
        <f t="shared" ref="S51" si="233">R51/100000</f>
        <v>1342.8684076735344</v>
      </c>
      <c r="T51">
        <f t="shared" ref="T51" si="234">S51/1000</f>
        <v>1.3428684076735344</v>
      </c>
    </row>
    <row r="52" spans="1:20" x14ac:dyDescent="0.25">
      <c r="A52" s="5">
        <v>44541</v>
      </c>
      <c r="B52">
        <v>3.61</v>
      </c>
      <c r="C52">
        <v>3.6389999999999998</v>
      </c>
      <c r="D52">
        <v>3.4460000000000002</v>
      </c>
      <c r="E52">
        <v>3.6070000000000002</v>
      </c>
      <c r="F52">
        <v>1103316.2</v>
      </c>
      <c r="G52">
        <v>3.6070000000000002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0.66839378238342328</v>
      </c>
      <c r="Q52">
        <f t="shared" ref="Q52" si="236">F52*P52</f>
        <v>737449.68808290549</v>
      </c>
      <c r="R52">
        <f t="shared" ref="R52" si="237">R53+Q52</f>
        <v>132906746.06267259</v>
      </c>
      <c r="S52">
        <f t="shared" ref="S52" si="238">R52/100000</f>
        <v>1329.067460626726</v>
      </c>
      <c r="T52">
        <f t="shared" ref="T52" si="239">S52/1000</f>
        <v>1.3290674606267259</v>
      </c>
    </row>
    <row r="53" spans="1:20" x14ac:dyDescent="0.25">
      <c r="A53" s="5">
        <v>44540</v>
      </c>
      <c r="B53">
        <v>3.9209999999999998</v>
      </c>
      <c r="C53">
        <v>4.0289999999999999</v>
      </c>
      <c r="D53">
        <v>3.5640000000000001</v>
      </c>
      <c r="E53">
        <v>3.6110000000000002</v>
      </c>
      <c r="F53">
        <v>3876155.4</v>
      </c>
      <c r="G53">
        <v>3.6110000000000002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-0.79784946236559073</v>
      </c>
      <c r="Q53">
        <f t="shared" ref="Q53" si="241">F53*P53</f>
        <v>-3092588.5019354811</v>
      </c>
      <c r="R53">
        <f t="shared" ref="R53" si="242">R54+Q53</f>
        <v>132169296.37458968</v>
      </c>
      <c r="S53">
        <f t="shared" ref="S53" si="243">R53/100000</f>
        <v>1321.6929637458968</v>
      </c>
      <c r="T53">
        <f t="shared" ref="T53" si="244">S53/1000</f>
        <v>1.3216929637458967</v>
      </c>
    </row>
    <row r="54" spans="1:20" x14ac:dyDescent="0.25">
      <c r="A54" s="5">
        <v>44539</v>
      </c>
      <c r="B54">
        <v>4.3630000000000004</v>
      </c>
      <c r="C54">
        <v>4.3849999999999998</v>
      </c>
      <c r="D54">
        <v>3.9060000000000001</v>
      </c>
      <c r="E54">
        <v>3.9260000000000002</v>
      </c>
      <c r="F54">
        <v>3005297.2</v>
      </c>
      <c r="G54">
        <v>3.9260000000000002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-0.91649269311064707</v>
      </c>
      <c r="Q54">
        <f t="shared" ref="Q54" si="246">F54*P54</f>
        <v>-2754332.9244258869</v>
      </c>
      <c r="R54">
        <f t="shared" ref="R54" si="247">R55+Q54</f>
        <v>135261884.87652516</v>
      </c>
      <c r="S54">
        <f t="shared" ref="S54" si="248">R54/100000</f>
        <v>1352.6188487652516</v>
      </c>
      <c r="T54">
        <f t="shared" ref="T54" si="249">S54/1000</f>
        <v>1.3526188487652517</v>
      </c>
    </row>
    <row r="55" spans="1:20" x14ac:dyDescent="0.25">
      <c r="A55" s="5">
        <v>44538</v>
      </c>
      <c r="B55">
        <v>4.242</v>
      </c>
      <c r="C55">
        <v>4.3769999999999998</v>
      </c>
      <c r="D55">
        <v>4.0739999999999998</v>
      </c>
      <c r="E55">
        <v>4.3630000000000004</v>
      </c>
      <c r="F55">
        <v>3975227.9</v>
      </c>
      <c r="G55">
        <v>4.3630000000000004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0.90759075907591191</v>
      </c>
      <c r="Q55">
        <f t="shared" ref="Q55" si="251">F55*P55</f>
        <v>3607880.1072607432</v>
      </c>
      <c r="R55">
        <f t="shared" ref="R55" si="252">R56+Q55</f>
        <v>138016217.80095106</v>
      </c>
      <c r="S55">
        <f t="shared" ref="S55" si="253">R55/100000</f>
        <v>1380.1621780095106</v>
      </c>
      <c r="T55">
        <f t="shared" ref="T55" si="254">S55/1000</f>
        <v>1.3801621780095106</v>
      </c>
    </row>
    <row r="56" spans="1:20" x14ac:dyDescent="0.25">
      <c r="A56" s="5">
        <v>44537</v>
      </c>
      <c r="B56">
        <v>4.0910000000000002</v>
      </c>
      <c r="C56">
        <v>4.2699999999999996</v>
      </c>
      <c r="D56">
        <v>4.05</v>
      </c>
      <c r="E56">
        <v>4.24</v>
      </c>
      <c r="F56">
        <v>3217470.1</v>
      </c>
      <c r="G56">
        <v>4.24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0.72727272727273273</v>
      </c>
      <c r="Q56">
        <f t="shared" ref="Q56" si="256">F56*P56</f>
        <v>2339978.2545454721</v>
      </c>
      <c r="R56">
        <f t="shared" ref="R56" si="257">R57+Q56</f>
        <v>134408337.69369033</v>
      </c>
      <c r="S56">
        <f t="shared" ref="S56" si="258">R56/100000</f>
        <v>1344.0833769369033</v>
      </c>
      <c r="T56">
        <f t="shared" ref="T56" si="259">S56/1000</f>
        <v>1.3440833769369034</v>
      </c>
    </row>
    <row r="57" spans="1:20" x14ac:dyDescent="0.25">
      <c r="A57" s="5">
        <v>44536</v>
      </c>
      <c r="B57">
        <v>4.0460000000000003</v>
      </c>
      <c r="C57">
        <v>4.133</v>
      </c>
      <c r="D57">
        <v>3.621</v>
      </c>
      <c r="E57">
        <v>4.0940000000000003</v>
      </c>
      <c r="F57">
        <v>4518207.3</v>
      </c>
      <c r="G57">
        <v>4.0940000000000003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0.84765625000000122</v>
      </c>
      <c r="Q57">
        <f t="shared" ref="Q57" si="261">F57*P57</f>
        <v>3829886.6566406302</v>
      </c>
      <c r="R57">
        <f t="shared" ref="R57" si="262">R58+Q57</f>
        <v>132068359.43914485</v>
      </c>
      <c r="S57">
        <f t="shared" ref="S57" si="263">R57/100000</f>
        <v>1320.6835943914484</v>
      </c>
      <c r="T57">
        <f t="shared" ref="T57" si="264">S57/1000</f>
        <v>1.3206835943914483</v>
      </c>
    </row>
    <row r="58" spans="1:20" x14ac:dyDescent="0.25">
      <c r="A58" s="5">
        <v>44535</v>
      </c>
      <c r="B58">
        <v>4.3150000000000004</v>
      </c>
      <c r="C58">
        <v>4.3860000000000001</v>
      </c>
      <c r="D58">
        <v>3.9169999999999998</v>
      </c>
      <c r="E58">
        <v>4.0419999999999998</v>
      </c>
      <c r="F58">
        <v>3879297.65</v>
      </c>
      <c r="G58">
        <v>4.0419999999999998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-0.46695095948827325</v>
      </c>
      <c r="Q58">
        <f t="shared" ref="Q58" si="266">F58*P58</f>
        <v>-1811441.7598081036</v>
      </c>
      <c r="R58">
        <f t="shared" ref="R58" si="267">R59+Q58</f>
        <v>128238472.78250422</v>
      </c>
      <c r="S58">
        <f t="shared" ref="S58" si="268">R58/100000</f>
        <v>1282.3847278250421</v>
      </c>
      <c r="T58">
        <f t="shared" ref="T58" si="269">S58/1000</f>
        <v>1.282384727825042</v>
      </c>
    </row>
    <row r="59" spans="1:20" x14ac:dyDescent="0.25">
      <c r="A59" s="5">
        <v>44534</v>
      </c>
      <c r="B59">
        <v>5.1429999999999998</v>
      </c>
      <c r="C59">
        <v>5.1470000000000002</v>
      </c>
      <c r="D59">
        <v>4</v>
      </c>
      <c r="E59">
        <v>4.3170000000000002</v>
      </c>
      <c r="F59">
        <v>7260525.79</v>
      </c>
      <c r="G59">
        <v>4.3170000000000002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-0.44725370531822128</v>
      </c>
      <c r="Q59">
        <f t="shared" ref="Q59" si="271">F59*P59</f>
        <v>-3247297.0621360056</v>
      </c>
      <c r="R59">
        <f t="shared" ref="R59" si="272">R60+Q59</f>
        <v>130049914.54231232</v>
      </c>
      <c r="S59">
        <f t="shared" ref="S59" si="273">R59/100000</f>
        <v>1300.4991454231233</v>
      </c>
      <c r="T59">
        <f t="shared" ref="T59" si="274">S59/1000</f>
        <v>1.3004991454231234</v>
      </c>
    </row>
    <row r="60" spans="1:20" x14ac:dyDescent="0.25">
      <c r="A60" s="5">
        <v>44533</v>
      </c>
      <c r="B60">
        <v>5.5609999999999999</v>
      </c>
      <c r="C60">
        <v>5.5880000000000001</v>
      </c>
      <c r="D60">
        <v>4.952</v>
      </c>
      <c r="E60">
        <v>5.1420000000000003</v>
      </c>
      <c r="F60">
        <v>2520684.2999999998</v>
      </c>
      <c r="G60">
        <v>5.1420000000000003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-0.40251572327043916</v>
      </c>
      <c r="Q60">
        <f t="shared" ref="Q60" si="276">F60*P60</f>
        <v>-1014615.0641509406</v>
      </c>
      <c r="R60">
        <f t="shared" ref="R60" si="277">R61+Q60</f>
        <v>133297211.60444833</v>
      </c>
      <c r="S60">
        <f t="shared" ref="S60" si="278">R60/100000</f>
        <v>1332.9721160444833</v>
      </c>
      <c r="T60">
        <f t="shared" ref="T60" si="279">S60/1000</f>
        <v>1.3329721160444834</v>
      </c>
    </row>
    <row r="61" spans="1:20" x14ac:dyDescent="0.25">
      <c r="A61" s="5">
        <v>44532</v>
      </c>
      <c r="B61">
        <v>5.6920000000000002</v>
      </c>
      <c r="C61">
        <v>5.7210000000000001</v>
      </c>
      <c r="D61">
        <v>5.47</v>
      </c>
      <c r="E61">
        <v>5.5620000000000003</v>
      </c>
      <c r="F61">
        <v>2481080</v>
      </c>
      <c r="G61">
        <v>5.5620000000000003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-0.26693227091633143</v>
      </c>
      <c r="Q61">
        <f t="shared" ref="Q61" si="281">F61*P61</f>
        <v>-662280.31872509152</v>
      </c>
      <c r="R61">
        <f t="shared" ref="R61" si="282">R62+Q61</f>
        <v>134311826.66859928</v>
      </c>
      <c r="S61">
        <f t="shared" ref="S61" si="283">R61/100000</f>
        <v>1343.1182666859927</v>
      </c>
      <c r="T61">
        <f t="shared" ref="T61" si="284">S61/1000</f>
        <v>1.3431182666859927</v>
      </c>
    </row>
    <row r="62" spans="1:20" x14ac:dyDescent="0.25">
      <c r="A62" s="5">
        <v>44531</v>
      </c>
      <c r="B62">
        <v>5.649</v>
      </c>
      <c r="C62">
        <v>5.9640000000000004</v>
      </c>
      <c r="D62">
        <v>5.5839999999999996</v>
      </c>
      <c r="E62">
        <v>5.694</v>
      </c>
      <c r="F62">
        <v>4744126.3</v>
      </c>
      <c r="G62">
        <v>5.694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-0.4210526315789469</v>
      </c>
      <c r="Q62">
        <f t="shared" ref="Q62" si="286">F62*P62</f>
        <v>-1997526.8631578924</v>
      </c>
      <c r="R62">
        <f t="shared" ref="R62" si="287">R63+Q62</f>
        <v>134974106.98732436</v>
      </c>
      <c r="S62">
        <f t="shared" ref="S62" si="288">R62/100000</f>
        <v>1349.7410698732435</v>
      </c>
      <c r="T62">
        <f t="shared" ref="T62" si="289">S62/1000</f>
        <v>1.3497410698732435</v>
      </c>
    </row>
    <row r="63" spans="1:20" x14ac:dyDescent="0.25">
      <c r="A63" s="5">
        <v>44530</v>
      </c>
      <c r="B63">
        <v>5.5709999999999997</v>
      </c>
      <c r="C63">
        <v>6.226</v>
      </c>
      <c r="D63">
        <v>5.3330000000000002</v>
      </c>
      <c r="E63">
        <v>5.6449999999999996</v>
      </c>
      <c r="F63">
        <v>6537821.0999999996</v>
      </c>
      <c r="G63">
        <v>5.6449999999999996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-0.30123180291153534</v>
      </c>
      <c r="Q63">
        <f t="shared" ref="Q63" si="291">F63*P63</f>
        <v>-1969399.637066077</v>
      </c>
      <c r="R63">
        <f t="shared" ref="R63" si="292">R64+Q63</f>
        <v>136971633.85048226</v>
      </c>
      <c r="S63">
        <f t="shared" ref="S63" si="293">R63/100000</f>
        <v>1369.7163385048225</v>
      </c>
      <c r="T63">
        <f t="shared" ref="T63" si="294">S63/1000</f>
        <v>1.3697163385048226</v>
      </c>
    </row>
    <row r="64" spans="1:20" x14ac:dyDescent="0.25">
      <c r="A64" s="5">
        <v>44529</v>
      </c>
      <c r="B64">
        <v>5.1980000000000004</v>
      </c>
      <c r="C64">
        <v>5.6349999999999998</v>
      </c>
      <c r="D64">
        <v>5.1440000000000001</v>
      </c>
      <c r="E64">
        <v>5.5709999999999997</v>
      </c>
      <c r="F64">
        <v>5456080.2000000002</v>
      </c>
      <c r="G64">
        <v>5.5709999999999997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0.7393075356415475</v>
      </c>
      <c r="Q64">
        <f t="shared" ref="Q64" si="296">F64*P64</f>
        <v>4033721.2069246415</v>
      </c>
      <c r="R64">
        <f t="shared" ref="R64" si="297">R65+Q64</f>
        <v>138941033.48754832</v>
      </c>
      <c r="S64">
        <f t="shared" ref="S64" si="298">R64/100000</f>
        <v>1389.4103348754832</v>
      </c>
      <c r="T64">
        <f t="shared" ref="T64" si="299">S64/1000</f>
        <v>1.3894103348754832</v>
      </c>
    </row>
    <row r="65" spans="1:20" x14ac:dyDescent="0.25">
      <c r="A65" s="5">
        <v>44528</v>
      </c>
      <c r="B65">
        <v>5.1369999999999996</v>
      </c>
      <c r="C65">
        <v>5.2249999999999996</v>
      </c>
      <c r="D65">
        <v>4.7750000000000004</v>
      </c>
      <c r="E65">
        <v>5.2</v>
      </c>
      <c r="F65">
        <v>3331429.11</v>
      </c>
      <c r="G65">
        <v>5.2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0.88888888888889106</v>
      </c>
      <c r="Q65">
        <f t="shared" ref="Q65" si="301">F65*P65</f>
        <v>2961270.3200000073</v>
      </c>
      <c r="R65">
        <f t="shared" ref="R65" si="302">R66+Q65</f>
        <v>134907312.28062367</v>
      </c>
      <c r="S65">
        <f t="shared" ref="S65" si="303">R65/100000</f>
        <v>1349.0731228062368</v>
      </c>
      <c r="T65">
        <f t="shared" ref="T65" si="304">S65/1000</f>
        <v>1.3490731228062369</v>
      </c>
    </row>
    <row r="66" spans="1:20" x14ac:dyDescent="0.25">
      <c r="A66" s="5">
        <v>44527</v>
      </c>
      <c r="B66">
        <v>5.1379999999999999</v>
      </c>
      <c r="C66">
        <v>5.2859999999999996</v>
      </c>
      <c r="D66">
        <v>5.0549999999999997</v>
      </c>
      <c r="E66">
        <v>5.1379999999999999</v>
      </c>
      <c r="F66">
        <v>2305925.7999999998</v>
      </c>
      <c r="G66">
        <v>5.1379999999999999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-0.28138528138527941</v>
      </c>
      <c r="Q66">
        <f t="shared" ref="Q66" si="306">F66*P66</f>
        <v>-648853.58008657547</v>
      </c>
      <c r="R66">
        <f t="shared" ref="R66" si="307">R67+Q66</f>
        <v>131946041.96062368</v>
      </c>
      <c r="S66">
        <f t="shared" ref="S66" si="308">R66/100000</f>
        <v>1319.4604196062369</v>
      </c>
      <c r="T66">
        <f t="shared" ref="T66" si="309">S66/1000</f>
        <v>1.3194604196062369</v>
      </c>
    </row>
    <row r="67" spans="1:20" x14ac:dyDescent="0.25">
      <c r="A67" s="5">
        <v>44526</v>
      </c>
      <c r="B67">
        <v>5.8209999999999997</v>
      </c>
      <c r="C67">
        <v>5.8520000000000003</v>
      </c>
      <c r="D67">
        <v>5.0119999999999996</v>
      </c>
      <c r="E67">
        <v>5.1390000000000002</v>
      </c>
      <c r="F67">
        <v>4958877.93</v>
      </c>
      <c r="G67">
        <v>5.1390000000000002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-0.69761904761904625</v>
      </c>
      <c r="Q67">
        <f t="shared" ref="Q67" si="311">F67*P67</f>
        <v>-3459407.6987857074</v>
      </c>
      <c r="R67">
        <f t="shared" ref="R67" si="312">R68+Q67</f>
        <v>132594895.54071026</v>
      </c>
      <c r="S67">
        <f t="shared" ref="S67" si="313">R67/100000</f>
        <v>1325.9489554071026</v>
      </c>
      <c r="T67">
        <f t="shared" ref="T67" si="314">S67/1000</f>
        <v>1.3259489554071027</v>
      </c>
    </row>
    <row r="68" spans="1:20" x14ac:dyDescent="0.25">
      <c r="A68" s="5">
        <v>44525</v>
      </c>
      <c r="B68">
        <v>5.5410000000000004</v>
      </c>
      <c r="C68">
        <v>5.93</v>
      </c>
      <c r="D68">
        <v>5.4960000000000004</v>
      </c>
      <c r="E68">
        <v>5.8170000000000002</v>
      </c>
      <c r="F68">
        <v>2931327.5</v>
      </c>
      <c r="G68">
        <v>5.8170000000000002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0.47926267281106111</v>
      </c>
      <c r="Q68">
        <f t="shared" ref="Q68" si="316">F68*P68</f>
        <v>1404875.8525345658</v>
      </c>
      <c r="R68">
        <f t="shared" ref="R68" si="317">R69+Q68</f>
        <v>136054303.23949596</v>
      </c>
      <c r="S68">
        <f t="shared" ref="S68" si="318">R68/100000</f>
        <v>1360.5430323949597</v>
      </c>
      <c r="T68">
        <f t="shared" ref="T68" si="319">S68/1000</f>
        <v>1.3605430323949597</v>
      </c>
    </row>
    <row r="69" spans="1:20" x14ac:dyDescent="0.25">
      <c r="A69" s="5">
        <v>44524</v>
      </c>
      <c r="B69">
        <v>5.7610000000000001</v>
      </c>
      <c r="C69">
        <v>5.7859999999999996</v>
      </c>
      <c r="D69">
        <v>5.6280000000000001</v>
      </c>
      <c r="E69">
        <v>5.6859999999999999</v>
      </c>
      <c r="F69">
        <v>618920.5</v>
      </c>
      <c r="G69">
        <v>5.6859999999999999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-0.26582278481012628</v>
      </c>
      <c r="Q69">
        <f t="shared" ref="Q69" si="321">F69*P69</f>
        <v>-164523.17088607576</v>
      </c>
      <c r="R69">
        <f t="shared" ref="R69" si="322">R70+Q69</f>
        <v>134649427.3869614</v>
      </c>
      <c r="S69">
        <f t="shared" ref="S69" si="323">R69/100000</f>
        <v>1346.4942738696141</v>
      </c>
      <c r="T69">
        <f t="shared" ref="T69" si="324">S69/1000</f>
        <v>1.346494273869614</v>
      </c>
    </row>
    <row r="70" spans="1:20" x14ac:dyDescent="0.25">
      <c r="A70" s="5">
        <v>44523</v>
      </c>
      <c r="B70">
        <v>5.75</v>
      </c>
      <c r="C70">
        <v>5.8529999999999998</v>
      </c>
      <c r="D70">
        <v>5.58</v>
      </c>
      <c r="E70">
        <v>5.7610000000000001</v>
      </c>
      <c r="F70">
        <v>1927340.8</v>
      </c>
      <c r="G70">
        <v>5.7610000000000001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0.3260073260073279</v>
      </c>
      <c r="Q70">
        <f t="shared" ref="Q70" si="326">F70*P70</f>
        <v>628327.22051282413</v>
      </c>
      <c r="R70">
        <f t="shared" ref="R70" si="327">R71+Q70</f>
        <v>134813950.55784747</v>
      </c>
      <c r="S70">
        <f t="shared" ref="S70" si="328">R70/100000</f>
        <v>1348.1395055784747</v>
      </c>
      <c r="T70">
        <f t="shared" ref="T70" si="329">S70/1000</f>
        <v>1.3481395055784746</v>
      </c>
    </row>
    <row r="71" spans="1:20" x14ac:dyDescent="0.25">
      <c r="A71" s="5">
        <v>44522</v>
      </c>
      <c r="B71">
        <v>6.1660000000000004</v>
      </c>
      <c r="C71">
        <v>6.1909999999999998</v>
      </c>
      <c r="D71">
        <v>5.6769999999999996</v>
      </c>
      <c r="E71">
        <v>5.75</v>
      </c>
      <c r="F71">
        <v>2904903.3</v>
      </c>
      <c r="G71">
        <v>5.75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-0.71595330739299468</v>
      </c>
      <c r="Q71">
        <f t="shared" ref="Q71" si="331">F71*P71</f>
        <v>-2079775.1252918246</v>
      </c>
      <c r="R71">
        <f t="shared" ref="R71" si="332">R72+Q71</f>
        <v>134185623.33733463</v>
      </c>
      <c r="S71">
        <f t="shared" ref="S71" si="333">R71/100000</f>
        <v>1341.8562333733464</v>
      </c>
      <c r="T71">
        <f t="shared" ref="T71" si="334">S71/1000</f>
        <v>1.3418562333733464</v>
      </c>
    </row>
    <row r="72" spans="1:20" x14ac:dyDescent="0.25">
      <c r="A72" s="5">
        <v>44521</v>
      </c>
      <c r="B72">
        <v>6.0730000000000004</v>
      </c>
      <c r="C72">
        <v>6.2549999999999999</v>
      </c>
      <c r="D72">
        <v>5.8890000000000002</v>
      </c>
      <c r="E72">
        <v>6.1630000000000003</v>
      </c>
      <c r="F72">
        <v>2869725.5</v>
      </c>
      <c r="G72">
        <v>6.1630000000000003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0.49726775956284303</v>
      </c>
      <c r="Q72">
        <f t="shared" ref="Q72" si="336">F72*P72</f>
        <v>1427021.9699453595</v>
      </c>
      <c r="R72">
        <f t="shared" ref="R72" si="337">R73+Q72</f>
        <v>136265398.46262646</v>
      </c>
      <c r="S72">
        <f t="shared" ref="S72" si="338">R72/100000</f>
        <v>1362.6539846262647</v>
      </c>
      <c r="T72">
        <f t="shared" ref="T72" si="339">S72/1000</f>
        <v>1.3626539846262646</v>
      </c>
    </row>
    <row r="73" spans="1:20" x14ac:dyDescent="0.25">
      <c r="A73" s="5">
        <v>44520</v>
      </c>
      <c r="B73">
        <v>5.899</v>
      </c>
      <c r="C73">
        <v>6.19</v>
      </c>
      <c r="D73">
        <v>5.7409999999999997</v>
      </c>
      <c r="E73">
        <v>6.0739999999999998</v>
      </c>
      <c r="F73">
        <v>3297582.4</v>
      </c>
      <c r="G73">
        <v>6.0739999999999998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0.48329621380846166</v>
      </c>
      <c r="Q73">
        <f t="shared" ref="Q73" si="341">F73*P73</f>
        <v>1593709.08864142</v>
      </c>
      <c r="R73">
        <f t="shared" ref="R73" si="342">R74+Q73</f>
        <v>134838376.49268109</v>
      </c>
      <c r="S73">
        <f t="shared" ref="S73" si="343">R73/100000</f>
        <v>1348.383764926811</v>
      </c>
      <c r="T73">
        <f t="shared" ref="T73" si="344">S73/1000</f>
        <v>1.3483837649268109</v>
      </c>
    </row>
    <row r="74" spans="1:20" x14ac:dyDescent="0.25">
      <c r="A74" s="5">
        <v>44519</v>
      </c>
      <c r="B74">
        <v>5.64</v>
      </c>
      <c r="C74">
        <v>5.9459999999999997</v>
      </c>
      <c r="D74">
        <v>5.5039999999999996</v>
      </c>
      <c r="E74">
        <v>5.8959999999999999</v>
      </c>
      <c r="F74">
        <v>2699235.2</v>
      </c>
      <c r="G74">
        <v>5.8959999999999999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0.7737556561085982</v>
      </c>
      <c r="Q74">
        <f t="shared" ref="Q74" si="346">F74*P74</f>
        <v>2088548.5031674234</v>
      </c>
      <c r="R74">
        <f t="shared" ref="R74" si="347">R75+Q74</f>
        <v>133244667.40403968</v>
      </c>
      <c r="S74">
        <f t="shared" ref="S74" si="348">R74/100000</f>
        <v>1332.4466740403968</v>
      </c>
      <c r="T74">
        <f t="shared" ref="T74" si="349">S74/1000</f>
        <v>1.3324466740403969</v>
      </c>
    </row>
    <row r="75" spans="1:20" x14ac:dyDescent="0.25">
      <c r="A75" s="5">
        <v>44518</v>
      </c>
      <c r="B75">
        <v>6.3079999999999998</v>
      </c>
      <c r="C75">
        <v>6.3559999999999999</v>
      </c>
      <c r="D75">
        <v>5.49</v>
      </c>
      <c r="E75">
        <v>5.6340000000000003</v>
      </c>
      <c r="F75">
        <v>3792809.87</v>
      </c>
      <c r="G75">
        <v>5.6340000000000003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-0.66743648960738988</v>
      </c>
      <c r="Q75">
        <f t="shared" ref="Q75" si="351">F75*P75</f>
        <v>-2531459.705381061</v>
      </c>
      <c r="R75">
        <f t="shared" ref="R75" si="352">R76+Q75</f>
        <v>131156118.90087226</v>
      </c>
      <c r="S75">
        <f t="shared" ref="S75" si="353">R75/100000</f>
        <v>1311.5611890087225</v>
      </c>
      <c r="T75">
        <f t="shared" ref="T75" si="354">S75/1000</f>
        <v>1.3115611890087224</v>
      </c>
    </row>
    <row r="76" spans="1:20" x14ac:dyDescent="0.25">
      <c r="A76" s="5">
        <v>44517</v>
      </c>
      <c r="B76">
        <v>6.31</v>
      </c>
      <c r="C76">
        <v>6.3529999999999998</v>
      </c>
      <c r="D76">
        <v>6.0430000000000001</v>
      </c>
      <c r="E76">
        <v>6.306</v>
      </c>
      <c r="F76">
        <v>3254886.2</v>
      </c>
      <c r="G76">
        <v>6.306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0.69677419354838854</v>
      </c>
      <c r="Q76">
        <f t="shared" ref="Q76" si="356">F76*P76</f>
        <v>2267920.7070967793</v>
      </c>
      <c r="R76">
        <f t="shared" ref="R76" si="357">R77+Q76</f>
        <v>133687578.60625333</v>
      </c>
      <c r="S76">
        <f t="shared" ref="S76" si="358">R76/100000</f>
        <v>1336.8757860625333</v>
      </c>
      <c r="T76">
        <f t="shared" ref="T76" si="359">S76/1000</f>
        <v>1.3368757860625333</v>
      </c>
    </row>
    <row r="77" spans="1:20" x14ac:dyDescent="0.25">
      <c r="A77" s="5">
        <v>44516</v>
      </c>
      <c r="B77">
        <v>6.899</v>
      </c>
      <c r="C77">
        <v>6.9989999999999997</v>
      </c>
      <c r="D77">
        <v>6.1</v>
      </c>
      <c r="E77">
        <v>6.3090000000000002</v>
      </c>
      <c r="F77">
        <v>4730519.5999999996</v>
      </c>
      <c r="G77">
        <v>6.3090000000000002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-0.53503893214682863</v>
      </c>
      <c r="Q77">
        <f t="shared" ref="Q77" si="361">F77*P77</f>
        <v>-2531012.1552836429</v>
      </c>
      <c r="R77">
        <f t="shared" ref="R77" si="362">R78+Q77</f>
        <v>131419657.89915654</v>
      </c>
      <c r="S77">
        <f t="shared" ref="S77" si="363">R77/100000</f>
        <v>1314.1965789915655</v>
      </c>
      <c r="T77">
        <f t="shared" ref="T77" si="364">S77/1000</f>
        <v>1.3141965789915655</v>
      </c>
    </row>
    <row r="78" spans="1:20" x14ac:dyDescent="0.25">
      <c r="A78" s="5">
        <v>44515</v>
      </c>
      <c r="B78">
        <v>7.0289999999999999</v>
      </c>
      <c r="C78">
        <v>7.1539999999999999</v>
      </c>
      <c r="D78">
        <v>6.8650000000000002</v>
      </c>
      <c r="E78">
        <v>6.899</v>
      </c>
      <c r="F78">
        <v>2279756.4</v>
      </c>
      <c r="G78">
        <v>6.899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-0.76470588235294223</v>
      </c>
      <c r="Q78">
        <f t="shared" ref="Q78" si="366">F78*P78</f>
        <v>-1743343.129411767</v>
      </c>
      <c r="R78">
        <f t="shared" ref="R78" si="367">R79+Q78</f>
        <v>133950670.05444019</v>
      </c>
      <c r="S78">
        <f t="shared" ref="S78" si="368">R78/100000</f>
        <v>1339.5067005444018</v>
      </c>
      <c r="T78">
        <f t="shared" ref="T78" si="369">S78/1000</f>
        <v>1.3395067005444019</v>
      </c>
    </row>
    <row r="79" spans="1:20" x14ac:dyDescent="0.25">
      <c r="A79" s="5">
        <v>44514</v>
      </c>
      <c r="B79">
        <v>7.1109999999999998</v>
      </c>
      <c r="C79">
        <v>7.173</v>
      </c>
      <c r="D79">
        <v>6.8869999999999996</v>
      </c>
      <c r="E79">
        <v>7.03</v>
      </c>
      <c r="F79">
        <v>1922279.4</v>
      </c>
      <c r="G79">
        <v>7.03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3.1055189500004329E-15</v>
      </c>
      <c r="Q79">
        <f t="shared" ref="Q79" si="371">F79*P79</f>
        <v>5.969675103895462E-9</v>
      </c>
      <c r="R79">
        <f t="shared" ref="R79" si="372">R80+Q79</f>
        <v>135694013.18385196</v>
      </c>
      <c r="S79">
        <f t="shared" ref="S79" si="373">R79/100000</f>
        <v>1356.9401318385196</v>
      </c>
      <c r="T79">
        <f t="shared" ref="T79" si="374">S79/1000</f>
        <v>1.3569401318385197</v>
      </c>
    </row>
    <row r="80" spans="1:20" x14ac:dyDescent="0.25">
      <c r="A80" s="5">
        <v>44513</v>
      </c>
      <c r="B80">
        <v>6.95</v>
      </c>
      <c r="C80">
        <v>7.1849999999999996</v>
      </c>
      <c r="D80">
        <v>6.9139999999999997</v>
      </c>
      <c r="E80">
        <v>7.1109999999999998</v>
      </c>
      <c r="F80">
        <v>2451272.7000000002</v>
      </c>
      <c r="G80">
        <v>7.1109999999999998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0.45387453874538841</v>
      </c>
      <c r="Q80">
        <f t="shared" ref="Q80" si="376">F80*P80</f>
        <v>1112570.2660516629</v>
      </c>
      <c r="R80">
        <f t="shared" ref="R80" si="377">R81+Q80</f>
        <v>135694013.18385196</v>
      </c>
      <c r="S80">
        <f t="shared" ref="S80" si="378">R80/100000</f>
        <v>1356.9401318385196</v>
      </c>
      <c r="T80">
        <f t="shared" ref="T80" si="379">S80/1000</f>
        <v>1.3569401318385197</v>
      </c>
    </row>
    <row r="81" spans="1:20" x14ac:dyDescent="0.25">
      <c r="A81" s="5">
        <v>44512</v>
      </c>
      <c r="B81">
        <v>7.0650000000000004</v>
      </c>
      <c r="C81">
        <v>7.1920000000000002</v>
      </c>
      <c r="D81">
        <v>6.7229999999999999</v>
      </c>
      <c r="E81">
        <v>6.9530000000000003</v>
      </c>
      <c r="F81">
        <v>2555581.4</v>
      </c>
      <c r="G81">
        <v>6.9530000000000003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-1.9189765458420997E-2</v>
      </c>
      <c r="Q81">
        <f t="shared" ref="Q81" si="381">F81*P81</f>
        <v>-49041.007675903173</v>
      </c>
      <c r="R81">
        <f t="shared" ref="R81" si="382">R82+Q81</f>
        <v>134581442.91780031</v>
      </c>
      <c r="S81">
        <f t="shared" ref="S81" si="383">R81/100000</f>
        <v>1345.8144291780031</v>
      </c>
      <c r="T81">
        <f t="shared" ref="T81" si="384">S81/1000</f>
        <v>1.3458144291780032</v>
      </c>
    </row>
    <row r="82" spans="1:20" x14ac:dyDescent="0.25">
      <c r="A82" s="5">
        <v>44511</v>
      </c>
      <c r="B82">
        <v>6.9809999999999999</v>
      </c>
      <c r="C82">
        <v>7.2220000000000004</v>
      </c>
      <c r="D82">
        <v>6.8869999999999996</v>
      </c>
      <c r="E82">
        <v>7.0659999999999998</v>
      </c>
      <c r="F82">
        <v>2857926.5</v>
      </c>
      <c r="G82">
        <v>7.0659999999999998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6.8656716417909339E-2</v>
      </c>
      <c r="Q82">
        <f t="shared" ref="Q82" si="386">F82*P82</f>
        <v>196215.84925372817</v>
      </c>
      <c r="R82">
        <f t="shared" ref="R82" si="387">R83+Q82</f>
        <v>134630483.92547622</v>
      </c>
      <c r="S82">
        <f t="shared" ref="S82" si="388">R82/100000</f>
        <v>1346.3048392547623</v>
      </c>
      <c r="T82">
        <f t="shared" ref="T82" si="389">S82/1000</f>
        <v>1.3463048392547623</v>
      </c>
    </row>
    <row r="83" spans="1:20" x14ac:dyDescent="0.25">
      <c r="A83" s="5">
        <v>44510</v>
      </c>
      <c r="B83">
        <v>7.5039999999999996</v>
      </c>
      <c r="C83">
        <v>7.6159999999999997</v>
      </c>
      <c r="D83">
        <v>6.6769999999999996</v>
      </c>
      <c r="E83">
        <v>6.9809999999999999</v>
      </c>
      <c r="F83">
        <v>5641399.7999999998</v>
      </c>
      <c r="G83">
        <v>6.9809999999999999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-0.35250266240681521</v>
      </c>
      <c r="Q83">
        <f t="shared" ref="Q83" si="391">F83*P83</f>
        <v>-1988608.4492012749</v>
      </c>
      <c r="R83">
        <f t="shared" ref="R83" si="392">R84+Q83</f>
        <v>134434268.07622251</v>
      </c>
      <c r="S83">
        <f t="shared" ref="S83" si="393">R83/100000</f>
        <v>1344.3426807622252</v>
      </c>
      <c r="T83">
        <f t="shared" ref="T83" si="394">S83/1000</f>
        <v>1.3443426807622252</v>
      </c>
    </row>
    <row r="84" spans="1:20" x14ac:dyDescent="0.25">
      <c r="A84" s="5">
        <v>44509</v>
      </c>
      <c r="B84">
        <v>7.8390000000000004</v>
      </c>
      <c r="C84">
        <v>7.97</v>
      </c>
      <c r="D84">
        <v>7.4370000000000003</v>
      </c>
      <c r="E84">
        <v>7.5039999999999996</v>
      </c>
      <c r="F84">
        <v>3621830.8</v>
      </c>
      <c r="G84">
        <v>7.5039999999999996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-0.74859287054409251</v>
      </c>
      <c r="Q84">
        <f t="shared" ref="Q84" si="396">F84*P84</f>
        <v>-2711276.7151970067</v>
      </c>
      <c r="R84">
        <f t="shared" ref="R84" si="397">R85+Q84</f>
        <v>136422876.52542379</v>
      </c>
      <c r="S84">
        <f t="shared" ref="S84" si="398">R84/100000</f>
        <v>1364.2287652542379</v>
      </c>
      <c r="T84">
        <f t="shared" ref="T84" si="399">S84/1000</f>
        <v>1.364228765254238</v>
      </c>
    </row>
    <row r="85" spans="1:20" x14ac:dyDescent="0.25">
      <c r="A85" s="5">
        <v>44508</v>
      </c>
      <c r="B85">
        <v>7.72</v>
      </c>
      <c r="C85">
        <v>7.8769999999999998</v>
      </c>
      <c r="D85">
        <v>7.5220000000000002</v>
      </c>
      <c r="E85">
        <v>7.8390000000000004</v>
      </c>
      <c r="F85">
        <v>4087291.2</v>
      </c>
      <c r="G85">
        <v>7.8390000000000004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0.78591549295774976</v>
      </c>
      <c r="Q85">
        <f t="shared" ref="Q85" si="401">F85*P85</f>
        <v>3212265.4783098726</v>
      </c>
      <c r="R85">
        <f t="shared" ref="R85" si="402">R86+Q85</f>
        <v>139134153.24062079</v>
      </c>
      <c r="S85">
        <f t="shared" ref="S85" si="403">R85/100000</f>
        <v>1391.341532406208</v>
      </c>
      <c r="T85">
        <f t="shared" ref="T85" si="404">S85/1000</f>
        <v>1.3913415324062079</v>
      </c>
    </row>
    <row r="86" spans="1:20" x14ac:dyDescent="0.25">
      <c r="A86" s="5">
        <v>44507</v>
      </c>
      <c r="B86">
        <v>7.8330000000000002</v>
      </c>
      <c r="C86">
        <v>7.931</v>
      </c>
      <c r="D86">
        <v>7.6379999999999999</v>
      </c>
      <c r="E86">
        <v>7.7190000000000003</v>
      </c>
      <c r="F86">
        <v>3094414.2</v>
      </c>
      <c r="G86">
        <v>7.7190000000000003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-0.44709897610921251</v>
      </c>
      <c r="Q86">
        <f t="shared" ref="Q86" si="406">F86*P86</f>
        <v>-1383509.420477808</v>
      </c>
      <c r="R86">
        <f t="shared" ref="R86" si="407">R87+Q86</f>
        <v>135921887.76231092</v>
      </c>
      <c r="S86">
        <f t="shared" ref="S86" si="408">R86/100000</f>
        <v>1359.2188776231092</v>
      </c>
      <c r="T86">
        <f t="shared" ref="T86" si="409">S86/1000</f>
        <v>1.3592188776231091</v>
      </c>
    </row>
    <row r="87" spans="1:20" x14ac:dyDescent="0.25">
      <c r="A87" s="5">
        <v>44506</v>
      </c>
      <c r="B87">
        <v>7.6189999999999998</v>
      </c>
      <c r="C87">
        <v>7.89</v>
      </c>
      <c r="D87">
        <v>7.3529999999999998</v>
      </c>
      <c r="E87">
        <v>7.8319999999999999</v>
      </c>
      <c r="F87">
        <v>4064416</v>
      </c>
      <c r="G87">
        <v>7.8319999999999999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0.78398510242085717</v>
      </c>
      <c r="Q87">
        <f t="shared" ref="Q87" si="411">F87*P87</f>
        <v>3186441.5940409708</v>
      </c>
      <c r="R87">
        <f t="shared" ref="R87" si="412">R88+Q87</f>
        <v>137305397.18278873</v>
      </c>
      <c r="S87">
        <f t="shared" ref="S87" si="413">R87/100000</f>
        <v>1373.0539718278874</v>
      </c>
      <c r="T87">
        <f t="shared" ref="T87" si="414">S87/1000</f>
        <v>1.3730539718278874</v>
      </c>
    </row>
    <row r="88" spans="1:20" x14ac:dyDescent="0.25">
      <c r="A88" s="5">
        <v>44505</v>
      </c>
      <c r="B88">
        <v>8.1159999999999997</v>
      </c>
      <c r="C88">
        <v>8.1219999999999999</v>
      </c>
      <c r="D88">
        <v>7.5010000000000003</v>
      </c>
      <c r="E88">
        <v>7.6219999999999999</v>
      </c>
      <c r="F88">
        <v>4411302.5999999996</v>
      </c>
      <c r="G88">
        <v>7.6219999999999999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-0.61030595813204624</v>
      </c>
      <c r="Q88">
        <f t="shared" ref="Q88" si="416">F88*P88</f>
        <v>-2692244.2599033867</v>
      </c>
      <c r="R88">
        <f t="shared" ref="R88" si="417">R89+Q88</f>
        <v>134118955.58874775</v>
      </c>
      <c r="S88">
        <f t="shared" ref="S88" si="418">R88/100000</f>
        <v>1341.1895558874776</v>
      </c>
      <c r="T88">
        <f t="shared" ref="T88" si="419">S88/1000</f>
        <v>1.3411895558874776</v>
      </c>
    </row>
    <row r="89" spans="1:20" x14ac:dyDescent="0.25">
      <c r="A89" s="5">
        <v>44504</v>
      </c>
      <c r="B89">
        <v>8.7050000000000001</v>
      </c>
      <c r="C89">
        <v>8.92</v>
      </c>
      <c r="D89">
        <v>7.7629999999999999</v>
      </c>
      <c r="E89">
        <v>8.1150000000000002</v>
      </c>
      <c r="F89">
        <v>7144297.5</v>
      </c>
      <c r="G89">
        <v>8.1150000000000002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-0.39152981849611013</v>
      </c>
      <c r="Q89">
        <f t="shared" ref="Q89" si="421">F89*P89</f>
        <v>-2797205.5034572133</v>
      </c>
      <c r="R89">
        <f t="shared" ref="R89" si="422">R90+Q89</f>
        <v>136811199.84865114</v>
      </c>
      <c r="S89">
        <f t="shared" ref="S89" si="423">R89/100000</f>
        <v>1368.1119984865113</v>
      </c>
      <c r="T89">
        <f t="shared" ref="T89" si="424">S89/1000</f>
        <v>1.3681119984865113</v>
      </c>
    </row>
    <row r="90" spans="1:20" x14ac:dyDescent="0.25">
      <c r="A90" s="5">
        <v>44503</v>
      </c>
      <c r="B90">
        <v>7.7480000000000002</v>
      </c>
      <c r="C90">
        <v>8.9</v>
      </c>
      <c r="D90">
        <v>7.5709999999999997</v>
      </c>
      <c r="E90">
        <v>8.7050000000000001</v>
      </c>
      <c r="F90">
        <v>14020241.300000001</v>
      </c>
      <c r="G90">
        <v>8.7050000000000001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0.70654627539503356</v>
      </c>
      <c r="Q90">
        <f t="shared" ref="Q90" si="426">F90*P90</f>
        <v>9905949.2706546243</v>
      </c>
      <c r="R90">
        <f t="shared" ref="R90" si="427">R91+Q90</f>
        <v>139608405.35210836</v>
      </c>
      <c r="S90">
        <f t="shared" ref="S90" si="428">R90/100000</f>
        <v>1396.0840535210837</v>
      </c>
      <c r="T90">
        <f t="shared" ref="T90" si="429">S90/1000</f>
        <v>1.3960840535210837</v>
      </c>
    </row>
    <row r="91" spans="1:20" x14ac:dyDescent="0.25">
      <c r="A91" s="5">
        <v>44502</v>
      </c>
      <c r="B91">
        <v>7.5229999999999997</v>
      </c>
      <c r="C91">
        <v>7.76</v>
      </c>
      <c r="D91">
        <v>7.3339999999999996</v>
      </c>
      <c r="E91">
        <v>7.7489999999999997</v>
      </c>
      <c r="F91">
        <v>4753724.7</v>
      </c>
      <c r="G91">
        <v>7.7489999999999997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0.94835680751173657</v>
      </c>
      <c r="Q91">
        <f t="shared" ref="Q91" si="431">F91*P91</f>
        <v>4508227.1802816875</v>
      </c>
      <c r="R91">
        <f t="shared" ref="R91" si="432">R92+Q91</f>
        <v>129702456.08145374</v>
      </c>
      <c r="S91">
        <f t="shared" ref="S91" si="433">R91/100000</f>
        <v>1297.0245608145374</v>
      </c>
      <c r="T91">
        <f t="shared" ref="T91" si="434">S91/1000</f>
        <v>1.2970245608145374</v>
      </c>
    </row>
    <row r="92" spans="1:20" x14ac:dyDescent="0.25">
      <c r="A92" s="5">
        <v>44501</v>
      </c>
      <c r="B92">
        <v>7.2480000000000002</v>
      </c>
      <c r="C92">
        <v>7.8019999999999996</v>
      </c>
      <c r="D92">
        <v>6.9349999999999996</v>
      </c>
      <c r="E92">
        <v>7.5229999999999997</v>
      </c>
      <c r="F92">
        <v>8135413.5</v>
      </c>
      <c r="G92">
        <v>7.5229999999999997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0.35640138408304517</v>
      </c>
      <c r="Q92">
        <f t="shared" ref="Q92" si="436">F92*P92</f>
        <v>2899472.6314878906</v>
      </c>
      <c r="R92">
        <f t="shared" ref="R92" si="437">R93+Q92</f>
        <v>125194228.90117206</v>
      </c>
      <c r="S92">
        <f t="shared" ref="S92" si="438">R92/100000</f>
        <v>1251.9422890117205</v>
      </c>
      <c r="T92">
        <f t="shared" ref="T92" si="439">S92/1000</f>
        <v>1.2519422890117204</v>
      </c>
    </row>
    <row r="93" spans="1:20" x14ac:dyDescent="0.25">
      <c r="A93" s="5">
        <v>44500</v>
      </c>
      <c r="B93">
        <v>7.2869999999999999</v>
      </c>
      <c r="C93">
        <v>7.3879999999999999</v>
      </c>
      <c r="D93">
        <v>6.9</v>
      </c>
      <c r="E93">
        <v>7.2450000000000001</v>
      </c>
      <c r="F93">
        <v>3632428.1</v>
      </c>
      <c r="G93">
        <v>7.2450000000000001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0.41393442622950849</v>
      </c>
      <c r="Q93">
        <f t="shared" ref="Q93" si="441">F93*P93</f>
        <v>1503587.0413934437</v>
      </c>
      <c r="R93">
        <f t="shared" ref="R93" si="442">R94+Q93</f>
        <v>122294756.26968417</v>
      </c>
      <c r="S93">
        <f t="shared" ref="S93" si="443">R93/100000</f>
        <v>1222.9475626968417</v>
      </c>
      <c r="T93">
        <f t="shared" ref="T93" si="444">S93/1000</f>
        <v>1.2229475626968418</v>
      </c>
    </row>
    <row r="94" spans="1:20" x14ac:dyDescent="0.25">
      <c r="A94" s="5">
        <v>44499</v>
      </c>
      <c r="B94">
        <v>7.3840000000000003</v>
      </c>
      <c r="C94">
        <v>7.6749999999999998</v>
      </c>
      <c r="D94">
        <v>7.0570000000000004</v>
      </c>
      <c r="E94">
        <v>7.2869999999999999</v>
      </c>
      <c r="F94">
        <v>4721900.2</v>
      </c>
      <c r="G94">
        <v>7.2869999999999999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-0.25566343042071277</v>
      </c>
      <c r="Q94">
        <f t="shared" ref="Q94" si="446">F94*P94</f>
        <v>-1207217.2032362497</v>
      </c>
      <c r="R94">
        <f t="shared" ref="R94" si="447">R95+Q94</f>
        <v>120791169.22829072</v>
      </c>
      <c r="S94">
        <f t="shared" ref="S94" si="448">R94/100000</f>
        <v>1207.9116922829073</v>
      </c>
      <c r="T94">
        <f t="shared" ref="T94" si="449">S94/1000</f>
        <v>1.2079116922829074</v>
      </c>
    </row>
    <row r="95" spans="1:20" x14ac:dyDescent="0.25">
      <c r="A95" s="5">
        <v>44498</v>
      </c>
      <c r="B95">
        <v>6.95</v>
      </c>
      <c r="C95">
        <v>7.4009999999999998</v>
      </c>
      <c r="D95">
        <v>6.9119999999999999</v>
      </c>
      <c r="E95">
        <v>7.38</v>
      </c>
      <c r="F95">
        <v>3107590.5</v>
      </c>
      <c r="G95">
        <v>7.38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0.91411042944785315</v>
      </c>
      <c r="Q95">
        <f t="shared" ref="Q95" si="451">F95*P95</f>
        <v>2840680.8865030687</v>
      </c>
      <c r="R95">
        <f t="shared" ref="R95" si="452">R96+Q95</f>
        <v>121998386.43152697</v>
      </c>
      <c r="S95">
        <f t="shared" ref="S95" si="453">R95/100000</f>
        <v>1219.9838643152698</v>
      </c>
      <c r="T95">
        <f t="shared" ref="T95" si="454">S95/1000</f>
        <v>1.2199838643152698</v>
      </c>
    </row>
    <row r="96" spans="1:20" x14ac:dyDescent="0.25">
      <c r="A96" s="5">
        <v>44497</v>
      </c>
      <c r="B96">
        <v>6.6349999999999998</v>
      </c>
      <c r="C96">
        <v>7.1379999999999999</v>
      </c>
      <c r="D96">
        <v>6.5049999999999999</v>
      </c>
      <c r="E96">
        <v>6.9489999999999998</v>
      </c>
      <c r="F96">
        <v>4649480</v>
      </c>
      <c r="G96">
        <v>6.9489999999999998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0.40284360189573443</v>
      </c>
      <c r="Q96">
        <f t="shared" ref="Q96" si="456">F96*P96</f>
        <v>1873013.2701421792</v>
      </c>
      <c r="R96">
        <f t="shared" ref="R96" si="457">R97+Q96</f>
        <v>119157705.5450239</v>
      </c>
      <c r="S96">
        <f t="shared" ref="S96" si="458">R96/100000</f>
        <v>1191.577055450239</v>
      </c>
      <c r="T96">
        <f t="shared" ref="T96" si="459">S96/1000</f>
        <v>1.191577055450239</v>
      </c>
    </row>
    <row r="97" spans="1:20" x14ac:dyDescent="0.25">
      <c r="A97" s="5">
        <v>44496</v>
      </c>
      <c r="B97">
        <v>7.6310000000000002</v>
      </c>
      <c r="C97">
        <v>7.7039999999999997</v>
      </c>
      <c r="D97">
        <v>6.4320000000000004</v>
      </c>
      <c r="E97">
        <v>6.6289999999999996</v>
      </c>
      <c r="F97">
        <v>7388394.5</v>
      </c>
      <c r="G97">
        <v>6.6289999999999996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-0.69025157232704515</v>
      </c>
      <c r="Q97">
        <f t="shared" ref="Q97" si="461">F97*P97</f>
        <v>-5099850.9205974927</v>
      </c>
      <c r="R97">
        <f t="shared" ref="R97" si="462">R98+Q97</f>
        <v>117284692.27488172</v>
      </c>
      <c r="S97">
        <f t="shared" ref="S97" si="463">R97/100000</f>
        <v>1172.8469227488172</v>
      </c>
      <c r="T97">
        <f t="shared" ref="T97" si="464">S97/1000</f>
        <v>1.1728469227488172</v>
      </c>
    </row>
    <row r="98" spans="1:20" x14ac:dyDescent="0.25">
      <c r="A98" s="5">
        <v>44495</v>
      </c>
      <c r="B98">
        <v>7.7320000000000002</v>
      </c>
      <c r="C98">
        <v>8.01</v>
      </c>
      <c r="D98">
        <v>7.5010000000000003</v>
      </c>
      <c r="E98">
        <v>7.6280000000000001</v>
      </c>
      <c r="F98">
        <v>4386042.5</v>
      </c>
      <c r="G98">
        <v>7.6280000000000001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-0.50098231827112016</v>
      </c>
      <c r="Q98">
        <f t="shared" ref="Q98" si="466">F98*P98</f>
        <v>-2197329.7396856598</v>
      </c>
      <c r="R98">
        <f t="shared" ref="R98" si="467">R99+Q98</f>
        <v>122384543.19547921</v>
      </c>
      <c r="S98">
        <f t="shared" ref="S98" si="468">R98/100000</f>
        <v>1223.845431954792</v>
      </c>
      <c r="T98">
        <f t="shared" ref="T98" si="469">S98/1000</f>
        <v>1.223845431954792</v>
      </c>
    </row>
    <row r="99" spans="1:20" x14ac:dyDescent="0.25">
      <c r="A99" s="5">
        <v>44494</v>
      </c>
      <c r="B99">
        <v>7.4720000000000004</v>
      </c>
      <c r="C99">
        <v>7.9089999999999998</v>
      </c>
      <c r="D99">
        <v>7.4089999999999998</v>
      </c>
      <c r="E99">
        <v>7.7329999999999997</v>
      </c>
      <c r="F99">
        <v>4798376.2</v>
      </c>
      <c r="G99">
        <v>7.7329999999999997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0.29599999999999937</v>
      </c>
      <c r="Q99">
        <f t="shared" ref="Q99" si="471">F99*P99</f>
        <v>1420319.3551999971</v>
      </c>
      <c r="R99">
        <f t="shared" ref="R99" si="472">R100+Q99</f>
        <v>124581872.93516487</v>
      </c>
      <c r="S99">
        <f t="shared" ref="S99" si="473">R99/100000</f>
        <v>1245.8187293516487</v>
      </c>
      <c r="T99">
        <f t="shared" ref="T99" si="474">S99/1000</f>
        <v>1.2458187293516487</v>
      </c>
    </row>
    <row r="100" spans="1:20" x14ac:dyDescent="0.25">
      <c r="A100" s="5">
        <v>44493</v>
      </c>
      <c r="B100">
        <v>7.8019999999999996</v>
      </c>
      <c r="C100">
        <v>7.8220000000000001</v>
      </c>
      <c r="D100">
        <v>7.2249999999999996</v>
      </c>
      <c r="E100">
        <v>7.4749999999999996</v>
      </c>
      <c r="F100">
        <v>4788341.5</v>
      </c>
      <c r="G100">
        <v>7.4749999999999996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-0.16247906197655002</v>
      </c>
      <c r="Q100">
        <f t="shared" ref="Q100" si="476">F100*P100</f>
        <v>-778005.23534338642</v>
      </c>
      <c r="R100">
        <f t="shared" ref="R100" si="477">R101+Q100</f>
        <v>123161553.57996488</v>
      </c>
      <c r="S100">
        <f t="shared" ref="S100" si="478">R100/100000</f>
        <v>1231.6155357996488</v>
      </c>
      <c r="T100">
        <f t="shared" ref="T100" si="479">S100/1000</f>
        <v>1.2316155357996488</v>
      </c>
    </row>
    <row r="101" spans="1:20" x14ac:dyDescent="0.25">
      <c r="A101" s="5">
        <v>44492</v>
      </c>
      <c r="B101">
        <v>7.9509999999999996</v>
      </c>
      <c r="C101">
        <v>8.1180000000000003</v>
      </c>
      <c r="D101">
        <v>7.6539999999999999</v>
      </c>
      <c r="E101">
        <v>7.8029999999999999</v>
      </c>
      <c r="F101">
        <v>4946287</v>
      </c>
      <c r="G101">
        <v>7.8029999999999999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-0.35775862068965564</v>
      </c>
      <c r="Q101">
        <f t="shared" ref="Q101" si="481">F101*P101</f>
        <v>-1769576.8146551747</v>
      </c>
      <c r="R101">
        <f t="shared" ref="R101" si="482">R102+Q101</f>
        <v>123939558.81530826</v>
      </c>
      <c r="S101">
        <f t="shared" ref="S101" si="483">R101/100000</f>
        <v>1239.3955881530826</v>
      </c>
      <c r="T101">
        <f t="shared" ref="T101" si="484">S101/1000</f>
        <v>1.2393955881530827</v>
      </c>
    </row>
    <row r="102" spans="1:20" x14ac:dyDescent="0.25">
      <c r="A102" s="5">
        <v>44491</v>
      </c>
      <c r="B102">
        <v>7.3769999999999998</v>
      </c>
      <c r="C102">
        <v>8.1940000000000008</v>
      </c>
      <c r="D102">
        <v>7.34</v>
      </c>
      <c r="E102">
        <v>7.9509999999999996</v>
      </c>
      <c r="F102">
        <v>12405663.6</v>
      </c>
      <c r="G102">
        <v>7.9509999999999996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0.43091334894613365</v>
      </c>
      <c r="Q102">
        <f t="shared" ref="Q102" si="486">F102*P102</f>
        <v>5345766.0477751484</v>
      </c>
      <c r="R102">
        <f t="shared" ref="R102" si="487">R103+Q102</f>
        <v>125709135.62996343</v>
      </c>
      <c r="S102">
        <f t="shared" ref="S102" si="488">R102/100000</f>
        <v>1257.0913562996343</v>
      </c>
      <c r="T102">
        <f t="shared" ref="T102" si="489">S102/1000</f>
        <v>1.2570913562996342</v>
      </c>
    </row>
    <row r="103" spans="1:20" x14ac:dyDescent="0.25">
      <c r="A103" s="5">
        <v>44490</v>
      </c>
      <c r="B103">
        <v>7.6120000000000001</v>
      </c>
      <c r="C103">
        <v>7.8609999999999998</v>
      </c>
      <c r="D103">
        <v>7.2649999999999997</v>
      </c>
      <c r="E103">
        <v>7.3760000000000003</v>
      </c>
      <c r="F103">
        <v>7464097.0999999996</v>
      </c>
      <c r="G103">
        <v>7.3760000000000003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-0.62751677852348775</v>
      </c>
      <c r="Q103">
        <f t="shared" ref="Q103" si="491">F103*P103</f>
        <v>-4683846.1667785067</v>
      </c>
      <c r="R103">
        <f t="shared" ref="R103" si="492">R104+Q103</f>
        <v>120363369.58218828</v>
      </c>
      <c r="S103">
        <f t="shared" ref="S103" si="493">R103/100000</f>
        <v>1203.6336958218828</v>
      </c>
      <c r="T103">
        <f t="shared" ref="T103" si="494">S103/1000</f>
        <v>1.2036336958218827</v>
      </c>
    </row>
    <row r="104" spans="1:20" x14ac:dyDescent="0.25">
      <c r="A104" s="5">
        <v>44489</v>
      </c>
      <c r="B104">
        <v>7.1050000000000004</v>
      </c>
      <c r="C104">
        <v>7.6319999999999997</v>
      </c>
      <c r="D104">
        <v>7.0030000000000001</v>
      </c>
      <c r="E104">
        <v>7.6109999999999998</v>
      </c>
      <c r="F104">
        <v>5681557.0999999996</v>
      </c>
      <c r="G104">
        <v>7.6109999999999998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0.93322734499205107</v>
      </c>
      <c r="Q104">
        <f t="shared" ref="Q104" si="496">F104*P104</f>
        <v>5302184.4478537366</v>
      </c>
      <c r="R104">
        <f t="shared" ref="R104" si="497">R105+Q104</f>
        <v>125047215.74896678</v>
      </c>
      <c r="S104">
        <f t="shared" ref="S104" si="498">R104/100000</f>
        <v>1250.4721574896678</v>
      </c>
      <c r="T104">
        <f t="shared" ref="T104" si="499">S104/1000</f>
        <v>1.2504721574896678</v>
      </c>
    </row>
    <row r="105" spans="1:20" x14ac:dyDescent="0.25">
      <c r="A105" s="5">
        <v>44488</v>
      </c>
      <c r="B105">
        <v>7.0110000000000001</v>
      </c>
      <c r="C105">
        <v>7.1680000000000001</v>
      </c>
      <c r="D105">
        <v>6.9420000000000002</v>
      </c>
      <c r="E105">
        <v>7.1070000000000002</v>
      </c>
      <c r="F105">
        <v>2328847.2999999998</v>
      </c>
      <c r="G105">
        <v>7.1070000000000002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0.46017699115044292</v>
      </c>
      <c r="Q105">
        <f t="shared" ref="Q105" si="501">F105*P105</f>
        <v>1071681.9433628328</v>
      </c>
      <c r="R105">
        <f t="shared" ref="R105" si="502">R106+Q105</f>
        <v>119745031.30111304</v>
      </c>
      <c r="S105">
        <f t="shared" ref="S105" si="503">R105/100000</f>
        <v>1197.4503130111304</v>
      </c>
      <c r="T105">
        <f t="shared" ref="T105" si="504">S105/1000</f>
        <v>1.1974503130111305</v>
      </c>
    </row>
    <row r="106" spans="1:20" x14ac:dyDescent="0.25">
      <c r="A106" s="5">
        <v>44487</v>
      </c>
      <c r="B106">
        <v>7.1740000000000004</v>
      </c>
      <c r="C106">
        <v>7.2779999999999996</v>
      </c>
      <c r="D106">
        <v>6.915</v>
      </c>
      <c r="E106">
        <v>7.0110000000000001</v>
      </c>
      <c r="F106">
        <v>2729229.9</v>
      </c>
      <c r="G106">
        <v>7.0110000000000001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-0.47107438016528813</v>
      </c>
      <c r="Q106">
        <f t="shared" ref="Q106" si="506">F106*P106</f>
        <v>-1285670.2834710712</v>
      </c>
      <c r="R106">
        <f t="shared" ref="R106" si="507">R107+Q106</f>
        <v>118673349.35775021</v>
      </c>
      <c r="S106">
        <f t="shared" ref="S106" si="508">R106/100000</f>
        <v>1186.733493577502</v>
      </c>
      <c r="T106">
        <f t="shared" ref="T106" si="509">S106/1000</f>
        <v>1.186733493577502</v>
      </c>
    </row>
    <row r="107" spans="1:20" x14ac:dyDescent="0.25">
      <c r="A107" s="5">
        <v>44486</v>
      </c>
      <c r="B107">
        <v>7.306</v>
      </c>
      <c r="C107">
        <v>7.4169999999999998</v>
      </c>
      <c r="D107">
        <v>6.891</v>
      </c>
      <c r="E107">
        <v>7.1749999999999998</v>
      </c>
      <c r="F107">
        <v>3196396</v>
      </c>
      <c r="G107">
        <v>7.1749999999999998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7.9847908745246832E-2</v>
      </c>
      <c r="Q107">
        <f t="shared" ref="Q107" si="511">F107*P107</f>
        <v>255225.53612167199</v>
      </c>
      <c r="R107">
        <f t="shared" ref="R107" si="512">R108+Q107</f>
        <v>119959019.64122128</v>
      </c>
      <c r="S107">
        <f t="shared" ref="S107" si="513">R107/100000</f>
        <v>1199.5901964122129</v>
      </c>
      <c r="T107">
        <f t="shared" ref="T107" si="514">S107/1000</f>
        <v>1.1995901964122129</v>
      </c>
    </row>
    <row r="108" spans="1:20" x14ac:dyDescent="0.25">
      <c r="A108" s="5">
        <v>44485</v>
      </c>
      <c r="B108">
        <v>7.4859999999999998</v>
      </c>
      <c r="C108">
        <v>7.5940000000000003</v>
      </c>
      <c r="D108">
        <v>7.2779999999999996</v>
      </c>
      <c r="E108">
        <v>7.3070000000000004</v>
      </c>
      <c r="F108">
        <v>3064444.7</v>
      </c>
      <c r="G108">
        <v>7.3070000000000004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-0.816455696202527</v>
      </c>
      <c r="Q108">
        <f t="shared" ref="Q108" si="516">F108*P108</f>
        <v>-2501983.3310126443</v>
      </c>
      <c r="R108">
        <f t="shared" ref="R108" si="517">R109+Q108</f>
        <v>119703794.10509962</v>
      </c>
      <c r="S108">
        <f t="shared" ref="S108" si="518">R108/100000</f>
        <v>1197.0379410509961</v>
      </c>
      <c r="T108">
        <f t="shared" ref="T108" si="519">S108/1000</f>
        <v>1.1970379410509961</v>
      </c>
    </row>
    <row r="109" spans="1:20" x14ac:dyDescent="0.25">
      <c r="A109" s="5">
        <v>44484</v>
      </c>
      <c r="B109">
        <v>7.64</v>
      </c>
      <c r="C109">
        <v>8.173</v>
      </c>
      <c r="D109">
        <v>7.3230000000000004</v>
      </c>
      <c r="E109">
        <v>7.4850000000000003</v>
      </c>
      <c r="F109">
        <v>5892002</v>
      </c>
      <c r="G109">
        <v>7.4850000000000003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-0.61882352941176477</v>
      </c>
      <c r="Q109">
        <f t="shared" ref="Q109" si="521">F109*P109</f>
        <v>-3646109.472941177</v>
      </c>
      <c r="R109">
        <f t="shared" ref="R109" si="522">R110+Q109</f>
        <v>122205777.43611227</v>
      </c>
      <c r="S109">
        <f t="shared" ref="S109" si="523">R109/100000</f>
        <v>1222.0577743611227</v>
      </c>
      <c r="T109">
        <f t="shared" ref="T109" si="524">S109/1000</f>
        <v>1.2220577743611227</v>
      </c>
    </row>
    <row r="110" spans="1:20" x14ac:dyDescent="0.25">
      <c r="A110" s="5">
        <v>44483</v>
      </c>
      <c r="B110">
        <v>7.5629999999999997</v>
      </c>
      <c r="C110">
        <v>7.8780000000000001</v>
      </c>
      <c r="D110">
        <v>7.5039999999999996</v>
      </c>
      <c r="E110">
        <v>7.633</v>
      </c>
      <c r="F110">
        <v>2747689.4</v>
      </c>
      <c r="G110">
        <v>7.633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-0.31016042780748526</v>
      </c>
      <c r="Q110">
        <f t="shared" ref="Q110" si="526">F110*P110</f>
        <v>-852224.51978609245</v>
      </c>
      <c r="R110">
        <f t="shared" ref="R110" si="527">R111+Q110</f>
        <v>125851886.90905344</v>
      </c>
      <c r="S110">
        <f t="shared" ref="S110" si="528">R110/100000</f>
        <v>1258.5188690905345</v>
      </c>
      <c r="T110">
        <f t="shared" ref="T110" si="529">S110/1000</f>
        <v>1.2585188690905345</v>
      </c>
    </row>
    <row r="111" spans="1:20" x14ac:dyDescent="0.25">
      <c r="A111" s="5">
        <v>44482</v>
      </c>
      <c r="B111">
        <v>7.4969999999999999</v>
      </c>
      <c r="C111">
        <v>7.5960000000000001</v>
      </c>
      <c r="D111">
        <v>7.2240000000000002</v>
      </c>
      <c r="E111">
        <v>7.5629999999999997</v>
      </c>
      <c r="F111">
        <v>2891321</v>
      </c>
      <c r="G111">
        <v>7.5629999999999997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0.82258064516128837</v>
      </c>
      <c r="Q111">
        <f t="shared" ref="Q111" si="531">F111*P111</f>
        <v>2378344.6935483813</v>
      </c>
      <c r="R111">
        <f t="shared" ref="R111" si="532">R112+Q111</f>
        <v>126704111.42883953</v>
      </c>
      <c r="S111">
        <f t="shared" ref="S111" si="533">R111/100000</f>
        <v>1267.0411142883954</v>
      </c>
      <c r="T111">
        <f t="shared" ref="T111" si="534">S111/1000</f>
        <v>1.2670411142883955</v>
      </c>
    </row>
    <row r="112" spans="1:20" x14ac:dyDescent="0.25">
      <c r="A112" s="5">
        <v>44481</v>
      </c>
      <c r="B112">
        <v>7.34</v>
      </c>
      <c r="C112">
        <v>7.4989999999999997</v>
      </c>
      <c r="D112">
        <v>6.9809999999999999</v>
      </c>
      <c r="E112">
        <v>7.4989999999999997</v>
      </c>
      <c r="F112">
        <v>3757731.4</v>
      </c>
      <c r="G112">
        <v>7.4989999999999997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1</v>
      </c>
      <c r="Q112">
        <f t="shared" ref="Q112" si="536">F112*P112</f>
        <v>3757731.4</v>
      </c>
      <c r="R112">
        <f t="shared" ref="R112" si="537">R113+Q112</f>
        <v>124325766.73529115</v>
      </c>
      <c r="S112">
        <f t="shared" ref="S112" si="538">R112/100000</f>
        <v>1243.2576673529115</v>
      </c>
      <c r="T112">
        <f t="shared" ref="T112" si="539">S112/1000</f>
        <v>1.2432576673529114</v>
      </c>
    </row>
    <row r="113" spans="1:20" x14ac:dyDescent="0.25">
      <c r="A113" s="5">
        <v>44480</v>
      </c>
      <c r="B113">
        <v>7.4550000000000001</v>
      </c>
      <c r="C113">
        <v>7.7089999999999996</v>
      </c>
      <c r="D113">
        <v>7.2039999999999997</v>
      </c>
      <c r="E113">
        <v>7.3490000000000002</v>
      </c>
      <c r="F113">
        <v>2724990</v>
      </c>
      <c r="G113">
        <v>7.3490000000000002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-0.42574257425742379</v>
      </c>
      <c r="Q113">
        <f t="shared" ref="Q113" si="541">F113*P113</f>
        <v>-1160144.2574257373</v>
      </c>
      <c r="R113">
        <f t="shared" ref="R113" si="542">R114+Q113</f>
        <v>120568035.33529115</v>
      </c>
      <c r="S113">
        <f t="shared" ref="S113" si="543">R113/100000</f>
        <v>1205.6803533529114</v>
      </c>
      <c r="T113">
        <f t="shared" ref="T113" si="544">S113/1000</f>
        <v>1.2056803533529115</v>
      </c>
    </row>
    <row r="114" spans="1:20" x14ac:dyDescent="0.25">
      <c r="A114" s="5">
        <v>44479</v>
      </c>
      <c r="B114">
        <v>8.0890000000000004</v>
      </c>
      <c r="C114">
        <v>8.0939999999999994</v>
      </c>
      <c r="D114">
        <v>7.4009999999999998</v>
      </c>
      <c r="E114">
        <v>7.4580000000000002</v>
      </c>
      <c r="F114">
        <v>3256853.1</v>
      </c>
      <c r="G114">
        <v>7.4580000000000002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-0.8354978354978343</v>
      </c>
      <c r="Q114">
        <f t="shared" ref="Q114" si="546">F114*P114</f>
        <v>-2721093.7155844118</v>
      </c>
      <c r="R114">
        <f t="shared" ref="R114" si="547">R115+Q114</f>
        <v>121728179.59271689</v>
      </c>
      <c r="S114">
        <f t="shared" ref="S114" si="548">R114/100000</f>
        <v>1217.2817959271688</v>
      </c>
      <c r="T114">
        <f t="shared" ref="T114" si="549">S114/1000</f>
        <v>1.2172817959271689</v>
      </c>
    </row>
    <row r="115" spans="1:20" x14ac:dyDescent="0.25">
      <c r="A115" s="5">
        <v>44478</v>
      </c>
      <c r="B115">
        <v>7.915</v>
      </c>
      <c r="C115">
        <v>8.2119999999999997</v>
      </c>
      <c r="D115">
        <v>7.7679999999999998</v>
      </c>
      <c r="E115">
        <v>8.0879999999999992</v>
      </c>
      <c r="F115">
        <v>3423070.5</v>
      </c>
      <c r="G115">
        <v>8.0879999999999992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0.44144144144143888</v>
      </c>
      <c r="Q115">
        <f t="shared" ref="Q115" si="551">F115*P115</f>
        <v>1511085.1756756669</v>
      </c>
      <c r="R115">
        <f t="shared" ref="R115" si="552">R116+Q115</f>
        <v>124449273.3083013</v>
      </c>
      <c r="S115">
        <f t="shared" ref="S115" si="553">R115/100000</f>
        <v>1244.492733083013</v>
      </c>
      <c r="T115">
        <f t="shared" ref="T115" si="554">S115/1000</f>
        <v>1.2444927330830131</v>
      </c>
    </row>
    <row r="116" spans="1:20" x14ac:dyDescent="0.25">
      <c r="A116" s="5">
        <v>44477</v>
      </c>
      <c r="B116">
        <v>8.1289999999999996</v>
      </c>
      <c r="C116">
        <v>8.2100000000000009</v>
      </c>
      <c r="D116">
        <v>7.8230000000000004</v>
      </c>
      <c r="E116">
        <v>7.9119999999999999</v>
      </c>
      <c r="F116">
        <v>4475819</v>
      </c>
      <c r="G116">
        <v>7.9119999999999999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-0.5400516795865663</v>
      </c>
      <c r="Q116">
        <f t="shared" ref="Q116" si="556">F116*P116</f>
        <v>-2417173.5684754658</v>
      </c>
      <c r="R116">
        <f t="shared" ref="R116" si="557">R117+Q116</f>
        <v>122938188.13262564</v>
      </c>
      <c r="S116">
        <f t="shared" ref="S116" si="558">R116/100000</f>
        <v>1229.3818813262565</v>
      </c>
      <c r="T116">
        <f t="shared" ref="T116" si="559">S116/1000</f>
        <v>1.2293818813262565</v>
      </c>
    </row>
    <row r="117" spans="1:20" x14ac:dyDescent="0.25">
      <c r="A117" s="5">
        <v>44476</v>
      </c>
      <c r="B117">
        <v>8.1780000000000008</v>
      </c>
      <c r="C117">
        <v>8.4190000000000005</v>
      </c>
      <c r="D117">
        <v>7.8639999999999999</v>
      </c>
      <c r="E117">
        <v>8.1280000000000001</v>
      </c>
      <c r="F117">
        <v>4567067.7</v>
      </c>
      <c r="G117">
        <v>8.1280000000000001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-4.8648648648648839E-2</v>
      </c>
      <c r="Q117">
        <f t="shared" ref="Q117" si="561">F117*P117</f>
        <v>-222181.67189189277</v>
      </c>
      <c r="R117">
        <f t="shared" ref="R117" si="562">R118+Q117</f>
        <v>125355361.70110111</v>
      </c>
      <c r="S117">
        <f t="shared" ref="S117" si="563">R117/100000</f>
        <v>1253.5536170110111</v>
      </c>
      <c r="T117">
        <f t="shared" ref="T117" si="564">S117/1000</f>
        <v>1.2535536170110111</v>
      </c>
    </row>
    <row r="118" spans="1:20" x14ac:dyDescent="0.25">
      <c r="A118" s="5">
        <v>44475</v>
      </c>
      <c r="B118">
        <v>8.48</v>
      </c>
      <c r="C118">
        <v>8.4879999999999995</v>
      </c>
      <c r="D118">
        <v>7.6120000000000001</v>
      </c>
      <c r="E118">
        <v>8.1829999999999998</v>
      </c>
      <c r="F118">
        <v>6830773.2000000002</v>
      </c>
      <c r="G118">
        <v>8.1829999999999998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0.30365296803652991</v>
      </c>
      <c r="Q118">
        <f t="shared" ref="Q118" si="566">F118*P118</f>
        <v>2074184.5561643853</v>
      </c>
      <c r="R118">
        <f t="shared" ref="R118" si="567">R119+Q118</f>
        <v>125577543.37299301</v>
      </c>
      <c r="S118">
        <f t="shared" ref="S118" si="568">R118/100000</f>
        <v>1255.77543372993</v>
      </c>
      <c r="T118">
        <f t="shared" ref="T118" si="569">S118/1000</f>
        <v>1.2557754337299301</v>
      </c>
    </row>
    <row r="119" spans="1:20" x14ac:dyDescent="0.25">
      <c r="A119" s="5">
        <v>44474</v>
      </c>
      <c r="B119">
        <v>8.5619999999999994</v>
      </c>
      <c r="C119">
        <v>8.7050000000000001</v>
      </c>
      <c r="D119">
        <v>8.1539999999999999</v>
      </c>
      <c r="E119">
        <v>8.4819999999999993</v>
      </c>
      <c r="F119">
        <v>5346883.9000000004</v>
      </c>
      <c r="G119">
        <v>8.4819999999999993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0.19056261343012454</v>
      </c>
      <c r="Q119">
        <f t="shared" ref="Q119" si="571">F119*P119</f>
        <v>1018916.1696914567</v>
      </c>
      <c r="R119">
        <f t="shared" ref="R119" si="572">R120+Q119</f>
        <v>123503358.81682862</v>
      </c>
      <c r="S119">
        <f t="shared" ref="S119" si="573">R119/100000</f>
        <v>1235.0335881682863</v>
      </c>
      <c r="T119">
        <f t="shared" ref="T119" si="574">S119/1000</f>
        <v>1.2350335881682863</v>
      </c>
    </row>
    <row r="120" spans="1:20" x14ac:dyDescent="0.25">
      <c r="A120" s="5">
        <v>44473</v>
      </c>
      <c r="B120">
        <v>8.9990000000000006</v>
      </c>
      <c r="C120">
        <v>9.1110000000000007</v>
      </c>
      <c r="D120">
        <v>8.2100000000000009</v>
      </c>
      <c r="E120">
        <v>8.57</v>
      </c>
      <c r="F120">
        <v>7206657.5</v>
      </c>
      <c r="G120">
        <v>8.57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-0.20088790233074472</v>
      </c>
      <c r="Q120">
        <f t="shared" ref="Q120" si="576">F120*P120</f>
        <v>-1447730.3079911289</v>
      </c>
      <c r="R120">
        <f t="shared" ref="R120" si="577">R121+Q120</f>
        <v>122484442.64713717</v>
      </c>
      <c r="S120">
        <f t="shared" ref="S120" si="578">R120/100000</f>
        <v>1224.8444264713717</v>
      </c>
      <c r="T120">
        <f t="shared" ref="T120" si="579">S120/1000</f>
        <v>1.2248444264713716</v>
      </c>
    </row>
    <row r="121" spans="1:20" x14ac:dyDescent="0.25">
      <c r="A121" s="5">
        <v>44472</v>
      </c>
      <c r="B121">
        <v>8.61</v>
      </c>
      <c r="C121">
        <v>9.4149999999999991</v>
      </c>
      <c r="D121">
        <v>8.6059999999999999</v>
      </c>
      <c r="E121">
        <v>8.9120000000000008</v>
      </c>
      <c r="F121">
        <v>8292924.0999999996</v>
      </c>
      <c r="G121">
        <v>8.9120000000000008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-0.24351050679851369</v>
      </c>
      <c r="Q121">
        <f t="shared" ref="Q121" si="581">F121*P121</f>
        <v>-2019414.1504326079</v>
      </c>
      <c r="R121">
        <f t="shared" ref="R121" si="582">R122+Q121</f>
        <v>123932172.9551283</v>
      </c>
      <c r="S121">
        <f t="shared" ref="S121" si="583">R121/100000</f>
        <v>1239.3217295512829</v>
      </c>
      <c r="T121">
        <f t="shared" ref="T121" si="584">S121/1000</f>
        <v>1.2393217295512828</v>
      </c>
    </row>
    <row r="122" spans="1:20" x14ac:dyDescent="0.25">
      <c r="A122" s="5">
        <v>44471</v>
      </c>
      <c r="B122">
        <v>8.2460000000000004</v>
      </c>
      <c r="C122">
        <v>9.0679999999999996</v>
      </c>
      <c r="D122">
        <v>8.0549999999999997</v>
      </c>
      <c r="E122">
        <v>8.6129999999999995</v>
      </c>
      <c r="F122">
        <v>6943188</v>
      </c>
      <c r="G122">
        <v>8.6129999999999995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0.10167818361303037</v>
      </c>
      <c r="Q122">
        <f t="shared" ref="Q122" si="586">F122*P122</f>
        <v>705970.74432378914</v>
      </c>
      <c r="R122">
        <f t="shared" ref="R122" si="587">R123+Q122</f>
        <v>125951587.1055609</v>
      </c>
      <c r="S122">
        <f t="shared" ref="S122" si="588">R122/100000</f>
        <v>1259.5158710556091</v>
      </c>
      <c r="T122">
        <f t="shared" ref="T122" si="589">S122/1000</f>
        <v>1.2595158710556091</v>
      </c>
    </row>
    <row r="123" spans="1:20" x14ac:dyDescent="0.25">
      <c r="A123" s="5">
        <v>44470</v>
      </c>
      <c r="B123">
        <v>7.468</v>
      </c>
      <c r="C123">
        <v>8.3819999999999997</v>
      </c>
      <c r="D123">
        <v>7.3630000000000004</v>
      </c>
      <c r="E123">
        <v>8.2439999999999998</v>
      </c>
      <c r="F123">
        <v>9411772.4000000004</v>
      </c>
      <c r="G123">
        <v>8.2439999999999998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0.72914622178606481</v>
      </c>
      <c r="Q123">
        <f t="shared" ref="Q123" si="591">F123*P123</f>
        <v>6862558.2857703641</v>
      </c>
      <c r="R123">
        <f t="shared" ref="R123" si="592">R124+Q123</f>
        <v>125245616.36123711</v>
      </c>
      <c r="S123">
        <f t="shared" ref="S123" si="593">R123/100000</f>
        <v>1252.456163612371</v>
      </c>
      <c r="T123">
        <f t="shared" ref="T123" si="594">S123/1000</f>
        <v>1.252456163612371</v>
      </c>
    </row>
    <row r="124" spans="1:20" x14ac:dyDescent="0.25">
      <c r="A124" s="5">
        <v>44469</v>
      </c>
      <c r="B124">
        <v>6.9930000000000003</v>
      </c>
      <c r="C124">
        <v>7.492</v>
      </c>
      <c r="D124">
        <v>6.9320000000000004</v>
      </c>
      <c r="E124">
        <v>7.4649999999999999</v>
      </c>
      <c r="F124">
        <v>5474260.2999999998</v>
      </c>
      <c r="G124">
        <v>7.4649999999999999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0.90357142857142803</v>
      </c>
      <c r="Q124">
        <f t="shared" ref="Q124" si="596">F124*P124</f>
        <v>4946385.1996428538</v>
      </c>
      <c r="R124">
        <f t="shared" ref="R124" si="597">R125+Q124</f>
        <v>118383058.07546675</v>
      </c>
      <c r="S124">
        <f t="shared" ref="S124" si="598">R124/100000</f>
        <v>1183.8305807546676</v>
      </c>
      <c r="T124">
        <f t="shared" ref="T124" si="599">S124/1000</f>
        <v>1.1838305807546676</v>
      </c>
    </row>
    <row r="125" spans="1:20" x14ac:dyDescent="0.25">
      <c r="A125" s="5">
        <v>44468</v>
      </c>
      <c r="B125">
        <v>6.9409999999999998</v>
      </c>
      <c r="C125">
        <v>7.4290000000000003</v>
      </c>
      <c r="D125">
        <v>6.8049999999999997</v>
      </c>
      <c r="E125">
        <v>7</v>
      </c>
      <c r="F125">
        <v>4601370.7</v>
      </c>
      <c r="G125">
        <v>7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-0.37499999999999967</v>
      </c>
      <c r="Q125">
        <f t="shared" ref="Q125" si="601">F125*P125</f>
        <v>-1725514.0124999986</v>
      </c>
      <c r="R125">
        <f t="shared" ref="R125" si="602">R126+Q125</f>
        <v>113436672.8758239</v>
      </c>
      <c r="S125">
        <f t="shared" ref="S125" si="603">R125/100000</f>
        <v>1134.3667287582391</v>
      </c>
      <c r="T125">
        <f t="shared" ref="T125" si="604">S125/1000</f>
        <v>1.1343667287582391</v>
      </c>
    </row>
    <row r="126" spans="1:20" x14ac:dyDescent="0.25">
      <c r="A126" s="5">
        <v>44467</v>
      </c>
      <c r="B126">
        <v>7.4509999999999996</v>
      </c>
      <c r="C126">
        <v>7.5780000000000003</v>
      </c>
      <c r="D126">
        <v>6.9</v>
      </c>
      <c r="E126">
        <v>6.9470000000000001</v>
      </c>
      <c r="F126">
        <v>4791017.9000000004</v>
      </c>
      <c r="G126">
        <v>6.9470000000000001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-0.86135693215339315</v>
      </c>
      <c r="Q126">
        <f t="shared" ref="Q126" si="606">F126*P126</f>
        <v>-4126776.4802359925</v>
      </c>
      <c r="R126">
        <f t="shared" ref="R126" si="607">R127+Q126</f>
        <v>115162186.8883239</v>
      </c>
      <c r="S126">
        <f t="shared" ref="S126" si="608">R126/100000</f>
        <v>1151.6218688832391</v>
      </c>
      <c r="T126">
        <f t="shared" ref="T126" si="609">S126/1000</f>
        <v>1.1516218688832391</v>
      </c>
    </row>
    <row r="127" spans="1:20" x14ac:dyDescent="0.25">
      <c r="A127" s="5">
        <v>44466</v>
      </c>
      <c r="B127">
        <v>7.6079999999999997</v>
      </c>
      <c r="C127">
        <v>8.1989999999999998</v>
      </c>
      <c r="D127">
        <v>7.4249999999999998</v>
      </c>
      <c r="E127">
        <v>7.4569999999999999</v>
      </c>
      <c r="F127">
        <v>7945751.5</v>
      </c>
      <c r="G127">
        <v>7.4569999999999999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-0.91731266149870794</v>
      </c>
      <c r="Q127">
        <f t="shared" ref="Q127" si="611">F127*P127</f>
        <v>-7288738.456072351</v>
      </c>
      <c r="R127">
        <f t="shared" ref="R127" si="612">R128+Q127</f>
        <v>119288963.3685599</v>
      </c>
      <c r="S127">
        <f t="shared" ref="S127" si="613">R127/100000</f>
        <v>1192.8896336855989</v>
      </c>
      <c r="T127">
        <f t="shared" ref="T127" si="614">S127/1000</f>
        <v>1.192889633685599</v>
      </c>
    </row>
    <row r="128" spans="1:20" x14ac:dyDescent="0.25">
      <c r="A128" s="5">
        <v>44465</v>
      </c>
      <c r="B128">
        <v>7.5449999999999999</v>
      </c>
      <c r="C128">
        <v>8.1790000000000003</v>
      </c>
      <c r="D128">
        <v>6.7960000000000003</v>
      </c>
      <c r="E128">
        <v>7.6130000000000004</v>
      </c>
      <c r="F128">
        <v>8171726.4000000004</v>
      </c>
      <c r="G128">
        <v>7.6130000000000004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0.18148951554591491</v>
      </c>
      <c r="Q128">
        <f t="shared" ref="Q128" si="616">F128*P128</f>
        <v>1483082.6655097634</v>
      </c>
      <c r="R128">
        <f t="shared" ref="R128" si="617">R129+Q128</f>
        <v>126577701.82463224</v>
      </c>
      <c r="S128">
        <f t="shared" ref="S128" si="618">R128/100000</f>
        <v>1265.7770182463223</v>
      </c>
      <c r="T128">
        <f t="shared" ref="T128" si="619">S128/1000</f>
        <v>1.2657770182463224</v>
      </c>
    </row>
    <row r="129" spans="1:20" x14ac:dyDescent="0.25">
      <c r="A129" s="5">
        <v>44464</v>
      </c>
      <c r="B129">
        <v>7.835</v>
      </c>
      <c r="C129">
        <v>7.9160000000000004</v>
      </c>
      <c r="D129">
        <v>7.3230000000000004</v>
      </c>
      <c r="E129">
        <v>7.5430000000000001</v>
      </c>
      <c r="F129">
        <v>4035542.1</v>
      </c>
      <c r="G129">
        <v>7.5430000000000001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-0.25801011804384566</v>
      </c>
      <c r="Q129">
        <f t="shared" ref="Q129" si="621">F129*P129</f>
        <v>-1041210.6935919088</v>
      </c>
      <c r="R129">
        <f t="shared" ref="R129" si="622">R130+Q129</f>
        <v>125094619.15912248</v>
      </c>
      <c r="S129">
        <f t="shared" ref="S129" si="623">R129/100000</f>
        <v>1250.9461915912248</v>
      </c>
      <c r="T129">
        <f t="shared" ref="T129" si="624">S129/1000</f>
        <v>1.2509461915912248</v>
      </c>
    </row>
    <row r="130" spans="1:20" x14ac:dyDescent="0.25">
      <c r="A130" s="5">
        <v>44463</v>
      </c>
      <c r="B130">
        <v>8.6270000000000007</v>
      </c>
      <c r="C130">
        <v>8.6340000000000003</v>
      </c>
      <c r="D130">
        <v>7.194</v>
      </c>
      <c r="E130">
        <v>7.8310000000000004</v>
      </c>
      <c r="F130">
        <v>7246503.4000000004</v>
      </c>
      <c r="G130">
        <v>7.8310000000000004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-0.11527777777777738</v>
      </c>
      <c r="Q130">
        <f t="shared" ref="Q130" si="626">F130*P130</f>
        <v>-835360.80861110834</v>
      </c>
      <c r="R130">
        <f t="shared" ref="R130" si="627">R131+Q130</f>
        <v>126135829.85271439</v>
      </c>
      <c r="S130">
        <f t="shared" ref="S130" si="628">R130/100000</f>
        <v>1261.3582985271439</v>
      </c>
      <c r="T130">
        <f t="shared" ref="T130" si="629">S130/1000</f>
        <v>1.2613582985271439</v>
      </c>
    </row>
    <row r="131" spans="1:20" x14ac:dyDescent="0.25">
      <c r="A131" s="5">
        <v>44462</v>
      </c>
      <c r="B131">
        <v>8.3170000000000002</v>
      </c>
      <c r="C131">
        <v>8.7279999999999998</v>
      </c>
      <c r="D131">
        <v>7.8819999999999997</v>
      </c>
      <c r="E131">
        <v>8.6289999999999996</v>
      </c>
      <c r="F131">
        <v>7221761.7000000002</v>
      </c>
      <c r="G131">
        <v>8.6289999999999996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0.76595744680851019</v>
      </c>
      <c r="Q131">
        <f t="shared" ref="Q131" si="631">F131*P131</f>
        <v>5531562.1531914864</v>
      </c>
      <c r="R131">
        <f t="shared" ref="R131" si="632">R132+Q131</f>
        <v>126971190.6613255</v>
      </c>
      <c r="S131">
        <f t="shared" ref="S131" si="633">R131/100000</f>
        <v>1269.711906613255</v>
      </c>
      <c r="T131">
        <f t="shared" ref="T131" si="634">S131/1000</f>
        <v>1.2697119066132549</v>
      </c>
    </row>
    <row r="132" spans="1:20" x14ac:dyDescent="0.25">
      <c r="A132" s="5">
        <v>44461</v>
      </c>
      <c r="B132">
        <v>7.11</v>
      </c>
      <c r="C132">
        <v>8.3450000000000006</v>
      </c>
      <c r="D132">
        <v>6.8609999999999998</v>
      </c>
      <c r="E132">
        <v>8.3170000000000002</v>
      </c>
      <c r="F132">
        <v>9662244.5</v>
      </c>
      <c r="G132">
        <v>8.3170000000000002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0.96226415094339557</v>
      </c>
      <c r="Q132">
        <f t="shared" ref="Q132" si="636">F132*P132</f>
        <v>9297631.4999999944</v>
      </c>
      <c r="R132">
        <f t="shared" ref="R132" si="637">R133+Q132</f>
        <v>121439628.50813401</v>
      </c>
      <c r="S132">
        <f t="shared" ref="S132" si="638">R132/100000</f>
        <v>1214.39628508134</v>
      </c>
      <c r="T132">
        <f t="shared" ref="T132" si="639">S132/1000</f>
        <v>1.2143962850813401</v>
      </c>
    </row>
    <row r="133" spans="1:20" x14ac:dyDescent="0.25">
      <c r="A133" s="5">
        <v>44460</v>
      </c>
      <c r="B133">
        <v>8.0459999999999994</v>
      </c>
      <c r="C133">
        <v>8.35</v>
      </c>
      <c r="D133">
        <v>6.8280000000000003</v>
      </c>
      <c r="E133">
        <v>7.1059999999999999</v>
      </c>
      <c r="F133">
        <v>13174130.699999999</v>
      </c>
      <c r="G133">
        <v>7.1059999999999999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-0.63469119579500699</v>
      </c>
      <c r="Q133">
        <f t="shared" ref="Q133" si="641">F133*P133</f>
        <v>-8361504.7675427124</v>
      </c>
      <c r="R133">
        <f t="shared" ref="R133" si="642">R134+Q133</f>
        <v>112141997.00813401</v>
      </c>
      <c r="S133">
        <f t="shared" ref="S133" si="643">R133/100000</f>
        <v>1121.4199700813401</v>
      </c>
      <c r="T133">
        <f t="shared" ref="T133" si="644">S133/1000</f>
        <v>1.1214199700813401</v>
      </c>
    </row>
    <row r="134" spans="1:20" x14ac:dyDescent="0.25">
      <c r="A134" s="5">
        <v>44459</v>
      </c>
      <c r="B134">
        <v>9.89</v>
      </c>
      <c r="C134">
        <v>9.9390000000000001</v>
      </c>
      <c r="D134">
        <v>8.4770000000000003</v>
      </c>
      <c r="E134">
        <v>8.593</v>
      </c>
      <c r="F134">
        <v>5870883.7000000002</v>
      </c>
      <c r="G134">
        <v>8.593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-0.84131326949384444</v>
      </c>
      <c r="Q134">
        <f t="shared" ref="Q134" si="646">F134*P134</f>
        <v>-4939252.3604651187</v>
      </c>
      <c r="R134">
        <f t="shared" ref="R134" si="647">R135+Q134</f>
        <v>120503501.77567671</v>
      </c>
      <c r="S134">
        <f t="shared" ref="S134" si="648">R134/100000</f>
        <v>1205.035017756767</v>
      </c>
      <c r="T134">
        <f t="shared" ref="T134" si="649">S134/1000</f>
        <v>1.205035017756767</v>
      </c>
    </row>
    <row r="135" spans="1:20" x14ac:dyDescent="0.25">
      <c r="A135" s="5">
        <v>44458</v>
      </c>
      <c r="B135">
        <v>10.721</v>
      </c>
      <c r="C135">
        <v>11.223000000000001</v>
      </c>
      <c r="D135">
        <v>9.6560000000000006</v>
      </c>
      <c r="E135">
        <v>9.8849999999999998</v>
      </c>
      <c r="F135">
        <v>9300123.4000000004</v>
      </c>
      <c r="G135">
        <v>9.8849999999999998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-0.70772176132737818</v>
      </c>
      <c r="Q135">
        <f t="shared" ref="Q135" si="651">F135*P135</f>
        <v>-6581899.7132099653</v>
      </c>
      <c r="R135">
        <f t="shared" ref="R135" si="652">R136+Q135</f>
        <v>125442754.13614184</v>
      </c>
      <c r="S135">
        <f t="shared" ref="S135" si="653">R135/100000</f>
        <v>1254.4275413614184</v>
      </c>
      <c r="T135">
        <f t="shared" ref="T135" si="654">S135/1000</f>
        <v>1.2544275413614185</v>
      </c>
    </row>
    <row r="136" spans="1:20" x14ac:dyDescent="0.25">
      <c r="A136" s="5">
        <v>44457</v>
      </c>
      <c r="B136">
        <v>9.6869999999999994</v>
      </c>
      <c r="C136">
        <v>10.832000000000001</v>
      </c>
      <c r="D136">
        <v>9.407</v>
      </c>
      <c r="E136">
        <v>10.731999999999999</v>
      </c>
      <c r="F136">
        <v>11053339.699999999</v>
      </c>
      <c r="G136">
        <v>10.731999999999999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0.85964912280701566</v>
      </c>
      <c r="Q136">
        <f t="shared" ref="Q136" si="656">F136*P136</f>
        <v>9501993.7771929614</v>
      </c>
      <c r="R136">
        <f t="shared" ref="R136" si="657">R137+Q136</f>
        <v>132024653.84935181</v>
      </c>
      <c r="S136">
        <f t="shared" ref="S136" si="658">R136/100000</f>
        <v>1320.2465384935181</v>
      </c>
      <c r="T136">
        <f t="shared" ref="T136" si="659">S136/1000</f>
        <v>1.320246538493518</v>
      </c>
    </row>
    <row r="137" spans="1:20" x14ac:dyDescent="0.25">
      <c r="A137" s="5">
        <v>44456</v>
      </c>
      <c r="B137">
        <v>10.231999999999999</v>
      </c>
      <c r="C137">
        <v>10.487</v>
      </c>
      <c r="D137">
        <v>9.3970000000000002</v>
      </c>
      <c r="E137">
        <v>9.6869999999999994</v>
      </c>
      <c r="F137">
        <v>7102114.2999999998</v>
      </c>
      <c r="G137">
        <v>9.6869999999999994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-0.4678899082568822</v>
      </c>
      <c r="Q137">
        <f t="shared" ref="Q137" si="661">F137*P137</f>
        <v>-3323007.6082568909</v>
      </c>
      <c r="R137">
        <f t="shared" ref="R137" si="662">R138+Q137</f>
        <v>122522660.07215884</v>
      </c>
      <c r="S137">
        <f t="shared" ref="S137" si="663">R137/100000</f>
        <v>1225.2266007215885</v>
      </c>
      <c r="T137">
        <f t="shared" ref="T137" si="664">S137/1000</f>
        <v>1.2252266007215886</v>
      </c>
    </row>
    <row r="138" spans="1:20" x14ac:dyDescent="0.25">
      <c r="A138" s="5">
        <v>44455</v>
      </c>
      <c r="B138">
        <v>10.69</v>
      </c>
      <c r="C138">
        <v>10.95</v>
      </c>
      <c r="D138">
        <v>9.9600000000000009</v>
      </c>
      <c r="E138">
        <v>10.237</v>
      </c>
      <c r="F138">
        <v>8122037.4000000004</v>
      </c>
      <c r="G138">
        <v>10.237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-0.44040404040404102</v>
      </c>
      <c r="Q138">
        <f t="shared" ref="Q138" si="666">F138*P138</f>
        <v>-3576978.0872727325</v>
      </c>
      <c r="R138">
        <f t="shared" ref="R138" si="667">R139+Q138</f>
        <v>125845667.68041573</v>
      </c>
      <c r="S138">
        <f t="shared" ref="S138" si="668">R138/100000</f>
        <v>1258.4566768041573</v>
      </c>
      <c r="T138">
        <f t="shared" ref="T138" si="669">S138/1000</f>
        <v>1.2584566768041572</v>
      </c>
    </row>
    <row r="139" spans="1:20" x14ac:dyDescent="0.25">
      <c r="A139" s="5">
        <v>44454</v>
      </c>
      <c r="B139">
        <v>10.472</v>
      </c>
      <c r="C139">
        <v>11.103</v>
      </c>
      <c r="D139">
        <v>10.113</v>
      </c>
      <c r="E139">
        <v>10.691000000000001</v>
      </c>
      <c r="F139">
        <v>8379272.5</v>
      </c>
      <c r="G139">
        <v>10.691000000000001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0.16767676767676981</v>
      </c>
      <c r="Q139">
        <f t="shared" ref="Q139" si="671">F139*P139</f>
        <v>1405009.3282828461</v>
      </c>
      <c r="R139">
        <f t="shared" ref="R139" si="672">R140+Q139</f>
        <v>129422645.76768847</v>
      </c>
      <c r="S139">
        <f t="shared" ref="S139" si="673">R139/100000</f>
        <v>1294.2264576768846</v>
      </c>
      <c r="T139">
        <f t="shared" ref="T139" si="674">S139/1000</f>
        <v>1.2942264576768845</v>
      </c>
    </row>
    <row r="140" spans="1:20" x14ac:dyDescent="0.25">
      <c r="A140" s="5">
        <v>44453</v>
      </c>
      <c r="B140">
        <v>11.224</v>
      </c>
      <c r="C140">
        <v>11.266999999999999</v>
      </c>
      <c r="D140">
        <v>9.8170000000000002</v>
      </c>
      <c r="E140">
        <v>10.47</v>
      </c>
      <c r="F140">
        <v>12426395.1</v>
      </c>
      <c r="G140">
        <v>10.47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-9.931034482758512E-2</v>
      </c>
      <c r="Q140">
        <f t="shared" ref="Q140" si="676">F140*P140</f>
        <v>-1234069.582344814</v>
      </c>
      <c r="R140">
        <f t="shared" ref="R140" si="677">R141+Q140</f>
        <v>128017636.43940562</v>
      </c>
      <c r="S140">
        <f t="shared" ref="S140" si="678">R140/100000</f>
        <v>1280.1763643940562</v>
      </c>
      <c r="T140">
        <f t="shared" ref="T140" si="679">S140/1000</f>
        <v>1.2801763643940562</v>
      </c>
    </row>
    <row r="141" spans="1:20" x14ac:dyDescent="0.25">
      <c r="A141" s="5">
        <v>44452</v>
      </c>
      <c r="B141">
        <v>12.487</v>
      </c>
      <c r="C141">
        <v>12.747</v>
      </c>
      <c r="D141">
        <v>10.000999999999999</v>
      </c>
      <c r="E141">
        <v>11.22</v>
      </c>
      <c r="F141">
        <v>14743242.199999999</v>
      </c>
      <c r="G141">
        <v>11.22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-0.11216314639475528</v>
      </c>
      <c r="Q141">
        <f t="shared" ref="Q141" si="681">F141*P141</f>
        <v>-1653648.4332119338</v>
      </c>
      <c r="R141">
        <f t="shared" ref="R141" si="682">R142+Q141</f>
        <v>129251706.02175044</v>
      </c>
      <c r="S141">
        <f t="shared" ref="S141" si="683">R141/100000</f>
        <v>1292.5170602175044</v>
      </c>
      <c r="T141">
        <f t="shared" ref="T141" si="684">S141/1000</f>
        <v>1.2925170602175045</v>
      </c>
    </row>
    <row r="142" spans="1:20" x14ac:dyDescent="0.25">
      <c r="A142" s="5">
        <v>44451</v>
      </c>
      <c r="B142">
        <v>11.847</v>
      </c>
      <c r="C142">
        <v>12.99</v>
      </c>
      <c r="D142">
        <v>11.532</v>
      </c>
      <c r="E142">
        <v>12.484999999999999</v>
      </c>
      <c r="F142">
        <v>17508867.5</v>
      </c>
      <c r="G142">
        <v>12.484999999999999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0.30727023319615815</v>
      </c>
      <c r="Q142">
        <f t="shared" ref="Q142" si="686">F142*P142</f>
        <v>5379953.799725635</v>
      </c>
      <c r="R142">
        <f t="shared" ref="R142" si="687">R143+Q142</f>
        <v>130905354.45496237</v>
      </c>
      <c r="S142">
        <f t="shared" ref="S142" si="688">R142/100000</f>
        <v>1309.0535445496237</v>
      </c>
      <c r="T142">
        <f t="shared" ref="T142" si="689">S142/1000</f>
        <v>1.3090535445496236</v>
      </c>
    </row>
    <row r="143" spans="1:20" x14ac:dyDescent="0.25">
      <c r="A143" s="5">
        <v>44450</v>
      </c>
      <c r="B143">
        <v>11.459</v>
      </c>
      <c r="C143">
        <v>13.731999999999999</v>
      </c>
      <c r="D143">
        <v>11.266999999999999</v>
      </c>
      <c r="E143">
        <v>11.848000000000001</v>
      </c>
      <c r="F143">
        <v>30316576.989999998</v>
      </c>
      <c r="G143">
        <v>11.848000000000001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-0.52860040567951205</v>
      </c>
      <c r="Q143">
        <f t="shared" ref="Q143" si="691">F143*P143</f>
        <v>-16025354.89572816</v>
      </c>
      <c r="R143">
        <f t="shared" ref="R143" si="692">R144+Q143</f>
        <v>125525400.65523674</v>
      </c>
      <c r="S143">
        <f t="shared" ref="S143" si="693">R143/100000</f>
        <v>1255.2540065523674</v>
      </c>
      <c r="T143">
        <f t="shared" ref="T143" si="694">S143/1000</f>
        <v>1.2552540065523674</v>
      </c>
    </row>
    <row r="144" spans="1:20" x14ac:dyDescent="0.25">
      <c r="A144" s="5">
        <v>44449</v>
      </c>
      <c r="B144">
        <v>10.794</v>
      </c>
      <c r="C144">
        <v>11.79</v>
      </c>
      <c r="D144">
        <v>9.4730000000000008</v>
      </c>
      <c r="E144">
        <v>11.452999999999999</v>
      </c>
      <c r="F144">
        <v>25436212.100000001</v>
      </c>
      <c r="G144">
        <v>11.452999999999999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0.70910660336642206</v>
      </c>
      <c r="Q144">
        <f t="shared" ref="Q144" si="696">F144*P144</f>
        <v>18036985.964738887</v>
      </c>
      <c r="R144">
        <f t="shared" ref="R144" si="697">R145+Q144</f>
        <v>141550755.55096489</v>
      </c>
      <c r="S144">
        <f t="shared" ref="S144" si="698">R144/100000</f>
        <v>1415.5075555096489</v>
      </c>
      <c r="T144">
        <f t="shared" ref="T144" si="699">S144/1000</f>
        <v>1.415507555509649</v>
      </c>
    </row>
    <row r="145" spans="1:20" x14ac:dyDescent="0.25">
      <c r="A145" s="5">
        <v>44448</v>
      </c>
      <c r="B145">
        <v>8.8670000000000009</v>
      </c>
      <c r="C145">
        <v>12.173999999999999</v>
      </c>
      <c r="D145">
        <v>8.5739999999999998</v>
      </c>
      <c r="E145">
        <v>10.789</v>
      </c>
      <c r="F145">
        <v>43003574.82</v>
      </c>
      <c r="G145">
        <v>10.789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0.2305555555555556</v>
      </c>
      <c r="Q145">
        <f t="shared" ref="Q145" si="701">F145*P145</f>
        <v>9914713.0835000016</v>
      </c>
      <c r="R145">
        <f t="shared" ref="R145" si="702">R146+Q145</f>
        <v>123513769.58622602</v>
      </c>
      <c r="S145">
        <f t="shared" ref="S145" si="703">R145/100000</f>
        <v>1235.1376958622602</v>
      </c>
      <c r="T145">
        <f t="shared" ref="T145" si="704">S145/1000</f>
        <v>1.2351376958622602</v>
      </c>
    </row>
    <row r="146" spans="1:20" x14ac:dyDescent="0.25">
      <c r="A146" s="5">
        <v>44447</v>
      </c>
      <c r="B146">
        <v>8.32</v>
      </c>
      <c r="C146">
        <v>9.2390000000000008</v>
      </c>
      <c r="D146">
        <v>7.2119999999999997</v>
      </c>
      <c r="E146">
        <v>8.8559999999999999</v>
      </c>
      <c r="F146">
        <v>16852096.899999999</v>
      </c>
      <c r="G146">
        <v>8.8559999999999999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0.62210162802170621</v>
      </c>
      <c r="Q146">
        <f t="shared" ref="Q146" si="706">F146*P146</f>
        <v>10483716.917069547</v>
      </c>
      <c r="R146">
        <f t="shared" ref="R146" si="707">R147+Q146</f>
        <v>113599056.50272602</v>
      </c>
      <c r="S146">
        <f t="shared" ref="S146" si="708">R146/100000</f>
        <v>1135.9905650272601</v>
      </c>
      <c r="T146">
        <f t="shared" ref="T146" si="709">S146/1000</f>
        <v>1.1359905650272601</v>
      </c>
    </row>
    <row r="147" spans="1:20" x14ac:dyDescent="0.25">
      <c r="A147" s="5">
        <v>44446</v>
      </c>
      <c r="B147">
        <v>9.0679999999999996</v>
      </c>
      <c r="C147">
        <v>10.634</v>
      </c>
      <c r="D147">
        <v>6.98</v>
      </c>
      <c r="E147">
        <v>8.32</v>
      </c>
      <c r="F147">
        <v>35609202.689999998</v>
      </c>
      <c r="G147">
        <v>8.32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-0.26655719759168039</v>
      </c>
      <c r="Q147">
        <f t="shared" ref="Q147" si="711">F147*P147</f>
        <v>-9491889.2775205262</v>
      </c>
      <c r="R147">
        <f t="shared" ref="R147" si="712">R148+Q147</f>
        <v>103115339.58565648</v>
      </c>
      <c r="S147">
        <f t="shared" ref="S147" si="713">R147/100000</f>
        <v>1031.1533958565649</v>
      </c>
      <c r="T147">
        <f t="shared" ref="T147" si="714">S147/1000</f>
        <v>1.0311533958565648</v>
      </c>
    </row>
    <row r="148" spans="1:20" x14ac:dyDescent="0.25">
      <c r="A148" s="5">
        <v>44445</v>
      </c>
      <c r="B148">
        <v>8.7270000000000003</v>
      </c>
      <c r="C148">
        <v>9.2349999999999994</v>
      </c>
      <c r="D148">
        <v>7.7130000000000001</v>
      </c>
      <c r="E148">
        <v>9.0619999999999994</v>
      </c>
      <c r="F148">
        <v>9819450.1999999993</v>
      </c>
      <c r="G148">
        <v>9.0619999999999994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0.77266754270696436</v>
      </c>
      <c r="Q148">
        <f t="shared" ref="Q148" si="716">F148*P148</f>
        <v>7587170.4567674091</v>
      </c>
      <c r="R148">
        <f t="shared" ref="R148" si="717">R149+Q148</f>
        <v>112607228.863177</v>
      </c>
      <c r="S148">
        <f t="shared" ref="S148" si="718">R148/100000</f>
        <v>1126.0722886317701</v>
      </c>
      <c r="T148">
        <f t="shared" ref="T148" si="719">S148/1000</f>
        <v>1.12607228863177</v>
      </c>
    </row>
    <row r="149" spans="1:20" x14ac:dyDescent="0.25">
      <c r="A149" s="5">
        <v>44444</v>
      </c>
      <c r="B149">
        <v>8.8119999999999994</v>
      </c>
      <c r="C149">
        <v>8.8190000000000008</v>
      </c>
      <c r="D149">
        <v>8.3759999999999994</v>
      </c>
      <c r="E149">
        <v>8.7270000000000003</v>
      </c>
      <c r="F149">
        <v>4364678.2</v>
      </c>
      <c r="G149">
        <v>8.7270000000000003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0.58465011286681612</v>
      </c>
      <c r="Q149">
        <f t="shared" ref="Q149" si="721">F149*P149</f>
        <v>2551809.6022573318</v>
      </c>
      <c r="R149">
        <f t="shared" ref="R149" si="722">R150+Q149</f>
        <v>105020058.40640959</v>
      </c>
      <c r="S149">
        <f t="shared" ref="S149" si="723">R149/100000</f>
        <v>1050.2005840640959</v>
      </c>
      <c r="T149">
        <f t="shared" ref="T149" si="724">S149/1000</f>
        <v>1.050200584064096</v>
      </c>
    </row>
    <row r="150" spans="1:20" x14ac:dyDescent="0.25">
      <c r="A150" s="5">
        <v>44443</v>
      </c>
      <c r="B150">
        <v>9.2449999999999992</v>
      </c>
      <c r="C150">
        <v>9.3179999999999996</v>
      </c>
      <c r="D150">
        <v>8.6129999999999995</v>
      </c>
      <c r="E150">
        <v>8.8109999999999999</v>
      </c>
      <c r="F150">
        <v>8891796</v>
      </c>
      <c r="G150">
        <v>8.8109999999999999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-0.43829787234042444</v>
      </c>
      <c r="Q150">
        <f t="shared" ref="Q150" si="726">F150*P150</f>
        <v>-3897255.2680850965</v>
      </c>
      <c r="R150">
        <f t="shared" ref="R150" si="727">R151+Q150</f>
        <v>102468248.80415227</v>
      </c>
      <c r="S150">
        <f t="shared" ref="S150" si="728">R150/100000</f>
        <v>1024.6824880415227</v>
      </c>
      <c r="T150">
        <f t="shared" ref="T150" si="729">S150/1000</f>
        <v>1.0246824880415226</v>
      </c>
    </row>
    <row r="151" spans="1:20" x14ac:dyDescent="0.25">
      <c r="A151" s="5">
        <v>44442</v>
      </c>
      <c r="B151">
        <v>8.8350000000000009</v>
      </c>
      <c r="C151">
        <v>9.8369999999999997</v>
      </c>
      <c r="D151">
        <v>8.8320000000000007</v>
      </c>
      <c r="E151">
        <v>9.2449999999999992</v>
      </c>
      <c r="F151">
        <v>9987946.0999999996</v>
      </c>
      <c r="G151">
        <v>9.2449999999999992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-0.17810945273632062</v>
      </c>
      <c r="Q151">
        <f t="shared" ref="Q151" si="731">F151*P151</f>
        <v>-1778947.6138308677</v>
      </c>
      <c r="R151">
        <f t="shared" ref="R151" si="732">R152+Q151</f>
        <v>106365504.07223736</v>
      </c>
      <c r="S151">
        <f t="shared" ref="S151" si="733">R151/100000</f>
        <v>1063.6550407223735</v>
      </c>
      <c r="T151">
        <f t="shared" ref="T151" si="734">S151/1000</f>
        <v>1.0636550407223735</v>
      </c>
    </row>
    <row r="152" spans="1:20" x14ac:dyDescent="0.25">
      <c r="A152" s="5">
        <v>44441</v>
      </c>
      <c r="B152">
        <v>8.7089999999999996</v>
      </c>
      <c r="C152">
        <v>9.27</v>
      </c>
      <c r="D152">
        <v>8.5060000000000002</v>
      </c>
      <c r="E152">
        <v>8.8339999999999996</v>
      </c>
      <c r="F152">
        <v>7403576.0999999996</v>
      </c>
      <c r="G152">
        <v>8.8339999999999996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-0.14136125654450343</v>
      </c>
      <c r="Q152">
        <f t="shared" ref="Q152" si="736">F152*P152</f>
        <v>-1046578.8204188541</v>
      </c>
      <c r="R152">
        <f t="shared" ref="R152" si="737">R153+Q152</f>
        <v>108144451.68606822</v>
      </c>
      <c r="S152">
        <f t="shared" ref="S152" si="738">R152/100000</f>
        <v>1081.4445168606821</v>
      </c>
      <c r="T152">
        <f t="shared" ref="T152" si="739">S152/1000</f>
        <v>1.0814445168606821</v>
      </c>
    </row>
    <row r="153" spans="1:20" x14ac:dyDescent="0.25">
      <c r="A153" s="5">
        <v>44440</v>
      </c>
      <c r="B153">
        <v>8.359</v>
      </c>
      <c r="C153">
        <v>9.0229999999999997</v>
      </c>
      <c r="D153">
        <v>8.08</v>
      </c>
      <c r="E153">
        <v>8.7100000000000009</v>
      </c>
      <c r="F153">
        <v>9819715.5999999996</v>
      </c>
      <c r="G153">
        <v>8.7100000000000009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0.33616118769883568</v>
      </c>
      <c r="Q153">
        <f t="shared" ref="Q153" si="741">F153*P153</f>
        <v>3301007.2589607849</v>
      </c>
      <c r="R153">
        <f t="shared" ref="R153" si="742">R154+Q153</f>
        <v>109191030.50648707</v>
      </c>
      <c r="S153">
        <f t="shared" ref="S153" si="743">R153/100000</f>
        <v>1091.9103050648707</v>
      </c>
      <c r="T153">
        <f t="shared" ref="T153" si="744">S153/1000</f>
        <v>1.0919103050648706</v>
      </c>
    </row>
    <row r="154" spans="1:20" x14ac:dyDescent="0.25">
      <c r="A154" s="5">
        <v>44439</v>
      </c>
      <c r="B154">
        <v>8.1959999999999997</v>
      </c>
      <c r="C154">
        <v>10.15</v>
      </c>
      <c r="D154">
        <v>8.0060000000000002</v>
      </c>
      <c r="E154">
        <v>8.3520000000000003</v>
      </c>
      <c r="F154">
        <v>21175009.5</v>
      </c>
      <c r="G154">
        <v>8.3520000000000003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-0.67723880597014918</v>
      </c>
      <c r="Q154">
        <f t="shared" ref="Q154" si="746">F154*P154</f>
        <v>-14340538.150186565</v>
      </c>
      <c r="R154">
        <f t="shared" ref="R154" si="747">R155+Q154</f>
        <v>105890023.24752629</v>
      </c>
      <c r="S154">
        <f t="shared" ref="S154" si="748">R154/100000</f>
        <v>1058.9002324752628</v>
      </c>
      <c r="T154">
        <f t="shared" ref="T154" si="749">S154/1000</f>
        <v>1.0589002324752628</v>
      </c>
    </row>
    <row r="155" spans="1:20" x14ac:dyDescent="0.25">
      <c r="A155" s="5">
        <v>44438</v>
      </c>
      <c r="B155">
        <v>7.875</v>
      </c>
      <c r="C155">
        <v>9.01</v>
      </c>
      <c r="D155">
        <v>7.7519999999999998</v>
      </c>
      <c r="E155">
        <v>8.202</v>
      </c>
      <c r="F155">
        <v>17390405.399999999</v>
      </c>
      <c r="G155">
        <v>8.202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-0.28457869634340194</v>
      </c>
      <c r="Q155">
        <f t="shared" ref="Q155" si="751">F155*P155</f>
        <v>-4948938.8976152567</v>
      </c>
      <c r="R155">
        <f t="shared" ref="R155" si="752">R156+Q155</f>
        <v>120230561.39771286</v>
      </c>
      <c r="S155">
        <f t="shared" ref="S155" si="753">R155/100000</f>
        <v>1202.3056139771286</v>
      </c>
      <c r="T155">
        <f t="shared" ref="T155" si="754">S155/1000</f>
        <v>1.2023056139771287</v>
      </c>
    </row>
    <row r="156" spans="1:20" x14ac:dyDescent="0.25">
      <c r="A156" s="5">
        <v>44437</v>
      </c>
      <c r="B156">
        <v>8.25</v>
      </c>
      <c r="C156">
        <v>8.2799999999999994</v>
      </c>
      <c r="D156">
        <v>7.6609999999999996</v>
      </c>
      <c r="E156">
        <v>7.8710000000000004</v>
      </c>
      <c r="F156">
        <v>8132091.7000000002</v>
      </c>
      <c r="G156">
        <v>7.8710000000000004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-0.32148626817447196</v>
      </c>
      <c r="Q156">
        <f t="shared" ref="Q156" si="756">F156*P156</f>
        <v>-2614355.8130855975</v>
      </c>
      <c r="R156">
        <f t="shared" ref="R156" si="757">R157+Q156</f>
        <v>125179500.29532811</v>
      </c>
      <c r="S156">
        <f t="shared" ref="S156" si="758">R156/100000</f>
        <v>1251.795002953281</v>
      </c>
      <c r="T156">
        <f t="shared" ref="T156" si="759">S156/1000</f>
        <v>1.2517950029532809</v>
      </c>
    </row>
    <row r="157" spans="1:20" x14ac:dyDescent="0.25">
      <c r="A157" s="5">
        <v>44436</v>
      </c>
      <c r="B157">
        <v>7.4980000000000002</v>
      </c>
      <c r="C157">
        <v>8.8000000000000007</v>
      </c>
      <c r="D157">
        <v>7.2919999999999998</v>
      </c>
      <c r="E157">
        <v>8.2479999999999993</v>
      </c>
      <c r="F157">
        <v>17681809.300000001</v>
      </c>
      <c r="G157">
        <v>8.2479999999999993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0.26790450928381826</v>
      </c>
      <c r="Q157">
        <f t="shared" ref="Q157" si="761">F157*P157</f>
        <v>4737036.4437665539</v>
      </c>
      <c r="R157">
        <f t="shared" ref="R157" si="762">R158+Q157</f>
        <v>127793856.10841371</v>
      </c>
      <c r="S157">
        <f t="shared" ref="S157" si="763">R157/100000</f>
        <v>1277.9385610841371</v>
      </c>
      <c r="T157">
        <f t="shared" ref="T157" si="764">S157/1000</f>
        <v>1.2779385610841372</v>
      </c>
    </row>
    <row r="158" spans="1:20" x14ac:dyDescent="0.25">
      <c r="A158" s="5">
        <v>44435</v>
      </c>
      <c r="B158">
        <v>6.3840000000000003</v>
      </c>
      <c r="C158">
        <v>7.585</v>
      </c>
      <c r="D158">
        <v>6.1459999999999999</v>
      </c>
      <c r="E158">
        <v>7.5</v>
      </c>
      <c r="F158">
        <v>18338097.579999998</v>
      </c>
      <c r="G158">
        <v>7.5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0.88186240444753305</v>
      </c>
      <c r="Q158">
        <f t="shared" ref="Q158" si="766">F158*P158</f>
        <v>16171678.824892286</v>
      </c>
      <c r="R158">
        <f t="shared" ref="R158" si="767">R159+Q158</f>
        <v>123056819.66464716</v>
      </c>
      <c r="S158">
        <f t="shared" ref="S158" si="768">R158/100000</f>
        <v>1230.5681966464715</v>
      </c>
      <c r="T158">
        <f t="shared" ref="T158" si="769">S158/1000</f>
        <v>1.2305681966464714</v>
      </c>
    </row>
    <row r="159" spans="1:20" x14ac:dyDescent="0.25">
      <c r="A159" s="5">
        <v>44434</v>
      </c>
      <c r="B159">
        <v>6.9960000000000004</v>
      </c>
      <c r="C159">
        <v>6.9989999999999997</v>
      </c>
      <c r="D159">
        <v>6.14</v>
      </c>
      <c r="E159">
        <v>6.3819999999999997</v>
      </c>
      <c r="F159">
        <v>5243888.26</v>
      </c>
      <c r="G159">
        <v>6.3819999999999997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-0.43655413271245636</v>
      </c>
      <c r="Q159">
        <f t="shared" ref="Q159" si="771">F159*P159</f>
        <v>-2289241.0913853319</v>
      </c>
      <c r="R159">
        <f t="shared" ref="R159" si="772">R160+Q159</f>
        <v>106885140.83975488</v>
      </c>
      <c r="S159">
        <f t="shared" ref="S159" si="773">R159/100000</f>
        <v>1068.8514083975488</v>
      </c>
      <c r="T159">
        <f t="shared" ref="T159" si="774">S159/1000</f>
        <v>1.0688514083975487</v>
      </c>
    </row>
    <row r="160" spans="1:20" x14ac:dyDescent="0.25">
      <c r="A160" s="5">
        <v>44433</v>
      </c>
      <c r="B160">
        <v>6.7561</v>
      </c>
      <c r="C160">
        <v>7.0556000000000001</v>
      </c>
      <c r="D160">
        <v>6.3323999999999998</v>
      </c>
      <c r="E160">
        <v>6.9997999999999996</v>
      </c>
      <c r="F160">
        <v>4486025.26</v>
      </c>
      <c r="G160">
        <v>6.9997999999999996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0.84568584070796327</v>
      </c>
      <c r="Q160">
        <f t="shared" ref="Q160" si="776">F160*P160</f>
        <v>3793768.0434402595</v>
      </c>
      <c r="R160">
        <f t="shared" ref="R160" si="777">R161+Q160</f>
        <v>109174381.93114021</v>
      </c>
      <c r="S160">
        <f t="shared" ref="S160" si="778">R160/100000</f>
        <v>1091.7438193114021</v>
      </c>
      <c r="T160">
        <f t="shared" ref="T160" si="779">S160/1000</f>
        <v>1.0917438193114022</v>
      </c>
    </row>
    <row r="161" spans="1:20" x14ac:dyDescent="0.25">
      <c r="A161" s="5">
        <v>44432</v>
      </c>
      <c r="B161">
        <v>7.5689000000000002</v>
      </c>
      <c r="C161">
        <v>7.9866000000000001</v>
      </c>
      <c r="D161">
        <v>6.5917000000000003</v>
      </c>
      <c r="E161">
        <v>6.7561</v>
      </c>
      <c r="F161">
        <v>5758174.6799999997</v>
      </c>
      <c r="G161">
        <v>6.7561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-0.76428417807728199</v>
      </c>
      <c r="Q161">
        <f t="shared" ref="Q161" si="781">F161*P161</f>
        <v>-4400881.8025292158</v>
      </c>
      <c r="R161">
        <f t="shared" ref="R161" si="782">R162+Q161</f>
        <v>105380613.88769996</v>
      </c>
      <c r="S161">
        <f t="shared" ref="S161" si="783">R161/100000</f>
        <v>1053.8061388769995</v>
      </c>
      <c r="T161">
        <f t="shared" ref="T161" si="784">S161/1000</f>
        <v>1.0538061388769995</v>
      </c>
    </row>
    <row r="162" spans="1:20" x14ac:dyDescent="0.25">
      <c r="A162" s="5">
        <v>44431</v>
      </c>
      <c r="B162">
        <v>7.4969999999999999</v>
      </c>
      <c r="C162">
        <v>7.8672000000000004</v>
      </c>
      <c r="D162">
        <v>7.3407999999999998</v>
      </c>
      <c r="E162">
        <v>7.5675999999999997</v>
      </c>
      <c r="F162">
        <v>3868713.3</v>
      </c>
      <c r="G162">
        <v>7.5675999999999997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-0.13829787234042701</v>
      </c>
      <c r="Q162">
        <f t="shared" ref="Q162" si="786">F162*P162</f>
        <v>-535034.81808511203</v>
      </c>
      <c r="R162">
        <f t="shared" ref="R162" si="787">R163+Q162</f>
        <v>109781495.69022918</v>
      </c>
      <c r="S162">
        <f t="shared" ref="S162" si="788">R162/100000</f>
        <v>1097.8149569022917</v>
      </c>
      <c r="T162">
        <f t="shared" ref="T162" si="789">S162/1000</f>
        <v>1.0978149569022917</v>
      </c>
    </row>
    <row r="163" spans="1:20" x14ac:dyDescent="0.25">
      <c r="A163" s="5">
        <v>44430</v>
      </c>
      <c r="B163">
        <v>7.66</v>
      </c>
      <c r="C163">
        <v>7.8213999999999997</v>
      </c>
      <c r="D163">
        <v>7.5374999999999996</v>
      </c>
      <c r="E163">
        <v>7.7062999999999997</v>
      </c>
      <c r="F163">
        <v>1009793.74</v>
      </c>
      <c r="G163">
        <v>7.7062999999999997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0.1891511095456149</v>
      </c>
      <c r="Q163">
        <f t="shared" ref="Q163" si="791">F163*P163</f>
        <v>191003.60633321616</v>
      </c>
      <c r="R163">
        <f t="shared" ref="R163" si="792">R164+Q163</f>
        <v>110316530.5083143</v>
      </c>
      <c r="S163">
        <f t="shared" ref="S163" si="793">R163/100000</f>
        <v>1103.165305083143</v>
      </c>
      <c r="T163">
        <f t="shared" ref="T163" si="794">S163/1000</f>
        <v>1.1031653050831431</v>
      </c>
    </row>
    <row r="164" spans="1:20" x14ac:dyDescent="0.25">
      <c r="A164" s="5">
        <v>44429</v>
      </c>
      <c r="B164">
        <v>7.8878000000000004</v>
      </c>
      <c r="C164">
        <v>8.2081</v>
      </c>
      <c r="D164">
        <v>7.5251000000000001</v>
      </c>
      <c r="E164">
        <v>7.6563999999999997</v>
      </c>
      <c r="F164">
        <v>5398529.29</v>
      </c>
      <c r="G164">
        <v>7.6563999999999997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-0.61551976573938638</v>
      </c>
      <c r="Q164">
        <f t="shared" ref="Q164" si="796">F164*P164</f>
        <v>-3322901.4839180158</v>
      </c>
      <c r="R164">
        <f t="shared" ref="R164" si="797">R165+Q164</f>
        <v>110125526.90198109</v>
      </c>
      <c r="S164">
        <f t="shared" ref="S164" si="798">R164/100000</f>
        <v>1101.2552690198108</v>
      </c>
      <c r="T164">
        <f t="shared" ref="T164" si="799">S164/1000</f>
        <v>1.1012552690198107</v>
      </c>
    </row>
    <row r="165" spans="1:20" x14ac:dyDescent="0.25">
      <c r="A165" s="5">
        <v>44428</v>
      </c>
      <c r="B165">
        <v>7.8940000000000001</v>
      </c>
      <c r="C165">
        <v>7.95</v>
      </c>
      <c r="D165">
        <v>7.5838999999999999</v>
      </c>
      <c r="E165">
        <v>7.8876999999999997</v>
      </c>
      <c r="F165">
        <v>5138759.24</v>
      </c>
      <c r="G165">
        <v>7.8876999999999997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0.65965583173995945</v>
      </c>
      <c r="Q165">
        <f t="shared" ref="Q165" si="801">F165*P165</f>
        <v>3389812.500573602</v>
      </c>
      <c r="R165">
        <f t="shared" ref="R165" si="802">R166+Q165</f>
        <v>113448428.3858991</v>
      </c>
      <c r="S165">
        <f t="shared" ref="S165" si="803">R165/100000</f>
        <v>1134.4842838589909</v>
      </c>
      <c r="T165">
        <f t="shared" ref="T165" si="804">S165/1000</f>
        <v>1.134484283858991</v>
      </c>
    </row>
    <row r="166" spans="1:20" x14ac:dyDescent="0.25">
      <c r="A166" s="5">
        <v>44427</v>
      </c>
      <c r="B166">
        <v>7.8266999999999998</v>
      </c>
      <c r="C166">
        <v>8.6199999999999992</v>
      </c>
      <c r="D166">
        <v>7.4278000000000004</v>
      </c>
      <c r="E166">
        <v>7.8960999999999997</v>
      </c>
      <c r="F166">
        <v>15525390.41</v>
      </c>
      <c r="G166">
        <v>7.8960999999999997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-0.21439355812783134</v>
      </c>
      <c r="Q166">
        <f t="shared" ref="Q166" si="806">F166*P166</f>
        <v>-3328543.6913236105</v>
      </c>
      <c r="R166">
        <f t="shared" ref="R166" si="807">R167+Q166</f>
        <v>110058615.88532549</v>
      </c>
      <c r="S166">
        <f t="shared" ref="S166" si="808">R166/100000</f>
        <v>1100.5861588532548</v>
      </c>
      <c r="T166">
        <f t="shared" ref="T166" si="809">S166/1000</f>
        <v>1.1005861588532548</v>
      </c>
    </row>
    <row r="167" spans="1:20" x14ac:dyDescent="0.25">
      <c r="A167" s="5">
        <v>44426</v>
      </c>
      <c r="B167">
        <v>6.2916999999999996</v>
      </c>
      <c r="C167">
        <v>8.25</v>
      </c>
      <c r="D167">
        <v>5.8010999999999999</v>
      </c>
      <c r="E167">
        <v>7.7885999999999997</v>
      </c>
      <c r="F167">
        <v>25369211.170000002</v>
      </c>
      <c r="G167">
        <v>7.7885999999999997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0.62317775327698133</v>
      </c>
      <c r="Q167">
        <f t="shared" ref="Q167" si="811">F167*P167</f>
        <v>15809528.0193299</v>
      </c>
      <c r="R167">
        <f t="shared" ref="R167" si="812">R168+Q167</f>
        <v>113387159.5766491</v>
      </c>
      <c r="S167">
        <f t="shared" ref="S167" si="813">R167/100000</f>
        <v>1133.8715957664911</v>
      </c>
      <c r="T167">
        <f t="shared" ref="T167" si="814">S167/1000</f>
        <v>1.1338715957664911</v>
      </c>
    </row>
    <row r="168" spans="1:20" x14ac:dyDescent="0.25">
      <c r="A168" s="5">
        <v>44425</v>
      </c>
      <c r="B168">
        <v>6.7685000000000004</v>
      </c>
      <c r="C168">
        <v>7.3234000000000004</v>
      </c>
      <c r="D168">
        <v>6.1265000000000001</v>
      </c>
      <c r="E168">
        <v>6.2854999999999999</v>
      </c>
      <c r="F168">
        <v>12403608.57</v>
      </c>
      <c r="G168">
        <v>6.2854999999999999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-0.73431364357924678</v>
      </c>
      <c r="Q168">
        <f t="shared" ref="Q168" si="816">F168*P168</f>
        <v>-9108139.0025674719</v>
      </c>
      <c r="R168">
        <f t="shared" ref="R168" si="817">R169+Q168</f>
        <v>97577631.557319194</v>
      </c>
      <c r="S168">
        <f t="shared" ref="S168" si="818">R168/100000</f>
        <v>975.77631557319194</v>
      </c>
      <c r="T168">
        <f t="shared" ref="T168" si="819">S168/1000</f>
        <v>0.97577631557319189</v>
      </c>
    </row>
    <row r="169" spans="1:20" x14ac:dyDescent="0.25">
      <c r="A169" s="5">
        <v>44424</v>
      </c>
      <c r="B169">
        <v>6.1760000000000002</v>
      </c>
      <c r="C169">
        <v>7.5833000000000004</v>
      </c>
      <c r="D169">
        <v>5.9402999999999997</v>
      </c>
      <c r="E169">
        <v>6.7674000000000003</v>
      </c>
      <c r="F169">
        <v>22598257.030000001</v>
      </c>
      <c r="G169">
        <v>6.7674000000000003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6.8167985392577832E-3</v>
      </c>
      <c r="Q169">
        <f t="shared" ref="Q169" si="821">F169*P169</f>
        <v>154047.76551187594</v>
      </c>
      <c r="R169">
        <f t="shared" ref="R169" si="822">R170+Q169</f>
        <v>106685770.55988666</v>
      </c>
      <c r="S169">
        <f t="shared" ref="S169" si="823">R169/100000</f>
        <v>1066.8577055988667</v>
      </c>
      <c r="T169">
        <f t="shared" ref="T169" si="824">S169/1000</f>
        <v>1.0668577055988666</v>
      </c>
    </row>
    <row r="170" spans="1:20" x14ac:dyDescent="0.25">
      <c r="A170" s="5">
        <v>44423</v>
      </c>
      <c r="B170">
        <v>5.2350000000000003</v>
      </c>
      <c r="C170">
        <v>6.2</v>
      </c>
      <c r="D170">
        <v>5.0404</v>
      </c>
      <c r="E170">
        <v>6.1760000000000002</v>
      </c>
      <c r="F170">
        <v>9155809.1799999997</v>
      </c>
      <c r="G170">
        <v>6.1760000000000002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0.9586064160055191</v>
      </c>
      <c r="Q170">
        <f t="shared" ref="Q170" si="826">F170*P170</f>
        <v>8776817.4236702304</v>
      </c>
      <c r="R170">
        <f t="shared" ref="R170" si="827">R171+Q170</f>
        <v>106531722.79437479</v>
      </c>
      <c r="S170">
        <f t="shared" ref="S170" si="828">R170/100000</f>
        <v>1065.3172279437479</v>
      </c>
      <c r="T170">
        <f t="shared" ref="T170" si="829">S170/1000</f>
        <v>1.0653172279437479</v>
      </c>
    </row>
    <row r="171" spans="1:20" x14ac:dyDescent="0.25">
      <c r="A171" s="5">
        <v>44422</v>
      </c>
      <c r="B171">
        <v>5.2247000000000003</v>
      </c>
      <c r="C171">
        <v>5.2671000000000001</v>
      </c>
      <c r="D171">
        <v>4.8545999999999996</v>
      </c>
      <c r="E171">
        <v>5.2375999999999996</v>
      </c>
      <c r="F171">
        <v>3164984.28</v>
      </c>
      <c r="G171">
        <v>5.2375999999999996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0.85696969696969461</v>
      </c>
      <c r="Q171">
        <f t="shared" ref="Q171" si="831">F171*P171</f>
        <v>2712295.619345447</v>
      </c>
      <c r="R171">
        <f t="shared" ref="R171" si="832">R172+Q171</f>
        <v>97754905.370704561</v>
      </c>
      <c r="S171">
        <f t="shared" ref="S171" si="833">R171/100000</f>
        <v>977.54905370704557</v>
      </c>
      <c r="T171">
        <f t="shared" ref="T171" si="834">S171/1000</f>
        <v>0.97754905370704559</v>
      </c>
    </row>
    <row r="172" spans="1:20" x14ac:dyDescent="0.25">
      <c r="A172" s="5">
        <v>44421</v>
      </c>
      <c r="B172">
        <v>4.6928999999999998</v>
      </c>
      <c r="C172">
        <v>5.2794999999999996</v>
      </c>
      <c r="D172">
        <v>4.6367000000000003</v>
      </c>
      <c r="E172">
        <v>5.2247000000000003</v>
      </c>
      <c r="F172">
        <v>3038485.93</v>
      </c>
      <c r="G172">
        <v>5.2247000000000003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0.82949595519601949</v>
      </c>
      <c r="Q172">
        <f t="shared" ref="Q172" si="836">F172*P172</f>
        <v>2520411.7888550158</v>
      </c>
      <c r="R172">
        <f t="shared" ref="R172" si="837">R173+Q172</f>
        <v>95042609.75135912</v>
      </c>
      <c r="S172">
        <f t="shared" ref="S172" si="838">R172/100000</f>
        <v>950.42609751359123</v>
      </c>
      <c r="T172">
        <f t="shared" ref="T172" si="839">S172/1000</f>
        <v>0.95042609751359119</v>
      </c>
    </row>
    <row r="173" spans="1:20" x14ac:dyDescent="0.25">
      <c r="A173" s="5">
        <v>44420</v>
      </c>
      <c r="B173">
        <v>4.843</v>
      </c>
      <c r="C173">
        <v>5.1211000000000002</v>
      </c>
      <c r="D173">
        <v>4.45</v>
      </c>
      <c r="E173">
        <v>4.6985000000000001</v>
      </c>
      <c r="F173">
        <v>3158699.49</v>
      </c>
      <c r="G173">
        <v>4.6985000000000001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-0.25942482491431995</v>
      </c>
      <c r="Q173">
        <f t="shared" ref="Q173" si="841">F173*P173</f>
        <v>-819445.06215020176</v>
      </c>
      <c r="R173">
        <f t="shared" ref="R173" si="842">R174+Q173</f>
        <v>92522197.962504104</v>
      </c>
      <c r="S173">
        <f t="shared" ref="S173" si="843">R173/100000</f>
        <v>925.22197962504106</v>
      </c>
      <c r="T173">
        <f t="shared" ref="T173" si="844">S173/1000</f>
        <v>0.92522197962504105</v>
      </c>
    </row>
    <row r="174" spans="1:20" x14ac:dyDescent="0.25">
      <c r="A174" s="5">
        <v>44419</v>
      </c>
      <c r="B174">
        <v>4.6444000000000001</v>
      </c>
      <c r="C174">
        <v>5.25</v>
      </c>
      <c r="D174">
        <v>4.625</v>
      </c>
      <c r="E174">
        <v>4.8411999999999997</v>
      </c>
      <c r="F174">
        <v>4801844.0999999996</v>
      </c>
      <c r="G174">
        <v>4.8411999999999997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-0.30816000000000088</v>
      </c>
      <c r="Q174">
        <f t="shared" ref="Q174" si="846">F174*P174</f>
        <v>-1479736.2778560042</v>
      </c>
      <c r="R174">
        <f t="shared" ref="R174" si="847">R175+Q174</f>
        <v>93341643.024654299</v>
      </c>
      <c r="S174">
        <f t="shared" ref="S174" si="848">R174/100000</f>
        <v>933.41643024654297</v>
      </c>
      <c r="T174">
        <f t="shared" ref="T174" si="849">S174/1000</f>
        <v>0.93341643024654297</v>
      </c>
    </row>
    <row r="175" spans="1:20" x14ac:dyDescent="0.25">
      <c r="A175" s="5">
        <v>44418</v>
      </c>
      <c r="B175">
        <v>4.5773000000000001</v>
      </c>
      <c r="C175">
        <v>5.0999999999999996</v>
      </c>
      <c r="D175">
        <v>4.4416000000000002</v>
      </c>
      <c r="E175">
        <v>4.6440999999999999</v>
      </c>
      <c r="F175">
        <v>4153060.63</v>
      </c>
      <c r="G175">
        <v>4.6440999999999999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-0.38487241798298949</v>
      </c>
      <c r="Q175">
        <f t="shared" ref="Q175" si="851">F175*P175</f>
        <v>-1598398.4866980575</v>
      </c>
      <c r="R175">
        <f t="shared" ref="R175" si="852">R176+Q175</f>
        <v>94821379.302510306</v>
      </c>
      <c r="S175">
        <f t="shared" ref="S175" si="853">R175/100000</f>
        <v>948.21379302510309</v>
      </c>
      <c r="T175">
        <f t="shared" ref="T175" si="854">S175/1000</f>
        <v>0.94821379302510311</v>
      </c>
    </row>
    <row r="176" spans="1:20" x14ac:dyDescent="0.25">
      <c r="A176" s="5">
        <v>44417</v>
      </c>
      <c r="B176">
        <v>4.2552000000000003</v>
      </c>
      <c r="C176">
        <v>4.67</v>
      </c>
      <c r="D176">
        <v>4.0274000000000001</v>
      </c>
      <c r="E176">
        <v>4.5778999999999996</v>
      </c>
      <c r="F176">
        <v>2525480.5099999998</v>
      </c>
      <c r="G176">
        <v>4.5778999999999996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0.71335200746965355</v>
      </c>
      <c r="Q176">
        <f t="shared" ref="Q176" si="856">F176*P176</f>
        <v>1801556.5916339844</v>
      </c>
      <c r="R176">
        <f t="shared" ref="R176" si="857">R177+Q176</f>
        <v>96419777.789208367</v>
      </c>
      <c r="S176">
        <f t="shared" ref="S176" si="858">R176/100000</f>
        <v>964.19777789208365</v>
      </c>
      <c r="T176">
        <f t="shared" ref="T176" si="859">S176/1000</f>
        <v>0.96419777789208361</v>
      </c>
    </row>
    <row r="177" spans="1:20" x14ac:dyDescent="0.25">
      <c r="A177" s="5">
        <v>44416</v>
      </c>
      <c r="B177">
        <v>4.5948000000000002</v>
      </c>
      <c r="C177">
        <v>4.6398000000000001</v>
      </c>
      <c r="D177">
        <v>4.1433</v>
      </c>
      <c r="E177">
        <v>4.2535999999999996</v>
      </c>
      <c r="F177">
        <v>2325398.5</v>
      </c>
      <c r="G177">
        <v>4.2535999999999996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-0.55568982880161299</v>
      </c>
      <c r="Q177">
        <f t="shared" ref="Q177" si="861">F177*P177</f>
        <v>-1292200.2943605278</v>
      </c>
      <c r="R177">
        <f t="shared" ref="R177" si="862">R178+Q177</f>
        <v>94618221.197574377</v>
      </c>
      <c r="S177">
        <f t="shared" ref="S177" si="863">R177/100000</f>
        <v>946.18221197574383</v>
      </c>
      <c r="T177">
        <f t="shared" ref="T177" si="864">S177/1000</f>
        <v>0.94618221197574381</v>
      </c>
    </row>
    <row r="178" spans="1:20" x14ac:dyDescent="0.25">
      <c r="A178" s="5">
        <v>44415</v>
      </c>
      <c r="B178">
        <v>4.5418000000000003</v>
      </c>
      <c r="C178">
        <v>4.7560000000000002</v>
      </c>
      <c r="D178">
        <v>4.3800999999999997</v>
      </c>
      <c r="E178">
        <v>4.5864000000000003</v>
      </c>
      <c r="F178">
        <v>3022110.17</v>
      </c>
      <c r="G178">
        <v>4.5864000000000003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9.7632349028998575E-2</v>
      </c>
      <c r="Q178">
        <f t="shared" ref="Q178" si="866">F178*P178</f>
        <v>295055.7149215262</v>
      </c>
      <c r="R178">
        <f t="shared" ref="R178" si="867">R179+Q178</f>
        <v>95910421.49193491</v>
      </c>
      <c r="S178">
        <f t="shared" ref="S178" si="868">R178/100000</f>
        <v>959.10421491934915</v>
      </c>
      <c r="T178">
        <f t="shared" ref="T178" si="869">S178/1000</f>
        <v>0.95910421491934916</v>
      </c>
    </row>
    <row r="179" spans="1:20" x14ac:dyDescent="0.25">
      <c r="A179" s="5">
        <v>44414</v>
      </c>
      <c r="B179">
        <v>4.4565000000000001</v>
      </c>
      <c r="C179">
        <v>4.6364000000000001</v>
      </c>
      <c r="D179">
        <v>4.3148999999999997</v>
      </c>
      <c r="E179">
        <v>4.5441000000000003</v>
      </c>
      <c r="F179">
        <v>2209316.29</v>
      </c>
      <c r="G179">
        <v>4.5441000000000003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0.42581648522550714</v>
      </c>
      <c r="Q179">
        <f t="shared" ref="Q179" si="871">F179*P179</f>
        <v>940763.29735925724</v>
      </c>
      <c r="R179">
        <f t="shared" ref="R179" si="872">R180+Q179</f>
        <v>95615365.777013391</v>
      </c>
      <c r="S179">
        <f t="shared" ref="S179" si="873">R179/100000</f>
        <v>956.15365777013392</v>
      </c>
      <c r="T179">
        <f t="shared" ref="T179" si="874">S179/1000</f>
        <v>0.95615365777013395</v>
      </c>
    </row>
    <row r="180" spans="1:20" x14ac:dyDescent="0.25">
      <c r="A180" s="5">
        <v>44413</v>
      </c>
      <c r="B180">
        <v>4.5559000000000003</v>
      </c>
      <c r="C180">
        <v>4.5971000000000002</v>
      </c>
      <c r="D180">
        <v>4.2103000000000002</v>
      </c>
      <c r="E180">
        <v>4.4538000000000002</v>
      </c>
      <c r="F180">
        <v>2806515.78</v>
      </c>
      <c r="G180">
        <v>4.4538000000000002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0.25904860392967954</v>
      </c>
      <c r="Q180">
        <f t="shared" ref="Q180" si="876">F180*P180</f>
        <v>727023.99471561564</v>
      </c>
      <c r="R180">
        <f t="shared" ref="R180" si="877">R181+Q180</f>
        <v>94674602.479654133</v>
      </c>
      <c r="S180">
        <f t="shared" ref="S180" si="878">R180/100000</f>
        <v>946.74602479654129</v>
      </c>
      <c r="T180">
        <f t="shared" ref="T180" si="879">S180/1000</f>
        <v>0.94674602479654124</v>
      </c>
    </row>
    <row r="181" spans="1:20" x14ac:dyDescent="0.25">
      <c r="A181" s="5">
        <v>44412</v>
      </c>
      <c r="B181">
        <v>4.5148000000000001</v>
      </c>
      <c r="C181">
        <v>4.6212999999999997</v>
      </c>
      <c r="D181">
        <v>4.1352000000000002</v>
      </c>
      <c r="E181">
        <v>4.5593000000000004</v>
      </c>
      <c r="F181">
        <v>5394919.3899999997</v>
      </c>
      <c r="G181">
        <v>4.5593000000000004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0.74490845505040337</v>
      </c>
      <c r="Q181">
        <f t="shared" ref="Q181" si="881">F181*P181</f>
        <v>4018721.0679263645</v>
      </c>
      <c r="R181">
        <f t="shared" ref="R181" si="882">R182+Q181</f>
        <v>93947578.484938517</v>
      </c>
      <c r="S181">
        <f t="shared" ref="S181" si="883">R181/100000</f>
        <v>939.47578484938515</v>
      </c>
      <c r="T181">
        <f t="shared" ref="T181" si="884">S181/1000</f>
        <v>0.9394757848493851</v>
      </c>
    </row>
    <row r="182" spans="1:20" x14ac:dyDescent="0.25">
      <c r="A182" s="5">
        <v>44411</v>
      </c>
      <c r="B182">
        <v>3.9318</v>
      </c>
      <c r="C182">
        <v>4.5145999999999997</v>
      </c>
      <c r="D182">
        <v>3.7296999999999998</v>
      </c>
      <c r="E182">
        <v>4.5145999999999997</v>
      </c>
      <c r="F182">
        <v>4431462.4800000004</v>
      </c>
      <c r="G182">
        <v>4.5145999999999997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1</v>
      </c>
      <c r="Q182">
        <f t="shared" ref="Q182" si="886">F182*P182</f>
        <v>4431462.4800000004</v>
      </c>
      <c r="R182">
        <f t="shared" ref="R182" si="887">R183+Q182</f>
        <v>89928857.417012155</v>
      </c>
      <c r="S182">
        <f t="shared" ref="S182" si="888">R182/100000</f>
        <v>899.28857417012159</v>
      </c>
      <c r="T182">
        <f t="shared" ref="T182" si="889">S182/1000</f>
        <v>0.89928857417012165</v>
      </c>
    </row>
    <row r="183" spans="1:20" x14ac:dyDescent="0.25">
      <c r="A183" s="5">
        <v>44410</v>
      </c>
      <c r="B183">
        <v>3.7671999999999999</v>
      </c>
      <c r="C183">
        <v>4.1280999999999999</v>
      </c>
      <c r="D183">
        <v>3.6932</v>
      </c>
      <c r="E183">
        <v>3.9373</v>
      </c>
      <c r="F183">
        <v>3047078.39</v>
      </c>
      <c r="G183">
        <v>3.9373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0.12255690963439904</v>
      </c>
      <c r="Q183">
        <f t="shared" ref="Q183" si="891">F183*P183</f>
        <v>373440.51089216012</v>
      </c>
      <c r="R183">
        <f t="shared" ref="R183" si="892">R184+Q183</f>
        <v>85497394.937012151</v>
      </c>
      <c r="S183">
        <f t="shared" ref="S183" si="893">R183/100000</f>
        <v>854.97394937012155</v>
      </c>
      <c r="T183">
        <f t="shared" ref="T183" si="894">S183/1000</f>
        <v>0.8549739493701215</v>
      </c>
    </row>
    <row r="184" spans="1:20" x14ac:dyDescent="0.25">
      <c r="A184" s="5">
        <v>44409</v>
      </c>
      <c r="B184">
        <v>4.0327999999999999</v>
      </c>
      <c r="C184">
        <v>4.2972000000000001</v>
      </c>
      <c r="D184">
        <v>3.7004999999999999</v>
      </c>
      <c r="E184">
        <v>3.7652999999999999</v>
      </c>
      <c r="F184">
        <v>4463345.3899999997</v>
      </c>
      <c r="G184">
        <v>3.7652999999999999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-0.78280542986425361</v>
      </c>
      <c r="Q184">
        <f t="shared" ref="Q184" si="896">F184*P184</f>
        <v>-3493931.0066515845</v>
      </c>
      <c r="R184">
        <f t="shared" ref="R184" si="897">R185+Q184</f>
        <v>85123954.426119998</v>
      </c>
      <c r="S184">
        <f t="shared" ref="S184" si="898">R184/100000</f>
        <v>851.23954426119997</v>
      </c>
      <c r="T184">
        <f t="shared" ref="T184" si="899">S184/1000</f>
        <v>0.85123954426119997</v>
      </c>
    </row>
    <row r="185" spans="1:20" x14ac:dyDescent="0.25">
      <c r="A185" s="5">
        <v>44408</v>
      </c>
      <c r="B185">
        <v>3.8953000000000002</v>
      </c>
      <c r="C185">
        <v>4.2228000000000003</v>
      </c>
      <c r="D185">
        <v>3.7732000000000001</v>
      </c>
      <c r="E185">
        <v>4.0313999999999997</v>
      </c>
      <c r="F185">
        <v>4957745.09</v>
      </c>
      <c r="G185">
        <v>4.0313999999999997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0.1485765124555134</v>
      </c>
      <c r="Q185">
        <f t="shared" ref="Q185" si="901">F185*P185</f>
        <v>736604.47511564533</v>
      </c>
      <c r="R185">
        <f t="shared" ref="R185" si="902">R186+Q185</f>
        <v>88617885.432771578</v>
      </c>
      <c r="S185">
        <f t="shared" ref="S185" si="903">R185/100000</f>
        <v>886.17885432771584</v>
      </c>
      <c r="T185">
        <f t="shared" ref="T185" si="904">S185/1000</f>
        <v>0.88617885432771581</v>
      </c>
    </row>
    <row r="186" spans="1:20" x14ac:dyDescent="0.25">
      <c r="A186" s="5">
        <v>44407</v>
      </c>
      <c r="B186">
        <v>3.5889000000000002</v>
      </c>
      <c r="C186">
        <v>3.9007000000000001</v>
      </c>
      <c r="D186">
        <v>3.3910999999999998</v>
      </c>
      <c r="E186">
        <v>3.895</v>
      </c>
      <c r="F186">
        <v>5748555.5599999996</v>
      </c>
      <c r="G186">
        <v>3.895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0.97762951334379888</v>
      </c>
      <c r="Q186">
        <f t="shared" ref="Q186" si="906">F186*P186</f>
        <v>5619957.5745525891</v>
      </c>
      <c r="R186">
        <f t="shared" ref="R186" si="907">R187+Q186</f>
        <v>87881280.957655936</v>
      </c>
      <c r="S186">
        <f t="shared" ref="S186" si="908">R186/100000</f>
        <v>878.8128095765594</v>
      </c>
      <c r="T186">
        <f t="shared" ref="T186" si="909">S186/1000</f>
        <v>0.87881280957655938</v>
      </c>
    </row>
    <row r="187" spans="1:20" x14ac:dyDescent="0.25">
      <c r="A187" s="5">
        <v>44406</v>
      </c>
      <c r="B187">
        <v>3.2441</v>
      </c>
      <c r="C187">
        <v>3.73</v>
      </c>
      <c r="D187">
        <v>3.1486999999999998</v>
      </c>
      <c r="E187">
        <v>3.5859999999999999</v>
      </c>
      <c r="F187">
        <v>5443317.6399999997</v>
      </c>
      <c r="G187">
        <v>3.5859999999999999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0.50455874763461173</v>
      </c>
      <c r="Q187">
        <f t="shared" ref="Q187" si="911">F187*P187</f>
        <v>2746473.5314157903</v>
      </c>
      <c r="R187">
        <f t="shared" ref="R187" si="912">R188+Q187</f>
        <v>82261323.383103341</v>
      </c>
      <c r="S187">
        <f t="shared" ref="S187" si="913">R187/100000</f>
        <v>822.61323383103343</v>
      </c>
      <c r="T187">
        <f t="shared" ref="T187" si="914">S187/1000</f>
        <v>0.82261323383103346</v>
      </c>
    </row>
    <row r="188" spans="1:20" x14ac:dyDescent="0.25">
      <c r="A188" s="5">
        <v>44405</v>
      </c>
      <c r="B188">
        <v>3.1844999999999999</v>
      </c>
      <c r="C188">
        <v>3.2970000000000002</v>
      </c>
      <c r="D188">
        <v>3.0811000000000002</v>
      </c>
      <c r="E188">
        <v>3.2465999999999999</v>
      </c>
      <c r="F188">
        <v>3171617.45</v>
      </c>
      <c r="G188">
        <v>3.2465999999999999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0.53311718388142448</v>
      </c>
      <c r="Q188">
        <f t="shared" ref="Q188" si="916">F188*P188</f>
        <v>1690843.7632931848</v>
      </c>
      <c r="R188">
        <f t="shared" ref="R188" si="917">R189+Q188</f>
        <v>79514849.851687551</v>
      </c>
      <c r="S188">
        <f t="shared" ref="S188" si="918">R188/100000</f>
        <v>795.14849851687552</v>
      </c>
      <c r="T188">
        <f t="shared" ref="T188" si="919">S188/1000</f>
        <v>0.79514849851687552</v>
      </c>
    </row>
    <row r="189" spans="1:20" x14ac:dyDescent="0.25">
      <c r="A189" s="5">
        <v>44404</v>
      </c>
      <c r="B189">
        <v>3.0489000000000002</v>
      </c>
      <c r="C189">
        <v>3.2841</v>
      </c>
      <c r="D189">
        <v>2.9464000000000001</v>
      </c>
      <c r="E189">
        <v>3.1844999999999999</v>
      </c>
      <c r="F189">
        <v>3174303.61</v>
      </c>
      <c r="G189">
        <v>3.1844999999999999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0.41012733195143519</v>
      </c>
      <c r="Q189">
        <f t="shared" ref="Q189" si="921">F189*P189</f>
        <v>1301868.6703731089</v>
      </c>
      <c r="R189">
        <f t="shared" ref="R189" si="922">R190+Q189</f>
        <v>77824006.088394359</v>
      </c>
      <c r="S189">
        <f t="shared" ref="S189" si="923">R189/100000</f>
        <v>778.24006088394356</v>
      </c>
      <c r="T189">
        <f t="shared" ref="T189" si="924">S189/1000</f>
        <v>0.7782400608839436</v>
      </c>
    </row>
    <row r="190" spans="1:20" x14ac:dyDescent="0.25">
      <c r="A190" s="5">
        <v>44403</v>
      </c>
      <c r="B190">
        <v>2.9731000000000001</v>
      </c>
      <c r="C190">
        <v>3.4430000000000001</v>
      </c>
      <c r="D190">
        <v>2.9508999999999999</v>
      </c>
      <c r="E190">
        <v>3.0482</v>
      </c>
      <c r="F190">
        <v>7720895.6100000003</v>
      </c>
      <c r="G190">
        <v>3.0482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-0.60455192034139349</v>
      </c>
      <c r="Q190">
        <f t="shared" ref="Q190" si="926">F190*P190</f>
        <v>-4667682.2677809345</v>
      </c>
      <c r="R190">
        <f t="shared" ref="R190" si="927">R191+Q190</f>
        <v>76522137.418021247</v>
      </c>
      <c r="S190">
        <f t="shared" ref="S190" si="928">R190/100000</f>
        <v>765.22137418021248</v>
      </c>
      <c r="T190">
        <f t="shared" ref="T190" si="929">S190/1000</f>
        <v>0.76522137418021252</v>
      </c>
    </row>
    <row r="191" spans="1:20" x14ac:dyDescent="0.25">
      <c r="A191" s="5">
        <v>44402</v>
      </c>
      <c r="B191">
        <v>2.8837999999999999</v>
      </c>
      <c r="C191">
        <v>3.0583999999999998</v>
      </c>
      <c r="D191">
        <v>2.8073000000000001</v>
      </c>
      <c r="E191">
        <v>2.9735999999999998</v>
      </c>
      <c r="F191">
        <v>2490091.4300000002</v>
      </c>
      <c r="G191">
        <v>2.9735999999999998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0.32457188371166784</v>
      </c>
      <c r="Q191">
        <f t="shared" ref="Q191" si="931">F191*P191</f>
        <v>808213.66604938079</v>
      </c>
      <c r="R191">
        <f t="shared" ref="R191" si="932">R192+Q191</f>
        <v>81189819.685802177</v>
      </c>
      <c r="S191">
        <f t="shared" ref="S191" si="933">R191/100000</f>
        <v>811.89819685802172</v>
      </c>
      <c r="T191">
        <f t="shared" ref="T191:T197" si="934">S191/1000</f>
        <v>0.81189819685802167</v>
      </c>
    </row>
    <row r="192" spans="1:20" x14ac:dyDescent="0.25">
      <c r="A192" s="5">
        <v>44401</v>
      </c>
      <c r="B192">
        <v>2.8045</v>
      </c>
      <c r="C192">
        <v>2.9708999999999999</v>
      </c>
      <c r="D192">
        <v>2.78</v>
      </c>
      <c r="E192">
        <v>2.8834</v>
      </c>
      <c r="F192">
        <v>2741978.93</v>
      </c>
      <c r="G192">
        <v>2.8834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8.3289680460975596E-2</v>
      </c>
      <c r="Q192">
        <f t="shared" ref="Q192" si="936">F192*P192</f>
        <v>228378.54891042778</v>
      </c>
      <c r="R192">
        <f t="shared" ref="R192" si="937">R193+Q192</f>
        <v>80381606.0197528</v>
      </c>
      <c r="S192">
        <f t="shared" ref="S192" si="938">R192/100000</f>
        <v>803.81606019752803</v>
      </c>
      <c r="T192">
        <f t="shared" si="934"/>
        <v>0.80381606019752805</v>
      </c>
    </row>
    <row r="193" spans="1:20" x14ac:dyDescent="0.25">
      <c r="A193" s="5">
        <v>44400</v>
      </c>
      <c r="B193">
        <v>2.7522000000000002</v>
      </c>
      <c r="C193">
        <v>2.8879999999999999</v>
      </c>
      <c r="D193">
        <v>2.6223999999999998</v>
      </c>
      <c r="E193">
        <v>2.8043999999999998</v>
      </c>
      <c r="F193">
        <v>2462428.1</v>
      </c>
      <c r="G193">
        <v>2.8043999999999998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0.3704819277108426</v>
      </c>
      <c r="Q193">
        <f t="shared" ref="Q193" si="940">F193*P193</f>
        <v>912285.10933734756</v>
      </c>
      <c r="R193">
        <f t="shared" ref="R193" si="941">R194+Q193</f>
        <v>80153227.470842376</v>
      </c>
      <c r="S193">
        <f t="shared" ref="S193" si="942">R193/100000</f>
        <v>801.53227470842376</v>
      </c>
      <c r="T193">
        <f t="shared" si="934"/>
        <v>0.80153227470842381</v>
      </c>
    </row>
    <row r="194" spans="1:20" x14ac:dyDescent="0.25">
      <c r="A194" s="5">
        <v>44399</v>
      </c>
      <c r="B194">
        <v>2.7189999999999999</v>
      </c>
      <c r="C194">
        <v>2.8498000000000001</v>
      </c>
      <c r="D194">
        <v>2.677</v>
      </c>
      <c r="E194">
        <v>2.7522000000000002</v>
      </c>
      <c r="F194">
        <v>2623589.2999999998</v>
      </c>
      <c r="G194">
        <v>2.7522000000000002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-0.12962962962962815</v>
      </c>
      <c r="Q194">
        <f t="shared" ref="Q194" si="944">F194*P194</f>
        <v>-340094.90925925534</v>
      </c>
      <c r="R194">
        <f t="shared" ref="R194" si="945">R195+Q194</f>
        <v>79240942.361505032</v>
      </c>
      <c r="S194">
        <f t="shared" ref="S194" si="946">R194/100000</f>
        <v>792.40942361505029</v>
      </c>
      <c r="T194">
        <f t="shared" si="934"/>
        <v>0.79240942361505029</v>
      </c>
    </row>
    <row r="195" spans="1:20" x14ac:dyDescent="0.25">
      <c r="A195" s="5">
        <v>44398</v>
      </c>
      <c r="B195">
        <v>2.4645999999999999</v>
      </c>
      <c r="C195">
        <v>2.8096000000000001</v>
      </c>
      <c r="D195">
        <v>2.3976999999999999</v>
      </c>
      <c r="E195">
        <v>2.7183000000000002</v>
      </c>
      <c r="F195">
        <v>2778635.38</v>
      </c>
      <c r="G195">
        <v>2.7183000000000002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0.55668851663025054</v>
      </c>
      <c r="Q195">
        <f t="shared" ref="Q195" si="948">F195*P195</f>
        <v>1546834.4079485324</v>
      </c>
      <c r="R195">
        <f t="shared" ref="R195" si="949">R196+Q195</f>
        <v>79581037.270764291</v>
      </c>
      <c r="S195">
        <f t="shared" ref="S195" si="950">R195/100000</f>
        <v>795.81037270764295</v>
      </c>
      <c r="T195">
        <f t="shared" si="934"/>
        <v>0.79581037270764299</v>
      </c>
    </row>
    <row r="196" spans="1:20" x14ac:dyDescent="0.25">
      <c r="A196" s="5">
        <v>44397</v>
      </c>
      <c r="B196">
        <v>2.6638999999999999</v>
      </c>
      <c r="C196">
        <v>2.7214</v>
      </c>
      <c r="D196">
        <v>2.3843999999999999</v>
      </c>
      <c r="E196">
        <v>2.4649000000000001</v>
      </c>
      <c r="F196">
        <v>2349741.86</v>
      </c>
      <c r="G196">
        <v>2.4649000000000001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-0.5222551928783371</v>
      </c>
      <c r="Q196">
        <f t="shared" ref="Q196" si="952">F196*P196</f>
        <v>-1227164.8883086026</v>
      </c>
      <c r="R196">
        <f t="shared" ref="R196" si="953">R197+Q196</f>
        <v>78034202.862815753</v>
      </c>
      <c r="S196">
        <f t="shared" ref="S196" si="954">R196/100000</f>
        <v>780.34202862815755</v>
      </c>
      <c r="T196">
        <f t="shared" si="934"/>
        <v>0.7803420286281576</v>
      </c>
    </row>
    <row r="197" spans="1:20" x14ac:dyDescent="0.25">
      <c r="A197" s="5">
        <v>44396</v>
      </c>
      <c r="B197">
        <v>2.9056999999999999</v>
      </c>
      <c r="C197">
        <v>3.0785999999999998</v>
      </c>
      <c r="D197">
        <v>2.6326999999999998</v>
      </c>
      <c r="E197">
        <v>2.6631999999999998</v>
      </c>
      <c r="F197">
        <v>4092729.87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-0.86319802646333266</v>
      </c>
      <c r="Q197">
        <f t="shared" ref="Q197" si="956">F197*P197</f>
        <v>-3532836.3466315321</v>
      </c>
      <c r="R197">
        <f t="shared" ref="R197" si="957">R198+Q197</f>
        <v>79261367.751124352</v>
      </c>
      <c r="S197">
        <f t="shared" ref="S197" si="958">R197/100000</f>
        <v>792.61367751124351</v>
      </c>
      <c r="T197">
        <f t="shared" si="934"/>
        <v>0.79261367751124356</v>
      </c>
    </row>
    <row r="198" spans="1:20" x14ac:dyDescent="0.25">
      <c r="A198" s="5">
        <v>44395</v>
      </c>
      <c r="B198">
        <v>2.6909000000000001</v>
      </c>
      <c r="C198">
        <v>3.19</v>
      </c>
      <c r="D198">
        <v>2.6858</v>
      </c>
      <c r="E198">
        <v>2.9068000000000001</v>
      </c>
      <c r="F198">
        <v>6067579.9500000002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-0.12336374454581478</v>
      </c>
      <c r="Q198">
        <f t="shared" ref="Q198:Q261" si="960">F198*P198</f>
        <v>-748519.38296310767</v>
      </c>
      <c r="R198">
        <f t="shared" ref="R198:R261" si="961">R199+Q198</f>
        <v>82794204.097755879</v>
      </c>
      <c r="S198">
        <f t="shared" ref="S198:S261" si="962">R198/100000</f>
        <v>827.9420409775588</v>
      </c>
      <c r="T198">
        <f t="shared" ref="T198:T261" si="963">S198/1000</f>
        <v>0.82794204097755886</v>
      </c>
    </row>
    <row r="199" spans="1:20" x14ac:dyDescent="0.25">
      <c r="A199" s="5">
        <v>44394</v>
      </c>
      <c r="B199">
        <v>2.6674000000000002</v>
      </c>
      <c r="C199">
        <v>2.7382</v>
      </c>
      <c r="D199">
        <v>2.6177999999999999</v>
      </c>
      <c r="E199">
        <v>2.6905000000000001</v>
      </c>
      <c r="F199">
        <v>1195232.31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0.20764119601329187</v>
      </c>
      <c r="Q199">
        <f t="shared" si="960"/>
        <v>248179.46636212963</v>
      </c>
      <c r="R199">
        <f t="shared" si="961"/>
        <v>83542723.480718985</v>
      </c>
      <c r="S199">
        <f t="shared" si="962"/>
        <v>835.42723480718985</v>
      </c>
      <c r="T199">
        <f t="shared" si="963"/>
        <v>0.83542723480718983</v>
      </c>
    </row>
    <row r="200" spans="1:20" x14ac:dyDescent="0.25">
      <c r="A200" s="5">
        <v>44393</v>
      </c>
      <c r="B200">
        <v>2.8449</v>
      </c>
      <c r="C200">
        <v>2.8982000000000001</v>
      </c>
      <c r="D200">
        <v>2.6503000000000001</v>
      </c>
      <c r="E200">
        <v>2.6667000000000001</v>
      </c>
      <c r="F200">
        <v>1513067.12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-0.86768858410649485</v>
      </c>
      <c r="Q200">
        <f t="shared" si="960"/>
        <v>-1312871.0670108921</v>
      </c>
      <c r="R200">
        <f t="shared" si="961"/>
        <v>83294544.014356852</v>
      </c>
      <c r="S200">
        <f t="shared" si="962"/>
        <v>832.94544014356848</v>
      </c>
      <c r="T200">
        <f t="shared" si="963"/>
        <v>0.83294544014356853</v>
      </c>
    </row>
    <row r="201" spans="1:20" x14ac:dyDescent="0.25">
      <c r="A201" s="5">
        <v>44392</v>
      </c>
      <c r="B201">
        <v>2.9984999999999999</v>
      </c>
      <c r="C201">
        <v>3.0514999999999999</v>
      </c>
      <c r="D201">
        <v>2.7780999999999998</v>
      </c>
      <c r="E201">
        <v>2.8449</v>
      </c>
      <c r="F201">
        <v>1918198.14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-0.5113386978785649</v>
      </c>
      <c r="Q201">
        <f t="shared" si="960"/>
        <v>-980848.93918068509</v>
      </c>
      <c r="R201">
        <f t="shared" si="961"/>
        <v>84607415.081367746</v>
      </c>
      <c r="S201">
        <f t="shared" si="962"/>
        <v>846.07415081367742</v>
      </c>
      <c r="T201">
        <f t="shared" si="963"/>
        <v>0.84607415081367743</v>
      </c>
    </row>
    <row r="202" spans="1:20" x14ac:dyDescent="0.25">
      <c r="A202" s="5">
        <v>44391</v>
      </c>
      <c r="B202">
        <v>3.0655999999999999</v>
      </c>
      <c r="C202">
        <v>3.0695000000000001</v>
      </c>
      <c r="D202">
        <v>2.8233000000000001</v>
      </c>
      <c r="E202">
        <v>3</v>
      </c>
      <c r="F202">
        <v>1842411.89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0.43541835905767567</v>
      </c>
      <c r="Q202">
        <f t="shared" si="960"/>
        <v>802219.96185215085</v>
      </c>
      <c r="R202">
        <f t="shared" si="961"/>
        <v>85588264.020548433</v>
      </c>
      <c r="S202">
        <f t="shared" si="962"/>
        <v>855.88264020548434</v>
      </c>
      <c r="T202">
        <f t="shared" si="963"/>
        <v>0.85588264020548432</v>
      </c>
    </row>
    <row r="203" spans="1:20" x14ac:dyDescent="0.25">
      <c r="A203" s="5">
        <v>44390</v>
      </c>
      <c r="B203">
        <v>3.2073</v>
      </c>
      <c r="C203">
        <v>3.2288999999999999</v>
      </c>
      <c r="D203">
        <v>2.9718</v>
      </c>
      <c r="E203">
        <v>3.0659999999999998</v>
      </c>
      <c r="F203">
        <v>1543546.79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-0.26721120186697878</v>
      </c>
      <c r="Q203">
        <f t="shared" si="960"/>
        <v>-412452.99289381708</v>
      </c>
      <c r="R203">
        <f t="shared" si="961"/>
        <v>84786044.058696285</v>
      </c>
      <c r="S203">
        <f t="shared" si="962"/>
        <v>847.8604405869628</v>
      </c>
      <c r="T203">
        <f t="shared" si="963"/>
        <v>0.84786044058696275</v>
      </c>
    </row>
    <row r="204" spans="1:20" x14ac:dyDescent="0.25">
      <c r="A204" s="5">
        <v>44389</v>
      </c>
      <c r="B204">
        <v>3.2094999999999998</v>
      </c>
      <c r="C204">
        <v>3.3206000000000002</v>
      </c>
      <c r="D204">
        <v>3.0929000000000002</v>
      </c>
      <c r="E204">
        <v>3.2088000000000001</v>
      </c>
      <c r="F204">
        <v>1957038.81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1.8006148440930042E-2</v>
      </c>
      <c r="Q204">
        <f t="shared" si="960"/>
        <v>35238.731317521087</v>
      </c>
      <c r="R204">
        <f t="shared" si="961"/>
        <v>85198497.0515901</v>
      </c>
      <c r="S204">
        <f t="shared" si="962"/>
        <v>851.98497051590095</v>
      </c>
      <c r="T204">
        <f t="shared" si="963"/>
        <v>0.85198497051590094</v>
      </c>
    </row>
    <row r="205" spans="1:20" x14ac:dyDescent="0.25">
      <c r="A205" s="5">
        <v>44388</v>
      </c>
      <c r="B205">
        <v>3.1351</v>
      </c>
      <c r="C205">
        <v>3.2536</v>
      </c>
      <c r="D205">
        <v>3.0588000000000002</v>
      </c>
      <c r="E205">
        <v>3.2065000000000001</v>
      </c>
      <c r="F205">
        <v>1380047.24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0.51642710472279307</v>
      </c>
      <c r="Q205">
        <f t="shared" si="960"/>
        <v>712693.80053388153</v>
      </c>
      <c r="R205">
        <f t="shared" si="961"/>
        <v>85163258.32027258</v>
      </c>
      <c r="S205">
        <f t="shared" si="962"/>
        <v>851.63258320272575</v>
      </c>
      <c r="T205">
        <f t="shared" si="963"/>
        <v>0.85163258320272572</v>
      </c>
    </row>
    <row r="206" spans="1:20" x14ac:dyDescent="0.25">
      <c r="A206" s="5">
        <v>44387</v>
      </c>
      <c r="B206">
        <v>3.1943999999999999</v>
      </c>
      <c r="C206">
        <v>3.254</v>
      </c>
      <c r="D206">
        <v>3.0568</v>
      </c>
      <c r="E206">
        <v>3.1354000000000002</v>
      </c>
      <c r="F206">
        <v>1410961.82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-0.20283975659228998</v>
      </c>
      <c r="Q206">
        <f t="shared" si="960"/>
        <v>-286199.15212981449</v>
      </c>
      <c r="R206">
        <f t="shared" si="961"/>
        <v>84450564.519738704</v>
      </c>
      <c r="S206">
        <f t="shared" si="962"/>
        <v>844.50564519738703</v>
      </c>
      <c r="T206">
        <f t="shared" si="963"/>
        <v>0.84450564519738702</v>
      </c>
    </row>
    <row r="207" spans="1:20" x14ac:dyDescent="0.25">
      <c r="A207" s="5">
        <v>44386</v>
      </c>
      <c r="B207">
        <v>3.1964999999999999</v>
      </c>
      <c r="C207">
        <v>3.2519</v>
      </c>
      <c r="D207">
        <v>3.0507</v>
      </c>
      <c r="E207">
        <v>3.1960000000000002</v>
      </c>
      <c r="F207">
        <v>1912797.13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0.44433399602385859</v>
      </c>
      <c r="Q207">
        <f t="shared" si="960"/>
        <v>849920.79235586803</v>
      </c>
      <c r="R207">
        <f t="shared" si="961"/>
        <v>84736763.671868518</v>
      </c>
      <c r="S207">
        <f t="shared" si="962"/>
        <v>847.36763671868516</v>
      </c>
      <c r="T207">
        <f t="shared" si="963"/>
        <v>0.8473676367186852</v>
      </c>
    </row>
    <row r="208" spans="1:20" x14ac:dyDescent="0.25">
      <c r="A208" s="5">
        <v>44385</v>
      </c>
      <c r="B208">
        <v>3.5931000000000002</v>
      </c>
      <c r="C208">
        <v>3.6162999999999998</v>
      </c>
      <c r="D208">
        <v>3.1238999999999999</v>
      </c>
      <c r="E208">
        <v>3.1941000000000002</v>
      </c>
      <c r="F208">
        <v>2954191.88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-0.71486596263200541</v>
      </c>
      <c r="Q208">
        <f t="shared" si="960"/>
        <v>-2111851.2220958536</v>
      </c>
      <c r="R208">
        <f t="shared" si="961"/>
        <v>83886842.879512653</v>
      </c>
      <c r="S208">
        <f t="shared" si="962"/>
        <v>838.86842879512653</v>
      </c>
      <c r="T208">
        <f t="shared" si="963"/>
        <v>0.83886842879512658</v>
      </c>
    </row>
    <row r="209" spans="1:20" x14ac:dyDescent="0.25">
      <c r="A209" s="5">
        <v>44384</v>
      </c>
      <c r="B209">
        <v>3.7433000000000001</v>
      </c>
      <c r="C209">
        <v>3.9178999999999999</v>
      </c>
      <c r="D209">
        <v>3.5455000000000001</v>
      </c>
      <c r="E209">
        <v>3.5931000000000002</v>
      </c>
      <c r="F209">
        <v>4299952.1900000004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-0.74436090225563856</v>
      </c>
      <c r="Q209">
        <f t="shared" si="960"/>
        <v>-3200716.2918045092</v>
      </c>
      <c r="R209">
        <f t="shared" si="961"/>
        <v>85998694.1016085</v>
      </c>
      <c r="S209">
        <f t="shared" si="962"/>
        <v>859.98694101608498</v>
      </c>
      <c r="T209">
        <f t="shared" si="963"/>
        <v>0.85998694101608497</v>
      </c>
    </row>
    <row r="210" spans="1:20" x14ac:dyDescent="0.25">
      <c r="A210" s="5">
        <v>44383</v>
      </c>
      <c r="B210">
        <v>3.3096000000000001</v>
      </c>
      <c r="C210">
        <v>3.7698999999999998</v>
      </c>
      <c r="D210">
        <v>3.2656000000000001</v>
      </c>
      <c r="E210">
        <v>3.7444000000000002</v>
      </c>
      <c r="F210">
        <v>4306678.92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0.89886972040452251</v>
      </c>
      <c r="Q210">
        <f t="shared" si="960"/>
        <v>3871143.276692451</v>
      </c>
      <c r="R210">
        <f t="shared" si="961"/>
        <v>89199410.393413007</v>
      </c>
      <c r="S210">
        <f t="shared" si="962"/>
        <v>891.99410393413007</v>
      </c>
      <c r="T210">
        <f t="shared" si="963"/>
        <v>0.89199410393413003</v>
      </c>
    </row>
    <row r="211" spans="1:20" x14ac:dyDescent="0.25">
      <c r="A211" s="5">
        <v>44382</v>
      </c>
      <c r="B211">
        <v>3.4582000000000002</v>
      </c>
      <c r="C211">
        <v>3.4603999999999999</v>
      </c>
      <c r="D211">
        <v>3.1877</v>
      </c>
      <c r="E211">
        <v>3.3062</v>
      </c>
      <c r="F211">
        <v>2020977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-0.13091309130913037</v>
      </c>
      <c r="Q211">
        <f t="shared" si="960"/>
        <v>-264572.34653465234</v>
      </c>
      <c r="R211">
        <f t="shared" si="961"/>
        <v>85328267.116720557</v>
      </c>
      <c r="S211">
        <f t="shared" si="962"/>
        <v>853.28267116720554</v>
      </c>
      <c r="T211">
        <f t="shared" si="963"/>
        <v>0.85328267116720558</v>
      </c>
    </row>
    <row r="212" spans="1:20" x14ac:dyDescent="0.25">
      <c r="A212" s="5">
        <v>44381</v>
      </c>
      <c r="B212">
        <v>3.3942999999999999</v>
      </c>
      <c r="C212">
        <v>3.5647000000000002</v>
      </c>
      <c r="D212">
        <v>3.2210000000000001</v>
      </c>
      <c r="E212">
        <v>3.4622999999999999</v>
      </c>
      <c r="F212">
        <v>1502401.42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0.40413151003782233</v>
      </c>
      <c r="Q212">
        <f t="shared" si="960"/>
        <v>607167.7545475685</v>
      </c>
      <c r="R212">
        <f t="shared" si="961"/>
        <v>85592839.463255212</v>
      </c>
      <c r="S212">
        <f t="shared" si="962"/>
        <v>855.92839463255211</v>
      </c>
      <c r="T212">
        <f t="shared" si="963"/>
        <v>0.8559283946325521</v>
      </c>
    </row>
    <row r="213" spans="1:20" x14ac:dyDescent="0.25">
      <c r="A213" s="5">
        <v>44380</v>
      </c>
      <c r="B213">
        <v>3.2503000000000002</v>
      </c>
      <c r="C213">
        <v>3.45</v>
      </c>
      <c r="D213">
        <v>3.1985000000000001</v>
      </c>
      <c r="E213">
        <v>3.3969999999999998</v>
      </c>
      <c r="F213">
        <v>1485664.39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0.57852882703777042</v>
      </c>
      <c r="Q213">
        <f t="shared" si="960"/>
        <v>859499.67691848462</v>
      </c>
      <c r="R213">
        <f t="shared" si="961"/>
        <v>84985671.708707646</v>
      </c>
      <c r="S213">
        <f t="shared" si="962"/>
        <v>849.8567170870765</v>
      </c>
      <c r="T213">
        <f t="shared" si="963"/>
        <v>0.84985671708707655</v>
      </c>
    </row>
    <row r="214" spans="1:20" x14ac:dyDescent="0.25">
      <c r="A214" s="5">
        <v>44379</v>
      </c>
      <c r="B214">
        <v>3.2572000000000001</v>
      </c>
      <c r="C214">
        <v>3.3029000000000002</v>
      </c>
      <c r="D214">
        <v>3.0413000000000001</v>
      </c>
      <c r="E214">
        <v>3.2536</v>
      </c>
      <c r="F214">
        <v>1831337.62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0.62308868501528969</v>
      </c>
      <c r="Q214">
        <f t="shared" si="960"/>
        <v>1141085.7494648304</v>
      </c>
      <c r="R214">
        <f t="shared" si="961"/>
        <v>84126172.031789154</v>
      </c>
      <c r="S214">
        <f t="shared" si="962"/>
        <v>841.26172031789156</v>
      </c>
      <c r="T214">
        <f t="shared" si="963"/>
        <v>0.84126172031789159</v>
      </c>
    </row>
    <row r="215" spans="1:20" x14ac:dyDescent="0.25">
      <c r="A215" s="5">
        <v>44378</v>
      </c>
      <c r="B215">
        <v>3.5468000000000002</v>
      </c>
      <c r="C215">
        <v>3.5506000000000002</v>
      </c>
      <c r="D215">
        <v>3.1532</v>
      </c>
      <c r="E215">
        <v>3.2606000000000002</v>
      </c>
      <c r="F215">
        <v>2380466.61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-0.45948666331152438</v>
      </c>
      <c r="Q215">
        <f t="shared" si="960"/>
        <v>-1093792.6597533957</v>
      </c>
      <c r="R215">
        <f t="shared" si="961"/>
        <v>82985086.282324329</v>
      </c>
      <c r="S215">
        <f t="shared" si="962"/>
        <v>829.85086282324335</v>
      </c>
      <c r="T215">
        <f t="shared" si="963"/>
        <v>0.82985086282324338</v>
      </c>
    </row>
    <row r="216" spans="1:20" x14ac:dyDescent="0.25">
      <c r="A216" s="5">
        <v>44377</v>
      </c>
      <c r="B216">
        <v>3.2568999999999999</v>
      </c>
      <c r="C216">
        <v>3.5886</v>
      </c>
      <c r="D216">
        <v>3.1415999999999999</v>
      </c>
      <c r="E216">
        <v>3.5424000000000002</v>
      </c>
      <c r="F216">
        <v>2892201.69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0.79328859060402779</v>
      </c>
      <c r="Q216">
        <f t="shared" si="960"/>
        <v>2294350.6024026871</v>
      </c>
      <c r="R216">
        <f t="shared" si="961"/>
        <v>84078878.942077726</v>
      </c>
      <c r="S216">
        <f t="shared" si="962"/>
        <v>840.78878942077722</v>
      </c>
      <c r="T216">
        <f t="shared" si="963"/>
        <v>0.84078878942077717</v>
      </c>
    </row>
    <row r="217" spans="1:20" x14ac:dyDescent="0.25">
      <c r="A217" s="5">
        <v>44376</v>
      </c>
      <c r="B217">
        <v>3.0586000000000002</v>
      </c>
      <c r="C217">
        <v>3.4843000000000002</v>
      </c>
      <c r="D217">
        <v>3.0434000000000001</v>
      </c>
      <c r="E217">
        <v>3.2534000000000001</v>
      </c>
      <c r="F217">
        <v>3071884.24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-4.7403039237922745E-2</v>
      </c>
      <c r="Q217">
        <f t="shared" si="960"/>
        <v>-145616.64916307651</v>
      </c>
      <c r="R217">
        <f t="shared" si="961"/>
        <v>81784528.339675039</v>
      </c>
      <c r="S217">
        <f t="shared" si="962"/>
        <v>817.84528339675035</v>
      </c>
      <c r="T217">
        <f t="shared" si="963"/>
        <v>0.81784528339675033</v>
      </c>
    </row>
    <row r="218" spans="1:20" x14ac:dyDescent="0.25">
      <c r="A218" s="5">
        <v>44375</v>
      </c>
      <c r="B218">
        <v>2.8656000000000001</v>
      </c>
      <c r="C218">
        <v>3.1160000000000001</v>
      </c>
      <c r="D218">
        <v>2.7972000000000001</v>
      </c>
      <c r="E218">
        <v>3.0548999999999999</v>
      </c>
      <c r="F218">
        <v>2080175.81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0.61668757841907051</v>
      </c>
      <c r="Q218">
        <f t="shared" si="960"/>
        <v>1282818.5829548286</v>
      </c>
      <c r="R218">
        <f t="shared" si="961"/>
        <v>81930144.988838121</v>
      </c>
      <c r="S218">
        <f t="shared" si="962"/>
        <v>819.30144988838117</v>
      </c>
      <c r="T218">
        <f t="shared" si="963"/>
        <v>0.81930144988838116</v>
      </c>
    </row>
    <row r="219" spans="1:20" x14ac:dyDescent="0.25">
      <c r="A219" s="5">
        <v>44374</v>
      </c>
      <c r="B219">
        <v>2.6877</v>
      </c>
      <c r="C219">
        <v>2.8650000000000002</v>
      </c>
      <c r="D219">
        <v>2.6362999999999999</v>
      </c>
      <c r="E219">
        <v>2.8609</v>
      </c>
      <c r="F219">
        <v>1573121.1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0.96414516834280539</v>
      </c>
      <c r="Q219">
        <f t="shared" si="960"/>
        <v>1516717.1077831192</v>
      </c>
      <c r="R219">
        <f t="shared" si="961"/>
        <v>80647326.405883297</v>
      </c>
      <c r="S219">
        <f t="shared" si="962"/>
        <v>806.47326405883302</v>
      </c>
      <c r="T219">
        <f t="shared" si="963"/>
        <v>0.80647326405883302</v>
      </c>
    </row>
    <row r="220" spans="1:20" x14ac:dyDescent="0.25">
      <c r="A220" s="5">
        <v>44373</v>
      </c>
      <c r="B220">
        <v>2.6789000000000001</v>
      </c>
      <c r="C220">
        <v>2.7664</v>
      </c>
      <c r="D220">
        <v>2.5200999999999998</v>
      </c>
      <c r="E220">
        <v>2.6880000000000002</v>
      </c>
      <c r="F220">
        <v>1747311.59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0.36337799431587703</v>
      </c>
      <c r="Q220">
        <f t="shared" si="960"/>
        <v>634934.58101908606</v>
      </c>
      <c r="R220">
        <f t="shared" si="961"/>
        <v>79130609.298100173</v>
      </c>
      <c r="S220">
        <f t="shared" si="962"/>
        <v>791.30609298100171</v>
      </c>
      <c r="T220">
        <f t="shared" si="963"/>
        <v>0.79130609298100174</v>
      </c>
    </row>
    <row r="221" spans="1:20" x14ac:dyDescent="0.25">
      <c r="A221" s="5">
        <v>44372</v>
      </c>
      <c r="B221">
        <v>2.9862000000000002</v>
      </c>
      <c r="C221">
        <v>3.0548999999999999</v>
      </c>
      <c r="D221">
        <v>2.6453000000000002</v>
      </c>
      <c r="E221">
        <v>2.6857000000000002</v>
      </c>
      <c r="F221">
        <v>2204604.66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-0.80273437499999989</v>
      </c>
      <c r="Q221">
        <f t="shared" si="960"/>
        <v>-1769711.9438671875</v>
      </c>
      <c r="R221">
        <f t="shared" si="961"/>
        <v>78495674.717081085</v>
      </c>
      <c r="S221">
        <f t="shared" si="962"/>
        <v>784.9567471708109</v>
      </c>
      <c r="T221">
        <f t="shared" si="963"/>
        <v>0.78495674717081088</v>
      </c>
    </row>
    <row r="222" spans="1:20" x14ac:dyDescent="0.25">
      <c r="A222" s="5">
        <v>44371</v>
      </c>
      <c r="B222">
        <v>2.8871000000000002</v>
      </c>
      <c r="C222">
        <v>3.0474000000000001</v>
      </c>
      <c r="D222">
        <v>2.7536</v>
      </c>
      <c r="E222">
        <v>2.9836</v>
      </c>
      <c r="F222">
        <v>2139963.88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0.56569094622191918</v>
      </c>
      <c r="Q222">
        <f t="shared" si="960"/>
        <v>1210558.1921579295</v>
      </c>
      <c r="R222">
        <f t="shared" si="961"/>
        <v>80265386.660948277</v>
      </c>
      <c r="S222">
        <f t="shared" si="962"/>
        <v>802.65386660948275</v>
      </c>
      <c r="T222">
        <f t="shared" si="963"/>
        <v>0.80265386660948279</v>
      </c>
    </row>
    <row r="223" spans="1:20" x14ac:dyDescent="0.25">
      <c r="A223" s="5">
        <v>44370</v>
      </c>
      <c r="B223">
        <v>2.7368000000000001</v>
      </c>
      <c r="C223">
        <v>3.0891000000000002</v>
      </c>
      <c r="D223">
        <v>2.6345000000000001</v>
      </c>
      <c r="E223">
        <v>2.8866000000000001</v>
      </c>
      <c r="F223">
        <v>3256866.33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0.10910690717113915</v>
      </c>
      <c r="Q223">
        <f t="shared" si="960"/>
        <v>355346.61233611865</v>
      </c>
      <c r="R223">
        <f t="shared" si="961"/>
        <v>79054828.468790352</v>
      </c>
      <c r="S223">
        <f t="shared" si="962"/>
        <v>790.54828468790356</v>
      </c>
      <c r="T223">
        <f t="shared" si="963"/>
        <v>0.79054828468790361</v>
      </c>
    </row>
    <row r="224" spans="1:20" x14ac:dyDescent="0.25">
      <c r="A224" s="5">
        <v>44369</v>
      </c>
      <c r="B224">
        <v>2.9352</v>
      </c>
      <c r="C224">
        <v>3.0929000000000002</v>
      </c>
      <c r="D224">
        <v>2.3934000000000002</v>
      </c>
      <c r="E224">
        <v>2.7383000000000002</v>
      </c>
      <c r="F224">
        <v>4747786.16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-1.3867047891351025E-2</v>
      </c>
      <c r="Q224">
        <f t="shared" si="960"/>
        <v>-65837.778058613578</v>
      </c>
      <c r="R224">
        <f t="shared" si="961"/>
        <v>78699481.856454238</v>
      </c>
      <c r="S224">
        <f t="shared" si="962"/>
        <v>786.99481856454236</v>
      </c>
      <c r="T224">
        <f t="shared" si="963"/>
        <v>0.78699481856454234</v>
      </c>
    </row>
    <row r="225" spans="1:20" x14ac:dyDescent="0.25">
      <c r="A225" s="5">
        <v>44368</v>
      </c>
      <c r="B225">
        <v>3.7616000000000001</v>
      </c>
      <c r="C225">
        <v>3.7801999999999998</v>
      </c>
      <c r="D225">
        <v>2.8971</v>
      </c>
      <c r="E225">
        <v>2.9352</v>
      </c>
      <c r="F225">
        <v>3633396.69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-0.913713056279017</v>
      </c>
      <c r="Q225">
        <f t="shared" si="960"/>
        <v>-3319881.994293964</v>
      </c>
      <c r="R225">
        <f t="shared" si="961"/>
        <v>78765319.634512857</v>
      </c>
      <c r="S225">
        <f t="shared" si="962"/>
        <v>787.65319634512855</v>
      </c>
      <c r="T225">
        <f t="shared" si="963"/>
        <v>0.78765319634512854</v>
      </c>
    </row>
    <row r="226" spans="1:20" x14ac:dyDescent="0.25">
      <c r="A226" s="5">
        <v>44367</v>
      </c>
      <c r="B226">
        <v>3.7193999999999998</v>
      </c>
      <c r="C226">
        <v>3.782</v>
      </c>
      <c r="D226">
        <v>3.4460999999999999</v>
      </c>
      <c r="E226">
        <v>3.7595000000000001</v>
      </c>
      <c r="F226">
        <v>1275549.3600000001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0.86603155701101542</v>
      </c>
      <c r="Q226">
        <f t="shared" si="960"/>
        <v>1104665.9982852044</v>
      </c>
      <c r="R226">
        <f t="shared" si="961"/>
        <v>82085201.628806815</v>
      </c>
      <c r="S226">
        <f t="shared" si="962"/>
        <v>820.85201628806817</v>
      </c>
      <c r="T226">
        <f t="shared" si="963"/>
        <v>0.82085201628806814</v>
      </c>
    </row>
    <row r="227" spans="1:20" x14ac:dyDescent="0.25">
      <c r="A227" s="5">
        <v>44366</v>
      </c>
      <c r="B227">
        <v>3.8439999999999999</v>
      </c>
      <c r="C227">
        <v>3.9266000000000001</v>
      </c>
      <c r="D227">
        <v>3.6985000000000001</v>
      </c>
      <c r="E227">
        <v>3.7227000000000001</v>
      </c>
      <c r="F227">
        <v>1223453.0900000001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-0.78781236299868473</v>
      </c>
      <c r="Q227">
        <f t="shared" si="960"/>
        <v>-963851.46985094261</v>
      </c>
      <c r="R227">
        <f t="shared" si="961"/>
        <v>80980535.63052161</v>
      </c>
      <c r="S227">
        <f t="shared" si="962"/>
        <v>809.80535630521615</v>
      </c>
      <c r="T227">
        <f t="shared" si="963"/>
        <v>0.80980535630521611</v>
      </c>
    </row>
    <row r="228" spans="1:20" x14ac:dyDescent="0.25">
      <c r="A228" s="5">
        <v>44365</v>
      </c>
      <c r="B228">
        <v>4.0689000000000002</v>
      </c>
      <c r="C228">
        <v>4.0709</v>
      </c>
      <c r="D228">
        <v>3.6619000000000002</v>
      </c>
      <c r="E228">
        <v>3.8435000000000001</v>
      </c>
      <c r="F228">
        <v>2187477.88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-0.11198044009779917</v>
      </c>
      <c r="Q228">
        <f t="shared" si="960"/>
        <v>-244954.73570660071</v>
      </c>
      <c r="R228">
        <f t="shared" si="961"/>
        <v>81944387.100372553</v>
      </c>
      <c r="S228">
        <f t="shared" si="962"/>
        <v>819.44387100372558</v>
      </c>
      <c r="T228">
        <f t="shared" si="963"/>
        <v>0.81944387100372562</v>
      </c>
    </row>
    <row r="229" spans="1:20" x14ac:dyDescent="0.25">
      <c r="A229" s="5">
        <v>44364</v>
      </c>
      <c r="B229">
        <v>4.1279000000000003</v>
      </c>
      <c r="C229">
        <v>4.3032000000000004</v>
      </c>
      <c r="D229">
        <v>3.9683999999999999</v>
      </c>
      <c r="E229">
        <v>4.0701999999999998</v>
      </c>
      <c r="F229">
        <v>1653125.08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-0.39187574671445785</v>
      </c>
      <c r="Q229">
        <f t="shared" si="960"/>
        <v>-647819.6251373979</v>
      </c>
      <c r="R229">
        <f t="shared" si="961"/>
        <v>82189341.83607915</v>
      </c>
      <c r="S229">
        <f t="shared" si="962"/>
        <v>821.89341836079154</v>
      </c>
      <c r="T229">
        <f t="shared" si="963"/>
        <v>0.82189341836079155</v>
      </c>
    </row>
    <row r="230" spans="1:20" x14ac:dyDescent="0.25">
      <c r="A230" s="5">
        <v>44363</v>
      </c>
      <c r="B230">
        <v>4.3441999999999998</v>
      </c>
      <c r="C230">
        <v>4.55</v>
      </c>
      <c r="D230">
        <v>4.0476000000000001</v>
      </c>
      <c r="E230">
        <v>4.1313000000000004</v>
      </c>
      <c r="F230">
        <v>3515994.28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-0.66679936305732335</v>
      </c>
      <c r="Q230">
        <f t="shared" si="960"/>
        <v>-2344462.7464171923</v>
      </c>
      <c r="R230">
        <f t="shared" si="961"/>
        <v>82837161.461216554</v>
      </c>
      <c r="S230">
        <f t="shared" si="962"/>
        <v>828.37161461216556</v>
      </c>
      <c r="T230">
        <f t="shared" si="963"/>
        <v>0.82837161461216557</v>
      </c>
    </row>
    <row r="231" spans="1:20" x14ac:dyDescent="0.25">
      <c r="A231" s="5">
        <v>44362</v>
      </c>
      <c r="B231">
        <v>4.2361000000000004</v>
      </c>
      <c r="C231">
        <v>4.4000000000000004</v>
      </c>
      <c r="D231">
        <v>4.1143000000000001</v>
      </c>
      <c r="E231">
        <v>4.3423999999999996</v>
      </c>
      <c r="F231">
        <v>2973344.93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0.59677983899194464</v>
      </c>
      <c r="Q231">
        <f t="shared" si="960"/>
        <v>1774432.3085929151</v>
      </c>
      <c r="R231">
        <f t="shared" si="961"/>
        <v>85181624.207633749</v>
      </c>
      <c r="S231">
        <f t="shared" si="962"/>
        <v>851.81624207633752</v>
      </c>
      <c r="T231">
        <f t="shared" si="963"/>
        <v>0.85181624207633755</v>
      </c>
    </row>
    <row r="232" spans="1:20" x14ac:dyDescent="0.25">
      <c r="A232" s="5">
        <v>44361</v>
      </c>
      <c r="B232">
        <v>3.9670999999999998</v>
      </c>
      <c r="C232">
        <v>4.2797999999999998</v>
      </c>
      <c r="D232">
        <v>3.8828999999999998</v>
      </c>
      <c r="E232">
        <v>4.2324000000000002</v>
      </c>
      <c r="F232">
        <v>2376786.13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0.76114890400604862</v>
      </c>
      <c r="Q232">
        <f t="shared" si="960"/>
        <v>1809088.1579062778</v>
      </c>
      <c r="R232">
        <f t="shared" si="961"/>
        <v>83407191.899040833</v>
      </c>
      <c r="S232">
        <f t="shared" si="962"/>
        <v>834.07191899040834</v>
      </c>
      <c r="T232">
        <f t="shared" si="963"/>
        <v>0.83407191899040833</v>
      </c>
    </row>
    <row r="233" spans="1:20" x14ac:dyDescent="0.25">
      <c r="A233" s="5">
        <v>44360</v>
      </c>
      <c r="B233">
        <v>3.6661999999999999</v>
      </c>
      <c r="C233">
        <v>4.05</v>
      </c>
      <c r="D233">
        <v>3.5773000000000001</v>
      </c>
      <c r="E233">
        <v>3.9668999999999999</v>
      </c>
      <c r="F233">
        <v>1913007.47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0.64840279246879629</v>
      </c>
      <c r="Q233">
        <f t="shared" si="960"/>
        <v>1240399.3855616669</v>
      </c>
      <c r="R233">
        <f t="shared" si="961"/>
        <v>81598103.741134554</v>
      </c>
      <c r="S233">
        <f t="shared" si="962"/>
        <v>815.9810374113456</v>
      </c>
      <c r="T233">
        <f t="shared" si="963"/>
        <v>0.81598103741134564</v>
      </c>
    </row>
    <row r="234" spans="1:20" x14ac:dyDescent="0.25">
      <c r="A234" s="5">
        <v>44359</v>
      </c>
      <c r="B234">
        <v>3.8586999999999998</v>
      </c>
      <c r="C234">
        <v>3.863</v>
      </c>
      <c r="D234">
        <v>3.4805999999999999</v>
      </c>
      <c r="E234">
        <v>3.6629999999999998</v>
      </c>
      <c r="F234">
        <v>3097320.13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-4.6025104602511191E-2</v>
      </c>
      <c r="Q234">
        <f t="shared" si="960"/>
        <v>-142554.48297071355</v>
      </c>
      <c r="R234">
        <f t="shared" si="961"/>
        <v>80357704.355572894</v>
      </c>
      <c r="S234">
        <f t="shared" si="962"/>
        <v>803.57704355572889</v>
      </c>
      <c r="T234">
        <f t="shared" si="963"/>
        <v>0.8035770435557289</v>
      </c>
    </row>
    <row r="235" spans="1:20" x14ac:dyDescent="0.25">
      <c r="A235" s="5">
        <v>44358</v>
      </c>
      <c r="B235">
        <v>4.2039</v>
      </c>
      <c r="C235">
        <v>4.2697000000000003</v>
      </c>
      <c r="D235">
        <v>3.7869000000000002</v>
      </c>
      <c r="E235">
        <v>3.8611</v>
      </c>
      <c r="F235">
        <v>2581177.5099999998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-0.69262634631317399</v>
      </c>
      <c r="Q235">
        <f t="shared" si="960"/>
        <v>-1787791.547937036</v>
      </c>
      <c r="R235">
        <f t="shared" si="961"/>
        <v>80500258.838543609</v>
      </c>
      <c r="S235">
        <f t="shared" si="962"/>
        <v>805.00258838543607</v>
      </c>
      <c r="T235">
        <f t="shared" si="963"/>
        <v>0.80500258838543604</v>
      </c>
    </row>
    <row r="236" spans="1:20" x14ac:dyDescent="0.25">
      <c r="A236" s="5">
        <v>44357</v>
      </c>
      <c r="B236">
        <v>4.4955999999999996</v>
      </c>
      <c r="C236">
        <v>4.5890000000000004</v>
      </c>
      <c r="D236">
        <v>4.1256000000000004</v>
      </c>
      <c r="E236">
        <v>4.1999000000000004</v>
      </c>
      <c r="F236">
        <v>2427525</v>
      </c>
      <c r="G236">
        <v>0</v>
      </c>
      <c r="L236" t="s">
        <v>7</v>
      </c>
      <c r="M236" t="s">
        <v>8</v>
      </c>
      <c r="N236" t="s">
        <v>8</v>
      </c>
      <c r="P236">
        <f t="shared" si="959"/>
        <v>-0.67932671558049185</v>
      </c>
      <c r="Q236">
        <f t="shared" si="960"/>
        <v>-1649082.5852395336</v>
      </c>
      <c r="R236">
        <f t="shared" si="961"/>
        <v>82288050.386480644</v>
      </c>
      <c r="S236">
        <f t="shared" si="962"/>
        <v>822.88050386480643</v>
      </c>
      <c r="T236">
        <f t="shared" si="963"/>
        <v>0.82288050386480638</v>
      </c>
    </row>
    <row r="237" spans="1:20" x14ac:dyDescent="0.25">
      <c r="A237" s="5">
        <v>44356</v>
      </c>
      <c r="B237">
        <v>4.2778</v>
      </c>
      <c r="C237">
        <v>4.5837000000000003</v>
      </c>
      <c r="D237">
        <v>4.0381</v>
      </c>
      <c r="E237">
        <v>4.4960000000000004</v>
      </c>
      <c r="F237">
        <v>4263595.91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0.67851906158357833</v>
      </c>
      <c r="Q237">
        <f t="shared" si="960"/>
        <v>2892931.0958247827</v>
      </c>
      <c r="R237">
        <f t="shared" si="961"/>
        <v>83937132.971720174</v>
      </c>
      <c r="S237">
        <f t="shared" si="962"/>
        <v>839.37132971720177</v>
      </c>
      <c r="T237">
        <f t="shared" si="963"/>
        <v>0.83937132971720174</v>
      </c>
    </row>
    <row r="238" spans="1:20" x14ac:dyDescent="0.25">
      <c r="A238" s="5">
        <v>44355</v>
      </c>
      <c r="B238">
        <v>4.4676</v>
      </c>
      <c r="C238">
        <v>4.5266999999999999</v>
      </c>
      <c r="D238">
        <v>3.8001999999999998</v>
      </c>
      <c r="E238">
        <v>4.2699999999999996</v>
      </c>
      <c r="F238">
        <v>4912554.83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0.29332415691672314</v>
      </c>
      <c r="Q238">
        <f t="shared" si="960"/>
        <v>1440971.0038169262</v>
      </c>
      <c r="R238">
        <f t="shared" si="961"/>
        <v>81044201.875895396</v>
      </c>
      <c r="S238">
        <f t="shared" si="962"/>
        <v>810.44201875895396</v>
      </c>
      <c r="T238">
        <f t="shared" si="963"/>
        <v>0.81044201875895394</v>
      </c>
    </row>
    <row r="239" spans="1:20" x14ac:dyDescent="0.25">
      <c r="A239" s="5">
        <v>44354</v>
      </c>
      <c r="B239">
        <v>4.8032000000000004</v>
      </c>
      <c r="C239">
        <v>5.27</v>
      </c>
      <c r="D239">
        <v>4.407</v>
      </c>
      <c r="E239">
        <v>4.4650999999999996</v>
      </c>
      <c r="F239">
        <v>5155975.47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-0.86535341830822798</v>
      </c>
      <c r="Q239">
        <f t="shared" si="960"/>
        <v>-4461740.997677872</v>
      </c>
      <c r="R239">
        <f t="shared" si="961"/>
        <v>79603230.872078463</v>
      </c>
      <c r="S239">
        <f t="shared" si="962"/>
        <v>796.03230872078461</v>
      </c>
      <c r="T239">
        <f t="shared" si="963"/>
        <v>0.79603230872078456</v>
      </c>
    </row>
    <row r="240" spans="1:20" x14ac:dyDescent="0.25">
      <c r="A240" s="5">
        <v>44353</v>
      </c>
      <c r="B240">
        <v>4.5984999999999996</v>
      </c>
      <c r="C240">
        <v>4.8265000000000002</v>
      </c>
      <c r="D240">
        <v>4.5633999999999997</v>
      </c>
      <c r="E240">
        <v>4.8007999999999997</v>
      </c>
      <c r="F240">
        <v>1609088.59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0.80463702014442839</v>
      </c>
      <c r="Q240">
        <f t="shared" si="960"/>
        <v>1294732.2482059998</v>
      </c>
      <c r="R240">
        <f t="shared" si="961"/>
        <v>84064971.869756341</v>
      </c>
      <c r="S240">
        <f t="shared" si="962"/>
        <v>840.64971869756346</v>
      </c>
      <c r="T240">
        <f t="shared" si="963"/>
        <v>0.84064971869756344</v>
      </c>
    </row>
    <row r="241" spans="1:20" x14ac:dyDescent="0.25">
      <c r="A241" s="5">
        <v>44352</v>
      </c>
      <c r="B241">
        <v>4.7172999999999998</v>
      </c>
      <c r="C241">
        <v>5.0872000000000002</v>
      </c>
      <c r="D241">
        <v>4.4215</v>
      </c>
      <c r="E241">
        <v>4.5975999999999999</v>
      </c>
      <c r="F241">
        <v>2894027.74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-0.47093285263632306</v>
      </c>
      <c r="Q241">
        <f t="shared" si="960"/>
        <v>-1362892.7392068512</v>
      </c>
      <c r="R241">
        <f t="shared" si="961"/>
        <v>82770239.621550336</v>
      </c>
      <c r="S241">
        <f t="shared" si="962"/>
        <v>827.70239621550331</v>
      </c>
      <c r="T241">
        <f t="shared" si="963"/>
        <v>0.82770239621550334</v>
      </c>
    </row>
    <row r="242" spans="1:20" x14ac:dyDescent="0.25">
      <c r="A242" s="5">
        <v>44351</v>
      </c>
      <c r="B242">
        <v>5.3</v>
      </c>
      <c r="C242">
        <v>5.34</v>
      </c>
      <c r="D242">
        <v>4.4568000000000003</v>
      </c>
      <c r="E242">
        <v>4.7156000000000002</v>
      </c>
      <c r="F242">
        <v>4289378.67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-0.41394927536231874</v>
      </c>
      <c r="Q242">
        <f t="shared" si="960"/>
        <v>-1775585.1922010866</v>
      </c>
      <c r="R242">
        <f t="shared" si="961"/>
        <v>84133132.360757187</v>
      </c>
      <c r="S242">
        <f t="shared" si="962"/>
        <v>841.3313236075719</v>
      </c>
      <c r="T242">
        <f t="shared" si="963"/>
        <v>0.8413313236075719</v>
      </c>
    </row>
    <row r="243" spans="1:20" x14ac:dyDescent="0.25">
      <c r="A243" s="5">
        <v>44350</v>
      </c>
      <c r="B243">
        <v>4.8929999999999998</v>
      </c>
      <c r="C243">
        <v>5.3714000000000004</v>
      </c>
      <c r="D243">
        <v>4.7484999999999999</v>
      </c>
      <c r="E243">
        <v>5.2912999999999997</v>
      </c>
      <c r="F243">
        <v>4035581.39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0.7428158612939455</v>
      </c>
      <c r="Q243">
        <f t="shared" si="960"/>
        <v>2997693.8660346679</v>
      </c>
      <c r="R243">
        <f t="shared" si="961"/>
        <v>85908717.55295828</v>
      </c>
      <c r="S243">
        <f t="shared" si="962"/>
        <v>859.08717552958285</v>
      </c>
      <c r="T243">
        <f t="shared" si="963"/>
        <v>0.8590871755295828</v>
      </c>
    </row>
    <row r="244" spans="1:20" x14ac:dyDescent="0.25">
      <c r="A244" s="5">
        <v>44349</v>
      </c>
      <c r="B244">
        <v>4.5862999999999996</v>
      </c>
      <c r="C244">
        <v>5.2260999999999997</v>
      </c>
      <c r="D244">
        <v>4.4177999999999997</v>
      </c>
      <c r="E244">
        <v>4.8949999999999996</v>
      </c>
      <c r="F244">
        <v>3378469.14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0.18074972163800529</v>
      </c>
      <c r="Q244">
        <f t="shared" si="960"/>
        <v>610657.35661759111</v>
      </c>
      <c r="R244">
        <f t="shared" si="961"/>
        <v>82911023.686923608</v>
      </c>
      <c r="S244">
        <f t="shared" si="962"/>
        <v>829.11023686923613</v>
      </c>
      <c r="T244">
        <f t="shared" si="963"/>
        <v>0.82911023686923613</v>
      </c>
    </row>
    <row r="245" spans="1:20" x14ac:dyDescent="0.25">
      <c r="A245" s="5">
        <v>44348</v>
      </c>
      <c r="B245">
        <v>4.7542999999999997</v>
      </c>
      <c r="C245">
        <v>4.9245999999999999</v>
      </c>
      <c r="D245">
        <v>4.3956999999999997</v>
      </c>
      <c r="E245">
        <v>4.5895000000000001</v>
      </c>
      <c r="F245">
        <v>2510258.3199999998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-0.26715825297787726</v>
      </c>
      <c r="Q245">
        <f t="shared" si="960"/>
        <v>-670636.22729438113</v>
      </c>
      <c r="R245">
        <f t="shared" si="961"/>
        <v>82300366.330306023</v>
      </c>
      <c r="S245">
        <f t="shared" si="962"/>
        <v>823.00366330306019</v>
      </c>
      <c r="T245">
        <f t="shared" si="963"/>
        <v>0.82300366330306018</v>
      </c>
    </row>
    <row r="246" spans="1:20" x14ac:dyDescent="0.25">
      <c r="A246" s="5">
        <v>44347</v>
      </c>
      <c r="B246">
        <v>4.2999000000000001</v>
      </c>
      <c r="C246">
        <v>4.7938999999999998</v>
      </c>
      <c r="D246">
        <v>4.056</v>
      </c>
      <c r="E246">
        <v>4.7541000000000002</v>
      </c>
      <c r="F246">
        <v>3198160.26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0.8921263043772879</v>
      </c>
      <c r="Q246">
        <f t="shared" si="960"/>
        <v>2853162.8935601059</v>
      </c>
      <c r="R246">
        <f t="shared" si="961"/>
        <v>82971002.557600409</v>
      </c>
      <c r="S246">
        <f t="shared" si="962"/>
        <v>829.71002557600411</v>
      </c>
      <c r="T246">
        <f t="shared" si="963"/>
        <v>0.82971002557600415</v>
      </c>
    </row>
    <row r="247" spans="1:20" x14ac:dyDescent="0.25">
      <c r="A247" s="5">
        <v>44346</v>
      </c>
      <c r="B247">
        <v>4.0628000000000002</v>
      </c>
      <c r="C247">
        <v>4.4459999999999997</v>
      </c>
      <c r="D247">
        <v>3.8176000000000001</v>
      </c>
      <c r="E247">
        <v>4.3128000000000002</v>
      </c>
      <c r="F247">
        <v>2552552.37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0.57606619987269381</v>
      </c>
      <c r="Q247">
        <f t="shared" si="960"/>
        <v>1470439.1437619384</v>
      </c>
      <c r="R247">
        <f t="shared" si="961"/>
        <v>80117839.664040297</v>
      </c>
      <c r="S247">
        <f t="shared" si="962"/>
        <v>801.17839664040298</v>
      </c>
      <c r="T247">
        <f t="shared" si="963"/>
        <v>0.80117839664040302</v>
      </c>
    </row>
    <row r="248" spans="1:20" x14ac:dyDescent="0.25">
      <c r="A248" s="5">
        <v>44345</v>
      </c>
      <c r="B248">
        <v>4.3425000000000002</v>
      </c>
      <c r="C248">
        <v>4.5593000000000004</v>
      </c>
      <c r="D248">
        <v>3.87</v>
      </c>
      <c r="E248">
        <v>4.0639000000000003</v>
      </c>
      <c r="F248">
        <v>3029971.51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-0.43740026113448394</v>
      </c>
      <c r="Q248">
        <f t="shared" si="960"/>
        <v>-1325310.3297040465</v>
      </c>
      <c r="R248">
        <f t="shared" si="961"/>
        <v>78647400.520278364</v>
      </c>
      <c r="S248">
        <f t="shared" si="962"/>
        <v>786.4740052027837</v>
      </c>
      <c r="T248">
        <f t="shared" si="963"/>
        <v>0.78647400520278365</v>
      </c>
    </row>
    <row r="249" spans="1:20" x14ac:dyDescent="0.25">
      <c r="A249" s="5">
        <v>44344</v>
      </c>
      <c r="B249">
        <v>5.0818000000000003</v>
      </c>
      <c r="C249">
        <v>5.1528999999999998</v>
      </c>
      <c r="D249">
        <v>4.1451000000000002</v>
      </c>
      <c r="E249">
        <v>4.3444000000000003</v>
      </c>
      <c r="F249">
        <v>5148613.2300000004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-0.60448501686842604</v>
      </c>
      <c r="Q249">
        <f t="shared" si="960"/>
        <v>-3112259.5551855518</v>
      </c>
      <c r="R249">
        <f t="shared" si="961"/>
        <v>79972710.849982411</v>
      </c>
      <c r="S249">
        <f t="shared" si="962"/>
        <v>799.72710849982411</v>
      </c>
      <c r="T249">
        <f t="shared" si="963"/>
        <v>0.79972710849982409</v>
      </c>
    </row>
    <row r="250" spans="1:20" x14ac:dyDescent="0.25">
      <c r="A250" s="5">
        <v>44343</v>
      </c>
      <c r="B250">
        <v>5.4717000000000002</v>
      </c>
      <c r="C250">
        <v>5.4774000000000003</v>
      </c>
      <c r="D250">
        <v>4.8563000000000001</v>
      </c>
      <c r="E250">
        <v>5.0769000000000002</v>
      </c>
      <c r="F250">
        <v>4674986.9800000004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-0.28964739977459331</v>
      </c>
      <c r="Q250">
        <f t="shared" si="960"/>
        <v>-1354097.8227370789</v>
      </c>
      <c r="R250">
        <f t="shared" si="961"/>
        <v>83084970.405167967</v>
      </c>
      <c r="S250">
        <f t="shared" si="962"/>
        <v>830.84970405167962</v>
      </c>
      <c r="T250">
        <f t="shared" si="963"/>
        <v>0.83084970405167957</v>
      </c>
    </row>
    <row r="251" spans="1:20" x14ac:dyDescent="0.25">
      <c r="A251" s="5">
        <v>44342</v>
      </c>
      <c r="B251">
        <v>4.6116999999999999</v>
      </c>
      <c r="C251">
        <v>5.5597000000000003</v>
      </c>
      <c r="D251">
        <v>4.4665999999999997</v>
      </c>
      <c r="E251">
        <v>5.4725999999999999</v>
      </c>
      <c r="F251">
        <v>8652258.4800000004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0.84063672125148592</v>
      </c>
      <c r="Q251">
        <f t="shared" si="960"/>
        <v>7273406.2000475656</v>
      </c>
      <c r="R251">
        <f t="shared" si="961"/>
        <v>84439068.22790505</v>
      </c>
      <c r="S251">
        <f t="shared" si="962"/>
        <v>844.39068227905045</v>
      </c>
      <c r="T251">
        <f t="shared" si="963"/>
        <v>0.84439068227905045</v>
      </c>
    </row>
    <row r="252" spans="1:20" x14ac:dyDescent="0.25">
      <c r="A252" s="5">
        <v>44341</v>
      </c>
      <c r="B252">
        <v>4.7488000000000001</v>
      </c>
      <c r="C252">
        <v>4.9085000000000001</v>
      </c>
      <c r="D252">
        <v>4.1075999999999997</v>
      </c>
      <c r="E252">
        <v>4.6104000000000003</v>
      </c>
      <c r="F252">
        <v>6459213.1299999999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0.25558746410288508</v>
      </c>
      <c r="Q252">
        <f t="shared" si="960"/>
        <v>1650893.9039967589</v>
      </c>
      <c r="R252">
        <f t="shared" si="961"/>
        <v>77165662.027857482</v>
      </c>
      <c r="S252">
        <f t="shared" si="962"/>
        <v>771.65662027857479</v>
      </c>
      <c r="T252">
        <f t="shared" si="963"/>
        <v>0.77165662027857485</v>
      </c>
    </row>
    <row r="253" spans="1:20" x14ac:dyDescent="0.25">
      <c r="A253" s="5">
        <v>44340</v>
      </c>
      <c r="B253">
        <v>3.82</v>
      </c>
      <c r="C253">
        <v>4.8</v>
      </c>
      <c r="D253">
        <v>3.6398999999999999</v>
      </c>
      <c r="E253">
        <v>4.75</v>
      </c>
      <c r="F253">
        <v>8145132.6200000001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0.91380053443668674</v>
      </c>
      <c r="Q253">
        <f t="shared" si="960"/>
        <v>7443026.5412136903</v>
      </c>
      <c r="R253">
        <f t="shared" si="961"/>
        <v>75514768.123860717</v>
      </c>
      <c r="S253">
        <f t="shared" si="962"/>
        <v>755.14768123860722</v>
      </c>
      <c r="T253">
        <f t="shared" si="963"/>
        <v>0.7551476812386072</v>
      </c>
    </row>
    <row r="254" spans="1:20" x14ac:dyDescent="0.25">
      <c r="A254" s="5">
        <v>44339</v>
      </c>
      <c r="B254">
        <v>4.8181000000000003</v>
      </c>
      <c r="C254">
        <v>4.9892000000000003</v>
      </c>
      <c r="D254">
        <v>3.0333999999999999</v>
      </c>
      <c r="E254">
        <v>3.8210000000000002</v>
      </c>
      <c r="F254">
        <v>11003580.119999999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-0.1946006749156354</v>
      </c>
      <c r="Q254">
        <f t="shared" si="960"/>
        <v>-2141304.1178402682</v>
      </c>
      <c r="R254">
        <f t="shared" si="961"/>
        <v>68071741.582647026</v>
      </c>
      <c r="S254">
        <f t="shared" si="962"/>
        <v>680.7174158264703</v>
      </c>
      <c r="T254">
        <f t="shared" si="963"/>
        <v>0.68071741582647027</v>
      </c>
    </row>
    <row r="255" spans="1:20" x14ac:dyDescent="0.25">
      <c r="A255" s="5">
        <v>44338</v>
      </c>
      <c r="B255">
        <v>5.5532000000000004</v>
      </c>
      <c r="C255">
        <v>5.5811000000000002</v>
      </c>
      <c r="D255">
        <v>4.62</v>
      </c>
      <c r="E255">
        <v>4.8183999999999996</v>
      </c>
      <c r="F255">
        <v>5154007.6399999997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-0.58713973571948919</v>
      </c>
      <c r="Q255">
        <f t="shared" si="960"/>
        <v>-3026122.6836458282</v>
      </c>
      <c r="R255">
        <f t="shared" si="961"/>
        <v>70213045.700487301</v>
      </c>
      <c r="S255">
        <f t="shared" si="962"/>
        <v>702.13045700487305</v>
      </c>
      <c r="T255">
        <f t="shared" si="963"/>
        <v>0.70213045700487309</v>
      </c>
    </row>
    <row r="256" spans="1:20" x14ac:dyDescent="0.25">
      <c r="A256" s="5">
        <v>44337</v>
      </c>
      <c r="B256">
        <v>6.5254000000000003</v>
      </c>
      <c r="C256">
        <v>7.0084</v>
      </c>
      <c r="D256">
        <v>4.6703999999999999</v>
      </c>
      <c r="E256">
        <v>5.5500999999999996</v>
      </c>
      <c r="F256">
        <v>10081425.84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-0.24747647562018849</v>
      </c>
      <c r="Q256">
        <f t="shared" si="960"/>
        <v>-2494915.736109498</v>
      </c>
      <c r="R256">
        <f t="shared" si="961"/>
        <v>73239168.38413313</v>
      </c>
      <c r="S256">
        <f t="shared" si="962"/>
        <v>732.39168384133131</v>
      </c>
      <c r="T256">
        <f t="shared" si="963"/>
        <v>0.73239168384133135</v>
      </c>
    </row>
    <row r="257" spans="1:20" x14ac:dyDescent="0.25">
      <c r="A257" s="5">
        <v>44336</v>
      </c>
      <c r="B257">
        <v>5.4210000000000003</v>
      </c>
      <c r="C257">
        <v>6.7</v>
      </c>
      <c r="D257">
        <v>4.6677999999999997</v>
      </c>
      <c r="E257">
        <v>6.5320999999999998</v>
      </c>
      <c r="F257">
        <v>11366920.66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0.83476035823245709</v>
      </c>
      <c r="Q257">
        <f t="shared" si="960"/>
        <v>9488654.7621415183</v>
      </c>
      <c r="R257">
        <f t="shared" si="961"/>
        <v>75734084.120242625</v>
      </c>
      <c r="S257">
        <f t="shared" si="962"/>
        <v>757.3408412024263</v>
      </c>
      <c r="T257">
        <f t="shared" si="963"/>
        <v>0.75734084120242628</v>
      </c>
    </row>
    <row r="258" spans="1:20" x14ac:dyDescent="0.25">
      <c r="A258" s="5">
        <v>44335</v>
      </c>
      <c r="B258">
        <v>9.6060999999999996</v>
      </c>
      <c r="C258">
        <v>9.7683999999999997</v>
      </c>
      <c r="D258">
        <v>5</v>
      </c>
      <c r="E258">
        <v>5.4347000000000003</v>
      </c>
      <c r="F258">
        <v>13049827.99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-0.81767469172049312</v>
      </c>
      <c r="Q258">
        <f t="shared" si="960"/>
        <v>-10670514.078728713</v>
      </c>
      <c r="R258">
        <f t="shared" si="961"/>
        <v>66245429.358101107</v>
      </c>
      <c r="S258">
        <f t="shared" si="962"/>
        <v>662.45429358101103</v>
      </c>
      <c r="T258">
        <f t="shared" si="963"/>
        <v>0.66245429358101104</v>
      </c>
    </row>
    <row r="259" spans="1:20" x14ac:dyDescent="0.25">
      <c r="A259" s="5">
        <v>44334</v>
      </c>
      <c r="B259">
        <v>9.2204999999999995</v>
      </c>
      <c r="C259">
        <v>10.4299</v>
      </c>
      <c r="D259">
        <v>9.0500000000000007</v>
      </c>
      <c r="E259">
        <v>9.6004000000000005</v>
      </c>
      <c r="F259">
        <v>10371155.33</v>
      </c>
      <c r="G259">
        <v>0</v>
      </c>
      <c r="L259" t="s">
        <v>7</v>
      </c>
      <c r="M259" t="s">
        <v>7</v>
      </c>
      <c r="N259" t="s">
        <v>8</v>
      </c>
      <c r="P259">
        <f t="shared" si="959"/>
        <v>-0.20226103340821786</v>
      </c>
      <c r="Q259">
        <f t="shared" si="960"/>
        <v>-2097680.5946829468</v>
      </c>
      <c r="R259">
        <f t="shared" si="961"/>
        <v>76915943.43682982</v>
      </c>
      <c r="S259">
        <f t="shared" si="962"/>
        <v>769.15943436829821</v>
      </c>
      <c r="T259">
        <f t="shared" si="963"/>
        <v>0.76915943436829826</v>
      </c>
    </row>
    <row r="260" spans="1:20" x14ac:dyDescent="0.25">
      <c r="A260" s="5">
        <v>44333</v>
      </c>
      <c r="B260">
        <v>9.7100000000000009</v>
      </c>
      <c r="C260">
        <v>10.9552</v>
      </c>
      <c r="D260">
        <v>9.0500000000000007</v>
      </c>
      <c r="E260">
        <v>9.2166999999999994</v>
      </c>
      <c r="F260">
        <v>16287706.52</v>
      </c>
      <c r="G260">
        <v>0</v>
      </c>
      <c r="L260" t="s">
        <v>8</v>
      </c>
      <c r="M260" t="s">
        <v>8</v>
      </c>
      <c r="N260" t="s">
        <v>8</v>
      </c>
      <c r="P260">
        <f t="shared" si="959"/>
        <v>-0.82500524879277892</v>
      </c>
      <c r="Q260">
        <f t="shared" si="960"/>
        <v>-13437443.369796367</v>
      </c>
      <c r="R260">
        <f t="shared" si="961"/>
        <v>79013624.031512767</v>
      </c>
      <c r="S260">
        <f t="shared" si="962"/>
        <v>790.13624031512768</v>
      </c>
      <c r="T260">
        <f t="shared" si="963"/>
        <v>0.79013624031512764</v>
      </c>
    </row>
    <row r="261" spans="1:20" x14ac:dyDescent="0.25">
      <c r="A261" s="5">
        <v>44332</v>
      </c>
      <c r="B261">
        <v>7.8895</v>
      </c>
      <c r="C261">
        <v>10.557</v>
      </c>
      <c r="D261">
        <v>7.82</v>
      </c>
      <c r="E261">
        <v>9.7100000000000009</v>
      </c>
      <c r="F261">
        <v>16322589.16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0.3810741687979543</v>
      </c>
      <c r="Q261">
        <f t="shared" si="960"/>
        <v>6220117.0967774997</v>
      </c>
      <c r="R261">
        <f t="shared" si="961"/>
        <v>92451067.401309133</v>
      </c>
      <c r="S261">
        <f t="shared" si="962"/>
        <v>924.51067401309137</v>
      </c>
      <c r="T261">
        <f t="shared" si="963"/>
        <v>0.92451067401309139</v>
      </c>
    </row>
    <row r="262" spans="1:20" x14ac:dyDescent="0.25">
      <c r="A262" s="5">
        <v>44331</v>
      </c>
      <c r="B262">
        <v>8.7364999999999995</v>
      </c>
      <c r="C262">
        <v>8.9109999999999996</v>
      </c>
      <c r="D262">
        <v>7.7770999999999999</v>
      </c>
      <c r="E262">
        <v>7.8903999999999996</v>
      </c>
      <c r="F262">
        <v>3475239.85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-0.80015874415733346</v>
      </c>
      <c r="Q262">
        <f t="shared" ref="Q262:Q325" si="965">F262*P262</f>
        <v>-2780743.5540215201</v>
      </c>
      <c r="R262">
        <f t="shared" ref="R262:R325" si="966">R263+Q262</f>
        <v>86230950.304531634</v>
      </c>
      <c r="S262">
        <f t="shared" ref="S262:S325" si="967">R262/100000</f>
        <v>862.30950304531632</v>
      </c>
      <c r="T262">
        <f t="shared" ref="T262:T325" si="968">S262/1000</f>
        <v>0.86230950304531628</v>
      </c>
    </row>
    <row r="263" spans="1:20" x14ac:dyDescent="0.25">
      <c r="A263" s="5">
        <v>44330</v>
      </c>
      <c r="B263">
        <v>8.2543000000000006</v>
      </c>
      <c r="C263">
        <v>9.5045999999999999</v>
      </c>
      <c r="D263">
        <v>8.0184999999999995</v>
      </c>
      <c r="E263">
        <v>8.7378999999999998</v>
      </c>
      <c r="F263">
        <v>3074647.93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-3.1828275351591336E-2</v>
      </c>
      <c r="Q263">
        <f t="shared" si="965"/>
        <v>-97860.74092524033</v>
      </c>
      <c r="R263">
        <f t="shared" si="966"/>
        <v>89011693.858553156</v>
      </c>
      <c r="S263">
        <f t="shared" si="967"/>
        <v>890.11693858553156</v>
      </c>
      <c r="T263">
        <f t="shared" si="968"/>
        <v>0.89011693858553154</v>
      </c>
    </row>
    <row r="264" spans="1:20" x14ac:dyDescent="0.25">
      <c r="A264" s="5">
        <v>44329</v>
      </c>
      <c r="B264">
        <v>8.4144000000000005</v>
      </c>
      <c r="C264">
        <v>9.2255000000000003</v>
      </c>
      <c r="D264">
        <v>7.5502000000000002</v>
      </c>
      <c r="E264">
        <v>8.2692999999999994</v>
      </c>
      <c r="F264">
        <v>6437961.4199999999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-0.14152689070614316</v>
      </c>
      <c r="Q264">
        <f t="shared" si="965"/>
        <v>-911144.66225870617</v>
      </c>
      <c r="R264">
        <f t="shared" si="966"/>
        <v>89109554.599478394</v>
      </c>
      <c r="S264">
        <f t="shared" si="967"/>
        <v>891.09554599478395</v>
      </c>
      <c r="T264">
        <f t="shared" si="968"/>
        <v>0.89109554599478391</v>
      </c>
    </row>
    <row r="265" spans="1:20" x14ac:dyDescent="0.25">
      <c r="A265" s="5">
        <v>44328</v>
      </c>
      <c r="B265">
        <v>9.75</v>
      </c>
      <c r="C265">
        <v>10.197100000000001</v>
      </c>
      <c r="D265">
        <v>8.3000000000000007</v>
      </c>
      <c r="E265">
        <v>8.4667999999999992</v>
      </c>
      <c r="F265">
        <v>4229165.63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-0.82415265405092142</v>
      </c>
      <c r="Q265">
        <f t="shared" si="965"/>
        <v>-3485478.0783854369</v>
      </c>
      <c r="R265">
        <f t="shared" si="966"/>
        <v>90020699.261737093</v>
      </c>
      <c r="S265">
        <f t="shared" si="967"/>
        <v>900.20699261737093</v>
      </c>
      <c r="T265">
        <f t="shared" si="968"/>
        <v>0.90020699261737092</v>
      </c>
    </row>
    <row r="266" spans="1:20" x14ac:dyDescent="0.25">
      <c r="A266" s="5">
        <v>44327</v>
      </c>
      <c r="B266">
        <v>9.1584000000000003</v>
      </c>
      <c r="C266">
        <v>9.7597000000000005</v>
      </c>
      <c r="D266">
        <v>8.7271000000000001</v>
      </c>
      <c r="E266">
        <v>9.7484999999999999</v>
      </c>
      <c r="F266">
        <v>2994571.2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0.97830718574472098</v>
      </c>
      <c r="Q266">
        <f t="shared" si="965"/>
        <v>2929610.5231841924</v>
      </c>
      <c r="R266">
        <f t="shared" si="966"/>
        <v>93506177.340122536</v>
      </c>
      <c r="S266">
        <f t="shared" si="967"/>
        <v>935.06177340122531</v>
      </c>
      <c r="T266">
        <f t="shared" si="968"/>
        <v>0.93506177340122532</v>
      </c>
    </row>
    <row r="267" spans="1:20" x14ac:dyDescent="0.25">
      <c r="A267" s="5">
        <v>44326</v>
      </c>
      <c r="B267">
        <v>10.2912</v>
      </c>
      <c r="C267">
        <v>10.607200000000001</v>
      </c>
      <c r="D267">
        <v>8.6999999999999993</v>
      </c>
      <c r="E267">
        <v>9.1532</v>
      </c>
      <c r="F267">
        <v>3354516.37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-0.52474832214765055</v>
      </c>
      <c r="Q267">
        <f t="shared" si="965"/>
        <v>-1760276.8367743273</v>
      </c>
      <c r="R267">
        <f t="shared" si="966"/>
        <v>90576566.816938341</v>
      </c>
      <c r="S267">
        <f t="shared" si="967"/>
        <v>905.76566816938339</v>
      </c>
      <c r="T267">
        <f t="shared" si="968"/>
        <v>0.90576566816938342</v>
      </c>
    </row>
    <row r="268" spans="1:20" x14ac:dyDescent="0.25">
      <c r="A268" s="5">
        <v>44325</v>
      </c>
      <c r="B268">
        <v>10.8142</v>
      </c>
      <c r="C268">
        <v>10.8451</v>
      </c>
      <c r="D268">
        <v>9.82</v>
      </c>
      <c r="E268">
        <v>10.293900000000001</v>
      </c>
      <c r="F268">
        <v>2727083.78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-7.5407277338795486E-2</v>
      </c>
      <c r="Q268">
        <f t="shared" si="965"/>
        <v>-205641.96292459071</v>
      </c>
      <c r="R268">
        <f t="shared" si="966"/>
        <v>92336843.653712675</v>
      </c>
      <c r="S268">
        <f t="shared" si="967"/>
        <v>923.36843653712674</v>
      </c>
      <c r="T268">
        <f t="shared" si="968"/>
        <v>0.92336843653712675</v>
      </c>
    </row>
    <row r="269" spans="1:20" x14ac:dyDescent="0.25">
      <c r="A269" s="5">
        <v>44324</v>
      </c>
      <c r="B269">
        <v>10.163500000000001</v>
      </c>
      <c r="C269">
        <v>11.4138</v>
      </c>
      <c r="D269">
        <v>9.9420999999999999</v>
      </c>
      <c r="E269">
        <v>10.811999999999999</v>
      </c>
      <c r="F269">
        <v>4566523.92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0.1821702792688718</v>
      </c>
      <c r="Q269">
        <f t="shared" si="965"/>
        <v>831884.93779438315</v>
      </c>
      <c r="R269">
        <f t="shared" si="966"/>
        <v>92542485.61663726</v>
      </c>
      <c r="S269">
        <f t="shared" si="967"/>
        <v>925.42485616637259</v>
      </c>
      <c r="T269">
        <f t="shared" si="968"/>
        <v>0.9254248561663726</v>
      </c>
    </row>
    <row r="270" spans="1:20" x14ac:dyDescent="0.25">
      <c r="A270" s="5">
        <v>44323</v>
      </c>
      <c r="B270">
        <v>10.3216</v>
      </c>
      <c r="C270">
        <v>10.8</v>
      </c>
      <c r="D270">
        <v>9.5702999999999996</v>
      </c>
      <c r="E270">
        <v>10.146599999999999</v>
      </c>
      <c r="F270">
        <v>4108991.55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-6.2698219077825024E-2</v>
      </c>
      <c r="Q270">
        <f t="shared" si="965"/>
        <v>-257626.45239083181</v>
      </c>
      <c r="R270">
        <f t="shared" si="966"/>
        <v>91710600.678842872</v>
      </c>
      <c r="S270">
        <f t="shared" si="967"/>
        <v>917.10600678842877</v>
      </c>
      <c r="T270">
        <f t="shared" si="968"/>
        <v>0.9171060067884288</v>
      </c>
    </row>
    <row r="271" spans="1:20" x14ac:dyDescent="0.25">
      <c r="A271" s="5">
        <v>44322</v>
      </c>
      <c r="B271">
        <v>11.152799999999999</v>
      </c>
      <c r="C271">
        <v>11.1898</v>
      </c>
      <c r="D271">
        <v>10.0289</v>
      </c>
      <c r="E271">
        <v>10.328200000000001</v>
      </c>
      <c r="F271">
        <v>4136059.97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-0.48436557843052697</v>
      </c>
      <c r="Q271">
        <f t="shared" si="965"/>
        <v>-2003365.079792398</v>
      </c>
      <c r="R271">
        <f t="shared" si="966"/>
        <v>91968227.131233707</v>
      </c>
      <c r="S271">
        <f t="shared" si="967"/>
        <v>919.68227131233709</v>
      </c>
      <c r="T271">
        <f t="shared" si="968"/>
        <v>0.91968227131233704</v>
      </c>
    </row>
    <row r="272" spans="1:20" x14ac:dyDescent="0.25">
      <c r="A272" s="5">
        <v>44321</v>
      </c>
      <c r="B272">
        <v>10.273400000000001</v>
      </c>
      <c r="C272">
        <v>11.4986</v>
      </c>
      <c r="D272">
        <v>10.050000000000001</v>
      </c>
      <c r="E272">
        <v>11.152799999999999</v>
      </c>
      <c r="F272">
        <v>5388733.9800000004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0.52257351925997408</v>
      </c>
      <c r="Q272">
        <f t="shared" si="965"/>
        <v>2816009.680284407</v>
      </c>
      <c r="R272">
        <f t="shared" si="966"/>
        <v>93971592.211026102</v>
      </c>
      <c r="S272">
        <f t="shared" si="967"/>
        <v>939.71592211026098</v>
      </c>
      <c r="T272">
        <f t="shared" si="968"/>
        <v>0.939715922110261</v>
      </c>
    </row>
    <row r="273" spans="1:20" x14ac:dyDescent="0.25">
      <c r="A273" s="5">
        <v>44320</v>
      </c>
      <c r="B273">
        <v>11.703200000000001</v>
      </c>
      <c r="C273">
        <v>12.56</v>
      </c>
      <c r="D273">
        <v>10.1783</v>
      </c>
      <c r="E273">
        <v>10.280900000000001</v>
      </c>
      <c r="F273">
        <v>11574607.890000001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-0.91384305328126914</v>
      </c>
      <c r="Q273">
        <f t="shared" si="965"/>
        <v>-10577375.014731068</v>
      </c>
      <c r="R273">
        <f t="shared" si="966"/>
        <v>91155582.530741692</v>
      </c>
      <c r="S273">
        <f t="shared" si="967"/>
        <v>911.55582530741697</v>
      </c>
      <c r="T273">
        <f t="shared" si="968"/>
        <v>0.91155582530741697</v>
      </c>
    </row>
    <row r="274" spans="1:20" x14ac:dyDescent="0.25">
      <c r="A274" s="5">
        <v>44319</v>
      </c>
      <c r="B274">
        <v>10.706</v>
      </c>
      <c r="C274">
        <v>12.98</v>
      </c>
      <c r="D274">
        <v>10.697699999999999</v>
      </c>
      <c r="E274">
        <v>11.6996</v>
      </c>
      <c r="F274">
        <v>11087109.439999999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-0.12202602637690013</v>
      </c>
      <c r="Q274">
        <f t="shared" si="965"/>
        <v>-1352915.9089690184</v>
      </c>
      <c r="R274">
        <f t="shared" si="966"/>
        <v>101732957.54547276</v>
      </c>
      <c r="S274">
        <f t="shared" si="967"/>
        <v>1017.3295754547275</v>
      </c>
      <c r="T274">
        <f t="shared" si="968"/>
        <v>1.0173295754547276</v>
      </c>
    </row>
    <row r="275" spans="1:20" x14ac:dyDescent="0.25">
      <c r="A275" s="5">
        <v>44318</v>
      </c>
      <c r="B275">
        <v>10.5579</v>
      </c>
      <c r="C275">
        <v>11.19</v>
      </c>
      <c r="D275">
        <v>9.4713999999999992</v>
      </c>
      <c r="E275">
        <v>10.699199999999999</v>
      </c>
      <c r="F275">
        <v>7903728.1100000003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0.4288374258117072</v>
      </c>
      <c r="Q275">
        <f t="shared" si="965"/>
        <v>3389414.4170080298</v>
      </c>
      <c r="R275">
        <f t="shared" si="966"/>
        <v>103085873.45444177</v>
      </c>
      <c r="S275">
        <f t="shared" si="967"/>
        <v>1030.8587345444178</v>
      </c>
      <c r="T275">
        <f t="shared" si="968"/>
        <v>1.0308587345444178</v>
      </c>
    </row>
    <row r="276" spans="1:20" x14ac:dyDescent="0.25">
      <c r="A276" s="5">
        <v>44317</v>
      </c>
      <c r="B276">
        <v>9.5823999999999998</v>
      </c>
      <c r="C276">
        <v>10.5884</v>
      </c>
      <c r="D276">
        <v>9.0924999999999994</v>
      </c>
      <c r="E276">
        <v>10.5564</v>
      </c>
      <c r="F276">
        <v>8091636.9400000004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0.95721639147001802</v>
      </c>
      <c r="Q276">
        <f t="shared" si="965"/>
        <v>7745447.5127922995</v>
      </c>
      <c r="R276">
        <f t="shared" si="966"/>
        <v>99696459.037433743</v>
      </c>
      <c r="S276">
        <f t="shared" si="967"/>
        <v>996.96459037433749</v>
      </c>
      <c r="T276">
        <f t="shared" si="968"/>
        <v>0.99696459037433749</v>
      </c>
    </row>
    <row r="277" spans="1:20" x14ac:dyDescent="0.25">
      <c r="A277" s="5">
        <v>44316</v>
      </c>
      <c r="B277">
        <v>9.2361000000000004</v>
      </c>
      <c r="C277">
        <v>9.9869000000000003</v>
      </c>
      <c r="D277">
        <v>8.8603000000000005</v>
      </c>
      <c r="E277">
        <v>9.5856999999999992</v>
      </c>
      <c r="F277">
        <v>6511865.6799999997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0.28776850701224715</v>
      </c>
      <c r="Q277">
        <f t="shared" si="965"/>
        <v>1873909.8645978915</v>
      </c>
      <c r="R277">
        <f t="shared" si="966"/>
        <v>91951011.524641439</v>
      </c>
      <c r="S277">
        <f t="shared" si="967"/>
        <v>919.51011524641444</v>
      </c>
      <c r="T277">
        <f t="shared" si="968"/>
        <v>0.91951011524641446</v>
      </c>
    </row>
    <row r="278" spans="1:20" x14ac:dyDescent="0.25">
      <c r="A278" s="5">
        <v>44315</v>
      </c>
      <c r="B278">
        <v>9.6446000000000005</v>
      </c>
      <c r="C278">
        <v>9.7475000000000005</v>
      </c>
      <c r="D278">
        <v>8.5370000000000008</v>
      </c>
      <c r="E278">
        <v>9.2354000000000003</v>
      </c>
      <c r="F278">
        <v>8140659.25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0.15390334572490647</v>
      </c>
      <c r="Q278">
        <f t="shared" si="965"/>
        <v>1252874.6949814078</v>
      </c>
      <c r="R278">
        <f t="shared" si="966"/>
        <v>90077101.660043553</v>
      </c>
      <c r="S278">
        <f t="shared" si="967"/>
        <v>900.77101660043547</v>
      </c>
      <c r="T278">
        <f t="shared" si="968"/>
        <v>0.90077101660043546</v>
      </c>
    </row>
    <row r="279" spans="1:20" x14ac:dyDescent="0.25">
      <c r="A279" s="5">
        <v>44314</v>
      </c>
      <c r="B279">
        <v>10.3843</v>
      </c>
      <c r="C279">
        <v>10.4421</v>
      </c>
      <c r="D279">
        <v>8.9459999999999997</v>
      </c>
      <c r="E279">
        <v>9.6515000000000004</v>
      </c>
      <c r="F279">
        <v>11817963.93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-5.6881224517076952E-2</v>
      </c>
      <c r="Q279">
        <f t="shared" si="965"/>
        <v>-672220.25963704707</v>
      </c>
      <c r="R279">
        <f t="shared" si="966"/>
        <v>88824226.965062141</v>
      </c>
      <c r="S279">
        <f t="shared" si="967"/>
        <v>888.24226965062144</v>
      </c>
      <c r="T279">
        <f t="shared" si="968"/>
        <v>0.88824226965062147</v>
      </c>
    </row>
    <row r="280" spans="1:20" x14ac:dyDescent="0.25">
      <c r="A280" s="5">
        <v>44313</v>
      </c>
      <c r="B280">
        <v>9.5044000000000004</v>
      </c>
      <c r="C280">
        <v>11.368</v>
      </c>
      <c r="D280">
        <v>9.4930000000000003</v>
      </c>
      <c r="E280">
        <v>10.368</v>
      </c>
      <c r="F280">
        <v>22574876.98</v>
      </c>
      <c r="G280">
        <v>0</v>
      </c>
      <c r="L280" t="s">
        <v>7</v>
      </c>
      <c r="M280" t="s">
        <v>7</v>
      </c>
      <c r="N280" t="s">
        <v>8</v>
      </c>
      <c r="P280">
        <f t="shared" si="964"/>
        <v>-6.6666666666666666E-2</v>
      </c>
      <c r="Q280">
        <f t="shared" si="965"/>
        <v>-1504991.7986666667</v>
      </c>
      <c r="R280">
        <f t="shared" si="966"/>
        <v>89496447.224699184</v>
      </c>
      <c r="S280">
        <f t="shared" si="967"/>
        <v>894.96447224699182</v>
      </c>
      <c r="T280">
        <f t="shared" si="968"/>
        <v>0.89496447224699183</v>
      </c>
    </row>
    <row r="281" spans="1:20" x14ac:dyDescent="0.25">
      <c r="A281" s="5">
        <v>44312</v>
      </c>
      <c r="B281">
        <v>7.4729999999999999</v>
      </c>
      <c r="C281">
        <v>11.473100000000001</v>
      </c>
      <c r="D281">
        <v>7.2092000000000001</v>
      </c>
      <c r="E281">
        <v>9.5045000000000002</v>
      </c>
      <c r="F281">
        <v>43703191.149999999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7.661999577851257E-2</v>
      </c>
      <c r="Q281">
        <f t="shared" si="965"/>
        <v>3348538.321420528</v>
      </c>
      <c r="R281">
        <f t="shared" si="966"/>
        <v>91001439.023365855</v>
      </c>
      <c r="S281">
        <f t="shared" si="967"/>
        <v>910.01439023365856</v>
      </c>
      <c r="T281">
        <f t="shared" si="968"/>
        <v>0.9100143902336586</v>
      </c>
    </row>
    <row r="282" spans="1:20" x14ac:dyDescent="0.25">
      <c r="A282" s="5">
        <v>44311</v>
      </c>
      <c r="B282">
        <v>5.7866999999999997</v>
      </c>
      <c r="C282">
        <v>7.6</v>
      </c>
      <c r="D282">
        <v>5.7270000000000003</v>
      </c>
      <c r="E282">
        <v>7.4671000000000003</v>
      </c>
      <c r="F282">
        <v>17916452.73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0.85808862786972839</v>
      </c>
      <c r="Q282">
        <f t="shared" si="965"/>
        <v>15373904.339378551</v>
      </c>
      <c r="R282">
        <f t="shared" si="966"/>
        <v>87652900.701945335</v>
      </c>
      <c r="S282">
        <f t="shared" si="967"/>
        <v>876.52900701945339</v>
      </c>
      <c r="T282">
        <f t="shared" si="968"/>
        <v>0.87652900701945335</v>
      </c>
    </row>
    <row r="283" spans="1:20" x14ac:dyDescent="0.25">
      <c r="A283" s="5">
        <v>44310</v>
      </c>
      <c r="B283">
        <v>5.7821999999999996</v>
      </c>
      <c r="C283">
        <v>6.1749999999999998</v>
      </c>
      <c r="D283">
        <v>5.0205000000000002</v>
      </c>
      <c r="E283">
        <v>5.7801</v>
      </c>
      <c r="F283">
        <v>8422396.9000000004</v>
      </c>
      <c r="G283">
        <v>0</v>
      </c>
      <c r="L283" t="s">
        <v>7</v>
      </c>
      <c r="M283" t="s">
        <v>8</v>
      </c>
      <c r="N283" t="s">
        <v>7</v>
      </c>
      <c r="P283">
        <f t="shared" si="964"/>
        <v>0.31589432654828942</v>
      </c>
      <c r="Q283">
        <f t="shared" si="965"/>
        <v>2660587.3966479008</v>
      </c>
      <c r="R283">
        <f t="shared" si="966"/>
        <v>72278996.362566784</v>
      </c>
      <c r="S283">
        <f t="shared" si="967"/>
        <v>722.78996362566784</v>
      </c>
      <c r="T283">
        <f t="shared" si="968"/>
        <v>0.72278996362566783</v>
      </c>
    </row>
    <row r="284" spans="1:20" x14ac:dyDescent="0.25">
      <c r="A284" s="5">
        <v>44309</v>
      </c>
      <c r="B284">
        <v>6.5080999999999998</v>
      </c>
      <c r="C284">
        <v>6.8</v>
      </c>
      <c r="D284">
        <v>5.1132</v>
      </c>
      <c r="E284">
        <v>5.7866</v>
      </c>
      <c r="F284">
        <v>10793372.939999999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-0.20156509366848463</v>
      </c>
      <c r="Q284">
        <f t="shared" si="965"/>
        <v>-2175567.2276499872</v>
      </c>
      <c r="R284">
        <f t="shared" si="966"/>
        <v>69618408.965918884</v>
      </c>
      <c r="S284">
        <f t="shared" si="967"/>
        <v>696.18408965918888</v>
      </c>
      <c r="T284">
        <f t="shared" si="968"/>
        <v>0.69618408965918888</v>
      </c>
    </row>
    <row r="285" spans="1:20" x14ac:dyDescent="0.25">
      <c r="A285" s="5">
        <v>44308</v>
      </c>
      <c r="B285">
        <v>5.9303999999999997</v>
      </c>
      <c r="C285">
        <v>7.45</v>
      </c>
      <c r="D285">
        <v>5.8010000000000002</v>
      </c>
      <c r="E285">
        <v>6.5080999999999998</v>
      </c>
      <c r="F285">
        <v>14005520.92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-0.14238932686476699</v>
      </c>
      <c r="Q285">
        <f t="shared" si="965"/>
        <v>-1994236.6961892121</v>
      </c>
      <c r="R285">
        <f t="shared" si="966"/>
        <v>71793976.19356887</v>
      </c>
      <c r="S285">
        <f t="shared" si="967"/>
        <v>717.93976193568869</v>
      </c>
      <c r="T285">
        <f t="shared" si="968"/>
        <v>0.71793976193568865</v>
      </c>
    </row>
    <row r="286" spans="1:20" x14ac:dyDescent="0.25">
      <c r="A286" s="5">
        <v>44307</v>
      </c>
      <c r="B286">
        <v>5.9284999999999997</v>
      </c>
      <c r="C286">
        <v>6.53</v>
      </c>
      <c r="D286">
        <v>5.7178000000000004</v>
      </c>
      <c r="E286">
        <v>5.9291999999999998</v>
      </c>
      <c r="F286">
        <v>6986461.2000000002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-0.47943856193056039</v>
      </c>
      <c r="Q286">
        <f t="shared" si="965"/>
        <v>-3349578.9107116573</v>
      </c>
      <c r="R286">
        <f t="shared" si="966"/>
        <v>73788212.88975808</v>
      </c>
      <c r="S286">
        <f t="shared" si="967"/>
        <v>737.88212889758086</v>
      </c>
      <c r="T286">
        <f t="shared" si="968"/>
        <v>0.73788212889758087</v>
      </c>
    </row>
    <row r="287" spans="1:20" x14ac:dyDescent="0.25">
      <c r="A287" s="5">
        <v>44306</v>
      </c>
      <c r="B287">
        <v>5.7549000000000001</v>
      </c>
      <c r="C287">
        <v>6.12</v>
      </c>
      <c r="D287">
        <v>5.0609999999999999</v>
      </c>
      <c r="E287">
        <v>5.9222000000000001</v>
      </c>
      <c r="F287">
        <v>8047297.5099999998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0.62644003777148261</v>
      </c>
      <c r="Q287">
        <f t="shared" si="965"/>
        <v>5041149.3561227582</v>
      </c>
      <c r="R287">
        <f t="shared" si="966"/>
        <v>77137791.800469741</v>
      </c>
      <c r="S287">
        <f t="shared" si="967"/>
        <v>771.37791800469745</v>
      </c>
      <c r="T287">
        <f t="shared" si="968"/>
        <v>0.77137791800469746</v>
      </c>
    </row>
    <row r="288" spans="1:20" x14ac:dyDescent="0.25">
      <c r="A288" s="5">
        <v>44305</v>
      </c>
      <c r="B288">
        <v>6.2389999999999999</v>
      </c>
      <c r="C288">
        <v>6.6867999999999999</v>
      </c>
      <c r="D288">
        <v>5.6508000000000003</v>
      </c>
      <c r="E288">
        <v>5.7603</v>
      </c>
      <c r="F288">
        <v>9536094.1899999995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-0.78861003861003909</v>
      </c>
      <c r="Q288">
        <f t="shared" si="965"/>
        <v>-7520259.6073648687</v>
      </c>
      <c r="R288">
        <f t="shared" si="966"/>
        <v>72096642.444346979</v>
      </c>
      <c r="S288">
        <f t="shared" si="967"/>
        <v>720.9664244434698</v>
      </c>
      <c r="T288">
        <f t="shared" si="968"/>
        <v>0.72096642444346981</v>
      </c>
    </row>
    <row r="289" spans="1:20" x14ac:dyDescent="0.25">
      <c r="A289" s="5">
        <v>44304</v>
      </c>
      <c r="B289">
        <v>6.5045000000000002</v>
      </c>
      <c r="C289">
        <v>6.5888</v>
      </c>
      <c r="D289">
        <v>5</v>
      </c>
      <c r="E289">
        <v>6.2409999999999997</v>
      </c>
      <c r="F289">
        <v>9203752.9299999997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0.56218529707955645</v>
      </c>
      <c r="Q289">
        <f t="shared" si="965"/>
        <v>5174214.5751988878</v>
      </c>
      <c r="R289">
        <f t="shared" si="966"/>
        <v>79616902.051711842</v>
      </c>
      <c r="S289">
        <f t="shared" si="967"/>
        <v>796.16902051711838</v>
      </c>
      <c r="T289">
        <f t="shared" si="968"/>
        <v>0.79616902051711835</v>
      </c>
    </row>
    <row r="290" spans="1:20" x14ac:dyDescent="0.25">
      <c r="A290" s="5">
        <v>44303</v>
      </c>
      <c r="B290">
        <v>6.6581000000000001</v>
      </c>
      <c r="C290">
        <v>7.2191000000000001</v>
      </c>
      <c r="D290">
        <v>6.5004</v>
      </c>
      <c r="E290">
        <v>6.5007000000000001</v>
      </c>
      <c r="F290">
        <v>3975924.29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-0.99916515931543015</v>
      </c>
      <c r="Q290">
        <f t="shared" si="965"/>
        <v>-3972605.0266439384</v>
      </c>
      <c r="R290">
        <f t="shared" si="966"/>
        <v>74442687.476512954</v>
      </c>
      <c r="S290">
        <f t="shared" si="967"/>
        <v>744.42687476512958</v>
      </c>
      <c r="T290">
        <f t="shared" si="968"/>
        <v>0.74442687476512959</v>
      </c>
    </row>
    <row r="291" spans="1:20" x14ac:dyDescent="0.25">
      <c r="A291" s="5">
        <v>44302</v>
      </c>
      <c r="B291">
        <v>7.3646000000000003</v>
      </c>
      <c r="C291">
        <v>7.4911000000000003</v>
      </c>
      <c r="D291">
        <v>6.4287000000000001</v>
      </c>
      <c r="E291">
        <v>6.6599000000000004</v>
      </c>
      <c r="F291">
        <v>4106739.83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-0.5647590361445779</v>
      </c>
      <c r="Q291">
        <f t="shared" si="965"/>
        <v>-2319318.4280873477</v>
      </c>
      <c r="R291">
        <f t="shared" si="966"/>
        <v>78415292.503156886</v>
      </c>
      <c r="S291">
        <f t="shared" si="967"/>
        <v>784.15292503156888</v>
      </c>
      <c r="T291">
        <f t="shared" si="968"/>
        <v>0.78415292503156886</v>
      </c>
    </row>
    <row r="292" spans="1:20" x14ac:dyDescent="0.25">
      <c r="A292" s="5">
        <v>44301</v>
      </c>
      <c r="B292">
        <v>7.3377999999999997</v>
      </c>
      <c r="C292">
        <v>7.5940000000000003</v>
      </c>
      <c r="D292">
        <v>7</v>
      </c>
      <c r="E292">
        <v>7.3657000000000004</v>
      </c>
      <c r="F292">
        <v>3680005.21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0.23131313131313189</v>
      </c>
      <c r="Q292">
        <f t="shared" si="965"/>
        <v>851233.52837373945</v>
      </c>
      <c r="R292">
        <f t="shared" si="966"/>
        <v>80734610.931244239</v>
      </c>
      <c r="S292">
        <f t="shared" si="967"/>
        <v>807.34610931244242</v>
      </c>
      <c r="T292">
        <f t="shared" si="968"/>
        <v>0.80734610931244244</v>
      </c>
    </row>
    <row r="293" spans="1:20" x14ac:dyDescent="0.25">
      <c r="A293" s="5">
        <v>44300</v>
      </c>
      <c r="B293">
        <v>7.2876000000000003</v>
      </c>
      <c r="C293">
        <v>7.3673999999999999</v>
      </c>
      <c r="D293">
        <v>6.3723999999999998</v>
      </c>
      <c r="E293">
        <v>7.3472999999999997</v>
      </c>
      <c r="F293">
        <v>5802861.0700000003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0.95959798994974832</v>
      </c>
      <c r="Q293">
        <f t="shared" si="965"/>
        <v>5568413.8187296465</v>
      </c>
      <c r="R293">
        <f t="shared" si="966"/>
        <v>79883377.402870506</v>
      </c>
      <c r="S293">
        <f t="shared" si="967"/>
        <v>798.83377402870508</v>
      </c>
      <c r="T293">
        <f t="shared" si="968"/>
        <v>0.79883377402870503</v>
      </c>
    </row>
    <row r="294" spans="1:20" x14ac:dyDescent="0.25">
      <c r="A294" s="5">
        <v>44299</v>
      </c>
      <c r="B294">
        <v>7.4568000000000003</v>
      </c>
      <c r="C294">
        <v>7.61</v>
      </c>
      <c r="D294">
        <v>6.7573999999999996</v>
      </c>
      <c r="E294">
        <v>7.2876000000000003</v>
      </c>
      <c r="F294">
        <v>4158617.12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0.24372507623739206</v>
      </c>
      <c r="Q294">
        <f t="shared" si="965"/>
        <v>1013559.2746141239</v>
      </c>
      <c r="R294">
        <f t="shared" si="966"/>
        <v>74314963.584140852</v>
      </c>
      <c r="S294">
        <f t="shared" si="967"/>
        <v>743.14963584140855</v>
      </c>
      <c r="T294">
        <f t="shared" si="968"/>
        <v>0.74314963584140858</v>
      </c>
    </row>
    <row r="295" spans="1:20" x14ac:dyDescent="0.25">
      <c r="A295" s="5">
        <v>44298</v>
      </c>
      <c r="B295">
        <v>8.0943000000000005</v>
      </c>
      <c r="C295">
        <v>8.1999999999999993</v>
      </c>
      <c r="D295">
        <v>7.1003999999999996</v>
      </c>
      <c r="E295">
        <v>7.4555999999999996</v>
      </c>
      <c r="F295">
        <v>5904098.0199999996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-0.35394688977810101</v>
      </c>
      <c r="Q295">
        <f t="shared" si="965"/>
        <v>-2089737.1311240443</v>
      </c>
      <c r="R295">
        <f t="shared" si="966"/>
        <v>73301404.309526727</v>
      </c>
      <c r="S295">
        <f t="shared" si="967"/>
        <v>733.01404309526731</v>
      </c>
      <c r="T295">
        <f t="shared" si="968"/>
        <v>0.7330140430952673</v>
      </c>
    </row>
    <row r="296" spans="1:20" x14ac:dyDescent="0.25">
      <c r="A296" s="5">
        <v>44297</v>
      </c>
      <c r="B296">
        <v>7.0587</v>
      </c>
      <c r="C296">
        <v>8.1</v>
      </c>
      <c r="D296">
        <v>6.6689999999999996</v>
      </c>
      <c r="E296">
        <v>8.0747999999999998</v>
      </c>
      <c r="F296">
        <v>9375196.8399999999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0.9647798742138366</v>
      </c>
      <c r="Q296">
        <f t="shared" si="965"/>
        <v>9045001.2280251589</v>
      </c>
      <c r="R296">
        <f t="shared" si="966"/>
        <v>75391141.440650776</v>
      </c>
      <c r="S296">
        <f t="shared" si="967"/>
        <v>753.91141440650779</v>
      </c>
      <c r="T296">
        <f t="shared" si="968"/>
        <v>0.75391141440650777</v>
      </c>
    </row>
    <row r="297" spans="1:20" x14ac:dyDescent="0.25">
      <c r="A297" s="5">
        <v>44296</v>
      </c>
      <c r="B297">
        <v>7.0270000000000001</v>
      </c>
      <c r="C297">
        <v>7.4486999999999997</v>
      </c>
      <c r="D297">
        <v>6.59</v>
      </c>
      <c r="E297">
        <v>7.0544000000000002</v>
      </c>
      <c r="F297">
        <v>6680340.79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8.1635029696053282E-2</v>
      </c>
      <c r="Q297">
        <f t="shared" si="965"/>
        <v>545349.81877140608</v>
      </c>
      <c r="R297">
        <f t="shared" si="966"/>
        <v>66346140.212625623</v>
      </c>
      <c r="S297">
        <f t="shared" si="967"/>
        <v>663.46140212625619</v>
      </c>
      <c r="T297">
        <f t="shared" si="968"/>
        <v>0.66346140212625615</v>
      </c>
    </row>
    <row r="298" spans="1:20" x14ac:dyDescent="0.25">
      <c r="A298" s="5">
        <v>44295</v>
      </c>
      <c r="B298">
        <v>6.0747999999999998</v>
      </c>
      <c r="C298">
        <v>7.3</v>
      </c>
      <c r="D298">
        <v>5.8766999999999996</v>
      </c>
      <c r="E298">
        <v>7.0270000000000001</v>
      </c>
      <c r="F298">
        <v>10077487.43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0.61638445865242797</v>
      </c>
      <c r="Q298">
        <f t="shared" si="965"/>
        <v>6211606.6341171972</v>
      </c>
      <c r="R298">
        <f t="shared" si="966"/>
        <v>65800790.393854216</v>
      </c>
      <c r="S298">
        <f t="shared" si="967"/>
        <v>658.0079039385422</v>
      </c>
      <c r="T298">
        <f t="shared" si="968"/>
        <v>0.65800790393854225</v>
      </c>
    </row>
    <row r="299" spans="1:20" x14ac:dyDescent="0.25">
      <c r="A299" s="5">
        <v>44294</v>
      </c>
      <c r="B299">
        <v>5.6765999999999996</v>
      </c>
      <c r="C299">
        <v>6.1078000000000001</v>
      </c>
      <c r="D299">
        <v>5.6337999999999999</v>
      </c>
      <c r="E299">
        <v>6.0747999999999998</v>
      </c>
      <c r="F299">
        <v>3533707.73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0.86075949367088456</v>
      </c>
      <c r="Q299">
        <f t="shared" si="965"/>
        <v>3041672.4764556908</v>
      </c>
      <c r="R299">
        <f t="shared" si="966"/>
        <v>59589183.759737015</v>
      </c>
      <c r="S299">
        <f t="shared" si="967"/>
        <v>595.89183759737011</v>
      </c>
      <c r="T299">
        <f t="shared" si="968"/>
        <v>0.59589183759737008</v>
      </c>
    </row>
    <row r="300" spans="1:20" x14ac:dyDescent="0.25">
      <c r="A300" s="5">
        <v>44293</v>
      </c>
      <c r="B300">
        <v>6.351</v>
      </c>
      <c r="C300">
        <v>6.45</v>
      </c>
      <c r="D300">
        <v>5.3673999999999999</v>
      </c>
      <c r="E300">
        <v>5.6801000000000004</v>
      </c>
      <c r="F300">
        <v>7244847.5599999996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-0.42231664511361472</v>
      </c>
      <c r="Q300">
        <f t="shared" si="965"/>
        <v>-3059619.7158987573</v>
      </c>
      <c r="R300">
        <f t="shared" si="966"/>
        <v>56547511.283281326</v>
      </c>
      <c r="S300">
        <f t="shared" si="967"/>
        <v>565.47511283281324</v>
      </c>
      <c r="T300">
        <f t="shared" si="968"/>
        <v>0.56547511283281326</v>
      </c>
    </row>
    <row r="301" spans="1:20" x14ac:dyDescent="0.25">
      <c r="A301" s="5">
        <v>44292</v>
      </c>
      <c r="B301">
        <v>6.0979999999999999</v>
      </c>
      <c r="C301">
        <v>6.3682999999999996</v>
      </c>
      <c r="D301">
        <v>5.6555</v>
      </c>
      <c r="E301">
        <v>6.3592000000000004</v>
      </c>
      <c r="F301">
        <v>6118613.7699999996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0.97446689113356</v>
      </c>
      <c r="Q301">
        <f t="shared" si="965"/>
        <v>5962386.5384988906</v>
      </c>
      <c r="R301">
        <f t="shared" si="966"/>
        <v>59607130.999180086</v>
      </c>
      <c r="S301">
        <f t="shared" si="967"/>
        <v>596.07130999180083</v>
      </c>
      <c r="T301">
        <f t="shared" si="968"/>
        <v>0.5960713099918008</v>
      </c>
    </row>
    <row r="302" spans="1:20" x14ac:dyDescent="0.25">
      <c r="A302" s="5">
        <v>44291</v>
      </c>
      <c r="B302">
        <v>6.5381</v>
      </c>
      <c r="C302">
        <v>6.5998999999999999</v>
      </c>
      <c r="D302">
        <v>6.0372000000000003</v>
      </c>
      <c r="E302">
        <v>6.1064999999999996</v>
      </c>
      <c r="F302">
        <v>4477616.78</v>
      </c>
      <c r="G302">
        <v>0</v>
      </c>
      <c r="L302" t="s">
        <v>7</v>
      </c>
      <c r="M302" t="s">
        <v>8</v>
      </c>
      <c r="N302" t="s">
        <v>8</v>
      </c>
      <c r="P302">
        <f t="shared" si="964"/>
        <v>-0.75368757775013573</v>
      </c>
      <c r="Q302">
        <f t="shared" si="965"/>
        <v>-3374724.1450115624</v>
      </c>
      <c r="R302">
        <f t="shared" si="966"/>
        <v>53644744.460681193</v>
      </c>
      <c r="S302">
        <f t="shared" si="967"/>
        <v>536.44744460681193</v>
      </c>
      <c r="T302">
        <f t="shared" si="968"/>
        <v>0.53644744460681193</v>
      </c>
    </row>
    <row r="303" spans="1:20" x14ac:dyDescent="0.25">
      <c r="A303" s="5">
        <v>44290</v>
      </c>
      <c r="B303">
        <v>5.6871</v>
      </c>
      <c r="C303">
        <v>6.73</v>
      </c>
      <c r="D303">
        <v>5.6016000000000004</v>
      </c>
      <c r="E303">
        <v>6.5381</v>
      </c>
      <c r="F303">
        <v>6424620.79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0.65987238567883655</v>
      </c>
      <c r="Q303">
        <f t="shared" si="965"/>
        <v>4239429.847779152</v>
      </c>
      <c r="R303">
        <f t="shared" si="966"/>
        <v>57019468.605692752</v>
      </c>
      <c r="S303">
        <f t="shared" si="967"/>
        <v>570.19468605692748</v>
      </c>
      <c r="T303">
        <f t="shared" si="968"/>
        <v>0.57019468605692747</v>
      </c>
    </row>
    <row r="304" spans="1:20" x14ac:dyDescent="0.25">
      <c r="A304" s="5">
        <v>44289</v>
      </c>
      <c r="B304">
        <v>5.9261999999999997</v>
      </c>
      <c r="C304">
        <v>6.42</v>
      </c>
      <c r="D304">
        <v>5.5517000000000003</v>
      </c>
      <c r="E304">
        <v>5.6917999999999997</v>
      </c>
      <c r="F304">
        <v>9487319.5199999996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-0.67730047218703326</v>
      </c>
      <c r="Q304">
        <f t="shared" si="965"/>
        <v>-6425765.9906852571</v>
      </c>
      <c r="R304">
        <f t="shared" si="966"/>
        <v>52780038.757913597</v>
      </c>
      <c r="S304">
        <f t="shared" si="967"/>
        <v>527.80038757913599</v>
      </c>
      <c r="T304">
        <f t="shared" si="968"/>
        <v>0.52780038757913594</v>
      </c>
    </row>
    <row r="305" spans="1:20" x14ac:dyDescent="0.25">
      <c r="A305" s="5">
        <v>44288</v>
      </c>
      <c r="B305">
        <v>5.2587999999999999</v>
      </c>
      <c r="C305">
        <v>5.9630999999999998</v>
      </c>
      <c r="D305">
        <v>5.1813000000000002</v>
      </c>
      <c r="E305">
        <v>5.9337999999999997</v>
      </c>
      <c r="F305">
        <v>4258180.2699999996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0.92504476848298767</v>
      </c>
      <c r="Q305">
        <f t="shared" si="965"/>
        <v>3939007.3820209755</v>
      </c>
      <c r="R305">
        <f t="shared" si="966"/>
        <v>59205804.748598851</v>
      </c>
      <c r="S305">
        <f t="shared" si="967"/>
        <v>592.05804748598848</v>
      </c>
      <c r="T305">
        <f t="shared" si="968"/>
        <v>0.59205804748598845</v>
      </c>
    </row>
    <row r="306" spans="1:20" x14ac:dyDescent="0.25">
      <c r="A306" s="5">
        <v>44287</v>
      </c>
      <c r="B306">
        <v>5.5065999999999997</v>
      </c>
      <c r="C306">
        <v>5.6254999999999997</v>
      </c>
      <c r="D306">
        <v>5.1177000000000001</v>
      </c>
      <c r="E306">
        <v>5.2545000000000002</v>
      </c>
      <c r="F306">
        <v>2574219.5499999998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-0.46120519889720307</v>
      </c>
      <c r="Q306">
        <f t="shared" si="965"/>
        <v>-1187243.4395628185</v>
      </c>
      <c r="R306">
        <f t="shared" si="966"/>
        <v>55266797.366577879</v>
      </c>
      <c r="S306">
        <f t="shared" si="967"/>
        <v>552.66797366577873</v>
      </c>
      <c r="T306">
        <f t="shared" si="968"/>
        <v>0.55266797366577869</v>
      </c>
    </row>
    <row r="307" spans="1:20" x14ac:dyDescent="0.25">
      <c r="A307" s="5">
        <v>44286</v>
      </c>
      <c r="B307">
        <v>5.3992000000000004</v>
      </c>
      <c r="C307">
        <v>5.5382999999999996</v>
      </c>
      <c r="D307">
        <v>4.9570999999999996</v>
      </c>
      <c r="E307">
        <v>5.5049999999999999</v>
      </c>
      <c r="F307">
        <v>3303680.67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0.88540949759119181</v>
      </c>
      <c r="Q307">
        <f t="shared" si="965"/>
        <v>2925110.2422264321</v>
      </c>
      <c r="R307">
        <f t="shared" si="966"/>
        <v>56454040.806140698</v>
      </c>
      <c r="S307">
        <f t="shared" si="967"/>
        <v>564.54040806140699</v>
      </c>
      <c r="T307">
        <f t="shared" si="968"/>
        <v>0.56454040806140704</v>
      </c>
    </row>
    <row r="308" spans="1:20" x14ac:dyDescent="0.25">
      <c r="A308" s="5">
        <v>44285</v>
      </c>
      <c r="B308">
        <v>5.2164000000000001</v>
      </c>
      <c r="C308">
        <v>5.7697000000000003</v>
      </c>
      <c r="D308">
        <v>5.2050999999999998</v>
      </c>
      <c r="E308">
        <v>5.3971</v>
      </c>
      <c r="F308">
        <v>4251315.7699999996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-0.31987247608926667</v>
      </c>
      <c r="Q308">
        <f t="shared" si="965"/>
        <v>-1359878.9019872472</v>
      </c>
      <c r="R308">
        <f t="shared" si="966"/>
        <v>53528930.563914269</v>
      </c>
      <c r="S308">
        <f t="shared" si="967"/>
        <v>535.28930563914264</v>
      </c>
      <c r="T308">
        <f t="shared" si="968"/>
        <v>0.53528930563914268</v>
      </c>
    </row>
    <row r="309" spans="1:20" x14ac:dyDescent="0.25">
      <c r="A309" s="5">
        <v>44284</v>
      </c>
      <c r="B309">
        <v>4.9194000000000004</v>
      </c>
      <c r="C309">
        <v>5.2472000000000003</v>
      </c>
      <c r="D309">
        <v>4.8029999999999999</v>
      </c>
      <c r="E309">
        <v>5.2214</v>
      </c>
      <c r="F309">
        <v>2816013.45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0.88383610986042216</v>
      </c>
      <c r="Q309">
        <f t="shared" si="965"/>
        <v>2488894.3729626266</v>
      </c>
      <c r="R309">
        <f t="shared" si="966"/>
        <v>54888809.465901516</v>
      </c>
      <c r="S309">
        <f t="shared" si="967"/>
        <v>548.88809465901511</v>
      </c>
      <c r="T309">
        <f t="shared" si="968"/>
        <v>0.54888809465901511</v>
      </c>
    </row>
    <row r="310" spans="1:20" x14ac:dyDescent="0.25">
      <c r="A310" s="5">
        <v>44283</v>
      </c>
      <c r="B310">
        <v>4.6376999999999997</v>
      </c>
      <c r="C310">
        <v>5.2</v>
      </c>
      <c r="D310">
        <v>4.5709999999999997</v>
      </c>
      <c r="E310">
        <v>4.9194000000000004</v>
      </c>
      <c r="F310">
        <v>4253509.7699999996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0.1077901430842622</v>
      </c>
      <c r="Q310">
        <f t="shared" si="965"/>
        <v>458486.42671860714</v>
      </c>
      <c r="R310">
        <f t="shared" si="966"/>
        <v>52399915.092938893</v>
      </c>
      <c r="S310">
        <f t="shared" si="967"/>
        <v>523.99915092938897</v>
      </c>
      <c r="T310">
        <f t="shared" si="968"/>
        <v>0.52399915092938898</v>
      </c>
    </row>
    <row r="311" spans="1:20" x14ac:dyDescent="0.25">
      <c r="A311" s="5">
        <v>44282</v>
      </c>
      <c r="B311">
        <v>4.5941999999999998</v>
      </c>
      <c r="C311">
        <v>4.6989000000000001</v>
      </c>
      <c r="D311">
        <v>4.3296000000000001</v>
      </c>
      <c r="E311">
        <v>4.6349</v>
      </c>
      <c r="F311">
        <v>2563867.9900000002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0.65339832114811769</v>
      </c>
      <c r="Q311">
        <f t="shared" si="965"/>
        <v>1675227.0403113991</v>
      </c>
      <c r="R311">
        <f t="shared" si="966"/>
        <v>51941428.666220285</v>
      </c>
      <c r="S311">
        <f t="shared" si="967"/>
        <v>519.41428666220281</v>
      </c>
      <c r="T311">
        <f t="shared" si="968"/>
        <v>0.5194142866622028</v>
      </c>
    </row>
    <row r="312" spans="1:20" x14ac:dyDescent="0.25">
      <c r="A312" s="5">
        <v>44281</v>
      </c>
      <c r="B312">
        <v>4.0454999999999997</v>
      </c>
      <c r="C312">
        <v>4.6536</v>
      </c>
      <c r="D312">
        <v>4.0454999999999997</v>
      </c>
      <c r="E312">
        <v>4.5951000000000004</v>
      </c>
      <c r="F312">
        <v>2933440.71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0.80759743463246336</v>
      </c>
      <c r="Q312">
        <f t="shared" si="965"/>
        <v>2369039.1920424318</v>
      </c>
      <c r="R312">
        <f t="shared" si="966"/>
        <v>50266201.625908889</v>
      </c>
      <c r="S312">
        <f t="shared" si="967"/>
        <v>502.66201625908889</v>
      </c>
      <c r="T312">
        <f t="shared" si="968"/>
        <v>0.50266201625908891</v>
      </c>
    </row>
    <row r="313" spans="1:20" x14ac:dyDescent="0.25">
      <c r="A313" s="5">
        <v>44280</v>
      </c>
      <c r="B313">
        <v>4.2351000000000001</v>
      </c>
      <c r="C313">
        <v>4.3056000000000001</v>
      </c>
      <c r="D313">
        <v>3.8672</v>
      </c>
      <c r="E313">
        <v>4.0454999999999997</v>
      </c>
      <c r="F313">
        <v>4360673.5599999996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-0.18658759124087759</v>
      </c>
      <c r="Q313">
        <f t="shared" si="965"/>
        <v>-813647.57574818248</v>
      </c>
      <c r="R313">
        <f t="shared" si="966"/>
        <v>47897162.433866456</v>
      </c>
      <c r="S313">
        <f t="shared" si="967"/>
        <v>478.97162433866458</v>
      </c>
      <c r="T313">
        <f t="shared" si="968"/>
        <v>0.47897162433866458</v>
      </c>
    </row>
    <row r="314" spans="1:20" x14ac:dyDescent="0.25">
      <c r="A314" s="5">
        <v>44279</v>
      </c>
      <c r="B314">
        <v>4.6866000000000003</v>
      </c>
      <c r="C314">
        <v>4.9950000000000001</v>
      </c>
      <c r="D314">
        <v>4.0747</v>
      </c>
      <c r="E314">
        <v>4.2329999999999997</v>
      </c>
      <c r="F314">
        <v>4390417.49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-0.65598174508312579</v>
      </c>
      <c r="Q314">
        <f t="shared" si="965"/>
        <v>-2880033.7267336771</v>
      </c>
      <c r="R314">
        <f t="shared" si="966"/>
        <v>48710810.009614639</v>
      </c>
      <c r="S314">
        <f t="shared" si="967"/>
        <v>487.10810009614642</v>
      </c>
      <c r="T314">
        <f t="shared" si="968"/>
        <v>0.48710810009614641</v>
      </c>
    </row>
    <row r="315" spans="1:20" x14ac:dyDescent="0.25">
      <c r="A315" s="5">
        <v>44278</v>
      </c>
      <c r="B315">
        <v>4.8490000000000002</v>
      </c>
      <c r="C315">
        <v>5.0099</v>
      </c>
      <c r="D315">
        <v>4.5679999999999996</v>
      </c>
      <c r="E315">
        <v>4.6863999999999999</v>
      </c>
      <c r="F315">
        <v>4034798.58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-0.46413215659651424</v>
      </c>
      <c r="Q315">
        <f t="shared" si="965"/>
        <v>-1872679.7663679533</v>
      </c>
      <c r="R315">
        <f t="shared" si="966"/>
        <v>51590843.736348316</v>
      </c>
      <c r="S315">
        <f t="shared" si="967"/>
        <v>515.90843736348313</v>
      </c>
      <c r="T315">
        <f t="shared" si="968"/>
        <v>0.51590843736348313</v>
      </c>
    </row>
    <row r="316" spans="1:20" x14ac:dyDescent="0.25">
      <c r="A316" s="5">
        <v>44277</v>
      </c>
      <c r="B316">
        <v>5.0335999999999999</v>
      </c>
      <c r="C316">
        <v>5.59</v>
      </c>
      <c r="D316">
        <v>4.7732000000000001</v>
      </c>
      <c r="E316">
        <v>4.8448000000000002</v>
      </c>
      <c r="F316">
        <v>5721435.9500000002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-0.82468168462291835</v>
      </c>
      <c r="Q316">
        <f t="shared" si="965"/>
        <v>-4718363.4377081273</v>
      </c>
      <c r="R316">
        <f t="shared" si="966"/>
        <v>53463523.502716273</v>
      </c>
      <c r="S316">
        <f t="shared" si="967"/>
        <v>534.63523502716271</v>
      </c>
      <c r="T316">
        <f t="shared" si="968"/>
        <v>0.5346352350271627</v>
      </c>
    </row>
    <row r="317" spans="1:20" x14ac:dyDescent="0.25">
      <c r="A317" s="5">
        <v>44276</v>
      </c>
      <c r="B317">
        <v>5.0514999999999999</v>
      </c>
      <c r="C317">
        <v>5.1029</v>
      </c>
      <c r="D317">
        <v>4.8569000000000004</v>
      </c>
      <c r="E317">
        <v>5.0282999999999998</v>
      </c>
      <c r="F317">
        <v>2695758.02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0.3934959349593467</v>
      </c>
      <c r="Q317">
        <f t="shared" si="965"/>
        <v>1060769.8225040573</v>
      </c>
      <c r="R317">
        <f t="shared" si="966"/>
        <v>58181886.940424398</v>
      </c>
      <c r="S317">
        <f t="shared" si="967"/>
        <v>581.81886940424397</v>
      </c>
      <c r="T317">
        <f t="shared" si="968"/>
        <v>0.58181886940424399</v>
      </c>
    </row>
    <row r="318" spans="1:20" x14ac:dyDescent="0.25">
      <c r="A318" s="5">
        <v>44275</v>
      </c>
      <c r="B318">
        <v>5.2492999999999999</v>
      </c>
      <c r="C318">
        <v>5.5279999999999996</v>
      </c>
      <c r="D318">
        <v>5.0288000000000004</v>
      </c>
      <c r="E318">
        <v>5.0511999999999997</v>
      </c>
      <c r="F318">
        <v>4181614.4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-0.91025641025641291</v>
      </c>
      <c r="Q318">
        <f t="shared" si="965"/>
        <v>-3806341.312820524</v>
      </c>
      <c r="R318">
        <f t="shared" si="966"/>
        <v>57121117.117920339</v>
      </c>
      <c r="S318">
        <f t="shared" si="967"/>
        <v>571.21117117920335</v>
      </c>
      <c r="T318">
        <f t="shared" si="968"/>
        <v>0.57121117117920339</v>
      </c>
    </row>
    <row r="319" spans="1:20" x14ac:dyDescent="0.25">
      <c r="A319" s="5">
        <v>44274</v>
      </c>
      <c r="B319">
        <v>5.2001999999999997</v>
      </c>
      <c r="C319">
        <v>5.4737999999999998</v>
      </c>
      <c r="D319">
        <v>5</v>
      </c>
      <c r="E319">
        <v>5.2502000000000004</v>
      </c>
      <c r="F319">
        <v>3805471.24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5.6141831996625327E-2</v>
      </c>
      <c r="Q319">
        <f t="shared" si="965"/>
        <v>213646.12702406946</v>
      </c>
      <c r="R319">
        <f t="shared" si="966"/>
        <v>60927458.430740863</v>
      </c>
      <c r="S319">
        <f t="shared" si="967"/>
        <v>609.27458430740865</v>
      </c>
      <c r="T319">
        <f t="shared" si="968"/>
        <v>0.60927458430740866</v>
      </c>
    </row>
    <row r="320" spans="1:20" x14ac:dyDescent="0.25">
      <c r="A320" s="5">
        <v>44273</v>
      </c>
      <c r="B320">
        <v>5.2869999999999999</v>
      </c>
      <c r="C320">
        <v>5.52</v>
      </c>
      <c r="D320">
        <v>5.1074000000000002</v>
      </c>
      <c r="E320">
        <v>5.1986999999999997</v>
      </c>
      <c r="F320">
        <v>4343483.95</v>
      </c>
      <c r="G320">
        <v>0</v>
      </c>
      <c r="L320" t="s">
        <v>8</v>
      </c>
      <c r="M320" t="s">
        <v>7</v>
      </c>
      <c r="N320" t="s">
        <v>7</v>
      </c>
      <c r="P320">
        <f t="shared" si="964"/>
        <v>-0.55744062045564891</v>
      </c>
      <c r="Q320">
        <f t="shared" si="965"/>
        <v>-2421234.388027153</v>
      </c>
      <c r="R320">
        <f t="shared" si="966"/>
        <v>60713812.303716794</v>
      </c>
      <c r="S320">
        <f t="shared" si="967"/>
        <v>607.13812303716793</v>
      </c>
      <c r="T320">
        <f t="shared" si="968"/>
        <v>0.60713812303716796</v>
      </c>
    </row>
    <row r="321" spans="1:20" x14ac:dyDescent="0.25">
      <c r="A321" s="5">
        <v>44272</v>
      </c>
      <c r="B321">
        <v>5.3742999999999999</v>
      </c>
      <c r="C321">
        <v>5.41</v>
      </c>
      <c r="D321">
        <v>4.8962000000000003</v>
      </c>
      <c r="E321">
        <v>5.29</v>
      </c>
      <c r="F321">
        <v>3634765.3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0.53289217594394644</v>
      </c>
      <c r="Q321">
        <f t="shared" si="965"/>
        <v>1936937.9897625512</v>
      </c>
      <c r="R321">
        <f t="shared" si="966"/>
        <v>63135046.691743948</v>
      </c>
      <c r="S321">
        <f t="shared" si="967"/>
        <v>631.35046691743946</v>
      </c>
      <c r="T321">
        <f t="shared" si="968"/>
        <v>0.63135046691743946</v>
      </c>
    </row>
    <row r="322" spans="1:20" x14ac:dyDescent="0.25">
      <c r="A322" s="5">
        <v>44271</v>
      </c>
      <c r="B322">
        <v>5.6353999999999997</v>
      </c>
      <c r="C322">
        <v>5.6565000000000003</v>
      </c>
      <c r="D322">
        <v>5.1424000000000003</v>
      </c>
      <c r="E322">
        <v>5.3692000000000002</v>
      </c>
      <c r="F322">
        <v>4174785.94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-0.11768138494456375</v>
      </c>
      <c r="Q322">
        <f t="shared" si="965"/>
        <v>-491294.59126629238</v>
      </c>
      <c r="R322">
        <f t="shared" si="966"/>
        <v>61198108.701981395</v>
      </c>
      <c r="S322">
        <f t="shared" si="967"/>
        <v>611.98108701981391</v>
      </c>
      <c r="T322">
        <f t="shared" si="968"/>
        <v>0.61198108701981391</v>
      </c>
    </row>
    <row r="323" spans="1:20" x14ac:dyDescent="0.25">
      <c r="A323" s="5">
        <v>44270</v>
      </c>
      <c r="B323">
        <v>6.1896000000000004</v>
      </c>
      <c r="C323">
        <v>6.4177</v>
      </c>
      <c r="D323">
        <v>5.53</v>
      </c>
      <c r="E323">
        <v>5.6361999999999997</v>
      </c>
      <c r="F323">
        <v>5116398.79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-0.76072997634336048</v>
      </c>
      <c r="Q323">
        <f t="shared" si="965"/>
        <v>-3892197.9304798981</v>
      </c>
      <c r="R323">
        <f t="shared" si="966"/>
        <v>61689403.293247685</v>
      </c>
      <c r="S323">
        <f t="shared" si="967"/>
        <v>616.89403293247688</v>
      </c>
      <c r="T323">
        <f t="shared" si="968"/>
        <v>0.61689403293247691</v>
      </c>
    </row>
    <row r="324" spans="1:20" x14ac:dyDescent="0.25">
      <c r="A324" s="5">
        <v>44269</v>
      </c>
      <c r="B324">
        <v>6.0449000000000002</v>
      </c>
      <c r="C324">
        <v>6.7454999999999998</v>
      </c>
      <c r="D324">
        <v>5.7</v>
      </c>
      <c r="E324">
        <v>6.1947000000000001</v>
      </c>
      <c r="F324">
        <v>7063077.7699999996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-5.3658536585365693E-2</v>
      </c>
      <c r="Q324">
        <f t="shared" si="965"/>
        <v>-378994.4169268281</v>
      </c>
      <c r="R324">
        <f t="shared" si="966"/>
        <v>65581601.223727584</v>
      </c>
      <c r="S324">
        <f t="shared" si="967"/>
        <v>655.8160122372758</v>
      </c>
      <c r="T324">
        <f t="shared" si="968"/>
        <v>0.65581601223727581</v>
      </c>
    </row>
    <row r="325" spans="1:20" x14ac:dyDescent="0.25">
      <c r="A325" s="5">
        <v>44268</v>
      </c>
      <c r="B325">
        <v>5.4874999999999998</v>
      </c>
      <c r="C325">
        <v>6.2</v>
      </c>
      <c r="D325">
        <v>5.22</v>
      </c>
      <c r="E325">
        <v>6.0397999999999996</v>
      </c>
      <c r="F325">
        <v>4856835.12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0.67306122448979488</v>
      </c>
      <c r="Q325">
        <f t="shared" si="965"/>
        <v>3268947.3930122401</v>
      </c>
      <c r="R325">
        <f t="shared" si="966"/>
        <v>65960595.640654415</v>
      </c>
      <c r="S325">
        <f t="shared" si="967"/>
        <v>659.60595640654412</v>
      </c>
      <c r="T325">
        <f t="shared" si="968"/>
        <v>0.65960595640654407</v>
      </c>
    </row>
    <row r="326" spans="1:20" x14ac:dyDescent="0.25">
      <c r="A326" s="5">
        <v>44267</v>
      </c>
      <c r="B326">
        <v>5.8342000000000001</v>
      </c>
      <c r="C326">
        <v>5.9669999999999996</v>
      </c>
      <c r="D326">
        <v>5.2945000000000002</v>
      </c>
      <c r="E326">
        <v>5.4907000000000004</v>
      </c>
      <c r="F326">
        <v>3672254.32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-0.41650557620817752</v>
      </c>
      <c r="Q326">
        <f t="shared" ref="Q326:Q389" si="970">F326*P326</f>
        <v>-1529514.401534569</v>
      </c>
      <c r="R326">
        <f t="shared" ref="R326:R389" si="971">R327+Q326</f>
        <v>62691648.247642174</v>
      </c>
      <c r="S326">
        <f t="shared" ref="S326:S389" si="972">R326/100000</f>
        <v>626.91648247642172</v>
      </c>
      <c r="T326">
        <f t="shared" ref="T326:T389" si="973">S326/1000</f>
        <v>0.62691648247642173</v>
      </c>
    </row>
    <row r="327" spans="1:20" x14ac:dyDescent="0.25">
      <c r="A327" s="5">
        <v>44266</v>
      </c>
      <c r="B327">
        <v>5.8524000000000003</v>
      </c>
      <c r="C327">
        <v>6.2027999999999999</v>
      </c>
      <c r="D327">
        <v>5.5381</v>
      </c>
      <c r="E327">
        <v>5.8291000000000004</v>
      </c>
      <c r="F327">
        <v>3872148.99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-0.12441703023920435</v>
      </c>
      <c r="Q327">
        <f t="shared" si="970"/>
        <v>-481761.27797953459</v>
      </c>
      <c r="R327">
        <f t="shared" si="971"/>
        <v>64221162.649176747</v>
      </c>
      <c r="S327">
        <f t="shared" si="972"/>
        <v>642.21162649176745</v>
      </c>
      <c r="T327">
        <f t="shared" si="973"/>
        <v>0.64221162649176744</v>
      </c>
    </row>
    <row r="328" spans="1:20" x14ac:dyDescent="0.25">
      <c r="A328" s="5">
        <v>44265</v>
      </c>
      <c r="B328">
        <v>6.4241999999999999</v>
      </c>
      <c r="C328">
        <v>6.4499000000000004</v>
      </c>
      <c r="D328">
        <v>5.7405999999999997</v>
      </c>
      <c r="E328">
        <v>5.8552</v>
      </c>
      <c r="F328">
        <v>3656126.93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-0.67686451430988259</v>
      </c>
      <c r="Q328">
        <f t="shared" si="970"/>
        <v>-2474702.5787297324</v>
      </c>
      <c r="R328">
        <f t="shared" si="971"/>
        <v>64702923.927156284</v>
      </c>
      <c r="S328">
        <f t="shared" si="972"/>
        <v>647.0292392715628</v>
      </c>
      <c r="T328">
        <f t="shared" si="973"/>
        <v>0.64702923927156275</v>
      </c>
    </row>
    <row r="329" spans="1:20" x14ac:dyDescent="0.25">
      <c r="A329" s="5">
        <v>44264</v>
      </c>
      <c r="B329">
        <v>6.0682999999999998</v>
      </c>
      <c r="C329">
        <v>6.5614999999999997</v>
      </c>
      <c r="D329">
        <v>5.9382999999999999</v>
      </c>
      <c r="E329">
        <v>6.4191000000000003</v>
      </c>
      <c r="F329">
        <v>5323535.21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0.54300385109114413</v>
      </c>
      <c r="Q329">
        <f t="shared" si="970"/>
        <v>2890700.1204493027</v>
      </c>
      <c r="R329">
        <f t="shared" si="971"/>
        <v>67177626.505886018</v>
      </c>
      <c r="S329">
        <f t="shared" si="972"/>
        <v>671.77626505886019</v>
      </c>
      <c r="T329">
        <f t="shared" si="973"/>
        <v>0.67177626505886023</v>
      </c>
    </row>
    <row r="330" spans="1:20" x14ac:dyDescent="0.25">
      <c r="A330" s="5">
        <v>44263</v>
      </c>
      <c r="B330">
        <v>6.0064000000000002</v>
      </c>
      <c r="C330">
        <v>6.1680999999999999</v>
      </c>
      <c r="D330">
        <v>5.6565000000000003</v>
      </c>
      <c r="E330">
        <v>6.0625</v>
      </c>
      <c r="F330">
        <v>5968475.4100000001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0.58717748240813139</v>
      </c>
      <c r="Q330">
        <f t="shared" si="970"/>
        <v>3504554.36505864</v>
      </c>
      <c r="R330">
        <f t="shared" si="971"/>
        <v>64286926.385436714</v>
      </c>
      <c r="S330">
        <f t="shared" si="972"/>
        <v>642.86926385436709</v>
      </c>
      <c r="T330">
        <f t="shared" si="973"/>
        <v>0.64286926385436705</v>
      </c>
    </row>
    <row r="331" spans="1:20" x14ac:dyDescent="0.25">
      <c r="A331" s="5">
        <v>44262</v>
      </c>
      <c r="B331">
        <v>5.3277999999999999</v>
      </c>
      <c r="C331">
        <v>6.51</v>
      </c>
      <c r="D331">
        <v>5.3220999999999998</v>
      </c>
      <c r="E331">
        <v>6.0064000000000002</v>
      </c>
      <c r="F331">
        <v>14671442.26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0.15211718158094178</v>
      </c>
      <c r="Q331">
        <f t="shared" si="970"/>
        <v>2231778.4463187228</v>
      </c>
      <c r="R331">
        <f t="shared" si="971"/>
        <v>60782372.020378076</v>
      </c>
      <c r="S331">
        <f t="shared" si="972"/>
        <v>607.82372020378079</v>
      </c>
      <c r="T331">
        <f t="shared" si="973"/>
        <v>0.60782372020378084</v>
      </c>
    </row>
    <row r="332" spans="1:20" x14ac:dyDescent="0.25">
      <c r="A332" s="5">
        <v>44261</v>
      </c>
      <c r="B332">
        <v>4.8292000000000002</v>
      </c>
      <c r="C332">
        <v>5.4657</v>
      </c>
      <c r="D332">
        <v>4.7023999999999999</v>
      </c>
      <c r="E332">
        <v>5.3173000000000004</v>
      </c>
      <c r="F332">
        <v>5057014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0.61116205947858082</v>
      </c>
      <c r="Q332">
        <f t="shared" si="970"/>
        <v>3090655.0910520158</v>
      </c>
      <c r="R332">
        <f t="shared" si="971"/>
        <v>58550593.574059352</v>
      </c>
      <c r="S332">
        <f t="shared" si="972"/>
        <v>585.50593574059349</v>
      </c>
      <c r="T332">
        <f t="shared" si="973"/>
        <v>0.58550593574059351</v>
      </c>
    </row>
    <row r="333" spans="1:20" x14ac:dyDescent="0.25">
      <c r="A333" s="5">
        <v>44260</v>
      </c>
      <c r="B333">
        <v>4.9734999999999996</v>
      </c>
      <c r="C333">
        <v>5.0206999999999997</v>
      </c>
      <c r="D333">
        <v>4.5269000000000004</v>
      </c>
      <c r="E333">
        <v>4.8296999999999999</v>
      </c>
      <c r="F333">
        <v>5168840.9800000004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0.22640745240988219</v>
      </c>
      <c r="Q333">
        <f t="shared" si="970"/>
        <v>1170264.1181935989</v>
      </c>
      <c r="R333">
        <f t="shared" si="971"/>
        <v>55459938.483007334</v>
      </c>
      <c r="S333">
        <f t="shared" si="972"/>
        <v>554.59938483007329</v>
      </c>
      <c r="T333">
        <f t="shared" si="973"/>
        <v>0.55459938483007332</v>
      </c>
    </row>
    <row r="334" spans="1:20" x14ac:dyDescent="0.25">
      <c r="A334" s="5">
        <v>44259</v>
      </c>
      <c r="B334">
        <v>5.3310000000000004</v>
      </c>
      <c r="C334">
        <v>5.6033999999999997</v>
      </c>
      <c r="D334">
        <v>4.7</v>
      </c>
      <c r="E334">
        <v>4.9728000000000003</v>
      </c>
      <c r="F334">
        <v>5948200.0700000003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-0.3960593314146551</v>
      </c>
      <c r="Q334">
        <f t="shared" si="970"/>
        <v>-2355840.142844805</v>
      </c>
      <c r="R334">
        <f t="shared" si="971"/>
        <v>54289674.364813738</v>
      </c>
      <c r="S334">
        <f t="shared" si="972"/>
        <v>542.89674364813743</v>
      </c>
      <c r="T334">
        <f t="shared" si="973"/>
        <v>0.54289674364813745</v>
      </c>
    </row>
    <row r="335" spans="1:20" x14ac:dyDescent="0.25">
      <c r="A335" s="5">
        <v>44258</v>
      </c>
      <c r="B335">
        <v>5.2839999999999998</v>
      </c>
      <c r="C335">
        <v>5.7</v>
      </c>
      <c r="D335">
        <v>5.1708999999999996</v>
      </c>
      <c r="E335">
        <v>5.3310000000000004</v>
      </c>
      <c r="F335">
        <v>6263430.6699999999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-0.39482139482139245</v>
      </c>
      <c r="Q335">
        <f t="shared" si="970"/>
        <v>-2472936.4334964887</v>
      </c>
      <c r="R335">
        <f t="shared" si="971"/>
        <v>56645514.507658541</v>
      </c>
      <c r="S335">
        <f t="shared" si="972"/>
        <v>566.45514507658538</v>
      </c>
      <c r="T335">
        <f t="shared" si="973"/>
        <v>0.56645514507658534</v>
      </c>
    </row>
    <row r="336" spans="1:20" x14ac:dyDescent="0.25">
      <c r="A336" s="5">
        <v>44257</v>
      </c>
      <c r="B336">
        <v>5.6695000000000002</v>
      </c>
      <c r="C336">
        <v>5.85</v>
      </c>
      <c r="D336">
        <v>4.8752000000000004</v>
      </c>
      <c r="E336">
        <v>5.2864000000000004</v>
      </c>
      <c r="F336">
        <v>8077843.5899999999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-0.15633976200246136</v>
      </c>
      <c r="Q336">
        <f t="shared" si="970"/>
        <v>-1262888.144353708</v>
      </c>
      <c r="R336">
        <f t="shared" si="971"/>
        <v>59118450.941155031</v>
      </c>
      <c r="S336">
        <f t="shared" si="972"/>
        <v>591.18450941155027</v>
      </c>
      <c r="T336">
        <f t="shared" si="973"/>
        <v>0.59118450941155032</v>
      </c>
    </row>
    <row r="337" spans="1:20" x14ac:dyDescent="0.25">
      <c r="A337" s="5">
        <v>44256</v>
      </c>
      <c r="B337">
        <v>4.9752000000000001</v>
      </c>
      <c r="C337">
        <v>5.9798999999999998</v>
      </c>
      <c r="D337">
        <v>4.8994</v>
      </c>
      <c r="E337">
        <v>5.6691000000000003</v>
      </c>
      <c r="F337">
        <v>8851354.1600000001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0.42471078204535018</v>
      </c>
      <c r="Q337">
        <f t="shared" si="970"/>
        <v>3759265.5474539637</v>
      </c>
      <c r="R337">
        <f t="shared" si="971"/>
        <v>60381339.085508741</v>
      </c>
      <c r="S337">
        <f t="shared" si="972"/>
        <v>603.81339085508739</v>
      </c>
      <c r="T337">
        <f t="shared" si="973"/>
        <v>0.60381339085508734</v>
      </c>
    </row>
    <row r="338" spans="1:20" x14ac:dyDescent="0.25">
      <c r="A338" s="5">
        <v>44255</v>
      </c>
      <c r="B338">
        <v>5.2732999999999999</v>
      </c>
      <c r="C338">
        <v>5.3053999999999997</v>
      </c>
      <c r="D338">
        <v>4.2327000000000004</v>
      </c>
      <c r="E338">
        <v>4.9813000000000001</v>
      </c>
      <c r="F338">
        <v>8902292.5999999996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0.39573039992542219</v>
      </c>
      <c r="Q338">
        <f t="shared" si="970"/>
        <v>3522907.8108511264</v>
      </c>
      <c r="R338">
        <f t="shared" si="971"/>
        <v>56622073.538054779</v>
      </c>
      <c r="S338">
        <f t="shared" si="972"/>
        <v>566.22073538054781</v>
      </c>
      <c r="T338">
        <f t="shared" si="973"/>
        <v>0.56622073538054785</v>
      </c>
    </row>
    <row r="339" spans="1:20" x14ac:dyDescent="0.25">
      <c r="A339" s="5">
        <v>44254</v>
      </c>
      <c r="B339">
        <v>5.4805000000000001</v>
      </c>
      <c r="C339">
        <v>5.7721999999999998</v>
      </c>
      <c r="D339">
        <v>5.1406000000000001</v>
      </c>
      <c r="E339">
        <v>5.2721</v>
      </c>
      <c r="F339">
        <v>5962915.3099999996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-0.58359721342621906</v>
      </c>
      <c r="Q339">
        <f t="shared" si="970"/>
        <v>-3479940.7588125388</v>
      </c>
      <c r="R339">
        <f t="shared" si="971"/>
        <v>53099165.727203652</v>
      </c>
      <c r="S339">
        <f t="shared" si="972"/>
        <v>530.99165727203649</v>
      </c>
      <c r="T339">
        <f t="shared" si="973"/>
        <v>0.53099165727203645</v>
      </c>
    </row>
    <row r="340" spans="1:20" x14ac:dyDescent="0.25">
      <c r="A340" s="5">
        <v>44253</v>
      </c>
      <c r="B340">
        <v>5.9943</v>
      </c>
      <c r="C340">
        <v>6.4099000000000004</v>
      </c>
      <c r="D340">
        <v>5.2755999999999998</v>
      </c>
      <c r="E340">
        <v>5.4810999999999996</v>
      </c>
      <c r="F340">
        <v>14167162.050000001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-0.63766199418143399</v>
      </c>
      <c r="Q340">
        <f t="shared" si="970"/>
        <v>-9033860.8046945333</v>
      </c>
      <c r="R340">
        <f t="shared" si="971"/>
        <v>56579106.486016192</v>
      </c>
      <c r="S340">
        <f t="shared" si="972"/>
        <v>565.7910648601619</v>
      </c>
      <c r="T340">
        <f t="shared" si="973"/>
        <v>0.56579106486016184</v>
      </c>
    </row>
    <row r="341" spans="1:20" x14ac:dyDescent="0.25">
      <c r="A341" s="5">
        <v>44252</v>
      </c>
      <c r="B341">
        <v>6.9850000000000003</v>
      </c>
      <c r="C341">
        <v>8.1471</v>
      </c>
      <c r="D341">
        <v>5.9067999999999996</v>
      </c>
      <c r="E341">
        <v>5.9886999999999997</v>
      </c>
      <c r="F341">
        <v>13426284.27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-0.92688479221532827</v>
      </c>
      <c r="Q341">
        <f t="shared" si="970"/>
        <v>-12444618.705822879</v>
      </c>
      <c r="R341">
        <f t="shared" si="971"/>
        <v>65612967.290710725</v>
      </c>
      <c r="S341">
        <f t="shared" si="972"/>
        <v>656.12967290710719</v>
      </c>
      <c r="T341">
        <f t="shared" si="973"/>
        <v>0.65612967290710722</v>
      </c>
    </row>
    <row r="342" spans="1:20" x14ac:dyDescent="0.25">
      <c r="A342" s="5">
        <v>44251</v>
      </c>
      <c r="B342">
        <v>6.9602000000000004</v>
      </c>
      <c r="C342">
        <v>7.35</v>
      </c>
      <c r="D342">
        <v>6.2</v>
      </c>
      <c r="E342">
        <v>6.9969999999999999</v>
      </c>
      <c r="F342">
        <v>15593481.34</v>
      </c>
      <c r="G342">
        <v>0</v>
      </c>
      <c r="L342" t="s">
        <v>7</v>
      </c>
      <c r="M342" t="s">
        <v>7</v>
      </c>
      <c r="N342" t="s">
        <v>8</v>
      </c>
      <c r="P342">
        <f t="shared" si="969"/>
        <v>0.38608695652173924</v>
      </c>
      <c r="Q342">
        <f t="shared" si="970"/>
        <v>6020439.7521391325</v>
      </c>
      <c r="R342">
        <f t="shared" si="971"/>
        <v>78057585.996533602</v>
      </c>
      <c r="S342">
        <f t="shared" si="972"/>
        <v>780.57585996533601</v>
      </c>
      <c r="T342">
        <f t="shared" si="973"/>
        <v>0.78057585996533596</v>
      </c>
    </row>
    <row r="343" spans="1:20" x14ac:dyDescent="0.25">
      <c r="A343" s="5">
        <v>44250</v>
      </c>
      <c r="B343">
        <v>5.7088000000000001</v>
      </c>
      <c r="C343">
        <v>7.6</v>
      </c>
      <c r="D343">
        <v>4.5709</v>
      </c>
      <c r="E343">
        <v>6.96</v>
      </c>
      <c r="F343">
        <v>43483108.869999997</v>
      </c>
      <c r="G343">
        <v>0</v>
      </c>
      <c r="L343" t="s">
        <v>8</v>
      </c>
      <c r="M343" t="s">
        <v>8</v>
      </c>
      <c r="N343" t="s">
        <v>8</v>
      </c>
      <c r="P343">
        <f t="shared" si="969"/>
        <v>0.57743224059951814</v>
      </c>
      <c r="Q343">
        <f t="shared" si="970"/>
        <v>25108548.983036879</v>
      </c>
      <c r="R343">
        <f t="shared" si="971"/>
        <v>72037146.244394466</v>
      </c>
      <c r="S343">
        <f t="shared" si="972"/>
        <v>720.37146244394467</v>
      </c>
      <c r="T343">
        <f t="shared" si="973"/>
        <v>0.72037146244394468</v>
      </c>
    </row>
    <row r="344" spans="1:20" x14ac:dyDescent="0.25">
      <c r="A344" s="5">
        <v>44249</v>
      </c>
      <c r="B344">
        <v>4.8212999999999999</v>
      </c>
      <c r="C344">
        <v>6.15</v>
      </c>
      <c r="D344">
        <v>3.95</v>
      </c>
      <c r="E344">
        <v>5.7058999999999997</v>
      </c>
      <c r="F344">
        <v>15715503.109999999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0.59627272727272673</v>
      </c>
      <c r="Q344">
        <f t="shared" si="970"/>
        <v>9370725.8998627178</v>
      </c>
      <c r="R344">
        <f t="shared" si="971"/>
        <v>46928597.261357591</v>
      </c>
      <c r="S344">
        <f t="shared" si="972"/>
        <v>469.28597261357589</v>
      </c>
      <c r="T344">
        <f t="shared" si="973"/>
        <v>0.46928597261357591</v>
      </c>
    </row>
    <row r="345" spans="1:20" x14ac:dyDescent="0.25">
      <c r="A345" s="5">
        <v>44248</v>
      </c>
      <c r="B345">
        <v>4.5648999999999997</v>
      </c>
      <c r="C345">
        <v>5.1605999999999996</v>
      </c>
      <c r="D345">
        <v>4.3268000000000004</v>
      </c>
      <c r="E345">
        <v>4.8197000000000001</v>
      </c>
      <c r="F345">
        <v>5683278.4299999997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0.1822979131686259</v>
      </c>
      <c r="Q345">
        <f t="shared" si="970"/>
        <v>1036049.7977452645</v>
      </c>
      <c r="R345">
        <f t="shared" si="971"/>
        <v>37557871.361494876</v>
      </c>
      <c r="S345">
        <f t="shared" si="972"/>
        <v>375.57871361494875</v>
      </c>
      <c r="T345">
        <f t="shared" si="973"/>
        <v>0.37557871361494877</v>
      </c>
    </row>
    <row r="346" spans="1:20" x14ac:dyDescent="0.25">
      <c r="A346" s="5">
        <v>44247</v>
      </c>
      <c r="B346">
        <v>5.0999999999999996</v>
      </c>
      <c r="C346">
        <v>5.3343999999999996</v>
      </c>
      <c r="D346">
        <v>4.2</v>
      </c>
      <c r="E346">
        <v>4.5724</v>
      </c>
      <c r="F346">
        <v>10514444.300000001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-0.34344146685472488</v>
      </c>
      <c r="Q346">
        <f t="shared" si="970"/>
        <v>-3611096.1735543013</v>
      </c>
      <c r="R346">
        <f t="shared" si="971"/>
        <v>36521821.563749611</v>
      </c>
      <c r="S346">
        <f t="shared" si="972"/>
        <v>365.21821563749609</v>
      </c>
      <c r="T346">
        <f t="shared" si="973"/>
        <v>0.36521821563749607</v>
      </c>
    </row>
    <row r="347" spans="1:20" x14ac:dyDescent="0.25">
      <c r="A347" s="5">
        <v>44246</v>
      </c>
      <c r="B347">
        <v>3.9876</v>
      </c>
      <c r="C347">
        <v>5.25</v>
      </c>
      <c r="D347">
        <v>3.6978</v>
      </c>
      <c r="E347">
        <v>5.1069000000000004</v>
      </c>
      <c r="F347">
        <v>11374459.9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0.81561654425976093</v>
      </c>
      <c r="Q347">
        <f t="shared" si="970"/>
        <v>9277197.6764592268</v>
      </c>
      <c r="R347">
        <f t="shared" si="971"/>
        <v>40132917.737303913</v>
      </c>
      <c r="S347">
        <f t="shared" si="972"/>
        <v>401.3291773730391</v>
      </c>
      <c r="T347">
        <f t="shared" si="973"/>
        <v>0.40132917737303908</v>
      </c>
    </row>
    <row r="348" spans="1:20" x14ac:dyDescent="0.25">
      <c r="A348" s="5">
        <v>44245</v>
      </c>
      <c r="B348">
        <v>3.8321000000000001</v>
      </c>
      <c r="C348">
        <v>4.0669000000000004</v>
      </c>
      <c r="D348">
        <v>3.7286999999999999</v>
      </c>
      <c r="E348">
        <v>3.9876</v>
      </c>
      <c r="F348">
        <v>5075962.9400000004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0.53104671791838998</v>
      </c>
      <c r="Q348">
        <f t="shared" si="970"/>
        <v>2695573.4595623817</v>
      </c>
      <c r="R348">
        <f t="shared" si="971"/>
        <v>30855720.06084469</v>
      </c>
      <c r="S348">
        <f t="shared" si="972"/>
        <v>308.55720060844692</v>
      </c>
      <c r="T348">
        <f t="shared" si="973"/>
        <v>0.30855720060844694</v>
      </c>
    </row>
    <row r="349" spans="1:20" x14ac:dyDescent="0.25">
      <c r="A349" s="5">
        <v>44244</v>
      </c>
      <c r="B349">
        <v>3.6151</v>
      </c>
      <c r="C349">
        <v>4.0240999999999998</v>
      </c>
      <c r="D349">
        <v>3.2532000000000001</v>
      </c>
      <c r="E349">
        <v>3.8336999999999999</v>
      </c>
      <c r="F349">
        <v>7816471.4100000001</v>
      </c>
      <c r="G349">
        <v>0</v>
      </c>
      <c r="L349" t="s">
        <v>8</v>
      </c>
      <c r="M349" t="s">
        <v>7</v>
      </c>
      <c r="N349" t="s">
        <v>8</v>
      </c>
      <c r="P349">
        <f t="shared" si="969"/>
        <v>0.5060319107536646</v>
      </c>
      <c r="Q349">
        <f t="shared" si="970"/>
        <v>3955383.9629536909</v>
      </c>
      <c r="R349">
        <f t="shared" si="971"/>
        <v>28160146.601282306</v>
      </c>
      <c r="S349">
        <f t="shared" si="972"/>
        <v>281.60146601282304</v>
      </c>
      <c r="T349">
        <f t="shared" si="973"/>
        <v>0.28160146601282304</v>
      </c>
    </row>
    <row r="350" spans="1:20" x14ac:dyDescent="0.25">
      <c r="A350" s="5">
        <v>44243</v>
      </c>
      <c r="B350">
        <v>3.65</v>
      </c>
      <c r="C350">
        <v>3.9944999999999999</v>
      </c>
      <c r="D350">
        <v>3.4043999999999999</v>
      </c>
      <c r="E350">
        <v>3.6191</v>
      </c>
      <c r="F350">
        <v>5494323.46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-0.27232672428401938</v>
      </c>
      <c r="Q350">
        <f t="shared" si="970"/>
        <v>-1496251.1100186394</v>
      </c>
      <c r="R350">
        <f t="shared" si="971"/>
        <v>24204762.638328616</v>
      </c>
      <c r="S350">
        <f t="shared" si="972"/>
        <v>242.04762638328614</v>
      </c>
      <c r="T350">
        <f t="shared" si="973"/>
        <v>0.24204762638328614</v>
      </c>
    </row>
    <row r="351" spans="1:20" x14ac:dyDescent="0.25">
      <c r="A351" s="5">
        <v>44242</v>
      </c>
      <c r="B351">
        <v>3.8249</v>
      </c>
      <c r="C351">
        <v>4.0393999999999997</v>
      </c>
      <c r="D351">
        <v>3.25</v>
      </c>
      <c r="E351">
        <v>3.6472000000000002</v>
      </c>
      <c r="F351">
        <v>7739507.2599999998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6.3339244996209578E-3</v>
      </c>
      <c r="Q351">
        <f t="shared" si="970"/>
        <v>49021.454649108266</v>
      </c>
      <c r="R351">
        <f t="shared" si="971"/>
        <v>25701013.748347256</v>
      </c>
      <c r="S351">
        <f t="shared" si="972"/>
        <v>257.01013748347259</v>
      </c>
      <c r="T351">
        <f t="shared" si="973"/>
        <v>0.25701013748347257</v>
      </c>
    </row>
    <row r="352" spans="1:20" x14ac:dyDescent="0.25">
      <c r="A352" s="5">
        <v>44241</v>
      </c>
      <c r="B352">
        <v>4.1184000000000003</v>
      </c>
      <c r="C352">
        <v>4.16</v>
      </c>
      <c r="D352">
        <v>3.65</v>
      </c>
      <c r="E352">
        <v>3.8249</v>
      </c>
      <c r="F352">
        <v>4923831.62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-0.31411764705882361</v>
      </c>
      <c r="Q352">
        <f t="shared" si="970"/>
        <v>-1546662.4029882357</v>
      </c>
      <c r="R352">
        <f t="shared" si="971"/>
        <v>25651992.293698147</v>
      </c>
      <c r="S352">
        <f t="shared" si="972"/>
        <v>256.51992293698146</v>
      </c>
      <c r="T352">
        <f t="shared" si="973"/>
        <v>0.25651992293698145</v>
      </c>
    </row>
    <row r="353" spans="1:20" x14ac:dyDescent="0.25">
      <c r="A353" s="5">
        <v>44240</v>
      </c>
      <c r="B353">
        <v>4.1657000000000002</v>
      </c>
      <c r="C353">
        <v>4.5</v>
      </c>
      <c r="D353">
        <v>3.7704</v>
      </c>
      <c r="E353">
        <v>4.1162999999999998</v>
      </c>
      <c r="F353">
        <v>6866284.7800000003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-5.1809210526316166E-2</v>
      </c>
      <c r="Q353">
        <f t="shared" si="970"/>
        <v>-355736.79370066046</v>
      </c>
      <c r="R353">
        <f t="shared" si="971"/>
        <v>27198654.696686383</v>
      </c>
      <c r="S353">
        <f t="shared" si="972"/>
        <v>271.98654696686384</v>
      </c>
      <c r="T353">
        <f t="shared" si="973"/>
        <v>0.27198654696686386</v>
      </c>
    </row>
    <row r="354" spans="1:20" x14ac:dyDescent="0.25">
      <c r="A354" s="5">
        <v>44239</v>
      </c>
      <c r="B354">
        <v>4.1163999999999996</v>
      </c>
      <c r="C354">
        <v>4.3794000000000004</v>
      </c>
      <c r="D354">
        <v>3.9388000000000001</v>
      </c>
      <c r="E354">
        <v>4.1657000000000002</v>
      </c>
      <c r="F354">
        <v>5119401.28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2.9959146618247546E-2</v>
      </c>
      <c r="Q354">
        <f t="shared" si="970"/>
        <v>153372.89354516417</v>
      </c>
      <c r="R354">
        <f t="shared" si="971"/>
        <v>27554391.490387045</v>
      </c>
      <c r="S354">
        <f t="shared" si="972"/>
        <v>275.54391490387047</v>
      </c>
      <c r="T354">
        <f t="shared" si="973"/>
        <v>0.27554391490387048</v>
      </c>
    </row>
    <row r="355" spans="1:20" x14ac:dyDescent="0.25">
      <c r="A355" s="5">
        <v>44238</v>
      </c>
      <c r="B355">
        <v>4.2255000000000003</v>
      </c>
      <c r="C355">
        <v>4.5354000000000001</v>
      </c>
      <c r="D355">
        <v>3.9</v>
      </c>
      <c r="E355">
        <v>4.1184000000000003</v>
      </c>
      <c r="F355">
        <v>7314594.9400000004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-0.31255901794145324</v>
      </c>
      <c r="Q355">
        <f t="shared" si="970"/>
        <v>-2286242.6110859234</v>
      </c>
      <c r="R355">
        <f t="shared" si="971"/>
        <v>27401018.596841879</v>
      </c>
      <c r="S355">
        <f t="shared" si="972"/>
        <v>274.0101859684188</v>
      </c>
      <c r="T355">
        <f t="shared" si="973"/>
        <v>0.27401018596841881</v>
      </c>
    </row>
    <row r="356" spans="1:20" x14ac:dyDescent="0.25">
      <c r="A356" s="5">
        <v>44237</v>
      </c>
      <c r="B356">
        <v>3.3588</v>
      </c>
      <c r="C356">
        <v>4.4592000000000001</v>
      </c>
      <c r="D356">
        <v>3.0482999999999998</v>
      </c>
      <c r="E356">
        <v>4.2259000000000002</v>
      </c>
      <c r="F356">
        <v>15807991.76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0.66928910624424154</v>
      </c>
      <c r="Q356">
        <f t="shared" si="970"/>
        <v>10580116.676566735</v>
      </c>
      <c r="R356">
        <f t="shared" si="971"/>
        <v>29687261.207927801</v>
      </c>
      <c r="S356">
        <f t="shared" si="972"/>
        <v>296.87261207927799</v>
      </c>
      <c r="T356">
        <f t="shared" si="973"/>
        <v>0.29687261207927801</v>
      </c>
    </row>
    <row r="357" spans="1:20" x14ac:dyDescent="0.25">
      <c r="A357" s="5">
        <v>44236</v>
      </c>
      <c r="B357">
        <v>3.1291000000000002</v>
      </c>
      <c r="C357">
        <v>3.5379999999999998</v>
      </c>
      <c r="D357">
        <v>3.0621999999999998</v>
      </c>
      <c r="E357">
        <v>3.3589000000000002</v>
      </c>
      <c r="F357">
        <v>9993762.6099999994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0.24716267339218331</v>
      </c>
      <c r="Q357">
        <f t="shared" si="970"/>
        <v>2470085.0839344435</v>
      </c>
      <c r="R357">
        <f t="shared" si="971"/>
        <v>19107144.531361066</v>
      </c>
      <c r="S357">
        <f t="shared" si="972"/>
        <v>191.07144531361067</v>
      </c>
      <c r="T357">
        <f t="shared" si="973"/>
        <v>0.19107144531361067</v>
      </c>
    </row>
    <row r="358" spans="1:20" x14ac:dyDescent="0.25">
      <c r="A358" s="5">
        <v>44235</v>
      </c>
      <c r="B358">
        <v>2.8767999999999998</v>
      </c>
      <c r="C358">
        <v>3.3</v>
      </c>
      <c r="D358">
        <v>2.7793000000000001</v>
      </c>
      <c r="E358">
        <v>3.1291000000000002</v>
      </c>
      <c r="F358">
        <v>8314866.0999999996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0.34357595544459496</v>
      </c>
      <c r="Q358">
        <f t="shared" si="970"/>
        <v>2856788.0647013728</v>
      </c>
      <c r="R358">
        <f t="shared" si="971"/>
        <v>16637059.447426621</v>
      </c>
      <c r="S358">
        <f t="shared" si="972"/>
        <v>166.3705944742662</v>
      </c>
      <c r="T358">
        <f t="shared" si="973"/>
        <v>0.16637059447426619</v>
      </c>
    </row>
    <row r="359" spans="1:20" x14ac:dyDescent="0.25">
      <c r="A359" s="5">
        <v>44234</v>
      </c>
      <c r="B359">
        <v>2.9013</v>
      </c>
      <c r="C359">
        <v>2.9992999999999999</v>
      </c>
      <c r="D359">
        <v>2.5893000000000002</v>
      </c>
      <c r="E359">
        <v>2.8818999999999999</v>
      </c>
      <c r="F359">
        <v>6275623.7400000002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0.42731707317073153</v>
      </c>
      <c r="Q359">
        <f t="shared" si="970"/>
        <v>2681681.1688975599</v>
      </c>
      <c r="R359">
        <f t="shared" si="971"/>
        <v>13780271.382725248</v>
      </c>
      <c r="S359">
        <f t="shared" si="972"/>
        <v>137.80271382725249</v>
      </c>
      <c r="T359">
        <f t="shared" si="973"/>
        <v>0.13780271382725248</v>
      </c>
    </row>
    <row r="360" spans="1:20" x14ac:dyDescent="0.25">
      <c r="A360" s="5">
        <v>44233</v>
      </c>
      <c r="B360">
        <v>3.1366999999999998</v>
      </c>
      <c r="C360">
        <v>3.5449000000000002</v>
      </c>
      <c r="D360">
        <v>2.819</v>
      </c>
      <c r="E360">
        <v>2.903</v>
      </c>
      <c r="F360">
        <v>8552491.7599999998</v>
      </c>
      <c r="G360">
        <v>0</v>
      </c>
      <c r="L360" t="s">
        <v>8</v>
      </c>
      <c r="M360" t="s">
        <v>7</v>
      </c>
      <c r="N360" t="s">
        <v>8</v>
      </c>
      <c r="P360">
        <f t="shared" si="969"/>
        <v>-0.76856316297010596</v>
      </c>
      <c r="Q360">
        <f t="shared" si="970"/>
        <v>-6573130.1183413686</v>
      </c>
      <c r="R360">
        <f t="shared" si="971"/>
        <v>11098590.213827688</v>
      </c>
      <c r="S360">
        <f t="shared" si="972"/>
        <v>110.98590213827688</v>
      </c>
      <c r="T360">
        <f t="shared" si="973"/>
        <v>0.11098590213827689</v>
      </c>
    </row>
    <row r="361" spans="1:20" x14ac:dyDescent="0.25">
      <c r="A361" s="5">
        <v>44232</v>
      </c>
      <c r="B361">
        <v>2.8723000000000001</v>
      </c>
      <c r="C361">
        <v>3.4796999999999998</v>
      </c>
      <c r="D361">
        <v>2.8723000000000001</v>
      </c>
      <c r="E361">
        <v>3.1328</v>
      </c>
      <c r="F361">
        <v>7459521.8200000003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-0.14224563714191613</v>
      </c>
      <c r="Q361">
        <f t="shared" si="970"/>
        <v>-1061084.4340599258</v>
      </c>
      <c r="R361">
        <f t="shared" si="971"/>
        <v>17671720.332169056</v>
      </c>
      <c r="S361">
        <f t="shared" si="972"/>
        <v>176.71720332169056</v>
      </c>
      <c r="T361">
        <f t="shared" si="973"/>
        <v>0.17671720332169055</v>
      </c>
    </row>
    <row r="362" spans="1:20" x14ac:dyDescent="0.25">
      <c r="A362" s="5">
        <v>44231</v>
      </c>
      <c r="B362">
        <v>2.847</v>
      </c>
      <c r="C362">
        <v>3.0323000000000002</v>
      </c>
      <c r="D362">
        <v>2.5943000000000001</v>
      </c>
      <c r="E362">
        <v>2.8723000000000001</v>
      </c>
      <c r="F362">
        <v>6837259.1799999997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0.26940639269406358</v>
      </c>
      <c r="Q362">
        <f t="shared" si="970"/>
        <v>1842001.331598171</v>
      </c>
      <c r="R362">
        <f t="shared" si="971"/>
        <v>18732804.766228981</v>
      </c>
      <c r="S362">
        <f t="shared" si="972"/>
        <v>187.3280476622898</v>
      </c>
      <c r="T362">
        <f t="shared" si="973"/>
        <v>0.1873280476622898</v>
      </c>
    </row>
    <row r="363" spans="1:20" x14ac:dyDescent="0.25">
      <c r="A363" s="5">
        <v>44230</v>
      </c>
      <c r="B363">
        <v>2.9609000000000001</v>
      </c>
      <c r="C363">
        <v>2.9883000000000002</v>
      </c>
      <c r="D363">
        <v>2.6951999999999998</v>
      </c>
      <c r="E363">
        <v>2.8460999999999999</v>
      </c>
      <c r="F363">
        <v>6891962.79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2.9682702149436021E-2</v>
      </c>
      <c r="Q363">
        <f t="shared" si="970"/>
        <v>204572.07872056609</v>
      </c>
      <c r="R363">
        <f t="shared" si="971"/>
        <v>16890803.434630811</v>
      </c>
      <c r="S363">
        <f t="shared" si="972"/>
        <v>168.90803434630811</v>
      </c>
      <c r="T363">
        <f t="shared" si="973"/>
        <v>0.16890803434630811</v>
      </c>
    </row>
    <row r="364" spans="1:20" x14ac:dyDescent="0.25">
      <c r="A364" s="5">
        <v>44229</v>
      </c>
      <c r="B364">
        <v>2.8483999999999998</v>
      </c>
      <c r="C364">
        <v>3.0493999999999999</v>
      </c>
      <c r="D364">
        <v>2.6533000000000002</v>
      </c>
      <c r="E364">
        <v>2.9605000000000001</v>
      </c>
      <c r="F364">
        <v>8230898.5300000003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0.55112345367331572</v>
      </c>
      <c r="Q364">
        <f t="shared" si="970"/>
        <v>4536241.224688218</v>
      </c>
      <c r="R364">
        <f t="shared" si="971"/>
        <v>16686231.355910245</v>
      </c>
      <c r="S364">
        <f t="shared" si="972"/>
        <v>166.86231355910246</v>
      </c>
      <c r="T364">
        <f t="shared" si="973"/>
        <v>0.16686231355910247</v>
      </c>
    </row>
    <row r="365" spans="1:20" x14ac:dyDescent="0.25">
      <c r="A365" s="5">
        <v>44228</v>
      </c>
      <c r="B365">
        <v>2.4843000000000002</v>
      </c>
      <c r="C365">
        <v>2.8988</v>
      </c>
      <c r="D365">
        <v>2.2498999999999998</v>
      </c>
      <c r="E365">
        <v>2.8483999999999998</v>
      </c>
      <c r="F365">
        <v>13265133.189999999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0.84466019417475668</v>
      </c>
      <c r="Q365">
        <f t="shared" si="970"/>
        <v>11204529.976019409</v>
      </c>
      <c r="R365">
        <f t="shared" si="971"/>
        <v>12149990.131222028</v>
      </c>
      <c r="S365">
        <f t="shared" si="972"/>
        <v>121.49990131222029</v>
      </c>
      <c r="T365">
        <f t="shared" si="973"/>
        <v>0.12149990131222028</v>
      </c>
    </row>
    <row r="366" spans="1:20" x14ac:dyDescent="0.25">
      <c r="A366" s="5">
        <v>44227</v>
      </c>
      <c r="B366">
        <v>2.0659999999999998</v>
      </c>
      <c r="C366">
        <v>2.4908000000000001</v>
      </c>
      <c r="D366">
        <v>2.0316999999999998</v>
      </c>
      <c r="E366">
        <v>2.484</v>
      </c>
      <c r="F366">
        <v>13376065.49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0.970376824221302</v>
      </c>
      <c r="Q366">
        <f t="shared" si="970"/>
        <v>12979823.950762354</v>
      </c>
      <c r="R366">
        <f t="shared" si="971"/>
        <v>945460.15520261973</v>
      </c>
      <c r="S366">
        <f t="shared" si="972"/>
        <v>9.4546015520261975</v>
      </c>
      <c r="T366">
        <f t="shared" si="973"/>
        <v>9.4546015520261973E-3</v>
      </c>
    </row>
    <row r="367" spans="1:20" x14ac:dyDescent="0.25">
      <c r="A367" s="5">
        <v>44226</v>
      </c>
      <c r="B367">
        <v>1.8835</v>
      </c>
      <c r="C367">
        <v>2.1255999999999999</v>
      </c>
      <c r="D367">
        <v>1.8038000000000001</v>
      </c>
      <c r="E367">
        <v>2.0655999999999999</v>
      </c>
      <c r="F367">
        <v>7838030.7800000003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0.62709757613424444</v>
      </c>
      <c r="Q367">
        <f t="shared" si="970"/>
        <v>4915210.1038036011</v>
      </c>
      <c r="R367">
        <f t="shared" si="971"/>
        <v>-12034363.795559734</v>
      </c>
      <c r="S367">
        <f t="shared" si="972"/>
        <v>-120.34363795559734</v>
      </c>
      <c r="T367">
        <f t="shared" si="973"/>
        <v>-0.12034363795559734</v>
      </c>
    </row>
    <row r="368" spans="1:20" x14ac:dyDescent="0.25">
      <c r="A368" s="5">
        <v>44225</v>
      </c>
      <c r="B368">
        <v>1.9168000000000001</v>
      </c>
      <c r="C368">
        <v>1.9322999999999999</v>
      </c>
      <c r="D368">
        <v>1.8026</v>
      </c>
      <c r="E368">
        <v>1.8835999999999999</v>
      </c>
      <c r="F368">
        <v>6253131.1200000001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0.24903623747108722</v>
      </c>
      <c r="Q368">
        <f t="shared" si="970"/>
        <v>1557256.2465381657</v>
      </c>
      <c r="R368">
        <f t="shared" si="971"/>
        <v>-16949573.899363335</v>
      </c>
      <c r="S368">
        <f t="shared" si="972"/>
        <v>-169.49573899363335</v>
      </c>
      <c r="T368">
        <f t="shared" si="973"/>
        <v>-0.16949573899363335</v>
      </c>
    </row>
    <row r="369" spans="1:20" x14ac:dyDescent="0.25">
      <c r="A369" s="5">
        <v>44224</v>
      </c>
      <c r="B369">
        <v>1.8827</v>
      </c>
      <c r="C369">
        <v>2.0659999999999998</v>
      </c>
      <c r="D369">
        <v>1.8199000000000001</v>
      </c>
      <c r="E369">
        <v>1.9174</v>
      </c>
      <c r="F369">
        <v>6696760.8799999999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-0.20763917106867116</v>
      </c>
      <c r="Q369">
        <f t="shared" si="970"/>
        <v>-1390509.8779683048</v>
      </c>
      <c r="R369">
        <f t="shared" si="971"/>
        <v>-18506830.145901501</v>
      </c>
      <c r="S369">
        <f t="shared" si="972"/>
        <v>-185.068301459015</v>
      </c>
      <c r="T369">
        <f t="shared" si="973"/>
        <v>-0.18506830145901501</v>
      </c>
    </row>
    <row r="370" spans="1:20" x14ac:dyDescent="0.25">
      <c r="A370" s="5">
        <v>44223</v>
      </c>
      <c r="B370">
        <v>2.2288000000000001</v>
      </c>
      <c r="C370">
        <v>2.23</v>
      </c>
      <c r="D370">
        <v>1.7947</v>
      </c>
      <c r="E370">
        <v>1.8835</v>
      </c>
      <c r="F370">
        <v>7525283.4000000004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-0.59200551343900765</v>
      </c>
      <c r="Q370">
        <f t="shared" si="970"/>
        <v>-4455009.2629910409</v>
      </c>
      <c r="R370">
        <f t="shared" si="971"/>
        <v>-17116320.267933197</v>
      </c>
      <c r="S370">
        <f t="shared" si="972"/>
        <v>-171.16320267933196</v>
      </c>
      <c r="T370">
        <f t="shared" si="973"/>
        <v>-0.17116320267933197</v>
      </c>
    </row>
    <row r="371" spans="1:20" x14ac:dyDescent="0.25">
      <c r="A371" s="5">
        <v>44222</v>
      </c>
      <c r="B371">
        <v>1.8980999999999999</v>
      </c>
      <c r="C371">
        <v>2.23</v>
      </c>
      <c r="D371">
        <v>1.8656999999999999</v>
      </c>
      <c r="E371">
        <v>2.2269000000000001</v>
      </c>
      <c r="F371">
        <v>9339221.2200000007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0.98298105956629223</v>
      </c>
      <c r="Q371">
        <f t="shared" si="970"/>
        <v>9180277.5703596007</v>
      </c>
      <c r="R371">
        <f t="shared" si="971"/>
        <v>-12661311.004942158</v>
      </c>
      <c r="S371">
        <f t="shared" si="972"/>
        <v>-126.61311004942158</v>
      </c>
      <c r="T371">
        <f t="shared" si="973"/>
        <v>-0.12661311004942158</v>
      </c>
    </row>
    <row r="372" spans="1:20" x14ac:dyDescent="0.25">
      <c r="A372" s="5">
        <v>44221</v>
      </c>
      <c r="B372">
        <v>1.9742</v>
      </c>
      <c r="C372">
        <v>2.181</v>
      </c>
      <c r="D372">
        <v>1.8641000000000001</v>
      </c>
      <c r="E372">
        <v>1.8996999999999999</v>
      </c>
      <c r="F372">
        <v>8810900.8499999996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-0.77532344588198254</v>
      </c>
      <c r="Q372">
        <f t="shared" si="970"/>
        <v>-6831298.0083464887</v>
      </c>
      <c r="R372">
        <f t="shared" si="971"/>
        <v>-21841588.575301759</v>
      </c>
      <c r="S372">
        <f t="shared" si="972"/>
        <v>-218.41588575301759</v>
      </c>
      <c r="T372">
        <f t="shared" si="973"/>
        <v>-0.2184158857530176</v>
      </c>
    </row>
    <row r="373" spans="1:20" x14ac:dyDescent="0.25">
      <c r="A373" s="5">
        <v>44220</v>
      </c>
      <c r="B373">
        <v>1.7625</v>
      </c>
      <c r="C373">
        <v>1.9750000000000001</v>
      </c>
      <c r="D373">
        <v>1.7237</v>
      </c>
      <c r="E373">
        <v>1.9742</v>
      </c>
      <c r="F373">
        <v>5262866.5199999996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0.99363310783923486</v>
      </c>
      <c r="Q373">
        <f t="shared" si="970"/>
        <v>5229358.4164106585</v>
      </c>
      <c r="R373">
        <f t="shared" si="971"/>
        <v>-15010290.566955272</v>
      </c>
      <c r="S373">
        <f t="shared" si="972"/>
        <v>-150.10290566955271</v>
      </c>
      <c r="T373">
        <f t="shared" si="973"/>
        <v>-0.1501029056695527</v>
      </c>
    </row>
    <row r="374" spans="1:20" x14ac:dyDescent="0.25">
      <c r="A374" s="5">
        <v>44219</v>
      </c>
      <c r="B374">
        <v>1.6724000000000001</v>
      </c>
      <c r="C374">
        <v>1.7958000000000001</v>
      </c>
      <c r="D374">
        <v>1.63</v>
      </c>
      <c r="E374">
        <v>1.7625</v>
      </c>
      <c r="F374">
        <v>5207968.83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0.59831121833534295</v>
      </c>
      <c r="Q374">
        <f t="shared" si="970"/>
        <v>3115986.1757297907</v>
      </c>
      <c r="R374">
        <f t="shared" si="971"/>
        <v>-20239648.983365931</v>
      </c>
      <c r="S374">
        <f t="shared" si="972"/>
        <v>-202.3964898336593</v>
      </c>
      <c r="T374">
        <f t="shared" si="973"/>
        <v>-0.20239648983365929</v>
      </c>
    </row>
    <row r="375" spans="1:20" x14ac:dyDescent="0.25">
      <c r="A375" s="5">
        <v>44218</v>
      </c>
      <c r="B375">
        <v>1.5337000000000001</v>
      </c>
      <c r="C375">
        <v>1.7007000000000001</v>
      </c>
      <c r="D375">
        <v>1.42</v>
      </c>
      <c r="E375">
        <v>1.6718999999999999</v>
      </c>
      <c r="F375">
        <v>4742396.96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0.79479871749198328</v>
      </c>
      <c r="Q375">
        <f t="shared" si="970"/>
        <v>3769251.0216458803</v>
      </c>
      <c r="R375">
        <f t="shared" si="971"/>
        <v>-23355635.159095719</v>
      </c>
      <c r="S375">
        <f t="shared" si="972"/>
        <v>-233.55635159095721</v>
      </c>
      <c r="T375">
        <f t="shared" si="973"/>
        <v>-0.2335563515909572</v>
      </c>
    </row>
    <row r="376" spans="1:20" x14ac:dyDescent="0.25">
      <c r="A376" s="5">
        <v>44217</v>
      </c>
      <c r="B376">
        <v>1.8317000000000001</v>
      </c>
      <c r="C376">
        <v>1.8421000000000001</v>
      </c>
      <c r="D376">
        <v>1.5049999999999999</v>
      </c>
      <c r="E376">
        <v>1.5367</v>
      </c>
      <c r="F376">
        <v>6478031.79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-0.8119252447344999</v>
      </c>
      <c r="Q376">
        <f t="shared" si="970"/>
        <v>-5259677.5464936206</v>
      </c>
      <c r="R376">
        <f t="shared" si="971"/>
        <v>-27124886.180741601</v>
      </c>
      <c r="S376">
        <f t="shared" si="972"/>
        <v>-271.24886180741601</v>
      </c>
      <c r="T376">
        <f t="shared" si="973"/>
        <v>-0.27124886180741603</v>
      </c>
    </row>
    <row r="377" spans="1:20" x14ac:dyDescent="0.25">
      <c r="A377" s="5">
        <v>44216</v>
      </c>
      <c r="B377">
        <v>1.7970999999999999</v>
      </c>
      <c r="C377">
        <v>1.889</v>
      </c>
      <c r="D377">
        <v>1.65</v>
      </c>
      <c r="E377">
        <v>1.8304</v>
      </c>
      <c r="F377">
        <v>5979571.1200000001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0.50962343096234342</v>
      </c>
      <c r="Q377">
        <f t="shared" si="970"/>
        <v>3047329.5498577426</v>
      </c>
      <c r="R377">
        <f t="shared" si="971"/>
        <v>-21865208.634247981</v>
      </c>
      <c r="S377">
        <f t="shared" si="972"/>
        <v>-218.65208634247981</v>
      </c>
      <c r="T377">
        <f t="shared" si="973"/>
        <v>-0.21865208634247982</v>
      </c>
    </row>
    <row r="378" spans="1:20" x14ac:dyDescent="0.25">
      <c r="A378" s="5">
        <v>44215</v>
      </c>
      <c r="B378">
        <v>1.9111</v>
      </c>
      <c r="C378">
        <v>2.012</v>
      </c>
      <c r="D378">
        <v>1.7645</v>
      </c>
      <c r="E378">
        <v>1.7970999999999999</v>
      </c>
      <c r="F378">
        <v>5183383.78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-0.73656565656565698</v>
      </c>
      <c r="Q378">
        <f t="shared" si="970"/>
        <v>-3817902.4771474772</v>
      </c>
      <c r="R378">
        <f t="shared" si="971"/>
        <v>-24912538.184105724</v>
      </c>
      <c r="S378">
        <f t="shared" si="972"/>
        <v>-249.12538184105725</v>
      </c>
      <c r="T378">
        <f t="shared" si="973"/>
        <v>-0.24912538184105726</v>
      </c>
    </row>
    <row r="379" spans="1:20" x14ac:dyDescent="0.25">
      <c r="A379" s="5">
        <v>44214</v>
      </c>
      <c r="B379">
        <v>1.8173999999999999</v>
      </c>
      <c r="C379">
        <v>2.0470000000000002</v>
      </c>
      <c r="D379">
        <v>1.7761</v>
      </c>
      <c r="E379">
        <v>1.9077</v>
      </c>
      <c r="F379">
        <v>7993357.0899999999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-2.8423772609820073E-2</v>
      </c>
      <c r="Q379">
        <f t="shared" si="970"/>
        <v>-227201.36431525307</v>
      </c>
      <c r="R379">
        <f t="shared" si="971"/>
        <v>-21094635.706958245</v>
      </c>
      <c r="S379">
        <f t="shared" si="972"/>
        <v>-210.94635706958246</v>
      </c>
      <c r="T379">
        <f t="shared" si="973"/>
        <v>-0.21094635706958245</v>
      </c>
    </row>
    <row r="380" spans="1:20" x14ac:dyDescent="0.25">
      <c r="A380" s="5">
        <v>44213</v>
      </c>
      <c r="B380">
        <v>1.7726999999999999</v>
      </c>
      <c r="C380">
        <v>1.8519000000000001</v>
      </c>
      <c r="D380">
        <v>1.6</v>
      </c>
      <c r="E380">
        <v>1.8191999999999999</v>
      </c>
      <c r="F380">
        <v>7808740.6100000003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0.74037316395394859</v>
      </c>
      <c r="Q380">
        <f t="shared" si="970"/>
        <v>5781381.9919213867</v>
      </c>
      <c r="R380">
        <f t="shared" si="971"/>
        <v>-20867434.342642993</v>
      </c>
      <c r="S380">
        <f t="shared" si="972"/>
        <v>-208.67434342642991</v>
      </c>
      <c r="T380">
        <f t="shared" si="973"/>
        <v>-0.2086743434264299</v>
      </c>
    </row>
    <row r="381" spans="1:20" x14ac:dyDescent="0.25">
      <c r="A381" s="5">
        <v>44212</v>
      </c>
      <c r="B381">
        <v>1.7085999999999999</v>
      </c>
      <c r="C381">
        <v>1.9766999999999999</v>
      </c>
      <c r="D381">
        <v>1.6962999999999999</v>
      </c>
      <c r="E381">
        <v>1.7703</v>
      </c>
      <c r="F381">
        <v>9077405.0899999999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-0.47218259629101234</v>
      </c>
      <c r="Q381">
        <f t="shared" si="970"/>
        <v>-4286192.7029814506</v>
      </c>
      <c r="R381">
        <f t="shared" si="971"/>
        <v>-26648816.33456438</v>
      </c>
      <c r="S381">
        <f t="shared" si="972"/>
        <v>-266.48816334564378</v>
      </c>
      <c r="T381">
        <f t="shared" si="973"/>
        <v>-0.26648816334564379</v>
      </c>
    </row>
    <row r="382" spans="1:20" x14ac:dyDescent="0.25">
      <c r="A382" s="5">
        <v>44211</v>
      </c>
      <c r="B382">
        <v>1.6992</v>
      </c>
      <c r="C382">
        <v>1.7597</v>
      </c>
      <c r="D382">
        <v>1.4924999999999999</v>
      </c>
      <c r="E382">
        <v>1.71</v>
      </c>
      <c r="F382">
        <v>9592721.3900000006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0.62799401197604743</v>
      </c>
      <c r="Q382">
        <f t="shared" si="970"/>
        <v>6024171.5914745471</v>
      </c>
      <c r="R382">
        <f t="shared" si="971"/>
        <v>-22362623.631582931</v>
      </c>
      <c r="S382">
        <f t="shared" si="972"/>
        <v>-223.62623631582932</v>
      </c>
      <c r="T382">
        <f t="shared" si="973"/>
        <v>-0.22362623631582931</v>
      </c>
    </row>
    <row r="383" spans="1:20" x14ac:dyDescent="0.25">
      <c r="A383" s="5">
        <v>44210</v>
      </c>
      <c r="B383">
        <v>1.6578999999999999</v>
      </c>
      <c r="C383">
        <v>1.73</v>
      </c>
      <c r="D383">
        <v>1.5659000000000001</v>
      </c>
      <c r="E383">
        <v>1.6968000000000001</v>
      </c>
      <c r="F383">
        <v>5656118.6600000001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0.59536867763558909</v>
      </c>
      <c r="Q383">
        <f t="shared" si="970"/>
        <v>3367475.8871541801</v>
      </c>
      <c r="R383">
        <f t="shared" si="971"/>
        <v>-28386795.223057479</v>
      </c>
      <c r="S383">
        <f t="shared" si="972"/>
        <v>-283.86795223057482</v>
      </c>
      <c r="T383">
        <f t="shared" si="973"/>
        <v>-0.28386795223057482</v>
      </c>
    </row>
    <row r="384" spans="1:20" x14ac:dyDescent="0.25">
      <c r="A384" s="5">
        <v>44209</v>
      </c>
      <c r="B384">
        <v>1.4447000000000001</v>
      </c>
      <c r="C384">
        <v>1.69</v>
      </c>
      <c r="D384">
        <v>1.375</v>
      </c>
      <c r="E384">
        <v>1.6573</v>
      </c>
      <c r="F384">
        <v>7531327.9000000004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0.79238095238095263</v>
      </c>
      <c r="Q384">
        <f t="shared" si="970"/>
        <v>5967680.77409524</v>
      </c>
      <c r="R384">
        <f t="shared" si="971"/>
        <v>-31754271.110211659</v>
      </c>
      <c r="S384">
        <f t="shared" si="972"/>
        <v>-317.54271110211658</v>
      </c>
      <c r="T384">
        <f t="shared" si="973"/>
        <v>-0.31754271110211657</v>
      </c>
    </row>
    <row r="385" spans="1:20" x14ac:dyDescent="0.25">
      <c r="A385" s="5">
        <v>44208</v>
      </c>
      <c r="B385">
        <v>1.4128000000000001</v>
      </c>
      <c r="C385">
        <v>1.5875999999999999</v>
      </c>
      <c r="D385">
        <v>1.306</v>
      </c>
      <c r="E385">
        <v>1.4436</v>
      </c>
      <c r="F385">
        <v>9301988.4100000001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-2.2727272727272603E-2</v>
      </c>
      <c r="Q385">
        <f t="shared" si="970"/>
        <v>-211408.82749999885</v>
      </c>
      <c r="R385">
        <f t="shared" si="971"/>
        <v>-37721951.8843069</v>
      </c>
      <c r="S385">
        <f t="shared" si="972"/>
        <v>-377.21951884306901</v>
      </c>
      <c r="T385">
        <f t="shared" si="973"/>
        <v>-0.37721951884306903</v>
      </c>
    </row>
    <row r="386" spans="1:20" x14ac:dyDescent="0.25">
      <c r="A386" s="5">
        <v>44207</v>
      </c>
      <c r="B386">
        <v>1.6174999999999999</v>
      </c>
      <c r="C386">
        <v>1.6206</v>
      </c>
      <c r="D386">
        <v>1.2053</v>
      </c>
      <c r="E386">
        <v>1.41</v>
      </c>
      <c r="F386">
        <v>12466793.460000001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-1.4206597640260627E-2</v>
      </c>
      <c r="Q386">
        <f t="shared" si="970"/>
        <v>-177110.71855045264</v>
      </c>
      <c r="R386">
        <f t="shared" si="971"/>
        <v>-37510543.0568069</v>
      </c>
      <c r="S386">
        <f t="shared" si="972"/>
        <v>-375.10543056806898</v>
      </c>
      <c r="T386">
        <f t="shared" si="973"/>
        <v>-0.375105430568069</v>
      </c>
    </row>
    <row r="387" spans="1:20" x14ac:dyDescent="0.25">
      <c r="A387" s="5">
        <v>44206</v>
      </c>
      <c r="B387">
        <v>1.7292000000000001</v>
      </c>
      <c r="C387">
        <v>1.9279999999999999</v>
      </c>
      <c r="D387">
        <v>1.4810000000000001</v>
      </c>
      <c r="E387">
        <v>1.6185</v>
      </c>
      <c r="F387">
        <v>13890046.189999999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-0.38478747203579416</v>
      </c>
      <c r="Q387">
        <f t="shared" si="970"/>
        <v>-5344715.7599105136</v>
      </c>
      <c r="R387">
        <f t="shared" si="971"/>
        <v>-37333432.338256449</v>
      </c>
      <c r="S387">
        <f t="shared" si="972"/>
        <v>-373.33432338256449</v>
      </c>
      <c r="T387">
        <f t="shared" si="973"/>
        <v>-0.3733343233825645</v>
      </c>
    </row>
    <row r="388" spans="1:20" x14ac:dyDescent="0.25">
      <c r="A388" s="5">
        <v>44205</v>
      </c>
      <c r="B388">
        <v>1.6338999999999999</v>
      </c>
      <c r="C388">
        <v>1.7999000000000001</v>
      </c>
      <c r="D388">
        <v>1.5</v>
      </c>
      <c r="E388">
        <v>1.7242</v>
      </c>
      <c r="F388">
        <v>14523410.390000001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0.49516505501833885</v>
      </c>
      <c r="Q388">
        <f t="shared" si="970"/>
        <v>7191485.3048182642</v>
      </c>
      <c r="R388">
        <f t="shared" si="971"/>
        <v>-31988716.578345932</v>
      </c>
      <c r="S388">
        <f t="shared" si="972"/>
        <v>-319.8871657834593</v>
      </c>
      <c r="T388">
        <f t="shared" si="973"/>
        <v>-0.31988716578345927</v>
      </c>
    </row>
    <row r="389" spans="1:20" x14ac:dyDescent="0.25">
      <c r="A389" s="5">
        <v>44204</v>
      </c>
      <c r="B389">
        <v>1.3993</v>
      </c>
      <c r="C389">
        <v>1.9</v>
      </c>
      <c r="D389">
        <v>1.25</v>
      </c>
      <c r="E389">
        <v>1.6338999999999999</v>
      </c>
      <c r="F389">
        <v>20160049.129999999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0.18123076923076911</v>
      </c>
      <c r="Q389">
        <f t="shared" si="970"/>
        <v>3653621.2115599974</v>
      </c>
      <c r="R389">
        <f t="shared" si="971"/>
        <v>-39180201.883164197</v>
      </c>
      <c r="S389">
        <f t="shared" si="972"/>
        <v>-391.80201883164199</v>
      </c>
      <c r="T389">
        <f t="shared" si="973"/>
        <v>-0.39180201883164201</v>
      </c>
    </row>
    <row r="390" spans="1:20" x14ac:dyDescent="0.25">
      <c r="A390" s="5">
        <v>44203</v>
      </c>
      <c r="B390">
        <v>1.4439</v>
      </c>
      <c r="C390">
        <v>1.57</v>
      </c>
      <c r="D390">
        <v>1.3109999999999999</v>
      </c>
      <c r="E390">
        <v>1.3991</v>
      </c>
      <c r="F390">
        <v>8773305.5899999999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-0.31969111969111946</v>
      </c>
      <c r="Q390">
        <f t="shared" ref="Q390:Q453" si="975">F390*P390</f>
        <v>-2804747.8874594574</v>
      </c>
      <c r="R390">
        <f t="shared" ref="R390:R453" si="976">R391+Q390</f>
        <v>-42833823.094724193</v>
      </c>
      <c r="S390">
        <f t="shared" ref="S390:S453" si="977">R390/100000</f>
        <v>-428.33823094724193</v>
      </c>
      <c r="T390">
        <f t="shared" ref="T390:T453" si="978">S390/1000</f>
        <v>-0.42833823094724194</v>
      </c>
    </row>
    <row r="391" spans="1:20" x14ac:dyDescent="0.25">
      <c r="A391" s="5">
        <v>44202</v>
      </c>
      <c r="B391">
        <v>1.4776</v>
      </c>
      <c r="C391">
        <v>1.5847</v>
      </c>
      <c r="D391">
        <v>1.359</v>
      </c>
      <c r="E391">
        <v>1.4424999999999999</v>
      </c>
      <c r="F391">
        <v>9972066.1400000006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-0.26007975188303145</v>
      </c>
      <c r="Q391">
        <f t="shared" si="975"/>
        <v>-2593532.4874523794</v>
      </c>
      <c r="R391">
        <f t="shared" si="976"/>
        <v>-40029075.207264736</v>
      </c>
      <c r="S391">
        <f t="shared" si="977"/>
        <v>-400.29075207264736</v>
      </c>
      <c r="T391">
        <f t="shared" si="978"/>
        <v>-0.40029075207264736</v>
      </c>
    </row>
    <row r="392" spans="1:20" x14ac:dyDescent="0.25">
      <c r="A392" s="5">
        <v>44201</v>
      </c>
      <c r="B392">
        <v>1.3171999999999999</v>
      </c>
      <c r="C392">
        <v>1.6206</v>
      </c>
      <c r="D392">
        <v>1.1569</v>
      </c>
      <c r="E392">
        <v>1.4791000000000001</v>
      </c>
      <c r="F392">
        <v>16881096.140000001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0.38969161095535926</v>
      </c>
      <c r="Q392">
        <f t="shared" si="975"/>
        <v>6578421.5494888974</v>
      </c>
      <c r="R392">
        <f t="shared" si="976"/>
        <v>-37435542.719812356</v>
      </c>
      <c r="S392">
        <f t="shared" si="977"/>
        <v>-374.35542719812355</v>
      </c>
      <c r="T392">
        <f t="shared" si="978"/>
        <v>-0.37435542719812354</v>
      </c>
    </row>
    <row r="393" spans="1:20" x14ac:dyDescent="0.25">
      <c r="A393" s="5">
        <v>44200</v>
      </c>
      <c r="B393">
        <v>1.1813</v>
      </c>
      <c r="C393">
        <v>1.3389</v>
      </c>
      <c r="D393">
        <v>1.0161</v>
      </c>
      <c r="E393">
        <v>1.3149</v>
      </c>
      <c r="F393">
        <v>13086069.279999999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0.85130111524163554</v>
      </c>
      <c r="Q393">
        <f t="shared" si="975"/>
        <v>11140185.372193307</v>
      </c>
      <c r="R393">
        <f t="shared" si="976"/>
        <v>-44013964.269301251</v>
      </c>
      <c r="S393">
        <f t="shared" si="977"/>
        <v>-440.13964269301249</v>
      </c>
      <c r="T393">
        <f t="shared" si="978"/>
        <v>-0.44013964269301248</v>
      </c>
    </row>
    <row r="394" spans="1:20" x14ac:dyDescent="0.25">
      <c r="A394" s="5">
        <v>44199</v>
      </c>
      <c r="B394">
        <v>1.0597000000000001</v>
      </c>
      <c r="C394">
        <v>1.2050000000000001</v>
      </c>
      <c r="D394">
        <v>1.0353000000000001</v>
      </c>
      <c r="E394">
        <v>1.1813</v>
      </c>
      <c r="F394">
        <v>4312248.05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0.72068355922215599</v>
      </c>
      <c r="Q394">
        <f t="shared" si="975"/>
        <v>3107766.2729228013</v>
      </c>
      <c r="R394">
        <f t="shared" si="976"/>
        <v>-55154149.641494557</v>
      </c>
      <c r="S394">
        <f t="shared" si="977"/>
        <v>-551.54149641494553</v>
      </c>
      <c r="T394">
        <f t="shared" si="978"/>
        <v>-0.55154149641494554</v>
      </c>
    </row>
    <row r="395" spans="1:20" x14ac:dyDescent="0.25">
      <c r="A395" s="5">
        <v>44198</v>
      </c>
      <c r="B395">
        <v>1.1306</v>
      </c>
      <c r="C395">
        <v>1.1599999999999999</v>
      </c>
      <c r="D395">
        <v>1.0357000000000001</v>
      </c>
      <c r="E395">
        <v>1.0604</v>
      </c>
      <c r="F395">
        <v>3817826.5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-0.60257441673370915</v>
      </c>
      <c r="Q395">
        <f t="shared" si="975"/>
        <v>-2300524.576427998</v>
      </c>
      <c r="R395">
        <f t="shared" si="976"/>
        <v>-58261915.914417356</v>
      </c>
      <c r="S395">
        <f t="shared" si="977"/>
        <v>-582.61915914417352</v>
      </c>
      <c r="T395">
        <f t="shared" si="978"/>
        <v>-0.5826191591441735</v>
      </c>
    </row>
    <row r="396" spans="1:20" x14ac:dyDescent="0.25">
      <c r="A396" s="5">
        <v>44197</v>
      </c>
      <c r="B396">
        <v>1.0428999999999999</v>
      </c>
      <c r="C396">
        <v>1.135</v>
      </c>
      <c r="D396">
        <v>1.0239</v>
      </c>
      <c r="E396">
        <v>1.1317999999999999</v>
      </c>
      <c r="F396">
        <v>3788782.62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0.94239423942394074</v>
      </c>
      <c r="Q396">
        <f t="shared" si="975"/>
        <v>3570526.9155175458</v>
      </c>
      <c r="R396">
        <f t="shared" si="976"/>
        <v>-55961391.33798936</v>
      </c>
      <c r="S396">
        <f t="shared" si="977"/>
        <v>-559.61391337989357</v>
      </c>
      <c r="T396">
        <f t="shared" si="978"/>
        <v>-0.55961391337989352</v>
      </c>
    </row>
    <row r="397" spans="1:20" x14ac:dyDescent="0.25">
      <c r="A397" s="5">
        <v>44196</v>
      </c>
      <c r="B397">
        <v>1.0363</v>
      </c>
      <c r="C397">
        <v>1.0469999999999999</v>
      </c>
      <c r="D397">
        <v>0.98040000000000005</v>
      </c>
      <c r="E397">
        <v>1.0428999999999999</v>
      </c>
      <c r="F397">
        <v>2406667.9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0.87687687687687688</v>
      </c>
      <c r="Q397">
        <f t="shared" si="975"/>
        <v>2110351.4318318316</v>
      </c>
      <c r="R397">
        <f t="shared" si="976"/>
        <v>-59531918.253506906</v>
      </c>
      <c r="S397">
        <f t="shared" si="977"/>
        <v>-595.3191825350691</v>
      </c>
      <c r="T397">
        <f t="shared" si="978"/>
        <v>-0.5953191825350691</v>
      </c>
    </row>
    <row r="398" spans="1:20" x14ac:dyDescent="0.25">
      <c r="A398" s="5">
        <v>44195</v>
      </c>
      <c r="B398">
        <v>1.0831999999999999</v>
      </c>
      <c r="C398">
        <v>1.0893999999999999</v>
      </c>
      <c r="D398">
        <v>1.0012000000000001</v>
      </c>
      <c r="E398">
        <v>1.0357000000000001</v>
      </c>
      <c r="F398">
        <v>1584050.18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-0.21768707482993108</v>
      </c>
      <c r="Q398">
        <f t="shared" si="975"/>
        <v>-344827.25006802578</v>
      </c>
      <c r="R398">
        <f t="shared" si="976"/>
        <v>-61642269.685338736</v>
      </c>
      <c r="S398">
        <f t="shared" si="977"/>
        <v>-616.42269685338738</v>
      </c>
      <c r="T398">
        <f t="shared" si="978"/>
        <v>-0.61642269685338735</v>
      </c>
    </row>
    <row r="399" spans="1:20" x14ac:dyDescent="0.25">
      <c r="A399" s="5">
        <v>44194</v>
      </c>
      <c r="B399">
        <v>1.0130999999999999</v>
      </c>
      <c r="C399">
        <v>1.1689000000000001</v>
      </c>
      <c r="D399">
        <v>0.99519999999999997</v>
      </c>
      <c r="E399">
        <v>1.0803</v>
      </c>
      <c r="F399">
        <v>6203154.3499999996</v>
      </c>
      <c r="G399">
        <v>0</v>
      </c>
      <c r="L399" t="s">
        <v>8</v>
      </c>
      <c r="M399" t="s">
        <v>8</v>
      </c>
      <c r="N399" t="s">
        <v>7</v>
      </c>
      <c r="P399">
        <f t="shared" si="974"/>
        <v>-2.0149683362118285E-2</v>
      </c>
      <c r="Q399">
        <f t="shared" si="975"/>
        <v>-124991.59599884665</v>
      </c>
      <c r="R399">
        <f t="shared" si="976"/>
        <v>-61297442.435270712</v>
      </c>
      <c r="S399">
        <f t="shared" si="977"/>
        <v>-612.97442435270716</v>
      </c>
      <c r="T399">
        <f t="shared" si="978"/>
        <v>-0.61297442435270721</v>
      </c>
    </row>
    <row r="400" spans="1:20" x14ac:dyDescent="0.25">
      <c r="A400" s="5">
        <v>44193</v>
      </c>
      <c r="B400">
        <v>1.0009999999999999</v>
      </c>
      <c r="C400">
        <v>1.1100000000000001</v>
      </c>
      <c r="D400">
        <v>0.99439999999999995</v>
      </c>
      <c r="E400">
        <v>1.0130999999999999</v>
      </c>
      <c r="F400">
        <v>3177568.73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-0.6764705882352956</v>
      </c>
      <c r="Q400">
        <f t="shared" si="975"/>
        <v>-2149531.7879411811</v>
      </c>
      <c r="R400">
        <f t="shared" si="976"/>
        <v>-61172450.839271866</v>
      </c>
      <c r="S400">
        <f t="shared" si="977"/>
        <v>-611.72450839271869</v>
      </c>
      <c r="T400">
        <f t="shared" si="978"/>
        <v>-0.61172450839271864</v>
      </c>
    </row>
    <row r="401" spans="1:20" x14ac:dyDescent="0.25">
      <c r="A401" s="5">
        <v>44192</v>
      </c>
      <c r="B401">
        <v>0.98380000000000001</v>
      </c>
      <c r="C401">
        <v>1.03</v>
      </c>
      <c r="D401">
        <v>0.91590000000000005</v>
      </c>
      <c r="E401">
        <v>1.0005999999999999</v>
      </c>
      <c r="F401">
        <v>2285223.0699999998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0.48466257668711482</v>
      </c>
      <c r="Q401">
        <f t="shared" si="975"/>
        <v>1107562.1014110388</v>
      </c>
      <c r="R401">
        <f t="shared" si="976"/>
        <v>-59022919.051330686</v>
      </c>
      <c r="S401">
        <f t="shared" si="977"/>
        <v>-590.22919051330689</v>
      </c>
      <c r="T401">
        <f t="shared" si="978"/>
        <v>-0.59022919051330691</v>
      </c>
    </row>
    <row r="402" spans="1:20" x14ac:dyDescent="0.25">
      <c r="A402" s="5">
        <v>44191</v>
      </c>
      <c r="B402">
        <v>1.032</v>
      </c>
      <c r="C402">
        <v>1.0323</v>
      </c>
      <c r="D402">
        <v>0.9647</v>
      </c>
      <c r="E402">
        <v>0.98299999999999998</v>
      </c>
      <c r="F402">
        <v>1379632.8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-0.45857988165680519</v>
      </c>
      <c r="Q402">
        <f t="shared" si="975"/>
        <v>-632671.84615384683</v>
      </c>
      <c r="R402">
        <f t="shared" si="976"/>
        <v>-60130481.152741723</v>
      </c>
      <c r="S402">
        <f t="shared" si="977"/>
        <v>-601.3048115274172</v>
      </c>
      <c r="T402">
        <f t="shared" si="978"/>
        <v>-0.60130481152741722</v>
      </c>
    </row>
    <row r="403" spans="1:20" x14ac:dyDescent="0.25">
      <c r="A403" s="5">
        <v>44190</v>
      </c>
      <c r="B403">
        <v>1.0442</v>
      </c>
      <c r="C403">
        <v>1.0649999999999999</v>
      </c>
      <c r="D403">
        <v>0.99780000000000002</v>
      </c>
      <c r="E403">
        <v>1.0319</v>
      </c>
      <c r="F403">
        <v>1377646.55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1.4880952380954063E-2</v>
      </c>
      <c r="Q403">
        <f t="shared" si="975"/>
        <v>20500.69270833565</v>
      </c>
      <c r="R403">
        <f t="shared" si="976"/>
        <v>-59497809.306587875</v>
      </c>
      <c r="S403">
        <f t="shared" si="977"/>
        <v>-594.97809306587874</v>
      </c>
      <c r="T403">
        <f t="shared" si="978"/>
        <v>-0.59497809306587879</v>
      </c>
    </row>
    <row r="404" spans="1:20" x14ac:dyDescent="0.25">
      <c r="A404" s="5">
        <v>44189</v>
      </c>
      <c r="B404">
        <v>0.98040000000000005</v>
      </c>
      <c r="C404">
        <v>1.0499000000000001</v>
      </c>
      <c r="D404">
        <v>0.94099999999999995</v>
      </c>
      <c r="E404">
        <v>1.0430999999999999</v>
      </c>
      <c r="F404">
        <v>2214358.7400000002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0.87511478420569089</v>
      </c>
      <c r="Q404">
        <f t="shared" si="975"/>
        <v>1937818.0709090857</v>
      </c>
      <c r="R404">
        <f t="shared" si="976"/>
        <v>-59518309.999296211</v>
      </c>
      <c r="S404">
        <f t="shared" si="977"/>
        <v>-595.18309999296207</v>
      </c>
      <c r="T404">
        <f t="shared" si="978"/>
        <v>-0.59518309999296204</v>
      </c>
    </row>
    <row r="405" spans="1:20" x14ac:dyDescent="0.25">
      <c r="A405" s="5">
        <v>44188</v>
      </c>
      <c r="B405">
        <v>1.1144000000000001</v>
      </c>
      <c r="C405">
        <v>1.1271</v>
      </c>
      <c r="D405">
        <v>0.87509999999999999</v>
      </c>
      <c r="E405">
        <v>0.98399999999999999</v>
      </c>
      <c r="F405">
        <v>4862935.87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-0.13571428571428576</v>
      </c>
      <c r="Q405">
        <f t="shared" si="975"/>
        <v>-659969.86807142885</v>
      </c>
      <c r="R405">
        <f t="shared" si="976"/>
        <v>-61456128.070205294</v>
      </c>
      <c r="S405">
        <f t="shared" si="977"/>
        <v>-614.56128070205295</v>
      </c>
      <c r="T405">
        <f t="shared" si="978"/>
        <v>-0.61456128070205296</v>
      </c>
    </row>
    <row r="406" spans="1:20" x14ac:dyDescent="0.25">
      <c r="A406" s="5">
        <v>44187</v>
      </c>
      <c r="B406">
        <v>1.0662</v>
      </c>
      <c r="C406">
        <v>1.1893</v>
      </c>
      <c r="D406">
        <v>1.0527</v>
      </c>
      <c r="E406">
        <v>1.1140000000000001</v>
      </c>
      <c r="F406">
        <v>5502211.3399999999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-0.10248901903367338</v>
      </c>
      <c r="Q406">
        <f t="shared" si="975"/>
        <v>-563916.24275255355</v>
      </c>
      <c r="R406">
        <f t="shared" si="976"/>
        <v>-60796158.202133864</v>
      </c>
      <c r="S406">
        <f t="shared" si="977"/>
        <v>-607.96158202133859</v>
      </c>
      <c r="T406">
        <f t="shared" si="978"/>
        <v>-0.60796158202133854</v>
      </c>
    </row>
    <row r="407" spans="1:20" x14ac:dyDescent="0.25">
      <c r="A407" s="5">
        <v>44186</v>
      </c>
      <c r="B407">
        <v>1.1355</v>
      </c>
      <c r="C407">
        <v>1.1673</v>
      </c>
      <c r="D407">
        <v>1.0491999999999999</v>
      </c>
      <c r="E407">
        <v>1.0663</v>
      </c>
      <c r="F407">
        <v>2488349.29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-0.71041490262489249</v>
      </c>
      <c r="Q407">
        <f t="shared" si="975"/>
        <v>-1767760.4185520704</v>
      </c>
      <c r="R407">
        <f t="shared" si="976"/>
        <v>-60232241.959381312</v>
      </c>
      <c r="S407">
        <f t="shared" si="977"/>
        <v>-602.32241959381315</v>
      </c>
      <c r="T407">
        <f t="shared" si="978"/>
        <v>-0.60232241959381316</v>
      </c>
    </row>
    <row r="408" spans="1:20" x14ac:dyDescent="0.25">
      <c r="A408" s="5">
        <v>44185</v>
      </c>
      <c r="B408">
        <v>1.2126999999999999</v>
      </c>
      <c r="C408">
        <v>1.2136</v>
      </c>
      <c r="D408">
        <v>1.1155999999999999</v>
      </c>
      <c r="E408">
        <v>1.1362000000000001</v>
      </c>
      <c r="F408">
        <v>2982562.9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-0.57959183673469072</v>
      </c>
      <c r="Q408">
        <f t="shared" si="975"/>
        <v>-1728669.1093877456</v>
      </c>
      <c r="R408">
        <f t="shared" si="976"/>
        <v>-58464481.540829241</v>
      </c>
      <c r="S408">
        <f t="shared" si="977"/>
        <v>-584.6448154082924</v>
      </c>
      <c r="T408">
        <f t="shared" si="978"/>
        <v>-0.58464481540829238</v>
      </c>
    </row>
    <row r="409" spans="1:20" x14ac:dyDescent="0.25">
      <c r="A409" s="5">
        <v>44184</v>
      </c>
      <c r="B409">
        <v>1.1594</v>
      </c>
      <c r="C409">
        <v>1.2588999999999999</v>
      </c>
      <c r="D409">
        <v>1.1482000000000001</v>
      </c>
      <c r="E409">
        <v>1.2132000000000001</v>
      </c>
      <c r="F409">
        <v>4405829.12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0.17434507678410235</v>
      </c>
      <c r="Q409">
        <f t="shared" si="975"/>
        <v>768134.61622403411</v>
      </c>
      <c r="R409">
        <f t="shared" si="976"/>
        <v>-56735812.431441493</v>
      </c>
      <c r="S409">
        <f t="shared" si="977"/>
        <v>-567.35812431441491</v>
      </c>
      <c r="T409">
        <f t="shared" si="978"/>
        <v>-0.5673581243144149</v>
      </c>
    </row>
    <row r="410" spans="1:20" x14ac:dyDescent="0.25">
      <c r="A410" s="5">
        <v>44183</v>
      </c>
      <c r="B410">
        <v>1.1378999999999999</v>
      </c>
      <c r="C410">
        <v>1.1788000000000001</v>
      </c>
      <c r="D410">
        <v>1.1102000000000001</v>
      </c>
      <c r="E410">
        <v>1.1589</v>
      </c>
      <c r="F410">
        <v>2410498.36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0.4198250728862965</v>
      </c>
      <c r="Q410">
        <f t="shared" si="975"/>
        <v>1011987.6496792982</v>
      </c>
      <c r="R410">
        <f t="shared" si="976"/>
        <v>-57503947.047665529</v>
      </c>
      <c r="S410">
        <f t="shared" si="977"/>
        <v>-575.03947047665531</v>
      </c>
      <c r="T410">
        <f t="shared" si="978"/>
        <v>-0.57503947047665527</v>
      </c>
    </row>
    <row r="411" spans="1:20" x14ac:dyDescent="0.25">
      <c r="A411" s="5">
        <v>44182</v>
      </c>
      <c r="B411">
        <v>1.1859</v>
      </c>
      <c r="C411">
        <v>1.2095</v>
      </c>
      <c r="D411">
        <v>1.1154999999999999</v>
      </c>
      <c r="E411">
        <v>1.1394</v>
      </c>
      <c r="F411">
        <v>4516858.33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-0.49148936170212743</v>
      </c>
      <c r="Q411">
        <f t="shared" si="975"/>
        <v>-2219987.8175106375</v>
      </c>
      <c r="R411">
        <f t="shared" si="976"/>
        <v>-58515934.697344825</v>
      </c>
      <c r="S411">
        <f t="shared" si="977"/>
        <v>-585.15934697344824</v>
      </c>
      <c r="T411">
        <f t="shared" si="978"/>
        <v>-0.58515934697344829</v>
      </c>
    </row>
    <row r="412" spans="1:20" x14ac:dyDescent="0.25">
      <c r="A412" s="5">
        <v>44181</v>
      </c>
      <c r="B412">
        <v>1.1284000000000001</v>
      </c>
      <c r="C412">
        <v>1.2030000000000001</v>
      </c>
      <c r="D412">
        <v>1.0931</v>
      </c>
      <c r="E412">
        <v>1.1858</v>
      </c>
      <c r="F412">
        <v>5890442.7800000003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0.68698817106460264</v>
      </c>
      <c r="Q412">
        <f t="shared" si="975"/>
        <v>4046664.5121928938</v>
      </c>
      <c r="R412">
        <f t="shared" si="976"/>
        <v>-56295946.87983419</v>
      </c>
      <c r="S412">
        <f t="shared" si="977"/>
        <v>-562.95946879834185</v>
      </c>
      <c r="T412">
        <f t="shared" si="978"/>
        <v>-0.5629594687983418</v>
      </c>
    </row>
    <row r="413" spans="1:20" x14ac:dyDescent="0.25">
      <c r="A413" s="5">
        <v>44180</v>
      </c>
      <c r="B413">
        <v>1.0593999999999999</v>
      </c>
      <c r="C413">
        <v>1.1373</v>
      </c>
      <c r="D413">
        <v>1.0552999999999999</v>
      </c>
      <c r="E413">
        <v>1.1283000000000001</v>
      </c>
      <c r="F413">
        <v>2344385.1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0.78048780487805147</v>
      </c>
      <c r="Q413">
        <f t="shared" si="975"/>
        <v>1829763.9804878111</v>
      </c>
      <c r="R413">
        <f t="shared" si="976"/>
        <v>-60342611.39202708</v>
      </c>
      <c r="S413">
        <f t="shared" si="977"/>
        <v>-603.42611392027084</v>
      </c>
      <c r="T413">
        <f t="shared" si="978"/>
        <v>-0.60342611392027079</v>
      </c>
    </row>
    <row r="414" spans="1:20" x14ac:dyDescent="0.25">
      <c r="A414" s="5">
        <v>44179</v>
      </c>
      <c r="B414">
        <v>1.0691999999999999</v>
      </c>
      <c r="C414">
        <v>1.0721000000000001</v>
      </c>
      <c r="D414">
        <v>1.0325</v>
      </c>
      <c r="E414">
        <v>1.0591999999999999</v>
      </c>
      <c r="F414">
        <v>1049978.9099999999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0.34848484848484307</v>
      </c>
      <c r="Q414">
        <f t="shared" si="975"/>
        <v>365901.74136363063</v>
      </c>
      <c r="R414">
        <f t="shared" si="976"/>
        <v>-62172375.372514889</v>
      </c>
      <c r="S414">
        <f t="shared" si="977"/>
        <v>-621.72375372514887</v>
      </c>
      <c r="T414">
        <f t="shared" si="978"/>
        <v>-0.62172375372514888</v>
      </c>
    </row>
    <row r="415" spans="1:20" x14ac:dyDescent="0.25">
      <c r="A415" s="5">
        <v>44178</v>
      </c>
      <c r="B415">
        <v>1.0511999999999999</v>
      </c>
      <c r="C415">
        <v>1.0903</v>
      </c>
      <c r="D415">
        <v>1.03</v>
      </c>
      <c r="E415">
        <v>1.0709</v>
      </c>
      <c r="F415">
        <v>1420425.02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0.35655058043117488</v>
      </c>
      <c r="Q415">
        <f t="shared" si="975"/>
        <v>506453.36533996317</v>
      </c>
      <c r="R415">
        <f t="shared" si="976"/>
        <v>-62538277.113878518</v>
      </c>
      <c r="S415">
        <f t="shared" si="977"/>
        <v>-625.38277113878519</v>
      </c>
      <c r="T415">
        <f t="shared" si="978"/>
        <v>-0.62538277113878515</v>
      </c>
    </row>
    <row r="416" spans="1:20" x14ac:dyDescent="0.25">
      <c r="A416" s="5">
        <v>44177</v>
      </c>
      <c r="B416">
        <v>1.0204</v>
      </c>
      <c r="C416">
        <v>1.0687</v>
      </c>
      <c r="D416">
        <v>1.0170999999999999</v>
      </c>
      <c r="E416">
        <v>1.0505</v>
      </c>
      <c r="F416">
        <v>1306216.8799999999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0.29457364341085418</v>
      </c>
      <c r="Q416">
        <f t="shared" si="975"/>
        <v>384777.06542635849</v>
      </c>
      <c r="R416">
        <f t="shared" si="976"/>
        <v>-63044730.479218483</v>
      </c>
      <c r="S416">
        <f t="shared" si="977"/>
        <v>-630.44730479218481</v>
      </c>
      <c r="T416">
        <f t="shared" si="978"/>
        <v>-0.6304473047921848</v>
      </c>
    </row>
    <row r="417" spans="1:20" x14ac:dyDescent="0.25">
      <c r="A417" s="5">
        <v>44176</v>
      </c>
      <c r="B417">
        <v>1.0497000000000001</v>
      </c>
      <c r="C417">
        <v>1.0531999999999999</v>
      </c>
      <c r="D417">
        <v>0.9768</v>
      </c>
      <c r="E417">
        <v>1.0198</v>
      </c>
      <c r="F417">
        <v>2374512.6400000001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0.1256544502617824</v>
      </c>
      <c r="Q417">
        <f t="shared" si="975"/>
        <v>298368.08041885361</v>
      </c>
      <c r="R417">
        <f t="shared" si="976"/>
        <v>-63429507.54464484</v>
      </c>
      <c r="S417">
        <f t="shared" si="977"/>
        <v>-634.29507544644844</v>
      </c>
      <c r="T417">
        <f t="shared" si="978"/>
        <v>-0.63429507544644848</v>
      </c>
    </row>
    <row r="418" spans="1:20" x14ac:dyDescent="0.25">
      <c r="A418" s="5">
        <v>44175</v>
      </c>
      <c r="B418">
        <v>1.0976999999999999</v>
      </c>
      <c r="C418">
        <v>1.1040000000000001</v>
      </c>
      <c r="D418">
        <v>1.018</v>
      </c>
      <c r="E418">
        <v>1.0496000000000001</v>
      </c>
      <c r="F418">
        <v>1783359.36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-0.26511627906976643</v>
      </c>
      <c r="Q418">
        <f t="shared" si="975"/>
        <v>-472797.59776744008</v>
      </c>
      <c r="R418">
        <f t="shared" si="976"/>
        <v>-63727875.625063695</v>
      </c>
      <c r="S418">
        <f t="shared" si="977"/>
        <v>-637.278756250637</v>
      </c>
      <c r="T418">
        <f t="shared" si="978"/>
        <v>-0.63727875625063701</v>
      </c>
    </row>
    <row r="419" spans="1:20" x14ac:dyDescent="0.25">
      <c r="A419" s="5">
        <v>44174</v>
      </c>
      <c r="B419">
        <v>1.073</v>
      </c>
      <c r="C419">
        <v>1.1065</v>
      </c>
      <c r="D419">
        <v>1.0353000000000001</v>
      </c>
      <c r="E419">
        <v>1.0978000000000001</v>
      </c>
      <c r="F419">
        <v>3889470.65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0.75561797752809157</v>
      </c>
      <c r="Q419">
        <f t="shared" si="975"/>
        <v>2938953.9462078717</v>
      </c>
      <c r="R419">
        <f t="shared" si="976"/>
        <v>-63255078.027296253</v>
      </c>
      <c r="S419">
        <f t="shared" si="977"/>
        <v>-632.55078027296247</v>
      </c>
      <c r="T419">
        <f t="shared" si="978"/>
        <v>-0.63255078027296252</v>
      </c>
    </row>
    <row r="420" spans="1:20" x14ac:dyDescent="0.25">
      <c r="A420" s="5">
        <v>44173</v>
      </c>
      <c r="B420">
        <v>1.1855</v>
      </c>
      <c r="C420">
        <v>1.2330000000000001</v>
      </c>
      <c r="D420">
        <v>1.0618000000000001</v>
      </c>
      <c r="E420">
        <v>1.0747</v>
      </c>
      <c r="F420">
        <v>5127227.18</v>
      </c>
      <c r="G420">
        <v>0</v>
      </c>
      <c r="L420" t="s">
        <v>8</v>
      </c>
      <c r="M420" t="s">
        <v>7</v>
      </c>
      <c r="N420" t="s">
        <v>8</v>
      </c>
      <c r="P420">
        <f t="shared" si="974"/>
        <v>-0.84929906542056177</v>
      </c>
      <c r="Q420">
        <f t="shared" si="975"/>
        <v>-4354549.2521729022</v>
      </c>
      <c r="R420">
        <f t="shared" si="976"/>
        <v>-66194031.973504126</v>
      </c>
      <c r="S420">
        <f t="shared" si="977"/>
        <v>-661.94031973504127</v>
      </c>
      <c r="T420">
        <f t="shared" si="978"/>
        <v>-0.6619403197350413</v>
      </c>
    </row>
    <row r="421" spans="1:20" x14ac:dyDescent="0.25">
      <c r="A421" s="5">
        <v>44172</v>
      </c>
      <c r="B421">
        <v>1.1527000000000001</v>
      </c>
      <c r="C421">
        <v>1.1987000000000001</v>
      </c>
      <c r="D421">
        <v>1.1209</v>
      </c>
      <c r="E421">
        <v>1.1858</v>
      </c>
      <c r="F421">
        <v>2282576.92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0.66838046272493268</v>
      </c>
      <c r="Q421">
        <f t="shared" si="975"/>
        <v>1525629.8179948516</v>
      </c>
      <c r="R421">
        <f t="shared" si="976"/>
        <v>-61839482.721331224</v>
      </c>
      <c r="S421">
        <f t="shared" si="977"/>
        <v>-618.39482721331228</v>
      </c>
      <c r="T421">
        <f t="shared" si="978"/>
        <v>-0.61839482721331229</v>
      </c>
    </row>
    <row r="422" spans="1:20" x14ac:dyDescent="0.25">
      <c r="A422" s="5">
        <v>44171</v>
      </c>
      <c r="B422">
        <v>1.1769000000000001</v>
      </c>
      <c r="C422">
        <v>1.1849000000000001</v>
      </c>
      <c r="D422">
        <v>1.1120000000000001</v>
      </c>
      <c r="E422">
        <v>1.1512</v>
      </c>
      <c r="F422">
        <v>1461635.52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7.5445816186554743E-2</v>
      </c>
      <c r="Q422">
        <f t="shared" si="975"/>
        <v>110274.28477365935</v>
      </c>
      <c r="R422">
        <f t="shared" si="976"/>
        <v>-63365112.539326072</v>
      </c>
      <c r="S422">
        <f t="shared" si="977"/>
        <v>-633.65112539326071</v>
      </c>
      <c r="T422">
        <f t="shared" si="978"/>
        <v>-0.63365112539326074</v>
      </c>
    </row>
    <row r="423" spans="1:20" x14ac:dyDescent="0.25">
      <c r="A423" s="5">
        <v>44170</v>
      </c>
      <c r="B423">
        <v>1.1140000000000001</v>
      </c>
      <c r="C423">
        <v>1.1950000000000001</v>
      </c>
      <c r="D423">
        <v>1.1000000000000001</v>
      </c>
      <c r="E423">
        <v>1.1778</v>
      </c>
      <c r="F423">
        <v>1914627.79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0.63789473684210296</v>
      </c>
      <c r="Q423">
        <f t="shared" si="975"/>
        <v>1221330.9902526273</v>
      </c>
      <c r="R423">
        <f t="shared" si="976"/>
        <v>-63475386.824099734</v>
      </c>
      <c r="S423">
        <f t="shared" si="977"/>
        <v>-634.75386824099735</v>
      </c>
      <c r="T423">
        <f t="shared" si="978"/>
        <v>-0.63475386824099733</v>
      </c>
    </row>
    <row r="424" spans="1:20" x14ac:dyDescent="0.25">
      <c r="A424" s="5">
        <v>44169</v>
      </c>
      <c r="B424">
        <v>1.2455000000000001</v>
      </c>
      <c r="C424">
        <v>1.2574000000000001</v>
      </c>
      <c r="D424">
        <v>1.1026</v>
      </c>
      <c r="E424">
        <v>1.1147</v>
      </c>
      <c r="F424">
        <v>3414799.17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-0.84366925064599485</v>
      </c>
      <c r="Q424">
        <f t="shared" si="975"/>
        <v>-2880961.0568604651</v>
      </c>
      <c r="R424">
        <f t="shared" si="976"/>
        <v>-64696717.814352363</v>
      </c>
      <c r="S424">
        <f t="shared" si="977"/>
        <v>-646.9671781435236</v>
      </c>
      <c r="T424">
        <f t="shared" si="978"/>
        <v>-0.64696717814352356</v>
      </c>
    </row>
    <row r="425" spans="1:20" x14ac:dyDescent="0.25">
      <c r="A425" s="5">
        <v>44168</v>
      </c>
      <c r="B425">
        <v>1.2121</v>
      </c>
      <c r="C425">
        <v>1.2626999999999999</v>
      </c>
      <c r="D425">
        <v>1.1820999999999999</v>
      </c>
      <c r="E425">
        <v>1.2484999999999999</v>
      </c>
      <c r="F425">
        <v>3170969.1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0.64764267990074464</v>
      </c>
      <c r="Q425">
        <f t="shared" si="975"/>
        <v>2053654.9258064523</v>
      </c>
      <c r="R425">
        <f t="shared" si="976"/>
        <v>-61815756.757491902</v>
      </c>
      <c r="S425">
        <f t="shared" si="977"/>
        <v>-618.15756757491897</v>
      </c>
      <c r="T425">
        <f t="shared" si="978"/>
        <v>-0.61815756757491902</v>
      </c>
    </row>
    <row r="426" spans="1:20" x14ac:dyDescent="0.25">
      <c r="A426" s="5">
        <v>44167</v>
      </c>
      <c r="B426">
        <v>1.2015</v>
      </c>
      <c r="C426">
        <v>1.2844</v>
      </c>
      <c r="D426">
        <v>1.1695</v>
      </c>
      <c r="E426">
        <v>1.2135</v>
      </c>
      <c r="F426">
        <v>5817064.7400000002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-0.23411662315056506</v>
      </c>
      <c r="Q426">
        <f t="shared" si="975"/>
        <v>-1361871.5535770198</v>
      </c>
      <c r="R426">
        <f t="shared" si="976"/>
        <v>-63869411.683298357</v>
      </c>
      <c r="S426">
        <f t="shared" si="977"/>
        <v>-638.69411683298358</v>
      </c>
      <c r="T426">
        <f t="shared" si="978"/>
        <v>-0.6386941168329836</v>
      </c>
    </row>
    <row r="427" spans="1:20" x14ac:dyDescent="0.25">
      <c r="A427" s="5">
        <v>44166</v>
      </c>
      <c r="B427">
        <v>1.0651999999999999</v>
      </c>
      <c r="C427">
        <v>1.35</v>
      </c>
      <c r="D427">
        <v>1.0563</v>
      </c>
      <c r="E427">
        <v>1.2033</v>
      </c>
      <c r="F427">
        <v>13821133.380000001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1.0214504596525941E-3</v>
      </c>
      <c r="Q427">
        <f t="shared" si="975"/>
        <v>14117.603043920813</v>
      </c>
      <c r="R427">
        <f t="shared" si="976"/>
        <v>-62507540.129721336</v>
      </c>
      <c r="S427">
        <f t="shared" si="977"/>
        <v>-625.07540129721338</v>
      </c>
      <c r="T427">
        <f t="shared" si="978"/>
        <v>-0.6250754012972134</v>
      </c>
    </row>
    <row r="428" spans="1:20" x14ac:dyDescent="0.25">
      <c r="A428" s="5">
        <v>44165</v>
      </c>
      <c r="B428">
        <v>1.0313000000000001</v>
      </c>
      <c r="C428">
        <v>1.1000000000000001</v>
      </c>
      <c r="D428">
        <v>1.0082</v>
      </c>
      <c r="E428">
        <v>1.0651999999999999</v>
      </c>
      <c r="F428">
        <v>2822457.01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0.24183006535947441</v>
      </c>
      <c r="Q428">
        <f t="shared" si="975"/>
        <v>682554.96320260665</v>
      </c>
      <c r="R428">
        <f t="shared" si="976"/>
        <v>-62521657.732765257</v>
      </c>
      <c r="S428">
        <f t="shared" si="977"/>
        <v>-625.21657732765254</v>
      </c>
      <c r="T428">
        <f t="shared" si="978"/>
        <v>-0.62521657732765257</v>
      </c>
    </row>
    <row r="429" spans="1:20" x14ac:dyDescent="0.25">
      <c r="A429" s="5">
        <v>44164</v>
      </c>
      <c r="B429">
        <v>1.0141</v>
      </c>
      <c r="C429">
        <v>1.0366</v>
      </c>
      <c r="D429">
        <v>0.99380000000000002</v>
      </c>
      <c r="E429">
        <v>1.0313000000000001</v>
      </c>
      <c r="F429">
        <v>959397.4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0.75233644859813709</v>
      </c>
      <c r="Q429">
        <f t="shared" si="975"/>
        <v>721789.63271028642</v>
      </c>
      <c r="R429">
        <f t="shared" si="976"/>
        <v>-63204212.695967861</v>
      </c>
      <c r="S429">
        <f t="shared" si="977"/>
        <v>-632.04212695967863</v>
      </c>
      <c r="T429">
        <f t="shared" si="978"/>
        <v>-0.63204212695967865</v>
      </c>
    </row>
    <row r="430" spans="1:20" x14ac:dyDescent="0.25">
      <c r="A430" s="5">
        <v>44163</v>
      </c>
      <c r="B430">
        <v>0.99760000000000004</v>
      </c>
      <c r="C430">
        <v>1.0361</v>
      </c>
      <c r="D430">
        <v>0.9617</v>
      </c>
      <c r="E430">
        <v>1.014</v>
      </c>
      <c r="F430">
        <v>1470791.66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0.40591397849462357</v>
      </c>
      <c r="Q430">
        <f t="shared" si="975"/>
        <v>597014.89424731163</v>
      </c>
      <c r="R430">
        <f t="shared" si="976"/>
        <v>-63926002.328678146</v>
      </c>
      <c r="S430">
        <f t="shared" si="977"/>
        <v>-639.26002328678146</v>
      </c>
      <c r="T430">
        <f t="shared" si="978"/>
        <v>-0.63926002328678144</v>
      </c>
    </row>
    <row r="431" spans="1:20" x14ac:dyDescent="0.25">
      <c r="A431" s="5">
        <v>44162</v>
      </c>
      <c r="B431">
        <v>1.0291999999999999</v>
      </c>
      <c r="C431">
        <v>1.0454000000000001</v>
      </c>
      <c r="D431">
        <v>0.95730000000000004</v>
      </c>
      <c r="E431">
        <v>0.99719999999999998</v>
      </c>
      <c r="F431">
        <v>2352637.35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-9.4211123723044146E-2</v>
      </c>
      <c r="Q431">
        <f t="shared" si="975"/>
        <v>-221644.60845630473</v>
      </c>
      <c r="R431">
        <f t="shared" si="976"/>
        <v>-64523017.222925454</v>
      </c>
      <c r="S431">
        <f t="shared" si="977"/>
        <v>-645.23017222925455</v>
      </c>
      <c r="T431">
        <f t="shared" si="978"/>
        <v>-0.64523017222925449</v>
      </c>
    </row>
    <row r="432" spans="1:20" x14ac:dyDescent="0.25">
      <c r="A432" s="5">
        <v>44161</v>
      </c>
      <c r="B432">
        <v>1.155</v>
      </c>
      <c r="C432">
        <v>1.1763999999999999</v>
      </c>
      <c r="D432">
        <v>0.92</v>
      </c>
      <c r="E432">
        <v>1.0285</v>
      </c>
      <c r="F432">
        <v>7031547.6299999999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-0.15366614664586589</v>
      </c>
      <c r="Q432">
        <f t="shared" si="975"/>
        <v>-1080510.8292589707</v>
      </c>
      <c r="R432">
        <f t="shared" si="976"/>
        <v>-64301372.614469148</v>
      </c>
      <c r="S432">
        <f t="shared" si="977"/>
        <v>-643.01372614469153</v>
      </c>
      <c r="T432">
        <f t="shared" si="978"/>
        <v>-0.64301372614469154</v>
      </c>
    </row>
    <row r="433" spans="1:20" x14ac:dyDescent="0.25">
      <c r="A433" s="5">
        <v>44160</v>
      </c>
      <c r="B433">
        <v>1.23</v>
      </c>
      <c r="C433">
        <v>1.2701</v>
      </c>
      <c r="D433">
        <v>1.1133999999999999</v>
      </c>
      <c r="E433">
        <v>1.1556999999999999</v>
      </c>
      <c r="F433">
        <v>5295717.09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-0.46011486917677108</v>
      </c>
      <c r="Q433">
        <f t="shared" si="975"/>
        <v>-2436638.1760625406</v>
      </c>
      <c r="R433">
        <f t="shared" si="976"/>
        <v>-63220861.785210177</v>
      </c>
      <c r="S433">
        <f t="shared" si="977"/>
        <v>-632.20861785210172</v>
      </c>
      <c r="T433">
        <f t="shared" si="978"/>
        <v>-0.6322086178521017</v>
      </c>
    </row>
    <row r="434" spans="1:20" x14ac:dyDescent="0.25">
      <c r="A434" s="5">
        <v>44159</v>
      </c>
      <c r="B434">
        <v>1.2833000000000001</v>
      </c>
      <c r="C434">
        <v>1.3367</v>
      </c>
      <c r="D434">
        <v>1.1924999999999999</v>
      </c>
      <c r="E434">
        <v>1.23</v>
      </c>
      <c r="F434">
        <v>6508795.7599999998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-0.47988904299583829</v>
      </c>
      <c r="Q434">
        <f t="shared" si="975"/>
        <v>-3123499.7683217698</v>
      </c>
      <c r="R434">
        <f t="shared" si="976"/>
        <v>-60784223.609147638</v>
      </c>
      <c r="S434">
        <f t="shared" si="977"/>
        <v>-607.84223609147637</v>
      </c>
      <c r="T434">
        <f t="shared" si="978"/>
        <v>-0.60784223609147636</v>
      </c>
    </row>
    <row r="435" spans="1:20" x14ac:dyDescent="0.25">
      <c r="A435" s="5">
        <v>44158</v>
      </c>
      <c r="B435">
        <v>1.1871</v>
      </c>
      <c r="C435">
        <v>1.361</v>
      </c>
      <c r="D435">
        <v>1.1625000000000001</v>
      </c>
      <c r="E435">
        <v>1.2863</v>
      </c>
      <c r="F435">
        <v>6798182.2699999996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0.24735516372795943</v>
      </c>
      <c r="Q435">
        <f t="shared" si="975"/>
        <v>1681565.4884483607</v>
      </c>
      <c r="R435">
        <f t="shared" si="976"/>
        <v>-57660723.840825871</v>
      </c>
      <c r="S435">
        <f t="shared" si="977"/>
        <v>-576.6072384082587</v>
      </c>
      <c r="T435">
        <f t="shared" si="978"/>
        <v>-0.57660723840825867</v>
      </c>
    </row>
    <row r="436" spans="1:20" x14ac:dyDescent="0.25">
      <c r="A436" s="5">
        <v>44157</v>
      </c>
      <c r="B436">
        <v>1.2578</v>
      </c>
      <c r="C436">
        <v>1.2692000000000001</v>
      </c>
      <c r="D436">
        <v>1.1212</v>
      </c>
      <c r="E436">
        <v>1.1872</v>
      </c>
      <c r="F436">
        <v>4845861.63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-0.10810810810810811</v>
      </c>
      <c r="Q436">
        <f t="shared" si="975"/>
        <v>-523876.93297297298</v>
      </c>
      <c r="R436">
        <f t="shared" si="976"/>
        <v>-59342289.32927423</v>
      </c>
      <c r="S436">
        <f t="shared" si="977"/>
        <v>-593.42289329274229</v>
      </c>
      <c r="T436">
        <f t="shared" si="978"/>
        <v>-0.59342289329274234</v>
      </c>
    </row>
    <row r="437" spans="1:20" x14ac:dyDescent="0.25">
      <c r="A437" s="5">
        <v>44156</v>
      </c>
      <c r="B437">
        <v>1.1434</v>
      </c>
      <c r="C437">
        <v>1.2775000000000001</v>
      </c>
      <c r="D437">
        <v>1.121</v>
      </c>
      <c r="E437">
        <v>1.2583</v>
      </c>
      <c r="F437">
        <v>5221455.1900000004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0.75463258785942366</v>
      </c>
      <c r="Q437">
        <f t="shared" si="975"/>
        <v>3940280.2424217188</v>
      </c>
      <c r="R437">
        <f t="shared" si="976"/>
        <v>-58818412.396301255</v>
      </c>
      <c r="S437">
        <f t="shared" si="977"/>
        <v>-588.18412396301255</v>
      </c>
      <c r="T437">
        <f t="shared" si="978"/>
        <v>-0.58818412396301256</v>
      </c>
    </row>
    <row r="438" spans="1:20" x14ac:dyDescent="0.25">
      <c r="A438" s="5">
        <v>44155</v>
      </c>
      <c r="B438">
        <v>1.1158999999999999</v>
      </c>
      <c r="C438">
        <v>1.2170000000000001</v>
      </c>
      <c r="D438">
        <v>1.1105</v>
      </c>
      <c r="E438">
        <v>1.1404000000000001</v>
      </c>
      <c r="F438">
        <v>3476097.89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-0.43849765258215911</v>
      </c>
      <c r="Q438">
        <f t="shared" si="975"/>
        <v>-1524260.7649107964</v>
      </c>
      <c r="R438">
        <f t="shared" si="976"/>
        <v>-62758692.638722971</v>
      </c>
      <c r="S438">
        <f t="shared" si="977"/>
        <v>-627.58692638722971</v>
      </c>
      <c r="T438">
        <f t="shared" si="978"/>
        <v>-0.62758692638722968</v>
      </c>
    </row>
    <row r="439" spans="1:20" x14ac:dyDescent="0.25">
      <c r="A439" s="5">
        <v>44154</v>
      </c>
      <c r="B439">
        <v>1.1327</v>
      </c>
      <c r="C439">
        <v>1.1680999999999999</v>
      </c>
      <c r="D439">
        <v>1.0742</v>
      </c>
      <c r="E439">
        <v>1.1157999999999999</v>
      </c>
      <c r="F439">
        <v>3264216.34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-0.11395101171459178</v>
      </c>
      <c r="Q439">
        <f t="shared" si="975"/>
        <v>-371960.75439830188</v>
      </c>
      <c r="R439">
        <f t="shared" si="976"/>
        <v>-61234431.873812176</v>
      </c>
      <c r="S439">
        <f t="shared" si="977"/>
        <v>-612.34431873812173</v>
      </c>
      <c r="T439">
        <f t="shared" si="978"/>
        <v>-0.61234431873812167</v>
      </c>
    </row>
    <row r="440" spans="1:20" x14ac:dyDescent="0.25">
      <c r="A440" s="5">
        <v>44153</v>
      </c>
      <c r="B440">
        <v>1.2438</v>
      </c>
      <c r="C440">
        <v>1.2678</v>
      </c>
      <c r="D440">
        <v>1.0823</v>
      </c>
      <c r="E440">
        <v>1.1298999999999999</v>
      </c>
      <c r="F440">
        <v>4637087.3499999996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-0.48679245283019013</v>
      </c>
      <c r="Q440">
        <f t="shared" si="975"/>
        <v>-2257299.1250943462</v>
      </c>
      <c r="R440">
        <f t="shared" si="976"/>
        <v>-60862471.119413875</v>
      </c>
      <c r="S440">
        <f t="shared" si="977"/>
        <v>-608.62471119413874</v>
      </c>
      <c r="T440">
        <f t="shared" si="978"/>
        <v>-0.60862471119413875</v>
      </c>
    </row>
    <row r="441" spans="1:20" x14ac:dyDescent="0.25">
      <c r="A441" s="5">
        <v>44152</v>
      </c>
      <c r="B441">
        <v>1.2622</v>
      </c>
      <c r="C441">
        <v>1.3041</v>
      </c>
      <c r="D441">
        <v>1.1611</v>
      </c>
      <c r="E441">
        <v>1.2423999999999999</v>
      </c>
      <c r="F441">
        <v>4995049.9400000004</v>
      </c>
      <c r="G441">
        <v>0</v>
      </c>
      <c r="L441" t="s">
        <v>7</v>
      </c>
      <c r="M441" t="s">
        <v>8</v>
      </c>
      <c r="N441" t="s">
        <v>8</v>
      </c>
      <c r="P441">
        <f t="shared" si="974"/>
        <v>0.13706293706293593</v>
      </c>
      <c r="Q441">
        <f t="shared" si="975"/>
        <v>684636.21555244189</v>
      </c>
      <c r="R441">
        <f t="shared" si="976"/>
        <v>-58605171.994319528</v>
      </c>
      <c r="S441">
        <f t="shared" si="977"/>
        <v>-586.05171994319528</v>
      </c>
      <c r="T441">
        <f t="shared" si="978"/>
        <v>-0.58605171994319527</v>
      </c>
    </row>
    <row r="442" spans="1:20" x14ac:dyDescent="0.25">
      <c r="A442" s="5">
        <v>44151</v>
      </c>
      <c r="B442">
        <v>1.1883999999999999</v>
      </c>
      <c r="C442">
        <v>1.3579000000000001</v>
      </c>
      <c r="D442">
        <v>1.1575</v>
      </c>
      <c r="E442">
        <v>1.2637</v>
      </c>
      <c r="F442">
        <v>9061012.1400000006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5.9880239520958098E-2</v>
      </c>
      <c r="Q442">
        <f t="shared" si="975"/>
        <v>542575.57724550914</v>
      </c>
      <c r="R442">
        <f t="shared" si="976"/>
        <v>-59289808.20987197</v>
      </c>
      <c r="S442">
        <f t="shared" si="977"/>
        <v>-592.89808209871967</v>
      </c>
      <c r="T442">
        <f t="shared" si="978"/>
        <v>-0.59289808209871964</v>
      </c>
    </row>
    <row r="443" spans="1:20" x14ac:dyDescent="0.25">
      <c r="A443" s="5">
        <v>44150</v>
      </c>
      <c r="B443">
        <v>1.0339</v>
      </c>
      <c r="C443">
        <v>1.196</v>
      </c>
      <c r="D443">
        <v>1.0329999999999999</v>
      </c>
      <c r="E443">
        <v>1.1859999999999999</v>
      </c>
      <c r="F443">
        <v>5887785.6699999999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0.87730061349693245</v>
      </c>
      <c r="Q443">
        <f t="shared" si="975"/>
        <v>5165357.9804294473</v>
      </c>
      <c r="R443">
        <f t="shared" si="976"/>
        <v>-59832383.787117481</v>
      </c>
      <c r="S443">
        <f t="shared" si="977"/>
        <v>-598.32383787117476</v>
      </c>
      <c r="T443">
        <f t="shared" si="978"/>
        <v>-0.59832383787117471</v>
      </c>
    </row>
    <row r="444" spans="1:20" x14ac:dyDescent="0.25">
      <c r="A444" s="5">
        <v>44149</v>
      </c>
      <c r="B444">
        <v>1.0729</v>
      </c>
      <c r="C444">
        <v>1.0826</v>
      </c>
      <c r="D444">
        <v>1.0009999999999999</v>
      </c>
      <c r="E444">
        <v>1.0347</v>
      </c>
      <c r="F444">
        <v>2661588.4300000002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-0.17401960784313689</v>
      </c>
      <c r="Q444">
        <f t="shared" si="975"/>
        <v>-463168.57482843043</v>
      </c>
      <c r="R444">
        <f t="shared" si="976"/>
        <v>-64997741.767546929</v>
      </c>
      <c r="S444">
        <f t="shared" si="977"/>
        <v>-649.97741767546927</v>
      </c>
      <c r="T444">
        <f t="shared" si="978"/>
        <v>-0.64997741767546924</v>
      </c>
    </row>
    <row r="445" spans="1:20" x14ac:dyDescent="0.25">
      <c r="A445" s="5">
        <v>44148</v>
      </c>
      <c r="B445">
        <v>1.0369999999999999</v>
      </c>
      <c r="C445">
        <v>1.0994999999999999</v>
      </c>
      <c r="D445">
        <v>1.0307999999999999</v>
      </c>
      <c r="E445">
        <v>1.0716000000000001</v>
      </c>
      <c r="F445">
        <v>2457608.2000000002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0.18777292576419735</v>
      </c>
      <c r="Q445">
        <f t="shared" si="975"/>
        <v>461472.28209608269</v>
      </c>
      <c r="R445">
        <f t="shared" si="976"/>
        <v>-64534573.192718498</v>
      </c>
      <c r="S445">
        <f t="shared" si="977"/>
        <v>-645.34573192718494</v>
      </c>
      <c r="T445">
        <f t="shared" si="978"/>
        <v>-0.64534573192718492</v>
      </c>
    </row>
    <row r="446" spans="1:20" x14ac:dyDescent="0.25">
      <c r="A446" s="5">
        <v>44147</v>
      </c>
      <c r="B446">
        <v>1.0964</v>
      </c>
      <c r="C446">
        <v>1.1251</v>
      </c>
      <c r="D446">
        <v>1.01</v>
      </c>
      <c r="E446">
        <v>1.0369999999999999</v>
      </c>
      <c r="F446">
        <v>2346672.2400000002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-0.53084274543875032</v>
      </c>
      <c r="Q446">
        <f t="shared" si="975"/>
        <v>-1245713.9345265022</v>
      </c>
      <c r="R446">
        <f t="shared" si="976"/>
        <v>-64996045.474814579</v>
      </c>
      <c r="S446">
        <f t="shared" si="977"/>
        <v>-649.96045474814582</v>
      </c>
      <c r="T446">
        <f t="shared" si="978"/>
        <v>-0.64996045474814579</v>
      </c>
    </row>
    <row r="447" spans="1:20" x14ac:dyDescent="0.25">
      <c r="A447" s="5">
        <v>44146</v>
      </c>
      <c r="B447">
        <v>1.1813</v>
      </c>
      <c r="C447">
        <v>1.2040999999999999</v>
      </c>
      <c r="D447">
        <v>1.0824</v>
      </c>
      <c r="E447">
        <v>1.0972999999999999</v>
      </c>
      <c r="F447">
        <v>3211030.24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-0.75513557929334552</v>
      </c>
      <c r="Q447">
        <f t="shared" si="975"/>
        <v>-2424763.1804108503</v>
      </c>
      <c r="R447">
        <f t="shared" si="976"/>
        <v>-63750331.540288076</v>
      </c>
      <c r="S447">
        <f t="shared" si="977"/>
        <v>-637.50331540288073</v>
      </c>
      <c r="T447">
        <f t="shared" si="978"/>
        <v>-0.63750331540288074</v>
      </c>
    </row>
    <row r="448" spans="1:20" x14ac:dyDescent="0.25">
      <c r="A448" s="5">
        <v>44145</v>
      </c>
      <c r="B448">
        <v>1.0311999999999999</v>
      </c>
      <c r="C448">
        <v>1.2317</v>
      </c>
      <c r="D448">
        <v>1.0187999999999999</v>
      </c>
      <c r="E448">
        <v>1.1801999999999999</v>
      </c>
      <c r="F448">
        <v>4497828.1900000004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0.51620479098168082</v>
      </c>
      <c r="Q448">
        <f t="shared" si="975"/>
        <v>2321800.460690462</v>
      </c>
      <c r="R448">
        <f t="shared" si="976"/>
        <v>-61325568.359877229</v>
      </c>
      <c r="S448">
        <f t="shared" si="977"/>
        <v>-613.25568359877229</v>
      </c>
      <c r="T448">
        <f t="shared" si="978"/>
        <v>-0.61325568359877225</v>
      </c>
    </row>
    <row r="449" spans="1:20" x14ac:dyDescent="0.25">
      <c r="A449" s="5">
        <v>44144</v>
      </c>
      <c r="B449">
        <v>1.1133</v>
      </c>
      <c r="C449">
        <v>1.1274999999999999</v>
      </c>
      <c r="D449">
        <v>1.0049999999999999</v>
      </c>
      <c r="E449">
        <v>1.0278</v>
      </c>
      <c r="F449">
        <v>2097476.87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-0.62775510204081397</v>
      </c>
      <c r="Q449">
        <f t="shared" si="975"/>
        <v>-1316701.8065550972</v>
      </c>
      <c r="R449">
        <f t="shared" si="976"/>
        <v>-63647368.82056769</v>
      </c>
      <c r="S449">
        <f t="shared" si="977"/>
        <v>-636.47368820567692</v>
      </c>
      <c r="T449">
        <f t="shared" si="978"/>
        <v>-0.63647368820567696</v>
      </c>
    </row>
    <row r="450" spans="1:20" x14ac:dyDescent="0.25">
      <c r="A450" s="5">
        <v>44143</v>
      </c>
      <c r="B450">
        <v>1.0739000000000001</v>
      </c>
      <c r="C450">
        <v>1.1397999999999999</v>
      </c>
      <c r="D450">
        <v>1.028</v>
      </c>
      <c r="E450">
        <v>1.1141000000000001</v>
      </c>
      <c r="F450">
        <v>3010843.6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0.54025044722719395</v>
      </c>
      <c r="Q450">
        <f t="shared" si="975"/>
        <v>1626609.6014311346</v>
      </c>
      <c r="R450">
        <f t="shared" si="976"/>
        <v>-62330667.01401259</v>
      </c>
      <c r="S450">
        <f t="shared" si="977"/>
        <v>-623.3066701401259</v>
      </c>
      <c r="T450">
        <f t="shared" si="978"/>
        <v>-0.62330667014012586</v>
      </c>
    </row>
    <row r="451" spans="1:20" x14ac:dyDescent="0.25">
      <c r="A451" s="5">
        <v>44142</v>
      </c>
      <c r="B451">
        <v>0.99509999999999998</v>
      </c>
      <c r="C451">
        <v>1.2015</v>
      </c>
      <c r="D451">
        <v>0.99509999999999998</v>
      </c>
      <c r="E451">
        <v>1.0754999999999999</v>
      </c>
      <c r="F451">
        <v>7961636.6399999997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-0.22093023255814045</v>
      </c>
      <c r="Q451">
        <f t="shared" si="975"/>
        <v>-1758966.234418612</v>
      </c>
      <c r="R451">
        <f t="shared" si="976"/>
        <v>-63957276.615443721</v>
      </c>
      <c r="S451">
        <f t="shared" si="977"/>
        <v>-639.5727661544372</v>
      </c>
      <c r="T451">
        <f t="shared" si="978"/>
        <v>-0.63957276615443726</v>
      </c>
    </row>
    <row r="452" spans="1:20" x14ac:dyDescent="0.25">
      <c r="A452" s="5">
        <v>44141</v>
      </c>
      <c r="B452">
        <v>0.86260000000000003</v>
      </c>
      <c r="C452">
        <v>1.0082</v>
      </c>
      <c r="D452">
        <v>0.86009999999999998</v>
      </c>
      <c r="E452">
        <v>0.995</v>
      </c>
      <c r="F452">
        <v>2717655.3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0.82174206617150591</v>
      </c>
      <c r="Q452">
        <f t="shared" si="975"/>
        <v>2233211.6813639435</v>
      </c>
      <c r="R452">
        <f t="shared" si="976"/>
        <v>-62198310.381025106</v>
      </c>
      <c r="S452">
        <f t="shared" si="977"/>
        <v>-621.98310381025101</v>
      </c>
      <c r="T452">
        <f t="shared" si="978"/>
        <v>-0.62198310381025101</v>
      </c>
    </row>
    <row r="453" spans="1:20" x14ac:dyDescent="0.25">
      <c r="A453" s="5">
        <v>44140</v>
      </c>
      <c r="B453">
        <v>0.83179999999999998</v>
      </c>
      <c r="C453">
        <v>0.88200000000000001</v>
      </c>
      <c r="D453">
        <v>0.80420000000000003</v>
      </c>
      <c r="E453">
        <v>0.86260000000000003</v>
      </c>
      <c r="F453">
        <v>1947612.37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0.50128534704370242</v>
      </c>
      <c r="Q453">
        <f t="shared" si="975"/>
        <v>976309.54280205781</v>
      </c>
      <c r="R453">
        <f t="shared" si="976"/>
        <v>-64431522.062389046</v>
      </c>
      <c r="S453">
        <f t="shared" si="977"/>
        <v>-644.31522062389047</v>
      </c>
      <c r="T453">
        <f t="shared" si="978"/>
        <v>-0.64431522062389046</v>
      </c>
    </row>
    <row r="454" spans="1:20" x14ac:dyDescent="0.25">
      <c r="A454" s="5">
        <v>44139</v>
      </c>
      <c r="B454">
        <v>0.85209999999999997</v>
      </c>
      <c r="C454">
        <v>0.85729999999999995</v>
      </c>
      <c r="D454">
        <v>0.7913</v>
      </c>
      <c r="E454">
        <v>0.83189999999999997</v>
      </c>
      <c r="F454">
        <v>1811715.13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0.23030303030303034</v>
      </c>
      <c r="Q454">
        <f t="shared" ref="Q454:Q517" si="980">F454*P454</f>
        <v>417243.48448484851</v>
      </c>
      <c r="R454">
        <f t="shared" ref="R454:R517" si="981">R455+Q454</f>
        <v>-65407831.605191104</v>
      </c>
      <c r="S454">
        <f t="shared" ref="S454:S517" si="982">R454/100000</f>
        <v>-654.07831605191109</v>
      </c>
      <c r="T454">
        <f t="shared" ref="T454:T517" si="983">S454/1000</f>
        <v>-0.65407831605191113</v>
      </c>
    </row>
    <row r="455" spans="1:20" x14ac:dyDescent="0.25">
      <c r="A455" s="5">
        <v>44138</v>
      </c>
      <c r="B455">
        <v>0.93940000000000001</v>
      </c>
      <c r="C455">
        <v>0.93940000000000001</v>
      </c>
      <c r="D455">
        <v>0.84089999999999998</v>
      </c>
      <c r="E455">
        <v>0.85389999999999999</v>
      </c>
      <c r="F455">
        <v>2182804.4300000002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-0.73604060913705571</v>
      </c>
      <c r="Q455">
        <f t="shared" si="980"/>
        <v>-1606632.7022842639</v>
      </c>
      <c r="R455">
        <f t="shared" si="981"/>
        <v>-65825075.089675955</v>
      </c>
      <c r="S455">
        <f t="shared" si="982"/>
        <v>-658.25075089675954</v>
      </c>
      <c r="T455">
        <f t="shared" si="983"/>
        <v>-0.65825075089675955</v>
      </c>
    </row>
    <row r="456" spans="1:20" x14ac:dyDescent="0.25">
      <c r="A456" s="5">
        <v>44137</v>
      </c>
      <c r="B456">
        <v>0.98429999999999995</v>
      </c>
      <c r="C456">
        <v>1.0112000000000001</v>
      </c>
      <c r="D456">
        <v>0.93610000000000004</v>
      </c>
      <c r="E456">
        <v>0.93779999999999997</v>
      </c>
      <c r="F456">
        <v>1253319.27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-0.95472703062583431</v>
      </c>
      <c r="Q456">
        <f t="shared" si="980"/>
        <v>-1196577.7850732384</v>
      </c>
      <c r="R456">
        <f t="shared" si="981"/>
        <v>-64218442.387391694</v>
      </c>
      <c r="S456">
        <f t="shared" si="982"/>
        <v>-642.1844238739169</v>
      </c>
      <c r="T456">
        <f t="shared" si="983"/>
        <v>-0.64218442387391694</v>
      </c>
    </row>
    <row r="457" spans="1:20" x14ac:dyDescent="0.25">
      <c r="A457" s="5">
        <v>44136</v>
      </c>
      <c r="B457">
        <v>0.9768</v>
      </c>
      <c r="C457">
        <v>1.0147999999999999</v>
      </c>
      <c r="D457">
        <v>0.95820000000000005</v>
      </c>
      <c r="E457">
        <v>0.9839</v>
      </c>
      <c r="F457">
        <v>1185173.5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-9.1872791519434518E-2</v>
      </c>
      <c r="Q457">
        <f t="shared" si="980"/>
        <v>-108885.19787985853</v>
      </c>
      <c r="R457">
        <f t="shared" si="981"/>
        <v>-63021864.602318458</v>
      </c>
      <c r="S457">
        <f t="shared" si="982"/>
        <v>-630.21864602318453</v>
      </c>
      <c r="T457">
        <f t="shared" si="983"/>
        <v>-0.63021864602318456</v>
      </c>
    </row>
    <row r="458" spans="1:20" x14ac:dyDescent="0.25">
      <c r="A458" s="5">
        <v>44135</v>
      </c>
      <c r="B458">
        <v>0.98970000000000002</v>
      </c>
      <c r="C458">
        <v>1.0167999999999999</v>
      </c>
      <c r="D458">
        <v>0.96909999999999996</v>
      </c>
      <c r="E458">
        <v>0.97689999999999999</v>
      </c>
      <c r="F458">
        <v>1130512.48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-0.67295597484276581</v>
      </c>
      <c r="Q458">
        <f t="shared" si="980"/>
        <v>-760785.12805031275</v>
      </c>
      <c r="R458">
        <f t="shared" si="981"/>
        <v>-62912979.4044386</v>
      </c>
      <c r="S458">
        <f t="shared" si="982"/>
        <v>-629.12979404438602</v>
      </c>
      <c r="T458">
        <f t="shared" si="983"/>
        <v>-0.62912979404438607</v>
      </c>
    </row>
    <row r="459" spans="1:20" x14ac:dyDescent="0.25">
      <c r="A459" s="5">
        <v>44134</v>
      </c>
      <c r="B459">
        <v>1.026</v>
      </c>
      <c r="C459">
        <v>1.032</v>
      </c>
      <c r="D459">
        <v>0.94569999999999999</v>
      </c>
      <c r="E459">
        <v>0.98919999999999997</v>
      </c>
      <c r="F459">
        <v>2025327.38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8.1112398609492764E-3</v>
      </c>
      <c r="Q459">
        <f t="shared" si="980"/>
        <v>16427.916176127961</v>
      </c>
      <c r="R459">
        <f t="shared" si="981"/>
        <v>-62152194.276388288</v>
      </c>
      <c r="S459">
        <f t="shared" si="982"/>
        <v>-621.52194276388286</v>
      </c>
      <c r="T459">
        <f t="shared" si="983"/>
        <v>-0.62152194276388284</v>
      </c>
    </row>
    <row r="460" spans="1:20" x14ac:dyDescent="0.25">
      <c r="A460" s="5">
        <v>44133</v>
      </c>
      <c r="B460">
        <v>1.0024</v>
      </c>
      <c r="C460">
        <v>1.0746</v>
      </c>
      <c r="D460">
        <v>0.93620000000000003</v>
      </c>
      <c r="E460">
        <v>1.0265</v>
      </c>
      <c r="F460">
        <v>5824346.3700000001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0.30491329479768725</v>
      </c>
      <c r="Q460">
        <f t="shared" si="980"/>
        <v>1775920.6417196495</v>
      </c>
      <c r="R460">
        <f t="shared" si="981"/>
        <v>-62168622.192564413</v>
      </c>
      <c r="S460">
        <f t="shared" si="982"/>
        <v>-621.68622192564408</v>
      </c>
      <c r="T460">
        <f t="shared" si="983"/>
        <v>-0.62168622192564404</v>
      </c>
    </row>
    <row r="461" spans="1:20" x14ac:dyDescent="0.25">
      <c r="A461" s="5">
        <v>44132</v>
      </c>
      <c r="B461">
        <v>1.1094999999999999</v>
      </c>
      <c r="C461">
        <v>1.1826000000000001</v>
      </c>
      <c r="D461">
        <v>0.95479999999999998</v>
      </c>
      <c r="E461">
        <v>1.0046999999999999</v>
      </c>
      <c r="F461">
        <v>8158003.0700000003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-0.56189640035118593</v>
      </c>
      <c r="Q461">
        <f t="shared" si="980"/>
        <v>-4583952.5590869244</v>
      </c>
      <c r="R461">
        <f t="shared" si="981"/>
        <v>-63944542.83428406</v>
      </c>
      <c r="S461">
        <f t="shared" si="982"/>
        <v>-639.44542834284061</v>
      </c>
      <c r="T461">
        <f t="shared" si="983"/>
        <v>-0.63944542834284057</v>
      </c>
    </row>
    <row r="462" spans="1:20" x14ac:dyDescent="0.25">
      <c r="A462" s="5">
        <v>44131</v>
      </c>
      <c r="B462">
        <v>1.0321</v>
      </c>
      <c r="C462">
        <v>1.2471000000000001</v>
      </c>
      <c r="D462">
        <v>0.98960000000000004</v>
      </c>
      <c r="E462">
        <v>1.1087</v>
      </c>
      <c r="F462">
        <v>7953516.4500000002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-7.4951456310679967E-2</v>
      </c>
      <c r="Q462">
        <f t="shared" si="980"/>
        <v>-596127.64071844949</v>
      </c>
      <c r="R462">
        <f t="shared" si="981"/>
        <v>-59360590.275197133</v>
      </c>
      <c r="S462">
        <f t="shared" si="982"/>
        <v>-593.60590275197137</v>
      </c>
      <c r="T462">
        <f t="shared" si="983"/>
        <v>-0.59360590275197134</v>
      </c>
    </row>
    <row r="463" spans="1:20" x14ac:dyDescent="0.25">
      <c r="A463" s="5">
        <v>44130</v>
      </c>
      <c r="B463">
        <v>1.0931999999999999</v>
      </c>
      <c r="C463">
        <v>1.1295999999999999</v>
      </c>
      <c r="D463">
        <v>0.92869999999999997</v>
      </c>
      <c r="E463">
        <v>1.0327999999999999</v>
      </c>
      <c r="F463">
        <v>5488722.1600000001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3.6336485813837603E-2</v>
      </c>
      <c r="Q463">
        <f t="shared" si="980"/>
        <v>199440.87490293611</v>
      </c>
      <c r="R463">
        <f t="shared" si="981"/>
        <v>-58764462.634478681</v>
      </c>
      <c r="S463">
        <f t="shared" si="982"/>
        <v>-587.64462634478684</v>
      </c>
      <c r="T463">
        <f t="shared" si="983"/>
        <v>-0.58764462634478687</v>
      </c>
    </row>
    <row r="464" spans="1:20" x14ac:dyDescent="0.25">
      <c r="A464" s="5">
        <v>44129</v>
      </c>
      <c r="B464">
        <v>1.0531999999999999</v>
      </c>
      <c r="C464">
        <v>1.1337999999999999</v>
      </c>
      <c r="D464">
        <v>1.0437000000000001</v>
      </c>
      <c r="E464">
        <v>1.0938000000000001</v>
      </c>
      <c r="F464">
        <v>3015054.81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0.11209766925638442</v>
      </c>
      <c r="Q464">
        <f t="shared" si="980"/>
        <v>337980.61688125099</v>
      </c>
      <c r="R464">
        <f t="shared" si="981"/>
        <v>-58963903.509381615</v>
      </c>
      <c r="S464">
        <f t="shared" si="982"/>
        <v>-589.63903509381612</v>
      </c>
      <c r="T464">
        <f t="shared" si="983"/>
        <v>-0.5896390350938161</v>
      </c>
    </row>
    <row r="465" spans="1:20" x14ac:dyDescent="0.25">
      <c r="A465" s="5">
        <v>44128</v>
      </c>
      <c r="B465">
        <v>1.07</v>
      </c>
      <c r="C465">
        <v>1.1023000000000001</v>
      </c>
      <c r="D465">
        <v>1.042</v>
      </c>
      <c r="E465">
        <v>1.0541</v>
      </c>
      <c r="F465">
        <v>1347669.3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-0.59867330016583764</v>
      </c>
      <c r="Q465">
        <f t="shared" si="980"/>
        <v>-806813.62736318435</v>
      </c>
      <c r="R465">
        <f t="shared" si="981"/>
        <v>-59301884.126262866</v>
      </c>
      <c r="S465">
        <f t="shared" si="982"/>
        <v>-593.01884126262871</v>
      </c>
      <c r="T465">
        <f t="shared" si="983"/>
        <v>-0.59301884126262872</v>
      </c>
    </row>
    <row r="466" spans="1:20" x14ac:dyDescent="0.25">
      <c r="A466" s="5">
        <v>44127</v>
      </c>
      <c r="B466">
        <v>1.1147</v>
      </c>
      <c r="C466">
        <v>1.1329</v>
      </c>
      <c r="D466">
        <v>1.0407999999999999</v>
      </c>
      <c r="E466">
        <v>1.0708</v>
      </c>
      <c r="F466">
        <v>1963865.64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-0.34853420195439733</v>
      </c>
      <c r="Q466">
        <f t="shared" si="980"/>
        <v>-684474.34358306171</v>
      </c>
      <c r="R466">
        <f t="shared" si="981"/>
        <v>-58495070.498899683</v>
      </c>
      <c r="S466">
        <f t="shared" si="982"/>
        <v>-584.95070498899679</v>
      </c>
      <c r="T466">
        <f t="shared" si="983"/>
        <v>-0.58495070498899682</v>
      </c>
    </row>
    <row r="467" spans="1:20" x14ac:dyDescent="0.25">
      <c r="A467" s="5">
        <v>44126</v>
      </c>
      <c r="B467">
        <v>1.1014999999999999</v>
      </c>
      <c r="C467">
        <v>1.1589</v>
      </c>
      <c r="D467">
        <v>1.0886</v>
      </c>
      <c r="E467">
        <v>1.1158999999999999</v>
      </c>
      <c r="F467">
        <v>1668748.28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-0.22332859174964811</v>
      </c>
      <c r="Q467">
        <f t="shared" si="980"/>
        <v>-372679.20335704746</v>
      </c>
      <c r="R467">
        <f t="shared" si="981"/>
        <v>-57810596.155316621</v>
      </c>
      <c r="S467">
        <f t="shared" si="982"/>
        <v>-578.10596155316625</v>
      </c>
      <c r="T467">
        <f t="shared" si="983"/>
        <v>-0.57810596155316629</v>
      </c>
    </row>
    <row r="468" spans="1:20" x14ac:dyDescent="0.25">
      <c r="A468" s="5">
        <v>44125</v>
      </c>
      <c r="B468">
        <v>1.0414000000000001</v>
      </c>
      <c r="C468">
        <v>1.1500999999999999</v>
      </c>
      <c r="D468">
        <v>1.0325</v>
      </c>
      <c r="E468">
        <v>1.1023000000000001</v>
      </c>
      <c r="F468">
        <v>2705718.34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0.18707482993197497</v>
      </c>
      <c r="Q468">
        <f t="shared" si="980"/>
        <v>506171.79829932557</v>
      </c>
      <c r="R468">
        <f t="shared" si="981"/>
        <v>-57437916.951959573</v>
      </c>
      <c r="S468">
        <f t="shared" si="982"/>
        <v>-574.37916951959573</v>
      </c>
      <c r="T468">
        <f t="shared" si="983"/>
        <v>-0.57437916951959578</v>
      </c>
    </row>
    <row r="469" spans="1:20" x14ac:dyDescent="0.25">
      <c r="A469" s="5">
        <v>44124</v>
      </c>
      <c r="B469">
        <v>1.1863999999999999</v>
      </c>
      <c r="C469">
        <v>1.198</v>
      </c>
      <c r="D469">
        <v>1.0355000000000001</v>
      </c>
      <c r="E469">
        <v>1.0415000000000001</v>
      </c>
      <c r="F469">
        <v>2460388.46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-0.92615384615384599</v>
      </c>
      <c r="Q469">
        <f t="shared" si="980"/>
        <v>-2278698.2352615381</v>
      </c>
      <c r="R469">
        <f t="shared" si="981"/>
        <v>-57944088.7502589</v>
      </c>
      <c r="S469">
        <f t="shared" si="982"/>
        <v>-579.44088750258902</v>
      </c>
      <c r="T469">
        <f t="shared" si="983"/>
        <v>-0.57944088750258904</v>
      </c>
    </row>
    <row r="470" spans="1:20" x14ac:dyDescent="0.25">
      <c r="A470" s="5">
        <v>44123</v>
      </c>
      <c r="B470">
        <v>1.2950999999999999</v>
      </c>
      <c r="C470">
        <v>1.2994000000000001</v>
      </c>
      <c r="D470">
        <v>1.1800999999999999</v>
      </c>
      <c r="E470">
        <v>1.1856</v>
      </c>
      <c r="F470">
        <v>1698811.4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-0.90779547359597568</v>
      </c>
      <c r="Q470">
        <f t="shared" si="980"/>
        <v>-1542173.2994132424</v>
      </c>
      <c r="R470">
        <f t="shared" si="981"/>
        <v>-55665390.514997363</v>
      </c>
      <c r="S470">
        <f t="shared" si="982"/>
        <v>-556.65390514997364</v>
      </c>
      <c r="T470">
        <f t="shared" si="983"/>
        <v>-0.55665390514997359</v>
      </c>
    </row>
    <row r="471" spans="1:20" x14ac:dyDescent="0.25">
      <c r="A471" s="5">
        <v>44122</v>
      </c>
      <c r="B471">
        <v>1.2808999999999999</v>
      </c>
      <c r="C471">
        <v>1.3199000000000001</v>
      </c>
      <c r="D471">
        <v>1.2727999999999999</v>
      </c>
      <c r="E471">
        <v>1.2941</v>
      </c>
      <c r="F471">
        <v>1071005.1299999999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-9.5541401273883969E-2</v>
      </c>
      <c r="Q471">
        <f t="shared" si="980"/>
        <v>-102325.33089171826</v>
      </c>
      <c r="R471">
        <f t="shared" si="981"/>
        <v>-54123217.215584122</v>
      </c>
      <c r="S471">
        <f t="shared" si="982"/>
        <v>-541.23217215584123</v>
      </c>
      <c r="T471">
        <f t="shared" si="983"/>
        <v>-0.54123217215584118</v>
      </c>
    </row>
    <row r="472" spans="1:20" x14ac:dyDescent="0.25">
      <c r="A472" s="5">
        <v>44121</v>
      </c>
      <c r="B472">
        <v>1.2764</v>
      </c>
      <c r="C472">
        <v>1.3171999999999999</v>
      </c>
      <c r="D472">
        <v>1.2426999999999999</v>
      </c>
      <c r="E472">
        <v>1.2815000000000001</v>
      </c>
      <c r="F472">
        <v>1569031.8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4.1610738255037909E-2</v>
      </c>
      <c r="Q472">
        <f t="shared" si="980"/>
        <v>65288.571543630991</v>
      </c>
      <c r="R472">
        <f t="shared" si="981"/>
        <v>-54020891.884692401</v>
      </c>
      <c r="S472">
        <f t="shared" si="982"/>
        <v>-540.20891884692401</v>
      </c>
      <c r="T472">
        <f t="shared" si="983"/>
        <v>-0.54020891884692401</v>
      </c>
    </row>
    <row r="473" spans="1:20" x14ac:dyDescent="0.25">
      <c r="A473" s="5">
        <v>44120</v>
      </c>
      <c r="B473">
        <v>1.4009</v>
      </c>
      <c r="C473">
        <v>1.4074</v>
      </c>
      <c r="D473">
        <v>1.2621</v>
      </c>
      <c r="E473">
        <v>1.278</v>
      </c>
      <c r="F473">
        <v>2498640.9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-0.78114246386785924</v>
      </c>
      <c r="Q473">
        <f t="shared" si="980"/>
        <v>-1951794.5089470053</v>
      </c>
      <c r="R473">
        <f t="shared" si="981"/>
        <v>-54086180.456236035</v>
      </c>
      <c r="S473">
        <f t="shared" si="982"/>
        <v>-540.86180456236036</v>
      </c>
      <c r="T473">
        <f t="shared" si="983"/>
        <v>-0.54086180456236033</v>
      </c>
    </row>
    <row r="474" spans="1:20" x14ac:dyDescent="0.25">
      <c r="A474" s="5">
        <v>44119</v>
      </c>
      <c r="B474">
        <v>1.3694999999999999</v>
      </c>
      <c r="C474">
        <v>1.74</v>
      </c>
      <c r="D474">
        <v>1.3198000000000001</v>
      </c>
      <c r="E474">
        <v>1.4029</v>
      </c>
      <c r="F474">
        <v>9716784.5</v>
      </c>
      <c r="G474">
        <v>0</v>
      </c>
      <c r="L474" t="s">
        <v>8</v>
      </c>
      <c r="M474" t="s">
        <v>8</v>
      </c>
      <c r="N474" t="s">
        <v>8</v>
      </c>
      <c r="P474">
        <f t="shared" si="979"/>
        <v>-0.60447405997144232</v>
      </c>
      <c r="Q474">
        <f t="shared" si="980"/>
        <v>-5873544.1765825814</v>
      </c>
      <c r="R474">
        <f t="shared" si="981"/>
        <v>-52134385.947289027</v>
      </c>
      <c r="S474">
        <f t="shared" si="982"/>
        <v>-521.34385947289024</v>
      </c>
      <c r="T474">
        <f t="shared" si="983"/>
        <v>-0.52134385947289019</v>
      </c>
    </row>
    <row r="475" spans="1:20" x14ac:dyDescent="0.25">
      <c r="A475" s="5">
        <v>44118</v>
      </c>
      <c r="B475">
        <v>1.3242</v>
      </c>
      <c r="C475">
        <v>1.3807</v>
      </c>
      <c r="D475">
        <v>1.3067</v>
      </c>
      <c r="E475">
        <v>1.3689</v>
      </c>
      <c r="F475">
        <v>3242710.97</v>
      </c>
      <c r="G475">
        <v>0</v>
      </c>
      <c r="L475" t="s">
        <v>8</v>
      </c>
      <c r="M475" t="s">
        <v>7</v>
      </c>
      <c r="N475" t="s">
        <v>7</v>
      </c>
      <c r="P475">
        <f t="shared" si="979"/>
        <v>0.68108108108108045</v>
      </c>
      <c r="Q475">
        <f t="shared" si="980"/>
        <v>2208549.093081079</v>
      </c>
      <c r="R475">
        <f t="shared" si="981"/>
        <v>-46260841.770706445</v>
      </c>
      <c r="S475">
        <f t="shared" si="982"/>
        <v>-462.60841770706446</v>
      </c>
      <c r="T475">
        <f t="shared" si="983"/>
        <v>-0.46260841770706446</v>
      </c>
    </row>
    <row r="476" spans="1:20" x14ac:dyDescent="0.25">
      <c r="A476" s="5">
        <v>44117</v>
      </c>
      <c r="B476">
        <v>1.3106</v>
      </c>
      <c r="C476">
        <v>1.3554999999999999</v>
      </c>
      <c r="D476">
        <v>1.2557</v>
      </c>
      <c r="E476">
        <v>1.3242</v>
      </c>
      <c r="F476">
        <v>2176010.4700000002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0.37274549098196558</v>
      </c>
      <c r="Q476">
        <f t="shared" si="980"/>
        <v>811098.0910220478</v>
      </c>
      <c r="R476">
        <f t="shared" si="981"/>
        <v>-48469390.863787524</v>
      </c>
      <c r="S476">
        <f t="shared" si="982"/>
        <v>-484.69390863787527</v>
      </c>
      <c r="T476">
        <f t="shared" si="983"/>
        <v>-0.48469390863787526</v>
      </c>
    </row>
    <row r="477" spans="1:20" x14ac:dyDescent="0.25">
      <c r="A477" s="5">
        <v>44116</v>
      </c>
      <c r="B477">
        <v>1.2896000000000001</v>
      </c>
      <c r="C477">
        <v>1.369</v>
      </c>
      <c r="D477">
        <v>1.28</v>
      </c>
      <c r="E477">
        <v>1.3109</v>
      </c>
      <c r="F477">
        <v>3259125.13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-0.30561797752809128</v>
      </c>
      <c r="Q477">
        <f t="shared" si="980"/>
        <v>-996047.23074157757</v>
      </c>
      <c r="R477">
        <f t="shared" si="981"/>
        <v>-49280488.954809569</v>
      </c>
      <c r="S477">
        <f t="shared" si="982"/>
        <v>-492.80488954809567</v>
      </c>
      <c r="T477">
        <f t="shared" si="983"/>
        <v>-0.49280488954809565</v>
      </c>
    </row>
    <row r="478" spans="1:20" x14ac:dyDescent="0.25">
      <c r="A478" s="5">
        <v>44115</v>
      </c>
      <c r="B478">
        <v>1.2573000000000001</v>
      </c>
      <c r="C478">
        <v>1.35</v>
      </c>
      <c r="D478">
        <v>1.21</v>
      </c>
      <c r="E478">
        <v>1.2862</v>
      </c>
      <c r="F478">
        <v>3368136.98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8.857142857142826E-2</v>
      </c>
      <c r="Q478">
        <f t="shared" si="980"/>
        <v>298320.70394285611</v>
      </c>
      <c r="R478">
        <f t="shared" si="981"/>
        <v>-48284441.724067993</v>
      </c>
      <c r="S478">
        <f t="shared" si="982"/>
        <v>-482.84441724067995</v>
      </c>
      <c r="T478">
        <f t="shared" si="983"/>
        <v>-0.48284441724067995</v>
      </c>
    </row>
    <row r="479" spans="1:20" x14ac:dyDescent="0.25">
      <c r="A479" s="5">
        <v>44114</v>
      </c>
      <c r="B479">
        <v>1.3648</v>
      </c>
      <c r="C479">
        <v>1.4013</v>
      </c>
      <c r="D479">
        <v>1.2482</v>
      </c>
      <c r="E479">
        <v>1.2585</v>
      </c>
      <c r="F479">
        <v>2464279.5</v>
      </c>
      <c r="G479">
        <v>0</v>
      </c>
      <c r="L479" t="s">
        <v>7</v>
      </c>
      <c r="M479" t="s">
        <v>8</v>
      </c>
      <c r="N479" t="s">
        <v>7</v>
      </c>
      <c r="P479">
        <f t="shared" si="979"/>
        <v>-0.86544741998693697</v>
      </c>
      <c r="Q479">
        <f t="shared" si="980"/>
        <v>-2132704.3354016989</v>
      </c>
      <c r="R479">
        <f t="shared" si="981"/>
        <v>-48582762.428010851</v>
      </c>
      <c r="S479">
        <f t="shared" si="982"/>
        <v>-485.82762428010852</v>
      </c>
      <c r="T479">
        <f t="shared" si="983"/>
        <v>-0.48582762428010851</v>
      </c>
    </row>
    <row r="480" spans="1:20" x14ac:dyDescent="0.25">
      <c r="A480" s="5">
        <v>44113</v>
      </c>
      <c r="B480">
        <v>1.2641</v>
      </c>
      <c r="C480">
        <v>1.4476</v>
      </c>
      <c r="D480">
        <v>1.2350000000000001</v>
      </c>
      <c r="E480">
        <v>1.3645</v>
      </c>
      <c r="F480">
        <v>5040656.78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0.21825023518344316</v>
      </c>
      <c r="Q480">
        <f t="shared" si="980"/>
        <v>1100124.5277140173</v>
      </c>
      <c r="R480">
        <f t="shared" si="981"/>
        <v>-46450058.092609152</v>
      </c>
      <c r="S480">
        <f t="shared" si="982"/>
        <v>-464.50058092609152</v>
      </c>
      <c r="T480">
        <f t="shared" si="983"/>
        <v>-0.46450058092609153</v>
      </c>
    </row>
    <row r="481" spans="1:20" x14ac:dyDescent="0.25">
      <c r="A481" s="5">
        <v>44112</v>
      </c>
      <c r="B481">
        <v>1.2436</v>
      </c>
      <c r="C481">
        <v>1.3108</v>
      </c>
      <c r="D481">
        <v>1.1182000000000001</v>
      </c>
      <c r="E481">
        <v>1.2616000000000001</v>
      </c>
      <c r="F481">
        <v>5356170.87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0.48909657320872335</v>
      </c>
      <c r="Q481">
        <f t="shared" si="980"/>
        <v>2619684.8180373865</v>
      </c>
      <c r="R481">
        <f t="shared" si="981"/>
        <v>-47550182.620323166</v>
      </c>
      <c r="S481">
        <f t="shared" si="982"/>
        <v>-475.50182620323164</v>
      </c>
      <c r="T481">
        <f t="shared" si="983"/>
        <v>-0.47550182620323167</v>
      </c>
    </row>
    <row r="482" spans="1:20" x14ac:dyDescent="0.25">
      <c r="A482" s="5">
        <v>44111</v>
      </c>
      <c r="B482">
        <v>1.1544000000000001</v>
      </c>
      <c r="C482">
        <v>1.3725000000000001</v>
      </c>
      <c r="D482">
        <v>1.0882000000000001</v>
      </c>
      <c r="E482">
        <v>1.2461</v>
      </c>
      <c r="F482">
        <v>9228950.1300000008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0.11079845233907795</v>
      </c>
      <c r="Q482">
        <f t="shared" si="980"/>
        <v>1022553.3911185324</v>
      </c>
      <c r="R482">
        <f t="shared" si="981"/>
        <v>-50169867.43836055</v>
      </c>
      <c r="S482">
        <f t="shared" si="982"/>
        <v>-501.69867438360552</v>
      </c>
      <c r="T482">
        <f t="shared" si="983"/>
        <v>-0.50169867438360549</v>
      </c>
    </row>
    <row r="483" spans="1:20" x14ac:dyDescent="0.25">
      <c r="A483" s="5">
        <v>44110</v>
      </c>
      <c r="B483">
        <v>1.5489999999999999</v>
      </c>
      <c r="C483">
        <v>1.5680000000000001</v>
      </c>
      <c r="D483">
        <v>1.1462000000000001</v>
      </c>
      <c r="E483">
        <v>1.1543000000000001</v>
      </c>
      <c r="F483">
        <v>6164954.9699999997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-0.96159317211948792</v>
      </c>
      <c r="Q483">
        <f t="shared" si="980"/>
        <v>-5928178.6055761026</v>
      </c>
      <c r="R483">
        <f t="shared" si="981"/>
        <v>-51192420.829479083</v>
      </c>
      <c r="S483">
        <f t="shared" si="982"/>
        <v>-511.92420829479084</v>
      </c>
      <c r="T483">
        <f t="shared" si="983"/>
        <v>-0.51192420829479079</v>
      </c>
    </row>
    <row r="484" spans="1:20" x14ac:dyDescent="0.25">
      <c r="A484" s="5">
        <v>44109</v>
      </c>
      <c r="B484">
        <v>1.5892999999999999</v>
      </c>
      <c r="C484">
        <v>1.6376999999999999</v>
      </c>
      <c r="D484">
        <v>1.5064</v>
      </c>
      <c r="E484">
        <v>1.5465</v>
      </c>
      <c r="F484">
        <v>2156815.4900000002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-0.38918507235338867</v>
      </c>
      <c r="Q484">
        <f t="shared" si="980"/>
        <v>-839400.39252855955</v>
      </c>
      <c r="R484">
        <f t="shared" si="981"/>
        <v>-45264242.223902978</v>
      </c>
      <c r="S484">
        <f t="shared" si="982"/>
        <v>-452.64242223902977</v>
      </c>
      <c r="T484">
        <f t="shared" si="983"/>
        <v>-0.45264242223902978</v>
      </c>
    </row>
    <row r="485" spans="1:20" x14ac:dyDescent="0.25">
      <c r="A485" s="5">
        <v>44108</v>
      </c>
      <c r="B485">
        <v>1.5837000000000001</v>
      </c>
      <c r="C485">
        <v>1.62</v>
      </c>
      <c r="D485">
        <v>1.52</v>
      </c>
      <c r="E485">
        <v>1.5864</v>
      </c>
      <c r="F485">
        <v>1791470.68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0.32799999999999913</v>
      </c>
      <c r="Q485">
        <f t="shared" si="980"/>
        <v>587602.38303999836</v>
      </c>
      <c r="R485">
        <f t="shared" si="981"/>
        <v>-44424841.831374422</v>
      </c>
      <c r="S485">
        <f t="shared" si="982"/>
        <v>-444.2484183137442</v>
      </c>
      <c r="T485">
        <f t="shared" si="983"/>
        <v>-0.44424841831374418</v>
      </c>
    </row>
    <row r="486" spans="1:20" x14ac:dyDescent="0.25">
      <c r="A486" s="5">
        <v>44107</v>
      </c>
      <c r="B486">
        <v>1.6489</v>
      </c>
      <c r="C486">
        <v>1.6755</v>
      </c>
      <c r="D486">
        <v>1.5777000000000001</v>
      </c>
      <c r="E486">
        <v>1.5837000000000001</v>
      </c>
      <c r="F486">
        <v>1563151.37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-0.87730061349693222</v>
      </c>
      <c r="Q486">
        <f t="shared" si="980"/>
        <v>-1371353.6558895702</v>
      </c>
      <c r="R486">
        <f t="shared" si="981"/>
        <v>-45012444.214414418</v>
      </c>
      <c r="S486">
        <f t="shared" si="982"/>
        <v>-450.12444214414415</v>
      </c>
      <c r="T486">
        <f t="shared" si="983"/>
        <v>-0.45012444214414415</v>
      </c>
    </row>
    <row r="487" spans="1:20" x14ac:dyDescent="0.25">
      <c r="A487" s="5">
        <v>44106</v>
      </c>
      <c r="B487">
        <v>1.7815000000000001</v>
      </c>
      <c r="C487">
        <v>1.7845</v>
      </c>
      <c r="D487">
        <v>1.5620000000000001</v>
      </c>
      <c r="E487">
        <v>1.6500999999999999</v>
      </c>
      <c r="F487">
        <v>3718988.4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-0.20808988764045055</v>
      </c>
      <c r="Q487">
        <f t="shared" si="980"/>
        <v>-773883.87829213892</v>
      </c>
      <c r="R487">
        <f t="shared" si="981"/>
        <v>-43641090.558524847</v>
      </c>
      <c r="S487">
        <f t="shared" si="982"/>
        <v>-436.41090558524849</v>
      </c>
      <c r="T487">
        <f t="shared" si="983"/>
        <v>-0.43641090558524848</v>
      </c>
    </row>
    <row r="488" spans="1:20" x14ac:dyDescent="0.25">
      <c r="A488" s="5">
        <v>44105</v>
      </c>
      <c r="B488">
        <v>1.8452999999999999</v>
      </c>
      <c r="C488">
        <v>1.9194</v>
      </c>
      <c r="D488">
        <v>1.6617</v>
      </c>
      <c r="E488">
        <v>1.7810999999999999</v>
      </c>
      <c r="F488">
        <v>4644953.79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-7.3341094295693188E-2</v>
      </c>
      <c r="Q488">
        <f t="shared" si="980"/>
        <v>-340665.99391152745</v>
      </c>
      <c r="R488">
        <f t="shared" si="981"/>
        <v>-42867206.680232711</v>
      </c>
      <c r="S488">
        <f t="shared" si="982"/>
        <v>-428.67206680232709</v>
      </c>
      <c r="T488">
        <f t="shared" si="983"/>
        <v>-0.42867206680232711</v>
      </c>
    </row>
    <row r="489" spans="1:20" x14ac:dyDescent="0.25">
      <c r="A489" s="5">
        <v>44104</v>
      </c>
      <c r="B489">
        <v>1.7797000000000001</v>
      </c>
      <c r="C489">
        <v>1.8856999999999999</v>
      </c>
      <c r="D489">
        <v>1.6740999999999999</v>
      </c>
      <c r="E489">
        <v>1.8452999999999999</v>
      </c>
      <c r="F489">
        <v>3084391.89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0.618147448015123</v>
      </c>
      <c r="Q489">
        <f t="shared" si="980"/>
        <v>1906608.9754820422</v>
      </c>
      <c r="R489">
        <f t="shared" si="981"/>
        <v>-42526540.686321184</v>
      </c>
      <c r="S489">
        <f t="shared" si="982"/>
        <v>-425.26540686321187</v>
      </c>
      <c r="T489">
        <f t="shared" si="983"/>
        <v>-0.42526540686321185</v>
      </c>
    </row>
    <row r="490" spans="1:20" x14ac:dyDescent="0.25">
      <c r="A490" s="5">
        <v>44103</v>
      </c>
      <c r="B490">
        <v>1.7815000000000001</v>
      </c>
      <c r="C490">
        <v>1.8098000000000001</v>
      </c>
      <c r="D490">
        <v>1.7162999999999999</v>
      </c>
      <c r="E490">
        <v>1.7778</v>
      </c>
      <c r="F490">
        <v>1911775.71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0.31550802139037476</v>
      </c>
      <c r="Q490">
        <f t="shared" si="980"/>
        <v>603180.57160427887</v>
      </c>
      <c r="R490">
        <f t="shared" si="981"/>
        <v>-44433149.661803223</v>
      </c>
      <c r="S490">
        <f t="shared" si="982"/>
        <v>-444.33149661803225</v>
      </c>
      <c r="T490">
        <f t="shared" si="983"/>
        <v>-0.44433149661803223</v>
      </c>
    </row>
    <row r="491" spans="1:20" x14ac:dyDescent="0.25">
      <c r="A491" s="5">
        <v>44102</v>
      </c>
      <c r="B491">
        <v>1.8835999999999999</v>
      </c>
      <c r="C491">
        <v>1.8955</v>
      </c>
      <c r="D491">
        <v>1.762</v>
      </c>
      <c r="E491">
        <v>1.7830999999999999</v>
      </c>
      <c r="F491">
        <v>2197527.75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-0.68389513108614375</v>
      </c>
      <c r="Q491">
        <f t="shared" si="980"/>
        <v>-1502878.5286516885</v>
      </c>
      <c r="R491">
        <f t="shared" si="981"/>
        <v>-45036330.233407505</v>
      </c>
      <c r="S491">
        <f t="shared" si="982"/>
        <v>-450.36330233407506</v>
      </c>
      <c r="T491">
        <f t="shared" si="983"/>
        <v>-0.45036330233407507</v>
      </c>
    </row>
    <row r="492" spans="1:20" x14ac:dyDescent="0.25">
      <c r="A492" s="5">
        <v>44101</v>
      </c>
      <c r="B492">
        <v>1.8937999999999999</v>
      </c>
      <c r="C492">
        <v>1.9254</v>
      </c>
      <c r="D492">
        <v>1.8101</v>
      </c>
      <c r="E492">
        <v>1.8831</v>
      </c>
      <c r="F492">
        <v>1934511.13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0.26626192541196841</v>
      </c>
      <c r="Q492">
        <f t="shared" si="980"/>
        <v>515086.6582046827</v>
      </c>
      <c r="R492">
        <f t="shared" si="981"/>
        <v>-43533451.704755813</v>
      </c>
      <c r="S492">
        <f t="shared" si="982"/>
        <v>-435.33451704755811</v>
      </c>
      <c r="T492">
        <f t="shared" si="983"/>
        <v>-0.4353345170475581</v>
      </c>
    </row>
    <row r="493" spans="1:20" x14ac:dyDescent="0.25">
      <c r="A493" s="5">
        <v>44100</v>
      </c>
      <c r="B493">
        <v>1.9698</v>
      </c>
      <c r="C493">
        <v>2.0070000000000001</v>
      </c>
      <c r="D493">
        <v>1.8509</v>
      </c>
      <c r="E493">
        <v>1.8955</v>
      </c>
      <c r="F493">
        <v>3023129.33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-0.42857142857142938</v>
      </c>
      <c r="Q493">
        <f t="shared" si="980"/>
        <v>-1295626.8557142883</v>
      </c>
      <c r="R493">
        <f t="shared" si="981"/>
        <v>-44048538.362960495</v>
      </c>
      <c r="S493">
        <f t="shared" si="982"/>
        <v>-440.48538362960494</v>
      </c>
      <c r="T493">
        <f t="shared" si="983"/>
        <v>-0.44048538362960493</v>
      </c>
    </row>
    <row r="494" spans="1:20" x14ac:dyDescent="0.25">
      <c r="A494" s="5">
        <v>44099</v>
      </c>
      <c r="B494">
        <v>1.9777</v>
      </c>
      <c r="C494">
        <v>2.048</v>
      </c>
      <c r="D494">
        <v>1.83</v>
      </c>
      <c r="E494">
        <v>1.9690000000000001</v>
      </c>
      <c r="F494">
        <v>8107043.2000000002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0.27522935779816543</v>
      </c>
      <c r="Q494">
        <f t="shared" si="980"/>
        <v>2231296.293577984</v>
      </c>
      <c r="R494">
        <f t="shared" si="981"/>
        <v>-42752911.507246204</v>
      </c>
      <c r="S494">
        <f t="shared" si="982"/>
        <v>-427.52911507246205</v>
      </c>
      <c r="T494">
        <f t="shared" si="983"/>
        <v>-0.42752911507246205</v>
      </c>
    </row>
    <row r="495" spans="1:20" x14ac:dyDescent="0.25">
      <c r="A495" s="5">
        <v>44098</v>
      </c>
      <c r="B495">
        <v>1.7498</v>
      </c>
      <c r="C495">
        <v>1.9990000000000001</v>
      </c>
      <c r="D495">
        <v>1.7351000000000001</v>
      </c>
      <c r="E495">
        <v>1.9779</v>
      </c>
      <c r="F495">
        <v>4809615.55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0.84009094353921854</v>
      </c>
      <c r="Q495">
        <f t="shared" si="980"/>
        <v>4040514.4654603973</v>
      </c>
      <c r="R495">
        <f t="shared" si="981"/>
        <v>-44984207.800824188</v>
      </c>
      <c r="S495">
        <f t="shared" si="982"/>
        <v>-449.84207800824186</v>
      </c>
      <c r="T495">
        <f t="shared" si="983"/>
        <v>-0.44984207800824183</v>
      </c>
    </row>
    <row r="496" spans="1:20" x14ac:dyDescent="0.25">
      <c r="A496" s="5">
        <v>44097</v>
      </c>
      <c r="B496">
        <v>1.8599000000000001</v>
      </c>
      <c r="C496">
        <v>1.9001999999999999</v>
      </c>
      <c r="D496">
        <v>1.74</v>
      </c>
      <c r="E496">
        <v>1.7501</v>
      </c>
      <c r="F496">
        <v>5700826.9100000001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-0.8739076154806491</v>
      </c>
      <c r="Q496">
        <f t="shared" si="980"/>
        <v>-4981996.0511860168</v>
      </c>
      <c r="R496">
        <f t="shared" si="981"/>
        <v>-49024722.266284585</v>
      </c>
      <c r="S496">
        <f t="shared" si="982"/>
        <v>-490.24722266284584</v>
      </c>
      <c r="T496">
        <f t="shared" si="983"/>
        <v>-0.49024722266284582</v>
      </c>
    </row>
    <row r="497" spans="1:20" x14ac:dyDescent="0.25">
      <c r="A497" s="5">
        <v>44096</v>
      </c>
      <c r="B497">
        <v>1.7381</v>
      </c>
      <c r="C497">
        <v>1.8797999999999999</v>
      </c>
      <c r="D497">
        <v>1.6617</v>
      </c>
      <c r="E497">
        <v>1.8581000000000001</v>
      </c>
      <c r="F497">
        <v>4025324.52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0.80100871160018494</v>
      </c>
      <c r="Q497">
        <f t="shared" si="980"/>
        <v>3224320.0075378329</v>
      </c>
      <c r="R497">
        <f t="shared" si="981"/>
        <v>-44042726.215098567</v>
      </c>
      <c r="S497">
        <f t="shared" si="982"/>
        <v>-440.42726215098565</v>
      </c>
      <c r="T497">
        <f t="shared" si="983"/>
        <v>-0.44042726215098565</v>
      </c>
    </row>
    <row r="498" spans="1:20" x14ac:dyDescent="0.25">
      <c r="A498" s="5">
        <v>44095</v>
      </c>
      <c r="B498">
        <v>1.8863000000000001</v>
      </c>
      <c r="C498">
        <v>1.93</v>
      </c>
      <c r="D498">
        <v>1.6173999999999999</v>
      </c>
      <c r="E498">
        <v>1.7347999999999999</v>
      </c>
      <c r="F498">
        <v>7547619.6600000001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-0.24888035828534899</v>
      </c>
      <c r="Q498">
        <f t="shared" si="980"/>
        <v>-1878454.285182344</v>
      </c>
      <c r="R498">
        <f t="shared" si="981"/>
        <v>-47267046.222636402</v>
      </c>
      <c r="S498">
        <f t="shared" si="982"/>
        <v>-472.67046222636401</v>
      </c>
      <c r="T498">
        <f t="shared" si="983"/>
        <v>-0.472670462226364</v>
      </c>
    </row>
    <row r="499" spans="1:20" x14ac:dyDescent="0.25">
      <c r="A499" s="5">
        <v>44094</v>
      </c>
      <c r="B499">
        <v>2.0118999999999998</v>
      </c>
      <c r="C499">
        <v>2.0124</v>
      </c>
      <c r="D499">
        <v>1.8009999999999999</v>
      </c>
      <c r="E499">
        <v>1.8838999999999999</v>
      </c>
      <c r="F499">
        <v>3552004.95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-0.21570482497634852</v>
      </c>
      <c r="Q499">
        <f t="shared" si="980"/>
        <v>-766184.60605487367</v>
      </c>
      <c r="R499">
        <f t="shared" si="981"/>
        <v>-45388591.93745406</v>
      </c>
      <c r="S499">
        <f t="shared" si="982"/>
        <v>-453.88591937454061</v>
      </c>
      <c r="T499">
        <f t="shared" si="983"/>
        <v>-0.45388591937454059</v>
      </c>
    </row>
    <row r="500" spans="1:20" x14ac:dyDescent="0.25">
      <c r="A500" s="5">
        <v>44093</v>
      </c>
      <c r="B500">
        <v>2.1071</v>
      </c>
      <c r="C500">
        <v>2.1471</v>
      </c>
      <c r="D500">
        <v>1.9540999999999999</v>
      </c>
      <c r="E500">
        <v>2.0118999999999998</v>
      </c>
      <c r="F500">
        <v>3822540.49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-0.40103626943005355</v>
      </c>
      <c r="Q500">
        <f t="shared" si="980"/>
        <v>-1532977.3778549291</v>
      </c>
      <c r="R500">
        <f t="shared" si="981"/>
        <v>-44622407.331399187</v>
      </c>
      <c r="S500">
        <f t="shared" si="982"/>
        <v>-446.22407331399188</v>
      </c>
      <c r="T500">
        <f t="shared" si="983"/>
        <v>-0.44622407331399189</v>
      </c>
    </row>
    <row r="501" spans="1:20" x14ac:dyDescent="0.25">
      <c r="A501" s="5">
        <v>44092</v>
      </c>
      <c r="B501">
        <v>1.9378</v>
      </c>
      <c r="C501">
        <v>2.2799999999999998</v>
      </c>
      <c r="D501">
        <v>1.9</v>
      </c>
      <c r="E501">
        <v>2.11</v>
      </c>
      <c r="F501">
        <v>9861950.8300000001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0.10526315789473696</v>
      </c>
      <c r="Q501">
        <f t="shared" si="980"/>
        <v>1038100.0873684222</v>
      </c>
      <c r="R501">
        <f t="shared" si="981"/>
        <v>-43089429.953544259</v>
      </c>
      <c r="S501">
        <f t="shared" si="982"/>
        <v>-430.8942995354426</v>
      </c>
      <c r="T501">
        <f t="shared" si="983"/>
        <v>-0.43089429953544262</v>
      </c>
    </row>
    <row r="502" spans="1:20" x14ac:dyDescent="0.25">
      <c r="A502" s="5">
        <v>44091</v>
      </c>
      <c r="B502">
        <v>1.8233999999999999</v>
      </c>
      <c r="C502">
        <v>1.9831000000000001</v>
      </c>
      <c r="D502">
        <v>1.8</v>
      </c>
      <c r="E502">
        <v>1.9399</v>
      </c>
      <c r="F502">
        <v>6355698.6299999999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0.52812670671763939</v>
      </c>
      <c r="Q502">
        <f t="shared" si="980"/>
        <v>3356614.1863517123</v>
      </c>
      <c r="R502">
        <f t="shared" si="981"/>
        <v>-44127530.04091268</v>
      </c>
      <c r="S502">
        <f t="shared" si="982"/>
        <v>-441.27530040912683</v>
      </c>
      <c r="T502">
        <f t="shared" si="983"/>
        <v>-0.44127530040912682</v>
      </c>
    </row>
    <row r="503" spans="1:20" x14ac:dyDescent="0.25">
      <c r="A503" s="5">
        <v>44090</v>
      </c>
      <c r="B503">
        <v>2.0373999999999999</v>
      </c>
      <c r="C503">
        <v>2.0409999999999999</v>
      </c>
      <c r="D503">
        <v>1.7504999999999999</v>
      </c>
      <c r="E503">
        <v>1.8233999999999999</v>
      </c>
      <c r="F503">
        <v>8597549.9700000007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-0.49810671256454409</v>
      </c>
      <c r="Q503">
        <f t="shared" si="980"/>
        <v>-4282497.3516660947</v>
      </c>
      <c r="R503">
        <f t="shared" si="981"/>
        <v>-47484144.227264389</v>
      </c>
      <c r="S503">
        <f t="shared" si="982"/>
        <v>-474.84144227264392</v>
      </c>
      <c r="T503">
        <f t="shared" si="983"/>
        <v>-0.47484144227264391</v>
      </c>
    </row>
    <row r="504" spans="1:20" x14ac:dyDescent="0.25">
      <c r="A504" s="5">
        <v>44089</v>
      </c>
      <c r="B504">
        <v>2.3984000000000001</v>
      </c>
      <c r="C504">
        <v>2.52</v>
      </c>
      <c r="D504">
        <v>2.0023</v>
      </c>
      <c r="E504">
        <v>2.0373999999999999</v>
      </c>
      <c r="F504">
        <v>9043188.6899999995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-0.86440023179447589</v>
      </c>
      <c r="Q504">
        <f t="shared" si="980"/>
        <v>-7816934.3997971825</v>
      </c>
      <c r="R504">
        <f t="shared" si="981"/>
        <v>-43201646.875598297</v>
      </c>
      <c r="S504">
        <f t="shared" si="982"/>
        <v>-432.01646875598294</v>
      </c>
      <c r="T504">
        <f t="shared" si="983"/>
        <v>-0.43201646875598293</v>
      </c>
    </row>
    <row r="505" spans="1:20" x14ac:dyDescent="0.25">
      <c r="A505" s="5">
        <v>44088</v>
      </c>
      <c r="B505">
        <v>2.38</v>
      </c>
      <c r="C505">
        <v>2.5482</v>
      </c>
      <c r="D505">
        <v>2.2355</v>
      </c>
      <c r="E505">
        <v>2.3984000000000001</v>
      </c>
      <c r="F505">
        <v>8791251.25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4.1893188359450315E-2</v>
      </c>
      <c r="Q505">
        <f t="shared" si="980"/>
        <v>368293.54453150305</v>
      </c>
      <c r="R505">
        <f t="shared" si="981"/>
        <v>-35384712.475801118</v>
      </c>
      <c r="S505">
        <f t="shared" si="982"/>
        <v>-353.8471247580112</v>
      </c>
      <c r="T505">
        <f t="shared" si="983"/>
        <v>-0.35384712475801122</v>
      </c>
    </row>
    <row r="506" spans="1:20" x14ac:dyDescent="0.25">
      <c r="A506" s="5">
        <v>44087</v>
      </c>
      <c r="B506">
        <v>2.4100999999999999</v>
      </c>
      <c r="C506">
        <v>2.6469999999999998</v>
      </c>
      <c r="D506">
        <v>2.2050000000000001</v>
      </c>
      <c r="E506">
        <v>2.38</v>
      </c>
      <c r="F506">
        <v>12201452.289999999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-0.20814479638009081</v>
      </c>
      <c r="Q506">
        <f t="shared" si="980"/>
        <v>-2539668.8024434424</v>
      </c>
      <c r="R506">
        <f t="shared" si="981"/>
        <v>-35753006.02033262</v>
      </c>
      <c r="S506">
        <f t="shared" si="982"/>
        <v>-357.53006020332617</v>
      </c>
      <c r="T506">
        <f t="shared" si="983"/>
        <v>-0.35753006020332617</v>
      </c>
    </row>
    <row r="507" spans="1:20" x14ac:dyDescent="0.25">
      <c r="A507" s="5">
        <v>44086</v>
      </c>
      <c r="B507">
        <v>2.3839999999999999</v>
      </c>
      <c r="C507">
        <v>2.4845999999999999</v>
      </c>
      <c r="D507">
        <v>2.25</v>
      </c>
      <c r="E507">
        <v>2.4123999999999999</v>
      </c>
      <c r="F507">
        <v>4664005.05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0.38448422847399771</v>
      </c>
      <c r="Q507">
        <f t="shared" si="980"/>
        <v>1793236.3832480791</v>
      </c>
      <c r="R507">
        <f t="shared" si="981"/>
        <v>-33213337.217889179</v>
      </c>
      <c r="S507">
        <f t="shared" si="982"/>
        <v>-332.13337217889176</v>
      </c>
      <c r="T507">
        <f t="shared" si="983"/>
        <v>-0.33213337217889177</v>
      </c>
    </row>
    <row r="508" spans="1:20" x14ac:dyDescent="0.25">
      <c r="A508" s="5">
        <v>44085</v>
      </c>
      <c r="B508">
        <v>2.2864</v>
      </c>
      <c r="C508">
        <v>2.4097</v>
      </c>
      <c r="D508">
        <v>2.1800000000000002</v>
      </c>
      <c r="E508">
        <v>2.3837000000000002</v>
      </c>
      <c r="F508">
        <v>4558417.97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0.77361776229865198</v>
      </c>
      <c r="Q508">
        <f t="shared" si="980"/>
        <v>3526473.1095733633</v>
      </c>
      <c r="R508">
        <f t="shared" si="981"/>
        <v>-35006573.601137258</v>
      </c>
      <c r="S508">
        <f t="shared" si="982"/>
        <v>-350.06573601137256</v>
      </c>
      <c r="T508">
        <f t="shared" si="983"/>
        <v>-0.35006573601137259</v>
      </c>
    </row>
    <row r="509" spans="1:20" x14ac:dyDescent="0.25">
      <c r="A509" s="5">
        <v>44084</v>
      </c>
      <c r="B509">
        <v>2.4580000000000002</v>
      </c>
      <c r="C509">
        <v>2.5697000000000001</v>
      </c>
      <c r="D509">
        <v>2.2591999999999999</v>
      </c>
      <c r="E509">
        <v>2.2864</v>
      </c>
      <c r="F509">
        <v>7100279.2199999997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-0.82479871175523289</v>
      </c>
      <c r="Q509">
        <f t="shared" si="980"/>
        <v>-5856301.1537584495</v>
      </c>
      <c r="R509">
        <f t="shared" si="981"/>
        <v>-38533046.710710622</v>
      </c>
      <c r="S509">
        <f t="shared" si="982"/>
        <v>-385.33046710710624</v>
      </c>
      <c r="T509">
        <f t="shared" si="983"/>
        <v>-0.38533046710710622</v>
      </c>
    </row>
    <row r="510" spans="1:20" x14ac:dyDescent="0.25">
      <c r="A510" s="5">
        <v>44083</v>
      </c>
      <c r="B510">
        <v>2.1324000000000001</v>
      </c>
      <c r="C510">
        <v>2.5950000000000002</v>
      </c>
      <c r="D510">
        <v>2.069</v>
      </c>
      <c r="E510">
        <v>2.4575</v>
      </c>
      <c r="F510">
        <v>10366012.640000001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0.47718631178707183</v>
      </c>
      <c r="Q510">
        <f t="shared" si="980"/>
        <v>4946519.3396197679</v>
      </c>
      <c r="R510">
        <f t="shared" si="981"/>
        <v>-32676745.556952175</v>
      </c>
      <c r="S510">
        <f t="shared" si="982"/>
        <v>-326.76745556952176</v>
      </c>
      <c r="T510">
        <f t="shared" si="983"/>
        <v>-0.32676745556952175</v>
      </c>
    </row>
    <row r="511" spans="1:20" x14ac:dyDescent="0.25">
      <c r="A511" s="5">
        <v>44082</v>
      </c>
      <c r="B511">
        <v>2.4346999999999999</v>
      </c>
      <c r="C511">
        <v>2.4729999999999999</v>
      </c>
      <c r="D511">
        <v>2.0699999999999998</v>
      </c>
      <c r="E511">
        <v>2.1315</v>
      </c>
      <c r="F511">
        <v>8092188.8200000003</v>
      </c>
      <c r="G511">
        <v>0</v>
      </c>
      <c r="L511" t="s">
        <v>7</v>
      </c>
      <c r="M511" t="s">
        <v>8</v>
      </c>
      <c r="N511" t="s">
        <v>7</v>
      </c>
      <c r="P511">
        <f t="shared" si="979"/>
        <v>-0.69478908188585553</v>
      </c>
      <c r="Q511">
        <f t="shared" si="980"/>
        <v>-5622364.4406947847</v>
      </c>
      <c r="R511">
        <f t="shared" si="981"/>
        <v>-37623264.896571942</v>
      </c>
      <c r="S511">
        <f t="shared" si="982"/>
        <v>-376.23264896571942</v>
      </c>
      <c r="T511">
        <f t="shared" si="983"/>
        <v>-0.3762326489657194</v>
      </c>
    </row>
    <row r="512" spans="1:20" x14ac:dyDescent="0.25">
      <c r="A512" s="5">
        <v>44081</v>
      </c>
      <c r="B512">
        <v>2.6002000000000001</v>
      </c>
      <c r="C512">
        <v>2.7069000000000001</v>
      </c>
      <c r="D512">
        <v>2.0299999999999998</v>
      </c>
      <c r="E512">
        <v>2.4388000000000001</v>
      </c>
      <c r="F512">
        <v>9947428.6300000008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0.207859358841779</v>
      </c>
      <c r="Q512">
        <f t="shared" si="980"/>
        <v>2067666.1371561564</v>
      </c>
      <c r="R512">
        <f t="shared" si="981"/>
        <v>-32000900.455877159</v>
      </c>
      <c r="S512">
        <f t="shared" si="982"/>
        <v>-320.00900455877161</v>
      </c>
      <c r="T512">
        <f t="shared" si="983"/>
        <v>-0.32000900455877163</v>
      </c>
    </row>
    <row r="513" spans="1:20" x14ac:dyDescent="0.25">
      <c r="A513" s="5">
        <v>44080</v>
      </c>
      <c r="B513">
        <v>2.2050999999999998</v>
      </c>
      <c r="C513">
        <v>2.7120000000000002</v>
      </c>
      <c r="D513">
        <v>1.9565999999999999</v>
      </c>
      <c r="E513">
        <v>2.6023999999999998</v>
      </c>
      <c r="F513">
        <v>13415887.970000001</v>
      </c>
      <c r="G513">
        <v>0</v>
      </c>
      <c r="L513" t="s">
        <v>7</v>
      </c>
      <c r="M513" t="s">
        <v>8</v>
      </c>
      <c r="N513" t="s">
        <v>7</v>
      </c>
      <c r="P513">
        <f t="shared" si="979"/>
        <v>0.70982261053746276</v>
      </c>
      <c r="Q513">
        <f t="shared" si="980"/>
        <v>9522900.6215435416</v>
      </c>
      <c r="R513">
        <f t="shared" si="981"/>
        <v>-34068566.593033314</v>
      </c>
      <c r="S513">
        <f t="shared" si="982"/>
        <v>-340.68566593033313</v>
      </c>
      <c r="T513">
        <f t="shared" si="983"/>
        <v>-0.34068566593033311</v>
      </c>
    </row>
    <row r="514" spans="1:20" x14ac:dyDescent="0.25">
      <c r="A514" s="5">
        <v>44079</v>
      </c>
      <c r="B514">
        <v>2.8914</v>
      </c>
      <c r="C514">
        <v>3.1495000000000002</v>
      </c>
      <c r="D514">
        <v>1.9685999999999999</v>
      </c>
      <c r="E514">
        <v>2.2050999999999998</v>
      </c>
      <c r="F514">
        <v>13072954.939999999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-0.59945804047760209</v>
      </c>
      <c r="Q514">
        <f t="shared" si="980"/>
        <v>-7836687.9515843876</v>
      </c>
      <c r="R514">
        <f t="shared" si="981"/>
        <v>-43591467.214576855</v>
      </c>
      <c r="S514">
        <f t="shared" si="982"/>
        <v>-435.91467214576858</v>
      </c>
      <c r="T514">
        <f t="shared" si="983"/>
        <v>-0.43591467214576857</v>
      </c>
    </row>
    <row r="515" spans="1:20" x14ac:dyDescent="0.25">
      <c r="A515" s="5">
        <v>44078</v>
      </c>
      <c r="B515">
        <v>2.8883000000000001</v>
      </c>
      <c r="C515">
        <v>3.3</v>
      </c>
      <c r="D515">
        <v>2.5230999999999999</v>
      </c>
      <c r="E515">
        <v>2.8889999999999998</v>
      </c>
      <c r="F515">
        <v>8931570.0399999991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-5.8051229244433192E-2</v>
      </c>
      <c r="Q515">
        <f t="shared" si="980"/>
        <v>-518488.61990475131</v>
      </c>
      <c r="R515">
        <f t="shared" si="981"/>
        <v>-35754779.262992464</v>
      </c>
      <c r="S515">
        <f t="shared" si="982"/>
        <v>-357.54779262992463</v>
      </c>
      <c r="T515">
        <f t="shared" si="983"/>
        <v>-0.35754779262992464</v>
      </c>
    </row>
    <row r="516" spans="1:20" x14ac:dyDescent="0.25">
      <c r="A516" s="5">
        <v>44077</v>
      </c>
      <c r="B516">
        <v>3.5804999999999998</v>
      </c>
      <c r="C516">
        <v>3.6103000000000001</v>
      </c>
      <c r="D516">
        <v>2.843</v>
      </c>
      <c r="E516">
        <v>2.8881000000000001</v>
      </c>
      <c r="F516">
        <v>12030576.359999999</v>
      </c>
      <c r="G516">
        <v>0</v>
      </c>
      <c r="L516" t="s">
        <v>8</v>
      </c>
      <c r="M516" t="s">
        <v>8</v>
      </c>
      <c r="N516" t="s">
        <v>8</v>
      </c>
      <c r="P516">
        <f t="shared" si="979"/>
        <v>-0.88244493679134595</v>
      </c>
      <c r="Q516">
        <f t="shared" si="980"/>
        <v>-10616321.195563661</v>
      </c>
      <c r="R516">
        <f t="shared" si="981"/>
        <v>-35236290.643087715</v>
      </c>
      <c r="S516">
        <f t="shared" si="982"/>
        <v>-352.36290643087716</v>
      </c>
      <c r="T516">
        <f t="shared" si="983"/>
        <v>-0.35236290643087714</v>
      </c>
    </row>
    <row r="517" spans="1:20" x14ac:dyDescent="0.25">
      <c r="A517" s="5">
        <v>44076</v>
      </c>
      <c r="B517">
        <v>3.12</v>
      </c>
      <c r="C517">
        <v>3.67</v>
      </c>
      <c r="D517">
        <v>2.75</v>
      </c>
      <c r="E517">
        <v>3.5872000000000002</v>
      </c>
      <c r="F517">
        <v>14742597.130000001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0.82000000000000051</v>
      </c>
      <c r="Q517">
        <f t="shared" si="980"/>
        <v>12088929.646600008</v>
      </c>
      <c r="R517">
        <f t="shared" si="981"/>
        <v>-24619969.447524056</v>
      </c>
      <c r="S517">
        <f t="shared" si="982"/>
        <v>-246.19969447524056</v>
      </c>
      <c r="T517">
        <f t="shared" si="983"/>
        <v>-0.24619969447524057</v>
      </c>
    </row>
    <row r="518" spans="1:20" x14ac:dyDescent="0.25">
      <c r="A518" s="5">
        <v>44075</v>
      </c>
      <c r="B518">
        <v>3.2906</v>
      </c>
      <c r="C518">
        <v>3.7948</v>
      </c>
      <c r="D518">
        <v>3.11</v>
      </c>
      <c r="E518">
        <v>3.12</v>
      </c>
      <c r="F518">
        <v>14647470.5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-0.97079439252336386</v>
      </c>
      <c r="Q518">
        <f t="shared" ref="Q518:Q581" si="985">F518*P518</f>
        <v>-14219682.226051392</v>
      </c>
      <c r="R518">
        <f t="shared" ref="R518:R581" si="986">R519+Q518</f>
        <v>-36708899.094124064</v>
      </c>
      <c r="S518">
        <f t="shared" ref="S518:S581" si="987">R518/100000</f>
        <v>-367.08899094124064</v>
      </c>
      <c r="T518">
        <f t="shared" ref="T518:T581" si="988">S518/1000</f>
        <v>-0.36708899094124064</v>
      </c>
    </row>
    <row r="519" spans="1:20" x14ac:dyDescent="0.25">
      <c r="A519" s="5">
        <v>44074</v>
      </c>
      <c r="B519">
        <v>2.8847999999999998</v>
      </c>
      <c r="C519">
        <v>3.6</v>
      </c>
      <c r="D519">
        <v>2.629</v>
      </c>
      <c r="E519">
        <v>3.2905000000000002</v>
      </c>
      <c r="F519">
        <v>15548216.560000001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0.36251287332646787</v>
      </c>
      <c r="Q519">
        <f t="shared" si="985"/>
        <v>5636428.6602677703</v>
      </c>
      <c r="R519">
        <f t="shared" si="986"/>
        <v>-22489216.868072674</v>
      </c>
      <c r="S519">
        <f t="shared" si="987"/>
        <v>-224.89216868072674</v>
      </c>
      <c r="T519">
        <f t="shared" si="988"/>
        <v>-0.22489216868072673</v>
      </c>
    </row>
    <row r="520" spans="1:20" x14ac:dyDescent="0.25">
      <c r="A520" s="5">
        <v>44073</v>
      </c>
      <c r="B520">
        <v>2.8220000000000001</v>
      </c>
      <c r="C520">
        <v>2.9716</v>
      </c>
      <c r="D520">
        <v>2.6434000000000002</v>
      </c>
      <c r="E520">
        <v>2.8881999999999999</v>
      </c>
      <c r="F520">
        <v>11608996.43</v>
      </c>
      <c r="G520">
        <v>0</v>
      </c>
      <c r="L520" t="s">
        <v>7</v>
      </c>
      <c r="M520" t="s">
        <v>8</v>
      </c>
      <c r="N520" t="s">
        <v>8</v>
      </c>
      <c r="P520">
        <f t="shared" si="984"/>
        <v>0.49177330895795135</v>
      </c>
      <c r="Q520">
        <f t="shared" si="985"/>
        <v>5708994.5880621439</v>
      </c>
      <c r="R520">
        <f t="shared" si="986"/>
        <v>-28125645.528340444</v>
      </c>
      <c r="S520">
        <f t="shared" si="987"/>
        <v>-281.25645528340442</v>
      </c>
      <c r="T520">
        <f t="shared" si="988"/>
        <v>-0.28125645528340443</v>
      </c>
    </row>
    <row r="521" spans="1:20" x14ac:dyDescent="0.25">
      <c r="A521" s="5">
        <v>44072</v>
      </c>
      <c r="B521">
        <v>2.4131999999999998</v>
      </c>
      <c r="C521">
        <v>2.97</v>
      </c>
      <c r="D521">
        <v>2.2799999999999998</v>
      </c>
      <c r="E521">
        <v>2.823</v>
      </c>
      <c r="F521">
        <v>13782778.73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0.57391304347826044</v>
      </c>
      <c r="Q521">
        <f t="shared" si="985"/>
        <v>7910116.4885217333</v>
      </c>
      <c r="R521">
        <f t="shared" si="986"/>
        <v>-33834640.116402589</v>
      </c>
      <c r="S521">
        <f t="shared" si="987"/>
        <v>-338.34640116402591</v>
      </c>
      <c r="T521">
        <f t="shared" si="988"/>
        <v>-0.33834640116402592</v>
      </c>
    </row>
    <row r="522" spans="1:20" x14ac:dyDescent="0.25">
      <c r="A522" s="5">
        <v>44071</v>
      </c>
      <c r="B522">
        <v>2.5344000000000002</v>
      </c>
      <c r="C522">
        <v>2.8</v>
      </c>
      <c r="D522">
        <v>2.3203</v>
      </c>
      <c r="E522">
        <v>2.4148999999999998</v>
      </c>
      <c r="F522">
        <v>19833979.34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-0.60558682509902095</v>
      </c>
      <c r="Q522">
        <f t="shared" si="985"/>
        <v>-12011196.577590175</v>
      </c>
      <c r="R522">
        <f t="shared" si="986"/>
        <v>-41744756.604924321</v>
      </c>
      <c r="S522">
        <f t="shared" si="987"/>
        <v>-417.44756604924322</v>
      </c>
      <c r="T522">
        <f t="shared" si="988"/>
        <v>-0.41744756604924321</v>
      </c>
    </row>
    <row r="523" spans="1:20" x14ac:dyDescent="0.25">
      <c r="A523" s="5">
        <v>44070</v>
      </c>
      <c r="B523">
        <v>2.0701999999999998</v>
      </c>
      <c r="C523">
        <v>2.6</v>
      </c>
      <c r="D523">
        <v>2.0205000000000002</v>
      </c>
      <c r="E523">
        <v>2.5394999999999999</v>
      </c>
      <c r="F523">
        <v>24969423.25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0.79119930974978347</v>
      </c>
      <c r="Q523">
        <f t="shared" si="985"/>
        <v>19755790.440250196</v>
      </c>
      <c r="R523">
        <f t="shared" si="986"/>
        <v>-29733560.027334146</v>
      </c>
      <c r="S523">
        <f t="shared" si="987"/>
        <v>-297.33560027334147</v>
      </c>
      <c r="T523">
        <f t="shared" si="988"/>
        <v>-0.29733560027334149</v>
      </c>
    </row>
    <row r="524" spans="1:20" x14ac:dyDescent="0.25">
      <c r="A524" s="5">
        <v>44069</v>
      </c>
      <c r="B524">
        <v>1.6720999999999999</v>
      </c>
      <c r="C524">
        <v>2.1070000000000002</v>
      </c>
      <c r="D524">
        <v>1.6460999999999999</v>
      </c>
      <c r="E524">
        <v>2.0703</v>
      </c>
      <c r="F524">
        <v>13917619.5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0.84074636580603102</v>
      </c>
      <c r="Q524">
        <f t="shared" si="985"/>
        <v>11701188.01529615</v>
      </c>
      <c r="R524">
        <f t="shared" si="986"/>
        <v>-49489350.467584342</v>
      </c>
      <c r="S524">
        <f t="shared" si="987"/>
        <v>-494.89350467584342</v>
      </c>
      <c r="T524">
        <f t="shared" si="988"/>
        <v>-0.49489350467584342</v>
      </c>
    </row>
    <row r="525" spans="1:20" x14ac:dyDescent="0.25">
      <c r="A525" s="5">
        <v>44068</v>
      </c>
      <c r="B525">
        <v>1.8353999999999999</v>
      </c>
      <c r="C525">
        <v>1.8778999999999999</v>
      </c>
      <c r="D525">
        <v>1.571</v>
      </c>
      <c r="E525">
        <v>1.6720999999999999</v>
      </c>
      <c r="F525">
        <v>6069308.5700000003</v>
      </c>
      <c r="G525">
        <v>0</v>
      </c>
      <c r="L525" t="s">
        <v>8</v>
      </c>
      <c r="M525" t="s">
        <v>8</v>
      </c>
      <c r="N525" t="s">
        <v>7</v>
      </c>
      <c r="P525">
        <f t="shared" si="984"/>
        <v>-0.34115347018572834</v>
      </c>
      <c r="Q525">
        <f t="shared" si="985"/>
        <v>-2070565.6802834806</v>
      </c>
      <c r="R525">
        <f t="shared" si="986"/>
        <v>-61190538.482880495</v>
      </c>
      <c r="S525">
        <f t="shared" si="987"/>
        <v>-611.90538482880493</v>
      </c>
      <c r="T525">
        <f t="shared" si="988"/>
        <v>-0.61190538482880497</v>
      </c>
    </row>
    <row r="526" spans="1:20" x14ac:dyDescent="0.25">
      <c r="A526" s="5">
        <v>44067</v>
      </c>
      <c r="B526">
        <v>1.5306999999999999</v>
      </c>
      <c r="C526">
        <v>1.8455999999999999</v>
      </c>
      <c r="D526">
        <v>1.5027999999999999</v>
      </c>
      <c r="E526">
        <v>1.8353999999999999</v>
      </c>
      <c r="F526">
        <v>10285232.939999999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0.94049008168028014</v>
      </c>
      <c r="Q526">
        <f t="shared" si="985"/>
        <v>9673159.5678413082</v>
      </c>
      <c r="R526">
        <f t="shared" si="986"/>
        <v>-59119972.802597016</v>
      </c>
      <c r="S526">
        <f t="shared" si="987"/>
        <v>-591.19972802597022</v>
      </c>
      <c r="T526">
        <f t="shared" si="988"/>
        <v>-0.59119972802597021</v>
      </c>
    </row>
    <row r="527" spans="1:20" x14ac:dyDescent="0.25">
      <c r="A527" s="5">
        <v>44066</v>
      </c>
      <c r="B527">
        <v>1.5445</v>
      </c>
      <c r="C527">
        <v>1.5961000000000001</v>
      </c>
      <c r="D527">
        <v>1.4657</v>
      </c>
      <c r="E527">
        <v>1.5306999999999999</v>
      </c>
      <c r="F527">
        <v>2298987.2000000002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-3.0674846625780502E-3</v>
      </c>
      <c r="Q527">
        <f t="shared" si="985"/>
        <v>-7052.1079754632574</v>
      </c>
      <c r="R527">
        <f t="shared" si="986"/>
        <v>-68793132.370438322</v>
      </c>
      <c r="S527">
        <f t="shared" si="987"/>
        <v>-687.9313237043832</v>
      </c>
      <c r="T527">
        <f t="shared" si="988"/>
        <v>-0.68793132370438326</v>
      </c>
    </row>
    <row r="528" spans="1:20" x14ac:dyDescent="0.25">
      <c r="A528" s="5">
        <v>44065</v>
      </c>
      <c r="B528">
        <v>1.5098</v>
      </c>
      <c r="C528">
        <v>1.5656000000000001</v>
      </c>
      <c r="D528">
        <v>1.41</v>
      </c>
      <c r="E528">
        <v>1.5425</v>
      </c>
      <c r="F528">
        <v>2832406.14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0.70308483290488311</v>
      </c>
      <c r="Q528">
        <f t="shared" si="985"/>
        <v>1991421.7976606651</v>
      </c>
      <c r="R528">
        <f t="shared" si="986"/>
        <v>-68786080.262462854</v>
      </c>
      <c r="S528">
        <f t="shared" si="987"/>
        <v>-687.86080262462849</v>
      </c>
      <c r="T528">
        <f t="shared" si="988"/>
        <v>-0.68786080262462845</v>
      </c>
    </row>
    <row r="529" spans="1:20" x14ac:dyDescent="0.25">
      <c r="A529" s="5">
        <v>44064</v>
      </c>
      <c r="B529">
        <v>1.7710999999999999</v>
      </c>
      <c r="C529">
        <v>1.774</v>
      </c>
      <c r="D529">
        <v>1.5</v>
      </c>
      <c r="E529">
        <v>1.5098</v>
      </c>
      <c r="F529">
        <v>4208793.1500000004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-0.92846715328467133</v>
      </c>
      <c r="Q529">
        <f t="shared" si="985"/>
        <v>-3907726.194744525</v>
      </c>
      <c r="R529">
        <f t="shared" si="986"/>
        <v>-70777502.060123518</v>
      </c>
      <c r="S529">
        <f t="shared" si="987"/>
        <v>-707.77502060123516</v>
      </c>
      <c r="T529">
        <f t="shared" si="988"/>
        <v>-0.70777502060123521</v>
      </c>
    </row>
    <row r="530" spans="1:20" x14ac:dyDescent="0.25">
      <c r="A530" s="5">
        <v>44063</v>
      </c>
      <c r="B530">
        <v>1.5993999999999999</v>
      </c>
      <c r="C530">
        <v>1.7889999999999999</v>
      </c>
      <c r="D530">
        <v>1.595</v>
      </c>
      <c r="E530">
        <v>1.7747999999999999</v>
      </c>
      <c r="F530">
        <v>3816748.6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0.85360824742268049</v>
      </c>
      <c r="Q530">
        <f t="shared" si="985"/>
        <v>3258008.0832989695</v>
      </c>
      <c r="R530">
        <f t="shared" si="986"/>
        <v>-66869775.865378991</v>
      </c>
      <c r="S530">
        <f t="shared" si="987"/>
        <v>-668.69775865378995</v>
      </c>
      <c r="T530">
        <f t="shared" si="988"/>
        <v>-0.66869775865379</v>
      </c>
    </row>
    <row r="531" spans="1:20" x14ac:dyDescent="0.25">
      <c r="A531" s="5">
        <v>44062</v>
      </c>
      <c r="B531">
        <v>1.6669</v>
      </c>
      <c r="C531">
        <v>1.77</v>
      </c>
      <c r="D531">
        <v>1.55</v>
      </c>
      <c r="E531">
        <v>1.5992999999999999</v>
      </c>
      <c r="F531">
        <v>4227230.6500000004</v>
      </c>
      <c r="G531">
        <v>0</v>
      </c>
      <c r="L531" t="s">
        <v>8</v>
      </c>
      <c r="M531" t="s">
        <v>7</v>
      </c>
      <c r="N531" t="s">
        <v>7</v>
      </c>
      <c r="P531">
        <f t="shared" si="984"/>
        <v>-0.55181818181818265</v>
      </c>
      <c r="Q531">
        <f t="shared" si="985"/>
        <v>-2332662.7314090948</v>
      </c>
      <c r="R531">
        <f t="shared" si="986"/>
        <v>-70127783.948677957</v>
      </c>
      <c r="S531">
        <f t="shared" si="987"/>
        <v>-701.27783948677961</v>
      </c>
      <c r="T531">
        <f t="shared" si="988"/>
        <v>-0.70127783948677958</v>
      </c>
    </row>
    <row r="532" spans="1:20" x14ac:dyDescent="0.25">
      <c r="A532" s="5">
        <v>44061</v>
      </c>
      <c r="B532">
        <v>1.6504000000000001</v>
      </c>
      <c r="C532">
        <v>1.7998000000000001</v>
      </c>
      <c r="D532">
        <v>1.5251999999999999</v>
      </c>
      <c r="E532">
        <v>1.6714</v>
      </c>
      <c r="F532">
        <v>6518368.3700000001</v>
      </c>
      <c r="G532">
        <v>0</v>
      </c>
      <c r="L532" t="s">
        <v>7</v>
      </c>
      <c r="M532" t="s">
        <v>8</v>
      </c>
      <c r="N532" t="s">
        <v>7</v>
      </c>
      <c r="P532">
        <f t="shared" si="984"/>
        <v>6.4821558630735715E-2</v>
      </c>
      <c r="Q532">
        <f t="shared" si="985"/>
        <v>422530.79747268819</v>
      </c>
      <c r="R532">
        <f t="shared" si="986"/>
        <v>-67795121.217268869</v>
      </c>
      <c r="S532">
        <f t="shared" si="987"/>
        <v>-677.95121217268866</v>
      </c>
      <c r="T532">
        <f t="shared" si="988"/>
        <v>-0.67795121217268861</v>
      </c>
    </row>
    <row r="533" spans="1:20" x14ac:dyDescent="0.25">
      <c r="A533" s="5">
        <v>44060</v>
      </c>
      <c r="B533">
        <v>1.7313000000000001</v>
      </c>
      <c r="C533">
        <v>1.7868999999999999</v>
      </c>
      <c r="D533">
        <v>1.625</v>
      </c>
      <c r="E533">
        <v>1.6503000000000001</v>
      </c>
      <c r="F533">
        <v>5436284.29</v>
      </c>
      <c r="G533">
        <v>0</v>
      </c>
      <c r="L533" t="s">
        <v>8</v>
      </c>
      <c r="M533" t="s">
        <v>7</v>
      </c>
      <c r="N533" t="s">
        <v>7</v>
      </c>
      <c r="P533">
        <f t="shared" si="984"/>
        <v>-0.68746139592340816</v>
      </c>
      <c r="Q533">
        <f t="shared" si="985"/>
        <v>-3737235.5866398937</v>
      </c>
      <c r="R533">
        <f t="shared" si="986"/>
        <v>-68217652.014741555</v>
      </c>
      <c r="S533">
        <f t="shared" si="987"/>
        <v>-682.17652014741554</v>
      </c>
      <c r="T533">
        <f t="shared" si="988"/>
        <v>-0.68217652014741559</v>
      </c>
    </row>
    <row r="534" spans="1:20" x14ac:dyDescent="0.25">
      <c r="A534" s="5">
        <v>44059</v>
      </c>
      <c r="B534">
        <v>1.6629</v>
      </c>
      <c r="C534">
        <v>1.85</v>
      </c>
      <c r="D534">
        <v>1.5173000000000001</v>
      </c>
      <c r="E534">
        <v>1.73</v>
      </c>
      <c r="F534">
        <v>10224160.880000001</v>
      </c>
      <c r="G534">
        <v>0</v>
      </c>
      <c r="L534" t="s">
        <v>7</v>
      </c>
      <c r="M534" t="s">
        <v>7</v>
      </c>
      <c r="N534" t="s">
        <v>7</v>
      </c>
      <c r="P534">
        <f t="shared" si="984"/>
        <v>0.27862939585211838</v>
      </c>
      <c r="Q534">
        <f t="shared" si="985"/>
        <v>2848751.7690892634</v>
      </c>
      <c r="R534">
        <f t="shared" si="986"/>
        <v>-64480416.428101659</v>
      </c>
      <c r="S534">
        <f t="shared" si="987"/>
        <v>-644.8041642810166</v>
      </c>
      <c r="T534">
        <f t="shared" si="988"/>
        <v>-0.64480416428101661</v>
      </c>
    </row>
    <row r="535" spans="1:20" x14ac:dyDescent="0.25">
      <c r="A535" s="5">
        <v>44058</v>
      </c>
      <c r="B535">
        <v>1.86</v>
      </c>
      <c r="C535">
        <v>1.9287000000000001</v>
      </c>
      <c r="D535">
        <v>1.64</v>
      </c>
      <c r="E535">
        <v>1.6651</v>
      </c>
      <c r="F535">
        <v>10974441.779999999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-0.82611707655005118</v>
      </c>
      <c r="Q535">
        <f t="shared" si="985"/>
        <v>-9066173.7600623388</v>
      </c>
      <c r="R535">
        <f t="shared" si="986"/>
        <v>-67329168.197190925</v>
      </c>
      <c r="S535">
        <f t="shared" si="987"/>
        <v>-673.29168197190927</v>
      </c>
      <c r="T535">
        <f t="shared" si="988"/>
        <v>-0.67329168197190925</v>
      </c>
    </row>
    <row r="536" spans="1:20" x14ac:dyDescent="0.25">
      <c r="A536" s="5">
        <v>44057</v>
      </c>
      <c r="B536">
        <v>2.0066000000000002</v>
      </c>
      <c r="C536">
        <v>2.1469</v>
      </c>
      <c r="D536">
        <v>1.8</v>
      </c>
      <c r="E536">
        <v>1.8573999999999999</v>
      </c>
      <c r="F536">
        <v>14275597.59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-0.66906889593542862</v>
      </c>
      <c r="Q536">
        <f t="shared" si="985"/>
        <v>-9551358.3183597662</v>
      </c>
      <c r="R536">
        <f t="shared" si="986"/>
        <v>-58262994.437128589</v>
      </c>
      <c r="S536">
        <f t="shared" si="987"/>
        <v>-582.62994437128589</v>
      </c>
      <c r="T536">
        <f t="shared" si="988"/>
        <v>-0.5826299443712859</v>
      </c>
    </row>
    <row r="537" spans="1:20" x14ac:dyDescent="0.25">
      <c r="A537" s="5">
        <v>44056</v>
      </c>
      <c r="B537">
        <v>1.6609</v>
      </c>
      <c r="C537">
        <v>2.23</v>
      </c>
      <c r="D537">
        <v>1.62</v>
      </c>
      <c r="E537">
        <v>2.0068000000000001</v>
      </c>
      <c r="F537">
        <v>33962576.509999998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0.26819672131147576</v>
      </c>
      <c r="Q537">
        <f t="shared" si="985"/>
        <v>9108651.6672721431</v>
      </c>
      <c r="R537">
        <f t="shared" si="986"/>
        <v>-48711636.118768819</v>
      </c>
      <c r="S537">
        <f t="shared" si="987"/>
        <v>-487.1163611876882</v>
      </c>
      <c r="T537">
        <f t="shared" si="988"/>
        <v>-0.4871163611876882</v>
      </c>
    </row>
    <row r="538" spans="1:20" x14ac:dyDescent="0.25">
      <c r="A538" s="5">
        <v>44055</v>
      </c>
      <c r="B538">
        <v>1.5609</v>
      </c>
      <c r="C538">
        <v>1.9850000000000001</v>
      </c>
      <c r="D538">
        <v>1.5549999999999999</v>
      </c>
      <c r="E538">
        <v>1.6657999999999999</v>
      </c>
      <c r="F538">
        <v>68986888.280000001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-0.48465116279069781</v>
      </c>
      <c r="Q538">
        <f t="shared" si="985"/>
        <v>-33434575.622213963</v>
      </c>
      <c r="R538">
        <f t="shared" si="986"/>
        <v>-57820287.786040962</v>
      </c>
      <c r="S538">
        <f t="shared" si="987"/>
        <v>-578.20287786040967</v>
      </c>
      <c r="T538">
        <f t="shared" si="988"/>
        <v>-0.57820287786040969</v>
      </c>
    </row>
    <row r="539" spans="1:20" x14ac:dyDescent="0.25">
      <c r="A539" s="5">
        <v>44054</v>
      </c>
      <c r="B539">
        <v>0.11</v>
      </c>
      <c r="C539">
        <v>5</v>
      </c>
      <c r="D539">
        <v>0.11</v>
      </c>
      <c r="E539">
        <v>1.5629</v>
      </c>
      <c r="F539">
        <v>60097839.170000002</v>
      </c>
      <c r="G539">
        <v>0</v>
      </c>
      <c r="P539">
        <f t="shared" si="984"/>
        <v>-0.40576687116564425</v>
      </c>
      <c r="Q539">
        <f t="shared" si="985"/>
        <v>-24385712.163826998</v>
      </c>
      <c r="R539">
        <f t="shared" si="986"/>
        <v>-24385712.163826998</v>
      </c>
      <c r="S539">
        <f t="shared" si="987"/>
        <v>-243.85712163826997</v>
      </c>
      <c r="T539">
        <f t="shared" si="988"/>
        <v>-0.24385712163826997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N550" sqref="IN55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$A$549</v>
      </c>
      <c r="D111" s="1" t="str">
        <f>ADDRESS(C121-1,D121,1,1)</f>
        <v>$IN$549</v>
      </c>
      <c r="E111"/>
    </row>
    <row r="112" spans="1:5" x14ac:dyDescent="0.25">
      <c r="A112" s="7">
        <v>12164.144957890772</v>
      </c>
      <c r="C112" s="1" t="str">
        <f>ADDRESS(C121,1,1,1)</f>
        <v>$A$550</v>
      </c>
      <c r="D112" s="1" t="str">
        <f>ADDRESS(C121,D121-1,1,1)</f>
        <v>$IM$550</v>
      </c>
      <c r="E112"/>
    </row>
    <row r="113" spans="1:5" x14ac:dyDescent="0.25">
      <c r="A113" s="7">
        <v>11925.63231165762</v>
      </c>
      <c r="C113" s="1" t="str">
        <f>ADDRESS(C121+1,1,1,1)</f>
        <v>$A$551</v>
      </c>
      <c r="D113" s="1" t="str">
        <f>ADDRESS(C121-1,D121+1,1,1)</f>
        <v>$IO$549</v>
      </c>
    </row>
    <row r="114" spans="1:5" x14ac:dyDescent="0.25">
      <c r="A114" s="7">
        <v>11691.796383978059</v>
      </c>
      <c r="C114" s="1" t="str">
        <f>ADDRESS(C121,D121,1,1)</f>
        <v>$IN$550</v>
      </c>
      <c r="D114" s="1" t="str">
        <f>ADDRESS(C121+1,D121+1,1,1)</f>
        <v>$IO$551</v>
      </c>
    </row>
    <row r="115" spans="1:5" x14ac:dyDescent="0.25">
      <c r="A115" s="7">
        <v>11462.545474488292</v>
      </c>
      <c r="C115" s="1" t="str">
        <f>ADDRESS(C121+1,D121,1,1)</f>
        <v>$IN$551</v>
      </c>
    </row>
    <row r="116" spans="1:5" x14ac:dyDescent="0.25">
      <c r="A116" s="7">
        <v>11237.789680870874</v>
      </c>
      <c r="C116" s="1">
        <f>C117-1</f>
        <v>549</v>
      </c>
    </row>
    <row r="117" spans="1:5" x14ac:dyDescent="0.25">
      <c r="A117" s="7">
        <v>11017.440863598895</v>
      </c>
      <c r="C117" s="1">
        <f>C121</f>
        <v>550</v>
      </c>
      <c r="D117" s="1">
        <f>D121</f>
        <v>248</v>
      </c>
    </row>
    <row r="118" spans="1:5" x14ac:dyDescent="0.25">
      <c r="A118" s="7">
        <v>10801.412611371465</v>
      </c>
      <c r="C118" s="1">
        <f>C117+1</f>
        <v>551</v>
      </c>
      <c r="D118" s="1">
        <f>D117+1</f>
        <v>249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550</v>
      </c>
      <c r="D121" s="19">
        <v>248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R550</v>
      </c>
      <c r="D123" s="1" t="str">
        <f>"C"&amp;D121</f>
        <v>C248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2.0806850905900198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194" x14ac:dyDescent="0.25">
      <c r="A449" s="7">
        <v>15.375303708145482</v>
      </c>
      <c r="B449"/>
      <c r="C449"/>
      <c r="D449"/>
      <c r="E449"/>
    </row>
    <row r="450" spans="1:194" x14ac:dyDescent="0.25">
      <c r="A450" s="7">
        <v>15.073827164848511</v>
      </c>
      <c r="B450"/>
      <c r="C450"/>
      <c r="D450"/>
      <c r="E450"/>
    </row>
    <row r="451" spans="1:194" x14ac:dyDescent="0.25">
      <c r="A451" s="7">
        <v>14.77826192632207</v>
      </c>
      <c r="B451"/>
      <c r="C451"/>
      <c r="D451"/>
      <c r="E451"/>
    </row>
    <row r="452" spans="1:194" x14ac:dyDescent="0.25">
      <c r="A452" s="7">
        <v>14.488492084629481</v>
      </c>
      <c r="B452"/>
      <c r="C452"/>
      <c r="D452"/>
      <c r="E452"/>
    </row>
    <row r="453" spans="1:194" x14ac:dyDescent="0.25">
      <c r="A453" s="7">
        <v>14.204404004538707</v>
      </c>
      <c r="B453"/>
      <c r="C453"/>
      <c r="D453"/>
      <c r="E453"/>
    </row>
    <row r="454" spans="1:194" x14ac:dyDescent="0.25">
      <c r="A454" s="7">
        <v>13.925886278959517</v>
      </c>
      <c r="B454"/>
      <c r="C454"/>
      <c r="D454"/>
      <c r="E454"/>
    </row>
    <row r="455" spans="1:194" x14ac:dyDescent="0.25">
      <c r="A455" s="7">
        <v>13.652829685254428</v>
      </c>
      <c r="B455"/>
      <c r="C455"/>
      <c r="D455"/>
      <c r="E455"/>
      <c r="GK455" s="27" t="s">
        <v>8</v>
      </c>
    </row>
    <row r="456" spans="1:194" x14ac:dyDescent="0.25">
      <c r="A456" s="7">
        <v>13.385127142406303</v>
      </c>
      <c r="B456"/>
      <c r="C456"/>
      <c r="D456"/>
      <c r="E456"/>
      <c r="GK456" s="27" t="s">
        <v>8</v>
      </c>
      <c r="GL456" s="27" t="s">
        <v>7</v>
      </c>
    </row>
    <row r="457" spans="1:194" x14ac:dyDescent="0.25">
      <c r="A457" s="7">
        <v>13.122673669025787</v>
      </c>
      <c r="B457"/>
      <c r="C457"/>
      <c r="D457"/>
      <c r="E457"/>
      <c r="GK457" s="27" t="s">
        <v>8</v>
      </c>
      <c r="GL457" s="27" t="s">
        <v>7</v>
      </c>
    </row>
    <row r="458" spans="1:194" x14ac:dyDescent="0.25">
      <c r="A458" s="7">
        <v>12.865366342182144</v>
      </c>
      <c r="B458"/>
      <c r="C458"/>
      <c r="D458"/>
      <c r="E458"/>
      <c r="EA458" s="27" t="s">
        <v>8</v>
      </c>
      <c r="GK458" s="27" t="s">
        <v>8</v>
      </c>
      <c r="GL458" s="27" t="s">
        <v>7</v>
      </c>
    </row>
    <row r="459" spans="1:194" x14ac:dyDescent="0.25">
      <c r="A459" s="7">
        <v>12.613104257041318</v>
      </c>
      <c r="B459"/>
      <c r="C459"/>
      <c r="D459"/>
      <c r="E459"/>
      <c r="EA459" s="27" t="s">
        <v>8</v>
      </c>
      <c r="EB459" s="27" t="s">
        <v>7</v>
      </c>
      <c r="GK459" s="27" t="s">
        <v>8</v>
      </c>
      <c r="GL459" s="27" t="s">
        <v>7</v>
      </c>
    </row>
    <row r="460" spans="1:194" x14ac:dyDescent="0.25">
      <c r="A460" s="7">
        <v>12.36578848729541</v>
      </c>
      <c r="B460"/>
      <c r="C460"/>
      <c r="D460"/>
      <c r="E460"/>
      <c r="EA460" s="27" t="s">
        <v>8</v>
      </c>
      <c r="EB460" s="27" t="s">
        <v>7</v>
      </c>
      <c r="GK460" s="27" t="s">
        <v>8</v>
      </c>
      <c r="GL460" s="27" t="s">
        <v>7</v>
      </c>
    </row>
    <row r="461" spans="1:194" x14ac:dyDescent="0.25">
      <c r="A461" s="7">
        <v>12.123322046368049</v>
      </c>
      <c r="B461"/>
      <c r="C461"/>
      <c r="D461"/>
      <c r="E461"/>
      <c r="EA461" s="27" t="s">
        <v>8</v>
      </c>
      <c r="EB461" s="27" t="s">
        <v>7</v>
      </c>
      <c r="GI461" s="27" t="s">
        <v>8</v>
      </c>
      <c r="GK461" s="27" t="s">
        <v>8</v>
      </c>
      <c r="GL461" s="27" t="s">
        <v>7</v>
      </c>
    </row>
    <row r="462" spans="1:194" x14ac:dyDescent="0.25">
      <c r="A462" s="7">
        <v>11.88560984938044</v>
      </c>
      <c r="B462"/>
      <c r="C462"/>
      <c r="D462"/>
      <c r="E462"/>
      <c r="EA462" s="27" t="s">
        <v>8</v>
      </c>
      <c r="EB462" s="27" t="s">
        <v>7</v>
      </c>
      <c r="GI462" s="27" t="s">
        <v>8</v>
      </c>
      <c r="GJ462" s="27" t="s">
        <v>7</v>
      </c>
      <c r="GK462" s="27" t="s">
        <v>8</v>
      </c>
      <c r="GL462" s="27" t="s">
        <v>7</v>
      </c>
    </row>
    <row r="463" spans="1:194" x14ac:dyDescent="0.25">
      <c r="A463" s="7">
        <v>11.652558675863176</v>
      </c>
      <c r="B463"/>
      <c r="C463"/>
      <c r="D463"/>
      <c r="E463"/>
      <c r="EA463" s="27" t="s">
        <v>8</v>
      </c>
      <c r="EB463" s="27" t="s">
        <v>7</v>
      </c>
      <c r="GI463" s="27" t="s">
        <v>8</v>
      </c>
      <c r="GJ463" s="27" t="s">
        <v>7</v>
      </c>
      <c r="GK463" s="27" t="s">
        <v>8</v>
      </c>
      <c r="GL463" s="27" t="s">
        <v>7</v>
      </c>
    </row>
    <row r="464" spans="1:194" x14ac:dyDescent="0.25">
      <c r="A464" s="7">
        <v>11.424077133199193</v>
      </c>
      <c r="B464"/>
      <c r="C464"/>
      <c r="D464"/>
      <c r="E464"/>
      <c r="DY464" s="27" t="s">
        <v>8</v>
      </c>
      <c r="EA464" s="27" t="s">
        <v>8</v>
      </c>
      <c r="EB464" s="27" t="s">
        <v>7</v>
      </c>
      <c r="GI464" s="27" t="s">
        <v>8</v>
      </c>
      <c r="GJ464" s="27" t="s">
        <v>7</v>
      </c>
      <c r="GK464" s="27" t="s">
        <v>8</v>
      </c>
      <c r="GL464" s="27" t="s">
        <v>7</v>
      </c>
    </row>
    <row r="465" spans="1:216" x14ac:dyDescent="0.25">
      <c r="A465" s="7">
        <v>11.200075620783522</v>
      </c>
      <c r="B465"/>
      <c r="C465"/>
      <c r="D465"/>
      <c r="E465"/>
      <c r="DY465" s="27" t="s">
        <v>8</v>
      </c>
      <c r="DZ465" s="27" t="s">
        <v>7</v>
      </c>
      <c r="EA465" s="27" t="s">
        <v>8</v>
      </c>
      <c r="EB465" s="27" t="s">
        <v>7</v>
      </c>
      <c r="EE465" s="27" t="s">
        <v>8</v>
      </c>
      <c r="GI465" s="27" t="s">
        <v>8</v>
      </c>
      <c r="GJ465" s="27" t="s">
        <v>7</v>
      </c>
      <c r="GK465" s="27" t="s">
        <v>8</v>
      </c>
      <c r="GL465" s="27" t="s">
        <v>7</v>
      </c>
      <c r="GO465" s="27" t="s">
        <v>8</v>
      </c>
    </row>
    <row r="466" spans="1:216" x14ac:dyDescent="0.25">
      <c r="A466" s="7">
        <v>10.980466294885806</v>
      </c>
      <c r="B466"/>
      <c r="C466"/>
      <c r="D466"/>
      <c r="E466"/>
      <c r="DY466" s="27" t="s">
        <v>8</v>
      </c>
      <c r="DZ466" s="27" t="s">
        <v>7</v>
      </c>
      <c r="EA466" s="27" t="s">
        <v>8</v>
      </c>
      <c r="EB466" s="27" t="s">
        <v>7</v>
      </c>
      <c r="EC466" s="27" t="s">
        <v>8</v>
      </c>
      <c r="EE466" s="27" t="s">
        <v>8</v>
      </c>
      <c r="EF466" s="27" t="s">
        <v>7</v>
      </c>
      <c r="GI466" s="27" t="s">
        <v>8</v>
      </c>
      <c r="GJ466" s="27" t="s">
        <v>7</v>
      </c>
      <c r="GK466" s="27" t="s">
        <v>8</v>
      </c>
      <c r="GL466" s="27" t="s">
        <v>7</v>
      </c>
      <c r="GM466" s="27" t="s">
        <v>8</v>
      </c>
      <c r="GO466" s="27" t="s">
        <v>8</v>
      </c>
      <c r="GP466" s="27" t="s">
        <v>7</v>
      </c>
    </row>
    <row r="467" spans="1:216" x14ac:dyDescent="0.25">
      <c r="A467" s="7">
        <v>10.765163034201771</v>
      </c>
      <c r="B467"/>
      <c r="C467"/>
      <c r="D467"/>
      <c r="E467"/>
      <c r="DY467" s="27" t="s">
        <v>8</v>
      </c>
      <c r="DZ467" s="27" t="s">
        <v>7</v>
      </c>
      <c r="EA467" s="27" t="s">
        <v>8</v>
      </c>
      <c r="EB467" s="27" t="s">
        <v>7</v>
      </c>
      <c r="EC467" s="27" t="s">
        <v>8</v>
      </c>
      <c r="ED467" s="27" t="s">
        <v>7</v>
      </c>
      <c r="EE467" s="27" t="s">
        <v>8</v>
      </c>
      <c r="EF467" s="27" t="s">
        <v>7</v>
      </c>
      <c r="EK467" s="27" t="s">
        <v>8</v>
      </c>
      <c r="GI467" s="27" t="s">
        <v>8</v>
      </c>
      <c r="GJ467" s="27" t="s">
        <v>7</v>
      </c>
      <c r="GK467" s="27" t="s">
        <v>8</v>
      </c>
      <c r="GL467" s="27" t="s">
        <v>7</v>
      </c>
      <c r="GM467" s="27" t="s">
        <v>8</v>
      </c>
      <c r="GN467" s="27" t="s">
        <v>7</v>
      </c>
      <c r="GO467" s="27" t="s">
        <v>8</v>
      </c>
      <c r="GP467" s="27" t="s">
        <v>7</v>
      </c>
    </row>
    <row r="468" spans="1:216" x14ac:dyDescent="0.25">
      <c r="A468" s="7">
        <v>10.554081406080169</v>
      </c>
      <c r="B468"/>
      <c r="C468"/>
      <c r="D468"/>
      <c r="E468"/>
      <c r="DY468" s="27" t="s">
        <v>8</v>
      </c>
      <c r="DZ468" s="27" t="s">
        <v>7</v>
      </c>
      <c r="EA468" s="27" t="s">
        <v>8</v>
      </c>
      <c r="EB468" s="27" t="s">
        <v>7</v>
      </c>
      <c r="EC468" s="27" t="s">
        <v>8</v>
      </c>
      <c r="ED468" s="27" t="s">
        <v>7</v>
      </c>
      <c r="EE468" s="27" t="s">
        <v>8</v>
      </c>
      <c r="EF468" s="27" t="s">
        <v>7</v>
      </c>
      <c r="EK468" s="27" t="s">
        <v>8</v>
      </c>
      <c r="EL468" s="27" t="s">
        <v>7</v>
      </c>
      <c r="GI468" s="27" t="s">
        <v>8</v>
      </c>
      <c r="GJ468" s="27" t="s">
        <v>7</v>
      </c>
      <c r="GK468" s="27" t="s">
        <v>8</v>
      </c>
      <c r="GL468" s="27" t="s">
        <v>7</v>
      </c>
      <c r="GM468" s="27" t="s">
        <v>8</v>
      </c>
      <c r="GN468" s="27" t="s">
        <v>7</v>
      </c>
      <c r="GO468" s="27" t="s">
        <v>8</v>
      </c>
      <c r="GP468" s="27" t="s">
        <v>7</v>
      </c>
    </row>
    <row r="469" spans="1:216" x14ac:dyDescent="0.25">
      <c r="A469" s="7">
        <v>10.34713863341193</v>
      </c>
      <c r="B469"/>
      <c r="C469"/>
      <c r="D469"/>
      <c r="E469"/>
      <c r="DY469" s="27" t="s">
        <v>8</v>
      </c>
      <c r="DZ469" s="27" t="s">
        <v>7</v>
      </c>
      <c r="EA469" s="27" t="s">
        <v>8</v>
      </c>
      <c r="EB469" s="27" t="s">
        <v>7</v>
      </c>
      <c r="EC469" s="27" t="s">
        <v>8</v>
      </c>
      <c r="ED469" s="27" t="s">
        <v>7</v>
      </c>
      <c r="EE469" s="27" t="s">
        <v>8</v>
      </c>
      <c r="EF469" s="27" t="s">
        <v>7</v>
      </c>
      <c r="EK469" s="27" t="s">
        <v>8</v>
      </c>
      <c r="EL469" s="27" t="s">
        <v>7</v>
      </c>
      <c r="GI469" s="27" t="s">
        <v>8</v>
      </c>
      <c r="GJ469" s="27" t="s">
        <v>7</v>
      </c>
      <c r="GK469" s="27" t="s">
        <v>8</v>
      </c>
      <c r="GL469" s="27" t="s">
        <v>7</v>
      </c>
      <c r="GM469" s="27" t="s">
        <v>8</v>
      </c>
      <c r="GN469" s="27" t="s">
        <v>7</v>
      </c>
      <c r="GO469" s="27" t="s">
        <v>8</v>
      </c>
      <c r="GP469" s="27" t="s">
        <v>7</v>
      </c>
    </row>
    <row r="470" spans="1:216" x14ac:dyDescent="0.25">
      <c r="A470" s="7">
        <v>10.14425356216856</v>
      </c>
      <c r="B470"/>
      <c r="C470"/>
      <c r="D470"/>
      <c r="E470"/>
      <c r="DY470" s="27" t="s">
        <v>8</v>
      </c>
      <c r="DZ470" s="27" t="s">
        <v>7</v>
      </c>
      <c r="EA470" s="27" t="s">
        <v>8</v>
      </c>
      <c r="EB470" s="27" t="s">
        <v>7</v>
      </c>
      <c r="ED470" s="27" t="s">
        <v>7</v>
      </c>
      <c r="EE470" s="27" t="s">
        <v>8</v>
      </c>
      <c r="EF470" s="27" t="s">
        <v>7</v>
      </c>
      <c r="EG470" s="27" t="s">
        <v>8</v>
      </c>
      <c r="EK470" s="27" t="s">
        <v>8</v>
      </c>
      <c r="EL470" s="27" t="s">
        <v>7</v>
      </c>
      <c r="GE470" s="27" t="s">
        <v>8</v>
      </c>
      <c r="GI470" s="27" t="s">
        <v>8</v>
      </c>
      <c r="GJ470" s="27" t="s">
        <v>7</v>
      </c>
      <c r="GK470" s="27" t="s">
        <v>8</v>
      </c>
      <c r="GL470" s="27" t="s">
        <v>7</v>
      </c>
      <c r="GM470" s="27" t="s">
        <v>8</v>
      </c>
      <c r="GN470" s="27" t="s">
        <v>7</v>
      </c>
      <c r="GO470" s="27" t="s">
        <v>8</v>
      </c>
      <c r="GP470" s="27" t="s">
        <v>7</v>
      </c>
    </row>
    <row r="471" spans="1:216" x14ac:dyDescent="0.25">
      <c r="A471" s="7">
        <v>9.9453466295770188</v>
      </c>
      <c r="B471"/>
      <c r="C471"/>
      <c r="D471"/>
      <c r="E471"/>
      <c r="DY471" s="27" t="s">
        <v>8</v>
      </c>
      <c r="DZ471" s="27" t="s">
        <v>7</v>
      </c>
      <c r="EA471" s="27" t="s">
        <v>8</v>
      </c>
      <c r="ED471" s="27" t="s">
        <v>7</v>
      </c>
      <c r="EE471" s="27" t="s">
        <v>8</v>
      </c>
      <c r="EF471" s="27" t="s">
        <v>7</v>
      </c>
      <c r="EG471" s="27" t="s">
        <v>8</v>
      </c>
      <c r="EH471" s="27" t="s">
        <v>7</v>
      </c>
      <c r="EK471" s="27" t="s">
        <v>8</v>
      </c>
      <c r="EL471" s="27" t="s">
        <v>7</v>
      </c>
      <c r="GE471" s="27" t="s">
        <v>8</v>
      </c>
      <c r="GF471" s="27" t="s">
        <v>7</v>
      </c>
      <c r="GI471" s="27" t="s">
        <v>8</v>
      </c>
      <c r="GJ471" s="27" t="s">
        <v>7</v>
      </c>
      <c r="GK471" s="27" t="s">
        <v>8</v>
      </c>
      <c r="GL471" s="27" t="s">
        <v>7</v>
      </c>
      <c r="GN471" s="27" t="s">
        <v>7</v>
      </c>
      <c r="GO471" s="27" t="s">
        <v>8</v>
      </c>
      <c r="GP471" s="27" t="s">
        <v>7</v>
      </c>
    </row>
    <row r="472" spans="1:216" x14ac:dyDescent="0.25">
      <c r="A472" s="7">
        <v>9.7503398329186464</v>
      </c>
      <c r="B472"/>
      <c r="C472"/>
      <c r="D472"/>
      <c r="E472"/>
      <c r="DY472" s="27" t="s">
        <v>8</v>
      </c>
      <c r="DZ472" s="27" t="s">
        <v>7</v>
      </c>
      <c r="EA472" s="27" t="s">
        <v>8</v>
      </c>
      <c r="ED472" s="27" t="s">
        <v>7</v>
      </c>
      <c r="EF472" s="27" t="s">
        <v>7</v>
      </c>
      <c r="EG472" s="27" t="s">
        <v>8</v>
      </c>
      <c r="EH472" s="27" t="s">
        <v>7</v>
      </c>
      <c r="EK472" s="27" t="s">
        <v>8</v>
      </c>
      <c r="EL472" s="27" t="s">
        <v>7</v>
      </c>
      <c r="GE472" s="27" t="s">
        <v>8</v>
      </c>
      <c r="GF472" s="27" t="s">
        <v>7</v>
      </c>
      <c r="GG472" s="27" t="s">
        <v>8</v>
      </c>
      <c r="GI472" s="27" t="s">
        <v>8</v>
      </c>
      <c r="GJ472" s="27" t="s">
        <v>7</v>
      </c>
      <c r="GK472" s="27" t="s">
        <v>8</v>
      </c>
      <c r="GN472" s="27" t="s">
        <v>7</v>
      </c>
      <c r="GO472" s="27" t="s">
        <v>8</v>
      </c>
      <c r="GP472" s="27" t="s">
        <v>7</v>
      </c>
    </row>
    <row r="473" spans="1:216" x14ac:dyDescent="0.25">
      <c r="A473" s="7">
        <v>9.5591566989398498</v>
      </c>
      <c r="B473"/>
      <c r="C473"/>
      <c r="D473"/>
      <c r="E473"/>
      <c r="DY473" s="27" t="s">
        <v>8</v>
      </c>
      <c r="DZ473" s="27" t="s">
        <v>7</v>
      </c>
      <c r="EA473" s="27" t="s">
        <v>8</v>
      </c>
      <c r="EF473" s="27" t="s">
        <v>7</v>
      </c>
      <c r="EG473" s="27" t="s">
        <v>8</v>
      </c>
      <c r="EH473" s="27" t="s">
        <v>7</v>
      </c>
      <c r="EK473" s="27" t="s">
        <v>8</v>
      </c>
      <c r="EL473" s="27" t="s">
        <v>7</v>
      </c>
      <c r="GE473" s="27" t="s">
        <v>8</v>
      </c>
      <c r="GF473" s="27" t="s">
        <v>7</v>
      </c>
      <c r="GG473" s="27" t="s">
        <v>8</v>
      </c>
      <c r="GH473" s="27" t="s">
        <v>7</v>
      </c>
      <c r="GI473" s="27" t="s">
        <v>8</v>
      </c>
      <c r="GJ473" s="27" t="s">
        <v>7</v>
      </c>
      <c r="GN473" s="27" t="s">
        <v>7</v>
      </c>
      <c r="GP473" s="27" t="s">
        <v>7</v>
      </c>
    </row>
    <row r="474" spans="1:216" x14ac:dyDescent="0.25">
      <c r="A474" s="7">
        <v>9.3717222538625968</v>
      </c>
      <c r="B474"/>
      <c r="C474"/>
      <c r="D474"/>
      <c r="E474"/>
      <c r="DY474" s="27" t="s">
        <v>8</v>
      </c>
      <c r="DZ474" s="27" t="s">
        <v>7</v>
      </c>
      <c r="EA474" s="27" t="s">
        <v>8</v>
      </c>
      <c r="EF474" s="27" t="s">
        <v>7</v>
      </c>
      <c r="EG474" s="27" t="s">
        <v>8</v>
      </c>
      <c r="EH474" s="27" t="s">
        <v>7</v>
      </c>
      <c r="EI474" s="27" t="s">
        <v>8</v>
      </c>
      <c r="EK474" s="27" t="s">
        <v>8</v>
      </c>
      <c r="EL474" s="27" t="s">
        <v>7</v>
      </c>
      <c r="GE474" s="27" t="s">
        <v>8</v>
      </c>
      <c r="GF474" s="27" t="s">
        <v>7</v>
      </c>
      <c r="GG474" s="27" t="s">
        <v>8</v>
      </c>
      <c r="GH474" s="27" t="s">
        <v>7</v>
      </c>
      <c r="GI474" s="27" t="s">
        <v>8</v>
      </c>
      <c r="GP474" s="27" t="s">
        <v>7</v>
      </c>
      <c r="GU474" s="27" t="s">
        <v>8</v>
      </c>
    </row>
    <row r="475" spans="1:216" x14ac:dyDescent="0.25">
      <c r="A475" s="7">
        <v>9.1879629939829375</v>
      </c>
      <c r="B475"/>
      <c r="C475"/>
      <c r="D475"/>
      <c r="E475"/>
      <c r="DY475" s="27" t="s">
        <v>8</v>
      </c>
      <c r="DZ475" s="27" t="s">
        <v>7</v>
      </c>
      <c r="EA475" s="27" t="s">
        <v>8</v>
      </c>
      <c r="EF475" s="27" t="s">
        <v>7</v>
      </c>
      <c r="EG475" s="27" t="s">
        <v>8</v>
      </c>
      <c r="EH475" s="27" t="s">
        <v>7</v>
      </c>
      <c r="EI475" s="27" t="s">
        <v>8</v>
      </c>
      <c r="EJ475" s="27" t="s">
        <v>7</v>
      </c>
      <c r="EK475" s="27" t="s">
        <v>8</v>
      </c>
      <c r="EL475" s="27" t="s">
        <v>7</v>
      </c>
      <c r="GE475" s="27" t="s">
        <v>8</v>
      </c>
      <c r="GF475" s="27" t="s">
        <v>7</v>
      </c>
      <c r="GG475" s="27" t="s">
        <v>8</v>
      </c>
      <c r="GH475" s="27" t="s">
        <v>7</v>
      </c>
      <c r="GI475" s="27" t="s">
        <v>8</v>
      </c>
      <c r="GP475" s="27" t="s">
        <v>7</v>
      </c>
      <c r="GU475" s="27" t="s">
        <v>8</v>
      </c>
      <c r="GV475" s="27" t="s">
        <v>7</v>
      </c>
    </row>
    <row r="476" spans="1:216" x14ac:dyDescent="0.25">
      <c r="A476" s="7">
        <v>9.0078068568460168</v>
      </c>
      <c r="B476"/>
      <c r="C476"/>
      <c r="D476"/>
      <c r="E476"/>
      <c r="DY476" s="27" t="s">
        <v>8</v>
      </c>
      <c r="DZ476" s="27" t="s">
        <v>7</v>
      </c>
      <c r="EA476" s="27" t="s">
        <v>8</v>
      </c>
      <c r="EF476" s="27" t="s">
        <v>7</v>
      </c>
      <c r="EG476" s="27" t="s">
        <v>8</v>
      </c>
      <c r="EH476" s="27" t="s">
        <v>7</v>
      </c>
      <c r="EI476" s="27" t="s">
        <v>8</v>
      </c>
      <c r="EJ476" s="27" t="s">
        <v>7</v>
      </c>
      <c r="EK476" s="27" t="s">
        <v>8</v>
      </c>
      <c r="EL476" s="27" t="s">
        <v>7</v>
      </c>
      <c r="GE476" s="27" t="s">
        <v>8</v>
      </c>
      <c r="GF476" s="27" t="s">
        <v>7</v>
      </c>
      <c r="GG476" s="27" t="s">
        <v>8</v>
      </c>
      <c r="GH476" s="27" t="s">
        <v>7</v>
      </c>
      <c r="GI476" s="27" t="s">
        <v>8</v>
      </c>
      <c r="GP476" s="27" t="s">
        <v>7</v>
      </c>
      <c r="GU476" s="27" t="s">
        <v>8</v>
      </c>
      <c r="GV476" s="27" t="s">
        <v>7</v>
      </c>
    </row>
    <row r="477" spans="1:216" x14ac:dyDescent="0.25">
      <c r="A477" s="7">
        <v>8.8311831929862912</v>
      </c>
      <c r="B477"/>
      <c r="C477"/>
      <c r="D477"/>
      <c r="E477"/>
      <c r="DY477" s="27" t="s">
        <v>8</v>
      </c>
      <c r="DZ477" s="27" t="s">
        <v>7</v>
      </c>
      <c r="EA477" s="27" t="s">
        <v>8</v>
      </c>
      <c r="EF477" s="27" t="s">
        <v>7</v>
      </c>
      <c r="EH477" s="27" t="s">
        <v>7</v>
      </c>
      <c r="EI477" s="27" t="s">
        <v>8</v>
      </c>
      <c r="EJ477" s="27" t="s">
        <v>7</v>
      </c>
      <c r="EK477" s="27" t="s">
        <v>8</v>
      </c>
      <c r="EL477" s="27" t="s">
        <v>7</v>
      </c>
      <c r="GE477" s="27" t="s">
        <v>8</v>
      </c>
      <c r="GF477" s="27" t="s">
        <v>7</v>
      </c>
      <c r="GG477" s="27" t="s">
        <v>8</v>
      </c>
      <c r="GH477" s="27" t="s">
        <v>7</v>
      </c>
      <c r="GI477" s="27" t="s">
        <v>8</v>
      </c>
      <c r="GP477" s="27" t="s">
        <v>7</v>
      </c>
      <c r="GU477" s="27" t="s">
        <v>8</v>
      </c>
      <c r="GV477" s="27" t="s">
        <v>7</v>
      </c>
      <c r="HG477" s="27" t="s">
        <v>8</v>
      </c>
    </row>
    <row r="478" spans="1:216" x14ac:dyDescent="0.25">
      <c r="A478" s="7">
        <v>8.6580227382218542</v>
      </c>
      <c r="B478"/>
      <c r="C478"/>
      <c r="D478"/>
      <c r="E478"/>
      <c r="DY478" s="27" t="s">
        <v>8</v>
      </c>
      <c r="DZ478" s="27" t="s">
        <v>7</v>
      </c>
      <c r="EH478" s="27" t="s">
        <v>7</v>
      </c>
      <c r="EI478" s="27" t="s">
        <v>8</v>
      </c>
      <c r="EJ478" s="27" t="s">
        <v>7</v>
      </c>
      <c r="EK478" s="27" t="s">
        <v>8</v>
      </c>
      <c r="EL478" s="27" t="s">
        <v>7</v>
      </c>
      <c r="GC478" s="27" t="s">
        <v>8</v>
      </c>
      <c r="GE478" s="27" t="s">
        <v>8</v>
      </c>
      <c r="GF478" s="27" t="s">
        <v>7</v>
      </c>
      <c r="GG478" s="27" t="s">
        <v>8</v>
      </c>
      <c r="GH478" s="27" t="s">
        <v>7</v>
      </c>
      <c r="GI478" s="27" t="s">
        <v>8</v>
      </c>
      <c r="GP478" s="27" t="s">
        <v>7</v>
      </c>
      <c r="GQ478" s="27" t="s">
        <v>8</v>
      </c>
      <c r="GU478" s="27" t="s">
        <v>8</v>
      </c>
      <c r="GV478" s="27" t="s">
        <v>7</v>
      </c>
      <c r="HG478" s="27" t="s">
        <v>8</v>
      </c>
      <c r="HH478" s="27" t="s">
        <v>7</v>
      </c>
    </row>
    <row r="479" spans="1:216" x14ac:dyDescent="0.25">
      <c r="A479" s="7">
        <v>8.4882575864920131</v>
      </c>
      <c r="B479"/>
      <c r="C479"/>
      <c r="D479"/>
      <c r="E479"/>
      <c r="DY479" s="27" t="s">
        <v>8</v>
      </c>
      <c r="EH479" s="27" t="s">
        <v>7</v>
      </c>
      <c r="EI479" s="27" t="s">
        <v>8</v>
      </c>
      <c r="EJ479" s="27" t="s">
        <v>7</v>
      </c>
      <c r="EK479" s="27" t="s">
        <v>8</v>
      </c>
      <c r="EL479" s="27" t="s">
        <v>7</v>
      </c>
      <c r="GA479" s="27" t="s">
        <v>8</v>
      </c>
      <c r="GC479" s="27" t="s">
        <v>8</v>
      </c>
      <c r="GD479" s="27" t="s">
        <v>7</v>
      </c>
      <c r="GE479" s="27" t="s">
        <v>8</v>
      </c>
      <c r="GF479" s="27" t="s">
        <v>7</v>
      </c>
      <c r="GG479" s="27" t="s">
        <v>8</v>
      </c>
      <c r="GH479" s="27" t="s">
        <v>7</v>
      </c>
      <c r="GI479" s="27" t="s">
        <v>8</v>
      </c>
      <c r="GP479" s="27" t="s">
        <v>7</v>
      </c>
      <c r="GQ479" s="27" t="s">
        <v>8</v>
      </c>
      <c r="GR479" s="27" t="s">
        <v>7</v>
      </c>
      <c r="GU479" s="27" t="s">
        <v>8</v>
      </c>
      <c r="GV479" s="27" t="s">
        <v>7</v>
      </c>
      <c r="HG479" s="27" t="s">
        <v>8</v>
      </c>
      <c r="HH479" s="27" t="s">
        <v>7</v>
      </c>
    </row>
    <row r="480" spans="1:216" x14ac:dyDescent="0.25">
      <c r="A480" s="7">
        <v>8.3218211632274635</v>
      </c>
      <c r="B480"/>
      <c r="C480"/>
      <c r="D480"/>
      <c r="E480"/>
      <c r="DY480" s="27" t="s">
        <v>8</v>
      </c>
      <c r="EH480" s="27" t="s">
        <v>7</v>
      </c>
      <c r="EI480" s="27" t="s">
        <v>8</v>
      </c>
      <c r="EJ480" s="27" t="s">
        <v>7</v>
      </c>
      <c r="EK480" s="27" t="s">
        <v>8</v>
      </c>
      <c r="EL480" s="27" t="s">
        <v>7</v>
      </c>
      <c r="GA480" s="27" t="s">
        <v>8</v>
      </c>
      <c r="GB480" s="27" t="s">
        <v>7</v>
      </c>
      <c r="GC480" s="27" t="s">
        <v>8</v>
      </c>
      <c r="GD480" s="27" t="s">
        <v>7</v>
      </c>
      <c r="GE480" s="27" t="s">
        <v>8</v>
      </c>
      <c r="GF480" s="27" t="s">
        <v>7</v>
      </c>
      <c r="GG480" s="27" t="s">
        <v>8</v>
      </c>
      <c r="GH480" s="27" t="s">
        <v>7</v>
      </c>
      <c r="GI480" s="27" t="s">
        <v>8</v>
      </c>
      <c r="GP480" s="27" t="s">
        <v>7</v>
      </c>
      <c r="GQ480" s="27" t="s">
        <v>8</v>
      </c>
      <c r="GR480" s="27" t="s">
        <v>7</v>
      </c>
      <c r="GU480" s="27" t="s">
        <v>8</v>
      </c>
      <c r="GV480" s="27" t="s">
        <v>7</v>
      </c>
      <c r="GW480" s="27" t="s">
        <v>8</v>
      </c>
      <c r="HG480" s="27" t="s">
        <v>8</v>
      </c>
      <c r="HH480" s="27" t="s">
        <v>7</v>
      </c>
    </row>
    <row r="481" spans="1:224" x14ac:dyDescent="0.25">
      <c r="A481" s="7">
        <v>8.1586481992426112</v>
      </c>
      <c r="B481"/>
      <c r="C481"/>
      <c r="D481"/>
      <c r="E481"/>
      <c r="DO481" s="27" t="s">
        <v>8</v>
      </c>
      <c r="DY481" s="27" t="s">
        <v>8</v>
      </c>
      <c r="EH481" s="27" t="s">
        <v>7</v>
      </c>
      <c r="EI481" s="27" t="s">
        <v>8</v>
      </c>
      <c r="EJ481" s="27" t="s">
        <v>7</v>
      </c>
      <c r="EK481" s="27" t="s">
        <v>8</v>
      </c>
      <c r="EL481" s="27" t="s">
        <v>7</v>
      </c>
      <c r="GA481" s="27" t="s">
        <v>8</v>
      </c>
      <c r="GB481" s="27" t="s">
        <v>7</v>
      </c>
      <c r="GC481" s="27" t="s">
        <v>8</v>
      </c>
      <c r="GD481" s="27" t="s">
        <v>7</v>
      </c>
      <c r="GE481" s="27" t="s">
        <v>8</v>
      </c>
      <c r="GF481" s="27" t="s">
        <v>7</v>
      </c>
      <c r="GH481" s="27" t="s">
        <v>7</v>
      </c>
      <c r="GI481" s="27" t="s">
        <v>8</v>
      </c>
      <c r="GP481" s="27" t="s">
        <v>7</v>
      </c>
      <c r="GQ481" s="27" t="s">
        <v>8</v>
      </c>
      <c r="GR481" s="27" t="s">
        <v>7</v>
      </c>
      <c r="GS481" s="27" t="s">
        <v>8</v>
      </c>
      <c r="GU481" s="27" t="s">
        <v>8</v>
      </c>
      <c r="GV481" s="27" t="s">
        <v>7</v>
      </c>
      <c r="GW481" s="27" t="s">
        <v>8</v>
      </c>
      <c r="GX481" s="27" t="s">
        <v>7</v>
      </c>
      <c r="GY481" s="27" t="s">
        <v>8</v>
      </c>
      <c r="HA481" s="27" t="s">
        <v>8</v>
      </c>
      <c r="HG481" s="27" t="s">
        <v>8</v>
      </c>
      <c r="HH481" s="27" t="s">
        <v>7</v>
      </c>
    </row>
    <row r="482" spans="1:224" x14ac:dyDescent="0.25">
      <c r="A482" s="7">
        <v>7.9986747051398144</v>
      </c>
      <c r="B482"/>
      <c r="C482"/>
      <c r="D482"/>
      <c r="E482"/>
      <c r="DO482" s="27" t="s">
        <v>8</v>
      </c>
      <c r="DP482" s="27" t="s">
        <v>7</v>
      </c>
      <c r="DY482" s="27" t="s">
        <v>8</v>
      </c>
      <c r="EH482" s="27" t="s">
        <v>7</v>
      </c>
      <c r="EI482" s="27" t="s">
        <v>8</v>
      </c>
      <c r="EJ482" s="27" t="s">
        <v>7</v>
      </c>
      <c r="EK482" s="27" t="s">
        <v>8</v>
      </c>
      <c r="EL482" s="27" t="s">
        <v>7</v>
      </c>
      <c r="GA482" s="27" t="s">
        <v>8</v>
      </c>
      <c r="GB482" s="27" t="s">
        <v>7</v>
      </c>
      <c r="GC482" s="27" t="s">
        <v>8</v>
      </c>
      <c r="GD482" s="27" t="s">
        <v>7</v>
      </c>
      <c r="GE482" s="27" t="s">
        <v>8</v>
      </c>
      <c r="GH482" s="27" t="s">
        <v>7</v>
      </c>
      <c r="GI482" s="27" t="s">
        <v>8</v>
      </c>
      <c r="GP482" s="27" t="s">
        <v>7</v>
      </c>
      <c r="GQ482" s="27" t="s">
        <v>8</v>
      </c>
      <c r="GR482" s="27" t="s">
        <v>7</v>
      </c>
      <c r="GS482" s="27" t="s">
        <v>8</v>
      </c>
      <c r="GT482" s="27" t="s">
        <v>7</v>
      </c>
      <c r="GU482" s="27" t="s">
        <v>8</v>
      </c>
      <c r="GV482" s="27" t="s">
        <v>7</v>
      </c>
      <c r="GW482" s="27" t="s">
        <v>8</v>
      </c>
      <c r="GX482" s="27" t="s">
        <v>7</v>
      </c>
      <c r="GY482" s="27" t="s">
        <v>8</v>
      </c>
      <c r="GZ482" s="27" t="s">
        <v>7</v>
      </c>
      <c r="HA482" s="27" t="s">
        <v>8</v>
      </c>
      <c r="HB482" s="27" t="s">
        <v>7</v>
      </c>
      <c r="HC482" s="27" t="s">
        <v>8</v>
      </c>
      <c r="HG482" s="27" t="s">
        <v>8</v>
      </c>
      <c r="HH482" s="27" t="s">
        <v>7</v>
      </c>
    </row>
    <row r="483" spans="1:224" x14ac:dyDescent="0.25">
      <c r="A483" s="7">
        <v>7.8418379462155041</v>
      </c>
      <c r="B483"/>
      <c r="C483"/>
      <c r="D483"/>
      <c r="E483"/>
      <c r="DO483" s="27" t="s">
        <v>8</v>
      </c>
      <c r="DP483" s="27" t="s">
        <v>7</v>
      </c>
      <c r="DY483" s="27" t="s">
        <v>8</v>
      </c>
      <c r="EH483" s="27" t="s">
        <v>7</v>
      </c>
      <c r="EI483" s="27" t="s">
        <v>8</v>
      </c>
      <c r="EJ483" s="27" t="s">
        <v>7</v>
      </c>
      <c r="EL483" s="27" t="s">
        <v>7</v>
      </c>
      <c r="GA483" s="27" t="s">
        <v>8</v>
      </c>
      <c r="GB483" s="27" t="s">
        <v>7</v>
      </c>
      <c r="GC483" s="27" t="s">
        <v>8</v>
      </c>
      <c r="GD483" s="27" t="s">
        <v>7</v>
      </c>
      <c r="GE483" s="27" t="s">
        <v>8</v>
      </c>
      <c r="GH483" s="27" t="s">
        <v>7</v>
      </c>
      <c r="GI483" s="27" t="s">
        <v>8</v>
      </c>
      <c r="GP483" s="27" t="s">
        <v>7</v>
      </c>
      <c r="GQ483" s="27" t="s">
        <v>8</v>
      </c>
      <c r="GR483" s="27" t="s">
        <v>7</v>
      </c>
      <c r="GS483" s="27" t="s">
        <v>8</v>
      </c>
      <c r="GT483" s="27" t="s">
        <v>7</v>
      </c>
      <c r="GU483" s="27" t="s">
        <v>8</v>
      </c>
      <c r="GV483" s="27" t="s">
        <v>7</v>
      </c>
      <c r="GW483" s="27" t="s">
        <v>8</v>
      </c>
      <c r="GX483" s="27" t="s">
        <v>7</v>
      </c>
      <c r="GY483" s="27" t="s">
        <v>8</v>
      </c>
      <c r="GZ483" s="27" t="s">
        <v>7</v>
      </c>
      <c r="HA483" s="27" t="s">
        <v>8</v>
      </c>
      <c r="HB483" s="27" t="s">
        <v>7</v>
      </c>
      <c r="HC483" s="27" t="s">
        <v>8</v>
      </c>
      <c r="HD483" s="27" t="s">
        <v>7</v>
      </c>
      <c r="HG483" s="27" t="s">
        <v>8</v>
      </c>
      <c r="HH483" s="27" t="s">
        <v>7</v>
      </c>
      <c r="HI483" s="27" t="s">
        <v>8</v>
      </c>
    </row>
    <row r="484" spans="1:224" x14ac:dyDescent="0.25">
      <c r="A484" s="7">
        <v>7.688076417858337</v>
      </c>
      <c r="B484"/>
      <c r="C484"/>
      <c r="D484"/>
      <c r="E484"/>
      <c r="DO484" s="27" t="s">
        <v>8</v>
      </c>
      <c r="DP484" s="27" t="s">
        <v>7</v>
      </c>
      <c r="DY484" s="27" t="s">
        <v>8</v>
      </c>
      <c r="EH484" s="27" t="s">
        <v>7</v>
      </c>
      <c r="EL484" s="27" t="s">
        <v>7</v>
      </c>
      <c r="GA484" s="27" t="s">
        <v>8</v>
      </c>
      <c r="GB484" s="27" t="s">
        <v>7</v>
      </c>
      <c r="GC484" s="27" t="s">
        <v>8</v>
      </c>
      <c r="GD484" s="27" t="s">
        <v>7</v>
      </c>
      <c r="GH484" s="27" t="s">
        <v>7</v>
      </c>
      <c r="GI484" s="27" t="s">
        <v>8</v>
      </c>
      <c r="GP484" s="27" t="s">
        <v>7</v>
      </c>
      <c r="GQ484" s="27" t="s">
        <v>8</v>
      </c>
      <c r="GR484" s="27" t="s">
        <v>7</v>
      </c>
      <c r="GS484" s="27" t="s">
        <v>8</v>
      </c>
      <c r="GT484" s="27" t="s">
        <v>7</v>
      </c>
      <c r="GU484" s="27" t="s">
        <v>8</v>
      </c>
      <c r="GV484" s="27" t="s">
        <v>7</v>
      </c>
      <c r="GX484" s="27" t="s">
        <v>7</v>
      </c>
      <c r="GY484" s="27" t="s">
        <v>8</v>
      </c>
      <c r="GZ484" s="27" t="s">
        <v>7</v>
      </c>
      <c r="HA484" s="27" t="s">
        <v>8</v>
      </c>
      <c r="HB484" s="27" t="s">
        <v>7</v>
      </c>
      <c r="HC484" s="27" t="s">
        <v>8</v>
      </c>
      <c r="HD484" s="27" t="s">
        <v>7</v>
      </c>
      <c r="HG484" s="27" t="s">
        <v>8</v>
      </c>
      <c r="HH484" s="27" t="s">
        <v>7</v>
      </c>
      <c r="HI484" s="27" t="s">
        <v>8</v>
      </c>
      <c r="HJ484" s="27" t="s">
        <v>7</v>
      </c>
    </row>
    <row r="485" spans="1:224" x14ac:dyDescent="0.25">
      <c r="A485" s="7">
        <v>7.5373298214297417</v>
      </c>
      <c r="B485"/>
      <c r="C485"/>
      <c r="D485"/>
      <c r="E485"/>
      <c r="CS485" s="27" t="s">
        <v>8</v>
      </c>
      <c r="DO485" s="27" t="s">
        <v>8</v>
      </c>
      <c r="DP485" s="27" t="s">
        <v>7</v>
      </c>
      <c r="DQ485" s="27" t="s">
        <v>8</v>
      </c>
      <c r="DY485" s="27" t="s">
        <v>8</v>
      </c>
      <c r="EL485" s="27" t="s">
        <v>7</v>
      </c>
      <c r="FY485" s="27" t="s">
        <v>8</v>
      </c>
      <c r="GA485" s="27" t="s">
        <v>8</v>
      </c>
      <c r="GB485" s="27" t="s">
        <v>7</v>
      </c>
      <c r="GC485" s="27" t="s">
        <v>8</v>
      </c>
      <c r="GH485" s="27" t="s">
        <v>7</v>
      </c>
      <c r="GI485" s="27" t="s">
        <v>8</v>
      </c>
      <c r="GP485" s="27" t="s">
        <v>7</v>
      </c>
      <c r="GQ485" s="27" t="s">
        <v>8</v>
      </c>
      <c r="GR485" s="27" t="s">
        <v>7</v>
      </c>
      <c r="GS485" s="27" t="s">
        <v>8</v>
      </c>
      <c r="GT485" s="27" t="s">
        <v>7</v>
      </c>
      <c r="GU485" s="27" t="s">
        <v>8</v>
      </c>
      <c r="GX485" s="27" t="s">
        <v>7</v>
      </c>
      <c r="GY485" s="27" t="s">
        <v>8</v>
      </c>
      <c r="GZ485" s="27" t="s">
        <v>7</v>
      </c>
      <c r="HA485" s="27" t="s">
        <v>8</v>
      </c>
      <c r="HB485" s="27" t="s">
        <v>7</v>
      </c>
      <c r="HC485" s="27" t="s">
        <v>8</v>
      </c>
      <c r="HD485" s="27" t="s">
        <v>7</v>
      </c>
      <c r="HE485" s="27" t="s">
        <v>8</v>
      </c>
      <c r="HG485" s="27" t="s">
        <v>8</v>
      </c>
      <c r="HH485" s="27" t="s">
        <v>7</v>
      </c>
      <c r="HI485" s="27" t="s">
        <v>8</v>
      </c>
      <c r="HJ485" s="27" t="s">
        <v>7</v>
      </c>
    </row>
    <row r="486" spans="1:224" x14ac:dyDescent="0.25">
      <c r="A486" s="7">
        <v>7.389539040617394</v>
      </c>
      <c r="B486"/>
      <c r="C486"/>
      <c r="D486"/>
      <c r="E486"/>
      <c r="CS486" s="27" t="s">
        <v>8</v>
      </c>
      <c r="CT486" s="27" t="s">
        <v>7</v>
      </c>
      <c r="DO486" s="27" t="s">
        <v>8</v>
      </c>
      <c r="DP486" s="27" t="s">
        <v>7</v>
      </c>
      <c r="DQ486" s="27" t="s">
        <v>8</v>
      </c>
      <c r="DR486" s="27" t="s">
        <v>7</v>
      </c>
      <c r="DW486" s="27" t="s">
        <v>8</v>
      </c>
      <c r="DY486" s="27" t="s">
        <v>8</v>
      </c>
      <c r="EL486" s="27" t="s">
        <v>7</v>
      </c>
      <c r="FY486" s="27" t="s">
        <v>8</v>
      </c>
      <c r="FZ486" s="27" t="s">
        <v>7</v>
      </c>
      <c r="GA486" s="27" t="s">
        <v>8</v>
      </c>
      <c r="GB486" s="27" t="s">
        <v>7</v>
      </c>
      <c r="GC486" s="27" t="s">
        <v>8</v>
      </c>
      <c r="GH486" s="27" t="s">
        <v>7</v>
      </c>
      <c r="GI486" s="27" t="s">
        <v>8</v>
      </c>
      <c r="GP486" s="27" t="s">
        <v>7</v>
      </c>
      <c r="GQ486" s="27" t="s">
        <v>8</v>
      </c>
      <c r="GR486" s="27" t="s">
        <v>7</v>
      </c>
      <c r="GS486" s="27" t="s">
        <v>8</v>
      </c>
      <c r="GT486" s="27" t="s">
        <v>7</v>
      </c>
      <c r="GU486" s="27" t="s">
        <v>8</v>
      </c>
      <c r="GX486" s="27" t="s">
        <v>7</v>
      </c>
      <c r="GY486" s="27" t="s">
        <v>8</v>
      </c>
      <c r="GZ486" s="27" t="s">
        <v>7</v>
      </c>
      <c r="HA486" s="27" t="s">
        <v>8</v>
      </c>
      <c r="HB486" s="27" t="s">
        <v>7</v>
      </c>
      <c r="HC486" s="27" t="s">
        <v>8</v>
      </c>
      <c r="HD486" s="27" t="s">
        <v>7</v>
      </c>
      <c r="HE486" s="27" t="s">
        <v>8</v>
      </c>
      <c r="HF486" s="27" t="s">
        <v>7</v>
      </c>
      <c r="HG486" s="27" t="s">
        <v>8</v>
      </c>
      <c r="HH486" s="27" t="s">
        <v>7</v>
      </c>
      <c r="HJ486" s="27" t="s">
        <v>7</v>
      </c>
    </row>
    <row r="487" spans="1:224" x14ac:dyDescent="0.25">
      <c r="A487" s="7">
        <v>7.2446461182523469</v>
      </c>
      <c r="B487"/>
      <c r="C487"/>
      <c r="D487"/>
      <c r="E487"/>
      <c r="CS487" s="27" t="s">
        <v>8</v>
      </c>
      <c r="CT487" s="27" t="s">
        <v>7</v>
      </c>
      <c r="DO487" s="27" t="s">
        <v>8</v>
      </c>
      <c r="DP487" s="27" t="s">
        <v>7</v>
      </c>
      <c r="DQ487" s="27" t="s">
        <v>8</v>
      </c>
      <c r="DR487" s="27" t="s">
        <v>7</v>
      </c>
      <c r="DW487" s="27" t="s">
        <v>8</v>
      </c>
      <c r="DX487" s="27" t="s">
        <v>7</v>
      </c>
      <c r="DY487" s="27" t="s">
        <v>8</v>
      </c>
      <c r="EL487" s="27" t="s">
        <v>7</v>
      </c>
      <c r="FY487" s="27" t="s">
        <v>8</v>
      </c>
      <c r="FZ487" s="27" t="s">
        <v>7</v>
      </c>
      <c r="GA487" s="27" t="s">
        <v>8</v>
      </c>
      <c r="GB487" s="27" t="s">
        <v>7</v>
      </c>
      <c r="GC487" s="27" t="s">
        <v>8</v>
      </c>
      <c r="GH487" s="27" t="s">
        <v>7</v>
      </c>
      <c r="GI487" s="27" t="s">
        <v>8</v>
      </c>
      <c r="GP487" s="27" t="s">
        <v>7</v>
      </c>
      <c r="GQ487" s="27" t="s">
        <v>8</v>
      </c>
      <c r="GR487" s="27" t="s">
        <v>7</v>
      </c>
      <c r="GT487" s="27" t="s">
        <v>7</v>
      </c>
      <c r="GU487" s="27" t="s">
        <v>8</v>
      </c>
      <c r="GX487" s="27" t="s">
        <v>7</v>
      </c>
      <c r="GY487" s="27" t="s">
        <v>8</v>
      </c>
      <c r="GZ487" s="27" t="s">
        <v>7</v>
      </c>
      <c r="HA487" s="27" t="s">
        <v>8</v>
      </c>
      <c r="HB487" s="27" t="s">
        <v>7</v>
      </c>
      <c r="HD487" s="27" t="s">
        <v>7</v>
      </c>
      <c r="HE487" s="27" t="s">
        <v>8</v>
      </c>
      <c r="HF487" s="27" t="s">
        <v>7</v>
      </c>
      <c r="HG487" s="27" t="s">
        <v>8</v>
      </c>
      <c r="HJ487" s="27" t="s">
        <v>7</v>
      </c>
    </row>
    <row r="488" spans="1:224" x14ac:dyDescent="0.25">
      <c r="A488" s="7">
        <v>7.1025942335807324</v>
      </c>
      <c r="B488"/>
      <c r="C488"/>
      <c r="D488"/>
      <c r="E488"/>
      <c r="CS488" s="27" t="s">
        <v>8</v>
      </c>
      <c r="CT488" s="27" t="s">
        <v>7</v>
      </c>
      <c r="DO488" s="27" t="s">
        <v>8</v>
      </c>
      <c r="DP488" s="27" t="s">
        <v>7</v>
      </c>
      <c r="DQ488" s="27" t="s">
        <v>8</v>
      </c>
      <c r="DR488" s="27" t="s">
        <v>7</v>
      </c>
      <c r="DS488" s="27" t="s">
        <v>8</v>
      </c>
      <c r="DW488" s="27" t="s">
        <v>8</v>
      </c>
      <c r="DX488" s="27" t="s">
        <v>7</v>
      </c>
      <c r="DY488" s="27" t="s">
        <v>8</v>
      </c>
      <c r="EL488" s="27" t="s">
        <v>7</v>
      </c>
      <c r="FY488" s="27" t="s">
        <v>8</v>
      </c>
      <c r="FZ488" s="27" t="s">
        <v>7</v>
      </c>
      <c r="GA488" s="27" t="s">
        <v>8</v>
      </c>
      <c r="GB488" s="27" t="s">
        <v>7</v>
      </c>
      <c r="GC488" s="27" t="s">
        <v>8</v>
      </c>
      <c r="GH488" s="27" t="s">
        <v>7</v>
      </c>
      <c r="GP488" s="27" t="s">
        <v>7</v>
      </c>
      <c r="GQ488" s="27" t="s">
        <v>8</v>
      </c>
      <c r="GT488" s="27" t="s">
        <v>7</v>
      </c>
      <c r="GU488" s="27" t="s">
        <v>8</v>
      </c>
      <c r="GX488" s="27" t="s">
        <v>7</v>
      </c>
      <c r="GZ488" s="27" t="s">
        <v>7</v>
      </c>
      <c r="HA488" s="27" t="s">
        <v>8</v>
      </c>
      <c r="HD488" s="27" t="s">
        <v>7</v>
      </c>
      <c r="HE488" s="27" t="s">
        <v>8</v>
      </c>
      <c r="HF488" s="27" t="s">
        <v>7</v>
      </c>
      <c r="HG488" s="27" t="s">
        <v>8</v>
      </c>
      <c r="HJ488" s="27" t="s">
        <v>7</v>
      </c>
      <c r="HK488" s="27" t="s">
        <v>8</v>
      </c>
    </row>
    <row r="489" spans="1:224" x14ac:dyDescent="0.25">
      <c r="A489" s="7">
        <v>6.9633276799811101</v>
      </c>
      <c r="B489"/>
      <c r="C489"/>
      <c r="D489"/>
      <c r="E489"/>
      <c r="CS489" s="27" t="s">
        <v>8</v>
      </c>
      <c r="CT489" s="27" t="s">
        <v>7</v>
      </c>
      <c r="DO489" s="27" t="s">
        <v>8</v>
      </c>
      <c r="DP489" s="27" t="s">
        <v>7</v>
      </c>
      <c r="DQ489" s="27" t="s">
        <v>8</v>
      </c>
      <c r="DR489" s="27" t="s">
        <v>7</v>
      </c>
      <c r="DS489" s="27" t="s">
        <v>8</v>
      </c>
      <c r="DT489" s="27" t="s">
        <v>7</v>
      </c>
      <c r="DW489" s="27" t="s">
        <v>8</v>
      </c>
      <c r="DX489" s="27" t="s">
        <v>7</v>
      </c>
      <c r="DY489" s="27" t="s">
        <v>8</v>
      </c>
      <c r="EL489" s="27" t="s">
        <v>7</v>
      </c>
      <c r="EM489" s="27" t="s">
        <v>8</v>
      </c>
      <c r="FY489" s="27" t="s">
        <v>8</v>
      </c>
      <c r="FZ489" s="27" t="s">
        <v>7</v>
      </c>
      <c r="GA489" s="27" t="s">
        <v>8</v>
      </c>
      <c r="GB489" s="27" t="s">
        <v>7</v>
      </c>
      <c r="GC489" s="27" t="s">
        <v>8</v>
      </c>
      <c r="GP489" s="27" t="s">
        <v>7</v>
      </c>
      <c r="GT489" s="27" t="s">
        <v>7</v>
      </c>
      <c r="GU489" s="27" t="s">
        <v>8</v>
      </c>
      <c r="GZ489" s="27" t="s">
        <v>7</v>
      </c>
      <c r="HD489" s="27" t="s">
        <v>7</v>
      </c>
      <c r="HE489" s="27" t="s">
        <v>8</v>
      </c>
      <c r="HF489" s="27" t="s">
        <v>7</v>
      </c>
      <c r="HJ489" s="27" t="s">
        <v>7</v>
      </c>
      <c r="HK489" s="27" t="s">
        <v>8</v>
      </c>
      <c r="HL489" s="27" t="s">
        <v>7</v>
      </c>
    </row>
    <row r="490" spans="1:224" x14ac:dyDescent="0.25">
      <c r="A490" s="7">
        <v>6.8267918431187349</v>
      </c>
      <c r="B490"/>
      <c r="C490"/>
      <c r="D490"/>
      <c r="E490"/>
      <c r="CS490" s="27" t="s">
        <v>8</v>
      </c>
      <c r="CT490" s="27" t="s">
        <v>7</v>
      </c>
      <c r="DO490" s="27" t="s">
        <v>8</v>
      </c>
      <c r="DP490" s="27" t="s">
        <v>7</v>
      </c>
      <c r="DQ490" s="27" t="s">
        <v>8</v>
      </c>
      <c r="DR490" s="27" t="s">
        <v>7</v>
      </c>
      <c r="DS490" s="27" t="s">
        <v>8</v>
      </c>
      <c r="DT490" s="27" t="s">
        <v>7</v>
      </c>
      <c r="DW490" s="27" t="s">
        <v>8</v>
      </c>
      <c r="DX490" s="27" t="s">
        <v>7</v>
      </c>
      <c r="DY490" s="27" t="s">
        <v>8</v>
      </c>
      <c r="EL490" s="27" t="s">
        <v>7</v>
      </c>
      <c r="EM490" s="27" t="s">
        <v>8</v>
      </c>
      <c r="EN490" s="27" t="s">
        <v>7</v>
      </c>
      <c r="FY490" s="27" t="s">
        <v>8</v>
      </c>
      <c r="FZ490" s="27" t="s">
        <v>7</v>
      </c>
      <c r="GA490" s="27" t="s">
        <v>8</v>
      </c>
      <c r="GB490" s="27" t="s">
        <v>7</v>
      </c>
      <c r="GC490" s="27" t="s">
        <v>8</v>
      </c>
      <c r="GT490" s="27" t="s">
        <v>7</v>
      </c>
      <c r="HD490" s="27" t="s">
        <v>7</v>
      </c>
      <c r="HE490" s="27" t="s">
        <v>8</v>
      </c>
      <c r="HJ490" s="27" t="s">
        <v>7</v>
      </c>
      <c r="HK490" s="27" t="s">
        <v>8</v>
      </c>
      <c r="HL490" s="27" t="s">
        <v>7</v>
      </c>
    </row>
    <row r="491" spans="1:224" x14ac:dyDescent="0.25">
      <c r="A491" s="7">
        <v>6.692933179528171</v>
      </c>
      <c r="B491"/>
      <c r="C491"/>
      <c r="D491"/>
      <c r="E491"/>
      <c r="CS491" s="27" t="s">
        <v>8</v>
      </c>
      <c r="CT491" s="27" t="s">
        <v>7</v>
      </c>
      <c r="DC491" s="27" t="s">
        <v>8</v>
      </c>
      <c r="DM491" s="27" t="s">
        <v>8</v>
      </c>
      <c r="DO491" s="27" t="s">
        <v>8</v>
      </c>
      <c r="DP491" s="27" t="s">
        <v>7</v>
      </c>
      <c r="DQ491" s="27" t="s">
        <v>8</v>
      </c>
      <c r="DR491" s="27" t="s">
        <v>7</v>
      </c>
      <c r="DS491" s="27" t="s">
        <v>8</v>
      </c>
      <c r="DT491" s="27" t="s">
        <v>7</v>
      </c>
      <c r="DW491" s="27" t="s">
        <v>8</v>
      </c>
      <c r="DX491" s="27" t="s">
        <v>7</v>
      </c>
      <c r="DY491" s="27" t="s">
        <v>8</v>
      </c>
      <c r="EL491" s="27" t="s">
        <v>7</v>
      </c>
      <c r="EM491" s="27" t="s">
        <v>8</v>
      </c>
      <c r="EN491" s="27" t="s">
        <v>7</v>
      </c>
      <c r="FY491" s="27" t="s">
        <v>8</v>
      </c>
      <c r="FZ491" s="27" t="s">
        <v>7</v>
      </c>
      <c r="GA491" s="27" t="s">
        <v>8</v>
      </c>
      <c r="GB491" s="27" t="s">
        <v>7</v>
      </c>
      <c r="GC491" s="27" t="s">
        <v>8</v>
      </c>
      <c r="HD491" s="27" t="s">
        <v>7</v>
      </c>
      <c r="HE491" s="27" t="s">
        <v>8</v>
      </c>
      <c r="HJ491" s="27" t="s">
        <v>7</v>
      </c>
      <c r="HL491" s="27" t="s">
        <v>7</v>
      </c>
    </row>
    <row r="492" spans="1:224" x14ac:dyDescent="0.25">
      <c r="A492" s="7">
        <v>6.5616991956158541</v>
      </c>
      <c r="B492"/>
      <c r="C492"/>
      <c r="D492"/>
      <c r="E492"/>
      <c r="CS492" s="27" t="s">
        <v>8</v>
      </c>
      <c r="CT492" s="27" t="s">
        <v>7</v>
      </c>
      <c r="DC492" s="27" t="s">
        <v>8</v>
      </c>
      <c r="DD492" s="27" t="s">
        <v>7</v>
      </c>
      <c r="DM492" s="27" t="s">
        <v>8</v>
      </c>
      <c r="DN492" s="27" t="s">
        <v>7</v>
      </c>
      <c r="DO492" s="27" t="s">
        <v>8</v>
      </c>
      <c r="DP492" s="27" t="s">
        <v>7</v>
      </c>
      <c r="DQ492" s="27" t="s">
        <v>8</v>
      </c>
      <c r="DR492" s="27" t="s">
        <v>7</v>
      </c>
      <c r="DS492" s="27" t="s">
        <v>8</v>
      </c>
      <c r="DT492" s="27" t="s">
        <v>7</v>
      </c>
      <c r="DU492" s="27" t="s">
        <v>8</v>
      </c>
      <c r="DW492" s="27" t="s">
        <v>8</v>
      </c>
      <c r="DX492" s="27" t="s">
        <v>7</v>
      </c>
      <c r="DY492" s="27" t="s">
        <v>8</v>
      </c>
      <c r="EL492" s="27" t="s">
        <v>7</v>
      </c>
      <c r="EM492" s="27" t="s">
        <v>8</v>
      </c>
      <c r="EN492" s="27" t="s">
        <v>7</v>
      </c>
      <c r="FY492" s="27" t="s">
        <v>8</v>
      </c>
      <c r="FZ492" s="27" t="s">
        <v>7</v>
      </c>
      <c r="GA492" s="27" t="s">
        <v>8</v>
      </c>
      <c r="GB492" s="27" t="s">
        <v>7</v>
      </c>
      <c r="GC492" s="27" t="s">
        <v>8</v>
      </c>
      <c r="HD492" s="27" t="s">
        <v>7</v>
      </c>
      <c r="HE492" s="27" t="s">
        <v>8</v>
      </c>
      <c r="HL492" s="27" t="s">
        <v>7</v>
      </c>
    </row>
    <row r="493" spans="1:224" x14ac:dyDescent="0.25">
      <c r="A493" s="7">
        <v>6.4330384270743668</v>
      </c>
      <c r="B493"/>
      <c r="C493"/>
      <c r="D493"/>
      <c r="E493"/>
      <c r="CS493" s="27" t="s">
        <v>8</v>
      </c>
      <c r="CT493" s="27" t="s">
        <v>7</v>
      </c>
      <c r="CY493" s="27" t="s">
        <v>8</v>
      </c>
      <c r="DA493" s="27" t="s">
        <v>8</v>
      </c>
      <c r="DC493" s="27" t="s">
        <v>8</v>
      </c>
      <c r="DD493" s="27" t="s">
        <v>7</v>
      </c>
      <c r="DM493" s="27" t="s">
        <v>8</v>
      </c>
      <c r="DN493" s="27" t="s">
        <v>7</v>
      </c>
      <c r="DO493" s="27" t="s">
        <v>8</v>
      </c>
      <c r="DP493" s="27" t="s">
        <v>7</v>
      </c>
      <c r="DR493" s="27" t="s">
        <v>7</v>
      </c>
      <c r="DT493" s="27" t="s">
        <v>7</v>
      </c>
      <c r="DU493" s="27" t="s">
        <v>8</v>
      </c>
      <c r="DV493" s="27" t="s">
        <v>7</v>
      </c>
      <c r="DW493" s="27" t="s">
        <v>8</v>
      </c>
      <c r="DX493" s="27" t="s">
        <v>7</v>
      </c>
      <c r="DY493" s="27" t="s">
        <v>8</v>
      </c>
      <c r="EL493" s="27" t="s">
        <v>7</v>
      </c>
      <c r="EM493" s="27" t="s">
        <v>8</v>
      </c>
      <c r="EN493" s="27" t="s">
        <v>7</v>
      </c>
      <c r="FY493" s="27" t="s">
        <v>8</v>
      </c>
      <c r="FZ493" s="27" t="s">
        <v>7</v>
      </c>
      <c r="GA493" s="27" t="s">
        <v>8</v>
      </c>
      <c r="GB493" s="27" t="s">
        <v>7</v>
      </c>
      <c r="GC493" s="27" t="s">
        <v>8</v>
      </c>
      <c r="HD493" s="27" t="s">
        <v>7</v>
      </c>
      <c r="HL493" s="27" t="s">
        <v>7</v>
      </c>
    </row>
    <row r="494" spans="1:224" x14ac:dyDescent="0.25">
      <c r="A494" s="7">
        <v>6.3069004187003594</v>
      </c>
      <c r="B494"/>
      <c r="C494"/>
      <c r="D494"/>
      <c r="E494"/>
      <c r="CS494" s="27" t="s">
        <v>8</v>
      </c>
      <c r="CT494" s="27" t="s">
        <v>7</v>
      </c>
      <c r="CY494" s="27" t="s">
        <v>8</v>
      </c>
      <c r="CZ494" s="27" t="s">
        <v>7</v>
      </c>
      <c r="DA494" s="27" t="s">
        <v>8</v>
      </c>
      <c r="DB494" s="27" t="s">
        <v>7</v>
      </c>
      <c r="DC494" s="27" t="s">
        <v>8</v>
      </c>
      <c r="DD494" s="27" t="s">
        <v>7</v>
      </c>
      <c r="DM494" s="27" t="s">
        <v>8</v>
      </c>
      <c r="DN494" s="27" t="s">
        <v>7</v>
      </c>
      <c r="DO494" s="27" t="s">
        <v>8</v>
      </c>
      <c r="DT494" s="27" t="s">
        <v>7</v>
      </c>
      <c r="DU494" s="27" t="s">
        <v>8</v>
      </c>
      <c r="DV494" s="27" t="s">
        <v>7</v>
      </c>
      <c r="DW494" s="27" t="s">
        <v>8</v>
      </c>
      <c r="DX494" s="27" t="s">
        <v>7</v>
      </c>
      <c r="DY494" s="27" t="s">
        <v>8</v>
      </c>
      <c r="EL494" s="27" t="s">
        <v>7</v>
      </c>
      <c r="EM494" s="27" t="s">
        <v>8</v>
      </c>
      <c r="EN494" s="27" t="s">
        <v>7</v>
      </c>
      <c r="FY494" s="27" t="s">
        <v>8</v>
      </c>
      <c r="FZ494" s="27" t="s">
        <v>7</v>
      </c>
      <c r="GA494" s="27" t="s">
        <v>8</v>
      </c>
      <c r="GB494" s="27" t="s">
        <v>7</v>
      </c>
      <c r="GC494" s="27" t="s">
        <v>8</v>
      </c>
      <c r="HL494" s="27" t="s">
        <v>7</v>
      </c>
    </row>
    <row r="495" spans="1:224" x14ac:dyDescent="0.25">
      <c r="A495" s="7">
        <v>6.1832357046081956</v>
      </c>
      <c r="B495"/>
      <c r="C495"/>
      <c r="D495"/>
      <c r="E495"/>
      <c r="CS495" s="27" t="s">
        <v>8</v>
      </c>
      <c r="CT495" s="27" t="s">
        <v>7</v>
      </c>
      <c r="CY495" s="27" t="s">
        <v>8</v>
      </c>
      <c r="CZ495" s="27" t="s">
        <v>7</v>
      </c>
      <c r="DA495" s="27" t="s">
        <v>8</v>
      </c>
      <c r="DB495" s="27" t="s">
        <v>7</v>
      </c>
      <c r="DC495" s="27" t="s">
        <v>8</v>
      </c>
      <c r="DD495" s="27" t="s">
        <v>7</v>
      </c>
      <c r="DM495" s="27" t="s">
        <v>8</v>
      </c>
      <c r="DN495" s="27" t="s">
        <v>7</v>
      </c>
      <c r="DO495" s="27" t="s">
        <v>8</v>
      </c>
      <c r="DT495" s="27" t="s">
        <v>7</v>
      </c>
      <c r="DU495" s="27" t="s">
        <v>8</v>
      </c>
      <c r="DV495" s="27" t="s">
        <v>7</v>
      </c>
      <c r="DW495" s="27" t="s">
        <v>8</v>
      </c>
      <c r="DX495" s="27" t="s">
        <v>7</v>
      </c>
      <c r="DY495" s="27" t="s">
        <v>8</v>
      </c>
      <c r="EL495" s="27" t="s">
        <v>7</v>
      </c>
      <c r="EM495" s="27" t="s">
        <v>8</v>
      </c>
      <c r="EN495" s="27" t="s">
        <v>7</v>
      </c>
      <c r="FY495" s="27" t="s">
        <v>8</v>
      </c>
      <c r="FZ495" s="27" t="s">
        <v>7</v>
      </c>
      <c r="GA495" s="27" t="s">
        <v>8</v>
      </c>
      <c r="GB495" s="27" t="s">
        <v>7</v>
      </c>
      <c r="HL495" s="27" t="s">
        <v>7</v>
      </c>
      <c r="HM495" s="27" t="s">
        <v>8</v>
      </c>
      <c r="HO495" s="27" t="s">
        <v>8</v>
      </c>
    </row>
    <row r="496" spans="1:224" x14ac:dyDescent="0.25">
      <c r="A496" s="7">
        <v>6.0619957888315641</v>
      </c>
      <c r="B496"/>
      <c r="C496"/>
      <c r="D496"/>
      <c r="E496"/>
      <c r="CS496" s="27" t="s">
        <v>8</v>
      </c>
      <c r="CT496" s="27" t="s">
        <v>7</v>
      </c>
      <c r="CY496" s="27" t="s">
        <v>8</v>
      </c>
      <c r="CZ496" s="27" t="s">
        <v>7</v>
      </c>
      <c r="DA496" s="27" t="s">
        <v>8</v>
      </c>
      <c r="DB496" s="27" t="s">
        <v>7</v>
      </c>
      <c r="DC496" s="27" t="s">
        <v>8</v>
      </c>
      <c r="DD496" s="27" t="s">
        <v>7</v>
      </c>
      <c r="DM496" s="27" t="s">
        <v>8</v>
      </c>
      <c r="DN496" s="27" t="s">
        <v>7</v>
      </c>
      <c r="DO496" s="27" t="s">
        <v>8</v>
      </c>
      <c r="DT496" s="27" t="s">
        <v>7</v>
      </c>
      <c r="DU496" s="27" t="s">
        <v>8</v>
      </c>
      <c r="DV496" s="27" t="s">
        <v>7</v>
      </c>
      <c r="DW496" s="27" t="s">
        <v>8</v>
      </c>
      <c r="DX496" s="27" t="s">
        <v>7</v>
      </c>
      <c r="DY496" s="27" t="s">
        <v>8</v>
      </c>
      <c r="EL496" s="27" t="s">
        <v>7</v>
      </c>
      <c r="EM496" s="27" t="s">
        <v>8</v>
      </c>
      <c r="EN496" s="27" t="s">
        <v>7</v>
      </c>
      <c r="FY496" s="27" t="s">
        <v>8</v>
      </c>
      <c r="FZ496" s="27" t="s">
        <v>7</v>
      </c>
      <c r="GA496" s="27" t="s">
        <v>8</v>
      </c>
      <c r="HL496" s="27" t="s">
        <v>7</v>
      </c>
      <c r="HM496" s="27" t="s">
        <v>8</v>
      </c>
      <c r="HN496" s="27" t="s">
        <v>7</v>
      </c>
      <c r="HO496" s="27" t="s">
        <v>8</v>
      </c>
      <c r="HP496" s="27" t="s">
        <v>7</v>
      </c>
    </row>
    <row r="497" spans="1:224" x14ac:dyDescent="0.25">
      <c r="A497" s="7">
        <v>5.9431331263054545</v>
      </c>
      <c r="B497"/>
      <c r="C497"/>
      <c r="D497"/>
      <c r="E497"/>
      <c r="CS497" s="27" t="s">
        <v>8</v>
      </c>
      <c r="CT497" s="27" t="s">
        <v>7</v>
      </c>
      <c r="CU497" s="27" t="s">
        <v>8</v>
      </c>
      <c r="CY497" s="27" t="s">
        <v>8</v>
      </c>
      <c r="CZ497" s="27" t="s">
        <v>7</v>
      </c>
      <c r="DA497" s="27" t="s">
        <v>8</v>
      </c>
      <c r="DB497" s="27" t="s">
        <v>7</v>
      </c>
      <c r="DC497" s="27" t="s">
        <v>8</v>
      </c>
      <c r="DD497" s="27" t="s">
        <v>7</v>
      </c>
      <c r="DM497" s="27" t="s">
        <v>8</v>
      </c>
      <c r="DN497" s="27" t="s">
        <v>7</v>
      </c>
      <c r="DO497" s="27" t="s">
        <v>8</v>
      </c>
      <c r="DT497" s="27" t="s">
        <v>7</v>
      </c>
      <c r="DU497" s="27" t="s">
        <v>8</v>
      </c>
      <c r="DV497" s="27" t="s">
        <v>7</v>
      </c>
      <c r="DW497" s="27" t="s">
        <v>8</v>
      </c>
      <c r="DX497" s="27" t="s">
        <v>7</v>
      </c>
      <c r="DY497" s="27" t="s">
        <v>8</v>
      </c>
      <c r="EL497" s="27" t="s">
        <v>7</v>
      </c>
      <c r="EM497" s="27" t="s">
        <v>8</v>
      </c>
      <c r="EN497" s="27" t="s">
        <v>7</v>
      </c>
      <c r="FY497" s="27" t="s">
        <v>8</v>
      </c>
      <c r="FZ497" s="27" t="s">
        <v>7</v>
      </c>
      <c r="GA497" s="27" t="s">
        <v>8</v>
      </c>
      <c r="HL497" s="27" t="s">
        <v>7</v>
      </c>
      <c r="HM497" s="27" t="s">
        <v>8</v>
      </c>
      <c r="HN497" s="27" t="s">
        <v>7</v>
      </c>
      <c r="HO497" s="27" t="s">
        <v>8</v>
      </c>
      <c r="HP497" s="27" t="s">
        <v>7</v>
      </c>
    </row>
    <row r="498" spans="1:224" x14ac:dyDescent="0.25">
      <c r="A498" s="7">
        <v>5.8266011042210337</v>
      </c>
      <c r="B498"/>
      <c r="C498"/>
      <c r="D498"/>
      <c r="E498"/>
      <c r="CS498" s="27" t="s">
        <v>8</v>
      </c>
      <c r="CT498" s="27" t="s">
        <v>7</v>
      </c>
      <c r="CU498" s="27" t="s">
        <v>8</v>
      </c>
      <c r="CV498" s="27" t="s">
        <v>7</v>
      </c>
      <c r="CY498" s="27" t="s">
        <v>8</v>
      </c>
      <c r="CZ498" s="27" t="s">
        <v>7</v>
      </c>
      <c r="DA498" s="27" t="s">
        <v>8</v>
      </c>
      <c r="DB498" s="27" t="s">
        <v>7</v>
      </c>
      <c r="DC498" s="27" t="s">
        <v>8</v>
      </c>
      <c r="DD498" s="27" t="s">
        <v>7</v>
      </c>
      <c r="DM498" s="27" t="s">
        <v>8</v>
      </c>
      <c r="DN498" s="27" t="s">
        <v>7</v>
      </c>
      <c r="DO498" s="27" t="s">
        <v>8</v>
      </c>
      <c r="DT498" s="27" t="s">
        <v>7</v>
      </c>
      <c r="DU498" s="27" t="s">
        <v>8</v>
      </c>
      <c r="DV498" s="27" t="s">
        <v>7</v>
      </c>
      <c r="DW498" s="27" t="s">
        <v>8</v>
      </c>
      <c r="DX498" s="27" t="s">
        <v>7</v>
      </c>
      <c r="DY498" s="27" t="s">
        <v>8</v>
      </c>
      <c r="EL498" s="27" t="s">
        <v>7</v>
      </c>
      <c r="EM498" s="27" t="s">
        <v>8</v>
      </c>
      <c r="EN498" s="27" t="s">
        <v>7</v>
      </c>
      <c r="FY498" s="27" t="s">
        <v>8</v>
      </c>
      <c r="FZ498" s="27" t="s">
        <v>7</v>
      </c>
      <c r="HL498" s="27" t="s">
        <v>7</v>
      </c>
      <c r="HM498" s="27" t="s">
        <v>8</v>
      </c>
      <c r="HN498" s="27" t="s">
        <v>7</v>
      </c>
      <c r="HO498" s="27" t="s">
        <v>8</v>
      </c>
      <c r="HP498" s="27" t="s">
        <v>7</v>
      </c>
    </row>
    <row r="499" spans="1:224" x14ac:dyDescent="0.25">
      <c r="A499" s="7">
        <v>5.7123540237461112</v>
      </c>
      <c r="B499"/>
      <c r="C499"/>
      <c r="D499"/>
      <c r="E499"/>
      <c r="CS499" s="27" t="s">
        <v>8</v>
      </c>
      <c r="CT499" s="27" t="s">
        <v>7</v>
      </c>
      <c r="CU499" s="27" t="s">
        <v>8</v>
      </c>
      <c r="CV499" s="27" t="s">
        <v>7</v>
      </c>
      <c r="CY499" s="27" t="s">
        <v>8</v>
      </c>
      <c r="CZ499" s="27" t="s">
        <v>7</v>
      </c>
      <c r="DB499" s="27" t="s">
        <v>7</v>
      </c>
      <c r="DC499" s="27" t="s">
        <v>8</v>
      </c>
      <c r="DD499" s="27" t="s">
        <v>7</v>
      </c>
      <c r="DK499" s="27" t="s">
        <v>8</v>
      </c>
      <c r="DM499" s="27" t="s">
        <v>8</v>
      </c>
      <c r="DN499" s="27" t="s">
        <v>7</v>
      </c>
      <c r="DO499" s="27" t="s">
        <v>8</v>
      </c>
      <c r="DT499" s="27" t="s">
        <v>7</v>
      </c>
      <c r="DU499" s="27" t="s">
        <v>8</v>
      </c>
      <c r="DV499" s="27" t="s">
        <v>7</v>
      </c>
      <c r="DW499" s="27" t="s">
        <v>8</v>
      </c>
      <c r="DX499" s="27" t="s">
        <v>7</v>
      </c>
      <c r="DY499" s="27" t="s">
        <v>8</v>
      </c>
      <c r="EL499" s="27" t="s">
        <v>7</v>
      </c>
      <c r="EM499" s="27" t="s">
        <v>8</v>
      </c>
      <c r="EN499" s="27" t="s">
        <v>7</v>
      </c>
      <c r="FY499" s="27" t="s">
        <v>8</v>
      </c>
      <c r="HL499" s="27" t="s">
        <v>7</v>
      </c>
      <c r="HM499" s="27" t="s">
        <v>8</v>
      </c>
      <c r="HN499" s="27" t="s">
        <v>7</v>
      </c>
      <c r="HO499" s="27" t="s">
        <v>8</v>
      </c>
      <c r="HP499" s="27" t="s">
        <v>7</v>
      </c>
    </row>
    <row r="500" spans="1:224" x14ac:dyDescent="0.25">
      <c r="A500" s="7">
        <v>5.6003470821040304</v>
      </c>
      <c r="B500"/>
      <c r="C500"/>
      <c r="D500"/>
      <c r="E500"/>
      <c r="CS500" s="27" t="s">
        <v>8</v>
      </c>
      <c r="CT500" s="27" t="s">
        <v>7</v>
      </c>
      <c r="CU500" s="27" t="s">
        <v>8</v>
      </c>
      <c r="CV500" s="27" t="s">
        <v>7</v>
      </c>
      <c r="CW500" s="27" t="s">
        <v>8</v>
      </c>
      <c r="CY500" s="27" t="s">
        <v>8</v>
      </c>
      <c r="DB500" s="27" t="s">
        <v>7</v>
      </c>
      <c r="DC500" s="27" t="s">
        <v>8</v>
      </c>
      <c r="DD500" s="27" t="s">
        <v>7</v>
      </c>
      <c r="DK500" s="27" t="s">
        <v>8</v>
      </c>
      <c r="DL500" s="27" t="s">
        <v>7</v>
      </c>
      <c r="DM500" s="27" t="s">
        <v>8</v>
      </c>
      <c r="DN500" s="27" t="s">
        <v>7</v>
      </c>
      <c r="DO500" s="27" t="s">
        <v>8</v>
      </c>
      <c r="DT500" s="27" t="s">
        <v>7</v>
      </c>
      <c r="DU500" s="27" t="s">
        <v>8</v>
      </c>
      <c r="DV500" s="27" t="s">
        <v>7</v>
      </c>
      <c r="DW500" s="27" t="s">
        <v>8</v>
      </c>
      <c r="DX500" s="27" t="s">
        <v>7</v>
      </c>
      <c r="DY500" s="27" t="s">
        <v>8</v>
      </c>
      <c r="EL500" s="27" t="s">
        <v>7</v>
      </c>
      <c r="EM500" s="27" t="s">
        <v>8</v>
      </c>
      <c r="EN500" s="27" t="s">
        <v>7</v>
      </c>
      <c r="FY500" s="27" t="s">
        <v>8</v>
      </c>
      <c r="HL500" s="27" t="s">
        <v>7</v>
      </c>
      <c r="HM500" s="27" t="s">
        <v>8</v>
      </c>
      <c r="HN500" s="27" t="s">
        <v>7</v>
      </c>
      <c r="HO500" s="27" t="s">
        <v>8</v>
      </c>
      <c r="HP500" s="27" t="s">
        <v>7</v>
      </c>
    </row>
    <row r="501" spans="1:224" x14ac:dyDescent="0.25">
      <c r="A501" s="7">
        <v>5.4905363550039512</v>
      </c>
      <c r="B501"/>
      <c r="C501"/>
      <c r="D501"/>
      <c r="E501"/>
      <c r="CS501" s="27" t="s">
        <v>8</v>
      </c>
      <c r="CT501" s="27" t="s">
        <v>7</v>
      </c>
      <c r="CU501" s="27" t="s">
        <v>8</v>
      </c>
      <c r="CV501" s="27" t="s">
        <v>7</v>
      </c>
      <c r="CW501" s="27" t="s">
        <v>8</v>
      </c>
      <c r="CX501" s="27" t="s">
        <v>7</v>
      </c>
      <c r="CY501" s="27" t="s">
        <v>8</v>
      </c>
      <c r="DB501" s="27" t="s">
        <v>7</v>
      </c>
      <c r="DC501" s="27" t="s">
        <v>8</v>
      </c>
      <c r="DD501" s="27" t="s">
        <v>7</v>
      </c>
      <c r="DE501" s="27" t="s">
        <v>8</v>
      </c>
      <c r="DG501" s="27" t="s">
        <v>8</v>
      </c>
      <c r="DK501" s="27" t="s">
        <v>8</v>
      </c>
      <c r="DL501" s="27" t="s">
        <v>7</v>
      </c>
      <c r="DM501" s="27" t="s">
        <v>8</v>
      </c>
      <c r="DN501" s="27" t="s">
        <v>7</v>
      </c>
      <c r="DO501" s="27" t="s">
        <v>8</v>
      </c>
      <c r="DT501" s="27" t="s">
        <v>7</v>
      </c>
      <c r="DU501" s="27" t="s">
        <v>8</v>
      </c>
      <c r="DV501" s="27" t="s">
        <v>7</v>
      </c>
      <c r="DW501" s="27" t="s">
        <v>8</v>
      </c>
      <c r="DX501" s="27" t="s">
        <v>7</v>
      </c>
      <c r="DY501" s="27" t="s">
        <v>8</v>
      </c>
      <c r="EL501" s="27" t="s">
        <v>7</v>
      </c>
      <c r="EM501" s="27" t="s">
        <v>8</v>
      </c>
      <c r="EN501" s="27" t="s">
        <v>7</v>
      </c>
      <c r="EO501" s="27" t="s">
        <v>8</v>
      </c>
      <c r="FY501" s="27" t="s">
        <v>8</v>
      </c>
      <c r="HL501" s="27" t="s">
        <v>7</v>
      </c>
      <c r="HN501" s="27" t="s">
        <v>7</v>
      </c>
      <c r="HO501" s="27" t="s">
        <v>8</v>
      </c>
      <c r="HP501" s="27" t="s">
        <v>7</v>
      </c>
    </row>
    <row r="502" spans="1:224" x14ac:dyDescent="0.25">
      <c r="A502" s="7">
        <v>5.3828787794156385</v>
      </c>
      <c r="B502"/>
      <c r="C502"/>
      <c r="D502"/>
      <c r="E502"/>
      <c r="CS502" s="27" t="s">
        <v>8</v>
      </c>
      <c r="CT502" s="27" t="s">
        <v>7</v>
      </c>
      <c r="CU502" s="27" t="s">
        <v>8</v>
      </c>
      <c r="CV502" s="27" t="s">
        <v>7</v>
      </c>
      <c r="CW502" s="27" t="s">
        <v>8</v>
      </c>
      <c r="CX502" s="27" t="s">
        <v>7</v>
      </c>
      <c r="CY502" s="27" t="s">
        <v>8</v>
      </c>
      <c r="DB502" s="27" t="s">
        <v>7</v>
      </c>
      <c r="DC502" s="27" t="s">
        <v>8</v>
      </c>
      <c r="DD502" s="27" t="s">
        <v>7</v>
      </c>
      <c r="DE502" s="27" t="s">
        <v>8</v>
      </c>
      <c r="DF502" s="27" t="s">
        <v>7</v>
      </c>
      <c r="DG502" s="27" t="s">
        <v>8</v>
      </c>
      <c r="DH502" s="27" t="s">
        <v>7</v>
      </c>
      <c r="DK502" s="27" t="s">
        <v>8</v>
      </c>
      <c r="DL502" s="27" t="s">
        <v>7</v>
      </c>
      <c r="DM502" s="27" t="s">
        <v>8</v>
      </c>
      <c r="DN502" s="27" t="s">
        <v>7</v>
      </c>
      <c r="DT502" s="27" t="s">
        <v>7</v>
      </c>
      <c r="DU502" s="27" t="s">
        <v>8</v>
      </c>
      <c r="DV502" s="27" t="s">
        <v>7</v>
      </c>
      <c r="DW502" s="27" t="s">
        <v>8</v>
      </c>
      <c r="DX502" s="27" t="s">
        <v>7</v>
      </c>
      <c r="DY502" s="27" t="s">
        <v>8</v>
      </c>
      <c r="EL502" s="27" t="s">
        <v>7</v>
      </c>
      <c r="EM502" s="27" t="s">
        <v>8</v>
      </c>
      <c r="EN502" s="27" t="s">
        <v>7</v>
      </c>
      <c r="EO502" s="27" t="s">
        <v>8</v>
      </c>
      <c r="EP502" s="27" t="s">
        <v>7</v>
      </c>
      <c r="FY502" s="27" t="s">
        <v>8</v>
      </c>
      <c r="HN502" s="27" t="s">
        <v>7</v>
      </c>
      <c r="HO502" s="27" t="s">
        <v>8</v>
      </c>
      <c r="HP502" s="27" t="s">
        <v>7</v>
      </c>
    </row>
    <row r="503" spans="1:224" x14ac:dyDescent="0.25">
      <c r="A503" s="7">
        <v>5.2773321366819985</v>
      </c>
      <c r="B503"/>
      <c r="C503"/>
      <c r="D503"/>
      <c r="E503"/>
      <c r="CQ503" s="27" t="s">
        <v>8</v>
      </c>
      <c r="CS503" s="27" t="s">
        <v>8</v>
      </c>
      <c r="CT503" s="27" t="s">
        <v>7</v>
      </c>
      <c r="CU503" s="27" t="s">
        <v>8</v>
      </c>
      <c r="CV503" s="27" t="s">
        <v>7</v>
      </c>
      <c r="CW503" s="27" t="s">
        <v>8</v>
      </c>
      <c r="CX503" s="27" t="s">
        <v>7</v>
      </c>
      <c r="CY503" s="27" t="s">
        <v>8</v>
      </c>
      <c r="DB503" s="27" t="s">
        <v>7</v>
      </c>
      <c r="DD503" s="27" t="s">
        <v>7</v>
      </c>
      <c r="DE503" s="27" t="s">
        <v>8</v>
      </c>
      <c r="DF503" s="27" t="s">
        <v>7</v>
      </c>
      <c r="DG503" s="27" t="s">
        <v>8</v>
      </c>
      <c r="DH503" s="27" t="s">
        <v>7</v>
      </c>
      <c r="DK503" s="27" t="s">
        <v>8</v>
      </c>
      <c r="DL503" s="27" t="s">
        <v>7</v>
      </c>
      <c r="DM503" s="27" t="s">
        <v>8</v>
      </c>
      <c r="DT503" s="27" t="s">
        <v>7</v>
      </c>
      <c r="DU503" s="27" t="s">
        <v>8</v>
      </c>
      <c r="DV503" s="27" t="s">
        <v>7</v>
      </c>
      <c r="DW503" s="27" t="s">
        <v>8</v>
      </c>
      <c r="DX503" s="27" t="s">
        <v>7</v>
      </c>
      <c r="DY503" s="27" t="s">
        <v>8</v>
      </c>
      <c r="EL503" s="27" t="s">
        <v>7</v>
      </c>
      <c r="EM503" s="27" t="s">
        <v>8</v>
      </c>
      <c r="EN503" s="27" t="s">
        <v>7</v>
      </c>
      <c r="EO503" s="27" t="s">
        <v>8</v>
      </c>
      <c r="EP503" s="27" t="s">
        <v>7</v>
      </c>
      <c r="EQ503" s="27" t="s">
        <v>8</v>
      </c>
      <c r="FW503" s="27" t="s">
        <v>8</v>
      </c>
      <c r="FY503" s="27" t="s">
        <v>8</v>
      </c>
      <c r="HN503" s="27" t="s">
        <v>7</v>
      </c>
      <c r="HO503" s="27" t="s">
        <v>8</v>
      </c>
      <c r="HP503" s="27" t="s">
        <v>7</v>
      </c>
    </row>
    <row r="504" spans="1:224" x14ac:dyDescent="0.25">
      <c r="A504" s="7">
        <v>5.1738550359627435</v>
      </c>
      <c r="B504"/>
      <c r="C504"/>
      <c r="D504"/>
      <c r="E504"/>
      <c r="CQ504" s="27" t="s">
        <v>8</v>
      </c>
      <c r="CR504" s="27" t="s">
        <v>7</v>
      </c>
      <c r="CS504" s="27" t="s">
        <v>8</v>
      </c>
      <c r="CT504" s="27" t="s">
        <v>7</v>
      </c>
      <c r="CU504" s="27" t="s">
        <v>8</v>
      </c>
      <c r="CV504" s="27" t="s">
        <v>7</v>
      </c>
      <c r="CW504" s="27" t="s">
        <v>8</v>
      </c>
      <c r="CX504" s="27" t="s">
        <v>7</v>
      </c>
      <c r="CY504" s="27" t="s">
        <v>8</v>
      </c>
      <c r="DD504" s="27" t="s">
        <v>7</v>
      </c>
      <c r="DE504" s="27" t="s">
        <v>8</v>
      </c>
      <c r="DF504" s="27" t="s">
        <v>7</v>
      </c>
      <c r="DG504" s="27" t="s">
        <v>8</v>
      </c>
      <c r="DH504" s="27" t="s">
        <v>7</v>
      </c>
      <c r="DI504" s="27" t="s">
        <v>8</v>
      </c>
      <c r="DK504" s="27" t="s">
        <v>8</v>
      </c>
      <c r="DL504" s="27" t="s">
        <v>7</v>
      </c>
      <c r="DM504" s="27" t="s">
        <v>8</v>
      </c>
      <c r="DT504" s="27" t="s">
        <v>7</v>
      </c>
      <c r="DU504" s="27" t="s">
        <v>8</v>
      </c>
      <c r="DV504" s="27" t="s">
        <v>7</v>
      </c>
      <c r="DW504" s="27" t="s">
        <v>8</v>
      </c>
      <c r="DX504" s="27" t="s">
        <v>7</v>
      </c>
      <c r="DY504" s="27" t="s">
        <v>8</v>
      </c>
      <c r="EL504" s="27" t="s">
        <v>7</v>
      </c>
      <c r="EM504" s="27" t="s">
        <v>8</v>
      </c>
      <c r="EN504" s="27" t="s">
        <v>7</v>
      </c>
      <c r="EO504" s="27" t="s">
        <v>8</v>
      </c>
      <c r="EP504" s="27" t="s">
        <v>7</v>
      </c>
      <c r="EQ504" s="27" t="s">
        <v>8</v>
      </c>
      <c r="ER504" s="27" t="s">
        <v>7</v>
      </c>
      <c r="FU504" s="27" t="s">
        <v>8</v>
      </c>
      <c r="FW504" s="27" t="s">
        <v>8</v>
      </c>
      <c r="FX504" s="27" t="s">
        <v>7</v>
      </c>
      <c r="FY504" s="27" t="s">
        <v>8</v>
      </c>
      <c r="HN504" s="27" t="s">
        <v>7</v>
      </c>
      <c r="HO504" s="27" t="s">
        <v>8</v>
      </c>
      <c r="HP504" s="27" t="s">
        <v>7</v>
      </c>
    </row>
    <row r="505" spans="1:224" x14ac:dyDescent="0.25">
      <c r="A505" s="7">
        <v>5.07240689800269</v>
      </c>
      <c r="B505"/>
      <c r="C505"/>
      <c r="D505"/>
      <c r="E505"/>
      <c r="CQ505" s="27" t="s">
        <v>8</v>
      </c>
      <c r="CR505" s="27" t="s">
        <v>7</v>
      </c>
      <c r="CS505" s="27" t="s">
        <v>8</v>
      </c>
      <c r="CT505" s="27" t="s">
        <v>7</v>
      </c>
      <c r="CU505" s="27" t="s">
        <v>8</v>
      </c>
      <c r="CV505" s="27" t="s">
        <v>7</v>
      </c>
      <c r="CW505" s="27" t="s">
        <v>8</v>
      </c>
      <c r="CX505" s="27" t="s">
        <v>7</v>
      </c>
      <c r="CY505" s="27" t="s">
        <v>8</v>
      </c>
      <c r="DD505" s="27" t="s">
        <v>7</v>
      </c>
      <c r="DE505" s="27" t="s">
        <v>8</v>
      </c>
      <c r="DF505" s="27" t="s">
        <v>7</v>
      </c>
      <c r="DH505" s="27" t="s">
        <v>7</v>
      </c>
      <c r="DI505" s="27" t="s">
        <v>8</v>
      </c>
      <c r="DJ505" s="27" t="s">
        <v>7</v>
      </c>
      <c r="DK505" s="27" t="s">
        <v>8</v>
      </c>
      <c r="DL505" s="27" t="s">
        <v>7</v>
      </c>
      <c r="DM505" s="27" t="s">
        <v>8</v>
      </c>
      <c r="DT505" s="27" t="s">
        <v>7</v>
      </c>
      <c r="DV505" s="27" t="s">
        <v>7</v>
      </c>
      <c r="DX505" s="27" t="s">
        <v>7</v>
      </c>
      <c r="EL505" s="27" t="s">
        <v>7</v>
      </c>
      <c r="EM505" s="27" t="s">
        <v>8</v>
      </c>
      <c r="EN505" s="27" t="s">
        <v>7</v>
      </c>
      <c r="EO505" s="27" t="s">
        <v>8</v>
      </c>
      <c r="EP505" s="27" t="s">
        <v>7</v>
      </c>
      <c r="EQ505" s="27" t="s">
        <v>8</v>
      </c>
      <c r="ER505" s="27" t="s">
        <v>7</v>
      </c>
      <c r="ES505" s="27" t="s">
        <v>8</v>
      </c>
      <c r="FU505" s="27" t="s">
        <v>8</v>
      </c>
      <c r="FV505" s="27" t="s">
        <v>7</v>
      </c>
      <c r="FW505" s="27" t="s">
        <v>8</v>
      </c>
      <c r="FX505" s="27" t="s">
        <v>7</v>
      </c>
      <c r="FY505" s="27" t="s">
        <v>8</v>
      </c>
      <c r="HN505" s="27" t="s">
        <v>7</v>
      </c>
      <c r="HO505" s="27" t="s">
        <v>8</v>
      </c>
      <c r="HP505" s="27" t="s">
        <v>7</v>
      </c>
    </row>
    <row r="506" spans="1:224" x14ac:dyDescent="0.25">
      <c r="A506" s="7">
        <v>4.9729479392183231</v>
      </c>
      <c r="B506"/>
      <c r="C506"/>
      <c r="D506"/>
      <c r="E506"/>
      <c r="CQ506" s="27" t="s">
        <v>8</v>
      </c>
      <c r="CR506" s="27" t="s">
        <v>7</v>
      </c>
      <c r="CS506" s="27" t="s">
        <v>8</v>
      </c>
      <c r="CT506" s="27" t="s">
        <v>7</v>
      </c>
      <c r="CU506" s="27" t="s">
        <v>8</v>
      </c>
      <c r="CV506" s="27" t="s">
        <v>7</v>
      </c>
      <c r="CW506" s="27" t="s">
        <v>8</v>
      </c>
      <c r="CX506" s="27" t="s">
        <v>7</v>
      </c>
      <c r="CY506" s="27" t="s">
        <v>8</v>
      </c>
      <c r="DD506" s="27" t="s">
        <v>7</v>
      </c>
      <c r="DH506" s="27" t="s">
        <v>7</v>
      </c>
      <c r="DI506" s="27" t="s">
        <v>8</v>
      </c>
      <c r="DJ506" s="27" t="s">
        <v>7</v>
      </c>
      <c r="DK506" s="27" t="s">
        <v>8</v>
      </c>
      <c r="DL506" s="27" t="s">
        <v>7</v>
      </c>
      <c r="EL506" s="27" t="s">
        <v>7</v>
      </c>
      <c r="EM506" s="27" t="s">
        <v>8</v>
      </c>
      <c r="EN506" s="27" t="s">
        <v>7</v>
      </c>
      <c r="EO506" s="27" t="s">
        <v>8</v>
      </c>
      <c r="EP506" s="27" t="s">
        <v>7</v>
      </c>
      <c r="EQ506" s="27" t="s">
        <v>8</v>
      </c>
      <c r="ER506" s="27" t="s">
        <v>7</v>
      </c>
      <c r="ES506" s="27" t="s">
        <v>8</v>
      </c>
      <c r="ET506" s="27" t="s">
        <v>7</v>
      </c>
      <c r="FU506" s="27" t="s">
        <v>8</v>
      </c>
      <c r="FV506" s="27" t="s">
        <v>7</v>
      </c>
      <c r="FW506" s="27" t="s">
        <v>8</v>
      </c>
      <c r="FX506" s="27" t="s">
        <v>7</v>
      </c>
      <c r="FY506" s="27" t="s">
        <v>8</v>
      </c>
      <c r="HN506" s="27" t="s">
        <v>7</v>
      </c>
      <c r="HO506" s="27" t="s">
        <v>8</v>
      </c>
      <c r="HP506" s="27" t="s">
        <v>7</v>
      </c>
    </row>
    <row r="507" spans="1:224" x14ac:dyDescent="0.25">
      <c r="A507" s="7">
        <v>4.8754391560963954</v>
      </c>
      <c r="B507"/>
      <c r="C507"/>
      <c r="D507"/>
      <c r="E507"/>
      <c r="CQ507" s="27" t="s">
        <v>8</v>
      </c>
      <c r="CR507" s="27" t="s">
        <v>7</v>
      </c>
      <c r="CS507" s="27" t="s">
        <v>8</v>
      </c>
      <c r="CT507" s="27" t="s">
        <v>7</v>
      </c>
      <c r="CU507" s="27" t="s">
        <v>8</v>
      </c>
      <c r="CV507" s="27" t="s">
        <v>7</v>
      </c>
      <c r="CX507" s="27" t="s">
        <v>7</v>
      </c>
      <c r="CY507" s="27" t="s">
        <v>8</v>
      </c>
      <c r="DH507" s="27" t="s">
        <v>7</v>
      </c>
      <c r="DI507" s="27" t="s">
        <v>8</v>
      </c>
      <c r="DJ507" s="27" t="s">
        <v>7</v>
      </c>
      <c r="EL507" s="27" t="s">
        <v>7</v>
      </c>
      <c r="EM507" s="27" t="s">
        <v>8</v>
      </c>
      <c r="EN507" s="27" t="s">
        <v>7</v>
      </c>
      <c r="EO507" s="27" t="s">
        <v>8</v>
      </c>
      <c r="EP507" s="27" t="s">
        <v>7</v>
      </c>
      <c r="EQ507" s="27" t="s">
        <v>8</v>
      </c>
      <c r="ER507" s="27" t="s">
        <v>7</v>
      </c>
      <c r="ES507" s="27" t="s">
        <v>8</v>
      </c>
      <c r="ET507" s="27" t="s">
        <v>7</v>
      </c>
      <c r="FU507" s="27" t="s">
        <v>8</v>
      </c>
      <c r="FV507" s="27" t="s">
        <v>7</v>
      </c>
      <c r="FW507" s="27" t="s">
        <v>8</v>
      </c>
      <c r="FX507" s="27" t="s">
        <v>7</v>
      </c>
      <c r="HN507" s="27" t="s">
        <v>7</v>
      </c>
      <c r="HO507" s="27" t="s">
        <v>8</v>
      </c>
      <c r="HP507" s="27" t="s">
        <v>7</v>
      </c>
    </row>
    <row r="508" spans="1:224" x14ac:dyDescent="0.25">
      <c r="A508" s="7">
        <v>4.7798423098984264</v>
      </c>
      <c r="B508"/>
      <c r="C508"/>
      <c r="D508"/>
      <c r="E508"/>
      <c r="CQ508" s="27" t="s">
        <v>8</v>
      </c>
      <c r="CR508" s="27" t="s">
        <v>7</v>
      </c>
      <c r="CS508" s="27" t="s">
        <v>8</v>
      </c>
      <c r="CT508" s="27" t="s">
        <v>7</v>
      </c>
      <c r="CU508" s="27" t="s">
        <v>8</v>
      </c>
      <c r="CX508" s="27" t="s">
        <v>7</v>
      </c>
      <c r="CY508" s="27" t="s">
        <v>8</v>
      </c>
      <c r="DH508" s="27" t="s">
        <v>7</v>
      </c>
      <c r="DI508" s="27" t="s">
        <v>8</v>
      </c>
      <c r="EL508" s="27" t="s">
        <v>7</v>
      </c>
      <c r="EM508" s="27" t="s">
        <v>8</v>
      </c>
      <c r="EN508" s="27" t="s">
        <v>7</v>
      </c>
      <c r="EO508" s="27" t="s">
        <v>8</v>
      </c>
      <c r="EP508" s="27" t="s">
        <v>7</v>
      </c>
      <c r="EQ508" s="27" t="s">
        <v>8</v>
      </c>
      <c r="ER508" s="27" t="s">
        <v>7</v>
      </c>
      <c r="ES508" s="27" t="s">
        <v>8</v>
      </c>
      <c r="ET508" s="27" t="s">
        <v>7</v>
      </c>
      <c r="FU508" s="27" t="s">
        <v>8</v>
      </c>
      <c r="FV508" s="27" t="s">
        <v>7</v>
      </c>
      <c r="FW508" s="27" t="s">
        <v>8</v>
      </c>
      <c r="HN508" s="27" t="s">
        <v>7</v>
      </c>
      <c r="HP508" s="27" t="s">
        <v>7</v>
      </c>
    </row>
    <row r="509" spans="1:224" x14ac:dyDescent="0.25">
      <c r="A509" s="7">
        <v>4.6861199116651235</v>
      </c>
      <c r="B509"/>
      <c r="C509"/>
      <c r="D509"/>
      <c r="E509"/>
      <c r="CQ509" s="27" t="s">
        <v>8</v>
      </c>
      <c r="CR509" s="27" t="s">
        <v>7</v>
      </c>
      <c r="CS509" s="27" t="s">
        <v>8</v>
      </c>
      <c r="CT509" s="27" t="s">
        <v>7</v>
      </c>
      <c r="CU509" s="27" t="s">
        <v>8</v>
      </c>
      <c r="CX509" s="27" t="s">
        <v>7</v>
      </c>
      <c r="CY509" s="27" t="s">
        <v>8</v>
      </c>
      <c r="DH509" s="27" t="s">
        <v>7</v>
      </c>
      <c r="DI509" s="27" t="s">
        <v>8</v>
      </c>
      <c r="EL509" s="27" t="s">
        <v>7</v>
      </c>
      <c r="EN509" s="27" t="s">
        <v>7</v>
      </c>
      <c r="EO509" s="27" t="s">
        <v>8</v>
      </c>
      <c r="EP509" s="27" t="s">
        <v>7</v>
      </c>
      <c r="EQ509" s="27" t="s">
        <v>8</v>
      </c>
      <c r="ER509" s="27" t="s">
        <v>7</v>
      </c>
      <c r="ES509" s="27" t="s">
        <v>8</v>
      </c>
      <c r="ET509" s="27" t="s">
        <v>7</v>
      </c>
      <c r="FS509" s="27" t="s">
        <v>8</v>
      </c>
      <c r="FU509" s="27" t="s">
        <v>8</v>
      </c>
      <c r="FV509" s="27" t="s">
        <v>7</v>
      </c>
      <c r="FW509" s="27" t="s">
        <v>8</v>
      </c>
      <c r="HP509" s="27" t="s">
        <v>7</v>
      </c>
    </row>
    <row r="510" spans="1:224" x14ac:dyDescent="0.25">
      <c r="A510" s="7">
        <v>4.5942352075148269</v>
      </c>
      <c r="B510"/>
      <c r="C510"/>
      <c r="D510"/>
      <c r="E510"/>
      <c r="CQ510" s="27" t="s">
        <v>8</v>
      </c>
      <c r="CR510" s="27" t="s">
        <v>7</v>
      </c>
      <c r="CS510" s="27" t="s">
        <v>8</v>
      </c>
      <c r="CT510" s="27" t="s">
        <v>7</v>
      </c>
      <c r="CU510" s="27" t="s">
        <v>8</v>
      </c>
      <c r="CX510" s="27" t="s">
        <v>7</v>
      </c>
      <c r="DH510" s="27" t="s">
        <v>7</v>
      </c>
      <c r="DI510" s="27" t="s">
        <v>8</v>
      </c>
      <c r="EN510" s="27" t="s">
        <v>7</v>
      </c>
      <c r="EO510" s="27" t="s">
        <v>8</v>
      </c>
      <c r="EP510" s="27" t="s">
        <v>7</v>
      </c>
      <c r="EQ510" s="27" t="s">
        <v>8</v>
      </c>
      <c r="ER510" s="27" t="s">
        <v>7</v>
      </c>
      <c r="ES510" s="27" t="s">
        <v>8</v>
      </c>
      <c r="ET510" s="27" t="s">
        <v>7</v>
      </c>
      <c r="FQ510" s="27" t="s">
        <v>8</v>
      </c>
      <c r="FS510" s="27" t="s">
        <v>8</v>
      </c>
      <c r="FT510" s="27" t="s">
        <v>7</v>
      </c>
      <c r="FU510" s="27" t="s">
        <v>8</v>
      </c>
      <c r="FV510" s="27" t="s">
        <v>7</v>
      </c>
      <c r="FW510" s="27" t="s">
        <v>8</v>
      </c>
      <c r="HP510" s="27" t="s">
        <v>7</v>
      </c>
    </row>
    <row r="511" spans="1:224" x14ac:dyDescent="0.25">
      <c r="A511" s="7">
        <v>4.5041521642302227</v>
      </c>
      <c r="B511"/>
      <c r="C511"/>
      <c r="D511"/>
      <c r="E511"/>
      <c r="CM511" s="27" t="s">
        <v>8</v>
      </c>
      <c r="CQ511" s="27" t="s">
        <v>8</v>
      </c>
      <c r="CR511" s="27" t="s">
        <v>7</v>
      </c>
      <c r="CS511" s="27" t="s">
        <v>8</v>
      </c>
      <c r="CT511" s="27" t="s">
        <v>7</v>
      </c>
      <c r="CU511" s="27" t="s">
        <v>8</v>
      </c>
      <c r="DH511" s="27" t="s">
        <v>7</v>
      </c>
      <c r="DI511" s="27" t="s">
        <v>8</v>
      </c>
      <c r="EN511" s="27" t="s">
        <v>7</v>
      </c>
      <c r="EO511" s="27" t="s">
        <v>8</v>
      </c>
      <c r="EP511" s="27" t="s">
        <v>7</v>
      </c>
      <c r="EQ511" s="27" t="s">
        <v>8</v>
      </c>
      <c r="ER511" s="27" t="s">
        <v>7</v>
      </c>
      <c r="ET511" s="27" t="s">
        <v>7</v>
      </c>
      <c r="EU511" s="27" t="s">
        <v>8</v>
      </c>
      <c r="EW511" s="27" t="s">
        <v>8</v>
      </c>
      <c r="FQ511" s="27" t="s">
        <v>8</v>
      </c>
      <c r="FR511" s="27" t="s">
        <v>7</v>
      </c>
      <c r="FS511" s="27" t="s">
        <v>8</v>
      </c>
      <c r="FT511" s="27" t="s">
        <v>7</v>
      </c>
      <c r="FU511" s="27" t="s">
        <v>8</v>
      </c>
      <c r="FV511" s="27" t="s">
        <v>7</v>
      </c>
      <c r="HP511" s="27" t="s">
        <v>7</v>
      </c>
    </row>
    <row r="512" spans="1:224" x14ac:dyDescent="0.25">
      <c r="A512" s="7">
        <v>4.4158354551276693</v>
      </c>
      <c r="B512"/>
      <c r="C512"/>
      <c r="D512"/>
      <c r="E512"/>
      <c r="CM512" s="27" t="s">
        <v>8</v>
      </c>
      <c r="CN512" s="27" t="s">
        <v>7</v>
      </c>
      <c r="CQ512" s="27" t="s">
        <v>8</v>
      </c>
      <c r="CR512" s="27" t="s">
        <v>7</v>
      </c>
      <c r="CS512" s="27" t="s">
        <v>8</v>
      </c>
      <c r="CT512" s="27" t="s">
        <v>7</v>
      </c>
      <c r="CU512" s="27" t="s">
        <v>8</v>
      </c>
      <c r="DH512" s="27" t="s">
        <v>7</v>
      </c>
      <c r="DI512" s="27" t="s">
        <v>8</v>
      </c>
      <c r="EN512" s="27" t="s">
        <v>7</v>
      </c>
      <c r="EO512" s="27" t="s">
        <v>8</v>
      </c>
      <c r="EP512" s="27" t="s">
        <v>7</v>
      </c>
      <c r="EQ512" s="27" t="s">
        <v>8</v>
      </c>
      <c r="ET512" s="27" t="s">
        <v>7</v>
      </c>
      <c r="EU512" s="27" t="s">
        <v>8</v>
      </c>
      <c r="EV512" s="27" t="s">
        <v>7</v>
      </c>
      <c r="EW512" s="27" t="s">
        <v>8</v>
      </c>
      <c r="EX512" s="27" t="s">
        <v>7</v>
      </c>
      <c r="FQ512" s="27" t="s">
        <v>8</v>
      </c>
      <c r="FR512" s="27" t="s">
        <v>7</v>
      </c>
      <c r="FS512" s="27" t="s">
        <v>8</v>
      </c>
      <c r="FT512" s="27" t="s">
        <v>7</v>
      </c>
      <c r="FU512" s="27" t="s">
        <v>8</v>
      </c>
      <c r="HP512" s="27" t="s">
        <v>7</v>
      </c>
    </row>
    <row r="513" spans="1:244" x14ac:dyDescent="0.25">
      <c r="A513" s="7">
        <v>4.3292504462035977</v>
      </c>
      <c r="B513"/>
      <c r="C513"/>
      <c r="D513"/>
      <c r="E513"/>
      <c r="CM513" s="27" t="s">
        <v>8</v>
      </c>
      <c r="CN513" s="27" t="s">
        <v>7</v>
      </c>
      <c r="CQ513" s="27" t="s">
        <v>8</v>
      </c>
      <c r="CR513" s="27" t="s">
        <v>7</v>
      </c>
      <c r="CS513" s="27" t="s">
        <v>8</v>
      </c>
      <c r="CT513" s="27" t="s">
        <v>7</v>
      </c>
      <c r="CU513" s="27" t="s">
        <v>8</v>
      </c>
      <c r="DH513" s="27" t="s">
        <v>7</v>
      </c>
      <c r="DI513" s="27" t="s">
        <v>8</v>
      </c>
      <c r="EN513" s="27" t="s">
        <v>7</v>
      </c>
      <c r="EO513" s="27" t="s">
        <v>8</v>
      </c>
      <c r="EP513" s="27" t="s">
        <v>7</v>
      </c>
      <c r="EQ513" s="27" t="s">
        <v>8</v>
      </c>
      <c r="ET513" s="27" t="s">
        <v>7</v>
      </c>
      <c r="EU513" s="27" t="s">
        <v>8</v>
      </c>
      <c r="EV513" s="27" t="s">
        <v>7</v>
      </c>
      <c r="EW513" s="27" t="s">
        <v>8</v>
      </c>
      <c r="EX513" s="27" t="s">
        <v>7</v>
      </c>
      <c r="FQ513" s="27" t="s">
        <v>8</v>
      </c>
      <c r="FR513" s="27" t="s">
        <v>7</v>
      </c>
      <c r="FS513" s="27" t="s">
        <v>8</v>
      </c>
      <c r="FT513" s="27" t="s">
        <v>7</v>
      </c>
      <c r="FU513" s="27" t="s">
        <v>8</v>
      </c>
      <c r="HP513" s="27" t="s">
        <v>7</v>
      </c>
      <c r="HQ513" s="27" t="s">
        <v>8</v>
      </c>
    </row>
    <row r="514" spans="1:244" x14ac:dyDescent="0.25">
      <c r="A514" s="7">
        <v>4.2443631825525463</v>
      </c>
      <c r="B514"/>
      <c r="C514"/>
      <c r="D514"/>
      <c r="E514"/>
      <c r="CM514" s="27" t="s">
        <v>8</v>
      </c>
      <c r="CN514" s="27" t="s">
        <v>7</v>
      </c>
      <c r="CQ514" s="27" t="s">
        <v>8</v>
      </c>
      <c r="CR514" s="27" t="s">
        <v>7</v>
      </c>
      <c r="CS514" s="27" t="s">
        <v>8</v>
      </c>
      <c r="CT514" s="27" t="s">
        <v>7</v>
      </c>
      <c r="DH514" s="27" t="s">
        <v>7</v>
      </c>
      <c r="DI514" s="27" t="s">
        <v>8</v>
      </c>
      <c r="EN514" s="27" t="s">
        <v>7</v>
      </c>
      <c r="EO514" s="27" t="s">
        <v>8</v>
      </c>
      <c r="EP514" s="27" t="s">
        <v>7</v>
      </c>
      <c r="EQ514" s="27" t="s">
        <v>8</v>
      </c>
      <c r="ET514" s="27" t="s">
        <v>7</v>
      </c>
      <c r="EU514" s="27" t="s">
        <v>8</v>
      </c>
      <c r="EV514" s="27" t="s">
        <v>7</v>
      </c>
      <c r="EW514" s="27" t="s">
        <v>8</v>
      </c>
      <c r="EX514" s="27" t="s">
        <v>7</v>
      </c>
      <c r="FO514" s="27" t="s">
        <v>8</v>
      </c>
      <c r="FQ514" s="27" t="s">
        <v>8</v>
      </c>
      <c r="FR514" s="27" t="s">
        <v>7</v>
      </c>
      <c r="FT514" s="27" t="s">
        <v>7</v>
      </c>
      <c r="FU514" s="27" t="s">
        <v>8</v>
      </c>
      <c r="HP514" s="27" t="s">
        <v>7</v>
      </c>
      <c r="HQ514" s="27" t="s">
        <v>8</v>
      </c>
      <c r="HR514" s="27" t="s">
        <v>7</v>
      </c>
      <c r="IA514" s="27" t="s">
        <v>8</v>
      </c>
    </row>
    <row r="515" spans="1:244" x14ac:dyDescent="0.25">
      <c r="A515" s="7">
        <v>4.1611403750515157</v>
      </c>
      <c r="B515"/>
      <c r="C515"/>
      <c r="D515"/>
      <c r="E515"/>
      <c r="CM515" s="27" t="s">
        <v>8</v>
      </c>
      <c r="CN515" s="27" t="s">
        <v>7</v>
      </c>
      <c r="CQ515" s="27" t="s">
        <v>8</v>
      </c>
      <c r="CR515" s="27" t="s">
        <v>7</v>
      </c>
      <c r="CS515" s="27" t="s">
        <v>8</v>
      </c>
      <c r="DH515" s="27" t="s">
        <v>7</v>
      </c>
      <c r="DI515" s="27" t="s">
        <v>8</v>
      </c>
      <c r="EN515" s="27" t="s">
        <v>7</v>
      </c>
      <c r="EO515" s="27" t="s">
        <v>8</v>
      </c>
      <c r="EP515" s="27" t="s">
        <v>7</v>
      </c>
      <c r="EQ515" s="27" t="s">
        <v>8</v>
      </c>
      <c r="ET515" s="27" t="s">
        <v>7</v>
      </c>
      <c r="EU515" s="27" t="s">
        <v>8</v>
      </c>
      <c r="EV515" s="27" t="s">
        <v>7</v>
      </c>
      <c r="EW515" s="27" t="s">
        <v>8</v>
      </c>
      <c r="EX515" s="27" t="s">
        <v>7</v>
      </c>
      <c r="FO515" s="27" t="s">
        <v>8</v>
      </c>
      <c r="FP515" s="27" t="s">
        <v>7</v>
      </c>
      <c r="FQ515" s="27" t="s">
        <v>8</v>
      </c>
      <c r="FT515" s="27" t="s">
        <v>7</v>
      </c>
      <c r="FU515" s="27" t="s">
        <v>8</v>
      </c>
      <c r="HP515" s="27" t="s">
        <v>7</v>
      </c>
      <c r="HQ515" s="27" t="s">
        <v>8</v>
      </c>
      <c r="HR515" s="27" t="s">
        <v>7</v>
      </c>
      <c r="HY515" s="27" t="s">
        <v>8</v>
      </c>
      <c r="IA515" s="27" t="s">
        <v>8</v>
      </c>
      <c r="IB515" s="27" t="s">
        <v>7</v>
      </c>
    </row>
    <row r="516" spans="1:244" x14ac:dyDescent="0.25">
      <c r="A516" s="7">
        <v>4.0795493873054074</v>
      </c>
      <c r="B516"/>
      <c r="C516"/>
      <c r="D516"/>
      <c r="E516"/>
      <c r="CM516" s="27" t="s">
        <v>8</v>
      </c>
      <c r="CN516" s="27" t="s">
        <v>7</v>
      </c>
      <c r="CQ516" s="27" t="s">
        <v>8</v>
      </c>
      <c r="CR516" s="27" t="s">
        <v>7</v>
      </c>
      <c r="CS516" s="27" t="s">
        <v>8</v>
      </c>
      <c r="DH516" s="27" t="s">
        <v>7</v>
      </c>
      <c r="DI516" s="27" t="s">
        <v>8</v>
      </c>
      <c r="EN516" s="27" t="s">
        <v>7</v>
      </c>
      <c r="EO516" s="27" t="s">
        <v>8</v>
      </c>
      <c r="EP516" s="27" t="s">
        <v>7</v>
      </c>
      <c r="EQ516" s="27" t="s">
        <v>8</v>
      </c>
      <c r="ET516" s="27" t="s">
        <v>7</v>
      </c>
      <c r="EU516" s="27" t="s">
        <v>8</v>
      </c>
      <c r="EV516" s="27" t="s">
        <v>7</v>
      </c>
      <c r="EW516" s="27" t="s">
        <v>8</v>
      </c>
      <c r="EX516" s="27" t="s">
        <v>7</v>
      </c>
      <c r="FO516" s="27" t="s">
        <v>8</v>
      </c>
      <c r="FP516" s="27" t="s">
        <v>7</v>
      </c>
      <c r="FQ516" s="27" t="s">
        <v>8</v>
      </c>
      <c r="FT516" s="27" t="s">
        <v>7</v>
      </c>
      <c r="HP516" s="27" t="s">
        <v>7</v>
      </c>
      <c r="HQ516" s="27" t="s">
        <v>8</v>
      </c>
      <c r="HR516" s="27" t="s">
        <v>7</v>
      </c>
      <c r="HY516" s="27" t="s">
        <v>8</v>
      </c>
      <c r="HZ516" s="27" t="s">
        <v>7</v>
      </c>
      <c r="IA516" s="27" t="s">
        <v>8</v>
      </c>
      <c r="IB516" s="27" t="s">
        <v>7</v>
      </c>
    </row>
    <row r="517" spans="1:244" x14ac:dyDescent="0.25">
      <c r="A517" s="7">
        <v>3.9995582228484383</v>
      </c>
      <c r="B517"/>
      <c r="C517"/>
      <c r="D517"/>
      <c r="E517"/>
      <c r="CM517" s="27" t="s">
        <v>8</v>
      </c>
      <c r="CN517" s="27" t="s">
        <v>7</v>
      </c>
      <c r="CO517" s="27" t="s">
        <v>8</v>
      </c>
      <c r="CQ517" s="27" t="s">
        <v>8</v>
      </c>
      <c r="CR517" s="27" t="s">
        <v>7</v>
      </c>
      <c r="DH517" s="27" t="s">
        <v>7</v>
      </c>
      <c r="DI517" s="27" t="s">
        <v>8</v>
      </c>
      <c r="EN517" s="27" t="s">
        <v>7</v>
      </c>
      <c r="EO517" s="27" t="s">
        <v>8</v>
      </c>
      <c r="EP517" s="27" t="s">
        <v>7</v>
      </c>
      <c r="EQ517" s="27" t="s">
        <v>8</v>
      </c>
      <c r="ET517" s="27" t="s">
        <v>7</v>
      </c>
      <c r="EU517" s="27" t="s">
        <v>8</v>
      </c>
      <c r="EV517" s="27" t="s">
        <v>7</v>
      </c>
      <c r="EW517" s="27" t="s">
        <v>8</v>
      </c>
      <c r="EX517" s="27" t="s">
        <v>7</v>
      </c>
      <c r="FO517" s="27" t="s">
        <v>8</v>
      </c>
      <c r="FP517" s="27" t="s">
        <v>7</v>
      </c>
      <c r="FQ517" s="27" t="s">
        <v>8</v>
      </c>
      <c r="HP517" s="27" t="s">
        <v>7</v>
      </c>
      <c r="HQ517" s="27" t="s">
        <v>8</v>
      </c>
      <c r="HR517" s="27" t="s">
        <v>7</v>
      </c>
      <c r="HY517" s="27" t="s">
        <v>8</v>
      </c>
      <c r="HZ517" s="27" t="s">
        <v>7</v>
      </c>
      <c r="IA517" s="27" t="s">
        <v>8</v>
      </c>
      <c r="IB517" s="27" t="s">
        <v>7</v>
      </c>
    </row>
    <row r="518" spans="1:244" x14ac:dyDescent="0.25">
      <c r="A518" s="7">
        <v>3.9211355125965079</v>
      </c>
      <c r="B518"/>
      <c r="C518"/>
      <c r="D518"/>
      <c r="E518"/>
      <c r="CM518" s="27" t="s">
        <v>8</v>
      </c>
      <c r="CN518" s="27" t="s">
        <v>7</v>
      </c>
      <c r="CO518" s="27" t="s">
        <v>8</v>
      </c>
      <c r="CP518" s="27" t="s">
        <v>7</v>
      </c>
      <c r="CQ518" s="27" t="s">
        <v>8</v>
      </c>
      <c r="DH518" s="27" t="s">
        <v>7</v>
      </c>
      <c r="EN518" s="27" t="s">
        <v>7</v>
      </c>
      <c r="EO518" s="27" t="s">
        <v>8</v>
      </c>
      <c r="EP518" s="27" t="s">
        <v>7</v>
      </c>
      <c r="EQ518" s="27" t="s">
        <v>8</v>
      </c>
      <c r="ET518" s="27" t="s">
        <v>7</v>
      </c>
      <c r="EU518" s="27" t="s">
        <v>8</v>
      </c>
      <c r="EV518" s="27" t="s">
        <v>7</v>
      </c>
      <c r="EW518" s="27" t="s">
        <v>8</v>
      </c>
      <c r="EX518" s="27" t="s">
        <v>7</v>
      </c>
      <c r="EY518" s="27" t="s">
        <v>8</v>
      </c>
      <c r="FO518" s="27" t="s">
        <v>8</v>
      </c>
      <c r="FP518" s="27" t="s">
        <v>7</v>
      </c>
      <c r="FQ518" s="27" t="s">
        <v>8</v>
      </c>
      <c r="HP518" s="27" t="s">
        <v>7</v>
      </c>
      <c r="HQ518" s="27" t="s">
        <v>8</v>
      </c>
      <c r="HR518" s="27" t="s">
        <v>7</v>
      </c>
      <c r="HY518" s="27" t="s">
        <v>8</v>
      </c>
      <c r="HZ518" s="27" t="s">
        <v>7</v>
      </c>
      <c r="IB518" s="27" t="s">
        <v>7</v>
      </c>
    </row>
    <row r="519" spans="1:244" x14ac:dyDescent="0.25">
      <c r="A519" s="7">
        <v>3.844250502545596</v>
      </c>
      <c r="B519"/>
      <c r="C519"/>
      <c r="D519"/>
      <c r="E519"/>
      <c r="CM519" s="27" t="s">
        <v>8</v>
      </c>
      <c r="CN519" s="27" t="s">
        <v>7</v>
      </c>
      <c r="CO519" s="27" t="s">
        <v>8</v>
      </c>
      <c r="CP519" s="27" t="s">
        <v>7</v>
      </c>
      <c r="CQ519" s="27" t="s">
        <v>8</v>
      </c>
      <c r="EN519" s="27" t="s">
        <v>7</v>
      </c>
      <c r="EO519" s="27" t="s">
        <v>8</v>
      </c>
      <c r="EP519" s="27" t="s">
        <v>7</v>
      </c>
      <c r="ET519" s="27" t="s">
        <v>7</v>
      </c>
      <c r="EV519" s="27" t="s">
        <v>7</v>
      </c>
      <c r="EW519" s="27" t="s">
        <v>8</v>
      </c>
      <c r="EX519" s="27" t="s">
        <v>7</v>
      </c>
      <c r="EY519" s="27" t="s">
        <v>8</v>
      </c>
      <c r="EZ519" s="27" t="s">
        <v>7</v>
      </c>
      <c r="FG519" s="27" t="s">
        <v>8</v>
      </c>
      <c r="FO519" s="27" t="s">
        <v>8</v>
      </c>
      <c r="FP519" s="27" t="s">
        <v>7</v>
      </c>
      <c r="FQ519" s="27" t="s">
        <v>8</v>
      </c>
      <c r="HP519" s="27" t="s">
        <v>7</v>
      </c>
      <c r="HQ519" s="27" t="s">
        <v>8</v>
      </c>
      <c r="HR519" s="27" t="s">
        <v>7</v>
      </c>
      <c r="HS519" s="27" t="s">
        <v>8</v>
      </c>
      <c r="HY519" s="27" t="s">
        <v>8</v>
      </c>
      <c r="IB519" s="27" t="s">
        <v>7</v>
      </c>
      <c r="IC519" s="27" t="s">
        <v>8</v>
      </c>
    </row>
    <row r="520" spans="1:244" x14ac:dyDescent="0.25">
      <c r="A520" s="7">
        <v>3.7688730417113687</v>
      </c>
      <c r="B520"/>
      <c r="C520"/>
      <c r="D520"/>
      <c r="E520"/>
      <c r="M520" s="27" t="s">
        <v>8</v>
      </c>
      <c r="CM520" s="27" t="s">
        <v>8</v>
      </c>
      <c r="CN520" s="27" t="s">
        <v>7</v>
      </c>
      <c r="CO520" s="27" t="s">
        <v>8</v>
      </c>
      <c r="CP520" s="27" t="s">
        <v>7</v>
      </c>
      <c r="EN520" s="27" t="s">
        <v>7</v>
      </c>
      <c r="EO520" s="27" t="s">
        <v>8</v>
      </c>
      <c r="EV520" s="27" t="s">
        <v>7</v>
      </c>
      <c r="EW520" s="27" t="s">
        <v>8</v>
      </c>
      <c r="EX520" s="27" t="s">
        <v>7</v>
      </c>
      <c r="EY520" s="27" t="s">
        <v>8</v>
      </c>
      <c r="EZ520" s="27" t="s">
        <v>7</v>
      </c>
      <c r="FG520" s="27" t="s">
        <v>8</v>
      </c>
      <c r="FH520" s="27" t="s">
        <v>7</v>
      </c>
      <c r="FO520" s="27" t="s">
        <v>8</v>
      </c>
      <c r="FP520" s="27" t="s">
        <v>7</v>
      </c>
      <c r="FQ520" s="27" t="s">
        <v>8</v>
      </c>
      <c r="HP520" s="27" t="s">
        <v>7</v>
      </c>
      <c r="HQ520" s="27" t="s">
        <v>8</v>
      </c>
      <c r="HR520" s="27" t="s">
        <v>7</v>
      </c>
      <c r="HS520" s="27" t="s">
        <v>8</v>
      </c>
      <c r="HT520" s="27" t="s">
        <v>7</v>
      </c>
      <c r="HY520" s="27" t="s">
        <v>8</v>
      </c>
      <c r="IB520" s="27" t="s">
        <v>7</v>
      </c>
      <c r="IC520" s="27" t="s">
        <v>8</v>
      </c>
      <c r="ID520" s="27" t="s">
        <v>7</v>
      </c>
    </row>
    <row r="521" spans="1:244" x14ac:dyDescent="0.25">
      <c r="A521" s="7">
        <v>3.6949735703052635</v>
      </c>
      <c r="B521"/>
      <c r="C521"/>
      <c r="D521"/>
      <c r="E521"/>
      <c r="M521" s="27" t="s">
        <v>8</v>
      </c>
      <c r="N521" s="27" t="s">
        <v>7</v>
      </c>
      <c r="CM521" s="27" t="s">
        <v>8</v>
      </c>
      <c r="CN521" s="27" t="s">
        <v>7</v>
      </c>
      <c r="CO521" s="27" t="s">
        <v>8</v>
      </c>
      <c r="EN521" s="27" t="s">
        <v>7</v>
      </c>
      <c r="EO521" s="27" t="s">
        <v>8</v>
      </c>
      <c r="EV521" s="27" t="s">
        <v>7</v>
      </c>
      <c r="EW521" s="27" t="s">
        <v>8</v>
      </c>
      <c r="EX521" s="27" t="s">
        <v>7</v>
      </c>
      <c r="EZ521" s="27" t="s">
        <v>7</v>
      </c>
      <c r="FG521" s="27" t="s">
        <v>8</v>
      </c>
      <c r="FH521" s="27" t="s">
        <v>7</v>
      </c>
      <c r="FO521" s="27" t="s">
        <v>8</v>
      </c>
      <c r="FP521" s="27" t="s">
        <v>7</v>
      </c>
      <c r="HP521" s="27" t="s">
        <v>7</v>
      </c>
      <c r="HQ521" s="27" t="s">
        <v>8</v>
      </c>
      <c r="HR521" s="27" t="s">
        <v>7</v>
      </c>
      <c r="HS521" s="27" t="s">
        <v>8</v>
      </c>
      <c r="HT521" s="27" t="s">
        <v>7</v>
      </c>
      <c r="HY521" s="27" t="s">
        <v>8</v>
      </c>
      <c r="IB521" s="27" t="s">
        <v>7</v>
      </c>
      <c r="IC521" s="27" t="s">
        <v>8</v>
      </c>
      <c r="ID521" s="27" t="s">
        <v>7</v>
      </c>
    </row>
    <row r="522" spans="1:244" x14ac:dyDescent="0.25">
      <c r="A522" s="7">
        <v>3.6225231081424152</v>
      </c>
      <c r="B522"/>
      <c r="C522"/>
      <c r="D522"/>
      <c r="E522"/>
      <c r="M522" s="27" t="s">
        <v>8</v>
      </c>
      <c r="N522" s="27" t="s">
        <v>7</v>
      </c>
      <c r="CM522" s="27" t="s">
        <v>8</v>
      </c>
      <c r="CN522" s="27" t="s">
        <v>7</v>
      </c>
      <c r="CO522" s="27" t="s">
        <v>8</v>
      </c>
      <c r="EN522" s="27" t="s">
        <v>7</v>
      </c>
      <c r="EO522" s="27" t="s">
        <v>8</v>
      </c>
      <c r="EV522" s="27" t="s">
        <v>7</v>
      </c>
      <c r="EW522" s="27" t="s">
        <v>8</v>
      </c>
      <c r="EZ522" s="27" t="s">
        <v>7</v>
      </c>
      <c r="FG522" s="27" t="s">
        <v>8</v>
      </c>
      <c r="FH522" s="27" t="s">
        <v>7</v>
      </c>
      <c r="FO522" s="27" t="s">
        <v>8</v>
      </c>
      <c r="HP522" s="27" t="s">
        <v>7</v>
      </c>
      <c r="HR522" s="27" t="s">
        <v>7</v>
      </c>
      <c r="HS522" s="27" t="s">
        <v>8</v>
      </c>
      <c r="HT522" s="27" t="s">
        <v>7</v>
      </c>
      <c r="HU522" s="27" t="s">
        <v>8</v>
      </c>
      <c r="HY522" s="27" t="s">
        <v>8</v>
      </c>
      <c r="IB522" s="27" t="s">
        <v>7</v>
      </c>
      <c r="IC522" s="27" t="s">
        <v>8</v>
      </c>
      <c r="ID522" s="27" t="s">
        <v>7</v>
      </c>
    </row>
    <row r="523" spans="1:244" x14ac:dyDescent="0.25">
      <c r="A523" s="7">
        <v>3.5514932432768775</v>
      </c>
      <c r="B523"/>
      <c r="C523"/>
      <c r="D523"/>
      <c r="E523"/>
      <c r="M523" s="27" t="s">
        <v>8</v>
      </c>
      <c r="N523" s="27" t="s">
        <v>7</v>
      </c>
      <c r="O523" s="27" t="s">
        <v>8</v>
      </c>
      <c r="CM523" s="27" t="s">
        <v>8</v>
      </c>
      <c r="CN523" s="27" t="s">
        <v>7</v>
      </c>
      <c r="CO523" s="27" t="s">
        <v>8</v>
      </c>
      <c r="EN523" s="27" t="s">
        <v>7</v>
      </c>
      <c r="EO523" s="27" t="s">
        <v>8</v>
      </c>
      <c r="EV523" s="27" t="s">
        <v>7</v>
      </c>
      <c r="EW523" s="27" t="s">
        <v>8</v>
      </c>
      <c r="EZ523" s="27" t="s">
        <v>7</v>
      </c>
      <c r="FC523" s="27" t="s">
        <v>8</v>
      </c>
      <c r="FE523" s="27" t="s">
        <v>8</v>
      </c>
      <c r="FG523" s="27" t="s">
        <v>8</v>
      </c>
      <c r="FH523" s="27" t="s">
        <v>7</v>
      </c>
      <c r="FO523" s="27" t="s">
        <v>8</v>
      </c>
      <c r="HR523" s="27" t="s">
        <v>7</v>
      </c>
      <c r="HS523" s="27" t="s">
        <v>8</v>
      </c>
      <c r="HT523" s="27" t="s">
        <v>7</v>
      </c>
      <c r="HU523" s="27" t="s">
        <v>8</v>
      </c>
      <c r="HV523" s="27" t="s">
        <v>7</v>
      </c>
      <c r="HY523" s="27" t="s">
        <v>8</v>
      </c>
      <c r="IB523" s="27" t="s">
        <v>7</v>
      </c>
      <c r="IC523" s="27" t="s">
        <v>8</v>
      </c>
      <c r="ID523" s="27" t="s">
        <v>7</v>
      </c>
    </row>
    <row r="524" spans="1:244" x14ac:dyDescent="0.25">
      <c r="A524" s="7">
        <v>3.4818561208596837</v>
      </c>
      <c r="B524"/>
      <c r="C524"/>
      <c r="D524"/>
      <c r="E524"/>
      <c r="M524" s="27" t="s">
        <v>8</v>
      </c>
      <c r="N524" s="27" t="s">
        <v>7</v>
      </c>
      <c r="O524" s="27" t="s">
        <v>8</v>
      </c>
      <c r="P524" s="27" t="s">
        <v>7</v>
      </c>
      <c r="CK524" s="27" t="s">
        <v>8</v>
      </c>
      <c r="CM524" s="27" t="s">
        <v>8</v>
      </c>
      <c r="CN524" s="27" t="s">
        <v>7</v>
      </c>
      <c r="CO524" s="27" t="s">
        <v>8</v>
      </c>
      <c r="EN524" s="27" t="s">
        <v>7</v>
      </c>
      <c r="EO524" s="27" t="s">
        <v>8</v>
      </c>
      <c r="EV524" s="27" t="s">
        <v>7</v>
      </c>
      <c r="EZ524" s="27" t="s">
        <v>7</v>
      </c>
      <c r="FC524" s="27" t="s">
        <v>8</v>
      </c>
      <c r="FD524" s="27" t="s">
        <v>7</v>
      </c>
      <c r="FE524" s="27" t="s">
        <v>8</v>
      </c>
      <c r="FF524" s="27" t="s">
        <v>7</v>
      </c>
      <c r="FG524" s="27" t="s">
        <v>8</v>
      </c>
      <c r="FH524" s="27" t="s">
        <v>7</v>
      </c>
      <c r="FO524" s="27" t="s">
        <v>8</v>
      </c>
      <c r="HR524" s="27" t="s">
        <v>7</v>
      </c>
      <c r="HT524" s="27" t="s">
        <v>7</v>
      </c>
      <c r="HU524" s="27" t="s">
        <v>8</v>
      </c>
      <c r="HV524" s="27" t="s">
        <v>7</v>
      </c>
      <c r="HW524" s="27" t="s">
        <v>8</v>
      </c>
      <c r="HY524" s="27" t="s">
        <v>8</v>
      </c>
      <c r="IB524" s="27" t="s">
        <v>7</v>
      </c>
      <c r="IC524" s="27" t="s">
        <v>8</v>
      </c>
      <c r="ID524" s="27" t="s">
        <v>7</v>
      </c>
    </row>
    <row r="525" spans="1:244" x14ac:dyDescent="0.25">
      <c r="A525" s="7">
        <v>3.4135844322153761</v>
      </c>
      <c r="B525"/>
      <c r="C525"/>
      <c r="D525"/>
      <c r="E525"/>
      <c r="M525" s="27" t="s">
        <v>8</v>
      </c>
      <c r="N525" s="27" t="s">
        <v>7</v>
      </c>
      <c r="O525" s="27" t="s">
        <v>8</v>
      </c>
      <c r="P525" s="27" t="s">
        <v>7</v>
      </c>
      <c r="CK525" s="27" t="s">
        <v>8</v>
      </c>
      <c r="CL525" s="27" t="s">
        <v>7</v>
      </c>
      <c r="CM525" s="27" t="s">
        <v>8</v>
      </c>
      <c r="CN525" s="27" t="s">
        <v>7</v>
      </c>
      <c r="CO525" s="27" t="s">
        <v>8</v>
      </c>
      <c r="EN525" s="27" t="s">
        <v>7</v>
      </c>
      <c r="EO525" s="27" t="s">
        <v>8</v>
      </c>
      <c r="EZ525" s="27" t="s">
        <v>7</v>
      </c>
      <c r="FC525" s="27" t="s">
        <v>8</v>
      </c>
      <c r="FD525" s="27" t="s">
        <v>7</v>
      </c>
      <c r="FE525" s="27" t="s">
        <v>8</v>
      </c>
      <c r="FF525" s="27" t="s">
        <v>7</v>
      </c>
      <c r="FG525" s="27" t="s">
        <v>8</v>
      </c>
      <c r="FH525" s="27" t="s">
        <v>7</v>
      </c>
      <c r="FM525" s="27" t="s">
        <v>8</v>
      </c>
      <c r="FO525" s="27" t="s">
        <v>8</v>
      </c>
      <c r="HT525" s="27" t="s">
        <v>7</v>
      </c>
      <c r="HU525" s="27" t="s">
        <v>8</v>
      </c>
      <c r="HV525" s="27" t="s">
        <v>7</v>
      </c>
      <c r="HW525" s="27" t="s">
        <v>8</v>
      </c>
      <c r="HX525" s="27" t="s">
        <v>7</v>
      </c>
      <c r="HY525" s="27" t="s">
        <v>8</v>
      </c>
      <c r="IB525" s="27" t="s">
        <v>7</v>
      </c>
      <c r="IC525" s="27" t="s">
        <v>8</v>
      </c>
      <c r="ID525" s="27" t="s">
        <v>7</v>
      </c>
    </row>
    <row r="526" spans="1:244" x14ac:dyDescent="0.25">
      <c r="A526" s="7">
        <v>3.3466514041327216</v>
      </c>
      <c r="B526"/>
      <c r="C526"/>
      <c r="D526"/>
      <c r="E526"/>
      <c r="M526" s="27" t="s">
        <v>8</v>
      </c>
      <c r="N526" s="27" t="s">
        <v>7</v>
      </c>
      <c r="O526" s="27" t="s">
        <v>8</v>
      </c>
      <c r="P526" s="27" t="s">
        <v>7</v>
      </c>
      <c r="CK526" s="27" t="s">
        <v>8</v>
      </c>
      <c r="CL526" s="27" t="s">
        <v>7</v>
      </c>
      <c r="CM526" s="27" t="s">
        <v>8</v>
      </c>
      <c r="CN526" s="27" t="s">
        <v>7</v>
      </c>
      <c r="CO526" s="27" t="s">
        <v>8</v>
      </c>
      <c r="EN526" s="27" t="s">
        <v>7</v>
      </c>
      <c r="EO526" s="27" t="s">
        <v>8</v>
      </c>
      <c r="EZ526" s="27" t="s">
        <v>7</v>
      </c>
      <c r="FC526" s="27" t="s">
        <v>8</v>
      </c>
      <c r="FD526" s="27" t="s">
        <v>7</v>
      </c>
      <c r="FE526" s="27" t="s">
        <v>8</v>
      </c>
      <c r="FF526" s="27" t="s">
        <v>7</v>
      </c>
      <c r="FG526" s="27" t="s">
        <v>8</v>
      </c>
      <c r="FH526" s="27" t="s">
        <v>7</v>
      </c>
      <c r="FM526" s="27" t="s">
        <v>8</v>
      </c>
      <c r="FN526" s="27" t="s">
        <v>7</v>
      </c>
      <c r="FO526" s="27" t="s">
        <v>8</v>
      </c>
      <c r="HT526" s="27" t="s">
        <v>7</v>
      </c>
      <c r="HU526" s="27" t="s">
        <v>8</v>
      </c>
      <c r="HV526" s="27" t="s">
        <v>7</v>
      </c>
      <c r="HW526" s="27" t="s">
        <v>8</v>
      </c>
      <c r="HX526" s="27" t="s">
        <v>7</v>
      </c>
      <c r="HY526" s="27" t="s">
        <v>8</v>
      </c>
      <c r="IB526" s="27" t="s">
        <v>7</v>
      </c>
      <c r="ID526" s="27" t="s">
        <v>7</v>
      </c>
    </row>
    <row r="527" spans="1:244" x14ac:dyDescent="0.25">
      <c r="A527" s="7">
        <v>3.2810307883654133</v>
      </c>
      <c r="B527"/>
      <c r="C527"/>
      <c r="D527"/>
      <c r="E527"/>
      <c r="M527" s="27" t="s">
        <v>8</v>
      </c>
      <c r="N527" s="27" t="s">
        <v>7</v>
      </c>
      <c r="O527" s="27" t="s">
        <v>8</v>
      </c>
      <c r="P527" s="27" t="s">
        <v>7</v>
      </c>
      <c r="CK527" s="27" t="s">
        <v>8</v>
      </c>
      <c r="CL527" s="27" t="s">
        <v>7</v>
      </c>
      <c r="CM527" s="27" t="s">
        <v>8</v>
      </c>
      <c r="CN527" s="27" t="s">
        <v>7</v>
      </c>
      <c r="EN527" s="27" t="s">
        <v>7</v>
      </c>
      <c r="EO527" s="27" t="s">
        <v>8</v>
      </c>
      <c r="EZ527" s="27" t="s">
        <v>7</v>
      </c>
      <c r="FC527" s="27" t="s">
        <v>8</v>
      </c>
      <c r="FD527" s="27" t="s">
        <v>7</v>
      </c>
      <c r="FE527" s="27" t="s">
        <v>8</v>
      </c>
      <c r="FF527" s="27" t="s">
        <v>7</v>
      </c>
      <c r="FG527" s="27" t="s">
        <v>8</v>
      </c>
      <c r="FH527" s="27" t="s">
        <v>7</v>
      </c>
      <c r="FI527" s="27" t="s">
        <v>8</v>
      </c>
      <c r="FM527" s="27" t="s">
        <v>8</v>
      </c>
      <c r="FN527" s="27" t="s">
        <v>7</v>
      </c>
      <c r="FO527" s="27" t="s">
        <v>8</v>
      </c>
      <c r="HT527" s="27" t="s">
        <v>7</v>
      </c>
      <c r="HV527" s="27" t="s">
        <v>7</v>
      </c>
      <c r="HX527" s="27" t="s">
        <v>7</v>
      </c>
      <c r="HY527" s="27" t="s">
        <v>8</v>
      </c>
      <c r="ID527" s="27" t="s">
        <v>7</v>
      </c>
      <c r="II527" s="27" t="s">
        <v>8</v>
      </c>
    </row>
    <row r="528" spans="1:244" x14ac:dyDescent="0.25">
      <c r="A528" s="7">
        <v>3.2166968513386403</v>
      </c>
      <c r="B528"/>
      <c r="C528"/>
      <c r="D528"/>
      <c r="E528"/>
      <c r="M528" s="27" t="s">
        <v>8</v>
      </c>
      <c r="N528" s="27" t="s">
        <v>7</v>
      </c>
      <c r="O528" s="27" t="s">
        <v>8</v>
      </c>
      <c r="P528" s="27" t="s">
        <v>7</v>
      </c>
      <c r="CK528" s="27" t="s">
        <v>8</v>
      </c>
      <c r="CL528" s="27" t="s">
        <v>7</v>
      </c>
      <c r="CM528" s="27" t="s">
        <v>8</v>
      </c>
      <c r="EN528" s="27" t="s">
        <v>7</v>
      </c>
      <c r="EO528" s="27" t="s">
        <v>8</v>
      </c>
      <c r="EZ528" s="27" t="s">
        <v>7</v>
      </c>
      <c r="FC528" s="27" t="s">
        <v>8</v>
      </c>
      <c r="FD528" s="27" t="s">
        <v>7</v>
      </c>
      <c r="FE528" s="27" t="s">
        <v>8</v>
      </c>
      <c r="FF528" s="27" t="s">
        <v>7</v>
      </c>
      <c r="FH528" s="27" t="s">
        <v>7</v>
      </c>
      <c r="FI528" s="27" t="s">
        <v>8</v>
      </c>
      <c r="FJ528" s="27" t="s">
        <v>7</v>
      </c>
      <c r="FM528" s="27" t="s">
        <v>8</v>
      </c>
      <c r="FN528" s="27" t="s">
        <v>7</v>
      </c>
      <c r="FO528" s="27" t="s">
        <v>8</v>
      </c>
      <c r="HX528" s="27" t="s">
        <v>7</v>
      </c>
      <c r="ID528" s="27" t="s">
        <v>7</v>
      </c>
      <c r="IG528" s="27" t="s">
        <v>8</v>
      </c>
      <c r="II528" s="27" t="s">
        <v>8</v>
      </c>
      <c r="IJ528" s="27" t="s">
        <v>7</v>
      </c>
    </row>
    <row r="529" spans="1:244" x14ac:dyDescent="0.25">
      <c r="A529" s="7">
        <v>3.1536243640574906</v>
      </c>
      <c r="B529"/>
      <c r="C529"/>
      <c r="D529"/>
      <c r="E529"/>
      <c r="M529" s="27" t="s">
        <v>8</v>
      </c>
      <c r="N529" s="27" t="s">
        <v>7</v>
      </c>
      <c r="O529" s="27" t="s">
        <v>8</v>
      </c>
      <c r="P529" s="27" t="s">
        <v>7</v>
      </c>
      <c r="CK529" s="27" t="s">
        <v>8</v>
      </c>
      <c r="CL529" s="27" t="s">
        <v>7</v>
      </c>
      <c r="CM529" s="27" t="s">
        <v>8</v>
      </c>
      <c r="EN529" s="27" t="s">
        <v>7</v>
      </c>
      <c r="EO529" s="27" t="s">
        <v>8</v>
      </c>
      <c r="EZ529" s="27" t="s">
        <v>7</v>
      </c>
      <c r="FC529" s="27" t="s">
        <v>8</v>
      </c>
      <c r="FD529" s="27" t="s">
        <v>7</v>
      </c>
      <c r="FE529" s="27" t="s">
        <v>8</v>
      </c>
      <c r="FH529" s="27" t="s">
        <v>7</v>
      </c>
      <c r="FI529" s="27" t="s">
        <v>8</v>
      </c>
      <c r="FJ529" s="27" t="s">
        <v>7</v>
      </c>
      <c r="FK529" s="27" t="s">
        <v>8</v>
      </c>
      <c r="FM529" s="27" t="s">
        <v>8</v>
      </c>
      <c r="FN529" s="27" t="s">
        <v>7</v>
      </c>
      <c r="FO529" s="27" t="s">
        <v>8</v>
      </c>
      <c r="ID529" s="27" t="s">
        <v>7</v>
      </c>
      <c r="IG529" s="27" t="s">
        <v>8</v>
      </c>
      <c r="IH529" s="27" t="s">
        <v>7</v>
      </c>
      <c r="II529" s="27" t="s">
        <v>8</v>
      </c>
      <c r="IJ529" s="27" t="s">
        <v>7</v>
      </c>
    </row>
    <row r="530" spans="1:244" x14ac:dyDescent="0.25">
      <c r="A530" s="7">
        <v>3.0917885922132262</v>
      </c>
      <c r="B530"/>
      <c r="C530"/>
      <c r="D530"/>
      <c r="E530"/>
      <c r="M530" s="27" t="s">
        <v>8</v>
      </c>
      <c r="N530" s="27" t="s">
        <v>7</v>
      </c>
      <c r="O530" s="27" t="s">
        <v>8</v>
      </c>
      <c r="P530" s="27" t="s">
        <v>7</v>
      </c>
      <c r="CK530" s="27" t="s">
        <v>8</v>
      </c>
      <c r="CL530" s="27" t="s">
        <v>7</v>
      </c>
      <c r="CM530" s="27" t="s">
        <v>8</v>
      </c>
      <c r="EN530" s="27" t="s">
        <v>7</v>
      </c>
      <c r="EZ530" s="27" t="s">
        <v>7</v>
      </c>
      <c r="FC530" s="27" t="s">
        <v>8</v>
      </c>
      <c r="FD530" s="27" t="s">
        <v>7</v>
      </c>
      <c r="FH530" s="27" t="s">
        <v>7</v>
      </c>
      <c r="FJ530" s="27" t="s">
        <v>7</v>
      </c>
      <c r="FK530" s="27" t="s">
        <v>8</v>
      </c>
      <c r="FL530" s="27" t="s">
        <v>7</v>
      </c>
      <c r="FM530" s="27" t="s">
        <v>8</v>
      </c>
      <c r="FN530" s="27" t="s">
        <v>7</v>
      </c>
      <c r="FO530" s="27" t="s">
        <v>8</v>
      </c>
      <c r="ID530" s="27" t="s">
        <v>7</v>
      </c>
      <c r="IE530" s="27" t="s">
        <v>8</v>
      </c>
      <c r="IG530" s="27" t="s">
        <v>8</v>
      </c>
      <c r="IH530" s="27" t="s">
        <v>7</v>
      </c>
      <c r="II530" s="27" t="s">
        <v>8</v>
      </c>
      <c r="IJ530" s="27" t="s">
        <v>7</v>
      </c>
    </row>
    <row r="531" spans="1:244" x14ac:dyDescent="0.25">
      <c r="A531" s="7">
        <v>3.0311652864835552</v>
      </c>
      <c r="B531"/>
      <c r="C531"/>
      <c r="D531"/>
      <c r="E531"/>
      <c r="M531" s="27" t="s">
        <v>8</v>
      </c>
      <c r="N531" s="27" t="s">
        <v>7</v>
      </c>
      <c r="O531" s="27" t="s">
        <v>8</v>
      </c>
      <c r="P531" s="27" t="s">
        <v>7</v>
      </c>
      <c r="CI531" s="27" t="s">
        <v>8</v>
      </c>
      <c r="CK531" s="27" t="s">
        <v>8</v>
      </c>
      <c r="CL531" s="27" t="s">
        <v>7</v>
      </c>
      <c r="CM531" s="27" t="s">
        <v>8</v>
      </c>
      <c r="EZ531" s="27" t="s">
        <v>7</v>
      </c>
      <c r="FA531" s="27" t="s">
        <v>8</v>
      </c>
      <c r="FC531" s="27" t="s">
        <v>8</v>
      </c>
      <c r="FJ531" s="27" t="s">
        <v>7</v>
      </c>
      <c r="FK531" s="27" t="s">
        <v>8</v>
      </c>
      <c r="FL531" s="27" t="s">
        <v>7</v>
      </c>
      <c r="FM531" s="27" t="s">
        <v>8</v>
      </c>
      <c r="FN531" s="27" t="s">
        <v>7</v>
      </c>
      <c r="FO531" s="27" t="s">
        <v>8</v>
      </c>
      <c r="ID531" s="27" t="s">
        <v>7</v>
      </c>
      <c r="IE531" s="27" t="s">
        <v>8</v>
      </c>
      <c r="IF531" s="27" t="s">
        <v>7</v>
      </c>
      <c r="IG531" s="27" t="s">
        <v>8</v>
      </c>
      <c r="IH531" s="27" t="s">
        <v>7</v>
      </c>
      <c r="IJ531" s="27" t="s">
        <v>7</v>
      </c>
    </row>
    <row r="532" spans="1:244" x14ac:dyDescent="0.25">
      <c r="A532" s="7">
        <v>2.9717306730230932</v>
      </c>
      <c r="B532"/>
      <c r="C532"/>
      <c r="D532"/>
      <c r="E532"/>
      <c r="M532" s="27" t="s">
        <v>8</v>
      </c>
      <c r="N532" s="27" t="s">
        <v>7</v>
      </c>
      <c r="O532" s="27" t="s">
        <v>8</v>
      </c>
      <c r="P532" s="27" t="s">
        <v>7</v>
      </c>
      <c r="CI532" s="27" t="s">
        <v>8</v>
      </c>
      <c r="CJ532" s="27" t="s">
        <v>7</v>
      </c>
      <c r="CK532" s="27" t="s">
        <v>8</v>
      </c>
      <c r="CL532" s="27" t="s">
        <v>7</v>
      </c>
      <c r="CM532" s="27" t="s">
        <v>8</v>
      </c>
      <c r="EZ532" s="27" t="s">
        <v>7</v>
      </c>
      <c r="FA532" s="27" t="s">
        <v>8</v>
      </c>
      <c r="FB532" s="27" t="s">
        <v>7</v>
      </c>
      <c r="FC532" s="27" t="s">
        <v>8</v>
      </c>
      <c r="FJ532" s="27" t="s">
        <v>7</v>
      </c>
      <c r="FK532" s="27" t="s">
        <v>8</v>
      </c>
      <c r="FL532" s="27" t="s">
        <v>7</v>
      </c>
      <c r="FM532" s="27" t="s">
        <v>8</v>
      </c>
      <c r="FN532" s="27" t="s">
        <v>7</v>
      </c>
      <c r="ID532" s="27" t="s">
        <v>7</v>
      </c>
      <c r="IE532" s="27" t="s">
        <v>8</v>
      </c>
      <c r="IF532" s="27" t="s">
        <v>7</v>
      </c>
      <c r="IG532" s="27" t="s">
        <v>8</v>
      </c>
      <c r="IJ532" s="27" t="s">
        <v>7</v>
      </c>
    </row>
    <row r="533" spans="1:244" x14ac:dyDescent="0.25">
      <c r="A533" s="7">
        <v>2.9134614441402875</v>
      </c>
      <c r="B533"/>
      <c r="C533"/>
      <c r="D533"/>
      <c r="E533"/>
      <c r="K533" s="27" t="s">
        <v>8</v>
      </c>
      <c r="M533" s="27" t="s">
        <v>8</v>
      </c>
      <c r="N533" s="27" t="s">
        <v>7</v>
      </c>
      <c r="O533" s="27" t="s">
        <v>8</v>
      </c>
      <c r="P533" s="27" t="s">
        <v>7</v>
      </c>
      <c r="CI533" s="27" t="s">
        <v>8</v>
      </c>
      <c r="CJ533" s="27" t="s">
        <v>7</v>
      </c>
      <c r="CK533" s="27" t="s">
        <v>8</v>
      </c>
      <c r="CL533" s="27" t="s">
        <v>7</v>
      </c>
      <c r="CM533" s="27" t="s">
        <v>8</v>
      </c>
      <c r="EZ533" s="27" t="s">
        <v>7</v>
      </c>
      <c r="FA533" s="27" t="s">
        <v>8</v>
      </c>
      <c r="FB533" s="27" t="s">
        <v>7</v>
      </c>
      <c r="FC533" s="27" t="s">
        <v>8</v>
      </c>
      <c r="FJ533" s="27" t="s">
        <v>7</v>
      </c>
      <c r="FK533" s="27" t="s">
        <v>8</v>
      </c>
      <c r="FL533" s="27" t="s">
        <v>7</v>
      </c>
      <c r="FM533" s="27" t="s">
        <v>8</v>
      </c>
      <c r="ID533" s="27" t="s">
        <v>7</v>
      </c>
      <c r="IF533" s="27" t="s">
        <v>7</v>
      </c>
      <c r="IG533" s="27" t="s">
        <v>8</v>
      </c>
      <c r="IJ533" s="27" t="s">
        <v>7</v>
      </c>
    </row>
    <row r="534" spans="1:244" x14ac:dyDescent="0.25">
      <c r="A534" s="7">
        <v>2.8563347491571447</v>
      </c>
      <c r="B534"/>
      <c r="C534"/>
      <c r="D534"/>
      <c r="E534"/>
      <c r="K534" s="27" t="s">
        <v>8</v>
      </c>
      <c r="L534" s="27" t="s">
        <v>7</v>
      </c>
      <c r="M534" s="27" t="s">
        <v>8</v>
      </c>
      <c r="N534" s="27" t="s">
        <v>7</v>
      </c>
      <c r="O534" s="27" t="s">
        <v>8</v>
      </c>
      <c r="P534" s="27" t="s">
        <v>7</v>
      </c>
      <c r="CI534" s="27" t="s">
        <v>8</v>
      </c>
      <c r="CJ534" s="27" t="s">
        <v>7</v>
      </c>
      <c r="CK534" s="27" t="s">
        <v>8</v>
      </c>
      <c r="CL534" s="27" t="s">
        <v>7</v>
      </c>
      <c r="CM534" s="27" t="s">
        <v>8</v>
      </c>
      <c r="EZ534" s="27" t="s">
        <v>7</v>
      </c>
      <c r="FA534" s="27" t="s">
        <v>8</v>
      </c>
      <c r="FB534" s="27" t="s">
        <v>7</v>
      </c>
      <c r="FC534" s="27" t="s">
        <v>8</v>
      </c>
      <c r="FJ534" s="27" t="s">
        <v>7</v>
      </c>
      <c r="FK534" s="27" t="s">
        <v>8</v>
      </c>
      <c r="FL534" s="27" t="s">
        <v>7</v>
      </c>
      <c r="FM534" s="27" t="s">
        <v>8</v>
      </c>
      <c r="IF534" s="27" t="s">
        <v>7</v>
      </c>
      <c r="IG534" s="27" t="s">
        <v>8</v>
      </c>
      <c r="IJ534" s="27" t="s">
        <v>7</v>
      </c>
    </row>
    <row r="535" spans="1:244" x14ac:dyDescent="0.25">
      <c r="A535" s="7">
        <v>2.8003281854481812</v>
      </c>
      <c r="B535"/>
      <c r="C535"/>
      <c r="D535"/>
      <c r="E535"/>
      <c r="K535" s="27" t="s">
        <v>8</v>
      </c>
      <c r="L535" s="27" t="s">
        <v>7</v>
      </c>
      <c r="M535" s="27" t="s">
        <v>8</v>
      </c>
      <c r="N535" s="27" t="s">
        <v>7</v>
      </c>
      <c r="P535" s="27" t="s">
        <v>7</v>
      </c>
      <c r="CI535" s="27" t="s">
        <v>8</v>
      </c>
      <c r="CJ535" s="27" t="s">
        <v>7</v>
      </c>
      <c r="CK535" s="27" t="s">
        <v>8</v>
      </c>
      <c r="CL535" s="27" t="s">
        <v>7</v>
      </c>
      <c r="CM535" s="27" t="s">
        <v>8</v>
      </c>
      <c r="EZ535" s="27" t="s">
        <v>7</v>
      </c>
      <c r="FA535" s="27" t="s">
        <v>8</v>
      </c>
      <c r="FB535" s="27" t="s">
        <v>7</v>
      </c>
      <c r="FC535" s="27" t="s">
        <v>8</v>
      </c>
      <c r="FJ535" s="27" t="s">
        <v>7</v>
      </c>
      <c r="FK535" s="27" t="s">
        <v>8</v>
      </c>
      <c r="FL535" s="27" t="s">
        <v>7</v>
      </c>
      <c r="FM535" s="27" t="s">
        <v>8</v>
      </c>
      <c r="IF535" s="27" t="s">
        <v>7</v>
      </c>
      <c r="IJ535" s="27" t="s">
        <v>7</v>
      </c>
    </row>
    <row r="536" spans="1:244" x14ac:dyDescent="0.25">
      <c r="A536" s="7">
        <v>2.7454197896550796</v>
      </c>
      <c r="B536"/>
      <c r="C536"/>
      <c r="D536"/>
      <c r="E536"/>
      <c r="K536" s="27" t="s">
        <v>8</v>
      </c>
      <c r="L536" s="27" t="s">
        <v>7</v>
      </c>
      <c r="M536" s="27" t="s">
        <v>8</v>
      </c>
      <c r="P536" s="27" t="s">
        <v>7</v>
      </c>
      <c r="CI536" s="27" t="s">
        <v>8</v>
      </c>
      <c r="CJ536" s="27" t="s">
        <v>7</v>
      </c>
      <c r="CK536" s="27" t="s">
        <v>8</v>
      </c>
      <c r="CL536" s="27" t="s">
        <v>7</v>
      </c>
      <c r="CM536" s="27" t="s">
        <v>8</v>
      </c>
      <c r="EZ536" s="27" t="s">
        <v>7</v>
      </c>
      <c r="FA536" s="27" t="s">
        <v>8</v>
      </c>
      <c r="FB536" s="27" t="s">
        <v>7</v>
      </c>
      <c r="FC536" s="27" t="s">
        <v>8</v>
      </c>
      <c r="FJ536" s="27" t="s">
        <v>7</v>
      </c>
      <c r="FK536" s="27" t="s">
        <v>8</v>
      </c>
      <c r="FL536" s="27" t="s">
        <v>7</v>
      </c>
      <c r="FM536" s="27" t="s">
        <v>8</v>
      </c>
      <c r="IJ536" s="27" t="s">
        <v>7</v>
      </c>
    </row>
    <row r="537" spans="1:244" x14ac:dyDescent="0.25">
      <c r="A537" s="7">
        <v>2.6915880290736074</v>
      </c>
      <c r="B537"/>
      <c r="C537"/>
      <c r="D537"/>
      <c r="E537"/>
      <c r="K537" s="27" t="s">
        <v>8</v>
      </c>
      <c r="L537" s="27" t="s">
        <v>7</v>
      </c>
      <c r="M537" s="27" t="s">
        <v>8</v>
      </c>
      <c r="P537" s="27" t="s">
        <v>7</v>
      </c>
      <c r="Q537" s="27" t="s">
        <v>8</v>
      </c>
      <c r="CI537" s="27" t="s">
        <v>8</v>
      </c>
      <c r="CJ537" s="27" t="s">
        <v>7</v>
      </c>
      <c r="CK537" s="27" t="s">
        <v>8</v>
      </c>
      <c r="CL537" s="27" t="s">
        <v>7</v>
      </c>
      <c r="CM537" s="27" t="s">
        <v>8</v>
      </c>
      <c r="EZ537" s="27" t="s">
        <v>7</v>
      </c>
      <c r="FA537" s="27" t="s">
        <v>8</v>
      </c>
      <c r="FB537" s="27" t="s">
        <v>7</v>
      </c>
      <c r="FC537" s="27" t="s">
        <v>8</v>
      </c>
      <c r="FJ537" s="27" t="s">
        <v>7</v>
      </c>
      <c r="FK537" s="27" t="s">
        <v>8</v>
      </c>
      <c r="FL537" s="27" t="s">
        <v>7</v>
      </c>
      <c r="FM537" s="27" t="s">
        <v>8</v>
      </c>
      <c r="IJ537" s="27" t="s">
        <v>7</v>
      </c>
    </row>
    <row r="538" spans="1:244" x14ac:dyDescent="0.25">
      <c r="A538" s="7">
        <v>2.6388117932094191</v>
      </c>
      <c r="B538"/>
      <c r="C538"/>
      <c r="D538"/>
      <c r="E538"/>
      <c r="K538" s="27" t="s">
        <v>8</v>
      </c>
      <c r="L538" s="27" t="s">
        <v>7</v>
      </c>
      <c r="P538" s="27" t="s">
        <v>7</v>
      </c>
      <c r="Q538" s="27" t="s">
        <v>8</v>
      </c>
      <c r="R538" s="27" t="s">
        <v>7</v>
      </c>
      <c r="U538" s="27" t="s">
        <v>8</v>
      </c>
      <c r="CI538" s="27" t="s">
        <v>8</v>
      </c>
      <c r="CJ538" s="27" t="s">
        <v>7</v>
      </c>
      <c r="CL538" s="27" t="s">
        <v>7</v>
      </c>
      <c r="EZ538" s="27" t="s">
        <v>7</v>
      </c>
      <c r="FA538" s="27" t="s">
        <v>8</v>
      </c>
      <c r="FB538" s="27" t="s">
        <v>7</v>
      </c>
      <c r="FC538" s="27" t="s">
        <v>8</v>
      </c>
      <c r="FJ538" s="27" t="s">
        <v>7</v>
      </c>
      <c r="FL538" s="18" t="s">
        <v>7</v>
      </c>
      <c r="FM538" s="27" t="s">
        <v>8</v>
      </c>
      <c r="IJ538" s="27" t="s">
        <v>7</v>
      </c>
    </row>
    <row r="539" spans="1:244" x14ac:dyDescent="0.25">
      <c r="A539" s="7">
        <v>2.5870703854994304</v>
      </c>
      <c r="B539"/>
      <c r="C539"/>
      <c r="D539"/>
      <c r="E539"/>
      <c r="K539" s="27" t="s">
        <v>8</v>
      </c>
      <c r="P539" s="27" t="s">
        <v>7</v>
      </c>
      <c r="Q539" s="27" t="s">
        <v>8</v>
      </c>
      <c r="R539" s="27" t="s">
        <v>7</v>
      </c>
      <c r="S539" s="27" t="s">
        <v>8</v>
      </c>
      <c r="U539" s="27" t="s">
        <v>8</v>
      </c>
      <c r="V539" s="27" t="s">
        <v>7</v>
      </c>
      <c r="CI539" s="27" t="s">
        <v>8</v>
      </c>
      <c r="EZ539" s="27" t="s">
        <v>7</v>
      </c>
      <c r="FA539" s="27" t="s">
        <v>8</v>
      </c>
      <c r="FB539" s="27" t="s">
        <v>7</v>
      </c>
      <c r="FC539" s="27" t="s">
        <v>8</v>
      </c>
      <c r="FL539" s="27" t="s">
        <v>7</v>
      </c>
      <c r="FM539" s="27" t="s">
        <v>8</v>
      </c>
      <c r="IJ539" s="27" t="s">
        <v>7</v>
      </c>
    </row>
    <row r="540" spans="1:244" x14ac:dyDescent="0.25">
      <c r="A540" s="7">
        <v>2.53634351519552</v>
      </c>
      <c r="B540"/>
      <c r="C540"/>
      <c r="D540"/>
      <c r="E540"/>
      <c r="K540" s="27" t="s">
        <v>8</v>
      </c>
      <c r="P540" s="27" t="s">
        <v>7</v>
      </c>
      <c r="Q540" s="27" t="s">
        <v>8</v>
      </c>
      <c r="R540" s="27" t="s">
        <v>7</v>
      </c>
      <c r="S540" s="27" t="s">
        <v>8</v>
      </c>
      <c r="T540" s="27" t="s">
        <v>7</v>
      </c>
      <c r="U540" s="27" t="s">
        <v>8</v>
      </c>
      <c r="V540" s="27" t="s">
        <v>7</v>
      </c>
      <c r="CI540" s="27" t="s">
        <v>8</v>
      </c>
      <c r="EZ540" s="27" t="s">
        <v>7</v>
      </c>
      <c r="FA540" s="27" t="s">
        <v>8</v>
      </c>
      <c r="FB540" s="27" t="s">
        <v>7</v>
      </c>
      <c r="FL540" s="27" t="s">
        <v>7</v>
      </c>
      <c r="FM540" s="27" t="s">
        <v>8</v>
      </c>
      <c r="IJ540" s="27" t="s">
        <v>7</v>
      </c>
    </row>
    <row r="541" spans="1:244" x14ac:dyDescent="0.25">
      <c r="A541" s="7">
        <v>2.4866112894073726</v>
      </c>
      <c r="B541"/>
      <c r="C541"/>
      <c r="D541"/>
      <c r="E541"/>
      <c r="K541" s="27" t="s">
        <v>8</v>
      </c>
      <c r="P541" s="27" t="s">
        <v>7</v>
      </c>
      <c r="Q541" s="27" t="s">
        <v>8</v>
      </c>
      <c r="R541" s="27" t="s">
        <v>7</v>
      </c>
      <c r="S541" s="27" t="s">
        <v>8</v>
      </c>
      <c r="T541" s="27" t="s">
        <v>7</v>
      </c>
      <c r="U541" s="27" t="s">
        <v>8</v>
      </c>
      <c r="V541" s="27" t="s">
        <v>7</v>
      </c>
      <c r="CI541" s="27" t="s">
        <v>8</v>
      </c>
      <c r="EZ541" s="27" t="s">
        <v>7</v>
      </c>
      <c r="FA541" s="27" t="s">
        <v>8</v>
      </c>
      <c r="FL541" s="27" t="s">
        <v>7</v>
      </c>
      <c r="FM541" s="27" t="s">
        <v>8</v>
      </c>
      <c r="IJ541" s="27" t="s">
        <v>7</v>
      </c>
    </row>
    <row r="542" spans="1:244" x14ac:dyDescent="0.25">
      <c r="A542" s="7">
        <v>2.4378542053013459</v>
      </c>
      <c r="B542"/>
      <c r="C542"/>
      <c r="D542"/>
      <c r="E542"/>
      <c r="K542" s="27" t="s">
        <v>8</v>
      </c>
      <c r="P542" s="27" t="s">
        <v>7</v>
      </c>
      <c r="Q542" s="27" t="s">
        <v>8</v>
      </c>
      <c r="R542" s="27" t="s">
        <v>7</v>
      </c>
      <c r="S542" s="27" t="s">
        <v>8</v>
      </c>
      <c r="T542" s="27" t="s">
        <v>7</v>
      </c>
      <c r="U542" s="27" t="s">
        <v>8</v>
      </c>
      <c r="V542" s="27" t="s">
        <v>7</v>
      </c>
      <c r="CI542" s="27" t="s">
        <v>8</v>
      </c>
      <c r="EZ542" s="27" t="s">
        <v>7</v>
      </c>
      <c r="FL542" s="27" t="s">
        <v>7</v>
      </c>
      <c r="FM542" s="27" t="s">
        <v>8</v>
      </c>
      <c r="IJ542" s="27" t="s">
        <v>7</v>
      </c>
    </row>
    <row r="543" spans="1:244" x14ac:dyDescent="0.25">
      <c r="A543" s="7">
        <v>2.3900531424522997</v>
      </c>
      <c r="B543"/>
      <c r="C543"/>
      <c r="D543"/>
      <c r="E543"/>
      <c r="K543" s="27" t="s">
        <v>8</v>
      </c>
      <c r="P543" s="27" t="s">
        <v>7</v>
      </c>
      <c r="Q543" s="27" t="s">
        <v>8</v>
      </c>
      <c r="R543" s="27" t="s">
        <v>7</v>
      </c>
      <c r="S543" s="27" t="s">
        <v>8</v>
      </c>
      <c r="T543" s="27" t="s">
        <v>7</v>
      </c>
      <c r="U543" s="27" t="s">
        <v>8</v>
      </c>
      <c r="V543" s="27" t="s">
        <v>7</v>
      </c>
      <c r="CI543" s="27" t="s">
        <v>8</v>
      </c>
      <c r="FL543" s="27" t="s">
        <v>7</v>
      </c>
      <c r="IJ543" s="27" t="s">
        <v>7</v>
      </c>
    </row>
    <row r="544" spans="1:244" x14ac:dyDescent="0.25">
      <c r="A544" s="7">
        <v>2.343189355345392</v>
      </c>
      <c r="B544"/>
      <c r="C544"/>
      <c r="D544"/>
      <c r="E544"/>
      <c r="K544" s="27" t="s">
        <v>8</v>
      </c>
      <c r="P544" s="27" t="s">
        <v>7</v>
      </c>
      <c r="Q544" s="27" t="s">
        <v>8</v>
      </c>
      <c r="R544" s="27" t="s">
        <v>7</v>
      </c>
      <c r="S544" s="27" t="s">
        <v>8</v>
      </c>
      <c r="T544" s="27" t="s">
        <v>7</v>
      </c>
      <c r="U544" s="27" t="s">
        <v>8</v>
      </c>
      <c r="V544" s="27" t="s">
        <v>7</v>
      </c>
      <c r="CI544" s="27" t="s">
        <v>8</v>
      </c>
      <c r="IJ544" s="27" t="s">
        <v>7</v>
      </c>
    </row>
    <row r="545" spans="1:248" x14ac:dyDescent="0.25">
      <c r="A545" s="7">
        <v>2.2972444660248938</v>
      </c>
      <c r="B545"/>
      <c r="C545"/>
      <c r="D545"/>
      <c r="E545"/>
      <c r="K545" s="27" t="s">
        <v>8</v>
      </c>
      <c r="P545" s="27" t="s">
        <v>7</v>
      </c>
      <c r="Q545" s="27" t="s">
        <v>8</v>
      </c>
      <c r="R545" s="27" t="s">
        <v>7</v>
      </c>
      <c r="S545" s="27" t="s">
        <v>8</v>
      </c>
      <c r="T545" s="27" t="s">
        <v>7</v>
      </c>
      <c r="U545" s="27" t="s">
        <v>8</v>
      </c>
      <c r="V545" s="27" t="s">
        <v>7</v>
      </c>
      <c r="CI545" s="27" t="s">
        <v>8</v>
      </c>
      <c r="IJ545" s="27" t="s">
        <v>7</v>
      </c>
    </row>
    <row r="546" spans="1:248" x14ac:dyDescent="0.25">
      <c r="A546" s="7">
        <v>2.252200456887151</v>
      </c>
      <c r="B546"/>
      <c r="C546"/>
      <c r="D546"/>
      <c r="E546"/>
      <c r="K546" s="27" t="s">
        <v>8</v>
      </c>
      <c r="P546" s="27" t="s">
        <v>7</v>
      </c>
      <c r="Q546" s="27" t="s">
        <v>8</v>
      </c>
      <c r="R546" s="27" t="s">
        <v>7</v>
      </c>
      <c r="S546" s="27" t="s">
        <v>8</v>
      </c>
      <c r="T546" s="27" t="s">
        <v>7</v>
      </c>
      <c r="U546" s="27" t="s">
        <v>8</v>
      </c>
      <c r="V546" s="27" t="s">
        <v>7</v>
      </c>
      <c r="W546" s="27" t="s">
        <v>8</v>
      </c>
      <c r="CI546" s="27" t="s">
        <v>8</v>
      </c>
      <c r="IJ546" s="27" t="s">
        <v>7</v>
      </c>
      <c r="IK546" s="27" t="s">
        <v>8</v>
      </c>
      <c r="IM546" s="27" t="s">
        <v>8</v>
      </c>
    </row>
    <row r="547" spans="1:248" x14ac:dyDescent="0.25">
      <c r="A547" s="7">
        <v>2.208039663614854</v>
      </c>
      <c r="B547"/>
      <c r="C547"/>
      <c r="D547"/>
      <c r="E547" t="s">
        <v>8</v>
      </c>
      <c r="K547" s="27" t="s">
        <v>8</v>
      </c>
      <c r="P547" s="27" t="s">
        <v>7</v>
      </c>
      <c r="Q547" s="27" t="s">
        <v>8</v>
      </c>
      <c r="R547" s="27" t="s">
        <v>7</v>
      </c>
      <c r="S547" s="27" t="s">
        <v>8</v>
      </c>
      <c r="T547" s="27" t="s">
        <v>7</v>
      </c>
      <c r="V547" s="27" t="s">
        <v>7</v>
      </c>
      <c r="W547" s="27" t="s">
        <v>8</v>
      </c>
      <c r="X547" s="27" t="s">
        <v>7</v>
      </c>
      <c r="CE547" s="27" t="s">
        <v>8</v>
      </c>
      <c r="CI547" s="27" t="s">
        <v>8</v>
      </c>
      <c r="IJ547" s="27" t="s">
        <v>7</v>
      </c>
      <c r="IK547" s="27" t="s">
        <v>8</v>
      </c>
      <c r="IL547" s="27" t="s">
        <v>7</v>
      </c>
      <c r="IM547" s="27" t="s">
        <v>8</v>
      </c>
      <c r="IN547" s="27" t="s">
        <v>7</v>
      </c>
    </row>
    <row r="548" spans="1:248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K548" s="27" t="s">
        <v>8</v>
      </c>
      <c r="P548" s="27" t="s">
        <v>7</v>
      </c>
      <c r="Q548" s="27" t="s">
        <v>8</v>
      </c>
      <c r="R548" s="27" t="s">
        <v>7</v>
      </c>
      <c r="S548" s="27" t="s">
        <v>8</v>
      </c>
      <c r="V548" s="27" t="s">
        <v>7</v>
      </c>
      <c r="W548" s="27" t="s">
        <v>8</v>
      </c>
      <c r="X548" s="27" t="s">
        <v>7</v>
      </c>
      <c r="CE548" s="27" t="s">
        <v>8</v>
      </c>
      <c r="CF548" s="27" t="s">
        <v>7</v>
      </c>
      <c r="CI548" s="27" t="s">
        <v>8</v>
      </c>
      <c r="IJ548" s="27" t="s">
        <v>7</v>
      </c>
      <c r="IK548" s="27" t="s">
        <v>8</v>
      </c>
      <c r="IL548" s="27" t="s">
        <v>7</v>
      </c>
      <c r="IM548" s="27" t="s">
        <v>8</v>
      </c>
      <c r="IN548" s="27" t="s">
        <v>7</v>
      </c>
    </row>
    <row r="549" spans="1:248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K549" s="27" t="s">
        <v>8</v>
      </c>
      <c r="P549" s="27" t="s">
        <v>7</v>
      </c>
      <c r="Q549" s="27" t="s">
        <v>8</v>
      </c>
      <c r="R549" s="27" t="s">
        <v>7</v>
      </c>
      <c r="S549" s="27" t="s">
        <v>8</v>
      </c>
      <c r="V549" s="27" t="s">
        <v>7</v>
      </c>
      <c r="W549" s="27" t="s">
        <v>8</v>
      </c>
      <c r="X549" s="27" t="s">
        <v>7</v>
      </c>
      <c r="CE549" s="27" t="s">
        <v>8</v>
      </c>
      <c r="CF549" s="27" t="s">
        <v>7</v>
      </c>
      <c r="CI549" s="27" t="s">
        <v>8</v>
      </c>
      <c r="IJ549" s="27" t="s">
        <v>7</v>
      </c>
      <c r="IK549" s="27" t="s">
        <v>8</v>
      </c>
      <c r="IL549" s="27" t="s">
        <v>7</v>
      </c>
      <c r="IM549" s="27" t="s">
        <v>8</v>
      </c>
      <c r="IN549" s="27" t="s">
        <v>7</v>
      </c>
    </row>
    <row r="550" spans="1:248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K550" s="27" t="s">
        <v>8</v>
      </c>
      <c r="P550" s="27" t="s">
        <v>7</v>
      </c>
      <c r="Q550" s="27" t="s">
        <v>8</v>
      </c>
      <c r="R550" s="27" t="s">
        <v>7</v>
      </c>
      <c r="V550" s="27" t="s">
        <v>7</v>
      </c>
      <c r="W550" s="27" t="s">
        <v>8</v>
      </c>
      <c r="X550" s="27" t="s">
        <v>7</v>
      </c>
      <c r="CE550" s="27" t="s">
        <v>8</v>
      </c>
      <c r="CF550" s="27" t="s">
        <v>7</v>
      </c>
      <c r="CI550" s="27" t="s">
        <v>8</v>
      </c>
      <c r="IJ550" s="27" t="s">
        <v>7</v>
      </c>
      <c r="IK550" s="27" t="s">
        <v>8</v>
      </c>
      <c r="IL550" s="27" t="s">
        <v>7</v>
      </c>
      <c r="IM550" s="27" t="s">
        <v>8</v>
      </c>
      <c r="IN550" s="27" t="s">
        <v>7</v>
      </c>
    </row>
    <row r="551" spans="1:248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K551" s="27" t="s">
        <v>8</v>
      </c>
      <c r="P551" s="27" t="s">
        <v>7</v>
      </c>
      <c r="Q551" s="27" t="s">
        <v>8</v>
      </c>
      <c r="V551" s="27" t="s">
        <v>7</v>
      </c>
      <c r="W551" s="27" t="s">
        <v>8</v>
      </c>
      <c r="X551" s="27" t="s">
        <v>7</v>
      </c>
      <c r="Y551" s="27" t="s">
        <v>8</v>
      </c>
      <c r="CC551" s="27" t="s">
        <v>8</v>
      </c>
      <c r="CE551" s="27" t="s">
        <v>8</v>
      </c>
      <c r="CF551" s="27" t="s">
        <v>7</v>
      </c>
      <c r="CG551" s="27" t="s">
        <v>8</v>
      </c>
      <c r="CI551" s="27" t="s">
        <v>8</v>
      </c>
      <c r="IJ551" s="27" t="s">
        <v>7</v>
      </c>
      <c r="IK551" s="27" t="s">
        <v>8</v>
      </c>
      <c r="IL551" s="27" t="s">
        <v>7</v>
      </c>
      <c r="IM551" s="27" t="s">
        <v>8</v>
      </c>
    </row>
    <row r="552" spans="1:248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K552" s="27" t="s">
        <v>8</v>
      </c>
      <c r="P552" s="27" t="s">
        <v>7</v>
      </c>
      <c r="Q552" s="27" t="s">
        <v>8</v>
      </c>
      <c r="V552" s="27" t="s">
        <v>7</v>
      </c>
      <c r="W552" s="27" t="s">
        <v>8</v>
      </c>
      <c r="X552" s="27" t="s">
        <v>7</v>
      </c>
      <c r="Y552" s="27" t="s">
        <v>8</v>
      </c>
      <c r="Z552" s="27" t="s">
        <v>7</v>
      </c>
      <c r="CC552" s="27" t="s">
        <v>8</v>
      </c>
      <c r="CD552" s="27" t="s">
        <v>7</v>
      </c>
      <c r="CE552" s="27" t="s">
        <v>8</v>
      </c>
      <c r="CF552" s="27" t="s">
        <v>7</v>
      </c>
      <c r="CG552" s="27" t="s">
        <v>8</v>
      </c>
      <c r="CH552" s="27" t="s">
        <v>7</v>
      </c>
      <c r="CI552" s="27" t="s">
        <v>8</v>
      </c>
      <c r="IJ552" s="27" t="s">
        <v>7</v>
      </c>
      <c r="IL552" s="27" t="s">
        <v>7</v>
      </c>
      <c r="IM552" s="27" t="s">
        <v>8</v>
      </c>
    </row>
    <row r="553" spans="1:248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K553" s="27" t="s">
        <v>8</v>
      </c>
      <c r="P553" s="27" t="s">
        <v>7</v>
      </c>
      <c r="V553" s="27" t="s">
        <v>7</v>
      </c>
      <c r="W553" s="27" t="s">
        <v>8</v>
      </c>
      <c r="X553" s="27" t="s">
        <v>7</v>
      </c>
      <c r="Y553" s="27" t="s">
        <v>8</v>
      </c>
      <c r="Z553" s="27" t="s">
        <v>7</v>
      </c>
      <c r="CA553" s="27" t="s">
        <v>8</v>
      </c>
      <c r="CC553" s="27" t="s">
        <v>8</v>
      </c>
      <c r="CD553" s="27" t="s">
        <v>7</v>
      </c>
      <c r="CE553" s="27" t="s">
        <v>8</v>
      </c>
      <c r="CF553" s="27" t="s">
        <v>7</v>
      </c>
      <c r="CG553" s="27" t="s">
        <v>8</v>
      </c>
      <c r="CH553" s="27" t="s">
        <v>7</v>
      </c>
      <c r="CI553" s="27" t="s">
        <v>8</v>
      </c>
      <c r="IL553" s="27" t="s">
        <v>7</v>
      </c>
      <c r="IM553" s="27" t="s">
        <v>8</v>
      </c>
    </row>
    <row r="554" spans="1:248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K554" s="27" t="s">
        <v>8</v>
      </c>
      <c r="V554" s="27" t="s">
        <v>7</v>
      </c>
      <c r="W554" s="27" t="s">
        <v>8</v>
      </c>
      <c r="X554" s="27" t="s">
        <v>7</v>
      </c>
      <c r="Y554" s="27" t="s">
        <v>8</v>
      </c>
      <c r="Z554" s="27" t="s">
        <v>7</v>
      </c>
      <c r="BY554" s="27" t="s">
        <v>8</v>
      </c>
      <c r="CA554" s="27" t="s">
        <v>8</v>
      </c>
      <c r="CB554" s="27" t="s">
        <v>7</v>
      </c>
      <c r="CC554" s="27" t="s">
        <v>8</v>
      </c>
      <c r="CD554" s="27" t="s">
        <v>7</v>
      </c>
      <c r="CE554" s="27" t="s">
        <v>8</v>
      </c>
      <c r="CF554" s="27" t="s">
        <v>7</v>
      </c>
      <c r="CG554" s="27" t="s">
        <v>8</v>
      </c>
      <c r="CH554" s="27" t="s">
        <v>7</v>
      </c>
      <c r="CI554" s="27" t="s">
        <v>8</v>
      </c>
      <c r="IL554" s="27" t="s">
        <v>7</v>
      </c>
    </row>
    <row r="555" spans="1:248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K555" s="27" t="s">
        <v>8</v>
      </c>
      <c r="V555" s="27" t="s">
        <v>7</v>
      </c>
      <c r="W555" s="27" t="s">
        <v>8</v>
      </c>
      <c r="X555" s="27" t="s">
        <v>7</v>
      </c>
      <c r="Y555" s="27" t="s">
        <v>8</v>
      </c>
      <c r="Z555" s="27" t="s">
        <v>7</v>
      </c>
      <c r="BY555" s="27" t="s">
        <v>8</v>
      </c>
      <c r="BZ555" s="27" t="s">
        <v>7</v>
      </c>
      <c r="CA555" s="27" t="s">
        <v>8</v>
      </c>
      <c r="CB555" s="27" t="s">
        <v>7</v>
      </c>
      <c r="CC555" s="27" t="s">
        <v>8</v>
      </c>
      <c r="CD555" s="27" t="s">
        <v>7</v>
      </c>
      <c r="CE555" s="27" t="s">
        <v>8</v>
      </c>
      <c r="CF555" s="27" t="s">
        <v>7</v>
      </c>
      <c r="CG555" s="27" t="s">
        <v>8</v>
      </c>
      <c r="CH555" s="27" t="s">
        <v>7</v>
      </c>
      <c r="CI555" s="27" t="s">
        <v>8</v>
      </c>
    </row>
    <row r="556" spans="1:248" x14ac:dyDescent="0.25">
      <c r="A556" s="7">
        <v>1.8475888157854219</v>
      </c>
      <c r="B556"/>
      <c r="C556"/>
      <c r="D556"/>
      <c r="E556" t="s">
        <v>8</v>
      </c>
      <c r="F556" s="27" t="s">
        <v>7</v>
      </c>
      <c r="K556" s="27" t="s">
        <v>8</v>
      </c>
      <c r="V556" s="27" t="s">
        <v>7</v>
      </c>
      <c r="W556" s="27" t="s">
        <v>8</v>
      </c>
      <c r="X556" s="27" t="s">
        <v>7</v>
      </c>
      <c r="Y556" s="27" t="s">
        <v>8</v>
      </c>
      <c r="Z556" s="27" t="s">
        <v>7</v>
      </c>
      <c r="BY556" s="27" t="s">
        <v>8</v>
      </c>
      <c r="BZ556" s="27" t="s">
        <v>7</v>
      </c>
      <c r="CA556" s="27" t="s">
        <v>8</v>
      </c>
      <c r="CB556" s="27" t="s">
        <v>7</v>
      </c>
      <c r="CC556" s="27" t="s">
        <v>8</v>
      </c>
      <c r="CD556" s="27" t="s">
        <v>7</v>
      </c>
      <c r="CE556" s="27" t="s">
        <v>8</v>
      </c>
      <c r="CF556" s="27" t="s">
        <v>7</v>
      </c>
      <c r="CG556" s="27" t="s">
        <v>8</v>
      </c>
      <c r="CH556" s="27" t="s">
        <v>7</v>
      </c>
      <c r="CI556" s="27" t="s">
        <v>8</v>
      </c>
    </row>
    <row r="557" spans="1:248" x14ac:dyDescent="0.25">
      <c r="A557" s="7">
        <v>1.8113615841033548</v>
      </c>
      <c r="B557"/>
      <c r="C557"/>
      <c r="D557"/>
      <c r="E557" t="s">
        <v>8</v>
      </c>
      <c r="F557" s="27" t="s">
        <v>7</v>
      </c>
      <c r="K557" s="27" t="s">
        <v>8</v>
      </c>
      <c r="V557" s="27" t="s">
        <v>7</v>
      </c>
      <c r="W557" s="27" t="s">
        <v>8</v>
      </c>
      <c r="X557" s="27" t="s">
        <v>7</v>
      </c>
      <c r="Y557" s="27" t="s">
        <v>8</v>
      </c>
      <c r="Z557" s="27" t="s">
        <v>7</v>
      </c>
      <c r="BY557" s="27" t="s">
        <v>8</v>
      </c>
      <c r="BZ557" s="27" t="s">
        <v>7</v>
      </c>
      <c r="CA557" s="27" t="s">
        <v>8</v>
      </c>
      <c r="CB557" s="27" t="s">
        <v>7</v>
      </c>
      <c r="CC557" s="27" t="s">
        <v>8</v>
      </c>
      <c r="CD557" s="27" t="s">
        <v>7</v>
      </c>
      <c r="CE557" s="27" t="s">
        <v>8</v>
      </c>
      <c r="CF557" s="27" t="s">
        <v>7</v>
      </c>
      <c r="CH557" s="27" t="s">
        <v>7</v>
      </c>
    </row>
    <row r="558" spans="1:248" x14ac:dyDescent="0.25">
      <c r="A558" s="7">
        <v>1.7758446902974065</v>
      </c>
      <c r="B558"/>
      <c r="C558"/>
      <c r="D558"/>
      <c r="E558" t="s">
        <v>8</v>
      </c>
      <c r="F558" s="27" t="s">
        <v>7</v>
      </c>
      <c r="G558" s="27" t="s">
        <v>8</v>
      </c>
      <c r="I558" s="27" t="s">
        <v>8</v>
      </c>
      <c r="K558" s="27" t="s">
        <v>8</v>
      </c>
      <c r="V558" s="27" t="s">
        <v>7</v>
      </c>
      <c r="X558" s="27" t="s">
        <v>7</v>
      </c>
      <c r="Y558" s="27" t="s">
        <v>8</v>
      </c>
      <c r="Z558" s="27" t="s">
        <v>7</v>
      </c>
      <c r="BY558" s="27" t="s">
        <v>8</v>
      </c>
      <c r="BZ558" s="27" t="s">
        <v>7</v>
      </c>
      <c r="CA558" s="27" t="s">
        <v>8</v>
      </c>
      <c r="CB558" s="27" t="s">
        <v>7</v>
      </c>
      <c r="CC558" s="27" t="s">
        <v>8</v>
      </c>
      <c r="CD558" s="27" t="s">
        <v>7</v>
      </c>
      <c r="CE558" s="27" t="s">
        <v>8</v>
      </c>
    </row>
    <row r="559" spans="1:248" x14ac:dyDescent="0.25">
      <c r="A559" s="7">
        <v>1.7410242061739281</v>
      </c>
      <c r="B559"/>
      <c r="C559"/>
      <c r="D559"/>
      <c r="E559" t="s">
        <v>8</v>
      </c>
      <c r="F559" s="27" t="s">
        <v>7</v>
      </c>
      <c r="G559" s="27" t="s">
        <v>8</v>
      </c>
      <c r="H559" s="27" t="s">
        <v>7</v>
      </c>
      <c r="I559" s="27" t="s">
        <v>8</v>
      </c>
      <c r="J559" s="27" t="s">
        <v>7</v>
      </c>
      <c r="K559" s="27" t="s">
        <v>8</v>
      </c>
      <c r="X559" s="27" t="s">
        <v>7</v>
      </c>
      <c r="Y559" s="27" t="s">
        <v>8</v>
      </c>
      <c r="Z559" s="27" t="s">
        <v>7</v>
      </c>
      <c r="BY559" s="27" t="s">
        <v>8</v>
      </c>
      <c r="BZ559" s="27" t="s">
        <v>7</v>
      </c>
      <c r="CA559" s="27" t="s">
        <v>8</v>
      </c>
      <c r="CB559" s="27" t="s">
        <v>7</v>
      </c>
      <c r="CC559" s="27" t="s">
        <v>8</v>
      </c>
      <c r="CD559" s="27" t="s">
        <v>7</v>
      </c>
      <c r="CE559" s="27" t="s">
        <v>8</v>
      </c>
    </row>
    <row r="560" spans="1:248" x14ac:dyDescent="0.25">
      <c r="A560" s="7">
        <v>1.7068864766411058</v>
      </c>
      <c r="B560"/>
      <c r="C560"/>
      <c r="D560"/>
      <c r="E560" t="s">
        <v>8</v>
      </c>
      <c r="F560" s="27" t="s">
        <v>7</v>
      </c>
      <c r="G560" s="27" t="s">
        <v>8</v>
      </c>
      <c r="H560" s="27" t="s">
        <v>7</v>
      </c>
      <c r="I560" s="27" t="s">
        <v>8</v>
      </c>
      <c r="J560" s="27" t="s">
        <v>7</v>
      </c>
      <c r="K560" s="27" t="s">
        <v>8</v>
      </c>
      <c r="X560" s="27" t="s">
        <v>7</v>
      </c>
      <c r="Y560" s="27" t="s">
        <v>8</v>
      </c>
      <c r="Z560" s="27" t="s">
        <v>7</v>
      </c>
      <c r="AG560" s="27" t="s">
        <v>8</v>
      </c>
      <c r="BY560" s="27" t="s">
        <v>8</v>
      </c>
      <c r="BZ560" s="27" t="s">
        <v>7</v>
      </c>
      <c r="CA560" s="27" t="s">
        <v>8</v>
      </c>
      <c r="CB560" s="27" t="s">
        <v>7</v>
      </c>
      <c r="CC560" s="27" t="s">
        <v>8</v>
      </c>
      <c r="CD560" s="27" t="s">
        <v>7</v>
      </c>
      <c r="CE560" s="27" t="s">
        <v>8</v>
      </c>
    </row>
    <row r="561" spans="1:83" x14ac:dyDescent="0.25">
      <c r="A561" s="7">
        <v>1.6734181143540252</v>
      </c>
      <c r="B561"/>
      <c r="C561"/>
      <c r="D561"/>
      <c r="E561" t="s">
        <v>8</v>
      </c>
      <c r="F561" s="27" t="s">
        <v>7</v>
      </c>
      <c r="G561" s="27" t="s">
        <v>8</v>
      </c>
      <c r="H561" s="27" t="s">
        <v>7</v>
      </c>
      <c r="I561" s="27" t="s">
        <v>8</v>
      </c>
      <c r="J561" s="27" t="s">
        <v>7</v>
      </c>
      <c r="K561" s="27" t="s">
        <v>8</v>
      </c>
      <c r="X561" s="27" t="s">
        <v>7</v>
      </c>
      <c r="Y561" s="27" t="s">
        <v>8</v>
      </c>
      <c r="Z561" s="27" t="s">
        <v>7</v>
      </c>
      <c r="AA561" s="27" t="s">
        <v>8</v>
      </c>
      <c r="AG561" s="27" t="s">
        <v>8</v>
      </c>
      <c r="AH561" s="27" t="s">
        <v>7</v>
      </c>
      <c r="BY561" s="27" t="s">
        <v>8</v>
      </c>
      <c r="BZ561" s="27" t="s">
        <v>7</v>
      </c>
      <c r="CA561" s="27" t="s">
        <v>8</v>
      </c>
      <c r="CB561" s="27" t="s">
        <v>7</v>
      </c>
      <c r="CC561" s="27" t="s">
        <v>8</v>
      </c>
      <c r="CD561" s="27" t="s">
        <v>7</v>
      </c>
      <c r="CE561" s="27" t="s">
        <v>8</v>
      </c>
    </row>
    <row r="562" spans="1:83" x14ac:dyDescent="0.25">
      <c r="A562" s="7">
        <v>1.6406059944647307</v>
      </c>
      <c r="B562"/>
      <c r="C562"/>
      <c r="D562"/>
      <c r="E562" t="s">
        <v>8</v>
      </c>
      <c r="F562" s="27" t="s">
        <v>7</v>
      </c>
      <c r="G562" s="27" t="s">
        <v>8</v>
      </c>
      <c r="H562" s="27" t="s">
        <v>7</v>
      </c>
      <c r="I562" s="27" t="s">
        <v>8</v>
      </c>
      <c r="J562" s="27" t="s">
        <v>7</v>
      </c>
      <c r="K562" s="27" t="s">
        <v>8</v>
      </c>
      <c r="X562" s="27" t="s">
        <v>7</v>
      </c>
      <c r="Z562" s="27" t="s">
        <v>7</v>
      </c>
      <c r="AA562" s="27" t="s">
        <v>8</v>
      </c>
      <c r="AB562" s="27" t="s">
        <v>7</v>
      </c>
      <c r="AG562" s="27" t="s">
        <v>8</v>
      </c>
      <c r="AH562" s="27" t="s">
        <v>7</v>
      </c>
      <c r="BY562" s="27" t="s">
        <v>8</v>
      </c>
      <c r="BZ562" s="27" t="s">
        <v>7</v>
      </c>
      <c r="CA562" s="27" t="s">
        <v>8</v>
      </c>
      <c r="CB562" s="27" t="s">
        <v>7</v>
      </c>
      <c r="CC562" s="27" t="s">
        <v>8</v>
      </c>
      <c r="CD562" s="27" t="s">
        <v>7</v>
      </c>
      <c r="CE562" s="27" t="s">
        <v>8</v>
      </c>
    </row>
    <row r="563" spans="1:83" x14ac:dyDescent="0.25">
      <c r="A563" s="7">
        <v>1.6084372494752261</v>
      </c>
      <c r="B563"/>
      <c r="C563"/>
      <c r="D563"/>
      <c r="E563" t="s">
        <v>8</v>
      </c>
      <c r="F563" s="27" t="s">
        <v>7</v>
      </c>
      <c r="G563" s="27" t="s">
        <v>8</v>
      </c>
      <c r="H563" s="27" t="s">
        <v>7</v>
      </c>
      <c r="I563" s="27" t="s">
        <v>8</v>
      </c>
      <c r="J563" s="27" t="s">
        <v>7</v>
      </c>
      <c r="K563" s="27" t="s">
        <v>8</v>
      </c>
      <c r="Z563" s="27" t="s">
        <v>7</v>
      </c>
      <c r="AA563" s="27" t="s">
        <v>8</v>
      </c>
      <c r="AB563" s="27" t="s">
        <v>7</v>
      </c>
      <c r="AG563" s="27" t="s">
        <v>8</v>
      </c>
      <c r="AH563" s="27" t="s">
        <v>7</v>
      </c>
      <c r="BW563" s="27" t="s">
        <v>8</v>
      </c>
      <c r="BY563" s="27" t="s">
        <v>8</v>
      </c>
      <c r="BZ563" s="27" t="s">
        <v>7</v>
      </c>
      <c r="CA563" s="27" t="s">
        <v>8</v>
      </c>
      <c r="CB563" s="27" t="s">
        <v>7</v>
      </c>
      <c r="CD563" s="27" t="s">
        <v>7</v>
      </c>
      <c r="CE563" s="27" t="s">
        <v>8</v>
      </c>
    </row>
    <row r="564" spans="1:83" x14ac:dyDescent="0.25">
      <c r="A564" s="7">
        <v>1.5768992641913981</v>
      </c>
      <c r="B564"/>
      <c r="C564"/>
      <c r="D564"/>
      <c r="E564" t="s">
        <v>8</v>
      </c>
      <c r="F564" s="27" t="s">
        <v>7</v>
      </c>
      <c r="G564" s="27" t="s">
        <v>8</v>
      </c>
      <c r="H564" s="27" t="s">
        <v>7</v>
      </c>
      <c r="I564" s="27" t="s">
        <v>8</v>
      </c>
      <c r="J564" s="27" t="s">
        <v>7</v>
      </c>
      <c r="K564" s="27" t="s">
        <v>8</v>
      </c>
      <c r="Z564" s="27" t="s">
        <v>7</v>
      </c>
      <c r="AB564" s="27" t="s">
        <v>7</v>
      </c>
      <c r="AG564" s="27" t="s">
        <v>8</v>
      </c>
      <c r="AH564" s="27" t="s">
        <v>7</v>
      </c>
      <c r="BW564" s="27" t="s">
        <v>8</v>
      </c>
      <c r="BX564" s="27" t="s">
        <v>7</v>
      </c>
      <c r="BY564" s="27" t="s">
        <v>8</v>
      </c>
      <c r="BZ564" s="27" t="s">
        <v>7</v>
      </c>
      <c r="CA564" s="27" t="s">
        <v>8</v>
      </c>
      <c r="CD564" s="27" t="s">
        <v>7</v>
      </c>
      <c r="CE564" s="27" t="s">
        <v>8</v>
      </c>
    </row>
    <row r="565" spans="1:83" x14ac:dyDescent="0.25">
      <c r="A565" s="7">
        <v>1.5459796707758806</v>
      </c>
      <c r="B565"/>
      <c r="C565"/>
      <c r="D565"/>
      <c r="E565" t="s">
        <v>8</v>
      </c>
      <c r="F565" s="27" t="s">
        <v>7</v>
      </c>
      <c r="H565" s="27" t="s">
        <v>7</v>
      </c>
      <c r="J565" s="27" t="s">
        <v>7</v>
      </c>
      <c r="K565" s="27" t="s">
        <v>8</v>
      </c>
      <c r="AB565" s="27" t="s">
        <v>7</v>
      </c>
      <c r="AG565" s="27" t="s">
        <v>8</v>
      </c>
      <c r="AH565" s="27" t="s">
        <v>7</v>
      </c>
      <c r="BW565" s="27" t="s">
        <v>8</v>
      </c>
      <c r="BX565" s="27" t="s">
        <v>7</v>
      </c>
      <c r="BY565" s="27" t="s">
        <v>8</v>
      </c>
      <c r="BZ565" s="27" t="s">
        <v>7</v>
      </c>
      <c r="CA565" s="27" t="s">
        <v>8</v>
      </c>
      <c r="CD565" s="27" t="s">
        <v>7</v>
      </c>
      <c r="CE565" s="27" t="s">
        <v>8</v>
      </c>
    </row>
    <row r="566" spans="1:83" x14ac:dyDescent="0.25">
      <c r="A566" s="7">
        <v>1.5156663438979221</v>
      </c>
      <c r="B566"/>
      <c r="C566"/>
      <c r="D566"/>
      <c r="E566" t="s">
        <v>8</v>
      </c>
      <c r="J566" s="27" t="s">
        <v>7</v>
      </c>
      <c r="K566" s="27" t="s">
        <v>8</v>
      </c>
      <c r="AB566" s="27" t="s">
        <v>7</v>
      </c>
      <c r="AG566" s="27" t="s">
        <v>8</v>
      </c>
      <c r="AH566" s="27" t="s">
        <v>7</v>
      </c>
      <c r="BW566" s="27" t="s">
        <v>8</v>
      </c>
      <c r="BX566" s="27" t="s">
        <v>7</v>
      </c>
      <c r="BY566" s="27" t="s">
        <v>8</v>
      </c>
      <c r="BZ566" s="27" t="s">
        <v>7</v>
      </c>
      <c r="CA566" s="27" t="s">
        <v>8</v>
      </c>
      <c r="CD566" s="27" t="s">
        <v>7</v>
      </c>
      <c r="CE566" s="27" t="s">
        <v>8</v>
      </c>
    </row>
    <row r="567" spans="1:83" x14ac:dyDescent="0.25">
      <c r="A567" s="7">
        <v>1.4859473959783549</v>
      </c>
      <c r="B567"/>
      <c r="C567"/>
      <c r="D567"/>
      <c r="E567" t="s">
        <v>8</v>
      </c>
      <c r="J567" s="27" t="s">
        <v>7</v>
      </c>
      <c r="K567" s="27" t="s">
        <v>8</v>
      </c>
      <c r="AB567" s="27" t="s">
        <v>7</v>
      </c>
      <c r="AG567" s="27" t="s">
        <v>8</v>
      </c>
      <c r="AH567" s="27" t="s">
        <v>7</v>
      </c>
      <c r="BW567" s="27" t="s">
        <v>8</v>
      </c>
      <c r="BX567" s="27" t="s">
        <v>7</v>
      </c>
      <c r="BY567" s="27" t="s">
        <v>8</v>
      </c>
      <c r="BZ567" s="27" t="s">
        <v>7</v>
      </c>
      <c r="CA567" s="27" t="s">
        <v>8</v>
      </c>
      <c r="CD567" s="27" t="s">
        <v>7</v>
      </c>
      <c r="CE567" s="27" t="s">
        <v>8</v>
      </c>
    </row>
    <row r="568" spans="1:83" x14ac:dyDescent="0.25">
      <c r="A568" s="7">
        <v>1.4568111725277988</v>
      </c>
      <c r="B568"/>
      <c r="C568"/>
      <c r="D568"/>
      <c r="E568" t="s">
        <v>8</v>
      </c>
      <c r="J568" s="27" t="s">
        <v>7</v>
      </c>
      <c r="K568" s="27" t="s">
        <v>8</v>
      </c>
      <c r="AB568" s="27" t="s">
        <v>7</v>
      </c>
      <c r="AG568" s="27" t="s">
        <v>8</v>
      </c>
      <c r="AH568" s="27" t="s">
        <v>7</v>
      </c>
      <c r="BW568" s="27" t="s">
        <v>8</v>
      </c>
      <c r="BX568" s="27" t="s">
        <v>7</v>
      </c>
      <c r="BY568" s="27" t="s">
        <v>8</v>
      </c>
      <c r="BZ568" s="27" t="s">
        <v>7</v>
      </c>
      <c r="CA568" s="27" t="s">
        <v>8</v>
      </c>
      <c r="CD568" s="27" t="s">
        <v>7</v>
      </c>
      <c r="CE568" s="27" t="s">
        <v>8</v>
      </c>
    </row>
    <row r="569" spans="1:83" x14ac:dyDescent="0.25">
      <c r="A569" s="7">
        <v>1.4282462475762734</v>
      </c>
      <c r="B569"/>
      <c r="C569"/>
      <c r="D569"/>
      <c r="E569" t="s">
        <v>8</v>
      </c>
      <c r="J569" s="27" t="s">
        <v>7</v>
      </c>
      <c r="AB569" s="27" t="s">
        <v>7</v>
      </c>
      <c r="AC569" s="27" t="s">
        <v>8</v>
      </c>
      <c r="AG569" s="27" t="s">
        <v>8</v>
      </c>
      <c r="AH569" s="27" t="s">
        <v>7</v>
      </c>
      <c r="BW569" s="27" t="s">
        <v>8</v>
      </c>
      <c r="BX569" s="27" t="s">
        <v>7</v>
      </c>
      <c r="BY569" s="27" t="s">
        <v>8</v>
      </c>
      <c r="BZ569" s="27" t="s">
        <v>7</v>
      </c>
      <c r="CA569" s="27" t="s">
        <v>8</v>
      </c>
      <c r="CD569" s="27" t="s">
        <v>7</v>
      </c>
    </row>
    <row r="570" spans="1:83" x14ac:dyDescent="0.25">
      <c r="A570" s="7">
        <v>1.4002414191924248</v>
      </c>
      <c r="B570"/>
      <c r="C570"/>
      <c r="D570"/>
      <c r="E570" t="s">
        <v>8</v>
      </c>
      <c r="AB570" s="27" t="s">
        <v>7</v>
      </c>
      <c r="AC570" s="27" t="s">
        <v>8</v>
      </c>
      <c r="AD570" s="27" t="s">
        <v>7</v>
      </c>
      <c r="AG570" s="27" t="s">
        <v>8</v>
      </c>
      <c r="AH570" s="27" t="s">
        <v>7</v>
      </c>
      <c r="BW570" s="27" t="s">
        <v>8</v>
      </c>
      <c r="BX570" s="27" t="s">
        <v>7</v>
      </c>
      <c r="BY570" s="27" t="s">
        <v>8</v>
      </c>
      <c r="BZ570" s="27" t="s">
        <v>7</v>
      </c>
      <c r="CA570" s="27" t="s">
        <v>8</v>
      </c>
    </row>
    <row r="571" spans="1:83" x14ac:dyDescent="0.25">
      <c r="A571" s="7">
        <v>1.3727857050906125</v>
      </c>
      <c r="B571"/>
      <c r="C571"/>
      <c r="D571"/>
      <c r="E571" t="s">
        <v>8</v>
      </c>
      <c r="AB571" s="27" t="s">
        <v>7</v>
      </c>
      <c r="AC571" s="27" t="s">
        <v>8</v>
      </c>
      <c r="AD571" s="27" t="s">
        <v>7</v>
      </c>
      <c r="AG571" s="27" t="s">
        <v>8</v>
      </c>
      <c r="AH571" s="27" t="s">
        <v>7</v>
      </c>
      <c r="BW571" s="27" t="s">
        <v>8</v>
      </c>
      <c r="BX571" s="27" t="s">
        <v>7</v>
      </c>
      <c r="BY571" s="27" t="s">
        <v>8</v>
      </c>
      <c r="BZ571" s="27" t="s">
        <v>7</v>
      </c>
      <c r="CA571" s="27" t="s">
        <v>8</v>
      </c>
    </row>
    <row r="572" spans="1:83" x14ac:dyDescent="0.25">
      <c r="A572" s="7">
        <v>1.3458683383241299</v>
      </c>
      <c r="B572"/>
      <c r="C572"/>
      <c r="D572"/>
      <c r="E572" t="s">
        <v>8</v>
      </c>
      <c r="AB572" s="27" t="s">
        <v>7</v>
      </c>
      <c r="AC572" s="27" t="s">
        <v>8</v>
      </c>
      <c r="AD572" s="27" t="s">
        <v>7</v>
      </c>
      <c r="AE572" s="27" t="s">
        <v>8</v>
      </c>
      <c r="AG572" s="27" t="s">
        <v>8</v>
      </c>
      <c r="AH572" s="27" t="s">
        <v>7</v>
      </c>
      <c r="AY572" s="27" t="s">
        <v>8</v>
      </c>
      <c r="BC572" s="27" t="s">
        <v>8</v>
      </c>
      <c r="BG572" s="27" t="s">
        <v>8</v>
      </c>
      <c r="BW572" s="27" t="s">
        <v>8</v>
      </c>
      <c r="BX572" s="27" t="s">
        <v>7</v>
      </c>
      <c r="BY572" s="27" t="s">
        <v>8</v>
      </c>
      <c r="BZ572" s="27" t="s">
        <v>7</v>
      </c>
      <c r="CA572" s="27" t="s">
        <v>8</v>
      </c>
    </row>
    <row r="573" spans="1:83" x14ac:dyDescent="0.25">
      <c r="A573" s="7">
        <v>1.3194787630628724</v>
      </c>
      <c r="B573"/>
      <c r="C573"/>
      <c r="D573"/>
      <c r="E573" t="s">
        <v>8</v>
      </c>
      <c r="AB573" s="27" t="s">
        <v>7</v>
      </c>
      <c r="AC573" s="27" t="s">
        <v>8</v>
      </c>
      <c r="AD573" s="27" t="s">
        <v>7</v>
      </c>
      <c r="AE573" s="27" t="s">
        <v>8</v>
      </c>
      <c r="AF573" s="27" t="s">
        <v>7</v>
      </c>
      <c r="AG573" s="27" t="s">
        <v>8</v>
      </c>
      <c r="AH573" s="27" t="s">
        <v>7</v>
      </c>
      <c r="AI573" s="27" t="s">
        <v>8</v>
      </c>
      <c r="AY573" s="27" t="s">
        <v>8</v>
      </c>
      <c r="AZ573" s="27" t="s">
        <v>7</v>
      </c>
      <c r="BC573" s="27" t="s">
        <v>8</v>
      </c>
      <c r="BD573" s="27" t="s">
        <v>7</v>
      </c>
      <c r="BG573" s="27" t="s">
        <v>8</v>
      </c>
      <c r="BH573" s="27" t="s">
        <v>7</v>
      </c>
      <c r="BW573" s="27" t="s">
        <v>8</v>
      </c>
      <c r="BX573" s="27" t="s">
        <v>7</v>
      </c>
      <c r="BY573" s="27" t="s">
        <v>8</v>
      </c>
      <c r="BZ573" s="27" t="s">
        <v>7</v>
      </c>
      <c r="CA573" s="27" t="s">
        <v>8</v>
      </c>
    </row>
    <row r="574" spans="1:83" x14ac:dyDescent="0.25">
      <c r="A574" s="7">
        <v>1.2936066304537963</v>
      </c>
      <c r="B574"/>
      <c r="C574"/>
      <c r="D574"/>
      <c r="E574" t="s">
        <v>8</v>
      </c>
      <c r="AB574" s="27" t="s">
        <v>7</v>
      </c>
      <c r="AC574" s="27" t="s">
        <v>8</v>
      </c>
      <c r="AD574" s="27" t="s">
        <v>7</v>
      </c>
      <c r="AE574" s="27" t="s">
        <v>8</v>
      </c>
      <c r="AF574" s="27" t="s">
        <v>7</v>
      </c>
      <c r="AG574" s="27" t="s">
        <v>8</v>
      </c>
      <c r="AH574" s="27" t="s">
        <v>7</v>
      </c>
      <c r="AI574" s="27" t="s">
        <v>8</v>
      </c>
      <c r="AJ574" s="27" t="s">
        <v>7</v>
      </c>
      <c r="AY574" s="27" t="s">
        <v>8</v>
      </c>
      <c r="AZ574" s="27" t="s">
        <v>7</v>
      </c>
      <c r="BC574" s="27" t="s">
        <v>8</v>
      </c>
      <c r="BD574" s="27" t="s">
        <v>7</v>
      </c>
      <c r="BG574" s="27" t="s">
        <v>8</v>
      </c>
      <c r="BH574" s="27" t="s">
        <v>7</v>
      </c>
      <c r="BW574" s="27" t="s">
        <v>8</v>
      </c>
      <c r="BX574" s="27" t="s">
        <v>7</v>
      </c>
      <c r="BY574" s="27" t="s">
        <v>8</v>
      </c>
      <c r="BZ574" s="27" t="s">
        <v>7</v>
      </c>
      <c r="CA574" s="27" t="s">
        <v>8</v>
      </c>
    </row>
    <row r="575" spans="1:83" x14ac:dyDescent="0.25">
      <c r="A575" s="7">
        <v>1.2682417945625455</v>
      </c>
      <c r="B575"/>
      <c r="C575"/>
      <c r="D575"/>
      <c r="E575" t="s">
        <v>8</v>
      </c>
      <c r="AB575" s="27" t="s">
        <v>7</v>
      </c>
      <c r="AC575" s="27" t="s">
        <v>8</v>
      </c>
      <c r="AD575" s="27" t="s">
        <v>7</v>
      </c>
      <c r="AE575" s="27" t="s">
        <v>8</v>
      </c>
      <c r="AF575" s="27" t="s">
        <v>7</v>
      </c>
      <c r="AH575" s="27" t="s">
        <v>7</v>
      </c>
      <c r="AI575" s="27" t="s">
        <v>8</v>
      </c>
      <c r="AJ575" s="27" t="s">
        <v>7</v>
      </c>
      <c r="AY575" s="27" t="s">
        <v>8</v>
      </c>
      <c r="AZ575" s="27" t="s">
        <v>7</v>
      </c>
      <c r="BA575" s="27" t="s">
        <v>8</v>
      </c>
      <c r="BC575" s="27" t="s">
        <v>8</v>
      </c>
      <c r="BD575" s="27" t="s">
        <v>7</v>
      </c>
      <c r="BG575" s="27" t="s">
        <v>8</v>
      </c>
      <c r="BH575" s="27" t="s">
        <v>7</v>
      </c>
      <c r="BW575" s="27" t="s">
        <v>8</v>
      </c>
      <c r="BX575" s="27" t="s">
        <v>7</v>
      </c>
      <c r="BZ575" s="27" t="s">
        <v>7</v>
      </c>
      <c r="CA575" s="27" t="s">
        <v>8</v>
      </c>
    </row>
    <row r="576" spans="1:83" x14ac:dyDescent="0.25">
      <c r="A576" s="7">
        <v>1.2433743083946525</v>
      </c>
      <c r="B576"/>
      <c r="C576"/>
      <c r="D576"/>
      <c r="E576" t="s">
        <v>8</v>
      </c>
      <c r="AB576" s="27" t="s">
        <v>7</v>
      </c>
      <c r="AC576" s="27" t="s">
        <v>8</v>
      </c>
      <c r="AD576" s="27" t="s">
        <v>7</v>
      </c>
      <c r="AE576" s="27" t="s">
        <v>8</v>
      </c>
      <c r="AH576" s="27" t="s">
        <v>7</v>
      </c>
      <c r="AJ576" s="27" t="s">
        <v>7</v>
      </c>
      <c r="AO576" s="27" t="s">
        <v>8</v>
      </c>
      <c r="AY576" s="27" t="s">
        <v>8</v>
      </c>
      <c r="AZ576" s="27" t="s">
        <v>7</v>
      </c>
      <c r="BA576" s="27" t="s">
        <v>8</v>
      </c>
      <c r="BB576" s="27" t="s">
        <v>7</v>
      </c>
      <c r="BC576" s="27" t="s">
        <v>8</v>
      </c>
      <c r="BD576" s="27" t="s">
        <v>7</v>
      </c>
      <c r="BG576" s="27" t="s">
        <v>8</v>
      </c>
      <c r="BH576" s="27" t="s">
        <v>7</v>
      </c>
      <c r="BI576" s="27" t="s">
        <v>8</v>
      </c>
      <c r="BO576" s="27" t="s">
        <v>8</v>
      </c>
      <c r="BW576" s="27" t="s">
        <v>8</v>
      </c>
      <c r="BZ576" s="27" t="s">
        <v>7</v>
      </c>
      <c r="CA576" s="27" t="s">
        <v>8</v>
      </c>
    </row>
    <row r="577" spans="1:78" x14ac:dyDescent="0.25">
      <c r="A577" s="7">
        <v>1.2189944199947573</v>
      </c>
      <c r="B577"/>
      <c r="C577"/>
      <c r="D577"/>
      <c r="E577" t="s">
        <v>8</v>
      </c>
      <c r="AB577" s="27" t="s">
        <v>7</v>
      </c>
      <c r="AC577" s="27" t="s">
        <v>8</v>
      </c>
      <c r="AD577" s="27" t="s">
        <v>7</v>
      </c>
      <c r="AJ577" s="27" t="s">
        <v>7</v>
      </c>
      <c r="AO577" s="27" t="s">
        <v>8</v>
      </c>
      <c r="AP577" s="27" t="s">
        <v>7</v>
      </c>
      <c r="AU577" s="27" t="s">
        <v>8</v>
      </c>
      <c r="AY577" s="27" t="s">
        <v>8</v>
      </c>
      <c r="AZ577" s="27" t="s">
        <v>7</v>
      </c>
      <c r="BA577" s="27" t="s">
        <v>8</v>
      </c>
      <c r="BB577" s="27" t="s">
        <v>7</v>
      </c>
      <c r="BC577" s="27" t="s">
        <v>8</v>
      </c>
      <c r="BD577" s="27" t="s">
        <v>7</v>
      </c>
      <c r="BG577" s="27" t="s">
        <v>8</v>
      </c>
      <c r="BH577" s="27" t="s">
        <v>7</v>
      </c>
      <c r="BI577" s="27" t="s">
        <v>8</v>
      </c>
      <c r="BJ577" s="27" t="s">
        <v>7</v>
      </c>
      <c r="BK577" s="27" t="s">
        <v>8</v>
      </c>
      <c r="BO577" s="27" t="s">
        <v>8</v>
      </c>
      <c r="BP577" s="27" t="s">
        <v>7</v>
      </c>
      <c r="BW577" s="27" t="s">
        <v>8</v>
      </c>
      <c r="BZ577" s="27" t="s">
        <v>7</v>
      </c>
    </row>
    <row r="578" spans="1:78" x14ac:dyDescent="0.25">
      <c r="A578" s="7">
        <v>1.1950925686223111</v>
      </c>
      <c r="B578"/>
      <c r="C578"/>
      <c r="D578"/>
      <c r="E578" t="s">
        <v>8</v>
      </c>
      <c r="AB578" s="27" t="s">
        <v>7</v>
      </c>
      <c r="AC578" s="27" t="s">
        <v>8</v>
      </c>
      <c r="AJ578" s="27" t="s">
        <v>7</v>
      </c>
      <c r="AO578" s="27" t="s">
        <v>8</v>
      </c>
      <c r="AP578" s="27" t="s">
        <v>7</v>
      </c>
      <c r="AS578" s="27" t="s">
        <v>8</v>
      </c>
      <c r="AU578" s="27" t="s">
        <v>8</v>
      </c>
      <c r="AV578" s="27" t="s">
        <v>7</v>
      </c>
      <c r="AY578" s="27" t="s">
        <v>8</v>
      </c>
      <c r="AZ578" s="27" t="s">
        <v>7</v>
      </c>
      <c r="BA578" s="27" t="s">
        <v>8</v>
      </c>
      <c r="BB578" s="27" t="s">
        <v>7</v>
      </c>
      <c r="BC578" s="27" t="s">
        <v>8</v>
      </c>
      <c r="BD578" s="27" t="s">
        <v>7</v>
      </c>
      <c r="BG578" s="27" t="s">
        <v>8</v>
      </c>
      <c r="BH578" s="27" t="s">
        <v>7</v>
      </c>
      <c r="BI578" s="27" t="s">
        <v>8</v>
      </c>
      <c r="BJ578" s="27" t="s">
        <v>7</v>
      </c>
      <c r="BK578" s="27" t="s">
        <v>8</v>
      </c>
      <c r="BL578" s="27" t="s">
        <v>7</v>
      </c>
      <c r="BM578" s="27" t="s">
        <v>8</v>
      </c>
      <c r="BO578" s="27" t="s">
        <v>8</v>
      </c>
      <c r="BP578" s="27" t="s">
        <v>7</v>
      </c>
      <c r="BW578" s="27" t="s">
        <v>8</v>
      </c>
    </row>
    <row r="579" spans="1:78" x14ac:dyDescent="0.25">
      <c r="A579" s="7">
        <v>1.1716593810022657</v>
      </c>
      <c r="B579"/>
      <c r="C579"/>
      <c r="D579"/>
      <c r="E579" t="s">
        <v>8</v>
      </c>
      <c r="AB579" s="27" t="s">
        <v>7</v>
      </c>
      <c r="AC579" s="27" t="s">
        <v>8</v>
      </c>
      <c r="AJ579" s="27" t="s">
        <v>7</v>
      </c>
      <c r="AO579" s="27" t="s">
        <v>8</v>
      </c>
      <c r="AP579" s="27" t="s">
        <v>7</v>
      </c>
      <c r="AS579" s="27" t="s">
        <v>8</v>
      </c>
      <c r="AT579" s="27" t="s">
        <v>7</v>
      </c>
      <c r="AU579" s="27" t="s">
        <v>8</v>
      </c>
      <c r="AV579" s="27" t="s">
        <v>7</v>
      </c>
      <c r="AY579" s="27" t="s">
        <v>8</v>
      </c>
      <c r="AZ579" s="27" t="s">
        <v>7</v>
      </c>
      <c r="BA579" s="27" t="s">
        <v>8</v>
      </c>
      <c r="BB579" s="27" t="s">
        <v>7</v>
      </c>
      <c r="BC579" s="27" t="s">
        <v>8</v>
      </c>
      <c r="BD579" s="27" t="s">
        <v>7</v>
      </c>
      <c r="BG579" s="27" t="s">
        <v>8</v>
      </c>
      <c r="BH579" s="27" t="s">
        <v>7</v>
      </c>
      <c r="BJ579" s="27" t="s">
        <v>7</v>
      </c>
      <c r="BK579" s="27" t="s">
        <v>8</v>
      </c>
      <c r="BL579" s="27" t="s">
        <v>7</v>
      </c>
      <c r="BM579" s="27" t="s">
        <v>8</v>
      </c>
      <c r="BN579" s="27" t="s">
        <v>7</v>
      </c>
      <c r="BO579" s="27" t="s">
        <v>8</v>
      </c>
      <c r="BP579" s="27" t="s">
        <v>7</v>
      </c>
      <c r="BQ579" s="27" t="s">
        <v>8</v>
      </c>
      <c r="BW579" s="27" t="s">
        <v>8</v>
      </c>
    </row>
    <row r="580" spans="1:78" x14ac:dyDescent="0.25">
      <c r="A580" s="7">
        <v>1.14868566764928</v>
      </c>
      <c r="B580"/>
      <c r="C580"/>
      <c r="D580"/>
      <c r="E580" t="s">
        <v>8</v>
      </c>
      <c r="AB580" s="27" t="s">
        <v>7</v>
      </c>
      <c r="AC580" s="27" t="s">
        <v>8</v>
      </c>
      <c r="AJ580" s="27" t="s">
        <v>7</v>
      </c>
      <c r="AK580" s="27" t="s">
        <v>8</v>
      </c>
      <c r="AO580" s="27" t="s">
        <v>8</v>
      </c>
      <c r="AP580" s="27" t="s">
        <v>7</v>
      </c>
      <c r="AS580" s="27" t="s">
        <v>8</v>
      </c>
      <c r="AT580" s="27" t="s">
        <v>7</v>
      </c>
      <c r="AU580" s="27" t="s">
        <v>8</v>
      </c>
      <c r="AV580" s="27" t="s">
        <v>7</v>
      </c>
      <c r="AY580" s="27" t="s">
        <v>8</v>
      </c>
      <c r="AZ580" s="27" t="s">
        <v>7</v>
      </c>
      <c r="BA580" s="27" t="s">
        <v>8</v>
      </c>
      <c r="BB580" s="27" t="s">
        <v>7</v>
      </c>
      <c r="BC580" s="27" t="s">
        <v>8</v>
      </c>
      <c r="BD580" s="27" t="s">
        <v>7</v>
      </c>
      <c r="BG580" s="27" t="s">
        <v>8</v>
      </c>
      <c r="BJ580" s="27" t="s">
        <v>7</v>
      </c>
      <c r="BK580" s="27" t="s">
        <v>8</v>
      </c>
      <c r="BL580" s="27" t="s">
        <v>7</v>
      </c>
      <c r="BM580" s="27" t="s">
        <v>8</v>
      </c>
      <c r="BN580" s="27" t="s">
        <v>7</v>
      </c>
      <c r="BO580" s="27" t="s">
        <v>8</v>
      </c>
      <c r="BP580" s="27" t="s">
        <v>7</v>
      </c>
      <c r="BQ580" s="27" t="s">
        <v>8</v>
      </c>
      <c r="BR580" s="27" t="s">
        <v>7</v>
      </c>
      <c r="BU580" s="27" t="s">
        <v>8</v>
      </c>
      <c r="BW580" s="27" t="s">
        <v>8</v>
      </c>
    </row>
    <row r="581" spans="1:78" x14ac:dyDescent="0.25">
      <c r="A581" s="7">
        <v>1.1261624192640001</v>
      </c>
      <c r="B581"/>
      <c r="C581"/>
      <c r="D581"/>
      <c r="E581" t="s">
        <v>8</v>
      </c>
      <c r="AB581" s="27" t="s">
        <v>7</v>
      </c>
      <c r="AC581" s="27" t="s">
        <v>8</v>
      </c>
      <c r="AJ581" s="27" t="s">
        <v>7</v>
      </c>
      <c r="AK581" s="27" t="s">
        <v>8</v>
      </c>
      <c r="AL581" s="27" t="s">
        <v>7</v>
      </c>
      <c r="AM581" s="27" t="s">
        <v>8</v>
      </c>
      <c r="AO581" s="27" t="s">
        <v>8</v>
      </c>
      <c r="AP581" s="27" t="s">
        <v>7</v>
      </c>
      <c r="AS581" s="27" t="s">
        <v>8</v>
      </c>
      <c r="AT581" s="27" t="s">
        <v>7</v>
      </c>
      <c r="AU581" s="27" t="s">
        <v>8</v>
      </c>
      <c r="AV581" s="27" t="s">
        <v>7</v>
      </c>
      <c r="AY581" s="27" t="s">
        <v>8</v>
      </c>
      <c r="AZ581" s="27" t="s">
        <v>7</v>
      </c>
      <c r="BA581" s="27" t="s">
        <v>8</v>
      </c>
      <c r="BB581" s="27" t="s">
        <v>7</v>
      </c>
      <c r="BD581" s="27" t="s">
        <v>7</v>
      </c>
      <c r="BG581" s="27" t="s">
        <v>8</v>
      </c>
      <c r="BJ581" s="27" t="s">
        <v>7</v>
      </c>
      <c r="BK581" s="27" t="s">
        <v>8</v>
      </c>
      <c r="BL581" s="27" t="s">
        <v>7</v>
      </c>
      <c r="BM581" s="27" t="s">
        <v>8</v>
      </c>
      <c r="BN581" s="27" t="s">
        <v>7</v>
      </c>
      <c r="BP581" s="27" t="s">
        <v>7</v>
      </c>
      <c r="BQ581" s="27" t="s">
        <v>8</v>
      </c>
      <c r="BR581" s="27" t="s">
        <v>7</v>
      </c>
      <c r="BU581" s="27" t="s">
        <v>8</v>
      </c>
      <c r="BV581" s="27" t="s">
        <v>7</v>
      </c>
      <c r="BW581" s="27" t="s">
        <v>8</v>
      </c>
    </row>
    <row r="582" spans="1:78" x14ac:dyDescent="0.25">
      <c r="A582" s="7">
        <v>1.1040808032</v>
      </c>
      <c r="B582"/>
      <c r="C582"/>
      <c r="D582"/>
      <c r="E582" t="s">
        <v>8</v>
      </c>
      <c r="AB582" s="27" t="s">
        <v>7</v>
      </c>
      <c r="AJ582" s="27" t="s">
        <v>7</v>
      </c>
      <c r="AK582" s="27" t="s">
        <v>8</v>
      </c>
      <c r="AL582" s="27" t="s">
        <v>7</v>
      </c>
      <c r="AM582" s="27" t="s">
        <v>8</v>
      </c>
      <c r="AN582" s="27" t="s">
        <v>7</v>
      </c>
      <c r="AO582" s="27" t="s">
        <v>8</v>
      </c>
      <c r="AP582" s="27" t="s">
        <v>7</v>
      </c>
      <c r="AS582" s="27" t="s">
        <v>8</v>
      </c>
      <c r="AT582" s="27" t="s">
        <v>7</v>
      </c>
      <c r="AU582" s="27" t="s">
        <v>8</v>
      </c>
      <c r="AV582" s="27" t="s">
        <v>7</v>
      </c>
      <c r="AY582" s="27" t="s">
        <v>8</v>
      </c>
      <c r="AZ582" s="27" t="s">
        <v>7</v>
      </c>
      <c r="BA582" s="27" t="s">
        <v>8</v>
      </c>
      <c r="BD582" s="27" t="s">
        <v>7</v>
      </c>
      <c r="BG582" s="27" t="s">
        <v>8</v>
      </c>
      <c r="BJ582" s="27" t="s">
        <v>7</v>
      </c>
      <c r="BL582" s="27" t="s">
        <v>7</v>
      </c>
      <c r="BM582" s="27" t="s">
        <v>8</v>
      </c>
      <c r="BP582" s="27" t="s">
        <v>7</v>
      </c>
      <c r="BQ582" s="27" t="s">
        <v>8</v>
      </c>
      <c r="BR582" s="27" t="s">
        <v>7</v>
      </c>
      <c r="BU582" s="27" t="s">
        <v>8</v>
      </c>
      <c r="BV582" s="27" t="s">
        <v>7</v>
      </c>
      <c r="BW582" s="27" t="s">
        <v>8</v>
      </c>
    </row>
    <row r="583" spans="1:78" x14ac:dyDescent="0.25">
      <c r="A583" s="7">
        <v>1.08243216</v>
      </c>
      <c r="B583"/>
      <c r="C583"/>
      <c r="D583"/>
      <c r="E583" t="s">
        <v>8</v>
      </c>
      <c r="AJ583" s="27" t="s">
        <v>7</v>
      </c>
      <c r="AK583" s="27" t="s">
        <v>8</v>
      </c>
      <c r="AL583" s="27" t="s">
        <v>7</v>
      </c>
      <c r="AM583" s="27" t="s">
        <v>8</v>
      </c>
      <c r="AN583" s="27" t="s">
        <v>7</v>
      </c>
      <c r="AO583" s="27" t="s">
        <v>8</v>
      </c>
      <c r="AP583" s="27" t="s">
        <v>7</v>
      </c>
      <c r="AS583" s="27" t="s">
        <v>8</v>
      </c>
      <c r="AT583" s="27" t="s">
        <v>7</v>
      </c>
      <c r="AU583" s="27" t="s">
        <v>8</v>
      </c>
      <c r="AV583" s="27" t="s">
        <v>7</v>
      </c>
      <c r="AW583" s="27" t="s">
        <v>8</v>
      </c>
      <c r="AY583" s="27" t="s">
        <v>8</v>
      </c>
      <c r="AZ583" s="27" t="s">
        <v>7</v>
      </c>
      <c r="BD583" s="27" t="s">
        <v>7</v>
      </c>
      <c r="BG583" s="27" t="s">
        <v>8</v>
      </c>
      <c r="BL583" s="27" t="s">
        <v>7</v>
      </c>
      <c r="BM583" s="27" t="s">
        <v>8</v>
      </c>
      <c r="BP583" s="27" t="s">
        <v>7</v>
      </c>
      <c r="BQ583" s="27" t="s">
        <v>8</v>
      </c>
      <c r="BR583" s="27" t="s">
        <v>7</v>
      </c>
      <c r="BU583" s="27" t="s">
        <v>8</v>
      </c>
      <c r="BV583" s="27" t="s">
        <v>7</v>
      </c>
      <c r="BW583" s="27" t="s">
        <v>8</v>
      </c>
    </row>
    <row r="584" spans="1:78" x14ac:dyDescent="0.25">
      <c r="A584" s="7">
        <v>1.0612079999999999</v>
      </c>
      <c r="B584"/>
      <c r="C584"/>
      <c r="D584"/>
      <c r="E584" t="s">
        <v>8</v>
      </c>
      <c r="AJ584" s="27" t="s">
        <v>7</v>
      </c>
      <c r="AK584" s="27" t="s">
        <v>8</v>
      </c>
      <c r="AL584" s="27" t="s">
        <v>7</v>
      </c>
      <c r="AN584" s="27" t="s">
        <v>7</v>
      </c>
      <c r="AO584" s="27" t="s">
        <v>8</v>
      </c>
      <c r="AP584" s="27" t="s">
        <v>7</v>
      </c>
      <c r="AS584" s="27" t="s">
        <v>8</v>
      </c>
      <c r="AT584" s="27" t="s">
        <v>7</v>
      </c>
      <c r="AU584" s="27" t="s">
        <v>8</v>
      </c>
      <c r="AV584" s="27" t="s">
        <v>7</v>
      </c>
      <c r="AW584" s="27" t="s">
        <v>8</v>
      </c>
      <c r="AX584" s="27" t="s">
        <v>7</v>
      </c>
      <c r="AY584" s="27" t="s">
        <v>8</v>
      </c>
      <c r="BD584" s="27" t="s">
        <v>7</v>
      </c>
      <c r="BG584" s="27" t="s">
        <v>8</v>
      </c>
      <c r="BL584" s="27" t="s">
        <v>7</v>
      </c>
      <c r="BM584" s="27" t="s">
        <v>8</v>
      </c>
      <c r="BP584" s="27" t="s">
        <v>7</v>
      </c>
      <c r="BR584" s="27" t="s">
        <v>7</v>
      </c>
      <c r="BS584" s="27" t="s">
        <v>8</v>
      </c>
      <c r="BU584" s="27" t="s">
        <v>8</v>
      </c>
      <c r="BV584" s="27" t="s">
        <v>7</v>
      </c>
      <c r="BW584" s="27" t="s">
        <v>8</v>
      </c>
    </row>
    <row r="585" spans="1:78" x14ac:dyDescent="0.25">
      <c r="A585" s="7">
        <v>1.0404</v>
      </c>
      <c r="B585"/>
      <c r="C585"/>
      <c r="D585"/>
      <c r="E585" t="s">
        <v>8</v>
      </c>
      <c r="AJ585" s="27" t="s">
        <v>7</v>
      </c>
      <c r="AN585" s="27" t="s">
        <v>7</v>
      </c>
      <c r="AO585" s="27" t="s">
        <v>8</v>
      </c>
      <c r="AP585" s="27" t="s">
        <v>7</v>
      </c>
      <c r="AS585" s="27" t="s">
        <v>8</v>
      </c>
      <c r="AT585" s="27" t="s">
        <v>7</v>
      </c>
      <c r="AU585" s="27" t="s">
        <v>8</v>
      </c>
      <c r="AV585" s="27" t="s">
        <v>7</v>
      </c>
      <c r="AW585" s="27" t="s">
        <v>8</v>
      </c>
      <c r="AX585" s="27" t="s">
        <v>7</v>
      </c>
      <c r="AY585" s="27" t="s">
        <v>8</v>
      </c>
      <c r="BD585" s="27" t="s">
        <v>7</v>
      </c>
      <c r="BE585" s="27" t="s">
        <v>8</v>
      </c>
      <c r="BG585" s="27" t="s">
        <v>8</v>
      </c>
      <c r="BL585" s="27" t="s">
        <v>7</v>
      </c>
      <c r="BM585" s="27" t="s">
        <v>8</v>
      </c>
      <c r="BR585" s="27" t="s">
        <v>7</v>
      </c>
      <c r="BS585" s="27" t="s">
        <v>8</v>
      </c>
      <c r="BT585" s="27" t="s">
        <v>7</v>
      </c>
      <c r="BU585" s="27" t="s">
        <v>8</v>
      </c>
      <c r="BV585" s="27" t="s">
        <v>7</v>
      </c>
      <c r="BW585" s="27" t="s">
        <v>8</v>
      </c>
    </row>
    <row r="586" spans="1:78" x14ac:dyDescent="0.25">
      <c r="A586" s="7">
        <v>1.02</v>
      </c>
      <c r="B586"/>
      <c r="C586"/>
      <c r="D586"/>
      <c r="E586" t="s">
        <v>8</v>
      </c>
      <c r="AN586" s="27" t="s">
        <v>7</v>
      </c>
      <c r="AO586" s="27" t="s">
        <v>8</v>
      </c>
      <c r="AP586" s="27" t="s">
        <v>7</v>
      </c>
      <c r="AQ586" s="27" t="s">
        <v>8</v>
      </c>
      <c r="AS586" s="27" t="s">
        <v>8</v>
      </c>
      <c r="AT586" s="27" t="s">
        <v>7</v>
      </c>
      <c r="AV586" s="27" t="s">
        <v>7</v>
      </c>
      <c r="AX586" s="27" t="s">
        <v>7</v>
      </c>
      <c r="BD586" s="27" t="s">
        <v>7</v>
      </c>
      <c r="BE586" s="27" t="s">
        <v>8</v>
      </c>
      <c r="BF586" s="27" t="s">
        <v>7</v>
      </c>
      <c r="BG586" s="27" t="s">
        <v>8</v>
      </c>
      <c r="BL586" s="27" t="s">
        <v>7</v>
      </c>
      <c r="BM586" s="27" t="s">
        <v>8</v>
      </c>
      <c r="BR586" s="27" t="s">
        <v>7</v>
      </c>
      <c r="BS586" s="27" t="s">
        <v>8</v>
      </c>
      <c r="BT586" s="27" t="s">
        <v>7</v>
      </c>
      <c r="BU586" s="27" t="s">
        <v>8</v>
      </c>
      <c r="BV586" s="27" t="s">
        <v>7</v>
      </c>
      <c r="BW586" s="27" t="s">
        <v>8</v>
      </c>
    </row>
    <row r="587" spans="1:78" x14ac:dyDescent="0.25">
      <c r="A587" s="7">
        <v>1</v>
      </c>
      <c r="B587"/>
      <c r="C587"/>
      <c r="D587"/>
      <c r="E587" s="29" t="s">
        <v>8</v>
      </c>
      <c r="AN587" s="27" t="s">
        <v>7</v>
      </c>
      <c r="AO587" s="27" t="s">
        <v>8</v>
      </c>
      <c r="AP587" s="27" t="s">
        <v>7</v>
      </c>
      <c r="AQ587" s="27" t="s">
        <v>8</v>
      </c>
      <c r="AR587" s="27" t="s">
        <v>7</v>
      </c>
      <c r="AS587" s="27" t="s">
        <v>8</v>
      </c>
      <c r="BD587" s="27" t="s">
        <v>7</v>
      </c>
      <c r="BE587" s="27" t="s">
        <v>8</v>
      </c>
      <c r="BF587" s="27" t="s">
        <v>7</v>
      </c>
      <c r="BG587" s="27" t="s">
        <v>8</v>
      </c>
      <c r="BL587" s="27" t="s">
        <v>7</v>
      </c>
      <c r="BM587" s="27" t="s">
        <v>8</v>
      </c>
      <c r="BR587" s="27" t="s">
        <v>7</v>
      </c>
      <c r="BS587" s="27" t="s">
        <v>8</v>
      </c>
      <c r="BT587" s="27" t="s">
        <v>7</v>
      </c>
      <c r="BU587" s="27" t="s">
        <v>8</v>
      </c>
      <c r="BV587" s="27" t="s">
        <v>7</v>
      </c>
    </row>
    <row r="588" spans="1:78" x14ac:dyDescent="0.25">
      <c r="A588" s="7">
        <v>0.98039215686274506</v>
      </c>
      <c r="B588"/>
      <c r="C588"/>
      <c r="D588"/>
      <c r="E588"/>
      <c r="AN588" s="27" t="s">
        <v>7</v>
      </c>
      <c r="AO588" s="27" t="s">
        <v>8</v>
      </c>
      <c r="AP588" s="27" t="s">
        <v>7</v>
      </c>
      <c r="AQ588" s="27" t="s">
        <v>8</v>
      </c>
      <c r="AR588" s="27" t="s">
        <v>7</v>
      </c>
      <c r="AS588" s="27" t="s">
        <v>8</v>
      </c>
      <c r="BD588" s="27" t="s">
        <v>7</v>
      </c>
      <c r="BE588" s="27" t="s">
        <v>8</v>
      </c>
      <c r="BF588" s="27" t="s">
        <v>7</v>
      </c>
      <c r="BL588" s="27" t="s">
        <v>7</v>
      </c>
      <c r="BR588" s="27" t="s">
        <v>7</v>
      </c>
      <c r="BS588" s="27" t="s">
        <v>8</v>
      </c>
      <c r="BT588" s="27" t="s">
        <v>7</v>
      </c>
      <c r="BU588" s="27" t="s">
        <v>8</v>
      </c>
    </row>
    <row r="589" spans="1:78" x14ac:dyDescent="0.25">
      <c r="A589" s="7">
        <v>0.96116878123798544</v>
      </c>
      <c r="B589"/>
      <c r="C589"/>
      <c r="D589"/>
      <c r="E589"/>
      <c r="AN589" s="27" t="s">
        <v>7</v>
      </c>
      <c r="AO589" s="27" t="s">
        <v>8</v>
      </c>
      <c r="AP589" s="27" t="s">
        <v>7</v>
      </c>
      <c r="AQ589" s="27" t="s">
        <v>8</v>
      </c>
      <c r="AR589" s="27" t="s">
        <v>7</v>
      </c>
      <c r="AS589" s="27" t="s">
        <v>8</v>
      </c>
      <c r="BD589" s="27" t="s">
        <v>7</v>
      </c>
      <c r="BE589" s="27" t="s">
        <v>8</v>
      </c>
      <c r="BR589" s="27" t="s">
        <v>7</v>
      </c>
      <c r="BS589" s="27" t="s">
        <v>8</v>
      </c>
      <c r="BT589" s="27" t="s">
        <v>7</v>
      </c>
      <c r="BU589" s="27" t="s">
        <v>8</v>
      </c>
    </row>
    <row r="590" spans="1:78" x14ac:dyDescent="0.25">
      <c r="A590" s="7">
        <v>0.94232233454704462</v>
      </c>
      <c r="B590"/>
      <c r="C590"/>
      <c r="D590"/>
      <c r="E590"/>
      <c r="AN590" s="27" t="s">
        <v>7</v>
      </c>
      <c r="AP590" s="27" t="s">
        <v>7</v>
      </c>
      <c r="AR590" s="27" t="s">
        <v>7</v>
      </c>
      <c r="AS590" s="27" t="s">
        <v>8</v>
      </c>
      <c r="BD590" s="27" t="s">
        <v>7</v>
      </c>
      <c r="BE590" s="27" t="s">
        <v>8</v>
      </c>
      <c r="BR590" s="27" t="s">
        <v>7</v>
      </c>
      <c r="BS590" s="27" t="s">
        <v>8</v>
      </c>
      <c r="BT590" s="27" t="s">
        <v>7</v>
      </c>
      <c r="BU590" s="27" t="s">
        <v>8</v>
      </c>
    </row>
    <row r="591" spans="1:78" x14ac:dyDescent="0.25">
      <c r="A591" s="7">
        <v>0.92384542602651432</v>
      </c>
      <c r="B591"/>
      <c r="C591"/>
      <c r="D591"/>
      <c r="E591"/>
      <c r="AR591" s="27" t="s">
        <v>7</v>
      </c>
      <c r="AS591" s="27" t="s">
        <v>8</v>
      </c>
      <c r="BD591" s="27" t="s">
        <v>7</v>
      </c>
      <c r="BR591" s="27" t="s">
        <v>7</v>
      </c>
      <c r="BS591" s="27" t="s">
        <v>8</v>
      </c>
      <c r="BT591" s="27" t="s">
        <v>7</v>
      </c>
    </row>
    <row r="592" spans="1:78" x14ac:dyDescent="0.25">
      <c r="A592" s="7">
        <v>0.90573080982991594</v>
      </c>
      <c r="B592"/>
      <c r="C592"/>
      <c r="D592"/>
      <c r="E592"/>
      <c r="AR592" s="27" t="s">
        <v>7</v>
      </c>
      <c r="AS592" s="27" t="s">
        <v>8</v>
      </c>
      <c r="BR592" s="27" t="s">
        <v>7</v>
      </c>
      <c r="BS592" s="27" t="s">
        <v>8</v>
      </c>
    </row>
    <row r="593" spans="1:70" x14ac:dyDescent="0.25">
      <c r="A593" s="7">
        <v>0.8879713821861922</v>
      </c>
      <c r="B593"/>
      <c r="C593"/>
      <c r="D593"/>
      <c r="E593"/>
      <c r="AR593" s="27" t="s">
        <v>7</v>
      </c>
      <c r="AS593" s="27" t="s">
        <v>8</v>
      </c>
      <c r="BR593" s="27" t="s">
        <v>7</v>
      </c>
    </row>
    <row r="594" spans="1:70" x14ac:dyDescent="0.25">
      <c r="A594" s="7">
        <v>0.87056017861391399</v>
      </c>
      <c r="B594"/>
      <c r="C594"/>
      <c r="D594"/>
      <c r="E594"/>
      <c r="AR594" s="27" t="s">
        <v>7</v>
      </c>
      <c r="AS594" s="27" t="s">
        <v>8</v>
      </c>
    </row>
    <row r="595" spans="1:70" x14ac:dyDescent="0.25">
      <c r="A595" s="7">
        <v>0.85349037119011173</v>
      </c>
      <c r="B595"/>
      <c r="C595"/>
      <c r="D595"/>
      <c r="E595"/>
      <c r="AR595" s="27" t="s">
        <v>7</v>
      </c>
      <c r="AS595" s="27" t="s">
        <v>8</v>
      </c>
    </row>
    <row r="596" spans="1:70" x14ac:dyDescent="0.25">
      <c r="A596" s="7">
        <v>0.83675526587265858</v>
      </c>
      <c r="B596"/>
      <c r="C596"/>
      <c r="D596"/>
      <c r="E596"/>
      <c r="AR596" s="27" t="s">
        <v>7</v>
      </c>
      <c r="AS596" s="27" t="s">
        <v>8</v>
      </c>
    </row>
    <row r="597" spans="1:70" x14ac:dyDescent="0.25">
      <c r="A597" s="7">
        <v>0.82034829987515545</v>
      </c>
      <c r="B597"/>
      <c r="C597"/>
      <c r="D597"/>
      <c r="E597"/>
      <c r="AR597" s="27" t="s">
        <v>7</v>
      </c>
      <c r="AS597" s="27" t="s">
        <v>8</v>
      </c>
    </row>
    <row r="598" spans="1:70" x14ac:dyDescent="0.25">
      <c r="A598" s="7">
        <v>0.80426303909328967</v>
      </c>
      <c r="B598"/>
      <c r="C598"/>
      <c r="D598"/>
      <c r="E598"/>
      <c r="AR598" s="27" t="s">
        <v>7</v>
      </c>
    </row>
    <row r="599" spans="1:70" x14ac:dyDescent="0.25">
      <c r="A599" s="7">
        <v>0.78849317558165644</v>
      </c>
      <c r="B599"/>
      <c r="C599"/>
      <c r="D599"/>
      <c r="E599"/>
    </row>
    <row r="600" spans="1:70" x14ac:dyDescent="0.25">
      <c r="A600" s="7">
        <v>0.77303252508005538</v>
      </c>
      <c r="B600"/>
      <c r="C600"/>
      <c r="D600"/>
      <c r="E600"/>
    </row>
    <row r="601" spans="1:70" x14ac:dyDescent="0.25">
      <c r="A601" s="7">
        <v>0.75787502458828959</v>
      </c>
      <c r="B601"/>
      <c r="C601"/>
      <c r="D601"/>
      <c r="E601"/>
    </row>
    <row r="602" spans="1:70" x14ac:dyDescent="0.25">
      <c r="A602" s="7">
        <v>0.74301472998851925</v>
      </c>
      <c r="B602"/>
      <c r="C602"/>
      <c r="D602"/>
      <c r="E602"/>
    </row>
    <row r="603" spans="1:70" x14ac:dyDescent="0.25">
      <c r="A603" s="7">
        <v>0.72844581371423456</v>
      </c>
      <c r="B603"/>
      <c r="C603"/>
      <c r="D603"/>
      <c r="E603"/>
    </row>
    <row r="604" spans="1:70" x14ac:dyDescent="0.25">
      <c r="A604" s="7">
        <v>0.71416256246493581</v>
      </c>
      <c r="B604"/>
      <c r="C604"/>
      <c r="D604"/>
      <c r="E604"/>
    </row>
    <row r="605" spans="1:70" x14ac:dyDescent="0.25">
      <c r="A605" s="7">
        <v>0.7001593749656233</v>
      </c>
      <c r="B605"/>
      <c r="C605"/>
      <c r="D605"/>
      <c r="E605"/>
    </row>
    <row r="606" spans="1:70" x14ac:dyDescent="0.25">
      <c r="A606" s="7">
        <v>0.68643075977021883</v>
      </c>
      <c r="B606"/>
      <c r="C606"/>
      <c r="D606"/>
      <c r="E606"/>
    </row>
    <row r="607" spans="1:70" x14ac:dyDescent="0.25">
      <c r="A607" s="7">
        <v>0.67297133310805768</v>
      </c>
      <c r="B607"/>
      <c r="C607"/>
      <c r="D607"/>
      <c r="E607"/>
    </row>
    <row r="608" spans="1:70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40" operator="equal">
      <formula>$U$1</formula>
    </cfRule>
    <cfRule type="cellIs" dxfId="89" priority="941" operator="equal">
      <formula>$S$1</formula>
    </cfRule>
  </conditionalFormatting>
  <conditionalFormatting sqref="D27">
    <cfRule type="cellIs" dxfId="88" priority="938" operator="equal">
      <formula>$S$1</formula>
    </cfRule>
    <cfRule type="cellIs" dxfId="87" priority="939" operator="equal">
      <formula>$U$1</formula>
    </cfRule>
  </conditionalFormatting>
  <conditionalFormatting sqref="C164">
    <cfRule type="cellIs" dxfId="86" priority="936" operator="equal">
      <formula>$U$1</formula>
    </cfRule>
    <cfRule type="cellIs" dxfId="85" priority="937" operator="equal">
      <formula>$S$1</formula>
    </cfRule>
  </conditionalFormatting>
  <conditionalFormatting sqref="D164">
    <cfRule type="cellIs" dxfId="84" priority="934" operator="equal">
      <formula>$S$1</formula>
    </cfRule>
    <cfRule type="cellIs" dxfId="83" priority="935" operator="equal">
      <formula>$U$1</formula>
    </cfRule>
  </conditionalFormatting>
  <conditionalFormatting sqref="C55">
    <cfRule type="cellIs" dxfId="82" priority="932" operator="equal">
      <formula>$U$1</formula>
    </cfRule>
    <cfRule type="cellIs" dxfId="81" priority="933" operator="equal">
      <formula>$S$1</formula>
    </cfRule>
  </conditionalFormatting>
  <conditionalFormatting sqref="D55">
    <cfRule type="cellIs" dxfId="80" priority="930" operator="equal">
      <formula>$S$1</formula>
    </cfRule>
    <cfRule type="cellIs" dxfId="79" priority="931" operator="equal">
      <formula>$U$1</formula>
    </cfRule>
  </conditionalFormatting>
  <conditionalFormatting sqref="C89">
    <cfRule type="cellIs" dxfId="78" priority="928" operator="equal">
      <formula>$U$1</formula>
    </cfRule>
    <cfRule type="cellIs" dxfId="77" priority="929" operator="equal">
      <formula>$S$1</formula>
    </cfRule>
  </conditionalFormatting>
  <conditionalFormatting sqref="D89">
    <cfRule type="cellIs" dxfId="76" priority="926" operator="equal">
      <formula>$S$1</formula>
    </cfRule>
    <cfRule type="cellIs" dxfId="75" priority="927" operator="equal">
      <formula>$U$1</formula>
    </cfRule>
  </conditionalFormatting>
  <conditionalFormatting sqref="C136">
    <cfRule type="cellIs" dxfId="74" priority="924" operator="equal">
      <formula>$U$1</formula>
    </cfRule>
    <cfRule type="cellIs" dxfId="73" priority="925" operator="equal">
      <formula>$S$1</formula>
    </cfRule>
  </conditionalFormatting>
  <conditionalFormatting sqref="D136">
    <cfRule type="cellIs" dxfId="72" priority="922" operator="equal">
      <formula>$S$1</formula>
    </cfRule>
    <cfRule type="cellIs" dxfId="71" priority="923" operator="equal">
      <formula>$U$1</formula>
    </cfRule>
  </conditionalFormatting>
  <conditionalFormatting sqref="C1">
    <cfRule type="cellIs" dxfId="70" priority="9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89" zoomScale="90" zoomScaleNormal="90" workbookViewId="0">
      <pane xSplit="4" topLeftCell="BV1" activePane="topRight" state="frozen"/>
      <selection activeCell="A109" sqref="A109"/>
      <selection pane="topRight" activeCell="EL226" sqref="EL22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$A$225</v>
      </c>
      <c r="D111" s="1" t="str">
        <f>ADDRESS(C121-1,D121,1,1)</f>
        <v>$EL$225</v>
      </c>
      <c r="E111"/>
    </row>
    <row r="112" spans="1:5" x14ac:dyDescent="0.25">
      <c r="A112" s="30">
        <v>515.50191262726139</v>
      </c>
      <c r="C112" s="1" t="str">
        <f>ADDRESS(C121,1,1,1)</f>
        <v>$A$226</v>
      </c>
      <c r="D112" s="1" t="str">
        <f>ADDRESS(C121,D121-1,1,1)</f>
        <v>$EK$226</v>
      </c>
      <c r="E112"/>
    </row>
    <row r="113" spans="1:5" x14ac:dyDescent="0.25">
      <c r="A113" s="30">
        <v>490.95420250215363</v>
      </c>
      <c r="C113" s="1" t="str">
        <f>ADDRESS(C121+1,1,1,1)</f>
        <v>$A$227</v>
      </c>
      <c r="D113" s="1" t="str">
        <f>ADDRESS(C121-1,D121+1,1,1)</f>
        <v>$EM$225</v>
      </c>
    </row>
    <row r="114" spans="1:5" x14ac:dyDescent="0.25">
      <c r="A114" s="30">
        <v>467.57543095443202</v>
      </c>
      <c r="C114" s="1" t="str">
        <f>ADDRESS(C121,D121,1,1)</f>
        <v>$EL$226</v>
      </c>
      <c r="D114" s="1" t="str">
        <f>ADDRESS(C121+1,D121+1,1,1)</f>
        <v>$EM$227</v>
      </c>
    </row>
    <row r="115" spans="1:5" x14ac:dyDescent="0.25">
      <c r="A115" s="30">
        <v>445.30993424231622</v>
      </c>
      <c r="C115" s="1" t="str">
        <f>ADDRESS(C121+1,D121,1,1)</f>
        <v>$EL$227</v>
      </c>
    </row>
    <row r="116" spans="1:5" x14ac:dyDescent="0.25">
      <c r="A116" s="30">
        <v>424.10469927839637</v>
      </c>
      <c r="C116" s="1">
        <f>C117-1</f>
        <v>225</v>
      </c>
    </row>
    <row r="117" spans="1:5" x14ac:dyDescent="0.25">
      <c r="A117" s="30">
        <v>403.9092374079965</v>
      </c>
      <c r="C117" s="1">
        <f>C121</f>
        <v>226</v>
      </c>
      <c r="D117" s="1">
        <f>D121</f>
        <v>142</v>
      </c>
    </row>
    <row r="118" spans="1:5" x14ac:dyDescent="0.25">
      <c r="A118" s="30">
        <v>384.6754641980919</v>
      </c>
      <c r="C118" s="1">
        <f>C117+1</f>
        <v>227</v>
      </c>
      <c r="D118" s="1">
        <f>D117+1</f>
        <v>143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226</v>
      </c>
      <c r="D121" s="19">
        <v>142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R226</v>
      </c>
      <c r="D123" s="1" t="str">
        <f>"C"&amp;D121</f>
        <v>C142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1.9799315994393987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120" x14ac:dyDescent="0.25">
      <c r="A177" s="30">
        <v>21.623492570684135</v>
      </c>
      <c r="E177"/>
    </row>
    <row r="178" spans="1:120" x14ac:dyDescent="0.25">
      <c r="A178" s="30">
        <v>20.593802448270605</v>
      </c>
      <c r="C178" s="7"/>
      <c r="D178"/>
      <c r="E178"/>
    </row>
    <row r="179" spans="1:120" x14ac:dyDescent="0.25">
      <c r="A179" s="30">
        <v>19.613145188829147</v>
      </c>
      <c r="E179"/>
    </row>
    <row r="180" spans="1:120" x14ac:dyDescent="0.25">
      <c r="A180" s="30">
        <v>18.679185894122998</v>
      </c>
      <c r="E180"/>
    </row>
    <row r="181" spans="1:120" x14ac:dyDescent="0.25">
      <c r="A181" s="30">
        <v>17.78970085154571</v>
      </c>
      <c r="C181"/>
      <c r="D181"/>
      <c r="E181"/>
    </row>
    <row r="182" spans="1:120" x14ac:dyDescent="0.25">
      <c r="A182" s="30">
        <v>16.942572239567344</v>
      </c>
      <c r="E182"/>
    </row>
    <row r="183" spans="1:120" x14ac:dyDescent="0.25">
      <c r="A183" s="30">
        <v>16.135783085302233</v>
      </c>
      <c r="E183"/>
    </row>
    <row r="184" spans="1:120" x14ac:dyDescent="0.25">
      <c r="A184" s="30">
        <v>15.367412462192602</v>
      </c>
      <c r="E184"/>
    </row>
    <row r="185" spans="1:120" x14ac:dyDescent="0.25">
      <c r="A185" s="30">
        <v>14.635630916373906</v>
      </c>
      <c r="C185"/>
      <c r="E185"/>
    </row>
    <row r="186" spans="1:120" x14ac:dyDescent="0.25">
      <c r="A186" s="30">
        <v>13.938696110832291</v>
      </c>
      <c r="E186"/>
    </row>
    <row r="187" spans="1:120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DM187" s="27" t="s">
        <v>8</v>
      </c>
    </row>
    <row r="188" spans="1:120" x14ac:dyDescent="0.25">
      <c r="A188" s="30">
        <v>12.64280826379346</v>
      </c>
      <c r="E188"/>
      <c r="CA188" s="27" t="s">
        <v>8</v>
      </c>
      <c r="DM188" s="27" t="s">
        <v>8</v>
      </c>
      <c r="DN188" s="27" t="s">
        <v>7</v>
      </c>
    </row>
    <row r="189" spans="1:120" x14ac:dyDescent="0.25">
      <c r="A189" s="30">
        <v>12.04076977504139</v>
      </c>
      <c r="E189"/>
      <c r="CA189" s="27" t="s">
        <v>8</v>
      </c>
      <c r="CB189" s="27" t="s">
        <v>7</v>
      </c>
      <c r="DK189" s="27" t="s">
        <v>8</v>
      </c>
      <c r="DM189" s="27" t="s">
        <v>8</v>
      </c>
      <c r="DN189" s="27" t="s">
        <v>7</v>
      </c>
    </row>
    <row r="190" spans="1:120" x14ac:dyDescent="0.25">
      <c r="A190" s="30">
        <v>11.467399785753704</v>
      </c>
      <c r="E190"/>
      <c r="BY190" s="27" t="s">
        <v>8</v>
      </c>
      <c r="CA190" s="27" t="s">
        <v>8</v>
      </c>
      <c r="CB190" s="27" t="s">
        <v>7</v>
      </c>
      <c r="DK190" s="27" t="s">
        <v>8</v>
      </c>
      <c r="DL190" s="27" t="s">
        <v>7</v>
      </c>
      <c r="DM190" s="27" t="s">
        <v>8</v>
      </c>
      <c r="DN190" s="27" t="s">
        <v>7</v>
      </c>
    </row>
    <row r="191" spans="1:120" x14ac:dyDescent="0.25">
      <c r="A191" s="30">
        <v>10.921333129289241</v>
      </c>
      <c r="E191"/>
      <c r="BY191" s="27" t="s">
        <v>8</v>
      </c>
      <c r="BZ191" s="27" t="s">
        <v>7</v>
      </c>
      <c r="CA191" s="27" t="s">
        <v>8</v>
      </c>
      <c r="CB191" s="27" t="s">
        <v>7</v>
      </c>
      <c r="CE191" s="31" t="s">
        <v>8</v>
      </c>
      <c r="DK191" s="27" t="s">
        <v>8</v>
      </c>
      <c r="DL191" s="27" t="s">
        <v>7</v>
      </c>
      <c r="DM191" s="27" t="s">
        <v>8</v>
      </c>
      <c r="DN191" s="27" t="s">
        <v>7</v>
      </c>
      <c r="DO191" s="27" t="s">
        <v>8</v>
      </c>
    </row>
    <row r="192" spans="1:120" x14ac:dyDescent="0.25">
      <c r="A192" s="30">
        <v>10.401269646942135</v>
      </c>
      <c r="E192"/>
      <c r="BY192" s="27" t="s">
        <v>8</v>
      </c>
      <c r="BZ192" s="27" t="s">
        <v>7</v>
      </c>
      <c r="CA192" s="27" t="s">
        <v>8</v>
      </c>
      <c r="CB192" s="27" t="s">
        <v>7</v>
      </c>
      <c r="CE192" s="27" t="s">
        <v>8</v>
      </c>
      <c r="CF192" s="31" t="s">
        <v>7</v>
      </c>
      <c r="DK192" s="27" t="s">
        <v>8</v>
      </c>
      <c r="DL192" s="27" t="s">
        <v>7</v>
      </c>
      <c r="DM192" s="27" t="s">
        <v>8</v>
      </c>
      <c r="DN192" s="27" t="s">
        <v>7</v>
      </c>
      <c r="DO192" s="27" t="s">
        <v>8</v>
      </c>
      <c r="DP192" s="27" t="s">
        <v>7</v>
      </c>
    </row>
    <row r="193" spans="1:134" x14ac:dyDescent="0.25">
      <c r="A193" s="30">
        <v>9.9059710923258422</v>
      </c>
      <c r="E193"/>
      <c r="BY193" s="27" t="s">
        <v>8</v>
      </c>
      <c r="BZ193" s="27" t="s">
        <v>7</v>
      </c>
      <c r="CA193" s="27" t="s">
        <v>8</v>
      </c>
      <c r="CB193" s="27" t="s">
        <v>7</v>
      </c>
      <c r="CE193" s="27" t="s">
        <v>8</v>
      </c>
      <c r="CF193" s="27" t="s">
        <v>7</v>
      </c>
      <c r="CG193" s="31"/>
      <c r="DG193" s="27" t="s">
        <v>8</v>
      </c>
      <c r="DK193" s="27" t="s">
        <v>8</v>
      </c>
      <c r="DL193" s="27" t="s">
        <v>7</v>
      </c>
      <c r="DN193" s="27" t="s">
        <v>7</v>
      </c>
      <c r="DO193" s="27" t="s">
        <v>8</v>
      </c>
      <c r="DP193" s="27" t="s">
        <v>7</v>
      </c>
    </row>
    <row r="194" spans="1:134" x14ac:dyDescent="0.25">
      <c r="A194" s="30">
        <v>9.4342581831674686</v>
      </c>
      <c r="E194"/>
      <c r="BY194" s="27" t="s">
        <v>8</v>
      </c>
      <c r="BZ194" s="27" t="s">
        <v>7</v>
      </c>
      <c r="CA194" s="27" t="s">
        <v>8</v>
      </c>
      <c r="CB194" s="27" t="s">
        <v>7</v>
      </c>
      <c r="CC194" s="27" t="s">
        <v>8</v>
      </c>
      <c r="CE194" s="27" t="s">
        <v>8</v>
      </c>
      <c r="CF194" s="27" t="s">
        <v>7</v>
      </c>
      <c r="CH194" s="31"/>
      <c r="DG194" s="27" t="s">
        <v>8</v>
      </c>
      <c r="DH194" s="27" t="s">
        <v>7</v>
      </c>
      <c r="DI194" s="27" t="s">
        <v>8</v>
      </c>
      <c r="DK194" s="27" t="s">
        <v>8</v>
      </c>
      <c r="DN194" s="27" t="s">
        <v>7</v>
      </c>
      <c r="DP194" s="27" t="s">
        <v>7</v>
      </c>
    </row>
    <row r="195" spans="1:134" x14ac:dyDescent="0.25">
      <c r="A195" s="30">
        <v>8.9850077934928265</v>
      </c>
      <c r="E195"/>
      <c r="BY195" s="27" t="s">
        <v>8</v>
      </c>
      <c r="BZ195" s="27" t="s">
        <v>7</v>
      </c>
      <c r="CA195" s="27" t="s">
        <v>8</v>
      </c>
      <c r="CB195" s="27" t="s">
        <v>7</v>
      </c>
      <c r="CC195" s="27" t="s">
        <v>8</v>
      </c>
      <c r="CD195" s="27" t="s">
        <v>7</v>
      </c>
      <c r="CE195" s="27" t="s">
        <v>8</v>
      </c>
      <c r="CF195" s="27" t="s">
        <v>7</v>
      </c>
      <c r="CI195" s="31"/>
      <c r="DG195" s="27" t="s">
        <v>8</v>
      </c>
      <c r="DH195" s="27" t="s">
        <v>7</v>
      </c>
      <c r="DI195" s="27" t="s">
        <v>8</v>
      </c>
      <c r="DJ195" s="27" t="s">
        <v>7</v>
      </c>
      <c r="DK195" s="27" t="s">
        <v>8</v>
      </c>
      <c r="DP195" s="27" t="s">
        <v>7</v>
      </c>
      <c r="DU195" s="27" t="s">
        <v>8</v>
      </c>
    </row>
    <row r="196" spans="1:134" x14ac:dyDescent="0.25">
      <c r="A196" s="30">
        <v>8.5571502795169767</v>
      </c>
      <c r="E196"/>
      <c r="BY196" s="27" t="s">
        <v>8</v>
      </c>
      <c r="BZ196" s="27" t="s">
        <v>7</v>
      </c>
      <c r="CB196" s="27" t="s">
        <v>7</v>
      </c>
      <c r="CC196" s="27" t="s">
        <v>8</v>
      </c>
      <c r="CD196" s="27" t="s">
        <v>7</v>
      </c>
      <c r="CE196" s="27" t="s">
        <v>8</v>
      </c>
      <c r="CF196" s="27" t="s">
        <v>7</v>
      </c>
      <c r="CJ196" s="31"/>
      <c r="DE196" s="27" t="s">
        <v>8</v>
      </c>
      <c r="DG196" s="27" t="s">
        <v>8</v>
      </c>
      <c r="DH196" s="27" t="s">
        <v>7</v>
      </c>
      <c r="DI196" s="27" t="s">
        <v>8</v>
      </c>
      <c r="DJ196" s="27" t="s">
        <v>7</v>
      </c>
      <c r="DK196" s="27" t="s">
        <v>8</v>
      </c>
      <c r="DP196" s="27" t="s">
        <v>7</v>
      </c>
      <c r="DQ196" s="27" t="s">
        <v>8</v>
      </c>
      <c r="DU196" s="27" t="s">
        <v>8</v>
      </c>
      <c r="DV196" s="27" t="s">
        <v>7</v>
      </c>
      <c r="EA196" s="27" t="s">
        <v>8</v>
      </c>
    </row>
    <row r="197" spans="1:134" x14ac:dyDescent="0.25">
      <c r="A197" s="30">
        <v>8.1496669328733109</v>
      </c>
      <c r="E197"/>
      <c r="BQ197" s="27" t="s">
        <v>8</v>
      </c>
      <c r="BY197" s="27" t="s">
        <v>8</v>
      </c>
      <c r="CB197" s="27" t="s">
        <v>7</v>
      </c>
      <c r="CC197" s="27" t="s">
        <v>8</v>
      </c>
      <c r="CD197" s="27" t="s">
        <v>7</v>
      </c>
      <c r="CF197" s="27" t="s">
        <v>7</v>
      </c>
      <c r="CK197" s="31"/>
      <c r="DE197" s="27" t="s">
        <v>8</v>
      </c>
      <c r="DF197" s="27" t="s">
        <v>7</v>
      </c>
      <c r="DG197" s="27" t="s">
        <v>8</v>
      </c>
      <c r="DH197" s="27" t="s">
        <v>7</v>
      </c>
      <c r="DJ197" s="27" t="s">
        <v>7</v>
      </c>
      <c r="DK197" s="27" t="s">
        <v>8</v>
      </c>
      <c r="DP197" s="27" t="s">
        <v>7</v>
      </c>
      <c r="DQ197" s="27" t="s">
        <v>8</v>
      </c>
      <c r="DR197" s="27" t="s">
        <v>7</v>
      </c>
      <c r="DS197" s="27" t="s">
        <v>8</v>
      </c>
      <c r="DU197" s="27" t="s">
        <v>8</v>
      </c>
      <c r="DV197" s="27" t="s">
        <v>7</v>
      </c>
      <c r="DW197" s="27" t="s">
        <v>8</v>
      </c>
      <c r="DY197" s="27" t="s">
        <v>8</v>
      </c>
      <c r="EA197" s="27" t="s">
        <v>8</v>
      </c>
      <c r="EB197" s="27" t="s">
        <v>7</v>
      </c>
    </row>
    <row r="198" spans="1:134" x14ac:dyDescent="0.25">
      <c r="A198" s="30">
        <v>7.7615875551174378</v>
      </c>
      <c r="E198"/>
      <c r="BQ198" s="27" t="s">
        <v>8</v>
      </c>
      <c r="BR198" s="27" t="s">
        <v>7</v>
      </c>
      <c r="BY198" s="27" t="s">
        <v>8</v>
      </c>
      <c r="CB198" s="27" t="s">
        <v>7</v>
      </c>
      <c r="CF198" s="27" t="s">
        <v>7</v>
      </c>
      <c r="CL198" s="31"/>
      <c r="DE198" s="27" t="s">
        <v>8</v>
      </c>
      <c r="DF198" s="27" t="s">
        <v>7</v>
      </c>
      <c r="DG198" s="27" t="s">
        <v>8</v>
      </c>
      <c r="DJ198" s="27" t="s">
        <v>7</v>
      </c>
      <c r="DK198" s="27" t="s">
        <v>8</v>
      </c>
      <c r="DP198" s="27" t="s">
        <v>7</v>
      </c>
      <c r="DQ198" s="27" t="s">
        <v>8</v>
      </c>
      <c r="DR198" s="27" t="s">
        <v>7</v>
      </c>
      <c r="DS198" s="27" t="s">
        <v>8</v>
      </c>
      <c r="DT198" s="27" t="s">
        <v>7</v>
      </c>
      <c r="DU198" s="27" t="s">
        <v>8</v>
      </c>
      <c r="DV198" s="27" t="s">
        <v>7</v>
      </c>
      <c r="DW198" s="27" t="s">
        <v>8</v>
      </c>
      <c r="DX198" s="27" t="s">
        <v>7</v>
      </c>
      <c r="DY198" s="27" t="s">
        <v>8</v>
      </c>
      <c r="DZ198" s="27" t="s">
        <v>7</v>
      </c>
      <c r="EA198" s="27" t="s">
        <v>8</v>
      </c>
      <c r="EB198" s="27" t="s">
        <v>7</v>
      </c>
    </row>
    <row r="199" spans="1:134" x14ac:dyDescent="0.25">
      <c r="A199" s="30">
        <v>7.3919881477308929</v>
      </c>
      <c r="E199"/>
      <c r="BG199" s="27" t="s">
        <v>8</v>
      </c>
      <c r="BQ199" s="27" t="s">
        <v>8</v>
      </c>
      <c r="BR199" s="27" t="s">
        <v>7</v>
      </c>
      <c r="BS199" s="27" t="s">
        <v>8</v>
      </c>
      <c r="BW199" s="27" t="s">
        <v>8</v>
      </c>
      <c r="BY199" s="27" t="s">
        <v>8</v>
      </c>
      <c r="CF199" s="27" t="s">
        <v>7</v>
      </c>
      <c r="CM199" s="31"/>
      <c r="DC199" s="27" t="s">
        <v>8</v>
      </c>
      <c r="DE199" s="27" t="s">
        <v>8</v>
      </c>
      <c r="DF199" s="27" t="s">
        <v>7</v>
      </c>
      <c r="DG199" s="27" t="s">
        <v>8</v>
      </c>
      <c r="DJ199" s="27" t="s">
        <v>7</v>
      </c>
      <c r="DK199" s="27" t="s">
        <v>8</v>
      </c>
      <c r="DP199" s="27" t="s">
        <v>7</v>
      </c>
      <c r="DQ199" s="27" t="s">
        <v>8</v>
      </c>
      <c r="DR199" s="27" t="s">
        <v>7</v>
      </c>
      <c r="DS199" s="27" t="s">
        <v>8</v>
      </c>
      <c r="DT199" s="27" t="s">
        <v>7</v>
      </c>
      <c r="DU199" s="27" t="s">
        <v>8</v>
      </c>
      <c r="DV199" s="27" t="s">
        <v>7</v>
      </c>
      <c r="DW199" s="27" t="s">
        <v>8</v>
      </c>
      <c r="DX199" s="27" t="s">
        <v>7</v>
      </c>
      <c r="DY199" s="27" t="s">
        <v>8</v>
      </c>
      <c r="DZ199" s="27" t="s">
        <v>7</v>
      </c>
      <c r="EA199" s="27" t="s">
        <v>8</v>
      </c>
      <c r="EB199" s="27" t="s">
        <v>7</v>
      </c>
    </row>
    <row r="200" spans="1:134" x14ac:dyDescent="0.25">
      <c r="A200" s="30">
        <v>7.0399887121246598</v>
      </c>
      <c r="E200"/>
      <c r="BG200" s="27" t="s">
        <v>8</v>
      </c>
      <c r="BH200" s="27" t="s">
        <v>7</v>
      </c>
      <c r="BQ200" s="27" t="s">
        <v>8</v>
      </c>
      <c r="BR200" s="27" t="s">
        <v>7</v>
      </c>
      <c r="BS200" s="27" t="s">
        <v>8</v>
      </c>
      <c r="BT200" s="27" t="s">
        <v>7</v>
      </c>
      <c r="BW200" s="27" t="s">
        <v>8</v>
      </c>
      <c r="BX200" s="27" t="s">
        <v>7</v>
      </c>
      <c r="BY200" s="27" t="s">
        <v>8</v>
      </c>
      <c r="CF200" s="27" t="s">
        <v>7</v>
      </c>
      <c r="CN200" s="31"/>
      <c r="DC200" s="27" t="s">
        <v>8</v>
      </c>
      <c r="DD200" s="27" t="s">
        <v>7</v>
      </c>
      <c r="DE200" s="27" t="s">
        <v>8</v>
      </c>
      <c r="DF200" s="27" t="s">
        <v>7</v>
      </c>
      <c r="DG200" s="27" t="s">
        <v>8</v>
      </c>
      <c r="DJ200" s="27" t="s">
        <v>7</v>
      </c>
      <c r="DP200" s="27" t="s">
        <v>7</v>
      </c>
      <c r="DR200" s="27" t="s">
        <v>7</v>
      </c>
      <c r="DT200" s="27" t="s">
        <v>7</v>
      </c>
      <c r="DV200" s="27" t="s">
        <v>7</v>
      </c>
      <c r="DX200" s="27" t="s">
        <v>7</v>
      </c>
      <c r="DZ200" s="27" t="s">
        <v>7</v>
      </c>
      <c r="EA200" s="27" t="s">
        <v>8</v>
      </c>
      <c r="EB200" s="27" t="s">
        <v>7</v>
      </c>
    </row>
    <row r="201" spans="1:134" x14ac:dyDescent="0.25">
      <c r="A201" s="30">
        <v>6.7047511544044376</v>
      </c>
      <c r="E201"/>
      <c r="BG201" s="27" t="s">
        <v>8</v>
      </c>
      <c r="BH201" s="27" t="s">
        <v>7</v>
      </c>
      <c r="BM201" s="27" t="s">
        <v>8</v>
      </c>
      <c r="BO201" s="27" t="s">
        <v>8</v>
      </c>
      <c r="BQ201" s="27" t="s">
        <v>8</v>
      </c>
      <c r="BR201" s="27" t="s">
        <v>7</v>
      </c>
      <c r="BS201" s="27" t="s">
        <v>8</v>
      </c>
      <c r="BT201" s="27" t="s">
        <v>7</v>
      </c>
      <c r="BW201" s="27" t="s">
        <v>8</v>
      </c>
      <c r="BX201" s="27" t="s">
        <v>7</v>
      </c>
      <c r="BY201" s="27" t="s">
        <v>8</v>
      </c>
      <c r="CF201" s="27" t="s">
        <v>7</v>
      </c>
      <c r="CG201" s="27" t="s">
        <v>8</v>
      </c>
      <c r="CO201" s="31"/>
      <c r="DC201" s="27" t="s">
        <v>8</v>
      </c>
      <c r="DD201" s="27" t="s">
        <v>7</v>
      </c>
      <c r="DE201" s="27" t="s">
        <v>8</v>
      </c>
      <c r="DF201" s="27" t="s">
        <v>7</v>
      </c>
      <c r="DG201" s="27" t="s">
        <v>8</v>
      </c>
      <c r="DZ201" s="27" t="s">
        <v>7</v>
      </c>
      <c r="EB201" s="27" t="s">
        <v>7</v>
      </c>
    </row>
    <row r="202" spans="1:134" x14ac:dyDescent="0.25">
      <c r="A202" s="30">
        <v>6.3854772899089882</v>
      </c>
      <c r="E202"/>
      <c r="BG202" s="27" t="s">
        <v>8</v>
      </c>
      <c r="BH202" s="27" t="s">
        <v>7</v>
      </c>
      <c r="BK202" s="27" t="s">
        <v>8</v>
      </c>
      <c r="BM202" s="27" t="s">
        <v>8</v>
      </c>
      <c r="BN202" s="27" t="s">
        <v>7</v>
      </c>
      <c r="BO202" s="27" t="s">
        <v>8</v>
      </c>
      <c r="BP202" s="27" t="s">
        <v>7</v>
      </c>
      <c r="BQ202" s="27" t="s">
        <v>8</v>
      </c>
      <c r="BR202" s="27" t="s">
        <v>7</v>
      </c>
      <c r="BT202" s="27" t="s">
        <v>7</v>
      </c>
      <c r="BU202" s="27" t="s">
        <v>8</v>
      </c>
      <c r="BW202" s="27" t="s">
        <v>8</v>
      </c>
      <c r="BX202" s="27" t="s">
        <v>7</v>
      </c>
      <c r="BY202" s="27" t="s">
        <v>8</v>
      </c>
      <c r="CF202" s="27" t="s">
        <v>7</v>
      </c>
      <c r="CG202" s="27" t="s">
        <v>8</v>
      </c>
      <c r="CH202" s="27" t="s">
        <v>7</v>
      </c>
      <c r="CP202" s="31"/>
      <c r="DC202" s="27" t="s">
        <v>8</v>
      </c>
      <c r="DD202" s="27" t="s">
        <v>7</v>
      </c>
      <c r="DE202" s="27" t="s">
        <v>8</v>
      </c>
      <c r="DF202" s="27" t="s">
        <v>7</v>
      </c>
      <c r="EB202" s="27" t="s">
        <v>7</v>
      </c>
    </row>
    <row r="203" spans="1:134" x14ac:dyDescent="0.25">
      <c r="A203" s="30">
        <v>6.0814069427704647</v>
      </c>
      <c r="C203" s="7"/>
      <c r="D203"/>
      <c r="E203"/>
      <c r="BG203" s="27" t="s">
        <v>8</v>
      </c>
      <c r="BH203" s="27" t="s">
        <v>7</v>
      </c>
      <c r="BK203" s="27" t="s">
        <v>8</v>
      </c>
      <c r="BL203" s="27" t="s">
        <v>7</v>
      </c>
      <c r="BM203" s="27" t="s">
        <v>8</v>
      </c>
      <c r="BN203" s="27" t="s">
        <v>7</v>
      </c>
      <c r="BO203" s="27" t="s">
        <v>8</v>
      </c>
      <c r="BP203" s="27" t="s">
        <v>7</v>
      </c>
      <c r="BQ203" s="27" t="s">
        <v>8</v>
      </c>
      <c r="BT203" s="27" t="s">
        <v>7</v>
      </c>
      <c r="BU203" s="27" t="s">
        <v>8</v>
      </c>
      <c r="BV203" s="27" t="s">
        <v>7</v>
      </c>
      <c r="BW203" s="27" t="s">
        <v>8</v>
      </c>
      <c r="BX203" s="27" t="s">
        <v>7</v>
      </c>
      <c r="BY203" s="27" t="s">
        <v>8</v>
      </c>
      <c r="CF203" s="27" t="s">
        <v>7</v>
      </c>
      <c r="CG203" s="27" t="s">
        <v>8</v>
      </c>
      <c r="CH203" s="27" t="s">
        <v>7</v>
      </c>
      <c r="CQ203" s="31"/>
      <c r="DC203" s="27" t="s">
        <v>8</v>
      </c>
      <c r="DD203" s="27" t="s">
        <v>7</v>
      </c>
      <c r="EB203" s="27" t="s">
        <v>7</v>
      </c>
      <c r="EC203" s="27" t="s">
        <v>8</v>
      </c>
    </row>
    <row r="204" spans="1:134" x14ac:dyDescent="0.25">
      <c r="A204" s="30">
        <v>5.7918161359718709</v>
      </c>
      <c r="E204"/>
      <c r="BG204" s="27" t="s">
        <v>8</v>
      </c>
      <c r="BH204" s="27" t="s">
        <v>7</v>
      </c>
      <c r="BI204" s="27" t="s">
        <v>8</v>
      </c>
      <c r="BK204" s="27" t="s">
        <v>8</v>
      </c>
      <c r="BL204" s="27" t="s">
        <v>7</v>
      </c>
      <c r="BM204" s="27" t="s">
        <v>8</v>
      </c>
      <c r="BN204" s="27" t="s">
        <v>7</v>
      </c>
      <c r="BO204" s="27" t="s">
        <v>8</v>
      </c>
      <c r="BP204" s="27" t="s">
        <v>7</v>
      </c>
      <c r="BQ204" s="27" t="s">
        <v>8</v>
      </c>
      <c r="BT204" s="27" t="s">
        <v>7</v>
      </c>
      <c r="BU204" s="27" t="s">
        <v>8</v>
      </c>
      <c r="BV204" s="27" t="s">
        <v>7</v>
      </c>
      <c r="BW204" s="27" t="s">
        <v>8</v>
      </c>
      <c r="BX204" s="27" t="s">
        <v>7</v>
      </c>
      <c r="BY204" s="27" t="s">
        <v>8</v>
      </c>
      <c r="CF204" s="27" t="s">
        <v>7</v>
      </c>
      <c r="CG204" s="27" t="s">
        <v>8</v>
      </c>
      <c r="CH204" s="27" t="s">
        <v>7</v>
      </c>
      <c r="CR204" s="31"/>
      <c r="DC204" s="27" t="s">
        <v>8</v>
      </c>
      <c r="EB204" s="27" t="s">
        <v>7</v>
      </c>
      <c r="EC204" s="27" t="s">
        <v>8</v>
      </c>
      <c r="ED204" s="27" t="s">
        <v>7</v>
      </c>
    </row>
    <row r="205" spans="1:134" x14ac:dyDescent="0.25">
      <c r="A205" s="30">
        <v>5.5160153675922574</v>
      </c>
      <c r="E205"/>
      <c r="BG205" s="27" t="s">
        <v>8</v>
      </c>
      <c r="BH205" s="27" t="s">
        <v>7</v>
      </c>
      <c r="BI205" s="27" t="s">
        <v>8</v>
      </c>
      <c r="BJ205" s="27" t="s">
        <v>7</v>
      </c>
      <c r="BK205" s="27" t="s">
        <v>8</v>
      </c>
      <c r="BL205" s="27" t="s">
        <v>7</v>
      </c>
      <c r="BM205" s="27" t="s">
        <v>8</v>
      </c>
      <c r="BN205" s="27" t="s">
        <v>7</v>
      </c>
      <c r="BO205" s="27" t="s">
        <v>8</v>
      </c>
      <c r="BP205" s="27" t="s">
        <v>7</v>
      </c>
      <c r="BT205" s="27" t="s">
        <v>7</v>
      </c>
      <c r="BU205" s="27" t="s">
        <v>8</v>
      </c>
      <c r="BV205" s="27" t="s">
        <v>7</v>
      </c>
      <c r="BW205" s="27" t="s">
        <v>8</v>
      </c>
      <c r="BX205" s="27" t="s">
        <v>7</v>
      </c>
      <c r="BY205" s="27" t="s">
        <v>8</v>
      </c>
      <c r="CF205" s="27" t="s">
        <v>7</v>
      </c>
      <c r="CG205" s="27" t="s">
        <v>8</v>
      </c>
      <c r="CH205" s="27" t="s">
        <v>7</v>
      </c>
      <c r="CK205" s="27" t="s">
        <v>8</v>
      </c>
      <c r="CS205" s="31"/>
      <c r="DC205" s="27" t="s">
        <v>8</v>
      </c>
      <c r="EB205" s="27" t="s">
        <v>7</v>
      </c>
      <c r="EC205" s="27" t="s">
        <v>8</v>
      </c>
      <c r="ED205" s="27" t="s">
        <v>7</v>
      </c>
    </row>
    <row r="206" spans="1:134" x14ac:dyDescent="0.25">
      <c r="A206" s="30">
        <v>5.2533479691354827</v>
      </c>
      <c r="C206"/>
      <c r="D206"/>
      <c r="E206"/>
      <c r="BE206" s="27" t="s">
        <v>8</v>
      </c>
      <c r="BG206" s="27" t="s">
        <v>8</v>
      </c>
      <c r="BH206" s="27" t="s">
        <v>7</v>
      </c>
      <c r="BI206" s="27" t="s">
        <v>8</v>
      </c>
      <c r="BJ206" s="27" t="s">
        <v>7</v>
      </c>
      <c r="BK206" s="27" t="s">
        <v>8</v>
      </c>
      <c r="BL206" s="27" t="s">
        <v>7</v>
      </c>
      <c r="BN206" s="27" t="s">
        <v>7</v>
      </c>
      <c r="BO206" s="27" t="s">
        <v>8</v>
      </c>
      <c r="BT206" s="27" t="s">
        <v>7</v>
      </c>
      <c r="BU206" s="27" t="s">
        <v>8</v>
      </c>
      <c r="BV206" s="27" t="s">
        <v>7</v>
      </c>
      <c r="BX206" s="27" t="s">
        <v>7</v>
      </c>
      <c r="CF206" s="27" t="s">
        <v>7</v>
      </c>
      <c r="CG206" s="27" t="s">
        <v>8</v>
      </c>
      <c r="CH206" s="27" t="s">
        <v>7</v>
      </c>
      <c r="CK206" s="27" t="s">
        <v>8</v>
      </c>
      <c r="CL206" s="27" t="s">
        <v>7</v>
      </c>
      <c r="CM206" s="27" t="s">
        <v>8</v>
      </c>
      <c r="CO206" s="27" t="s">
        <v>8</v>
      </c>
      <c r="CT206" s="31"/>
      <c r="DC206" s="27" t="s">
        <v>8</v>
      </c>
      <c r="EB206" s="27" t="s">
        <v>7</v>
      </c>
      <c r="EC206" s="27" t="s">
        <v>8</v>
      </c>
      <c r="ED206" s="27" t="s">
        <v>7</v>
      </c>
    </row>
    <row r="207" spans="1:134" x14ac:dyDescent="0.25">
      <c r="A207" s="30">
        <v>5.0031885420337927</v>
      </c>
      <c r="E207"/>
      <c r="BE207" s="27" t="s">
        <v>8</v>
      </c>
      <c r="BF207" s="27" t="s">
        <v>7</v>
      </c>
      <c r="BG207" s="27" t="s">
        <v>8</v>
      </c>
      <c r="BH207" s="27" t="s">
        <v>7</v>
      </c>
      <c r="BI207" s="27" t="s">
        <v>8</v>
      </c>
      <c r="BJ207" s="27" t="s">
        <v>7</v>
      </c>
      <c r="BK207" s="27" t="s">
        <v>8</v>
      </c>
      <c r="BN207" s="27" t="s">
        <v>7</v>
      </c>
      <c r="BO207" s="27" t="s">
        <v>8</v>
      </c>
      <c r="BT207" s="27" t="s">
        <v>7</v>
      </c>
      <c r="CF207" s="27" t="s">
        <v>7</v>
      </c>
      <c r="CG207" s="27" t="s">
        <v>8</v>
      </c>
      <c r="CH207" s="27" t="s">
        <v>7</v>
      </c>
      <c r="CK207" s="27" t="s">
        <v>8</v>
      </c>
      <c r="CL207" s="27" t="s">
        <v>7</v>
      </c>
      <c r="CM207" s="27" t="s">
        <v>8</v>
      </c>
      <c r="CN207" s="27" t="s">
        <v>7</v>
      </c>
      <c r="CO207" s="27" t="s">
        <v>8</v>
      </c>
      <c r="CP207" s="27" t="s">
        <v>7</v>
      </c>
      <c r="CU207" s="31"/>
      <c r="DC207" s="27" t="s">
        <v>8</v>
      </c>
      <c r="EB207" s="27" t="s">
        <v>7</v>
      </c>
      <c r="ED207" s="27" t="s">
        <v>7</v>
      </c>
    </row>
    <row r="208" spans="1:134" x14ac:dyDescent="0.25">
      <c r="A208" s="30">
        <v>4.7649414686036122</v>
      </c>
      <c r="E208"/>
      <c r="BE208" s="27" t="s">
        <v>8</v>
      </c>
      <c r="BF208" s="27" t="s">
        <v>7</v>
      </c>
      <c r="BG208" s="27" t="s">
        <v>8</v>
      </c>
      <c r="BH208" s="27" t="s">
        <v>7</v>
      </c>
      <c r="BI208" s="27" t="s">
        <v>8</v>
      </c>
      <c r="BJ208" s="27" t="s">
        <v>7</v>
      </c>
      <c r="BK208" s="27" t="s">
        <v>8</v>
      </c>
      <c r="BN208" s="27" t="s">
        <v>7</v>
      </c>
      <c r="BO208" s="27" t="s">
        <v>8</v>
      </c>
      <c r="CF208" s="27" t="s">
        <v>7</v>
      </c>
      <c r="CH208" s="27" t="s">
        <v>7</v>
      </c>
      <c r="CI208" s="27" t="s">
        <v>8</v>
      </c>
      <c r="CK208" s="27" t="s">
        <v>8</v>
      </c>
      <c r="CL208" s="27" t="s">
        <v>7</v>
      </c>
      <c r="CM208" s="27" t="s">
        <v>8</v>
      </c>
      <c r="CN208" s="27" t="s">
        <v>7</v>
      </c>
      <c r="CO208" s="27" t="s">
        <v>8</v>
      </c>
      <c r="CP208" s="27" t="s">
        <v>7</v>
      </c>
      <c r="CV208" s="31"/>
      <c r="DC208" s="27" t="s">
        <v>8</v>
      </c>
      <c r="ED208" s="27" t="s">
        <v>7</v>
      </c>
    </row>
    <row r="209" spans="1:142" x14ac:dyDescent="0.25">
      <c r="A209" s="30">
        <v>4.5380394939082018</v>
      </c>
      <c r="E209"/>
      <c r="BE209" s="27" t="s">
        <v>8</v>
      </c>
      <c r="BF209" s="27" t="s">
        <v>7</v>
      </c>
      <c r="BG209" s="27" t="s">
        <v>8</v>
      </c>
      <c r="BH209" s="27" t="s">
        <v>7</v>
      </c>
      <c r="BI209" s="27" t="s">
        <v>8</v>
      </c>
      <c r="BJ209" s="27" t="s">
        <v>7</v>
      </c>
      <c r="BN209" s="27" t="s">
        <v>7</v>
      </c>
      <c r="BO209" s="27" t="s">
        <v>8</v>
      </c>
      <c r="CH209" s="27" t="s">
        <v>7</v>
      </c>
      <c r="CI209" s="27" t="s">
        <v>8</v>
      </c>
      <c r="CJ209" s="27" t="s">
        <v>7</v>
      </c>
      <c r="CK209" s="27" t="s">
        <v>8</v>
      </c>
      <c r="CL209" s="27" t="s">
        <v>7</v>
      </c>
      <c r="CM209" s="27" t="s">
        <v>8</v>
      </c>
      <c r="CN209" s="27" t="s">
        <v>7</v>
      </c>
      <c r="CP209" s="27" t="s">
        <v>7</v>
      </c>
      <c r="CQ209" s="27" t="s">
        <v>8</v>
      </c>
      <c r="CS209" s="27" t="s">
        <v>8</v>
      </c>
      <c r="CW209" s="31"/>
      <c r="DC209" s="27" t="s">
        <v>8</v>
      </c>
      <c r="ED209" s="27" t="s">
        <v>7</v>
      </c>
    </row>
    <row r="210" spans="1:142" x14ac:dyDescent="0.25">
      <c r="A210" s="30">
        <v>4.3219423751506678</v>
      </c>
      <c r="C210"/>
      <c r="E210"/>
      <c r="BA210" s="27" t="s">
        <v>8</v>
      </c>
      <c r="BE210" s="27" t="s">
        <v>8</v>
      </c>
      <c r="BF210" s="27" t="s">
        <v>7</v>
      </c>
      <c r="BG210" s="27" t="s">
        <v>8</v>
      </c>
      <c r="BH210" s="27" t="s">
        <v>7</v>
      </c>
      <c r="BN210" s="27" t="s">
        <v>7</v>
      </c>
      <c r="BO210" s="27" t="s">
        <v>8</v>
      </c>
      <c r="CH210" s="27" t="s">
        <v>7</v>
      </c>
      <c r="CI210" s="27" t="s">
        <v>8</v>
      </c>
      <c r="CJ210" s="27" t="s">
        <v>7</v>
      </c>
      <c r="CK210" s="27" t="s">
        <v>8</v>
      </c>
      <c r="CL210" s="27" t="s">
        <v>7</v>
      </c>
      <c r="CM210" s="27" t="s">
        <v>8</v>
      </c>
      <c r="CP210" s="27" t="s">
        <v>7</v>
      </c>
      <c r="CQ210" s="27" t="s">
        <v>8</v>
      </c>
      <c r="CR210" s="27" t="s">
        <v>7</v>
      </c>
      <c r="CS210" s="27" t="s">
        <v>8</v>
      </c>
      <c r="CT210" s="27" t="s">
        <v>7</v>
      </c>
      <c r="CX210" s="31"/>
      <c r="DC210" s="27" t="s">
        <v>8</v>
      </c>
      <c r="ED210" s="27" t="s">
        <v>7</v>
      </c>
      <c r="EE210" s="27" t="s">
        <v>8</v>
      </c>
    </row>
    <row r="211" spans="1:142" x14ac:dyDescent="0.25">
      <c r="A211" s="30">
        <v>4.1161355953815884</v>
      </c>
      <c r="E211"/>
      <c r="BA211" s="27" t="s">
        <v>8</v>
      </c>
      <c r="BB211" s="27" t="s">
        <v>7</v>
      </c>
      <c r="BE211" s="27" t="s">
        <v>8</v>
      </c>
      <c r="BF211" s="27" t="s">
        <v>7</v>
      </c>
      <c r="BN211" s="27" t="s">
        <v>7</v>
      </c>
      <c r="BO211" s="27" t="s">
        <v>8</v>
      </c>
      <c r="CH211" s="27" t="s">
        <v>7</v>
      </c>
      <c r="CI211" s="27" t="s">
        <v>8</v>
      </c>
      <c r="CJ211" s="27" t="s">
        <v>7</v>
      </c>
      <c r="CL211" s="27" t="s">
        <v>7</v>
      </c>
      <c r="CM211" s="27" t="s">
        <v>8</v>
      </c>
      <c r="CP211" s="27" t="s">
        <v>7</v>
      </c>
      <c r="CQ211" s="27" t="s">
        <v>8</v>
      </c>
      <c r="CR211" s="27" t="s">
        <v>7</v>
      </c>
      <c r="CS211" s="27" t="s">
        <v>8</v>
      </c>
      <c r="CT211" s="27" t="s">
        <v>7</v>
      </c>
      <c r="CY211" s="31"/>
      <c r="DC211" s="27" t="s">
        <v>8</v>
      </c>
      <c r="ED211" s="27" t="s">
        <v>7</v>
      </c>
      <c r="EE211" s="27" t="s">
        <v>8</v>
      </c>
      <c r="EF211" s="27" t="s">
        <v>7</v>
      </c>
      <c r="EG211" s="27" t="s">
        <v>8</v>
      </c>
    </row>
    <row r="212" spans="1:142" x14ac:dyDescent="0.25">
      <c r="A212" s="30">
        <v>3.9201291384586554</v>
      </c>
      <c r="E212"/>
      <c r="BA212" s="27" t="s">
        <v>8</v>
      </c>
      <c r="BB212" s="27" t="s">
        <v>7</v>
      </c>
      <c r="BC212" s="27" t="s">
        <v>8</v>
      </c>
      <c r="BE212" s="27" t="s">
        <v>8</v>
      </c>
      <c r="BN212" s="27" t="s">
        <v>7</v>
      </c>
      <c r="CH212" s="27" t="s">
        <v>7</v>
      </c>
      <c r="CI212" s="27" t="s">
        <v>8</v>
      </c>
      <c r="CL212" s="27" t="s">
        <v>7</v>
      </c>
      <c r="CP212" s="27" t="s">
        <v>7</v>
      </c>
      <c r="CR212" s="27" t="s">
        <v>7</v>
      </c>
      <c r="CS212" s="27" t="s">
        <v>8</v>
      </c>
      <c r="CT212" s="27" t="s">
        <v>7</v>
      </c>
      <c r="CZ212" s="31"/>
      <c r="DC212" s="27" t="s">
        <v>8</v>
      </c>
      <c r="ED212" s="27" t="s">
        <v>7</v>
      </c>
      <c r="EE212" s="27" t="s">
        <v>8</v>
      </c>
      <c r="EF212" s="27" t="s">
        <v>7</v>
      </c>
      <c r="EG212" s="27" t="s">
        <v>8</v>
      </c>
      <c r="EH212" s="27" t="s">
        <v>7</v>
      </c>
      <c r="EI212" s="27" t="s">
        <v>8</v>
      </c>
    </row>
    <row r="213" spans="1:142" x14ac:dyDescent="0.25">
      <c r="A213" s="30">
        <v>3.7334563223415764</v>
      </c>
      <c r="E213"/>
      <c r="I213" s="27" t="s">
        <v>8</v>
      </c>
      <c r="BA213" s="27" t="s">
        <v>8</v>
      </c>
      <c r="BB213" s="27" t="s">
        <v>7</v>
      </c>
      <c r="BC213" s="27" t="s">
        <v>8</v>
      </c>
      <c r="BD213" s="27" t="s">
        <v>7</v>
      </c>
      <c r="BE213" s="27" t="s">
        <v>8</v>
      </c>
      <c r="CH213" s="27" t="s">
        <v>7</v>
      </c>
      <c r="CI213" s="27" t="s">
        <v>8</v>
      </c>
      <c r="CR213" s="27" t="s">
        <v>7</v>
      </c>
      <c r="CS213" s="27" t="s">
        <v>8</v>
      </c>
      <c r="CT213" s="27" t="s">
        <v>7</v>
      </c>
      <c r="CY213" s="27" t="s">
        <v>8</v>
      </c>
      <c r="DA213" s="31"/>
      <c r="DC213" s="27" t="s">
        <v>8</v>
      </c>
      <c r="ED213" s="27" t="s">
        <v>7</v>
      </c>
      <c r="EF213" s="27" t="s">
        <v>7</v>
      </c>
      <c r="EG213" s="27" t="s">
        <v>8</v>
      </c>
      <c r="EH213" s="27" t="s">
        <v>7</v>
      </c>
      <c r="EI213" s="27" t="s">
        <v>8</v>
      </c>
      <c r="EJ213" s="27" t="s">
        <v>7</v>
      </c>
    </row>
    <row r="214" spans="1:142" x14ac:dyDescent="0.25">
      <c r="A214" s="30">
        <v>3.5556726879443583</v>
      </c>
      <c r="E214"/>
      <c r="I214" s="27" t="s">
        <v>8</v>
      </c>
      <c r="J214" s="27" t="s">
        <v>7</v>
      </c>
      <c r="K214" s="27" t="s">
        <v>8</v>
      </c>
      <c r="BA214" s="27" t="s">
        <v>8</v>
      </c>
      <c r="BB214" s="27" t="s">
        <v>7</v>
      </c>
      <c r="BC214" s="27" t="s">
        <v>8</v>
      </c>
      <c r="BD214" s="27" t="s">
        <v>7</v>
      </c>
      <c r="BE214" s="27" t="s">
        <v>8</v>
      </c>
      <c r="CH214" s="27" t="s">
        <v>7</v>
      </c>
      <c r="CI214" s="27" t="s">
        <v>8</v>
      </c>
      <c r="CR214" s="27" t="s">
        <v>7</v>
      </c>
      <c r="CT214" s="27" t="s">
        <v>7</v>
      </c>
      <c r="CW214" s="27" t="s">
        <v>8</v>
      </c>
      <c r="CY214" s="27" t="s">
        <v>8</v>
      </c>
      <c r="CZ214" s="27" t="s">
        <v>7</v>
      </c>
      <c r="DB214" s="31"/>
      <c r="DC214" s="27" t="s">
        <v>8</v>
      </c>
      <c r="EF214" s="27" t="s">
        <v>7</v>
      </c>
      <c r="EG214" s="27" t="s">
        <v>8</v>
      </c>
      <c r="EH214" s="27" t="s">
        <v>7</v>
      </c>
      <c r="EI214" s="27" t="s">
        <v>8</v>
      </c>
      <c r="EJ214" s="27" t="s">
        <v>7</v>
      </c>
    </row>
    <row r="215" spans="1:142" x14ac:dyDescent="0.25">
      <c r="A215" s="30">
        <v>3.3863549408993889</v>
      </c>
      <c r="E215"/>
      <c r="I215" s="27" t="s">
        <v>8</v>
      </c>
      <c r="J215" s="27" t="s">
        <v>7</v>
      </c>
      <c r="K215" s="27" t="s">
        <v>8</v>
      </c>
      <c r="L215" s="27" t="s">
        <v>7</v>
      </c>
      <c r="AY215" s="27" t="s">
        <v>8</v>
      </c>
      <c r="BA215" s="27" t="s">
        <v>8</v>
      </c>
      <c r="BB215" s="27" t="s">
        <v>7</v>
      </c>
      <c r="BD215" s="27" t="s">
        <v>7</v>
      </c>
      <c r="CH215" s="27" t="s">
        <v>7</v>
      </c>
      <c r="CI215" s="27" t="s">
        <v>8</v>
      </c>
      <c r="CT215" s="27" t="s">
        <v>7</v>
      </c>
      <c r="CW215" s="27" t="s">
        <v>8</v>
      </c>
      <c r="CX215" s="27" t="s">
        <v>7</v>
      </c>
      <c r="CY215" s="27" t="s">
        <v>8</v>
      </c>
      <c r="CZ215" s="27" t="s">
        <v>7</v>
      </c>
      <c r="DC215" s="31" t="s">
        <v>8</v>
      </c>
      <c r="EF215" s="27" t="s">
        <v>7</v>
      </c>
      <c r="EG215" s="27" t="s">
        <v>8</v>
      </c>
      <c r="EH215" s="27" t="s">
        <v>7</v>
      </c>
      <c r="EJ215" s="27" t="s">
        <v>7</v>
      </c>
    </row>
    <row r="216" spans="1:142" x14ac:dyDescent="0.25">
      <c r="A216" s="30">
        <v>3.2250999437137038</v>
      </c>
      <c r="E216"/>
      <c r="I216" s="27" t="s">
        <v>8</v>
      </c>
      <c r="J216" s="27" t="s">
        <v>7</v>
      </c>
      <c r="K216" s="27" t="s">
        <v>8</v>
      </c>
      <c r="L216" s="27" t="s">
        <v>7</v>
      </c>
      <c r="AY216" s="27" t="s">
        <v>8</v>
      </c>
      <c r="AZ216" s="27" t="s">
        <v>7</v>
      </c>
      <c r="BA216" s="27" t="s">
        <v>8</v>
      </c>
      <c r="CH216" s="27" t="s">
        <v>7</v>
      </c>
      <c r="CI216" s="27" t="s">
        <v>8</v>
      </c>
      <c r="CT216" s="27" t="s">
        <v>7</v>
      </c>
      <c r="CW216" s="27" t="s">
        <v>8</v>
      </c>
      <c r="CX216" s="27" t="s">
        <v>7</v>
      </c>
      <c r="CY216" s="27" t="s">
        <v>8</v>
      </c>
      <c r="CZ216" s="27" t="s">
        <v>7</v>
      </c>
      <c r="DC216" s="33" t="s">
        <v>8</v>
      </c>
      <c r="EF216" s="27" t="s">
        <v>7</v>
      </c>
      <c r="EJ216" s="27" t="s">
        <v>7</v>
      </c>
      <c r="EK216" s="27" t="s">
        <v>8</v>
      </c>
    </row>
    <row r="217" spans="1:142" x14ac:dyDescent="0.25">
      <c r="A217" s="30">
        <v>3.0715237559178128</v>
      </c>
      <c r="E217"/>
      <c r="I217" s="27" t="s">
        <v>8</v>
      </c>
      <c r="J217" s="27" t="s">
        <v>7</v>
      </c>
      <c r="K217" s="27" t="s">
        <v>8</v>
      </c>
      <c r="L217" s="27" t="s">
        <v>7</v>
      </c>
      <c r="AY217" s="27" t="s">
        <v>8</v>
      </c>
      <c r="AZ217" s="27" t="s">
        <v>7</v>
      </c>
      <c r="BA217" s="27" t="s">
        <v>8</v>
      </c>
      <c r="CH217" s="27" t="s">
        <v>7</v>
      </c>
      <c r="CT217" s="27" t="s">
        <v>7</v>
      </c>
      <c r="CU217" s="27" t="s">
        <v>8</v>
      </c>
      <c r="CW217" s="27" t="s">
        <v>8</v>
      </c>
      <c r="CX217" s="27" t="s">
        <v>7</v>
      </c>
      <c r="CZ217" s="27" t="s">
        <v>7</v>
      </c>
      <c r="DA217" s="27" t="s">
        <v>8</v>
      </c>
      <c r="DC217" s="27" t="s">
        <v>8</v>
      </c>
      <c r="EJ217" s="27" t="s">
        <v>7</v>
      </c>
      <c r="EK217" s="27" t="s">
        <v>8</v>
      </c>
      <c r="EL217" s="27" t="s">
        <v>7</v>
      </c>
    </row>
    <row r="218" spans="1:142" x14ac:dyDescent="0.25">
      <c r="A218" s="30">
        <v>2.9252607199217264</v>
      </c>
      <c r="E218"/>
      <c r="I218" s="27" t="s">
        <v>8</v>
      </c>
      <c r="J218" s="27" t="s">
        <v>7</v>
      </c>
      <c r="K218" s="27" t="s">
        <v>8</v>
      </c>
      <c r="L218" s="27" t="s">
        <v>7</v>
      </c>
      <c r="AY218" s="27" t="s">
        <v>8</v>
      </c>
      <c r="AZ218" s="27" t="s">
        <v>7</v>
      </c>
      <c r="BA218" s="27" t="s">
        <v>8</v>
      </c>
      <c r="CT218" s="27" t="s">
        <v>7</v>
      </c>
      <c r="CU218" s="27" t="s">
        <v>8</v>
      </c>
      <c r="CV218" s="27" t="s">
        <v>7</v>
      </c>
      <c r="CW218" s="27" t="s">
        <v>8</v>
      </c>
      <c r="CZ218" s="32" t="s">
        <v>7</v>
      </c>
      <c r="DA218" s="27" t="s">
        <v>8</v>
      </c>
      <c r="DB218" s="27" t="s">
        <v>7</v>
      </c>
      <c r="DC218" s="27" t="s">
        <v>8</v>
      </c>
      <c r="DF218" s="31"/>
      <c r="EJ218" s="27" t="s">
        <v>7</v>
      </c>
      <c r="EK218" s="27" t="s">
        <v>8</v>
      </c>
      <c r="EL218" s="27" t="s">
        <v>7</v>
      </c>
    </row>
    <row r="219" spans="1:142" x14ac:dyDescent="0.25">
      <c r="A219" s="30">
        <v>2.7859625904016441</v>
      </c>
      <c r="E219"/>
      <c r="I219" s="27" t="s">
        <v>8</v>
      </c>
      <c r="J219" s="27" t="s">
        <v>7</v>
      </c>
      <c r="L219" s="27" t="s">
        <v>7</v>
      </c>
      <c r="AY219" s="27" t="s">
        <v>8</v>
      </c>
      <c r="AZ219" s="27" t="s">
        <v>7</v>
      </c>
      <c r="BA219" s="27" t="s">
        <v>8</v>
      </c>
      <c r="CT219" s="27" t="s">
        <v>7</v>
      </c>
      <c r="CU219" s="27" t="s">
        <v>8</v>
      </c>
      <c r="CV219" s="27" t="s">
        <v>7</v>
      </c>
      <c r="CW219" s="27" t="s">
        <v>8</v>
      </c>
      <c r="CZ219" s="27" t="s">
        <v>7</v>
      </c>
      <c r="DA219" s="27" t="s">
        <v>8</v>
      </c>
      <c r="DB219" s="27" t="s">
        <v>7</v>
      </c>
      <c r="DC219" s="27" t="s">
        <v>8</v>
      </c>
      <c r="DE219" s="31"/>
      <c r="EJ219" s="27" t="s">
        <v>7</v>
      </c>
      <c r="EL219" s="27" t="s">
        <v>7</v>
      </c>
    </row>
    <row r="220" spans="1:142" x14ac:dyDescent="0.25">
      <c r="A220" s="30">
        <v>2.6532977051444226</v>
      </c>
      <c r="E220"/>
      <c r="I220" s="27" t="s">
        <v>8</v>
      </c>
      <c r="L220" s="27" t="s">
        <v>7</v>
      </c>
      <c r="M220" s="27" t="s">
        <v>8</v>
      </c>
      <c r="AY220" s="27" t="s">
        <v>8</v>
      </c>
      <c r="AZ220" s="27" t="s">
        <v>7</v>
      </c>
      <c r="CT220" s="27" t="s">
        <v>7</v>
      </c>
      <c r="CU220" s="27" t="s">
        <v>8</v>
      </c>
      <c r="CV220" s="27" t="s">
        <v>7</v>
      </c>
      <c r="CW220" s="27" t="s">
        <v>8</v>
      </c>
      <c r="CZ220" s="27" t="s">
        <v>7</v>
      </c>
      <c r="DB220" s="18" t="s">
        <v>7</v>
      </c>
      <c r="DC220" s="27" t="s">
        <v>8</v>
      </c>
      <c r="DD220" s="31"/>
      <c r="EL220" s="27" t="s">
        <v>7</v>
      </c>
    </row>
    <row r="221" spans="1:142" x14ac:dyDescent="0.25">
      <c r="A221" s="30">
        <v>2.5269501953756404</v>
      </c>
      <c r="E221"/>
      <c r="I221" s="27" t="s">
        <v>8</v>
      </c>
      <c r="L221" s="27" t="s">
        <v>7</v>
      </c>
      <c r="M221" s="27" t="s">
        <v>8</v>
      </c>
      <c r="N221" s="27" t="s">
        <v>7</v>
      </c>
      <c r="O221" s="27" t="s">
        <v>8</v>
      </c>
      <c r="Q221" s="27" t="s">
        <v>8</v>
      </c>
      <c r="AY221" s="27" t="s">
        <v>8</v>
      </c>
      <c r="CT221" s="27" t="s">
        <v>7</v>
      </c>
      <c r="CU221" s="27" t="s">
        <v>8</v>
      </c>
      <c r="CV221" s="27" t="s">
        <v>7</v>
      </c>
      <c r="DB221" s="27" t="s">
        <v>7</v>
      </c>
      <c r="DC221" s="31" t="s">
        <v>8</v>
      </c>
      <c r="EL221" s="27" t="s">
        <v>7</v>
      </c>
    </row>
    <row r="222" spans="1:142" x14ac:dyDescent="0.25">
      <c r="A222" s="30">
        <v>2.4066192336910861</v>
      </c>
      <c r="E222"/>
      <c r="I222" s="27" t="s">
        <v>8</v>
      </c>
      <c r="L222" s="27" t="s">
        <v>7</v>
      </c>
      <c r="M222" s="27" t="s">
        <v>8</v>
      </c>
      <c r="N222" s="27" t="s">
        <v>7</v>
      </c>
      <c r="O222" s="27" t="s">
        <v>8</v>
      </c>
      <c r="P222" s="27" t="s">
        <v>7</v>
      </c>
      <c r="Q222" s="27" t="s">
        <v>8</v>
      </c>
      <c r="R222" s="27" t="s">
        <v>7</v>
      </c>
      <c r="AY222" s="27" t="s">
        <v>8</v>
      </c>
      <c r="CT222" s="27" t="s">
        <v>7</v>
      </c>
      <c r="DB222" s="31" t="s">
        <v>7</v>
      </c>
      <c r="EL222" s="27" t="s">
        <v>7</v>
      </c>
    </row>
    <row r="223" spans="1:142" x14ac:dyDescent="0.25">
      <c r="A223" s="30">
        <v>2.2920183178010345</v>
      </c>
      <c r="E223"/>
      <c r="I223" s="27" t="s">
        <v>8</v>
      </c>
      <c r="L223" s="27" t="s">
        <v>7</v>
      </c>
      <c r="M223" s="27" t="s">
        <v>8</v>
      </c>
      <c r="N223" s="27" t="s">
        <v>7</v>
      </c>
      <c r="O223" s="27" t="s">
        <v>8</v>
      </c>
      <c r="P223" s="27" t="s">
        <v>7</v>
      </c>
      <c r="Q223" s="27" t="s">
        <v>8</v>
      </c>
      <c r="R223" s="27" t="s">
        <v>7</v>
      </c>
      <c r="AY223" s="27" t="s">
        <v>8</v>
      </c>
      <c r="EL223" s="27" t="s">
        <v>7</v>
      </c>
    </row>
    <row r="224" spans="1:142" x14ac:dyDescent="0.25">
      <c r="A224" s="30">
        <v>2.1828745883819374</v>
      </c>
      <c r="E224" t="s">
        <v>8</v>
      </c>
      <c r="I224" s="27" t="s">
        <v>8</v>
      </c>
      <c r="L224" s="27" t="s">
        <v>7</v>
      </c>
      <c r="M224" s="27" t="s">
        <v>8</v>
      </c>
      <c r="N224" s="27" t="s">
        <v>7</v>
      </c>
      <c r="O224" s="27" t="s">
        <v>8</v>
      </c>
      <c r="P224" s="27" t="s">
        <v>7</v>
      </c>
      <c r="R224" s="27" t="s">
        <v>7</v>
      </c>
      <c r="S224" s="27" t="s">
        <v>8</v>
      </c>
      <c r="AW224" s="27" t="s">
        <v>8</v>
      </c>
      <c r="AY224" s="27" t="s">
        <v>8</v>
      </c>
      <c r="EL224" s="27" t="s">
        <v>7</v>
      </c>
    </row>
    <row r="225" spans="1:142" x14ac:dyDescent="0.25">
      <c r="A225" s="30">
        <v>2.0789281794113688</v>
      </c>
      <c r="E225" t="s">
        <v>8</v>
      </c>
      <c r="F225" s="27" t="s">
        <v>7</v>
      </c>
      <c r="I225" s="27" t="s">
        <v>8</v>
      </c>
      <c r="L225" s="27" t="s">
        <v>7</v>
      </c>
      <c r="M225" s="27" t="s">
        <v>8</v>
      </c>
      <c r="N225" s="27" t="s">
        <v>7</v>
      </c>
      <c r="R225" s="27" t="s">
        <v>7</v>
      </c>
      <c r="S225" s="27" t="s">
        <v>8</v>
      </c>
      <c r="T225" s="27" t="s">
        <v>7</v>
      </c>
      <c r="AW225" s="27" t="s">
        <v>8</v>
      </c>
      <c r="AX225" s="27" t="s">
        <v>7</v>
      </c>
      <c r="AY225" s="27" t="s">
        <v>8</v>
      </c>
      <c r="EL225" s="27" t="s">
        <v>7</v>
      </c>
    </row>
    <row r="226" spans="1:142" x14ac:dyDescent="0.25">
      <c r="A226" s="30">
        <v>1.9799315994393987</v>
      </c>
      <c r="E226" t="s">
        <v>8</v>
      </c>
      <c r="F226" s="27" t="s">
        <v>7</v>
      </c>
      <c r="I226" s="27" t="s">
        <v>8</v>
      </c>
      <c r="L226" s="27" t="s">
        <v>7</v>
      </c>
      <c r="R226" s="27" t="s">
        <v>7</v>
      </c>
      <c r="S226" s="27" t="s">
        <v>8</v>
      </c>
      <c r="T226" s="27" t="s">
        <v>7</v>
      </c>
      <c r="U226" s="27" t="s">
        <v>8</v>
      </c>
      <c r="AU226" s="27" t="s">
        <v>8</v>
      </c>
      <c r="AW226" s="27" t="s">
        <v>8</v>
      </c>
      <c r="AX226" s="27" t="s">
        <v>7</v>
      </c>
      <c r="AY226" s="27" t="s">
        <v>8</v>
      </c>
      <c r="EL226" s="27" t="s">
        <v>7</v>
      </c>
    </row>
    <row r="227" spans="1:142" x14ac:dyDescent="0.25">
      <c r="A227" s="30">
        <v>1.8856491423232367</v>
      </c>
      <c r="E227" t="s">
        <v>8</v>
      </c>
      <c r="F227" s="27" t="s">
        <v>7</v>
      </c>
      <c r="I227" s="27" t="s">
        <v>8</v>
      </c>
      <c r="R227" s="27" t="s">
        <v>7</v>
      </c>
      <c r="S227" s="27" t="s">
        <v>8</v>
      </c>
      <c r="T227" s="27" t="s">
        <v>7</v>
      </c>
      <c r="U227" s="27" t="s">
        <v>8</v>
      </c>
      <c r="V227" s="27" t="s">
        <v>7</v>
      </c>
      <c r="AQ227" s="27" t="s">
        <v>8</v>
      </c>
      <c r="AS227" s="27" t="s">
        <v>8</v>
      </c>
      <c r="AU227" s="27" t="s">
        <v>8</v>
      </c>
      <c r="AV227" s="27" t="s">
        <v>7</v>
      </c>
      <c r="AW227" s="27" t="s">
        <v>8</v>
      </c>
      <c r="AX227" s="27" t="s">
        <v>7</v>
      </c>
      <c r="AY227" s="27" t="s">
        <v>8</v>
      </c>
    </row>
    <row r="228" spans="1:142" x14ac:dyDescent="0.25">
      <c r="A228" s="30">
        <v>1.7958563260221301</v>
      </c>
      <c r="C228" s="7"/>
      <c r="D228"/>
      <c r="E228" t="s">
        <v>8</v>
      </c>
      <c r="F228" s="27" t="s">
        <v>7</v>
      </c>
      <c r="G228" s="27" t="s">
        <v>8</v>
      </c>
      <c r="I228" s="27" t="s">
        <v>8</v>
      </c>
      <c r="R228" s="27" t="s">
        <v>7</v>
      </c>
      <c r="T228" s="27" t="s">
        <v>7</v>
      </c>
      <c r="U228" s="27" t="s">
        <v>8</v>
      </c>
      <c r="V228" s="27" t="s">
        <v>7</v>
      </c>
      <c r="AQ228" s="27" t="s">
        <v>8</v>
      </c>
      <c r="AR228" s="27" t="s">
        <v>7</v>
      </c>
      <c r="AS228" s="27" t="s">
        <v>8</v>
      </c>
      <c r="AT228" s="27" t="s">
        <v>7</v>
      </c>
      <c r="AU228" s="27" t="s">
        <v>8</v>
      </c>
      <c r="AV228" s="27" t="s">
        <v>7</v>
      </c>
      <c r="AW228" s="27" t="s">
        <v>8</v>
      </c>
      <c r="AX228" s="27" t="s">
        <v>7</v>
      </c>
    </row>
    <row r="229" spans="1:142" x14ac:dyDescent="0.25">
      <c r="A229" s="30">
        <v>1.7103393581163142</v>
      </c>
      <c r="E229" t="s">
        <v>8</v>
      </c>
      <c r="F229" s="27" t="s">
        <v>7</v>
      </c>
      <c r="G229" s="27" t="s">
        <v>8</v>
      </c>
      <c r="H229" s="27" t="s">
        <v>7</v>
      </c>
      <c r="I229" s="27" t="s">
        <v>8</v>
      </c>
      <c r="T229" s="27" t="s">
        <v>7</v>
      </c>
      <c r="U229" s="27" t="s">
        <v>8</v>
      </c>
      <c r="V229" s="27" t="s">
        <v>7</v>
      </c>
      <c r="Y229" s="27" t="s">
        <v>8</v>
      </c>
      <c r="AQ229" s="27" t="s">
        <v>8</v>
      </c>
      <c r="AR229" s="27" t="s">
        <v>7</v>
      </c>
      <c r="AS229" s="27" t="s">
        <v>8</v>
      </c>
      <c r="AT229" s="27" t="s">
        <v>7</v>
      </c>
      <c r="AU229" s="27" t="s">
        <v>8</v>
      </c>
      <c r="AV229" s="27" t="s">
        <v>7</v>
      </c>
      <c r="AW229" s="27" t="s">
        <v>8</v>
      </c>
    </row>
    <row r="230" spans="1:142" x14ac:dyDescent="0.25">
      <c r="A230" s="30">
        <v>1.628894626777442</v>
      </c>
      <c r="E230" t="s">
        <v>8</v>
      </c>
      <c r="F230" s="27" t="s">
        <v>7</v>
      </c>
      <c r="G230" s="27" t="s">
        <v>8</v>
      </c>
      <c r="H230" s="27" t="s">
        <v>7</v>
      </c>
      <c r="I230" s="27" t="s">
        <v>8</v>
      </c>
      <c r="T230" s="27" t="s">
        <v>7</v>
      </c>
      <c r="V230" s="27" t="s">
        <v>7</v>
      </c>
      <c r="Y230" s="27" t="s">
        <v>8</v>
      </c>
      <c r="Z230" s="27" t="s">
        <v>7</v>
      </c>
      <c r="AQ230" s="27" t="s">
        <v>8</v>
      </c>
      <c r="AR230" s="27" t="s">
        <v>7</v>
      </c>
      <c r="AS230" s="27" t="s">
        <v>8</v>
      </c>
      <c r="AT230" s="27" t="s">
        <v>7</v>
      </c>
      <c r="AV230" s="27" t="s">
        <v>7</v>
      </c>
      <c r="AW230" s="27" t="s">
        <v>8</v>
      </c>
    </row>
    <row r="231" spans="1:142" x14ac:dyDescent="0.25">
      <c r="A231" s="30">
        <v>1.5513282159785162</v>
      </c>
      <c r="C231"/>
      <c r="D231"/>
      <c r="E231" t="s">
        <v>8</v>
      </c>
      <c r="F231" s="27" t="s">
        <v>7</v>
      </c>
      <c r="H231" s="27" t="s">
        <v>7</v>
      </c>
      <c r="I231" s="27" t="s">
        <v>8</v>
      </c>
      <c r="V231" s="27" t="s">
        <v>7</v>
      </c>
      <c r="Y231" s="27" t="s">
        <v>8</v>
      </c>
      <c r="Z231" s="27" t="s">
        <v>7</v>
      </c>
      <c r="AO231" s="27" t="s">
        <v>8</v>
      </c>
      <c r="AQ231" s="27" t="s">
        <v>8</v>
      </c>
      <c r="AR231" s="27" t="s">
        <v>7</v>
      </c>
      <c r="AS231" s="27" t="s">
        <v>8</v>
      </c>
      <c r="AV231" s="27" t="s">
        <v>7</v>
      </c>
      <c r="AW231" s="27" t="s">
        <v>8</v>
      </c>
    </row>
    <row r="232" spans="1:142" x14ac:dyDescent="0.25">
      <c r="A232" s="30">
        <v>1.477455443789063</v>
      </c>
      <c r="E232" t="s">
        <v>8</v>
      </c>
      <c r="H232" s="27" t="s">
        <v>7</v>
      </c>
      <c r="V232" s="27" t="s">
        <v>7</v>
      </c>
      <c r="Y232" s="27" t="s">
        <v>8</v>
      </c>
      <c r="Z232" s="27" t="s">
        <v>7</v>
      </c>
      <c r="AO232" s="27" t="s">
        <v>8</v>
      </c>
      <c r="AP232" s="27" t="s">
        <v>7</v>
      </c>
      <c r="AQ232" s="27" t="s">
        <v>8</v>
      </c>
      <c r="AR232" s="27" t="s">
        <v>7</v>
      </c>
      <c r="AS232" s="27" t="s">
        <v>8</v>
      </c>
      <c r="AV232" s="27" t="s">
        <v>7</v>
      </c>
    </row>
    <row r="233" spans="1:142" x14ac:dyDescent="0.25">
      <c r="A233" s="30">
        <v>1.4071004226562505</v>
      </c>
      <c r="E233" t="s">
        <v>8</v>
      </c>
      <c r="V233" s="27" t="s">
        <v>7</v>
      </c>
      <c r="W233" s="27" t="s">
        <v>8</v>
      </c>
      <c r="Y233" s="27" t="s">
        <v>8</v>
      </c>
      <c r="Z233" s="27" t="s">
        <v>7</v>
      </c>
      <c r="AO233" s="27" t="s">
        <v>8</v>
      </c>
      <c r="AP233" s="27" t="s">
        <v>7</v>
      </c>
      <c r="AQ233" s="27" t="s">
        <v>8</v>
      </c>
      <c r="AR233" s="27" t="s">
        <v>7</v>
      </c>
      <c r="AS233" s="27" t="s">
        <v>8</v>
      </c>
    </row>
    <row r="234" spans="1:142" x14ac:dyDescent="0.25">
      <c r="A234" s="30">
        <v>1.3400956406250004</v>
      </c>
      <c r="E234" t="s">
        <v>8</v>
      </c>
      <c r="V234" s="27" t="s">
        <v>7</v>
      </c>
      <c r="W234" s="27" t="s">
        <v>8</v>
      </c>
      <c r="X234" s="27" t="s">
        <v>7</v>
      </c>
      <c r="Y234" s="27" t="s">
        <v>8</v>
      </c>
      <c r="Z234" s="27" t="s">
        <v>7</v>
      </c>
      <c r="AE234" s="27" t="s">
        <v>8</v>
      </c>
      <c r="AG234" s="27" t="s">
        <v>8</v>
      </c>
      <c r="AI234" s="27" t="s">
        <v>8</v>
      </c>
      <c r="AO234" s="27" t="s">
        <v>8</v>
      </c>
      <c r="AP234" s="27" t="s">
        <v>7</v>
      </c>
      <c r="AQ234" s="27" t="s">
        <v>8</v>
      </c>
      <c r="AR234" s="27" t="s">
        <v>7</v>
      </c>
      <c r="AS234" s="27" t="s">
        <v>8</v>
      </c>
    </row>
    <row r="235" spans="1:142" x14ac:dyDescent="0.25">
      <c r="A235" s="30">
        <v>1.2762815625000004</v>
      </c>
      <c r="C235"/>
      <c r="E235" t="s">
        <v>8</v>
      </c>
      <c r="V235" s="27" t="s">
        <v>7</v>
      </c>
      <c r="W235" s="27" t="s">
        <v>8</v>
      </c>
      <c r="X235" s="27" t="s">
        <v>7</v>
      </c>
      <c r="Y235" s="27" t="s">
        <v>8</v>
      </c>
      <c r="Z235" s="27" t="s">
        <v>7</v>
      </c>
      <c r="AE235" s="27" t="s">
        <v>8</v>
      </c>
      <c r="AF235" s="27" t="s">
        <v>7</v>
      </c>
      <c r="AG235" s="27" t="s">
        <v>8</v>
      </c>
      <c r="AH235" s="27" t="s">
        <v>7</v>
      </c>
      <c r="AI235" s="27" t="s">
        <v>8</v>
      </c>
      <c r="AJ235" s="27" t="s">
        <v>7</v>
      </c>
      <c r="AO235" s="27" t="s">
        <v>8</v>
      </c>
      <c r="AP235" s="27" t="s">
        <v>7</v>
      </c>
      <c r="AR235" s="27" t="s">
        <v>7</v>
      </c>
      <c r="AS235" s="27" t="s">
        <v>8</v>
      </c>
    </row>
    <row r="236" spans="1:142" x14ac:dyDescent="0.25">
      <c r="A236" s="30">
        <v>1.2155062500000002</v>
      </c>
      <c r="E236" t="s">
        <v>8</v>
      </c>
      <c r="V236" s="27" t="s">
        <v>7</v>
      </c>
      <c r="W236" s="27" t="s">
        <v>8</v>
      </c>
      <c r="X236" s="27" t="s">
        <v>7</v>
      </c>
      <c r="Z236" s="27" t="s">
        <v>7</v>
      </c>
      <c r="AA236" s="27" t="s">
        <v>8</v>
      </c>
      <c r="AC236" s="27" t="s">
        <v>8</v>
      </c>
      <c r="AE236" s="27" t="s">
        <v>8</v>
      </c>
      <c r="AF236" s="27" t="s">
        <v>7</v>
      </c>
      <c r="AG236" s="27" t="s">
        <v>8</v>
      </c>
      <c r="AH236" s="27" t="s">
        <v>7</v>
      </c>
      <c r="AI236" s="27" t="s">
        <v>8</v>
      </c>
      <c r="AJ236" s="27" t="s">
        <v>7</v>
      </c>
      <c r="AK236" s="27" t="s">
        <v>8</v>
      </c>
      <c r="AO236" s="27" t="s">
        <v>8</v>
      </c>
      <c r="AR236" s="27" t="s">
        <v>7</v>
      </c>
    </row>
    <row r="237" spans="1:14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V237" s="27" t="s">
        <v>7</v>
      </c>
      <c r="W237" s="27" t="s">
        <v>8</v>
      </c>
      <c r="Z237" s="27" t="s">
        <v>7</v>
      </c>
      <c r="AA237" s="27" t="s">
        <v>8</v>
      </c>
      <c r="AB237" s="27" t="s">
        <v>7</v>
      </c>
      <c r="AC237" s="27" t="s">
        <v>8</v>
      </c>
      <c r="AD237" s="27" t="s">
        <v>7</v>
      </c>
      <c r="AE237" s="27" t="s">
        <v>8</v>
      </c>
      <c r="AF237" s="27" t="s">
        <v>7</v>
      </c>
      <c r="AG237" s="27" t="s">
        <v>8</v>
      </c>
      <c r="AH237" s="27" t="s">
        <v>7</v>
      </c>
      <c r="AI237" s="27" t="s">
        <v>8</v>
      </c>
      <c r="AJ237" s="27" t="s">
        <v>7</v>
      </c>
      <c r="AK237" s="27" t="s">
        <v>8</v>
      </c>
      <c r="AL237" s="27" t="s">
        <v>7</v>
      </c>
      <c r="AM237" s="27" t="s">
        <v>8</v>
      </c>
      <c r="AO237" s="27" t="s">
        <v>8</v>
      </c>
    </row>
    <row r="238" spans="1:142" x14ac:dyDescent="0.25">
      <c r="A238" s="30">
        <v>1.1025</v>
      </c>
      <c r="E238" t="s">
        <v>8</v>
      </c>
      <c r="V238" s="27" t="s">
        <v>7</v>
      </c>
      <c r="Z238" s="27" t="s">
        <v>7</v>
      </c>
      <c r="AA238" s="27" t="s">
        <v>8</v>
      </c>
      <c r="AB238" s="27" t="s">
        <v>7</v>
      </c>
      <c r="AC238" s="27" t="s">
        <v>8</v>
      </c>
      <c r="AD238" s="27" t="s">
        <v>7</v>
      </c>
      <c r="AE238" s="27" t="s">
        <v>8</v>
      </c>
      <c r="AF238" s="27" t="s">
        <v>7</v>
      </c>
      <c r="AH238" s="27" t="s">
        <v>7</v>
      </c>
      <c r="AI238" s="27" t="s">
        <v>8</v>
      </c>
      <c r="AJ238" s="27" t="s">
        <v>7</v>
      </c>
      <c r="AK238" s="27" t="s">
        <v>8</v>
      </c>
      <c r="AL238" s="27" t="s">
        <v>7</v>
      </c>
      <c r="AM238" s="27" t="s">
        <v>8</v>
      </c>
      <c r="AN238" s="27" t="s">
        <v>7</v>
      </c>
      <c r="AO238" s="27" t="s">
        <v>8</v>
      </c>
    </row>
    <row r="239" spans="1:142" x14ac:dyDescent="0.25">
      <c r="A239" s="30">
        <v>1.05</v>
      </c>
      <c r="E239" t="s">
        <v>8</v>
      </c>
      <c r="Z239" s="27" t="s">
        <v>7</v>
      </c>
      <c r="AA239" s="27" t="s">
        <v>8</v>
      </c>
      <c r="AB239" s="27" t="s">
        <v>7</v>
      </c>
      <c r="AC239" s="27" t="s">
        <v>8</v>
      </c>
      <c r="AD239" s="27" t="s">
        <v>7</v>
      </c>
      <c r="AH239" s="27" t="s">
        <v>7</v>
      </c>
      <c r="AI239" s="27" t="s">
        <v>8</v>
      </c>
      <c r="AJ239" s="27" t="s">
        <v>7</v>
      </c>
      <c r="AK239" s="27" t="s">
        <v>8</v>
      </c>
      <c r="AL239" s="27" t="s">
        <v>7</v>
      </c>
      <c r="AM239" s="27" t="s">
        <v>8</v>
      </c>
      <c r="AN239" s="27" t="s">
        <v>7</v>
      </c>
      <c r="AO239" s="27" t="s">
        <v>8</v>
      </c>
    </row>
    <row r="240" spans="1:142" x14ac:dyDescent="0.25">
      <c r="A240" s="30">
        <v>1</v>
      </c>
      <c r="E240" s="29" t="s">
        <v>8</v>
      </c>
      <c r="Z240" s="27" t="s">
        <v>7</v>
      </c>
      <c r="AA240" s="27" t="s">
        <v>8</v>
      </c>
      <c r="AB240" s="27" t="s">
        <v>7</v>
      </c>
      <c r="AC240" s="27" t="s">
        <v>8</v>
      </c>
      <c r="AH240" s="27" t="s">
        <v>7</v>
      </c>
      <c r="AI240" s="27" t="s">
        <v>8</v>
      </c>
      <c r="AJ240" s="27" t="s">
        <v>7</v>
      </c>
      <c r="AL240" s="27" t="s">
        <v>7</v>
      </c>
      <c r="AM240" s="27" t="s">
        <v>8</v>
      </c>
      <c r="AN240" s="27" t="s">
        <v>7</v>
      </c>
    </row>
    <row r="241" spans="1:39" x14ac:dyDescent="0.25">
      <c r="A241" s="30">
        <v>0.952380952380952</v>
      </c>
      <c r="B241"/>
      <c r="C241"/>
      <c r="D241"/>
      <c r="E241"/>
      <c r="Z241" s="27" t="s">
        <v>7</v>
      </c>
      <c r="AB241" s="27" t="s">
        <v>7</v>
      </c>
      <c r="AC241" s="27" t="s">
        <v>8</v>
      </c>
      <c r="AH241" s="27" t="s">
        <v>7</v>
      </c>
      <c r="AL241" s="27" t="s">
        <v>7</v>
      </c>
      <c r="AM241" s="27" t="s">
        <v>8</v>
      </c>
    </row>
    <row r="242" spans="1:39" x14ac:dyDescent="0.25">
      <c r="A242" s="30">
        <v>0.90702947845804915</v>
      </c>
      <c r="B242"/>
      <c r="C242"/>
      <c r="D242"/>
      <c r="E242"/>
      <c r="AB242" s="27" t="s">
        <v>7</v>
      </c>
      <c r="AC242" s="27" t="s">
        <v>8</v>
      </c>
      <c r="AL242" s="27" t="s">
        <v>7</v>
      </c>
    </row>
    <row r="243" spans="1:39" x14ac:dyDescent="0.25">
      <c r="A243" s="30">
        <v>0.86383759853147501</v>
      </c>
      <c r="B243"/>
      <c r="C243"/>
      <c r="D243"/>
      <c r="E243"/>
      <c r="AB243" s="27" t="s">
        <v>7</v>
      </c>
      <c r="AC243" s="27" t="s">
        <v>8</v>
      </c>
    </row>
    <row r="244" spans="1:39" x14ac:dyDescent="0.25">
      <c r="A244" s="30">
        <v>0.82270247479188063</v>
      </c>
      <c r="B244"/>
      <c r="C244"/>
      <c r="D244"/>
      <c r="E244"/>
      <c r="AB244" s="27" t="s">
        <v>7</v>
      </c>
    </row>
    <row r="245" spans="1:39" x14ac:dyDescent="0.25">
      <c r="A245" s="30">
        <v>0.78352616646845741</v>
      </c>
      <c r="B245"/>
      <c r="C245"/>
      <c r="D245"/>
      <c r="E245"/>
    </row>
    <row r="246" spans="1:39" x14ac:dyDescent="0.25">
      <c r="A246" s="30">
        <v>0.74621539663662584</v>
      </c>
      <c r="B246"/>
      <c r="C246"/>
      <c r="D246"/>
      <c r="E246"/>
    </row>
    <row r="247" spans="1:39" x14ac:dyDescent="0.25">
      <c r="A247" s="30">
        <v>0.71068133013011958</v>
      </c>
      <c r="B247"/>
      <c r="C247"/>
      <c r="D247"/>
      <c r="E247"/>
    </row>
    <row r="248" spans="1:39" x14ac:dyDescent="0.25">
      <c r="A248" s="30">
        <v>0.676839362028685</v>
      </c>
      <c r="B248"/>
      <c r="C248"/>
      <c r="D248"/>
      <c r="E248"/>
    </row>
    <row r="249" spans="1:39" x14ac:dyDescent="0.25">
      <c r="A249" s="30">
        <v>0.64460891621779492</v>
      </c>
      <c r="B249"/>
      <c r="C249"/>
      <c r="D249"/>
      <c r="E249"/>
    </row>
    <row r="250" spans="1:39" x14ac:dyDescent="0.25">
      <c r="A250" s="30">
        <v>0.61391325354075688</v>
      </c>
      <c r="B250"/>
      <c r="C250"/>
      <c r="D250"/>
      <c r="E250"/>
    </row>
    <row r="251" spans="1:39" x14ac:dyDescent="0.25">
      <c r="A251" s="30">
        <v>0.58467928908643485</v>
      </c>
      <c r="B251"/>
      <c r="C251"/>
      <c r="D251"/>
      <c r="E251"/>
    </row>
    <row r="252" spans="1:39" x14ac:dyDescent="0.25">
      <c r="A252" s="30">
        <v>0.55683741817755672</v>
      </c>
      <c r="B252"/>
      <c r="C252"/>
      <c r="D252"/>
      <c r="E252"/>
    </row>
    <row r="253" spans="1:39" x14ac:dyDescent="0.25">
      <c r="A253" s="30">
        <v>0.53032135064529184</v>
      </c>
      <c r="B253"/>
      <c r="C253"/>
      <c r="D253"/>
      <c r="E253"/>
    </row>
    <row r="254" spans="1:39" x14ac:dyDescent="0.25">
      <c r="A254" s="30">
        <v>0.50506795299551588</v>
      </c>
      <c r="B254"/>
      <c r="C254"/>
      <c r="D254"/>
      <c r="E254"/>
    </row>
    <row r="255" spans="1:39" x14ac:dyDescent="0.25">
      <c r="A255" s="30">
        <v>0.48101709809096732</v>
      </c>
      <c r="E255"/>
    </row>
    <row r="256" spans="1:39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5" operator="equal">
      <formula>$U$1</formula>
    </cfRule>
    <cfRule type="cellIs" dxfId="67" priority="956" operator="equal">
      <formula>$S$1</formula>
    </cfRule>
  </conditionalFormatting>
  <conditionalFormatting sqref="D136">
    <cfRule type="cellIs" dxfId="66" priority="953" operator="equal">
      <formula>$S$1</formula>
    </cfRule>
    <cfRule type="cellIs" dxfId="65" priority="954" operator="equal">
      <formula>$U$1</formula>
    </cfRule>
  </conditionalFormatting>
  <conditionalFormatting sqref="C162">
    <cfRule type="cellIs" dxfId="64" priority="951" operator="equal">
      <formula>$U$1</formula>
    </cfRule>
    <cfRule type="cellIs" dxfId="63" priority="952" operator="equal">
      <formula>$S$1</formula>
    </cfRule>
  </conditionalFormatting>
  <conditionalFormatting sqref="D162">
    <cfRule type="cellIs" dxfId="62" priority="949" operator="equal">
      <formula>$S$1</formula>
    </cfRule>
    <cfRule type="cellIs" dxfId="61" priority="950" operator="equal">
      <formula>$U$1</formula>
    </cfRule>
  </conditionalFormatting>
  <conditionalFormatting sqref="C187">
    <cfRule type="cellIs" dxfId="60" priority="947" operator="equal">
      <formula>$U$1</formula>
    </cfRule>
    <cfRule type="cellIs" dxfId="59" priority="948" operator="equal">
      <formula>$S$1</formula>
    </cfRule>
  </conditionalFormatting>
  <conditionalFormatting sqref="D187">
    <cfRule type="cellIs" dxfId="58" priority="945" operator="equal">
      <formula>$S$1</formula>
    </cfRule>
    <cfRule type="cellIs" dxfId="57" priority="946" operator="equal">
      <formula>$U$1</formula>
    </cfRule>
  </conditionalFormatting>
  <conditionalFormatting sqref="C212">
    <cfRule type="cellIs" dxfId="56" priority="943" operator="equal">
      <formula>$U$1</formula>
    </cfRule>
    <cfRule type="cellIs" dxfId="55" priority="944" operator="equal">
      <formula>$S$1</formula>
    </cfRule>
  </conditionalFormatting>
  <conditionalFormatting sqref="D212">
    <cfRule type="cellIs" dxfId="54" priority="941" operator="equal">
      <formula>$S$1</formula>
    </cfRule>
    <cfRule type="cellIs" dxfId="53" priority="942" operator="equal">
      <formula>$U$1</formula>
    </cfRule>
  </conditionalFormatting>
  <conditionalFormatting sqref="C237">
    <cfRule type="cellIs" dxfId="52" priority="939" operator="equal">
      <formula>$U$1</formula>
    </cfRule>
    <cfRule type="cellIs" dxfId="51" priority="940" operator="equal">
      <formula>$S$1</formula>
    </cfRule>
  </conditionalFormatting>
  <conditionalFormatting sqref="D237">
    <cfRule type="cellIs" dxfId="50" priority="937" operator="equal">
      <formula>$S$1</formula>
    </cfRule>
    <cfRule type="cellIs" dxfId="49" priority="938" operator="equal">
      <formula>$U$1</formula>
    </cfRule>
  </conditionalFormatting>
  <conditionalFormatting sqref="C106">
    <cfRule type="cellIs" dxfId="48" priority="935" operator="equal">
      <formula>$U$1</formula>
    </cfRule>
    <cfRule type="cellIs" dxfId="47" priority="936" operator="equal">
      <formula>$S$1</formula>
    </cfRule>
  </conditionalFormatting>
  <conditionalFormatting sqref="D106">
    <cfRule type="cellIs" dxfId="46" priority="933" operator="equal">
      <formula>$S$1</formula>
    </cfRule>
    <cfRule type="cellIs" dxfId="45" priority="934" operator="equal">
      <formula>$U$1</formula>
    </cfRule>
  </conditionalFormatting>
  <conditionalFormatting sqref="C81">
    <cfRule type="cellIs" dxfId="44" priority="931" operator="equal">
      <formula>$U$1</formula>
    </cfRule>
    <cfRule type="cellIs" dxfId="43" priority="932" operator="equal">
      <formula>$S$1</formula>
    </cfRule>
  </conditionalFormatting>
  <conditionalFormatting sqref="D81">
    <cfRule type="cellIs" dxfId="42" priority="929" operator="equal">
      <formula>$S$1</formula>
    </cfRule>
    <cfRule type="cellIs" dxfId="41" priority="930" operator="equal">
      <formula>$U$1</formula>
    </cfRule>
  </conditionalFormatting>
  <conditionalFormatting sqref="C56">
    <cfRule type="cellIs" dxfId="40" priority="927" operator="equal">
      <formula>$U$1</formula>
    </cfRule>
    <cfRule type="cellIs" dxfId="39" priority="928" operator="equal">
      <formula>$S$1</formula>
    </cfRule>
  </conditionalFormatting>
  <conditionalFormatting sqref="D56">
    <cfRule type="cellIs" dxfId="38" priority="925" operator="equal">
      <formula>$S$1</formula>
    </cfRule>
    <cfRule type="cellIs" dxfId="37" priority="926" operator="equal">
      <formula>$U$1</formula>
    </cfRule>
  </conditionalFormatting>
  <conditionalFormatting sqref="C31">
    <cfRule type="cellIs" dxfId="36" priority="923" operator="equal">
      <formula>$U$1</formula>
    </cfRule>
    <cfRule type="cellIs" dxfId="35" priority="924" operator="equal">
      <formula>$S$1</formula>
    </cfRule>
  </conditionalFormatting>
  <conditionalFormatting sqref="D31">
    <cfRule type="cellIs" dxfId="34" priority="921" operator="equal">
      <formula>$S$1</formula>
    </cfRule>
    <cfRule type="cellIs" dxfId="33" priority="9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P114" sqref="AP11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2" x14ac:dyDescent="0.25">
      <c r="A81" s="30">
        <v>45.259255568176073</v>
      </c>
      <c r="E81"/>
    </row>
    <row r="82" spans="1:42" x14ac:dyDescent="0.25">
      <c r="A82" s="30">
        <v>41.144777789250973</v>
      </c>
      <c r="E82"/>
    </row>
    <row r="83" spans="1:42" x14ac:dyDescent="0.25">
      <c r="A83" s="30">
        <v>37.404343444773609</v>
      </c>
      <c r="E83"/>
    </row>
    <row r="84" spans="1:42" x14ac:dyDescent="0.25">
      <c r="A84" s="30">
        <v>34.003948586157826</v>
      </c>
      <c r="E84"/>
    </row>
    <row r="85" spans="1:42" x14ac:dyDescent="0.25">
      <c r="A85" s="30">
        <v>30.912680532870748</v>
      </c>
      <c r="E85"/>
    </row>
    <row r="86" spans="1:42" x14ac:dyDescent="0.25">
      <c r="A86" s="30">
        <v>28.102436848064315</v>
      </c>
      <c r="E86"/>
    </row>
    <row r="87" spans="1:42" x14ac:dyDescent="0.25">
      <c r="A87" s="30">
        <v>25.547669861876649</v>
      </c>
      <c r="E87"/>
    </row>
    <row r="88" spans="1:42" x14ac:dyDescent="0.25">
      <c r="A88" s="30">
        <v>23.225154419887861</v>
      </c>
      <c r="E88"/>
    </row>
    <row r="89" spans="1:42" x14ac:dyDescent="0.25">
      <c r="A89" s="30">
        <v>21.113776745352599</v>
      </c>
      <c r="E89"/>
    </row>
    <row r="90" spans="1:42" x14ac:dyDescent="0.25">
      <c r="A90" s="30">
        <v>19.194342495775089</v>
      </c>
      <c r="E90"/>
    </row>
    <row r="91" spans="1:42" x14ac:dyDescent="0.25">
      <c r="A91" s="30">
        <v>17.449402268886445</v>
      </c>
      <c r="E91"/>
    </row>
    <row r="92" spans="1:42" x14ac:dyDescent="0.25">
      <c r="A92" s="30">
        <v>15.863092971714948</v>
      </c>
      <c r="C92" s="1" t="s">
        <v>15</v>
      </c>
      <c r="E92"/>
    </row>
    <row r="93" spans="1:42" x14ac:dyDescent="0.25">
      <c r="A93" s="30">
        <v>14.420993610649951</v>
      </c>
      <c r="C93" s="7">
        <v>0.11167815779424731</v>
      </c>
      <c r="D93"/>
      <c r="E93"/>
    </row>
    <row r="94" spans="1:42" x14ac:dyDescent="0.25">
      <c r="A94" s="30">
        <v>13.109994191499954</v>
      </c>
      <c r="E94"/>
      <c r="AO94" s="27" t="s">
        <v>8</v>
      </c>
    </row>
    <row r="95" spans="1:42" x14ac:dyDescent="0.25">
      <c r="A95" s="30">
        <v>11.918176537727231</v>
      </c>
      <c r="C95" s="1" t="s">
        <v>11</v>
      </c>
      <c r="D95" s="1" t="s">
        <v>12</v>
      </c>
      <c r="E95"/>
      <c r="AC95" s="27" t="s">
        <v>8</v>
      </c>
      <c r="AO95" s="27" t="s">
        <v>8</v>
      </c>
      <c r="AP95" s="27" t="s">
        <v>7</v>
      </c>
    </row>
    <row r="96" spans="1:42" x14ac:dyDescent="0.25">
      <c r="A96" s="30">
        <v>10.834705943388391</v>
      </c>
      <c r="C96"/>
      <c r="D96"/>
      <c r="E96"/>
      <c r="AC96" s="27" t="s">
        <v>8</v>
      </c>
      <c r="AD96" s="27" t="s">
        <v>7</v>
      </c>
      <c r="AE96" s="27" t="s">
        <v>8</v>
      </c>
      <c r="AO96" s="27" t="s">
        <v>8</v>
      </c>
      <c r="AP96" s="27" t="s">
        <v>7</v>
      </c>
    </row>
    <row r="97" spans="1:42" x14ac:dyDescent="0.25">
      <c r="A97" s="30">
        <v>9.849732675807628</v>
      </c>
      <c r="E97"/>
      <c r="AC97" s="27" t="s">
        <v>8</v>
      </c>
      <c r="AD97" s="27" t="s">
        <v>7</v>
      </c>
      <c r="AE97" s="27" t="s">
        <v>8</v>
      </c>
      <c r="AF97" s="27" t="s">
        <v>7</v>
      </c>
      <c r="AM97" s="27" t="s">
        <v>8</v>
      </c>
      <c r="AO97" s="27" t="s">
        <v>8</v>
      </c>
      <c r="AP97" s="27" t="s">
        <v>7</v>
      </c>
    </row>
    <row r="98" spans="1:42" x14ac:dyDescent="0.25">
      <c r="A98" s="30">
        <v>8.9543024325523888</v>
      </c>
      <c r="C98" s="1" t="s">
        <v>13</v>
      </c>
      <c r="E98"/>
      <c r="AC98" s="27" t="s">
        <v>8</v>
      </c>
      <c r="AD98" s="27" t="s">
        <v>7</v>
      </c>
      <c r="AE98" s="27" t="s">
        <v>8</v>
      </c>
      <c r="AF98" s="27" t="s">
        <v>7</v>
      </c>
      <c r="AM98" s="27" t="s">
        <v>8</v>
      </c>
      <c r="AN98" s="27" t="s">
        <v>7</v>
      </c>
      <c r="AO98" s="27" t="s">
        <v>8</v>
      </c>
      <c r="AP98" s="27" t="s">
        <v>7</v>
      </c>
    </row>
    <row r="99" spans="1:42" x14ac:dyDescent="0.25">
      <c r="A99" s="30">
        <v>8.140274938683989</v>
      </c>
      <c r="C99" s="1">
        <f>C88</f>
        <v>0</v>
      </c>
      <c r="E99"/>
      <c r="U99" s="27" t="s">
        <v>8</v>
      </c>
      <c r="Y99" s="27" t="s">
        <v>8</v>
      </c>
      <c r="AC99" s="27" t="s">
        <v>8</v>
      </c>
      <c r="AD99" s="27" t="s">
        <v>7</v>
      </c>
      <c r="AF99" s="27" t="s">
        <v>7</v>
      </c>
      <c r="AM99" s="27" t="s">
        <v>8</v>
      </c>
      <c r="AN99" s="27" t="s">
        <v>7</v>
      </c>
      <c r="AO99" s="27" t="s">
        <v>8</v>
      </c>
      <c r="AP99" s="27" t="s">
        <v>7</v>
      </c>
    </row>
    <row r="100" spans="1:42" x14ac:dyDescent="0.25">
      <c r="A100" s="30">
        <v>7.4002499442581717</v>
      </c>
      <c r="C100"/>
      <c r="D100"/>
      <c r="E100"/>
      <c r="U100" s="27" t="s">
        <v>8</v>
      </c>
      <c r="V100" s="27" t="s">
        <v>7</v>
      </c>
      <c r="Y100" s="27" t="s">
        <v>8</v>
      </c>
      <c r="Z100" s="27" t="s">
        <v>7</v>
      </c>
      <c r="AA100" s="27" t="s">
        <v>8</v>
      </c>
      <c r="AC100" s="27" t="s">
        <v>8</v>
      </c>
      <c r="AF100" s="27" t="s">
        <v>7</v>
      </c>
      <c r="AM100" s="27" t="s">
        <v>8</v>
      </c>
      <c r="AN100" s="27" t="s">
        <v>7</v>
      </c>
      <c r="AP100" s="27" t="s">
        <v>7</v>
      </c>
    </row>
    <row r="101" spans="1:42" x14ac:dyDescent="0.25">
      <c r="A101" s="30">
        <v>6.72749994932561</v>
      </c>
      <c r="C101" s="1" t="s">
        <v>14</v>
      </c>
      <c r="E101"/>
      <c r="U101" s="27" t="s">
        <v>8</v>
      </c>
      <c r="V101" s="27" t="s">
        <v>7</v>
      </c>
      <c r="W101" s="27" t="s">
        <v>8</v>
      </c>
      <c r="Y101" s="27" t="s">
        <v>8</v>
      </c>
      <c r="Z101" s="27" t="s">
        <v>7</v>
      </c>
      <c r="AA101" s="27" t="s">
        <v>8</v>
      </c>
      <c r="AB101" s="27" t="s">
        <v>7</v>
      </c>
      <c r="AC101" s="27" t="s">
        <v>8</v>
      </c>
      <c r="AF101" s="27" t="s">
        <v>7</v>
      </c>
      <c r="AG101" s="27" t="s">
        <v>8</v>
      </c>
      <c r="AM101" s="27" t="s">
        <v>8</v>
      </c>
      <c r="AP101" s="27" t="s">
        <v>7</v>
      </c>
    </row>
    <row r="102" spans="1:4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U102" s="27" t="s">
        <v>8</v>
      </c>
      <c r="V102" s="27" t="s">
        <v>7</v>
      </c>
      <c r="W102" s="27" t="s">
        <v>8</v>
      </c>
      <c r="X102" s="27" t="s">
        <v>7</v>
      </c>
      <c r="Y102" s="27" t="s">
        <v>8</v>
      </c>
      <c r="Z102" s="27" t="s">
        <v>7</v>
      </c>
      <c r="AA102" s="27" t="s">
        <v>8</v>
      </c>
      <c r="AB102" s="27" t="s">
        <v>7</v>
      </c>
      <c r="AC102" s="27" t="s">
        <v>8</v>
      </c>
      <c r="AF102" s="27" t="s">
        <v>7</v>
      </c>
      <c r="AG102" s="27" t="s">
        <v>8</v>
      </c>
      <c r="AH102" s="27" t="s">
        <v>7</v>
      </c>
      <c r="AM102" s="27" t="s">
        <v>8</v>
      </c>
      <c r="AP102" s="27" t="s">
        <v>7</v>
      </c>
    </row>
    <row r="103" spans="1:42" x14ac:dyDescent="0.25">
      <c r="A103" s="30">
        <v>5.5599173134922388</v>
      </c>
      <c r="E103"/>
      <c r="U103" s="27" t="s">
        <v>8</v>
      </c>
      <c r="V103" s="27" t="s">
        <v>7</v>
      </c>
      <c r="W103" s="27" t="s">
        <v>8</v>
      </c>
      <c r="X103" s="27" t="s">
        <v>7</v>
      </c>
      <c r="Y103" s="27" t="s">
        <v>8</v>
      </c>
      <c r="Z103" s="27" t="s">
        <v>7</v>
      </c>
      <c r="AA103" s="27" t="s">
        <v>8</v>
      </c>
      <c r="AB103" s="27" t="s">
        <v>7</v>
      </c>
      <c r="AC103" s="27" t="s">
        <v>8</v>
      </c>
      <c r="AF103" s="27" t="s">
        <v>7</v>
      </c>
      <c r="AG103" s="27" t="s">
        <v>8</v>
      </c>
      <c r="AH103" s="27" t="s">
        <v>7</v>
      </c>
      <c r="AM103" s="27" t="s">
        <v>8</v>
      </c>
      <c r="AP103" s="27" t="s">
        <v>7</v>
      </c>
    </row>
    <row r="104" spans="1:42" x14ac:dyDescent="0.25">
      <c r="A104" s="30">
        <v>5.0544702849929442</v>
      </c>
      <c r="E104"/>
      <c r="U104" s="27" t="s">
        <v>8</v>
      </c>
      <c r="V104" s="27" t="s">
        <v>7</v>
      </c>
      <c r="W104" s="27" t="s">
        <v>8</v>
      </c>
      <c r="X104" s="27" t="s">
        <v>7</v>
      </c>
      <c r="Y104" s="27" t="s">
        <v>8</v>
      </c>
      <c r="Z104" s="27" t="s">
        <v>7</v>
      </c>
      <c r="AB104" s="27" t="s">
        <v>7</v>
      </c>
      <c r="AF104" s="27" t="s">
        <v>7</v>
      </c>
      <c r="AH104" s="27" t="s">
        <v>7</v>
      </c>
      <c r="AI104" s="27" t="s">
        <v>8</v>
      </c>
      <c r="AM104" s="27" t="s">
        <v>8</v>
      </c>
      <c r="AP104" s="27" t="s">
        <v>7</v>
      </c>
    </row>
    <row r="105" spans="1:42" x14ac:dyDescent="0.25">
      <c r="A105" s="30">
        <v>4.594972986357222</v>
      </c>
      <c r="E105"/>
      <c r="U105" s="27" t="s">
        <v>8</v>
      </c>
      <c r="V105" s="27" t="s">
        <v>7</v>
      </c>
      <c r="X105" s="27" t="s">
        <v>7</v>
      </c>
      <c r="Y105" s="27" t="s">
        <v>8</v>
      </c>
      <c r="AH105" s="27" t="s">
        <v>7</v>
      </c>
      <c r="AI105" s="27" t="s">
        <v>8</v>
      </c>
      <c r="AJ105" s="27" t="s">
        <v>7</v>
      </c>
      <c r="AM105" s="27" t="s">
        <v>8</v>
      </c>
      <c r="AP105" s="27" t="s">
        <v>7</v>
      </c>
    </row>
    <row r="106" spans="1:42" x14ac:dyDescent="0.25">
      <c r="A106" s="30">
        <v>4.1772481694156562</v>
      </c>
      <c r="E106"/>
      <c r="U106" s="27" t="s">
        <v>8</v>
      </c>
      <c r="X106" s="27" t="s">
        <v>7</v>
      </c>
      <c r="AH106" s="27" t="s">
        <v>7</v>
      </c>
      <c r="AI106" s="27" t="s">
        <v>8</v>
      </c>
      <c r="AJ106" s="27" t="s">
        <v>7</v>
      </c>
      <c r="AM106" s="27" t="s">
        <v>8</v>
      </c>
      <c r="AP106" s="27" t="s">
        <v>7</v>
      </c>
    </row>
    <row r="107" spans="1:42" x14ac:dyDescent="0.25">
      <c r="A107" s="30">
        <v>3.7974983358324148</v>
      </c>
      <c r="E107"/>
      <c r="U107" s="27" t="s">
        <v>8</v>
      </c>
      <c r="AH107" s="27" t="s">
        <v>7</v>
      </c>
      <c r="AI107" s="27" t="s">
        <v>8</v>
      </c>
      <c r="AJ107" s="27" t="s">
        <v>7</v>
      </c>
      <c r="AK107" s="27" t="s">
        <v>8</v>
      </c>
      <c r="AM107" s="27" t="s">
        <v>8</v>
      </c>
      <c r="AP107" s="27" t="s">
        <v>7</v>
      </c>
    </row>
    <row r="108" spans="1:42" x14ac:dyDescent="0.25">
      <c r="A108" s="30">
        <v>3.4522712143931042</v>
      </c>
      <c r="E108"/>
      <c r="G108" s="27" t="s">
        <v>8</v>
      </c>
      <c r="S108" s="27" t="s">
        <v>8</v>
      </c>
      <c r="U108" s="27" t="s">
        <v>8</v>
      </c>
      <c r="AH108" s="27" t="s">
        <v>7</v>
      </c>
      <c r="AI108" s="27" t="s">
        <v>8</v>
      </c>
      <c r="AJ108" s="27" t="s">
        <v>7</v>
      </c>
      <c r="AK108" s="27" t="s">
        <v>8</v>
      </c>
      <c r="AL108" s="27" t="s">
        <v>7</v>
      </c>
      <c r="AM108" s="27" t="s">
        <v>8</v>
      </c>
      <c r="AP108" s="27" t="s">
        <v>7</v>
      </c>
    </row>
    <row r="109" spans="1:42" x14ac:dyDescent="0.25">
      <c r="A109" s="30">
        <v>3.1384283767210035</v>
      </c>
      <c r="E109"/>
      <c r="G109" s="27" t="s">
        <v>8</v>
      </c>
      <c r="H109" s="27" t="s">
        <v>7</v>
      </c>
      <c r="S109" s="27" t="s">
        <v>8</v>
      </c>
      <c r="T109" s="27" t="s">
        <v>7</v>
      </c>
      <c r="U109" s="27" t="s">
        <v>8</v>
      </c>
      <c r="AH109" s="27" t="s">
        <v>7</v>
      </c>
      <c r="AJ109" s="27" t="s">
        <v>7</v>
      </c>
      <c r="AK109" s="27" t="s">
        <v>8</v>
      </c>
      <c r="AL109" s="27" t="s">
        <v>7</v>
      </c>
      <c r="AM109" s="27" t="s">
        <v>8</v>
      </c>
      <c r="AP109" s="27" t="s">
        <v>7</v>
      </c>
    </row>
    <row r="110" spans="1:42" x14ac:dyDescent="0.25">
      <c r="A110" s="30">
        <v>2.8531167061100029</v>
      </c>
      <c r="E110"/>
      <c r="G110" s="27" t="s">
        <v>8</v>
      </c>
      <c r="H110" s="27" t="s">
        <v>7</v>
      </c>
      <c r="S110" s="27" t="s">
        <v>8</v>
      </c>
      <c r="T110" s="27" t="s">
        <v>7</v>
      </c>
      <c r="U110" s="27" t="s">
        <v>8</v>
      </c>
      <c r="AJ110" s="27" t="s">
        <v>7</v>
      </c>
      <c r="AK110" s="27" t="s">
        <v>8</v>
      </c>
      <c r="AL110" s="18" t="s">
        <v>7</v>
      </c>
      <c r="AM110" s="27" t="s">
        <v>8</v>
      </c>
      <c r="AP110" s="27" t="s">
        <v>7</v>
      </c>
    </row>
    <row r="111" spans="1:42" x14ac:dyDescent="0.25">
      <c r="A111" s="30">
        <v>2.5937424601000023</v>
      </c>
      <c r="C111" s="1" t="str">
        <f>ADDRESS(C121-1,1,1,1)</f>
        <v>$A$113</v>
      </c>
      <c r="D111" s="1" t="str">
        <f>ADDRESS(C121-1,D121,1,1)</f>
        <v>$AP$113</v>
      </c>
      <c r="E111"/>
      <c r="G111" s="27" t="s">
        <v>8</v>
      </c>
      <c r="H111" s="27" t="s">
        <v>7</v>
      </c>
      <c r="S111" s="27" t="s">
        <v>8</v>
      </c>
      <c r="T111" s="27" t="s">
        <v>7</v>
      </c>
      <c r="AJ111" s="27" t="s">
        <v>7</v>
      </c>
      <c r="AL111" s="27" t="s">
        <v>7</v>
      </c>
      <c r="AP111" s="27" t="s">
        <v>7</v>
      </c>
    </row>
    <row r="112" spans="1:42" x14ac:dyDescent="0.25">
      <c r="A112" s="30">
        <v>2.3579476910000019</v>
      </c>
      <c r="C112" s="1" t="str">
        <f>ADDRESS(C121,1,1,1)</f>
        <v>$A$114</v>
      </c>
      <c r="D112" s="1" t="str">
        <f>ADDRESS(C121,D121-1,1,1)</f>
        <v>$AO$114</v>
      </c>
      <c r="E112"/>
      <c r="G112" s="27" t="s">
        <v>8</v>
      </c>
      <c r="H112" s="27" t="s">
        <v>7</v>
      </c>
      <c r="S112" s="27" t="s">
        <v>8</v>
      </c>
      <c r="AP112" s="27" t="s">
        <v>7</v>
      </c>
    </row>
    <row r="113" spans="1:42" x14ac:dyDescent="0.25">
      <c r="A113" s="30">
        <v>2.1435888100000016</v>
      </c>
      <c r="C113" s="1" t="str">
        <f>ADDRESS(C121+1,1,1,1)</f>
        <v>$A$115</v>
      </c>
      <c r="D113" s="1" t="str">
        <f>ADDRESS(C121-1,D121+1,1,1)</f>
        <v>$AQ$113</v>
      </c>
      <c r="E113" s="1" t="s">
        <v>8</v>
      </c>
      <c r="G113" s="27" t="s">
        <v>8</v>
      </c>
      <c r="H113" s="27" t="s">
        <v>7</v>
      </c>
      <c r="S113" s="27" t="s">
        <v>8</v>
      </c>
      <c r="AP113" s="27" t="s">
        <v>7</v>
      </c>
    </row>
    <row r="114" spans="1:42" x14ac:dyDescent="0.25">
      <c r="A114" s="30">
        <v>1.9487171000000014</v>
      </c>
      <c r="C114" s="1" t="str">
        <f>ADDRESS(C121,D121,1,1)</f>
        <v>$AP$114</v>
      </c>
      <c r="D114" s="1" t="str">
        <f>ADDRESS(C121+1,D121+1,1,1)</f>
        <v>$AQ$115</v>
      </c>
      <c r="E114" s="1" t="s">
        <v>8</v>
      </c>
      <c r="F114" s="27" t="s">
        <v>7</v>
      </c>
      <c r="G114" s="27" t="s">
        <v>8</v>
      </c>
      <c r="H114" s="27" t="s">
        <v>7</v>
      </c>
      <c r="Q114" s="27" t="s">
        <v>8</v>
      </c>
      <c r="S114" s="27" t="s">
        <v>8</v>
      </c>
      <c r="AP114" s="27" t="s">
        <v>7</v>
      </c>
    </row>
    <row r="115" spans="1:42" x14ac:dyDescent="0.25">
      <c r="A115" s="30">
        <v>1.7715610000000011</v>
      </c>
      <c r="C115" s="1" t="str">
        <f>ADDRESS(C121+1,D121,1,1)</f>
        <v>$AP$115</v>
      </c>
      <c r="E115" s="1" t="s">
        <v>8</v>
      </c>
      <c r="F115" s="27" t="s">
        <v>7</v>
      </c>
      <c r="G115" s="27" t="s">
        <v>8</v>
      </c>
      <c r="H115" s="27" t="s">
        <v>7</v>
      </c>
      <c r="O115" s="27" t="s">
        <v>8</v>
      </c>
      <c r="Q115" s="27" t="s">
        <v>8</v>
      </c>
      <c r="R115" s="27" t="s">
        <v>7</v>
      </c>
      <c r="S115" s="27" t="s">
        <v>8</v>
      </c>
    </row>
    <row r="116" spans="1:42" x14ac:dyDescent="0.25">
      <c r="A116" s="30">
        <v>1.6105100000000008</v>
      </c>
      <c r="C116" s="1">
        <f>C117-1</f>
        <v>113</v>
      </c>
      <c r="E116" s="1" t="s">
        <v>8</v>
      </c>
      <c r="F116" s="27" t="s">
        <v>7</v>
      </c>
      <c r="G116" s="27" t="s">
        <v>8</v>
      </c>
      <c r="H116" s="27" t="s">
        <v>7</v>
      </c>
      <c r="I116" s="27" t="s">
        <v>8</v>
      </c>
      <c r="O116" s="27" t="s">
        <v>8</v>
      </c>
      <c r="P116" s="27" t="s">
        <v>7</v>
      </c>
      <c r="Q116" s="27" t="s">
        <v>8</v>
      </c>
      <c r="R116" s="27" t="s">
        <v>7</v>
      </c>
      <c r="S116" s="27" t="s">
        <v>8</v>
      </c>
    </row>
    <row r="117" spans="1:42" x14ac:dyDescent="0.25">
      <c r="A117" s="30">
        <v>1.4641000000000006</v>
      </c>
      <c r="C117" s="1">
        <f>C121</f>
        <v>114</v>
      </c>
      <c r="D117" s="1">
        <f>D121</f>
        <v>42</v>
      </c>
      <c r="E117" s="1" t="s">
        <v>8</v>
      </c>
      <c r="F117" s="27" t="s">
        <v>7</v>
      </c>
      <c r="H117" s="27" t="s">
        <v>7</v>
      </c>
      <c r="I117" s="27" t="s">
        <v>8</v>
      </c>
      <c r="J117" s="27" t="s">
        <v>7</v>
      </c>
      <c r="O117" s="27" t="s">
        <v>8</v>
      </c>
      <c r="P117" s="27" t="s">
        <v>7</v>
      </c>
      <c r="Q117" s="27" t="s">
        <v>8</v>
      </c>
      <c r="R117" s="27" t="s">
        <v>7</v>
      </c>
    </row>
    <row r="118" spans="1:42" x14ac:dyDescent="0.25">
      <c r="A118" s="30">
        <v>1.3310000000000004</v>
      </c>
      <c r="C118" s="1">
        <f>C117+1</f>
        <v>115</v>
      </c>
      <c r="D118" s="1">
        <f>D117+1</f>
        <v>43</v>
      </c>
      <c r="E118" s="1" t="s">
        <v>8</v>
      </c>
      <c r="H118" s="27" t="s">
        <v>7</v>
      </c>
      <c r="I118" s="27" t="s">
        <v>8</v>
      </c>
      <c r="J118" s="27" t="s">
        <v>7</v>
      </c>
      <c r="K118" s="27" t="s">
        <v>8</v>
      </c>
      <c r="M118" s="27" t="s">
        <v>8</v>
      </c>
      <c r="O118" s="27" t="s">
        <v>8</v>
      </c>
      <c r="P118" s="27" t="s">
        <v>7</v>
      </c>
      <c r="Q118" s="27" t="s">
        <v>8</v>
      </c>
    </row>
    <row r="119" spans="1:42" x14ac:dyDescent="0.25">
      <c r="A119" s="30">
        <v>1.2100000000000002</v>
      </c>
      <c r="E119" s="1" t="s">
        <v>8</v>
      </c>
      <c r="H119" s="27" t="s">
        <v>7</v>
      </c>
      <c r="I119" s="27" t="s">
        <v>8</v>
      </c>
      <c r="J119" s="27" t="s">
        <v>7</v>
      </c>
      <c r="K119" s="27" t="s">
        <v>8</v>
      </c>
      <c r="L119" s="27" t="s">
        <v>7</v>
      </c>
      <c r="M119" s="27" t="s">
        <v>8</v>
      </c>
      <c r="N119" s="27" t="s">
        <v>7</v>
      </c>
      <c r="O119" s="27" t="s">
        <v>8</v>
      </c>
      <c r="P119" s="27" t="s">
        <v>7</v>
      </c>
    </row>
    <row r="120" spans="1:42" x14ac:dyDescent="0.25">
      <c r="A120" s="30">
        <v>1.1000000000000001</v>
      </c>
      <c r="C120" s="1" t="s">
        <v>9</v>
      </c>
      <c r="E120" s="1" t="s">
        <v>8</v>
      </c>
      <c r="H120" s="27" t="s">
        <v>7</v>
      </c>
      <c r="J120" s="27" t="s">
        <v>7</v>
      </c>
      <c r="K120" s="27" t="s">
        <v>8</v>
      </c>
      <c r="L120" s="27" t="s">
        <v>7</v>
      </c>
      <c r="M120" s="27" t="s">
        <v>8</v>
      </c>
      <c r="N120" s="27" t="s">
        <v>7</v>
      </c>
      <c r="O120" s="27" t="s">
        <v>8</v>
      </c>
    </row>
    <row r="121" spans="1:42" x14ac:dyDescent="0.25">
      <c r="A121" s="30">
        <v>1</v>
      </c>
      <c r="C121" s="18">
        <v>114</v>
      </c>
      <c r="D121" s="19">
        <v>42</v>
      </c>
      <c r="E121" s="18" t="s">
        <v>8</v>
      </c>
      <c r="J121" s="27" t="s">
        <v>7</v>
      </c>
      <c r="K121" s="27" t="s">
        <v>8</v>
      </c>
      <c r="L121" s="27" t="s">
        <v>7</v>
      </c>
      <c r="N121" s="27" t="s">
        <v>7</v>
      </c>
      <c r="O121" s="27" t="s">
        <v>8</v>
      </c>
    </row>
    <row r="122" spans="1:42" x14ac:dyDescent="0.25">
      <c r="A122" s="30">
        <v>0.90909090909090895</v>
      </c>
      <c r="C122" s="1" t="str">
        <f>INDEX(1:1048576,C117,D117)</f>
        <v>O</v>
      </c>
      <c r="J122" s="27" t="s">
        <v>7</v>
      </c>
      <c r="K122" s="27" t="s">
        <v>8</v>
      </c>
      <c r="N122" s="27" t="s">
        <v>7</v>
      </c>
    </row>
    <row r="123" spans="1:42" x14ac:dyDescent="0.25">
      <c r="A123" s="30">
        <v>0.82644628099173523</v>
      </c>
      <c r="C123" s="1" t="str">
        <f>"R"&amp;C121</f>
        <v>R114</v>
      </c>
      <c r="D123" s="1" t="str">
        <f>"C"&amp;D121</f>
        <v>C42</v>
      </c>
      <c r="J123" s="27" t="s">
        <v>7</v>
      </c>
    </row>
    <row r="124" spans="1:42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42" x14ac:dyDescent="0.25">
      <c r="A125" s="30">
        <v>0.68301345536507019</v>
      </c>
    </row>
    <row r="126" spans="1:42" x14ac:dyDescent="0.25">
      <c r="A126" s="30">
        <v>0.6209213230591546</v>
      </c>
      <c r="C126" s="1" t="s">
        <v>10</v>
      </c>
    </row>
    <row r="127" spans="1:42" x14ac:dyDescent="0.25">
      <c r="A127" s="30">
        <v>0.56447393005377677</v>
      </c>
      <c r="C127" s="30">
        <v>1.9487171000000014</v>
      </c>
      <c r="D127"/>
    </row>
    <row r="128" spans="1:42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9" operator="equal">
      <formula>$U$1</formula>
    </cfRule>
    <cfRule type="cellIs" dxfId="30" priority="940" operator="equal">
      <formula>$S$1</formula>
    </cfRule>
  </conditionalFormatting>
  <conditionalFormatting sqref="D136">
    <cfRule type="cellIs" dxfId="29" priority="937" operator="equal">
      <formula>$S$1</formula>
    </cfRule>
    <cfRule type="cellIs" dxfId="28" priority="938" operator="equal">
      <formula>$U$1</formula>
    </cfRule>
  </conditionalFormatting>
  <conditionalFormatting sqref="C102">
    <cfRule type="cellIs" dxfId="27" priority="935" operator="equal">
      <formula>$U$1</formula>
    </cfRule>
    <cfRule type="cellIs" dxfId="26" priority="936" operator="equal">
      <formula>$S$1</formula>
    </cfRule>
  </conditionalFormatting>
  <conditionalFormatting sqref="D102">
    <cfRule type="cellIs" dxfId="25" priority="933" operator="equal">
      <formula>$S$1</formula>
    </cfRule>
    <cfRule type="cellIs" dxfId="24" priority="934" operator="equal">
      <formula>$U$1</formula>
    </cfRule>
  </conditionalFormatting>
  <conditionalFormatting sqref="C77">
    <cfRule type="cellIs" dxfId="23" priority="931" operator="equal">
      <formula>$U$1</formula>
    </cfRule>
    <cfRule type="cellIs" dxfId="22" priority="932" operator="equal">
      <formula>$S$1</formula>
    </cfRule>
  </conditionalFormatting>
  <conditionalFormatting sqref="D77">
    <cfRule type="cellIs" dxfId="21" priority="929" operator="equal">
      <formula>$S$1</formula>
    </cfRule>
    <cfRule type="cellIs" dxfId="20" priority="930" operator="equal">
      <formula>$U$1</formula>
    </cfRule>
  </conditionalFormatting>
  <conditionalFormatting sqref="C52">
    <cfRule type="cellIs" dxfId="19" priority="927" operator="equal">
      <formula>$U$1</formula>
    </cfRule>
    <cfRule type="cellIs" dxfId="18" priority="928" operator="equal">
      <formula>$S$1</formula>
    </cfRule>
  </conditionalFormatting>
  <conditionalFormatting sqref="D52">
    <cfRule type="cellIs" dxfId="17" priority="925" operator="equal">
      <formula>$S$1</formula>
    </cfRule>
    <cfRule type="cellIs" dxfId="16" priority="926" operator="equal">
      <formula>$U$1</formula>
    </cfRule>
  </conditionalFormatting>
  <conditionalFormatting sqref="C26">
    <cfRule type="cellIs" dxfId="15" priority="923" operator="equal">
      <formula>$U$1</formula>
    </cfRule>
    <cfRule type="cellIs" dxfId="14" priority="924" operator="equal">
      <formula>$S$1</formula>
    </cfRule>
  </conditionalFormatting>
  <conditionalFormatting sqref="D26">
    <cfRule type="cellIs" dxfId="13" priority="921" operator="equal">
      <formula>$S$1</formula>
    </cfRule>
    <cfRule type="cellIs" dxfId="12" priority="9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topLeftCell="A2" workbookViewId="0">
      <selection activeCell="D36" sqref="D35:D36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2.4066192336910861</v>
      </c>
      <c r="F3" s="30">
        <v>2.5269501953756404</v>
      </c>
      <c r="G3" s="30">
        <v>7.3919881477308929</v>
      </c>
      <c r="H3" s="25">
        <f>IF(G3="","",(3*(G3-F3))+E3)</f>
        <v>17.001733090756844</v>
      </c>
      <c r="I3" s="7"/>
      <c r="J3" s="7">
        <f>(E3+G3)/2</f>
        <v>4.8993036907109895</v>
      </c>
      <c r="K3" s="7">
        <f>H3/2</f>
        <v>8.5008665453784218</v>
      </c>
      <c r="M3" s="26">
        <f>IF(OR(J3="",H3=""),"",H3/J3)</f>
        <v>3.4702345810878983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2022-01-28T01:21:26Z</dcterms:modified>
</cp:coreProperties>
</file>