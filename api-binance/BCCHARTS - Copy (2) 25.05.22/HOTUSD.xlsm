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DB657F5-9ED6-4117-B2FE-5BD5873BB7A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79" i="1"/>
  <c r="Q1079" i="1" s="1"/>
  <c r="R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79" i="1"/>
  <c r="T107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8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6" i="5"/>
  <c r="C2" i="1" l="1"/>
  <c r="D2" i="1"/>
  <c r="C122" i="4"/>
  <c r="C133" i="4" s="1"/>
  <c r="D136" i="4" s="1"/>
  <c r="C116" i="4"/>
  <c r="C118" i="4"/>
  <c r="R1078" i="1"/>
  <c r="S1078" i="1" s="1"/>
  <c r="T1078" i="1" s="1"/>
  <c r="D136" i="5"/>
  <c r="C136" i="5"/>
  <c r="C118" i="3"/>
  <c r="C122" i="3"/>
  <c r="C133" i="3" s="1"/>
  <c r="D136" i="3" s="1"/>
  <c r="R1077" i="1"/>
  <c r="C138" i="5" l="1"/>
  <c r="C136" i="4"/>
  <c r="C138" i="4" s="1"/>
  <c r="C136" i="3"/>
  <c r="C138" i="3" s="1"/>
  <c r="R1076" i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R565" i="1" l="1"/>
  <c r="S566" i="1"/>
  <c r="T566" i="1" s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<sst xmlns="http://schemas.openxmlformats.org/spreadsheetml/2006/main" count="8940" uniqueCount="34">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</sst>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4.3150000000000003E-3</c:v>
                </c:pt>
                <c:pt idx="1">
                  <c:v>4.4770000000000001E-3</c:v>
                </c:pt>
                <c:pt idx="2">
                  <c:v>4.3319999999999999E-3</c:v>
                </c:pt>
                <c:pt idx="3">
                  <c:v>4.5199999999999997E-3</c:v>
                </c:pt>
                <c:pt idx="4">
                  <c:v>4.529E-3</c:v>
                </c:pt>
                <c:pt idx="5">
                  <c:v>4.3439999999999998E-3</c:v>
                </c:pt>
                <c:pt idx="6">
                  <c:v>4.6100000000000004E-3</c:v>
                </c:pt>
                <c:pt idx="7">
                  <c:v>5.4419999999999998E-3</c:v>
                </c:pt>
                <c:pt idx="8">
                  <c:v>5.7089999999999997E-3</c:v>
                </c:pt>
                <c:pt idx="9">
                  <c:v>5.9280000000000001E-3</c:v>
                </c:pt>
                <c:pt idx="10">
                  <c:v>5.9829999999999996E-3</c:v>
                </c:pt>
                <c:pt idx="11">
                  <c:v>6.3759999999999997E-3</c:v>
                </c:pt>
                <c:pt idx="12">
                  <c:v>6.2830000000000004E-3</c:v>
                </c:pt>
                <c:pt idx="13">
                  <c:v>6.3290000000000004E-3</c:v>
                </c:pt>
                <c:pt idx="14">
                  <c:v>6.1069999999999996E-3</c:v>
                </c:pt>
                <c:pt idx="15">
                  <c:v>6.5420000000000001E-3</c:v>
                </c:pt>
                <c:pt idx="16">
                  <c:v>6.0920000000000002E-3</c:v>
                </c:pt>
                <c:pt idx="17">
                  <c:v>5.7800000000000004E-3</c:v>
                </c:pt>
                <c:pt idx="18">
                  <c:v>6.0559999999999998E-3</c:v>
                </c:pt>
                <c:pt idx="19">
                  <c:v>5.94E-3</c:v>
                </c:pt>
                <c:pt idx="20">
                  <c:v>6.2750000000000002E-3</c:v>
                </c:pt>
                <c:pt idx="21">
                  <c:v>6.6519999999999999E-3</c:v>
                </c:pt>
                <c:pt idx="22">
                  <c:v>6.7289999999999997E-3</c:v>
                </c:pt>
                <c:pt idx="23">
                  <c:v>7.2100000000000003E-3</c:v>
                </c:pt>
                <c:pt idx="24">
                  <c:v>7.2909999999999997E-3</c:v>
                </c:pt>
                <c:pt idx="25">
                  <c:v>7.4710000000000002E-3</c:v>
                </c:pt>
                <c:pt idx="26">
                  <c:v>7.4409999999999997E-3</c:v>
                </c:pt>
                <c:pt idx="27">
                  <c:v>7.2989999999999999E-3</c:v>
                </c:pt>
                <c:pt idx="28">
                  <c:v>7.365E-3</c:v>
                </c:pt>
                <c:pt idx="29">
                  <c:v>7.4110000000000001E-3</c:v>
                </c:pt>
                <c:pt idx="30">
                  <c:v>7.6769999999999998E-3</c:v>
                </c:pt>
                <c:pt idx="31">
                  <c:v>8.5579999999999996E-3</c:v>
                </c:pt>
                <c:pt idx="32">
                  <c:v>8.685E-3</c:v>
                </c:pt>
                <c:pt idx="33">
                  <c:v>8.6239999999999997E-3</c:v>
                </c:pt>
                <c:pt idx="34">
                  <c:v>8.6079999999999993E-3</c:v>
                </c:pt>
                <c:pt idx="35">
                  <c:v>8.6459999999999992E-3</c:v>
                </c:pt>
                <c:pt idx="36">
                  <c:v>8.1550000000000008E-3</c:v>
                </c:pt>
                <c:pt idx="37">
                  <c:v>8.0689999999999998E-3</c:v>
                </c:pt>
                <c:pt idx="38">
                  <c:v>7.6400000000000001E-3</c:v>
                </c:pt>
                <c:pt idx="39">
                  <c:v>7.3899999999999999E-3</c:v>
                </c:pt>
                <c:pt idx="40">
                  <c:v>7.463E-3</c:v>
                </c:pt>
                <c:pt idx="41">
                  <c:v>7.3610000000000004E-3</c:v>
                </c:pt>
                <c:pt idx="42">
                  <c:v>7.8130000000000005E-3</c:v>
                </c:pt>
                <c:pt idx="43">
                  <c:v>8.2019999999999992E-3</c:v>
                </c:pt>
                <c:pt idx="44">
                  <c:v>7.9909999999999998E-3</c:v>
                </c:pt>
                <c:pt idx="45">
                  <c:v>7.7470000000000004E-3</c:v>
                </c:pt>
                <c:pt idx="46">
                  <c:v>8.7360000000000007E-3</c:v>
                </c:pt>
                <c:pt idx="47">
                  <c:v>8.4770000000000002E-3</c:v>
                </c:pt>
                <c:pt idx="48">
                  <c:v>8.4340000000000005E-3</c:v>
                </c:pt>
                <c:pt idx="49">
                  <c:v>8.9230000000000004E-3</c:v>
                </c:pt>
                <c:pt idx="50">
                  <c:v>9.8860000000000007E-3</c:v>
                </c:pt>
                <c:pt idx="51">
                  <c:v>9.6360000000000005E-3</c:v>
                </c:pt>
                <c:pt idx="52">
                  <c:v>9.6399999999999993E-3</c:v>
                </c:pt>
                <c:pt idx="53">
                  <c:v>9.2849999999999999E-3</c:v>
                </c:pt>
                <c:pt idx="54">
                  <c:v>1.0127000000000001E-2</c:v>
                </c:pt>
                <c:pt idx="55">
                  <c:v>1.1013E-2</c:v>
                </c:pt>
                <c:pt idx="56">
                  <c:v>1.1502999999999999E-2</c:v>
                </c:pt>
                <c:pt idx="57">
                  <c:v>1.1786E-2</c:v>
                </c:pt>
                <c:pt idx="58">
                  <c:v>1.2015E-2</c:v>
                </c:pt>
                <c:pt idx="59">
                  <c:v>1.2324999999999999E-2</c:v>
                </c:pt>
                <c:pt idx="60">
                  <c:v>1.2361E-2</c:v>
                </c:pt>
                <c:pt idx="61">
                  <c:v>1.2146000000000001E-2</c:v>
                </c:pt>
                <c:pt idx="62">
                  <c:v>1.1932999999999999E-2</c:v>
                </c:pt>
                <c:pt idx="63">
                  <c:v>1.3879000000000001E-2</c:v>
                </c:pt>
                <c:pt idx="64">
                  <c:v>1.3899E-2</c:v>
                </c:pt>
                <c:pt idx="65">
                  <c:v>1.4014E-2</c:v>
                </c:pt>
                <c:pt idx="66">
                  <c:v>1.303E-2</c:v>
                </c:pt>
                <c:pt idx="67">
                  <c:v>1.3858000000000001E-2</c:v>
                </c:pt>
                <c:pt idx="68">
                  <c:v>1.3566E-2</c:v>
                </c:pt>
                <c:pt idx="69">
                  <c:v>1.2685999999999999E-2</c:v>
                </c:pt>
                <c:pt idx="70">
                  <c:v>1.1668E-2</c:v>
                </c:pt>
                <c:pt idx="71">
                  <c:v>1.2524E-2</c:v>
                </c:pt>
                <c:pt idx="72">
                  <c:v>1.2609E-2</c:v>
                </c:pt>
                <c:pt idx="73">
                  <c:v>1.3618E-2</c:v>
                </c:pt>
                <c:pt idx="74">
                  <c:v>1.337E-2</c:v>
                </c:pt>
                <c:pt idx="75">
                  <c:v>1.3462E-2</c:v>
                </c:pt>
                <c:pt idx="76">
                  <c:v>1.3453E-2</c:v>
                </c:pt>
                <c:pt idx="77">
                  <c:v>1.3885E-2</c:v>
                </c:pt>
                <c:pt idx="78">
                  <c:v>1.3712E-2</c:v>
                </c:pt>
                <c:pt idx="79">
                  <c:v>1.4898E-2</c:v>
                </c:pt>
                <c:pt idx="80">
                  <c:v>1.4773E-2</c:v>
                </c:pt>
                <c:pt idx="81">
                  <c:v>1.4808E-2</c:v>
                </c:pt>
                <c:pt idx="82">
                  <c:v>1.4733E-2</c:v>
                </c:pt>
                <c:pt idx="83">
                  <c:v>1.4149E-2</c:v>
                </c:pt>
                <c:pt idx="84">
                  <c:v>1.4876E-2</c:v>
                </c:pt>
                <c:pt idx="85">
                  <c:v>1.5722E-2</c:v>
                </c:pt>
                <c:pt idx="86">
                  <c:v>1.3897E-2</c:v>
                </c:pt>
                <c:pt idx="87">
                  <c:v>1.3082E-2</c:v>
                </c:pt>
                <c:pt idx="88">
                  <c:v>1.4002000000000001E-2</c:v>
                </c:pt>
                <c:pt idx="89">
                  <c:v>1.0581E-2</c:v>
                </c:pt>
                <c:pt idx="90">
                  <c:v>1.0822E-2</c:v>
                </c:pt>
                <c:pt idx="91">
                  <c:v>1.0241E-2</c:v>
                </c:pt>
                <c:pt idx="92">
                  <c:v>1.0298E-2</c:v>
                </c:pt>
                <c:pt idx="93">
                  <c:v>1.1476E-2</c:v>
                </c:pt>
                <c:pt idx="94">
                  <c:v>9.6200000000000001E-3</c:v>
                </c:pt>
                <c:pt idx="95">
                  <c:v>9.2750000000000003E-3</c:v>
                </c:pt>
                <c:pt idx="96">
                  <c:v>9.5960000000000004E-3</c:v>
                </c:pt>
                <c:pt idx="97">
                  <c:v>9.6229999999999996E-3</c:v>
                </c:pt>
                <c:pt idx="98">
                  <c:v>9.5549999999999993E-3</c:v>
                </c:pt>
                <c:pt idx="99">
                  <c:v>9.7339999999999996E-3</c:v>
                </c:pt>
                <c:pt idx="100">
                  <c:v>9.1660000000000005E-3</c:v>
                </c:pt>
                <c:pt idx="101">
                  <c:v>9.2149999999999992E-3</c:v>
                </c:pt>
                <c:pt idx="102">
                  <c:v>9.3259999999999992E-3</c:v>
                </c:pt>
                <c:pt idx="103">
                  <c:v>9.2919999999999999E-3</c:v>
                </c:pt>
                <c:pt idx="104">
                  <c:v>9.1629999999999993E-3</c:v>
                </c:pt>
                <c:pt idx="105">
                  <c:v>9.2040000000000004E-3</c:v>
                </c:pt>
                <c:pt idx="106">
                  <c:v>9.2239999999999996E-3</c:v>
                </c:pt>
                <c:pt idx="107">
                  <c:v>9.1199999999999996E-3</c:v>
                </c:pt>
                <c:pt idx="108">
                  <c:v>9.2219999999999993E-3</c:v>
                </c:pt>
                <c:pt idx="109">
                  <c:v>9.1789999999999997E-3</c:v>
                </c:pt>
                <c:pt idx="110">
                  <c:v>9.6930000000000002E-3</c:v>
                </c:pt>
                <c:pt idx="111">
                  <c:v>9.4280000000000006E-3</c:v>
                </c:pt>
                <c:pt idx="112">
                  <c:v>9.4400000000000005E-3</c:v>
                </c:pt>
                <c:pt idx="113">
                  <c:v>9.6679999999999995E-3</c:v>
                </c:pt>
                <c:pt idx="114">
                  <c:v>9.8340000000000007E-3</c:v>
                </c:pt>
                <c:pt idx="115">
                  <c:v>9.1339999999999998E-3</c:v>
                </c:pt>
                <c:pt idx="116">
                  <c:v>9.391E-3</c:v>
                </c:pt>
                <c:pt idx="117">
                  <c:v>8.6029999999999995E-3</c:v>
                </c:pt>
                <c:pt idx="118">
                  <c:v>8.6280000000000003E-3</c:v>
                </c:pt>
                <c:pt idx="119">
                  <c:v>7.9100000000000004E-3</c:v>
                </c:pt>
                <c:pt idx="120">
                  <c:v>7.5989999999999999E-3</c:v>
                </c:pt>
                <c:pt idx="121">
                  <c:v>7.4819999999999999E-3</c:v>
                </c:pt>
                <c:pt idx="122">
                  <c:v>7.718E-3</c:v>
                </c:pt>
                <c:pt idx="123">
                  <c:v>7.9030000000000003E-3</c:v>
                </c:pt>
                <c:pt idx="124">
                  <c:v>7.9550000000000003E-3</c:v>
                </c:pt>
                <c:pt idx="125">
                  <c:v>8.1890000000000001E-3</c:v>
                </c:pt>
                <c:pt idx="126">
                  <c:v>8.8100000000000001E-3</c:v>
                </c:pt>
                <c:pt idx="127">
                  <c:v>8.8199999999999997E-3</c:v>
                </c:pt>
                <c:pt idx="128">
                  <c:v>7.6150000000000002E-3</c:v>
                </c:pt>
                <c:pt idx="129">
                  <c:v>8.6390000000000008E-3</c:v>
                </c:pt>
                <c:pt idx="130">
                  <c:v>9.469E-3</c:v>
                </c:pt>
                <c:pt idx="131">
                  <c:v>9.7310000000000001E-3</c:v>
                </c:pt>
                <c:pt idx="132">
                  <c:v>9.5060000000000006E-3</c:v>
                </c:pt>
                <c:pt idx="133">
                  <c:v>9.7429999999999999E-3</c:v>
                </c:pt>
                <c:pt idx="134">
                  <c:v>1.0107E-2</c:v>
                </c:pt>
                <c:pt idx="135">
                  <c:v>9.8650000000000005E-3</c:v>
                </c:pt>
                <c:pt idx="136">
                  <c:v>9.6089999999999995E-3</c:v>
                </c:pt>
                <c:pt idx="137">
                  <c:v>1.0011000000000001E-2</c:v>
                </c:pt>
                <c:pt idx="138">
                  <c:v>9.8189999999999996E-3</c:v>
                </c:pt>
                <c:pt idx="139">
                  <c:v>9.7409999999999997E-3</c:v>
                </c:pt>
                <c:pt idx="140">
                  <c:v>1.0196E-2</c:v>
                </c:pt>
                <c:pt idx="141">
                  <c:v>1.0142E-2</c:v>
                </c:pt>
                <c:pt idx="142">
                  <c:v>1.0045999999999999E-2</c:v>
                </c:pt>
                <c:pt idx="143">
                  <c:v>1.2305E-2</c:v>
                </c:pt>
                <c:pt idx="144">
                  <c:v>1.3077E-2</c:v>
                </c:pt>
                <c:pt idx="145">
                  <c:v>1.2047E-2</c:v>
                </c:pt>
                <c:pt idx="146">
                  <c:v>1.2381E-2</c:v>
                </c:pt>
                <c:pt idx="147">
                  <c:v>1.2984000000000001E-2</c:v>
                </c:pt>
                <c:pt idx="148">
                  <c:v>1.1023E-2</c:v>
                </c:pt>
                <c:pt idx="149">
                  <c:v>1.0548999999999999E-2</c:v>
                </c:pt>
                <c:pt idx="150">
                  <c:v>1.0465E-2</c:v>
                </c:pt>
                <c:pt idx="151">
                  <c:v>1.1022000000000001E-2</c:v>
                </c:pt>
                <c:pt idx="152">
                  <c:v>1.1382E-2</c:v>
                </c:pt>
                <c:pt idx="153">
                  <c:v>1.0566000000000001E-2</c:v>
                </c:pt>
                <c:pt idx="154">
                  <c:v>9.9500000000000005E-3</c:v>
                </c:pt>
                <c:pt idx="155">
                  <c:v>1.0917E-2</c:v>
                </c:pt>
                <c:pt idx="156">
                  <c:v>1.0591E-2</c:v>
                </c:pt>
                <c:pt idx="157">
                  <c:v>1.1176E-2</c:v>
                </c:pt>
                <c:pt idx="158">
                  <c:v>1.0957E-2</c:v>
                </c:pt>
                <c:pt idx="159">
                  <c:v>1.0777E-2</c:v>
                </c:pt>
                <c:pt idx="160">
                  <c:v>1.1313999999999999E-2</c:v>
                </c:pt>
                <c:pt idx="161">
                  <c:v>1.0762000000000001E-2</c:v>
                </c:pt>
                <c:pt idx="162">
                  <c:v>1.0253E-2</c:v>
                </c:pt>
                <c:pt idx="163">
                  <c:v>1.0245000000000001E-2</c:v>
                </c:pt>
                <c:pt idx="164">
                  <c:v>1.1304E-2</c:v>
                </c:pt>
                <c:pt idx="165">
                  <c:v>1.1787000000000001E-2</c:v>
                </c:pt>
                <c:pt idx="166">
                  <c:v>1.1825E-2</c:v>
                </c:pt>
                <c:pt idx="167">
                  <c:v>1.2130999999999999E-2</c:v>
                </c:pt>
                <c:pt idx="168">
                  <c:v>1.0991000000000001E-2</c:v>
                </c:pt>
                <c:pt idx="169">
                  <c:v>1.1505E-2</c:v>
                </c:pt>
                <c:pt idx="170">
                  <c:v>9.7719999999999994E-3</c:v>
                </c:pt>
                <c:pt idx="171">
                  <c:v>8.541E-3</c:v>
                </c:pt>
                <c:pt idx="172">
                  <c:v>8.1569999999999993E-3</c:v>
                </c:pt>
                <c:pt idx="173">
                  <c:v>7.8480000000000008E-3</c:v>
                </c:pt>
                <c:pt idx="174">
                  <c:v>7.8510000000000003E-3</c:v>
                </c:pt>
                <c:pt idx="175">
                  <c:v>6.5319999999999996E-3</c:v>
                </c:pt>
                <c:pt idx="176">
                  <c:v>6.3759999999999997E-3</c:v>
                </c:pt>
                <c:pt idx="177">
                  <c:v>6.1380000000000002E-3</c:v>
                </c:pt>
                <c:pt idx="178">
                  <c:v>6.2269999999999999E-3</c:v>
                </c:pt>
                <c:pt idx="179">
                  <c:v>6.2249999999999996E-3</c:v>
                </c:pt>
                <c:pt idx="180">
                  <c:v>6.3150000000000003E-3</c:v>
                </c:pt>
                <c:pt idx="181">
                  <c:v>6.3730000000000002E-3</c:v>
                </c:pt>
                <c:pt idx="182">
                  <c:v>6.2449999999999997E-3</c:v>
                </c:pt>
                <c:pt idx="183">
                  <c:v>6.2179999999999996E-3</c:v>
                </c:pt>
                <c:pt idx="184">
                  <c:v>6.306E-3</c:v>
                </c:pt>
                <c:pt idx="185">
                  <c:v>5.9319999999999998E-3</c:v>
                </c:pt>
                <c:pt idx="186">
                  <c:v>5.339E-3</c:v>
                </c:pt>
                <c:pt idx="187">
                  <c:v>5.202E-3</c:v>
                </c:pt>
                <c:pt idx="188">
                  <c:v>5.1549999999999999E-3</c:v>
                </c:pt>
                <c:pt idx="189">
                  <c:v>4.895E-3</c:v>
                </c:pt>
                <c:pt idx="190">
                  <c:v>4.7850000000000002E-3</c:v>
                </c:pt>
                <c:pt idx="191">
                  <c:v>4.4549999999999998E-3</c:v>
                </c:pt>
                <c:pt idx="192">
                  <c:v>4.7949999999999998E-3</c:v>
                </c:pt>
                <c:pt idx="193">
                  <c:v>5.1139999999999996E-3</c:v>
                </c:pt>
                <c:pt idx="194">
                  <c:v>5.169E-3</c:v>
                </c:pt>
                <c:pt idx="195">
                  <c:v>5.0150000000000004E-3</c:v>
                </c:pt>
                <c:pt idx="196">
                  <c:v>5.2389999999999997E-3</c:v>
                </c:pt>
                <c:pt idx="197">
                  <c:v>5.4840000000000002E-3</c:v>
                </c:pt>
                <c:pt idx="198">
                  <c:v>5.4619999999999998E-3</c:v>
                </c:pt>
                <c:pt idx="199">
                  <c:v>5.6210000000000001E-3</c:v>
                </c:pt>
                <c:pt idx="200">
                  <c:v>5.7609999999999996E-3</c:v>
                </c:pt>
                <c:pt idx="201">
                  <c:v>5.6889999999999996E-3</c:v>
                </c:pt>
                <c:pt idx="202">
                  <c:v>5.803E-3</c:v>
                </c:pt>
                <c:pt idx="203">
                  <c:v>5.7400000000000003E-3</c:v>
                </c:pt>
                <c:pt idx="204">
                  <c:v>5.9909999999999998E-3</c:v>
                </c:pt>
                <c:pt idx="205">
                  <c:v>6.0289999999999996E-3</c:v>
                </c:pt>
                <c:pt idx="206">
                  <c:v>5.9569999999999996E-3</c:v>
                </c:pt>
                <c:pt idx="207">
                  <c:v>6.169E-3</c:v>
                </c:pt>
                <c:pt idx="208">
                  <c:v>6.0569999999999999E-3</c:v>
                </c:pt>
                <c:pt idx="209">
                  <c:v>5.8830000000000002E-3</c:v>
                </c:pt>
                <c:pt idx="210">
                  <c:v>5.8760000000000001E-3</c:v>
                </c:pt>
                <c:pt idx="211">
                  <c:v>6.1320000000000003E-3</c:v>
                </c:pt>
                <c:pt idx="212">
                  <c:v>6.2480000000000001E-3</c:v>
                </c:pt>
                <c:pt idx="213">
                  <c:v>5.9480000000000002E-3</c:v>
                </c:pt>
                <c:pt idx="214">
                  <c:v>5.9109999999999996E-3</c:v>
                </c:pt>
                <c:pt idx="215">
                  <c:v>5.6470000000000001E-3</c:v>
                </c:pt>
                <c:pt idx="216">
                  <c:v>5.5630000000000002E-3</c:v>
                </c:pt>
                <c:pt idx="217">
                  <c:v>6.0930000000000003E-3</c:v>
                </c:pt>
                <c:pt idx="218">
                  <c:v>5.9249999999999997E-3</c:v>
                </c:pt>
                <c:pt idx="219">
                  <c:v>5.4479999999999997E-3</c:v>
                </c:pt>
                <c:pt idx="220">
                  <c:v>5.9659999999999999E-3</c:v>
                </c:pt>
                <c:pt idx="221">
                  <c:v>7.4390000000000003E-3</c:v>
                </c:pt>
                <c:pt idx="222">
                  <c:v>7.0109999999999999E-3</c:v>
                </c:pt>
                <c:pt idx="223">
                  <c:v>7.2059999999999997E-3</c:v>
                </c:pt>
                <c:pt idx="224">
                  <c:v>7.6889999999999997E-3</c:v>
                </c:pt>
                <c:pt idx="225">
                  <c:v>7.7549999999999997E-3</c:v>
                </c:pt>
                <c:pt idx="226">
                  <c:v>8.0669999999999995E-3</c:v>
                </c:pt>
                <c:pt idx="227">
                  <c:v>8.2889999999999995E-3</c:v>
                </c:pt>
                <c:pt idx="228">
                  <c:v>8.2019999999999992E-3</c:v>
                </c:pt>
                <c:pt idx="229">
                  <c:v>7.3540000000000003E-3</c:v>
                </c:pt>
                <c:pt idx="230">
                  <c:v>7.5199999999999998E-3</c:v>
                </c:pt>
                <c:pt idx="231">
                  <c:v>7.8340000000000007E-3</c:v>
                </c:pt>
                <c:pt idx="232">
                  <c:v>8.2310000000000005E-3</c:v>
                </c:pt>
                <c:pt idx="233">
                  <c:v>7.9430000000000004E-3</c:v>
                </c:pt>
                <c:pt idx="234">
                  <c:v>7.7869999999999997E-3</c:v>
                </c:pt>
                <c:pt idx="235">
                  <c:v>8.5590000000000006E-3</c:v>
                </c:pt>
                <c:pt idx="236">
                  <c:v>8.3549999999999996E-3</c:v>
                </c:pt>
                <c:pt idx="237">
                  <c:v>8.5590000000000006E-3</c:v>
                </c:pt>
                <c:pt idx="238">
                  <c:v>9.2739999999999993E-3</c:v>
                </c:pt>
                <c:pt idx="239">
                  <c:v>8.7539999999999996E-3</c:v>
                </c:pt>
                <c:pt idx="240">
                  <c:v>8.5509999999999996E-3</c:v>
                </c:pt>
                <c:pt idx="241">
                  <c:v>9.0109999999999999E-3</c:v>
                </c:pt>
                <c:pt idx="242">
                  <c:v>8.6289999999999995E-3</c:v>
                </c:pt>
                <c:pt idx="243">
                  <c:v>8.1740000000000007E-3</c:v>
                </c:pt>
                <c:pt idx="244">
                  <c:v>8.3920000000000002E-3</c:v>
                </c:pt>
                <c:pt idx="245">
                  <c:v>9.5469999999999999E-3</c:v>
                </c:pt>
                <c:pt idx="246">
                  <c:v>1.0742E-2</c:v>
                </c:pt>
                <c:pt idx="247">
                  <c:v>9.3279999999999995E-3</c:v>
                </c:pt>
                <c:pt idx="248">
                  <c:v>7.672E-3</c:v>
                </c:pt>
                <c:pt idx="249">
                  <c:v>6.0099999999999997E-3</c:v>
                </c:pt>
                <c:pt idx="250">
                  <c:v>7.051E-3</c:v>
                </c:pt>
                <c:pt idx="251">
                  <c:v>7.6140000000000001E-3</c:v>
                </c:pt>
                <c:pt idx="252">
                  <c:v>8.5129999999999997E-3</c:v>
                </c:pt>
                <c:pt idx="253">
                  <c:v>7.1869999999999998E-3</c:v>
                </c:pt>
                <c:pt idx="254">
                  <c:v>1.1034E-2</c:v>
                </c:pt>
                <c:pt idx="255">
                  <c:v>1.0999E-2</c:v>
                </c:pt>
                <c:pt idx="256">
                  <c:v>1.1639E-2</c:v>
                </c:pt>
                <c:pt idx="257">
                  <c:v>1.0848999999999999E-2</c:v>
                </c:pt>
                <c:pt idx="258">
                  <c:v>1.1847E-2</c:v>
                </c:pt>
                <c:pt idx="259">
                  <c:v>1.125E-2</c:v>
                </c:pt>
                <c:pt idx="260">
                  <c:v>1.0559000000000001E-2</c:v>
                </c:pt>
                <c:pt idx="261">
                  <c:v>1.303E-2</c:v>
                </c:pt>
                <c:pt idx="262">
                  <c:v>1.2671999999999999E-2</c:v>
                </c:pt>
                <c:pt idx="263">
                  <c:v>1.4420000000000001E-2</c:v>
                </c:pt>
                <c:pt idx="264">
                  <c:v>1.477E-2</c:v>
                </c:pt>
                <c:pt idx="265">
                  <c:v>1.5233E-2</c:v>
                </c:pt>
                <c:pt idx="266">
                  <c:v>1.4982000000000001E-2</c:v>
                </c:pt>
                <c:pt idx="267">
                  <c:v>1.4775E-2</c:v>
                </c:pt>
                <c:pt idx="268">
                  <c:v>1.3525000000000001E-2</c:v>
                </c:pt>
                <c:pt idx="269">
                  <c:v>1.529E-2</c:v>
                </c:pt>
                <c:pt idx="270">
                  <c:v>1.5528E-2</c:v>
                </c:pt>
                <c:pt idx="271">
                  <c:v>1.6197E-2</c:v>
                </c:pt>
                <c:pt idx="272">
                  <c:v>1.6070999999999998E-2</c:v>
                </c:pt>
                <c:pt idx="273">
                  <c:v>1.5375E-2</c:v>
                </c:pt>
                <c:pt idx="274">
                  <c:v>1.5842999999999999E-2</c:v>
                </c:pt>
                <c:pt idx="275">
                  <c:v>1.6473000000000002E-2</c:v>
                </c:pt>
                <c:pt idx="276">
                  <c:v>1.4055E-2</c:v>
                </c:pt>
                <c:pt idx="277">
                  <c:v>1.1748E-2</c:v>
                </c:pt>
                <c:pt idx="278">
                  <c:v>1.20997E-2</c:v>
                </c:pt>
                <c:pt idx="279">
                  <c:v>1.28001E-2</c:v>
                </c:pt>
                <c:pt idx="280">
                  <c:v>1.27212E-2</c:v>
                </c:pt>
                <c:pt idx="281">
                  <c:v>1.49E-2</c:v>
                </c:pt>
                <c:pt idx="282">
                  <c:v>1.6075800000000001E-2</c:v>
                </c:pt>
                <c:pt idx="283">
                  <c:v>1.5781400000000001E-2</c:v>
                </c:pt>
                <c:pt idx="284">
                  <c:v>1.7060800000000001E-2</c:v>
                </c:pt>
                <c:pt idx="285">
                  <c:v>1.8870899999999999E-2</c:v>
                </c:pt>
                <c:pt idx="286">
                  <c:v>1.90209E-2</c:v>
                </c:pt>
                <c:pt idx="287">
                  <c:v>1.8561399999999999E-2</c:v>
                </c:pt>
                <c:pt idx="288">
                  <c:v>1.7569999999999999E-2</c:v>
                </c:pt>
                <c:pt idx="289">
                  <c:v>1.8720799999999999E-2</c:v>
                </c:pt>
                <c:pt idx="290">
                  <c:v>1.8798700000000002E-2</c:v>
                </c:pt>
                <c:pt idx="291">
                  <c:v>1.9745700000000001E-2</c:v>
                </c:pt>
                <c:pt idx="292">
                  <c:v>1.9134100000000001E-2</c:v>
                </c:pt>
                <c:pt idx="293">
                  <c:v>2.0939900000000001E-2</c:v>
                </c:pt>
                <c:pt idx="294">
                  <c:v>2.3106100000000001E-2</c:v>
                </c:pt>
                <c:pt idx="295">
                  <c:v>2.0469500000000002E-2</c:v>
                </c:pt>
                <c:pt idx="296">
                  <c:v>2.2735100000000001E-2</c:v>
                </c:pt>
                <c:pt idx="297">
                  <c:v>2.8599699999999999E-2</c:v>
                </c:pt>
                <c:pt idx="298">
                  <c:v>2.7244299999999999E-2</c:v>
                </c:pt>
                <c:pt idx="299">
                  <c:v>2.3073199999999999E-2</c:v>
                </c:pt>
                <c:pt idx="300">
                  <c:v>2.4254899999999999E-2</c:v>
                </c:pt>
                <c:pt idx="301">
                  <c:v>1.7353199999999999E-2</c:v>
                </c:pt>
                <c:pt idx="302">
                  <c:v>1.6751800000000001E-2</c:v>
                </c:pt>
                <c:pt idx="303">
                  <c:v>1.8127399999999998E-2</c:v>
                </c:pt>
                <c:pt idx="304">
                  <c:v>1.29999E-2</c:v>
                </c:pt>
                <c:pt idx="305">
                  <c:v>1.01872E-2</c:v>
                </c:pt>
                <c:pt idx="306">
                  <c:v>9.9945999999999993E-3</c:v>
                </c:pt>
                <c:pt idx="307">
                  <c:v>1.04099E-2</c:v>
                </c:pt>
                <c:pt idx="308">
                  <c:v>7.7736999999999997E-3</c:v>
                </c:pt>
                <c:pt idx="309">
                  <c:v>7.2310999999999999E-3</c:v>
                </c:pt>
                <c:pt idx="310">
                  <c:v>7.6373999999999999E-3</c:v>
                </c:pt>
                <c:pt idx="311">
                  <c:v>7.4200000000000004E-3</c:v>
                </c:pt>
                <c:pt idx="312">
                  <c:v>8.0067000000000003E-3</c:v>
                </c:pt>
                <c:pt idx="313">
                  <c:v>7.7178000000000004E-3</c:v>
                </c:pt>
                <c:pt idx="314">
                  <c:v>8.1499999999999993E-3</c:v>
                </c:pt>
                <c:pt idx="315">
                  <c:v>7.1323000000000003E-3</c:v>
                </c:pt>
                <c:pt idx="316">
                  <c:v>7.1675999999999997E-3</c:v>
                </c:pt>
                <c:pt idx="317">
                  <c:v>6.8415999999999998E-3</c:v>
                </c:pt>
                <c:pt idx="318">
                  <c:v>7.0800000000000004E-3</c:v>
                </c:pt>
                <c:pt idx="319">
                  <c:v>7.2737000000000001E-3</c:v>
                </c:pt>
                <c:pt idx="320">
                  <c:v>4.6189999999999998E-3</c:v>
                </c:pt>
                <c:pt idx="321">
                  <c:v>2.9624999999999999E-3</c:v>
                </c:pt>
                <c:pt idx="322">
                  <c:v>3.1402999999999999E-3</c:v>
                </c:pt>
                <c:pt idx="323">
                  <c:v>3.0958000000000001E-3</c:v>
                </c:pt>
                <c:pt idx="324">
                  <c:v>3.1370999999999999E-3</c:v>
                </c:pt>
                <c:pt idx="325">
                  <c:v>3.0073000000000001E-3</c:v>
                </c:pt>
                <c:pt idx="326">
                  <c:v>3.0384000000000001E-3</c:v>
                </c:pt>
                <c:pt idx="327">
                  <c:v>2.9854999999999999E-3</c:v>
                </c:pt>
                <c:pt idx="328">
                  <c:v>3.0274E-3</c:v>
                </c:pt>
                <c:pt idx="329">
                  <c:v>2.4918000000000002E-3</c:v>
                </c:pt>
                <c:pt idx="330">
                  <c:v>2.6857000000000001E-3</c:v>
                </c:pt>
                <c:pt idx="331">
                  <c:v>2.6748000000000002E-3</c:v>
                </c:pt>
                <c:pt idx="332">
                  <c:v>2.807E-3</c:v>
                </c:pt>
                <c:pt idx="333">
                  <c:v>2.4256E-3</c:v>
                </c:pt>
                <c:pt idx="334">
                  <c:v>2.6421999999999999E-3</c:v>
                </c:pt>
                <c:pt idx="335">
                  <c:v>2.8118000000000001E-3</c:v>
                </c:pt>
                <c:pt idx="336">
                  <c:v>2.9678999999999999E-3</c:v>
                </c:pt>
                <c:pt idx="337">
                  <c:v>3.1332999999999999E-3</c:v>
                </c:pt>
                <c:pt idx="338">
                  <c:v>3.0186000000000002E-3</c:v>
                </c:pt>
                <c:pt idx="339">
                  <c:v>3.4332E-3</c:v>
                </c:pt>
                <c:pt idx="340">
                  <c:v>3.7799999999999999E-3</c:v>
                </c:pt>
                <c:pt idx="341">
                  <c:v>2.2772999999999999E-3</c:v>
                </c:pt>
                <c:pt idx="342">
                  <c:v>1.8465000000000001E-3</c:v>
                </c:pt>
                <c:pt idx="343">
                  <c:v>1.4986999999999999E-3</c:v>
                </c:pt>
                <c:pt idx="344">
                  <c:v>1.5463E-3</c:v>
                </c:pt>
                <c:pt idx="345">
                  <c:v>1.2916E-3</c:v>
                </c:pt>
                <c:pt idx="346">
                  <c:v>1.2960999999999999E-3</c:v>
                </c:pt>
                <c:pt idx="347">
                  <c:v>1.2803999999999999E-3</c:v>
                </c:pt>
                <c:pt idx="348">
                  <c:v>1.3933999999999999E-3</c:v>
                </c:pt>
                <c:pt idx="349">
                  <c:v>1.4055999999999999E-3</c:v>
                </c:pt>
                <c:pt idx="350">
                  <c:v>1.292E-3</c:v>
                </c:pt>
                <c:pt idx="351">
                  <c:v>1.1238999999999999E-3</c:v>
                </c:pt>
                <c:pt idx="352">
                  <c:v>1.196E-3</c:v>
                </c:pt>
                <c:pt idx="353">
                  <c:v>1.1280000000000001E-3</c:v>
                </c:pt>
                <c:pt idx="354">
                  <c:v>8.0000000000000004E-4</c:v>
                </c:pt>
                <c:pt idx="355">
                  <c:v>7.917E-4</c:v>
                </c:pt>
                <c:pt idx="356">
                  <c:v>8.2010000000000004E-4</c:v>
                </c:pt>
                <c:pt idx="357">
                  <c:v>7.8100000000000001E-4</c:v>
                </c:pt>
                <c:pt idx="358">
                  <c:v>8.0639999999999998E-4</c:v>
                </c:pt>
                <c:pt idx="359">
                  <c:v>7.9339999999999999E-4</c:v>
                </c:pt>
                <c:pt idx="360">
                  <c:v>7.5569999999999999E-4</c:v>
                </c:pt>
                <c:pt idx="361">
                  <c:v>7.5279999999999998E-4</c:v>
                </c:pt>
                <c:pt idx="362">
                  <c:v>7.7720000000000003E-4</c:v>
                </c:pt>
                <c:pt idx="363">
                  <c:v>8.0710000000000005E-4</c:v>
                </c:pt>
                <c:pt idx="364">
                  <c:v>7.4980000000000001E-4</c:v>
                </c:pt>
                <c:pt idx="365">
                  <c:v>6.2549999999999997E-4</c:v>
                </c:pt>
                <c:pt idx="366">
                  <c:v>6.7100000000000005E-4</c:v>
                </c:pt>
                <c:pt idx="367">
                  <c:v>6.6180000000000004E-4</c:v>
                </c:pt>
                <c:pt idx="368">
                  <c:v>6.9260000000000003E-4</c:v>
                </c:pt>
                <c:pt idx="369">
                  <c:v>6.9169999999999995E-4</c:v>
                </c:pt>
                <c:pt idx="370">
                  <c:v>6.4499999999999996E-4</c:v>
                </c:pt>
                <c:pt idx="371">
                  <c:v>6.0249999999999995E-4</c:v>
                </c:pt>
                <c:pt idx="372">
                  <c:v>7.0180000000000004E-4</c:v>
                </c:pt>
                <c:pt idx="373">
                  <c:v>7.0359999999999997E-4</c:v>
                </c:pt>
                <c:pt idx="374">
                  <c:v>7.2880000000000004E-4</c:v>
                </c:pt>
                <c:pt idx="375">
                  <c:v>7.0620000000000004E-4</c:v>
                </c:pt>
                <c:pt idx="376">
                  <c:v>7.1549999999999999E-4</c:v>
                </c:pt>
                <c:pt idx="377">
                  <c:v>7.2039999999999995E-4</c:v>
                </c:pt>
                <c:pt idx="378">
                  <c:v>7.7470000000000002E-4</c:v>
                </c:pt>
                <c:pt idx="379">
                  <c:v>8.0840000000000003E-4</c:v>
                </c:pt>
                <c:pt idx="380">
                  <c:v>8.3869999999999995E-4</c:v>
                </c:pt>
                <c:pt idx="381">
                  <c:v>8.8769999999999995E-4</c:v>
                </c:pt>
                <c:pt idx="382">
                  <c:v>9.7349999999999997E-4</c:v>
                </c:pt>
                <c:pt idx="383">
                  <c:v>1.0065E-3</c:v>
                </c:pt>
                <c:pt idx="384">
                  <c:v>8.1470000000000002E-4</c:v>
                </c:pt>
                <c:pt idx="385">
                  <c:v>7.9920000000000002E-4</c:v>
                </c:pt>
                <c:pt idx="386">
                  <c:v>7.6499999999999995E-4</c:v>
                </c:pt>
                <c:pt idx="387">
                  <c:v>7.3930000000000003E-4</c:v>
                </c:pt>
                <c:pt idx="388">
                  <c:v>7.3220000000000002E-4</c:v>
                </c:pt>
                <c:pt idx="389">
                  <c:v>7.5080000000000004E-4</c:v>
                </c:pt>
                <c:pt idx="390">
                  <c:v>8.0320000000000001E-4</c:v>
                </c:pt>
                <c:pt idx="391">
                  <c:v>6.1550000000000005E-4</c:v>
                </c:pt>
                <c:pt idx="392">
                  <c:v>5.8489999999999996E-4</c:v>
                </c:pt>
                <c:pt idx="393">
                  <c:v>5.8739999999999997E-4</c:v>
                </c:pt>
                <c:pt idx="394">
                  <c:v>5.7189999999999997E-4</c:v>
                </c:pt>
                <c:pt idx="395">
                  <c:v>5.7249999999999998E-4</c:v>
                </c:pt>
                <c:pt idx="396">
                  <c:v>5.7390000000000002E-4</c:v>
                </c:pt>
                <c:pt idx="397">
                  <c:v>5.7319999999999995E-4</c:v>
                </c:pt>
                <c:pt idx="398">
                  <c:v>5.7399999999999997E-4</c:v>
                </c:pt>
                <c:pt idx="399">
                  <c:v>5.6809999999999999E-4</c:v>
                </c:pt>
                <c:pt idx="400">
                  <c:v>5.4100000000000003E-4</c:v>
                </c:pt>
                <c:pt idx="401">
                  <c:v>6.3500000000000004E-4</c:v>
                </c:pt>
                <c:pt idx="402">
                  <c:v>6.1339999999999995E-4</c:v>
                </c:pt>
                <c:pt idx="403">
                  <c:v>5.9630000000000002E-4</c:v>
                </c:pt>
                <c:pt idx="404">
                  <c:v>6.11E-4</c:v>
                </c:pt>
                <c:pt idx="405">
                  <c:v>6.1370000000000001E-4</c:v>
                </c:pt>
                <c:pt idx="406">
                  <c:v>6.0769999999999997E-4</c:v>
                </c:pt>
                <c:pt idx="407">
                  <c:v>6.198E-4</c:v>
                </c:pt>
                <c:pt idx="408">
                  <c:v>5.8250000000000001E-4</c:v>
                </c:pt>
                <c:pt idx="409">
                  <c:v>5.8339999999999998E-4</c:v>
                </c:pt>
                <c:pt idx="410">
                  <c:v>5.4799999999999998E-4</c:v>
                </c:pt>
                <c:pt idx="411">
                  <c:v>5.3989999999999995E-4</c:v>
                </c:pt>
                <c:pt idx="412">
                  <c:v>5.3160000000000002E-4</c:v>
                </c:pt>
                <c:pt idx="413">
                  <c:v>5.4339999999999998E-4</c:v>
                </c:pt>
                <c:pt idx="414">
                  <c:v>5.5670000000000003E-4</c:v>
                </c:pt>
                <c:pt idx="415">
                  <c:v>5.5690000000000004E-4</c:v>
                </c:pt>
                <c:pt idx="416">
                  <c:v>5.953E-4</c:v>
                </c:pt>
                <c:pt idx="417">
                  <c:v>5.953E-4</c:v>
                </c:pt>
                <c:pt idx="418">
                  <c:v>5.9690000000000003E-4</c:v>
                </c:pt>
                <c:pt idx="419">
                  <c:v>5.8140000000000004E-4</c:v>
                </c:pt>
                <c:pt idx="420">
                  <c:v>6.2830000000000004E-4</c:v>
                </c:pt>
                <c:pt idx="421">
                  <c:v>5.9789999999999995E-4</c:v>
                </c:pt>
                <c:pt idx="422">
                  <c:v>5.9000000000000003E-4</c:v>
                </c:pt>
                <c:pt idx="423">
                  <c:v>6.355E-4</c:v>
                </c:pt>
                <c:pt idx="424">
                  <c:v>5.733E-4</c:v>
                </c:pt>
                <c:pt idx="425">
                  <c:v>5.8290000000000002E-4</c:v>
                </c:pt>
                <c:pt idx="426">
                  <c:v>5.6519999999999997E-4</c:v>
                </c:pt>
                <c:pt idx="427">
                  <c:v>5.6070000000000002E-4</c:v>
                </c:pt>
                <c:pt idx="428">
                  <c:v>6.2980000000000002E-4</c:v>
                </c:pt>
                <c:pt idx="429">
                  <c:v>6.5550000000000005E-4</c:v>
                </c:pt>
                <c:pt idx="430">
                  <c:v>5.8299999999999997E-4</c:v>
                </c:pt>
                <c:pt idx="431">
                  <c:v>5.5639999999999997E-4</c:v>
                </c:pt>
                <c:pt idx="432">
                  <c:v>5.4710000000000002E-4</c:v>
                </c:pt>
                <c:pt idx="433">
                  <c:v>4.9989999999999995E-4</c:v>
                </c:pt>
                <c:pt idx="434">
                  <c:v>4.952E-4</c:v>
                </c:pt>
                <c:pt idx="435">
                  <c:v>4.9030000000000005E-4</c:v>
                </c:pt>
                <c:pt idx="436">
                  <c:v>5.0210000000000001E-4</c:v>
                </c:pt>
                <c:pt idx="437">
                  <c:v>4.973E-4</c:v>
                </c:pt>
                <c:pt idx="438">
                  <c:v>4.8040000000000002E-4</c:v>
                </c:pt>
                <c:pt idx="439">
                  <c:v>4.8260000000000002E-4</c:v>
                </c:pt>
                <c:pt idx="440">
                  <c:v>4.794E-4</c:v>
                </c:pt>
                <c:pt idx="441">
                  <c:v>4.6910000000000002E-4</c:v>
                </c:pt>
                <c:pt idx="442">
                  <c:v>4.7919999999999999E-4</c:v>
                </c:pt>
                <c:pt idx="443">
                  <c:v>4.7330000000000001E-4</c:v>
                </c:pt>
                <c:pt idx="444">
                  <c:v>4.7029999999999999E-4</c:v>
                </c:pt>
                <c:pt idx="445">
                  <c:v>4.6930000000000002E-4</c:v>
                </c:pt>
                <c:pt idx="446">
                  <c:v>4.5780000000000001E-4</c:v>
                </c:pt>
                <c:pt idx="447">
                  <c:v>4.6989999999999998E-4</c:v>
                </c:pt>
                <c:pt idx="448">
                  <c:v>4.3740000000000001E-4</c:v>
                </c:pt>
                <c:pt idx="449">
                  <c:v>4.4030000000000002E-4</c:v>
                </c:pt>
                <c:pt idx="450">
                  <c:v>4.3980000000000001E-4</c:v>
                </c:pt>
                <c:pt idx="451">
                  <c:v>4.395E-4</c:v>
                </c:pt>
                <c:pt idx="452">
                  <c:v>4.5130000000000002E-4</c:v>
                </c:pt>
                <c:pt idx="453">
                  <c:v>4.4989999999999999E-4</c:v>
                </c:pt>
                <c:pt idx="454">
                  <c:v>4.483E-4</c:v>
                </c:pt>
                <c:pt idx="455">
                  <c:v>4.5580000000000002E-4</c:v>
                </c:pt>
                <c:pt idx="456">
                  <c:v>4.6359999999999999E-4</c:v>
                </c:pt>
                <c:pt idx="457">
                  <c:v>4.9089999999999995E-4</c:v>
                </c:pt>
                <c:pt idx="458">
                  <c:v>4.8319999999999998E-4</c:v>
                </c:pt>
                <c:pt idx="459">
                  <c:v>4.8819999999999999E-4</c:v>
                </c:pt>
                <c:pt idx="460">
                  <c:v>5.0279999999999997E-4</c:v>
                </c:pt>
                <c:pt idx="461">
                  <c:v>4.9819999999999997E-4</c:v>
                </c:pt>
                <c:pt idx="462">
                  <c:v>5.1800000000000001E-4</c:v>
                </c:pt>
                <c:pt idx="463">
                  <c:v>5.1820000000000002E-4</c:v>
                </c:pt>
                <c:pt idx="464">
                  <c:v>4.9010000000000004E-4</c:v>
                </c:pt>
                <c:pt idx="465">
                  <c:v>4.7540000000000001E-4</c:v>
                </c:pt>
                <c:pt idx="466">
                  <c:v>4.7859999999999998E-4</c:v>
                </c:pt>
                <c:pt idx="467">
                  <c:v>4.6880000000000001E-4</c:v>
                </c:pt>
                <c:pt idx="468">
                  <c:v>4.6000000000000001E-4</c:v>
                </c:pt>
                <c:pt idx="469">
                  <c:v>4.8000000000000001E-4</c:v>
                </c:pt>
                <c:pt idx="470">
                  <c:v>4.793E-4</c:v>
                </c:pt>
                <c:pt idx="471">
                  <c:v>4.8819999999999999E-4</c:v>
                </c:pt>
                <c:pt idx="472">
                  <c:v>5.0710000000000002E-4</c:v>
                </c:pt>
                <c:pt idx="473">
                  <c:v>4.9700000000000005E-4</c:v>
                </c:pt>
                <c:pt idx="474">
                  <c:v>4.6910000000000002E-4</c:v>
                </c:pt>
                <c:pt idx="475">
                  <c:v>4.7610000000000003E-4</c:v>
                </c:pt>
                <c:pt idx="476">
                  <c:v>4.6220000000000001E-4</c:v>
                </c:pt>
                <c:pt idx="477">
                  <c:v>4.4710000000000003E-4</c:v>
                </c:pt>
                <c:pt idx="478">
                  <c:v>4.392E-4</c:v>
                </c:pt>
                <c:pt idx="479">
                  <c:v>4.551E-4</c:v>
                </c:pt>
                <c:pt idx="480">
                  <c:v>4.6500000000000003E-4</c:v>
                </c:pt>
                <c:pt idx="481">
                  <c:v>4.6250000000000002E-4</c:v>
                </c:pt>
                <c:pt idx="482">
                  <c:v>4.7100000000000001E-4</c:v>
                </c:pt>
                <c:pt idx="483">
                  <c:v>4.7199999999999998E-4</c:v>
                </c:pt>
                <c:pt idx="484">
                  <c:v>4.8040000000000002E-4</c:v>
                </c:pt>
                <c:pt idx="485">
                  <c:v>4.8000000000000001E-4</c:v>
                </c:pt>
                <c:pt idx="486">
                  <c:v>4.7469999999999999E-4</c:v>
                </c:pt>
                <c:pt idx="487">
                  <c:v>4.7320000000000001E-4</c:v>
                </c:pt>
                <c:pt idx="488">
                  <c:v>4.9249999999999999E-4</c:v>
                </c:pt>
                <c:pt idx="489">
                  <c:v>4.9140000000000002E-4</c:v>
                </c:pt>
                <c:pt idx="490">
                  <c:v>4.8840000000000005E-4</c:v>
                </c:pt>
                <c:pt idx="491">
                  <c:v>4.5409999999999998E-4</c:v>
                </c:pt>
                <c:pt idx="492">
                  <c:v>4.8779999999999998E-4</c:v>
                </c:pt>
                <c:pt idx="493">
                  <c:v>4.8440000000000001E-4</c:v>
                </c:pt>
                <c:pt idx="494">
                  <c:v>5.2550000000000003E-4</c:v>
                </c:pt>
                <c:pt idx="495">
                  <c:v>5.3450000000000004E-4</c:v>
                </c:pt>
                <c:pt idx="496">
                  <c:v>5.4969999999999997E-4</c:v>
                </c:pt>
                <c:pt idx="497">
                  <c:v>5.5849999999999997E-4</c:v>
                </c:pt>
                <c:pt idx="498">
                  <c:v>5.5259999999999999E-4</c:v>
                </c:pt>
                <c:pt idx="499">
                  <c:v>5.4569999999999998E-4</c:v>
                </c:pt>
                <c:pt idx="500">
                  <c:v>5.5630000000000002E-4</c:v>
                </c:pt>
                <c:pt idx="501">
                  <c:v>5.4460000000000001E-4</c:v>
                </c:pt>
                <c:pt idx="502">
                  <c:v>5.8799999999999998E-4</c:v>
                </c:pt>
                <c:pt idx="503">
                  <c:v>6.0320000000000003E-4</c:v>
                </c:pt>
                <c:pt idx="504">
                  <c:v>5.5349999999999996E-4</c:v>
                </c:pt>
                <c:pt idx="505">
                  <c:v>5.4909999999999996E-4</c:v>
                </c:pt>
                <c:pt idx="506">
                  <c:v>5.3280000000000005E-4</c:v>
                </c:pt>
                <c:pt idx="507">
                  <c:v>5.4920000000000001E-4</c:v>
                </c:pt>
                <c:pt idx="508">
                  <c:v>5.4020000000000001E-4</c:v>
                </c:pt>
                <c:pt idx="509">
                  <c:v>5.3359999999999996E-4</c:v>
                </c:pt>
                <c:pt idx="510">
                  <c:v>6.0420000000000005E-4</c:v>
                </c:pt>
                <c:pt idx="511">
                  <c:v>6.0179999999999999E-4</c:v>
                </c:pt>
                <c:pt idx="512">
                  <c:v>7.0350000000000002E-4</c:v>
                </c:pt>
                <c:pt idx="513">
                  <c:v>7.2999999999999996E-4</c:v>
                </c:pt>
                <c:pt idx="514">
                  <c:v>7.249E-4</c:v>
                </c:pt>
                <c:pt idx="515">
                  <c:v>7.4200000000000004E-4</c:v>
                </c:pt>
                <c:pt idx="516">
                  <c:v>7.4160000000000003E-4</c:v>
                </c:pt>
                <c:pt idx="517">
                  <c:v>7.3130000000000005E-4</c:v>
                </c:pt>
                <c:pt idx="518">
                  <c:v>7.1560000000000005E-4</c:v>
                </c:pt>
                <c:pt idx="519">
                  <c:v>7.3590000000000005E-4</c:v>
                </c:pt>
                <c:pt idx="520">
                  <c:v>7.4589999999999997E-4</c:v>
                </c:pt>
                <c:pt idx="521">
                  <c:v>7.8160000000000002E-4</c:v>
                </c:pt>
                <c:pt idx="522">
                  <c:v>7.7450000000000001E-4</c:v>
                </c:pt>
                <c:pt idx="523">
                  <c:v>7.9619999999999995E-4</c:v>
                </c:pt>
                <c:pt idx="524">
                  <c:v>7.7579999999999999E-4</c:v>
                </c:pt>
                <c:pt idx="525">
                  <c:v>8.4500000000000005E-4</c:v>
                </c:pt>
                <c:pt idx="526">
                  <c:v>8.2260000000000005E-4</c:v>
                </c:pt>
                <c:pt idx="527">
                  <c:v>8.4369999999999996E-4</c:v>
                </c:pt>
                <c:pt idx="528">
                  <c:v>8.8239999999999998E-4</c:v>
                </c:pt>
                <c:pt idx="529">
                  <c:v>9.0700000000000004E-4</c:v>
                </c:pt>
                <c:pt idx="530">
                  <c:v>8.5499999999999997E-4</c:v>
                </c:pt>
                <c:pt idx="531">
                  <c:v>8.4699999999999999E-4</c:v>
                </c:pt>
                <c:pt idx="532">
                  <c:v>8.4840000000000002E-4</c:v>
                </c:pt>
                <c:pt idx="533">
                  <c:v>8.5840000000000005E-4</c:v>
                </c:pt>
                <c:pt idx="534">
                  <c:v>8.1979999999999998E-4</c:v>
                </c:pt>
                <c:pt idx="535">
                  <c:v>8.5780000000000003E-4</c:v>
                </c:pt>
                <c:pt idx="536">
                  <c:v>8.3219999999999995E-4</c:v>
                </c:pt>
                <c:pt idx="537">
                  <c:v>8.5170000000000005E-4</c:v>
                </c:pt>
                <c:pt idx="538">
                  <c:v>8.5780000000000003E-4</c:v>
                </c:pt>
                <c:pt idx="539">
                  <c:v>7.8450000000000004E-4</c:v>
                </c:pt>
                <c:pt idx="540">
                  <c:v>7.6610000000000003E-4</c:v>
                </c:pt>
                <c:pt idx="541">
                  <c:v>7.7879999999999996E-4</c:v>
                </c:pt>
                <c:pt idx="542">
                  <c:v>7.6990000000000001E-4</c:v>
                </c:pt>
                <c:pt idx="543">
                  <c:v>7.6349999999999996E-4</c:v>
                </c:pt>
                <c:pt idx="544">
                  <c:v>8.1099999999999998E-4</c:v>
                </c:pt>
                <c:pt idx="545">
                  <c:v>7.6110000000000001E-4</c:v>
                </c:pt>
                <c:pt idx="546">
                  <c:v>7.6110000000000001E-4</c:v>
                </c:pt>
                <c:pt idx="547">
                  <c:v>7.538E-4</c:v>
                </c:pt>
                <c:pt idx="548">
                  <c:v>7.6900000000000004E-4</c:v>
                </c:pt>
                <c:pt idx="549">
                  <c:v>7.1869999999999996E-4</c:v>
                </c:pt>
                <c:pt idx="550">
                  <c:v>7.4930000000000005E-4</c:v>
                </c:pt>
                <c:pt idx="551">
                  <c:v>7.6369999999999997E-4</c:v>
                </c:pt>
                <c:pt idx="552">
                  <c:v>7.7209999999999996E-4</c:v>
                </c:pt>
                <c:pt idx="553">
                  <c:v>7.8410000000000003E-4</c:v>
                </c:pt>
                <c:pt idx="554">
                  <c:v>7.7260000000000002E-4</c:v>
                </c:pt>
                <c:pt idx="555">
                  <c:v>7.5529999999999998E-4</c:v>
                </c:pt>
                <c:pt idx="556">
                  <c:v>7.0810000000000003E-4</c:v>
                </c:pt>
                <c:pt idx="557">
                  <c:v>7.2579999999999997E-4</c:v>
                </c:pt>
                <c:pt idx="558">
                  <c:v>7.0069999999999996E-4</c:v>
                </c:pt>
                <c:pt idx="559">
                  <c:v>7.2090000000000001E-4</c:v>
                </c:pt>
                <c:pt idx="560">
                  <c:v>7.3499999999999998E-4</c:v>
                </c:pt>
                <c:pt idx="561">
                  <c:v>6.824E-4</c:v>
                </c:pt>
                <c:pt idx="562">
                  <c:v>7.1880000000000002E-4</c:v>
                </c:pt>
                <c:pt idx="563">
                  <c:v>7.0799999999999997E-4</c:v>
                </c:pt>
                <c:pt idx="564">
                  <c:v>6.9999999999999999E-4</c:v>
                </c:pt>
                <c:pt idx="565">
                  <c:v>7.1719999999999998E-4</c:v>
                </c:pt>
                <c:pt idx="566">
                  <c:v>7.3209999999999996E-4</c:v>
                </c:pt>
                <c:pt idx="567">
                  <c:v>8.0309999999999995E-4</c:v>
                </c:pt>
                <c:pt idx="568">
                  <c:v>6.3150000000000001E-4</c:v>
                </c:pt>
                <c:pt idx="569">
                  <c:v>5.5559999999999995E-4</c:v>
                </c:pt>
                <c:pt idx="570">
                  <c:v>5.6720000000000002E-4</c:v>
                </c:pt>
                <c:pt idx="571">
                  <c:v>5.5800000000000001E-4</c:v>
                </c:pt>
                <c:pt idx="572">
                  <c:v>5.5199999999999997E-4</c:v>
                </c:pt>
                <c:pt idx="573">
                  <c:v>5.4509999999999997E-4</c:v>
                </c:pt>
                <c:pt idx="574">
                  <c:v>5.4839999999999999E-4</c:v>
                </c:pt>
                <c:pt idx="575">
                  <c:v>5.4900000000000001E-4</c:v>
                </c:pt>
                <c:pt idx="576">
                  <c:v>5.2760000000000003E-4</c:v>
                </c:pt>
                <c:pt idx="577">
                  <c:v>5.4199999999999995E-4</c:v>
                </c:pt>
                <c:pt idx="578">
                  <c:v>5.3499999999999999E-4</c:v>
                </c:pt>
                <c:pt idx="579">
                  <c:v>5.3180000000000002E-4</c:v>
                </c:pt>
                <c:pt idx="580">
                  <c:v>5.5259999999999999E-4</c:v>
                </c:pt>
                <c:pt idx="581">
                  <c:v>5.6079999999999997E-4</c:v>
                </c:pt>
                <c:pt idx="582">
                  <c:v>5.6249999999999996E-4</c:v>
                </c:pt>
                <c:pt idx="583">
                  <c:v>5.8149999999999999E-4</c:v>
                </c:pt>
                <c:pt idx="584">
                  <c:v>5.8750000000000002E-4</c:v>
                </c:pt>
                <c:pt idx="585">
                  <c:v>5.7149999999999996E-4</c:v>
                </c:pt>
                <c:pt idx="586">
                  <c:v>5.7600000000000001E-4</c:v>
                </c:pt>
                <c:pt idx="587">
                  <c:v>5.6530000000000003E-4</c:v>
                </c:pt>
                <c:pt idx="588">
                  <c:v>5.7729999999999999E-4</c:v>
                </c:pt>
                <c:pt idx="589">
                  <c:v>5.821E-4</c:v>
                </c:pt>
                <c:pt idx="590">
                  <c:v>5.8339999999999998E-4</c:v>
                </c:pt>
                <c:pt idx="591">
                  <c:v>5.9230000000000003E-4</c:v>
                </c:pt>
                <c:pt idx="592">
                  <c:v>5.9310000000000005E-4</c:v>
                </c:pt>
                <c:pt idx="593">
                  <c:v>6.0999999999999997E-4</c:v>
                </c:pt>
                <c:pt idx="594">
                  <c:v>6.0510000000000002E-4</c:v>
                </c:pt>
                <c:pt idx="595">
                  <c:v>5.7830000000000002E-4</c:v>
                </c:pt>
                <c:pt idx="596">
                  <c:v>6.3639999999999996E-4</c:v>
                </c:pt>
                <c:pt idx="597">
                  <c:v>6.3480000000000003E-4</c:v>
                </c:pt>
                <c:pt idx="598">
                  <c:v>6.3940000000000004E-4</c:v>
                </c:pt>
                <c:pt idx="599">
                  <c:v>6.2790000000000003E-4</c:v>
                </c:pt>
                <c:pt idx="600">
                  <c:v>6.3759999999999999E-4</c:v>
                </c:pt>
                <c:pt idx="601">
                  <c:v>6.38E-4</c:v>
                </c:pt>
                <c:pt idx="602">
                  <c:v>6.4780000000000003E-4</c:v>
                </c:pt>
                <c:pt idx="603">
                  <c:v>6.5200000000000002E-4</c:v>
                </c:pt>
                <c:pt idx="604">
                  <c:v>6.2330000000000003E-4</c:v>
                </c:pt>
                <c:pt idx="605">
                  <c:v>6.2799999999999998E-4</c:v>
                </c:pt>
                <c:pt idx="606">
                  <c:v>6.2699999999999995E-4</c:v>
                </c:pt>
                <c:pt idx="607">
                  <c:v>5.8279999999999996E-4</c:v>
                </c:pt>
                <c:pt idx="608">
                  <c:v>5.5999999999999995E-4</c:v>
                </c:pt>
                <c:pt idx="609">
                  <c:v>5.6849999999999999E-4</c:v>
                </c:pt>
                <c:pt idx="610">
                  <c:v>5.5840000000000002E-4</c:v>
                </c:pt>
                <c:pt idx="611">
                  <c:v>5.6340000000000003E-4</c:v>
                </c:pt>
                <c:pt idx="612">
                  <c:v>5.6590000000000004E-4</c:v>
                </c:pt>
                <c:pt idx="613">
                  <c:v>5.3149999999999996E-4</c:v>
                </c:pt>
                <c:pt idx="614">
                  <c:v>5.2689999999999996E-4</c:v>
                </c:pt>
                <c:pt idx="615">
                  <c:v>5.3499999999999999E-4</c:v>
                </c:pt>
                <c:pt idx="616">
                  <c:v>5.1340000000000001E-4</c:v>
                </c:pt>
                <c:pt idx="617">
                  <c:v>5.2030000000000002E-4</c:v>
                </c:pt>
                <c:pt idx="618">
                  <c:v>5.3720000000000005E-4</c:v>
                </c:pt>
                <c:pt idx="619">
                  <c:v>5.3629999999999997E-4</c:v>
                </c:pt>
                <c:pt idx="620">
                  <c:v>5.3899999999999998E-4</c:v>
                </c:pt>
                <c:pt idx="621">
                  <c:v>5.3330000000000001E-4</c:v>
                </c:pt>
                <c:pt idx="622">
                  <c:v>5.2999999999999998E-4</c:v>
                </c:pt>
                <c:pt idx="623">
                  <c:v>5.1670000000000004E-4</c:v>
                </c:pt>
                <c:pt idx="624">
                  <c:v>5.2150000000000005E-4</c:v>
                </c:pt>
                <c:pt idx="625">
                  <c:v>4.9609999999999997E-4</c:v>
                </c:pt>
                <c:pt idx="626">
                  <c:v>4.8979999999999998E-4</c:v>
                </c:pt>
                <c:pt idx="627">
                  <c:v>4.6880000000000001E-4</c:v>
                </c:pt>
                <c:pt idx="628">
                  <c:v>5.1860000000000003E-4</c:v>
                </c:pt>
                <c:pt idx="629">
                  <c:v>5.2709999999999996E-4</c:v>
                </c:pt>
                <c:pt idx="630">
                  <c:v>5.4330000000000003E-4</c:v>
                </c:pt>
                <c:pt idx="631">
                  <c:v>4.9950000000000005E-4</c:v>
                </c:pt>
                <c:pt idx="632">
                  <c:v>5.4929999999999996E-4</c:v>
                </c:pt>
                <c:pt idx="633">
                  <c:v>5.6959999999999997E-4</c:v>
                </c:pt>
                <c:pt idx="634">
                  <c:v>5.0449999999999996E-4</c:v>
                </c:pt>
                <c:pt idx="635">
                  <c:v>4.4210000000000001E-4</c:v>
                </c:pt>
                <c:pt idx="636">
                  <c:v>3.6230000000000002E-4</c:v>
                </c:pt>
                <c:pt idx="637">
                  <c:v>3.5100000000000002E-4</c:v>
                </c:pt>
                <c:pt idx="638">
                  <c:v>3.6160000000000001E-4</c:v>
                </c:pt>
                <c:pt idx="639">
                  <c:v>3.4259999999999998E-4</c:v>
                </c:pt>
                <c:pt idx="640">
                  <c:v>3.457E-4</c:v>
                </c:pt>
                <c:pt idx="641">
                  <c:v>3.455E-4</c:v>
                </c:pt>
                <c:pt idx="642">
                  <c:v>3.4099999999999999E-4</c:v>
                </c:pt>
                <c:pt idx="643">
                  <c:v>3.3330000000000002E-4</c:v>
                </c:pt>
                <c:pt idx="644">
                  <c:v>3.2509999999999999E-4</c:v>
                </c:pt>
                <c:pt idx="645">
                  <c:v>3.1930000000000001E-4</c:v>
                </c:pt>
                <c:pt idx="646">
                  <c:v>3.146E-4</c:v>
                </c:pt>
                <c:pt idx="647">
                  <c:v>3.1199999999999999E-4</c:v>
                </c:pt>
                <c:pt idx="648">
                  <c:v>3.3480000000000001E-4</c:v>
                </c:pt>
                <c:pt idx="649">
                  <c:v>3.4370000000000001E-4</c:v>
                </c:pt>
                <c:pt idx="650">
                  <c:v>3.3760000000000002E-4</c:v>
                </c:pt>
                <c:pt idx="651">
                  <c:v>3.3629999999999999E-4</c:v>
                </c:pt>
                <c:pt idx="652">
                  <c:v>3.2679999999999997E-4</c:v>
                </c:pt>
                <c:pt idx="653">
                  <c:v>3.3569999999999997E-4</c:v>
                </c:pt>
                <c:pt idx="654">
                  <c:v>3.3700000000000001E-4</c:v>
                </c:pt>
                <c:pt idx="655">
                  <c:v>3.346E-4</c:v>
                </c:pt>
                <c:pt idx="656">
                  <c:v>3.3869999999999999E-4</c:v>
                </c:pt>
                <c:pt idx="657">
                  <c:v>3.4150000000000001E-4</c:v>
                </c:pt>
                <c:pt idx="658">
                  <c:v>3.6469999999999997E-4</c:v>
                </c:pt>
                <c:pt idx="659">
                  <c:v>3.5849999999999999E-4</c:v>
                </c:pt>
                <c:pt idx="660">
                  <c:v>3.4309999999999999E-4</c:v>
                </c:pt>
                <c:pt idx="661">
                  <c:v>3.525E-4</c:v>
                </c:pt>
                <c:pt idx="662">
                  <c:v>3.2850000000000002E-4</c:v>
                </c:pt>
                <c:pt idx="663">
                  <c:v>3.2919999999999998E-4</c:v>
                </c:pt>
                <c:pt idx="664">
                  <c:v>3.3169999999999999E-4</c:v>
                </c:pt>
                <c:pt idx="665">
                  <c:v>3.299E-4</c:v>
                </c:pt>
                <c:pt idx="666">
                  <c:v>3.3310000000000002E-4</c:v>
                </c:pt>
                <c:pt idx="667">
                  <c:v>3.3780000000000003E-4</c:v>
                </c:pt>
                <c:pt idx="668">
                  <c:v>3.2979999999999999E-4</c:v>
                </c:pt>
                <c:pt idx="669">
                  <c:v>3.0909999999999998E-4</c:v>
                </c:pt>
                <c:pt idx="670">
                  <c:v>3.188E-4</c:v>
                </c:pt>
                <c:pt idx="671">
                  <c:v>3.1119999999999997E-4</c:v>
                </c:pt>
                <c:pt idx="672">
                  <c:v>3.2509999999999999E-4</c:v>
                </c:pt>
                <c:pt idx="673">
                  <c:v>3.1980000000000002E-4</c:v>
                </c:pt>
                <c:pt idx="674">
                  <c:v>3.345E-4</c:v>
                </c:pt>
                <c:pt idx="675">
                  <c:v>3.2729999999999999E-4</c:v>
                </c:pt>
                <c:pt idx="676">
                  <c:v>3.0459999999999998E-4</c:v>
                </c:pt>
                <c:pt idx="677">
                  <c:v>3.2370000000000001E-4</c:v>
                </c:pt>
                <c:pt idx="678">
                  <c:v>3.2590000000000001E-4</c:v>
                </c:pt>
                <c:pt idx="679">
                  <c:v>3.3040000000000001E-4</c:v>
                </c:pt>
                <c:pt idx="680">
                  <c:v>2.9999999999999997E-4</c:v>
                </c:pt>
                <c:pt idx="681">
                  <c:v>2.965E-4</c:v>
                </c:pt>
                <c:pt idx="682">
                  <c:v>2.8069999999999999E-4</c:v>
                </c:pt>
                <c:pt idx="683">
                  <c:v>3.1169999999999999E-4</c:v>
                </c:pt>
                <c:pt idx="684">
                  <c:v>3.0810000000000001E-4</c:v>
                </c:pt>
                <c:pt idx="685">
                  <c:v>3.2229999999999997E-4</c:v>
                </c:pt>
                <c:pt idx="686">
                  <c:v>2.8190000000000002E-4</c:v>
                </c:pt>
                <c:pt idx="687">
                  <c:v>5.2450000000000001E-4</c:v>
                </c:pt>
                <c:pt idx="688">
                  <c:v>5.4350000000000004E-4</c:v>
                </c:pt>
                <c:pt idx="689">
                  <c:v>5.3280000000000005E-4</c:v>
                </c:pt>
                <c:pt idx="690">
                  <c:v>5.3989999999999995E-4</c:v>
                </c:pt>
                <c:pt idx="691">
                  <c:v>6.3349999999999995E-4</c:v>
                </c:pt>
                <c:pt idx="692">
                  <c:v>6.4829999999999998E-4</c:v>
                </c:pt>
                <c:pt idx="693">
                  <c:v>6.5169999999999996E-4</c:v>
                </c:pt>
                <c:pt idx="694">
                  <c:v>6.3880000000000002E-4</c:v>
                </c:pt>
                <c:pt idx="695">
                  <c:v>6.3100000000000005E-4</c:v>
                </c:pt>
                <c:pt idx="696">
                  <c:v>6.3940000000000004E-4</c:v>
                </c:pt>
                <c:pt idx="697">
                  <c:v>6.1070000000000004E-4</c:v>
                </c:pt>
                <c:pt idx="698">
                  <c:v>6.1890000000000003E-4</c:v>
                </c:pt>
                <c:pt idx="699">
                  <c:v>6.3409999999999996E-4</c:v>
                </c:pt>
                <c:pt idx="700">
                  <c:v>6.4300000000000002E-4</c:v>
                </c:pt>
                <c:pt idx="701">
                  <c:v>6.2029999999999995E-4</c:v>
                </c:pt>
                <c:pt idx="702">
                  <c:v>6.5519999999999999E-4</c:v>
                </c:pt>
                <c:pt idx="703">
                  <c:v>6.9609999999999995E-4</c:v>
                </c:pt>
                <c:pt idx="704">
                  <c:v>7.5009999999999996E-4</c:v>
                </c:pt>
                <c:pt idx="705">
                  <c:v>7.3010000000000002E-4</c:v>
                </c:pt>
                <c:pt idx="706">
                  <c:v>7.3320000000000004E-4</c:v>
                </c:pt>
                <c:pt idx="707">
                  <c:v>7.2349999999999997E-4</c:v>
                </c:pt>
                <c:pt idx="708">
                  <c:v>7.2840000000000003E-4</c:v>
                </c:pt>
                <c:pt idx="709">
                  <c:v>7.9560000000000004E-4</c:v>
                </c:pt>
                <c:pt idx="710">
                  <c:v>7.9069999999999997E-4</c:v>
                </c:pt>
                <c:pt idx="711">
                  <c:v>8.2580000000000001E-4</c:v>
                </c:pt>
                <c:pt idx="712">
                  <c:v>8.4900000000000004E-4</c:v>
                </c:pt>
                <c:pt idx="713">
                  <c:v>8.9150000000000004E-4</c:v>
                </c:pt>
                <c:pt idx="714">
                  <c:v>8.7140000000000004E-4</c:v>
                </c:pt>
                <c:pt idx="715">
                  <c:v>8.4979999999999995E-4</c:v>
                </c:pt>
                <c:pt idx="716">
                  <c:v>7.7099999999999998E-4</c:v>
                </c:pt>
                <c:pt idx="717">
                  <c:v>7.5949999999999998E-4</c:v>
                </c:pt>
                <c:pt idx="718">
                  <c:v>8.0029999999999999E-4</c:v>
                </c:pt>
                <c:pt idx="719">
                  <c:v>8.0800000000000002E-4</c:v>
                </c:pt>
                <c:pt idx="720">
                  <c:v>7.7439999999999996E-4</c:v>
                </c:pt>
                <c:pt idx="721">
                  <c:v>7.3999999999999999E-4</c:v>
                </c:pt>
                <c:pt idx="722">
                  <c:v>6.9589999999999995E-4</c:v>
                </c:pt>
                <c:pt idx="723">
                  <c:v>6.9499999999999998E-4</c:v>
                </c:pt>
                <c:pt idx="724">
                  <c:v>6.6189999999999999E-4</c:v>
                </c:pt>
                <c:pt idx="725">
                  <c:v>6.7190000000000001E-4</c:v>
                </c:pt>
                <c:pt idx="726">
                  <c:v>6.4479999999999995E-4</c:v>
                </c:pt>
                <c:pt idx="727">
                  <c:v>6.3290000000000004E-4</c:v>
                </c:pt>
                <c:pt idx="728">
                  <c:v>6.38E-4</c:v>
                </c:pt>
                <c:pt idx="729">
                  <c:v>6.5309999999999999E-4</c:v>
                </c:pt>
                <c:pt idx="730">
                  <c:v>6.4800000000000003E-4</c:v>
                </c:pt>
                <c:pt idx="731">
                  <c:v>6.5209999999999997E-4</c:v>
                </c:pt>
                <c:pt idx="732">
                  <c:v>6.3469999999999998E-4</c:v>
                </c:pt>
                <c:pt idx="733">
                  <c:v>6.2100000000000002E-4</c:v>
                </c:pt>
                <c:pt idx="734">
                  <c:v>6.3460000000000003E-4</c:v>
                </c:pt>
                <c:pt idx="735">
                  <c:v>6.3330000000000005E-4</c:v>
                </c:pt>
                <c:pt idx="736">
                  <c:v>6.6879999999999999E-4</c:v>
                </c:pt>
                <c:pt idx="737">
                  <c:v>6.6509999999999996E-4</c:v>
                </c:pt>
                <c:pt idx="738">
                  <c:v>6.7560000000000005E-4</c:v>
                </c:pt>
                <c:pt idx="739">
                  <c:v>6.7520000000000004E-4</c:v>
                </c:pt>
                <c:pt idx="740">
                  <c:v>7.1449999999999997E-4</c:v>
                </c:pt>
                <c:pt idx="741">
                  <c:v>7.3039999999999997E-4</c:v>
                </c:pt>
                <c:pt idx="742">
                  <c:v>6.9589999999999995E-4</c:v>
                </c:pt>
                <c:pt idx="743">
                  <c:v>7.1179999999999995E-4</c:v>
                </c:pt>
                <c:pt idx="744">
                  <c:v>7.0560000000000002E-4</c:v>
                </c:pt>
                <c:pt idx="745">
                  <c:v>6.7400000000000001E-4</c:v>
                </c:pt>
                <c:pt idx="746">
                  <c:v>6.8130000000000003E-4</c:v>
                </c:pt>
                <c:pt idx="747">
                  <c:v>6.7000000000000002E-4</c:v>
                </c:pt>
                <c:pt idx="748">
                  <c:v>6.8650000000000004E-4</c:v>
                </c:pt>
                <c:pt idx="749">
                  <c:v>6.7100000000000005E-4</c:v>
                </c:pt>
                <c:pt idx="750">
                  <c:v>6.7210000000000002E-4</c:v>
                </c:pt>
                <c:pt idx="751">
                  <c:v>6.8150000000000003E-4</c:v>
                </c:pt>
                <c:pt idx="752">
                  <c:v>7.0299999999999996E-4</c:v>
                </c:pt>
                <c:pt idx="753">
                  <c:v>6.7080000000000004E-4</c:v>
                </c:pt>
                <c:pt idx="754">
                  <c:v>6.7960000000000004E-4</c:v>
                </c:pt>
                <c:pt idx="755">
                  <c:v>6.7940000000000003E-4</c:v>
                </c:pt>
                <c:pt idx="756">
                  <c:v>6.0349999999999998E-4</c:v>
                </c:pt>
                <c:pt idx="757">
                  <c:v>6.2750000000000002E-4</c:v>
                </c:pt>
                <c:pt idx="758">
                  <c:v>6.2569999999999998E-4</c:v>
                </c:pt>
                <c:pt idx="759">
                  <c:v>6.38E-4</c:v>
                </c:pt>
                <c:pt idx="760">
                  <c:v>6.4709999999999995E-4</c:v>
                </c:pt>
                <c:pt idx="761">
                  <c:v>6.4539999999999997E-4</c:v>
                </c:pt>
                <c:pt idx="762">
                  <c:v>6.3599999999999996E-4</c:v>
                </c:pt>
                <c:pt idx="763">
                  <c:v>6.3489999999999998E-4</c:v>
                </c:pt>
                <c:pt idx="764">
                  <c:v>6.2739999999999996E-4</c:v>
                </c:pt>
                <c:pt idx="765">
                  <c:v>6.4289999999999996E-4</c:v>
                </c:pt>
                <c:pt idx="766">
                  <c:v>6.4099999999999997E-4</c:v>
                </c:pt>
                <c:pt idx="767">
                  <c:v>6.6220000000000005E-4</c:v>
                </c:pt>
                <c:pt idx="768">
                  <c:v>6.4320000000000002E-4</c:v>
                </c:pt>
                <c:pt idx="769">
                  <c:v>6.5090000000000005E-4</c:v>
                </c:pt>
                <c:pt idx="770">
                  <c:v>6.5439999999999997E-4</c:v>
                </c:pt>
                <c:pt idx="771">
                  <c:v>6.5919999999999998E-4</c:v>
                </c:pt>
                <c:pt idx="772">
                  <c:v>5.8250000000000001E-4</c:v>
                </c:pt>
                <c:pt idx="773">
                  <c:v>6.3880000000000002E-4</c:v>
                </c:pt>
                <c:pt idx="774">
                  <c:v>6.6129999999999997E-4</c:v>
                </c:pt>
                <c:pt idx="775">
                  <c:v>6.5209999999999997E-4</c:v>
                </c:pt>
                <c:pt idx="776">
                  <c:v>6.9289999999999998E-4</c:v>
                </c:pt>
                <c:pt idx="777">
                  <c:v>6.6379999999999998E-4</c:v>
                </c:pt>
                <c:pt idx="778">
                  <c:v>6.6359999999999998E-4</c:v>
                </c:pt>
                <c:pt idx="779">
                  <c:v>6.6379999999999998E-4</c:v>
                </c:pt>
                <c:pt idx="780">
                  <c:v>6.9959999999999998E-4</c:v>
                </c:pt>
                <c:pt idx="781">
                  <c:v>7.2000000000000005E-4</c:v>
                </c:pt>
                <c:pt idx="782">
                  <c:v>7.1900000000000002E-4</c:v>
                </c:pt>
                <c:pt idx="783">
                  <c:v>7.3019999999999997E-4</c:v>
                </c:pt>
                <c:pt idx="784">
                  <c:v>7.3870000000000001E-4</c:v>
                </c:pt>
                <c:pt idx="785">
                  <c:v>7.5140000000000005E-4</c:v>
                </c:pt>
                <c:pt idx="786">
                  <c:v>7.6400000000000003E-4</c:v>
                </c:pt>
                <c:pt idx="787">
                  <c:v>7.7450000000000001E-4</c:v>
                </c:pt>
                <c:pt idx="788">
                  <c:v>7.8910000000000004E-4</c:v>
                </c:pt>
                <c:pt idx="789">
                  <c:v>7.8799999999999996E-4</c:v>
                </c:pt>
                <c:pt idx="790">
                  <c:v>8.2879999999999998E-4</c:v>
                </c:pt>
                <c:pt idx="791">
                  <c:v>8.164E-4</c:v>
                </c:pt>
                <c:pt idx="792">
                  <c:v>8.3120000000000004E-4</c:v>
                </c:pt>
                <c:pt idx="793">
                  <c:v>8.0769999999999995E-4</c:v>
                </c:pt>
                <c:pt idx="794">
                  <c:v>7.9129999999999999E-4</c:v>
                </c:pt>
                <c:pt idx="795">
                  <c:v>7.6389999999999997E-4</c:v>
                </c:pt>
                <c:pt idx="796">
                  <c:v>8.1280000000000002E-4</c:v>
                </c:pt>
                <c:pt idx="797">
                  <c:v>7.8750000000000001E-4</c:v>
                </c:pt>
                <c:pt idx="798">
                  <c:v>8.3759999999999998E-4</c:v>
                </c:pt>
                <c:pt idx="799">
                  <c:v>8.9599999999999999E-4</c:v>
                </c:pt>
                <c:pt idx="800">
                  <c:v>8.7600000000000004E-4</c:v>
                </c:pt>
                <c:pt idx="801">
                  <c:v>8.8270000000000004E-4</c:v>
                </c:pt>
                <c:pt idx="802">
                  <c:v>9.7249999999999995E-4</c:v>
                </c:pt>
                <c:pt idx="803">
                  <c:v>9.8010000000000002E-4</c:v>
                </c:pt>
                <c:pt idx="804">
                  <c:v>9.8700000000000003E-4</c:v>
                </c:pt>
                <c:pt idx="805">
                  <c:v>9.7959999999999996E-4</c:v>
                </c:pt>
                <c:pt idx="806">
                  <c:v>1.0061E-3</c:v>
                </c:pt>
                <c:pt idx="807">
                  <c:v>1.0314E-3</c:v>
                </c:pt>
                <c:pt idx="808">
                  <c:v>9.6170000000000001E-4</c:v>
                </c:pt>
                <c:pt idx="809">
                  <c:v>9.7210000000000005E-4</c:v>
                </c:pt>
                <c:pt idx="810">
                  <c:v>9.4720000000000004E-4</c:v>
                </c:pt>
                <c:pt idx="811">
                  <c:v>9.4760000000000005E-4</c:v>
                </c:pt>
                <c:pt idx="812">
                  <c:v>9.8510000000000004E-4</c:v>
                </c:pt>
                <c:pt idx="813">
                  <c:v>9.4010000000000003E-4</c:v>
                </c:pt>
                <c:pt idx="814">
                  <c:v>9.4189999999999996E-4</c:v>
                </c:pt>
                <c:pt idx="815">
                  <c:v>9.1690000000000001E-4</c:v>
                </c:pt>
                <c:pt idx="816">
                  <c:v>9.0499999999999999E-4</c:v>
                </c:pt>
                <c:pt idx="817">
                  <c:v>9.079E-4</c:v>
                </c:pt>
                <c:pt idx="818">
                  <c:v>9.1810000000000004E-4</c:v>
                </c:pt>
                <c:pt idx="819">
                  <c:v>9.1189999999999999E-4</c:v>
                </c:pt>
                <c:pt idx="820">
                  <c:v>9.1279999999999996E-4</c:v>
                </c:pt>
                <c:pt idx="821">
                  <c:v>9.458E-4</c:v>
                </c:pt>
                <c:pt idx="822">
                  <c:v>9.1E-4</c:v>
                </c:pt>
                <c:pt idx="823">
                  <c:v>9.3499999999999996E-4</c:v>
                </c:pt>
                <c:pt idx="824">
                  <c:v>9.2650000000000002E-4</c:v>
                </c:pt>
                <c:pt idx="825">
                  <c:v>9.5390000000000004E-4</c:v>
                </c:pt>
                <c:pt idx="826">
                  <c:v>9.0320000000000005E-4</c:v>
                </c:pt>
                <c:pt idx="827">
                  <c:v>8.6989999999999995E-4</c:v>
                </c:pt>
                <c:pt idx="828">
                  <c:v>8.7819999999999999E-4</c:v>
                </c:pt>
                <c:pt idx="829">
                  <c:v>9.3130000000000003E-4</c:v>
                </c:pt>
                <c:pt idx="830">
                  <c:v>9.0600000000000001E-4</c:v>
                </c:pt>
                <c:pt idx="831">
                  <c:v>9.4970000000000005E-4</c:v>
                </c:pt>
                <c:pt idx="832">
                  <c:v>8.6379999999999996E-4</c:v>
                </c:pt>
                <c:pt idx="833">
                  <c:v>8.5910000000000001E-4</c:v>
                </c:pt>
                <c:pt idx="834">
                  <c:v>7.6059999999999995E-4</c:v>
                </c:pt>
                <c:pt idx="835">
                  <c:v>7.9750000000000003E-4</c:v>
                </c:pt>
                <c:pt idx="836">
                  <c:v>8.0409999999999998E-4</c:v>
                </c:pt>
                <c:pt idx="837">
                  <c:v>8.0429999999999998E-4</c:v>
                </c:pt>
                <c:pt idx="838">
                  <c:v>8.0099999999999995E-4</c:v>
                </c:pt>
                <c:pt idx="839">
                  <c:v>7.9270000000000002E-4</c:v>
                </c:pt>
                <c:pt idx="840">
                  <c:v>8.0849999999999997E-4</c:v>
                </c:pt>
                <c:pt idx="841">
                  <c:v>8.2430000000000003E-4</c:v>
                </c:pt>
                <c:pt idx="842">
                  <c:v>7.0310000000000001E-4</c:v>
                </c:pt>
                <c:pt idx="843">
                  <c:v>7.1469999999999997E-4</c:v>
                </c:pt>
                <c:pt idx="844">
                  <c:v>6.9039999999999998E-4</c:v>
                </c:pt>
                <c:pt idx="845">
                  <c:v>7.1319999999999999E-4</c:v>
                </c:pt>
                <c:pt idx="846">
                  <c:v>7.1469999999999997E-4</c:v>
                </c:pt>
                <c:pt idx="847">
                  <c:v>7.1869999999999996E-4</c:v>
                </c:pt>
                <c:pt idx="848">
                  <c:v>7.3800000000000005E-4</c:v>
                </c:pt>
                <c:pt idx="849">
                  <c:v>7.3200000000000001E-4</c:v>
                </c:pt>
                <c:pt idx="850">
                  <c:v>6.7420000000000002E-4</c:v>
                </c:pt>
                <c:pt idx="851">
                  <c:v>6.3900000000000003E-4</c:v>
                </c:pt>
                <c:pt idx="852">
                  <c:v>6.5959999999999999E-4</c:v>
                </c:pt>
                <c:pt idx="853">
                  <c:v>6.6080000000000002E-4</c:v>
                </c:pt>
                <c:pt idx="854">
                  <c:v>6.5729999999999998E-4</c:v>
                </c:pt>
                <c:pt idx="855">
                  <c:v>6.7659999999999997E-4</c:v>
                </c:pt>
                <c:pt idx="856">
                  <c:v>6.87E-4</c:v>
                </c:pt>
                <c:pt idx="857">
                  <c:v>7.7959999999999998E-4</c:v>
                </c:pt>
                <c:pt idx="858">
                  <c:v>8.2019999999999999E-4</c:v>
                </c:pt>
                <c:pt idx="859">
                  <c:v>8.6269999999999999E-4</c:v>
                </c:pt>
                <c:pt idx="860">
                  <c:v>8.8099999999999995E-4</c:v>
                </c:pt>
                <c:pt idx="861">
                  <c:v>8.5610000000000005E-4</c:v>
                </c:pt>
                <c:pt idx="862">
                  <c:v>8.8849999999999997E-4</c:v>
                </c:pt>
                <c:pt idx="863">
                  <c:v>8.3609999999999999E-4</c:v>
                </c:pt>
                <c:pt idx="864">
                  <c:v>8.0489999999999999E-4</c:v>
                </c:pt>
                <c:pt idx="865">
                  <c:v>7.9719999999999997E-4</c:v>
                </c:pt>
                <c:pt idx="866">
                  <c:v>7.9560000000000004E-4</c:v>
                </c:pt>
                <c:pt idx="867">
                  <c:v>7.9319999999999998E-4</c:v>
                </c:pt>
                <c:pt idx="868">
                  <c:v>8.1800000000000004E-4</c:v>
                </c:pt>
                <c:pt idx="869">
                  <c:v>8.1590000000000005E-4</c:v>
                </c:pt>
                <c:pt idx="870">
                  <c:v>8.6030000000000004E-4</c:v>
                </c:pt>
                <c:pt idx="871">
                  <c:v>8.4409999999999997E-4</c:v>
                </c:pt>
                <c:pt idx="872">
                  <c:v>8.1490000000000002E-4</c:v>
                </c:pt>
                <c:pt idx="873">
                  <c:v>7.9949999999999997E-4</c:v>
                </c:pt>
                <c:pt idx="874">
                  <c:v>7.8839999999999997E-4</c:v>
                </c:pt>
                <c:pt idx="875">
                  <c:v>8.1780000000000004E-4</c:v>
                </c:pt>
                <c:pt idx="876">
                  <c:v>8.0480000000000005E-4</c:v>
                </c:pt>
                <c:pt idx="877">
                  <c:v>7.9100000000000004E-4</c:v>
                </c:pt>
                <c:pt idx="878">
                  <c:v>7.9739999999999998E-4</c:v>
                </c:pt>
                <c:pt idx="879">
                  <c:v>7.9120000000000004E-4</c:v>
                </c:pt>
                <c:pt idx="880">
                  <c:v>7.9279999999999997E-4</c:v>
                </c:pt>
                <c:pt idx="881">
                  <c:v>8.0250000000000004E-4</c:v>
                </c:pt>
                <c:pt idx="882">
                  <c:v>7.8010000000000004E-4</c:v>
                </c:pt>
                <c:pt idx="883">
                  <c:v>7.9819999999999999E-4</c:v>
                </c:pt>
                <c:pt idx="884">
                  <c:v>8.499E-4</c:v>
                </c:pt>
                <c:pt idx="885">
                  <c:v>8.5499999999999997E-4</c:v>
                </c:pt>
                <c:pt idx="886">
                  <c:v>8.2109999999999995E-4</c:v>
                </c:pt>
                <c:pt idx="887">
                  <c:v>8.5550000000000003E-4</c:v>
                </c:pt>
                <c:pt idx="888">
                  <c:v>8.1490000000000002E-4</c:v>
                </c:pt>
                <c:pt idx="889">
                  <c:v>8.0159999999999997E-4</c:v>
                </c:pt>
                <c:pt idx="890">
                  <c:v>7.7629999999999995E-4</c:v>
                </c:pt>
                <c:pt idx="891">
                  <c:v>8.2839999999999997E-4</c:v>
                </c:pt>
                <c:pt idx="892">
                  <c:v>8.4489999999999999E-4</c:v>
                </c:pt>
                <c:pt idx="893">
                  <c:v>8.1800000000000004E-4</c:v>
                </c:pt>
                <c:pt idx="894">
                  <c:v>7.8680000000000004E-4</c:v>
                </c:pt>
                <c:pt idx="895">
                  <c:v>8.1959999999999997E-4</c:v>
                </c:pt>
                <c:pt idx="896">
                  <c:v>8.4520000000000005E-4</c:v>
                </c:pt>
                <c:pt idx="897">
                  <c:v>8.3710000000000002E-4</c:v>
                </c:pt>
                <c:pt idx="898">
                  <c:v>9.5629999999999999E-4</c:v>
                </c:pt>
                <c:pt idx="899">
                  <c:v>9.5399999999999999E-4</c:v>
                </c:pt>
                <c:pt idx="900">
                  <c:v>9.5660000000000005E-4</c:v>
                </c:pt>
                <c:pt idx="901">
                  <c:v>9.4569999999999995E-4</c:v>
                </c:pt>
                <c:pt idx="902">
                  <c:v>9.921000000000001E-4</c:v>
                </c:pt>
                <c:pt idx="903">
                  <c:v>9.0019999999999998E-4</c:v>
                </c:pt>
                <c:pt idx="904">
                  <c:v>9.6790000000000005E-4</c:v>
                </c:pt>
                <c:pt idx="905">
                  <c:v>9.6400000000000001E-4</c:v>
                </c:pt>
                <c:pt idx="906">
                  <c:v>9.9069999999999996E-4</c:v>
                </c:pt>
                <c:pt idx="907">
                  <c:v>1.0177000000000001E-3</c:v>
                </c:pt>
                <c:pt idx="908">
                  <c:v>1.0935000000000001E-3</c:v>
                </c:pt>
                <c:pt idx="909">
                  <c:v>1.0747E-3</c:v>
                </c:pt>
                <c:pt idx="910">
                  <c:v>1.1007E-3</c:v>
                </c:pt>
                <c:pt idx="911">
                  <c:v>1.1517999999999999E-3</c:v>
                </c:pt>
                <c:pt idx="912">
                  <c:v>1.1077999999999999E-3</c:v>
                </c:pt>
                <c:pt idx="913">
                  <c:v>1.1253000000000001E-3</c:v>
                </c:pt>
                <c:pt idx="914">
                  <c:v>1.1062999999999999E-3</c:v>
                </c:pt>
                <c:pt idx="915">
                  <c:v>1.1104999999999999E-3</c:v>
                </c:pt>
                <c:pt idx="916">
                  <c:v>1.1854999999999999E-3</c:v>
                </c:pt>
                <c:pt idx="917">
                  <c:v>1.2124E-3</c:v>
                </c:pt>
                <c:pt idx="918">
                  <c:v>1.2102E-3</c:v>
                </c:pt>
                <c:pt idx="919">
                  <c:v>1.2214999999999999E-3</c:v>
                </c:pt>
                <c:pt idx="920">
                  <c:v>1.224E-3</c:v>
                </c:pt>
                <c:pt idx="921">
                  <c:v>1.3024E-3</c:v>
                </c:pt>
                <c:pt idx="922">
                  <c:v>1.3024E-3</c:v>
                </c:pt>
                <c:pt idx="923">
                  <c:v>1.2698E-3</c:v>
                </c:pt>
                <c:pt idx="924">
                  <c:v>1.2641E-3</c:v>
                </c:pt>
                <c:pt idx="925">
                  <c:v>1.1952E-3</c:v>
                </c:pt>
                <c:pt idx="926">
                  <c:v>1.1410000000000001E-3</c:v>
                </c:pt>
                <c:pt idx="927">
                  <c:v>1.3035E-3</c:v>
                </c:pt>
                <c:pt idx="928">
                  <c:v>1.3324000000000001E-3</c:v>
                </c:pt>
                <c:pt idx="929">
                  <c:v>1.4331000000000001E-3</c:v>
                </c:pt>
                <c:pt idx="930">
                  <c:v>1.5135000000000001E-3</c:v>
                </c:pt>
                <c:pt idx="931">
                  <c:v>1.4189999999999999E-3</c:v>
                </c:pt>
                <c:pt idx="932">
                  <c:v>1.5901000000000001E-3</c:v>
                </c:pt>
                <c:pt idx="933">
                  <c:v>1.6230999999999999E-3</c:v>
                </c:pt>
                <c:pt idx="934">
                  <c:v>1.6799E-3</c:v>
                </c:pt>
                <c:pt idx="935">
                  <c:v>1.7098E-3</c:v>
                </c:pt>
                <c:pt idx="936">
                  <c:v>1.6758000000000001E-3</c:v>
                </c:pt>
                <c:pt idx="937">
                  <c:v>1.6599E-3</c:v>
                </c:pt>
                <c:pt idx="938">
                  <c:v>1.6413000000000001E-3</c:v>
                </c:pt>
                <c:pt idx="939">
                  <c:v>1.7976999999999999E-3</c:v>
                </c:pt>
                <c:pt idx="940">
                  <c:v>1.768E-3</c:v>
                </c:pt>
                <c:pt idx="941">
                  <c:v>1.8284E-3</c:v>
                </c:pt>
                <c:pt idx="942">
                  <c:v>1.9499999999999999E-3</c:v>
                </c:pt>
                <c:pt idx="943">
                  <c:v>1.7159E-3</c:v>
                </c:pt>
                <c:pt idx="944">
                  <c:v>1.7145000000000001E-3</c:v>
                </c:pt>
                <c:pt idx="945">
                  <c:v>1.7178E-3</c:v>
                </c:pt>
                <c:pt idx="946">
                  <c:v>1.7722E-3</c:v>
                </c:pt>
                <c:pt idx="947">
                  <c:v>1.8588999999999999E-3</c:v>
                </c:pt>
                <c:pt idx="948">
                  <c:v>1.8615000000000001E-3</c:v>
                </c:pt>
                <c:pt idx="949">
                  <c:v>1.8083000000000001E-3</c:v>
                </c:pt>
                <c:pt idx="950">
                  <c:v>1.8366000000000001E-3</c:v>
                </c:pt>
                <c:pt idx="951">
                  <c:v>1.66E-3</c:v>
                </c:pt>
                <c:pt idx="952">
                  <c:v>1.6214999999999999E-3</c:v>
                </c:pt>
                <c:pt idx="953">
                  <c:v>1.7198999999999999E-3</c:v>
                </c:pt>
                <c:pt idx="954">
                  <c:v>1.6796000000000001E-3</c:v>
                </c:pt>
                <c:pt idx="955">
                  <c:v>1.7017E-3</c:v>
                </c:pt>
                <c:pt idx="956">
                  <c:v>1.7151E-3</c:v>
                </c:pt>
                <c:pt idx="957">
                  <c:v>1.7221000000000001E-3</c:v>
                </c:pt>
                <c:pt idx="958">
                  <c:v>1.758E-3</c:v>
                </c:pt>
                <c:pt idx="959">
                  <c:v>1.8653000000000001E-3</c:v>
                </c:pt>
                <c:pt idx="960">
                  <c:v>1.83E-3</c:v>
                </c:pt>
                <c:pt idx="961">
                  <c:v>1.7791E-3</c:v>
                </c:pt>
                <c:pt idx="962">
                  <c:v>1.8545E-3</c:v>
                </c:pt>
                <c:pt idx="963">
                  <c:v>1.7409999999999999E-3</c:v>
                </c:pt>
                <c:pt idx="964">
                  <c:v>1.8933000000000001E-3</c:v>
                </c:pt>
                <c:pt idx="965">
                  <c:v>1.9335999999999999E-3</c:v>
                </c:pt>
                <c:pt idx="966">
                  <c:v>1.8729E-3</c:v>
                </c:pt>
                <c:pt idx="967">
                  <c:v>1.9483E-3</c:v>
                </c:pt>
                <c:pt idx="968">
                  <c:v>1.8301999999999999E-3</c:v>
                </c:pt>
                <c:pt idx="969">
                  <c:v>1.9585000000000002E-3</c:v>
                </c:pt>
                <c:pt idx="970">
                  <c:v>2.2398000000000001E-3</c:v>
                </c:pt>
                <c:pt idx="971">
                  <c:v>2.2488E-3</c:v>
                </c:pt>
                <c:pt idx="972">
                  <c:v>2.2777000000000001E-3</c:v>
                </c:pt>
                <c:pt idx="973">
                  <c:v>2.1090000000000002E-3</c:v>
                </c:pt>
                <c:pt idx="974">
                  <c:v>2.4126E-3</c:v>
                </c:pt>
                <c:pt idx="975">
                  <c:v>2.4099999999999998E-3</c:v>
                </c:pt>
                <c:pt idx="976">
                  <c:v>2.124E-3</c:v>
                </c:pt>
                <c:pt idx="977">
                  <c:v>2.0525999999999999E-3</c:v>
                </c:pt>
                <c:pt idx="978">
                  <c:v>1.9174000000000001E-3</c:v>
                </c:pt>
                <c:pt idx="979">
                  <c:v>1.9746E-3</c:v>
                </c:pt>
                <c:pt idx="980">
                  <c:v>2.0533000000000001E-3</c:v>
                </c:pt>
                <c:pt idx="981">
                  <c:v>1.7298999999999999E-3</c:v>
                </c:pt>
                <c:pt idx="982">
                  <c:v>1.8391E-3</c:v>
                </c:pt>
                <c:pt idx="983">
                  <c:v>1.7227E-3</c:v>
                </c:pt>
                <c:pt idx="984">
                  <c:v>1.5162000000000001E-3</c:v>
                </c:pt>
                <c:pt idx="985">
                  <c:v>1.4970999999999999E-3</c:v>
                </c:pt>
                <c:pt idx="986">
                  <c:v>1.5095E-3</c:v>
                </c:pt>
                <c:pt idx="987">
                  <c:v>1.4281999999999999E-3</c:v>
                </c:pt>
                <c:pt idx="988">
                  <c:v>1.4920999999999999E-3</c:v>
                </c:pt>
                <c:pt idx="989">
                  <c:v>1.2848E-3</c:v>
                </c:pt>
                <c:pt idx="990">
                  <c:v>1.2130000000000001E-3</c:v>
                </c:pt>
                <c:pt idx="991">
                  <c:v>1.2063E-3</c:v>
                </c:pt>
                <c:pt idx="992">
                  <c:v>1.2768E-3</c:v>
                </c:pt>
                <c:pt idx="993">
                  <c:v>1.1593E-3</c:v>
                </c:pt>
                <c:pt idx="994">
                  <c:v>1.1149E-3</c:v>
                </c:pt>
                <c:pt idx="995">
                  <c:v>1.2179999999999999E-3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D-42C7-AD64-8D1DE7E6613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-362.73933391124763</c:v>
                </c:pt>
                <c:pt idx="1">
                  <c:v>-360.84512639912094</c:v>
                </c:pt>
                <c:pt idx="2">
                  <c:v>-346.15256837135934</c:v>
                </c:pt>
                <c:pt idx="3">
                  <c:v>-327.55139340499841</c:v>
                </c:pt>
                <c:pt idx="4">
                  <c:v>-349.431623432469</c:v>
                </c:pt>
                <c:pt idx="5">
                  <c:v>-353.07485750740904</c:v>
                </c:pt>
                <c:pt idx="6">
                  <c:v>-360.65903742115034</c:v>
                </c:pt>
                <c:pt idx="7">
                  <c:v>-334.07033608431556</c:v>
                </c:pt>
                <c:pt idx="8">
                  <c:v>-319.9042780964694</c:v>
                </c:pt>
                <c:pt idx="9">
                  <c:v>-312.53209848561312</c:v>
                </c:pt>
                <c:pt idx="10">
                  <c:v>-318.2800784132566</c:v>
                </c:pt>
                <c:pt idx="11">
                  <c:v>-307.76987819984197</c:v>
                </c:pt>
                <c:pt idx="12">
                  <c:v>-314.05746610750322</c:v>
                </c:pt>
                <c:pt idx="13">
                  <c:v>-309.01935752740985</c:v>
                </c:pt>
                <c:pt idx="14">
                  <c:v>-321.16065942371063</c:v>
                </c:pt>
                <c:pt idx="15">
                  <c:v>-302.56969374295863</c:v>
                </c:pt>
                <c:pt idx="16">
                  <c:v>-318.43867338539206</c:v>
                </c:pt>
                <c:pt idx="17">
                  <c:v>-332.08725619111402</c:v>
                </c:pt>
                <c:pt idx="18">
                  <c:v>-327.49372210631583</c:v>
                </c:pt>
                <c:pt idx="19">
                  <c:v>-328.97913712703013</c:v>
                </c:pt>
                <c:pt idx="20">
                  <c:v>-321.33834600360154</c:v>
                </c:pt>
                <c:pt idx="21">
                  <c:v>-312.75542461929717</c:v>
                </c:pt>
                <c:pt idx="22">
                  <c:v>-322.0861766523762</c:v>
                </c:pt>
                <c:pt idx="23">
                  <c:v>-313.06100804725679</c:v>
                </c:pt>
                <c:pt idx="24">
                  <c:v>-303.7845748001065</c:v>
                </c:pt>
                <c:pt idx="25">
                  <c:v>-299.9585037141959</c:v>
                </c:pt>
                <c:pt idx="26">
                  <c:v>-292.30182681777274</c:v>
                </c:pt>
                <c:pt idx="27">
                  <c:v>-301.7504842817321</c:v>
                </c:pt>
                <c:pt idx="28">
                  <c:v>-296.45027305130515</c:v>
                </c:pt>
                <c:pt idx="29">
                  <c:v>-294.24592233646098</c:v>
                </c:pt>
                <c:pt idx="30">
                  <c:v>-277.49908576689575</c:v>
                </c:pt>
                <c:pt idx="31">
                  <c:v>-249.33872301960383</c:v>
                </c:pt>
                <c:pt idx="32">
                  <c:v>-238.07228942439829</c:v>
                </c:pt>
                <c:pt idx="33">
                  <c:v>-246.29581453435819</c:v>
                </c:pt>
                <c:pt idx="34">
                  <c:v>-248.41990235541701</c:v>
                </c:pt>
                <c:pt idx="35">
                  <c:v>-228.59010171704716</c:v>
                </c:pt>
                <c:pt idx="36">
                  <c:v>-249.16900555363299</c:v>
                </c:pt>
                <c:pt idx="37">
                  <c:v>-235.20572817853872</c:v>
                </c:pt>
                <c:pt idx="38">
                  <c:v>-258.70418580915236</c:v>
                </c:pt>
                <c:pt idx="39">
                  <c:v>-290.48722900126916</c:v>
                </c:pt>
                <c:pt idx="40">
                  <c:v>-278.27943294064897</c:v>
                </c:pt>
                <c:pt idx="41">
                  <c:v>-281.73685956535638</c:v>
                </c:pt>
                <c:pt idx="42">
                  <c:v>-264.07905179028427</c:v>
                </c:pt>
                <c:pt idx="43">
                  <c:v>-241.24594121071587</c:v>
                </c:pt>
                <c:pt idx="44">
                  <c:v>-255.35972856302601</c:v>
                </c:pt>
                <c:pt idx="45">
                  <c:v>-267.89069203919024</c:v>
                </c:pt>
                <c:pt idx="46">
                  <c:v>-237.1848498288918</c:v>
                </c:pt>
                <c:pt idx="47">
                  <c:v>-241.99018721170432</c:v>
                </c:pt>
                <c:pt idx="48">
                  <c:v>-243.05294009170433</c:v>
                </c:pt>
                <c:pt idx="49">
                  <c:v>-215.18901077473183</c:v>
                </c:pt>
                <c:pt idx="50">
                  <c:v>-180.68891950937473</c:v>
                </c:pt>
                <c:pt idx="51">
                  <c:v>-179.76277424661407</c:v>
                </c:pt>
                <c:pt idx="52">
                  <c:v>-143.66738585115959</c:v>
                </c:pt>
                <c:pt idx="53">
                  <c:v>-205.49480561932552</c:v>
                </c:pt>
                <c:pt idx="54">
                  <c:v>-180.349025165238</c:v>
                </c:pt>
                <c:pt idx="55">
                  <c:v>-302.40308745624515</c:v>
                </c:pt>
                <c:pt idx="56">
                  <c:v>-292.55602344270085</c:v>
                </c:pt>
                <c:pt idx="57">
                  <c:v>-294.0061494921863</c:v>
                </c:pt>
                <c:pt idx="58">
                  <c:v>-283.08467068920635</c:v>
                </c:pt>
                <c:pt idx="59">
                  <c:v>-262.66315751896292</c:v>
                </c:pt>
                <c:pt idx="60">
                  <c:v>-252.76625760104702</c:v>
                </c:pt>
                <c:pt idx="61">
                  <c:v>-296.14183441826469</c:v>
                </c:pt>
                <c:pt idx="62">
                  <c:v>-286.74689764329969</c:v>
                </c:pt>
                <c:pt idx="63">
                  <c:v>-238.28503796033434</c:v>
                </c:pt>
                <c:pt idx="64">
                  <c:v>-272.18377089493828</c:v>
                </c:pt>
                <c:pt idx="65">
                  <c:v>-272.20823612906122</c:v>
                </c:pt>
                <c:pt idx="66">
                  <c:v>-315.23080301091102</c:v>
                </c:pt>
                <c:pt idx="67">
                  <c:v>-292.7849308983503</c:v>
                </c:pt>
                <c:pt idx="68">
                  <c:v>-278.41033881941729</c:v>
                </c:pt>
                <c:pt idx="69">
                  <c:v>-307.41231277678139</c:v>
                </c:pt>
                <c:pt idx="70">
                  <c:v>-343.97123181208593</c:v>
                </c:pt>
                <c:pt idx="71">
                  <c:v>-343.94022613672513</c:v>
                </c:pt>
                <c:pt idx="72">
                  <c:v>-347.53042907383684</c:v>
                </c:pt>
                <c:pt idx="73">
                  <c:v>-350.32443399944913</c:v>
                </c:pt>
                <c:pt idx="74">
                  <c:v>-315.8692775859804</c:v>
                </c:pt>
                <c:pt idx="75">
                  <c:v>-318.78106261856965</c:v>
                </c:pt>
                <c:pt idx="76">
                  <c:v>-310.40042558923415</c:v>
                </c:pt>
                <c:pt idx="77">
                  <c:v>-310.84394494134762</c:v>
                </c:pt>
                <c:pt idx="78">
                  <c:v>-305.44099799883224</c:v>
                </c:pt>
                <c:pt idx="79">
                  <c:v>-295.43891032463983</c:v>
                </c:pt>
                <c:pt idx="80">
                  <c:v>-302.19907093089864</c:v>
                </c:pt>
                <c:pt idx="81">
                  <c:v>-313.42297351573205</c:v>
                </c:pt>
                <c:pt idx="82">
                  <c:v>-306.86320267592498</c:v>
                </c:pt>
                <c:pt idx="83">
                  <c:v>-322.59064322081696</c:v>
                </c:pt>
                <c:pt idx="84">
                  <c:v>-286.83653860291605</c:v>
                </c:pt>
                <c:pt idx="85">
                  <c:v>-214.01941959864007</c:v>
                </c:pt>
                <c:pt idx="86">
                  <c:v>-305.15316985336591</c:v>
                </c:pt>
                <c:pt idx="87">
                  <c:v>-311.58904730576808</c:v>
                </c:pt>
                <c:pt idx="88">
                  <c:v>-239.21747615567833</c:v>
                </c:pt>
                <c:pt idx="89">
                  <c:v>-381.42302290637878</c:v>
                </c:pt>
                <c:pt idx="90">
                  <c:v>-345.63650584441677</c:v>
                </c:pt>
                <c:pt idx="91">
                  <c:v>-390.05738402747795</c:v>
                </c:pt>
                <c:pt idx="92">
                  <c:v>-342.07991916896697</c:v>
                </c:pt>
                <c:pt idx="93">
                  <c:v>-295.0785707815125</c:v>
                </c:pt>
                <c:pt idx="94">
                  <c:v>-407.41258421592727</c:v>
                </c:pt>
                <c:pt idx="95">
                  <c:v>-412.55284907551754</c:v>
                </c:pt>
                <c:pt idx="96">
                  <c:v>-404.60337071073661</c:v>
                </c:pt>
                <c:pt idx="97">
                  <c:v>-403.95104197522949</c:v>
                </c:pt>
                <c:pt idx="98">
                  <c:v>-392.50684408912235</c:v>
                </c:pt>
                <c:pt idx="99">
                  <c:v>-366.8573540088193</c:v>
                </c:pt>
                <c:pt idx="100">
                  <c:v>-388.15958369686132</c:v>
                </c:pt>
                <c:pt idx="101">
                  <c:v>-381.82319014251368</c:v>
                </c:pt>
                <c:pt idx="102">
                  <c:v>-366.17741186650579</c:v>
                </c:pt>
                <c:pt idx="103">
                  <c:v>-342.69924967178912</c:v>
                </c:pt>
                <c:pt idx="104">
                  <c:v>-335.96609760313669</c:v>
                </c:pt>
                <c:pt idx="105">
                  <c:v>-339.13208173057455</c:v>
                </c:pt>
                <c:pt idx="106">
                  <c:v>-319.71580292186366</c:v>
                </c:pt>
                <c:pt idx="107">
                  <c:v>-331.0505586240954</c:v>
                </c:pt>
                <c:pt idx="108">
                  <c:v>-343.66963653930287</c:v>
                </c:pt>
                <c:pt idx="109">
                  <c:v>-337.6466279486454</c:v>
                </c:pt>
                <c:pt idx="110">
                  <c:v>-318.79147414439007</c:v>
                </c:pt>
                <c:pt idx="111">
                  <c:v>-312.33046591267197</c:v>
                </c:pt>
                <c:pt idx="112">
                  <c:v>-297.21229862153967</c:v>
                </c:pt>
                <c:pt idx="113">
                  <c:v>-272.17191061513967</c:v>
                </c:pt>
                <c:pt idx="114">
                  <c:v>-271.36998555858105</c:v>
                </c:pt>
                <c:pt idx="115">
                  <c:v>-274.7106058538389</c:v>
                </c:pt>
                <c:pt idx="116">
                  <c:v>-277.04401508644168</c:v>
                </c:pt>
                <c:pt idx="117">
                  <c:v>-295.12112912700343</c:v>
                </c:pt>
                <c:pt idx="118">
                  <c:v>-290.79841789900343</c:v>
                </c:pt>
                <c:pt idx="119">
                  <c:v>-312.01042355592898</c:v>
                </c:pt>
                <c:pt idx="120">
                  <c:v>-326.53414569224185</c:v>
                </c:pt>
                <c:pt idx="121">
                  <c:v>-320.06349682961019</c:v>
                </c:pt>
                <c:pt idx="122">
                  <c:v>-305.77629352404227</c:v>
                </c:pt>
                <c:pt idx="123">
                  <c:v>-286.92212648137559</c:v>
                </c:pt>
                <c:pt idx="124">
                  <c:v>-298.23266129121714</c:v>
                </c:pt>
                <c:pt idx="125">
                  <c:v>-286.93973196341631</c:v>
                </c:pt>
                <c:pt idx="126">
                  <c:v>-285.11702882524639</c:v>
                </c:pt>
                <c:pt idx="127">
                  <c:v>-287.44601036659617</c:v>
                </c:pt>
                <c:pt idx="128">
                  <c:v>-315.6799210741338</c:v>
                </c:pt>
                <c:pt idx="129">
                  <c:v>-288.46060048210592</c:v>
                </c:pt>
                <c:pt idx="130">
                  <c:v>-275.95494842001148</c:v>
                </c:pt>
                <c:pt idx="131">
                  <c:v>-267.27510346222613</c:v>
                </c:pt>
                <c:pt idx="132">
                  <c:v>-261.51802647456202</c:v>
                </c:pt>
                <c:pt idx="133">
                  <c:v>-252.64370591401493</c:v>
                </c:pt>
                <c:pt idx="134">
                  <c:v>-244.29965330913686</c:v>
                </c:pt>
                <c:pt idx="135">
                  <c:v>-250.47372710469236</c:v>
                </c:pt>
                <c:pt idx="136">
                  <c:v>-263.71246105400121</c:v>
                </c:pt>
                <c:pt idx="137">
                  <c:v>-257.65365233601636</c:v>
                </c:pt>
                <c:pt idx="138">
                  <c:v>-257.52026891249608</c:v>
                </c:pt>
                <c:pt idx="139">
                  <c:v>-255.76250812593906</c:v>
                </c:pt>
                <c:pt idx="140">
                  <c:v>-243.74512138779889</c:v>
                </c:pt>
                <c:pt idx="141">
                  <c:v>-235.00870482178019</c:v>
                </c:pt>
                <c:pt idx="142">
                  <c:v>-272.30761299706711</c:v>
                </c:pt>
                <c:pt idx="143">
                  <c:v>-251.709563673833</c:v>
                </c:pt>
                <c:pt idx="144">
                  <c:v>-256.20338110078438</c:v>
                </c:pt>
                <c:pt idx="145">
                  <c:v>-299.95673760920477</c:v>
                </c:pt>
                <c:pt idx="146">
                  <c:v>-284.53157864209953</c:v>
                </c:pt>
                <c:pt idx="147">
                  <c:v>-247.56143769632362</c:v>
                </c:pt>
                <c:pt idx="148">
                  <c:v>-320.41708587632371</c:v>
                </c:pt>
                <c:pt idx="149">
                  <c:v>-333.61440826554593</c:v>
                </c:pt>
                <c:pt idx="150">
                  <c:v>-326.48064281057731</c:v>
                </c:pt>
                <c:pt idx="151">
                  <c:v>-309.82302019282326</c:v>
                </c:pt>
                <c:pt idx="152">
                  <c:v>-296.32783338111165</c:v>
                </c:pt>
                <c:pt idx="153">
                  <c:v>-337.10427372262063</c:v>
                </c:pt>
                <c:pt idx="154">
                  <c:v>-362.27332132802673</c:v>
                </c:pt>
                <c:pt idx="155">
                  <c:v>-342.32797128443286</c:v>
                </c:pt>
                <c:pt idx="156">
                  <c:v>-363.99953347567737</c:v>
                </c:pt>
                <c:pt idx="157">
                  <c:v>-341.15207577733815</c:v>
                </c:pt>
                <c:pt idx="158">
                  <c:v>-334.98616495374318</c:v>
                </c:pt>
                <c:pt idx="159">
                  <c:v>-337.15354444719139</c:v>
                </c:pt>
                <c:pt idx="160">
                  <c:v>-317.16788549882682</c:v>
                </c:pt>
                <c:pt idx="161">
                  <c:v>-328.93790152968234</c:v>
                </c:pt>
                <c:pt idx="162">
                  <c:v>-358.49311363791361</c:v>
                </c:pt>
                <c:pt idx="163">
                  <c:v>-356.29373990240691</c:v>
                </c:pt>
                <c:pt idx="164">
                  <c:v>-323.40432250497275</c:v>
                </c:pt>
                <c:pt idx="165">
                  <c:v>-318.90687940409498</c:v>
                </c:pt>
                <c:pt idx="166">
                  <c:v>-330.87487262657959</c:v>
                </c:pt>
                <c:pt idx="167">
                  <c:v>-318.22392909304756</c:v>
                </c:pt>
                <c:pt idx="168">
                  <c:v>-357.48518527332561</c:v>
                </c:pt>
                <c:pt idx="169">
                  <c:v>-346.16174902334279</c:v>
                </c:pt>
                <c:pt idx="170">
                  <c:v>-407.12035504041108</c:v>
                </c:pt>
                <c:pt idx="171">
                  <c:v>-470.35608496376096</c:v>
                </c:pt>
                <c:pt idx="172">
                  <c:v>-493.87014820390152</c:v>
                </c:pt>
                <c:pt idx="173">
                  <c:v>-480.93993140133546</c:v>
                </c:pt>
                <c:pt idx="174">
                  <c:v>-488.22977970653341</c:v>
                </c:pt>
                <c:pt idx="175">
                  <c:v>-530.96038258080284</c:v>
                </c:pt>
                <c:pt idx="176">
                  <c:v>-547.71398706245225</c:v>
                </c:pt>
                <c:pt idx="177">
                  <c:v>-561.04536449308796</c:v>
                </c:pt>
                <c:pt idx="178">
                  <c:v>-558.81720057541543</c:v>
                </c:pt>
                <c:pt idx="179">
                  <c:v>-554.26706357596015</c:v>
                </c:pt>
                <c:pt idx="180">
                  <c:v>-535.4814418468103</c:v>
                </c:pt>
                <c:pt idx="181">
                  <c:v>-533.54893258831248</c:v>
                </c:pt>
                <c:pt idx="182">
                  <c:v>-553.95110889857858</c:v>
                </c:pt>
                <c:pt idx="183">
                  <c:v>-553.30856785504909</c:v>
                </c:pt>
                <c:pt idx="184">
                  <c:v>-548.19187359068724</c:v>
                </c:pt>
                <c:pt idx="185">
                  <c:v>-575.83469352795134</c:v>
                </c:pt>
                <c:pt idx="186">
                  <c:v>-568.14243451045127</c:v>
                </c:pt>
                <c:pt idx="187">
                  <c:v>-588.56380220747826</c:v>
                </c:pt>
                <c:pt idx="188">
                  <c:v>-583.77455312226084</c:v>
                </c:pt>
                <c:pt idx="189">
                  <c:v>-598.15151610856219</c:v>
                </c:pt>
                <c:pt idx="190">
                  <c:v>-604.19005032750431</c:v>
                </c:pt>
                <c:pt idx="191">
                  <c:v>-616.25784075191939</c:v>
                </c:pt>
                <c:pt idx="192">
                  <c:v>-594.43803806053097</c:v>
                </c:pt>
                <c:pt idx="193">
                  <c:v>-581.56521265315985</c:v>
                </c:pt>
                <c:pt idx="194">
                  <c:v>-574.71582327682518</c:v>
                </c:pt>
                <c:pt idx="195">
                  <c:v>-566.16272570144815</c:v>
                </c:pt>
                <c:pt idx="196">
                  <c:v>-550.24756299460603</c:v>
                </c:pt>
                <c:pt idx="197">
                  <c:v>-541.35526126751381</c:v>
                </c:pt>
                <c:pt idx="198">
                  <c:v>-552.64339452666275</c:v>
                </c:pt>
                <c:pt idx="199">
                  <c:v>-548.72061357921859</c:v>
                </c:pt>
                <c:pt idx="200">
                  <c:v>-545.64922105943947</c:v>
                </c:pt>
                <c:pt idx="201">
                  <c:v>-547.67596527953083</c:v>
                </c:pt>
                <c:pt idx="202">
                  <c:v>-544.65271379315959</c:v>
                </c:pt>
                <c:pt idx="203">
                  <c:v>-553.60355906304198</c:v>
                </c:pt>
                <c:pt idx="204">
                  <c:v>-543.12184635055667</c:v>
                </c:pt>
                <c:pt idx="205">
                  <c:v>-526.51973012284748</c:v>
                </c:pt>
                <c:pt idx="206">
                  <c:v>-521.75857496912477</c:v>
                </c:pt>
                <c:pt idx="207">
                  <c:v>-516.53064575551616</c:v>
                </c:pt>
                <c:pt idx="208">
                  <c:v>-518.68069617317053</c:v>
                </c:pt>
                <c:pt idx="209">
                  <c:v>-529.11300448751092</c:v>
                </c:pt>
                <c:pt idx="210">
                  <c:v>-534.10086619384197</c:v>
                </c:pt>
                <c:pt idx="211">
                  <c:v>-525.21060819505396</c:v>
                </c:pt>
                <c:pt idx="212">
                  <c:v>-532.41807086749384</c:v>
                </c:pt>
                <c:pt idx="213">
                  <c:v>-530.2503724346135</c:v>
                </c:pt>
                <c:pt idx="214">
                  <c:v>-532.62533635723264</c:v>
                </c:pt>
                <c:pt idx="215">
                  <c:v>-550.87973722510537</c:v>
                </c:pt>
                <c:pt idx="216">
                  <c:v>-559.37680317597597</c:v>
                </c:pt>
                <c:pt idx="217">
                  <c:v>-540.1978323528748</c:v>
                </c:pt>
                <c:pt idx="218">
                  <c:v>-554.21353929465101</c:v>
                </c:pt>
                <c:pt idx="219">
                  <c:v>-573.49915065826906</c:v>
                </c:pt>
                <c:pt idx="220">
                  <c:v>-559.31877750625483</c:v>
                </c:pt>
                <c:pt idx="221">
                  <c:v>-513.36496816338854</c:v>
                </c:pt>
                <c:pt idx="222">
                  <c:v>-531.53755108548557</c:v>
                </c:pt>
                <c:pt idx="223">
                  <c:v>-517.63802604032605</c:v>
                </c:pt>
                <c:pt idx="224">
                  <c:v>-513.19017377897944</c:v>
                </c:pt>
                <c:pt idx="225">
                  <c:v>-507.73176424359474</c:v>
                </c:pt>
                <c:pt idx="226">
                  <c:v>-494.68581941683976</c:v>
                </c:pt>
                <c:pt idx="227">
                  <c:v>-476.78240186414666</c:v>
                </c:pt>
                <c:pt idx="228">
                  <c:v>-487.61898473510342</c:v>
                </c:pt>
                <c:pt idx="229">
                  <c:v>-499.90951370806954</c:v>
                </c:pt>
                <c:pt idx="230">
                  <c:v>-498.04844225806954</c:v>
                </c:pt>
                <c:pt idx="231">
                  <c:v>-485.95908755212048</c:v>
                </c:pt>
                <c:pt idx="232">
                  <c:v>-469.71708341115971</c:v>
                </c:pt>
                <c:pt idx="233">
                  <c:v>-494.14018767704209</c:v>
                </c:pt>
                <c:pt idx="234">
                  <c:v>-521.41098137641302</c:v>
                </c:pt>
                <c:pt idx="235">
                  <c:v>-492.7865453034712</c:v>
                </c:pt>
                <c:pt idx="236">
                  <c:v>-503.62630429249572</c:v>
                </c:pt>
                <c:pt idx="237">
                  <c:v>-485.95851057980832</c:v>
                </c:pt>
                <c:pt idx="238">
                  <c:v>-477.84763040952475</c:v>
                </c:pt>
                <c:pt idx="239">
                  <c:v>-482.07848789411548</c:v>
                </c:pt>
                <c:pt idx="240">
                  <c:v>-485.05649590591645</c:v>
                </c:pt>
                <c:pt idx="241">
                  <c:v>-460.54365949341638</c:v>
                </c:pt>
                <c:pt idx="242">
                  <c:v>-486.15871760230527</c:v>
                </c:pt>
                <c:pt idx="243">
                  <c:v>-513.04183090579966</c:v>
                </c:pt>
                <c:pt idx="244">
                  <c:v>-504.0442911057296</c:v>
                </c:pt>
                <c:pt idx="245">
                  <c:v>-445.5618677284271</c:v>
                </c:pt>
                <c:pt idx="246">
                  <c:v>-390.30353409344792</c:v>
                </c:pt>
                <c:pt idx="247">
                  <c:v>-442.31272669254832</c:v>
                </c:pt>
                <c:pt idx="248">
                  <c:v>-495.93102635981927</c:v>
                </c:pt>
                <c:pt idx="249">
                  <c:v>-573.52207812723145</c:v>
                </c:pt>
                <c:pt idx="250">
                  <c:v>-561.65713628075264</c:v>
                </c:pt>
                <c:pt idx="251">
                  <c:v>-525.86523953373307</c:v>
                </c:pt>
                <c:pt idx="252">
                  <c:v>-514.67185228070696</c:v>
                </c:pt>
                <c:pt idx="253">
                  <c:v>-544.1790126338509</c:v>
                </c:pt>
                <c:pt idx="254">
                  <c:v>-506.31178176424226</c:v>
                </c:pt>
                <c:pt idx="255">
                  <c:v>-490.13298886333098</c:v>
                </c:pt>
                <c:pt idx="256">
                  <c:v>-454.06448140113747</c:v>
                </c:pt>
                <c:pt idx="257">
                  <c:v>-436.61478733286572</c:v>
                </c:pt>
                <c:pt idx="258">
                  <c:v>-402.70293034499656</c:v>
                </c:pt>
                <c:pt idx="259">
                  <c:v>-408.12453345259678</c:v>
                </c:pt>
                <c:pt idx="260">
                  <c:v>-434.10264035744029</c:v>
                </c:pt>
                <c:pt idx="261">
                  <c:v>-363.53900620465993</c:v>
                </c:pt>
                <c:pt idx="262">
                  <c:v>-383.88995841243445</c:v>
                </c:pt>
                <c:pt idx="263">
                  <c:v>-365.87540152519176</c:v>
                </c:pt>
                <c:pt idx="264">
                  <c:v>-379.68793020407708</c:v>
                </c:pt>
                <c:pt idx="265">
                  <c:v>-327.16163894112748</c:v>
                </c:pt>
                <c:pt idx="266">
                  <c:v>-262.03517998786248</c:v>
                </c:pt>
                <c:pt idx="267">
                  <c:v>-258.01054419928556</c:v>
                </c:pt>
                <c:pt idx="268">
                  <c:v>-257.25104969225202</c:v>
                </c:pt>
                <c:pt idx="269">
                  <c:v>-187.85821057461573</c:v>
                </c:pt>
                <c:pt idx="270">
                  <c:v>-181.20512762710842</c:v>
                </c:pt>
                <c:pt idx="271">
                  <c:v>-176.89680481554043</c:v>
                </c:pt>
                <c:pt idx="272">
                  <c:v>-166.25365582121034</c:v>
                </c:pt>
                <c:pt idx="273">
                  <c:v>-215.45435404311215</c:v>
                </c:pt>
                <c:pt idx="274">
                  <c:v>-192.44862754973286</c:v>
                </c:pt>
                <c:pt idx="275">
                  <c:v>-195.43718773815743</c:v>
                </c:pt>
                <c:pt idx="276">
                  <c:v>-301.21697091060241</c:v>
                </c:pt>
                <c:pt idx="277">
                  <c:v>-434.2561323743937</c:v>
                </c:pt>
                <c:pt idx="278">
                  <c:v>-427.20172654606415</c:v>
                </c:pt>
                <c:pt idx="279">
                  <c:v>-216.13737076121316</c:v>
                </c:pt>
                <c:pt idx="280">
                  <c:v>-400.08865051035633</c:v>
                </c:pt>
                <c:pt idx="281">
                  <c:v>-343.21712424756936</c:v>
                </c:pt>
                <c:pt idx="282">
                  <c:v>-273.45264367731761</c:v>
                </c:pt>
                <c:pt idx="283">
                  <c:v>-286.89130858161604</c:v>
                </c:pt>
                <c:pt idx="284">
                  <c:v>-198.16164386506628</c:v>
                </c:pt>
                <c:pt idx="285">
                  <c:v>-234.51125870121186</c:v>
                </c:pt>
                <c:pt idx="286">
                  <c:v>-75.117646338085493</c:v>
                </c:pt>
                <c:pt idx="287">
                  <c:v>-95.011258303877639</c:v>
                </c:pt>
                <c:pt idx="288">
                  <c:v>-19.209859826793451</c:v>
                </c:pt>
                <c:pt idx="289">
                  <c:v>-14.238368486423617</c:v>
                </c:pt>
                <c:pt idx="290">
                  <c:v>34.744284593090214</c:v>
                </c:pt>
                <c:pt idx="291">
                  <c:v>164.11465953834187</c:v>
                </c:pt>
                <c:pt idx="292">
                  <c:v>185.02921712542746</c:v>
                </c:pt>
                <c:pt idx="293">
                  <c:v>249.54539186379961</c:v>
                </c:pt>
                <c:pt idx="294">
                  <c:v>317.38557064629271</c:v>
                </c:pt>
                <c:pt idx="295">
                  <c:v>271.39459783649818</c:v>
                </c:pt>
                <c:pt idx="296">
                  <c:v>401.10347620746359</c:v>
                </c:pt>
                <c:pt idx="297">
                  <c:v>494.50727772032002</c:v>
                </c:pt>
                <c:pt idx="298">
                  <c:v>486.87433577497984</c:v>
                </c:pt>
                <c:pt idx="299">
                  <c:v>368.07430969787816</c:v>
                </c:pt>
                <c:pt idx="300">
                  <c:v>602.42343620812142</c:v>
                </c:pt>
                <c:pt idx="301">
                  <c:v>251.54725287842854</c:v>
                </c:pt>
                <c:pt idx="302">
                  <c:v>265.06398184104359</c:v>
                </c:pt>
                <c:pt idx="303">
                  <c:v>346.35271074380245</c:v>
                </c:pt>
                <c:pt idx="304">
                  <c:v>100.16732646354951</c:v>
                </c:pt>
                <c:pt idx="305">
                  <c:v>-161.27552792191477</c:v>
                </c:pt>
                <c:pt idx="306">
                  <c:v>-154.36733969788239</c:v>
                </c:pt>
                <c:pt idx="307">
                  <c:v>46.63484998601902</c:v>
                </c:pt>
                <c:pt idx="308">
                  <c:v>-126.14321215287364</c:v>
                </c:pt>
                <c:pt idx="309">
                  <c:v>-152.94472072540438</c:v>
                </c:pt>
                <c:pt idx="310">
                  <c:v>-56.211782326164403</c:v>
                </c:pt>
                <c:pt idx="311">
                  <c:v>-43.441341108742655</c:v>
                </c:pt>
                <c:pt idx="312">
                  <c:v>-14.343805933517107</c:v>
                </c:pt>
                <c:pt idx="313">
                  <c:v>-35.687868292665961</c:v>
                </c:pt>
                <c:pt idx="314">
                  <c:v>152.21360207019953</c:v>
                </c:pt>
                <c:pt idx="315">
                  <c:v>89.646354940950559</c:v>
                </c:pt>
                <c:pt idx="316">
                  <c:v>149.27245824981526</c:v>
                </c:pt>
                <c:pt idx="317">
                  <c:v>230.66083704646502</c:v>
                </c:pt>
                <c:pt idx="318">
                  <c:v>216.55324241262025</c:v>
                </c:pt>
                <c:pt idx="319">
                  <c:v>748.22868280894988</c:v>
                </c:pt>
                <c:pt idx="320">
                  <c:v>480.08787236862639</c:v>
                </c:pt>
                <c:pt idx="321">
                  <c:v>324.85071568710248</c:v>
                </c:pt>
                <c:pt idx="322">
                  <c:v>336.18926084389324</c:v>
                </c:pt>
                <c:pt idx="323">
                  <c:v>338.74511007680519</c:v>
                </c:pt>
                <c:pt idx="324">
                  <c:v>390.28843162634757</c:v>
                </c:pt>
                <c:pt idx="325">
                  <c:v>431.24823330145244</c:v>
                </c:pt>
                <c:pt idx="326">
                  <c:v>449.42656310401759</c:v>
                </c:pt>
                <c:pt idx="327">
                  <c:v>472.89109833838552</c:v>
                </c:pt>
                <c:pt idx="328">
                  <c:v>524.98800474536438</c:v>
                </c:pt>
                <c:pt idx="329">
                  <c:v>489.45749572186531</c:v>
                </c:pt>
                <c:pt idx="330">
                  <c:v>494.05788608955481</c:v>
                </c:pt>
                <c:pt idx="331">
                  <c:v>526.05746587829196</c:v>
                </c:pt>
                <c:pt idx="332">
                  <c:v>529.27379932057852</c:v>
                </c:pt>
                <c:pt idx="333">
                  <c:v>500.42673936679171</c:v>
                </c:pt>
                <c:pt idx="334">
                  <c:v>497.57265240800228</c:v>
                </c:pt>
                <c:pt idx="335">
                  <c:v>530.64596575015833</c:v>
                </c:pt>
                <c:pt idx="336">
                  <c:v>539.04536754990102</c:v>
                </c:pt>
                <c:pt idx="337">
                  <c:v>601.82015133160803</c:v>
                </c:pt>
                <c:pt idx="338">
                  <c:v>627.51115417667313</c:v>
                </c:pt>
                <c:pt idx="339">
                  <c:v>555.31312873994034</c:v>
                </c:pt>
                <c:pt idx="340">
                  <c:v>434.17563948498798</c:v>
                </c:pt>
                <c:pt idx="341">
                  <c:v>93.402465913254019</c:v>
                </c:pt>
                <c:pt idx="342">
                  <c:v>50.620439018940978</c:v>
                </c:pt>
                <c:pt idx="343">
                  <c:v>7.8187109270082598</c:v>
                </c:pt>
                <c:pt idx="344">
                  <c:v>9.9127627808341987E-2</c:v>
                </c:pt>
                <c:pt idx="345">
                  <c:v>-140.27950657310208</c:v>
                </c:pt>
                <c:pt idx="346">
                  <c:v>-128.27910962878636</c:v>
                </c:pt>
                <c:pt idx="347">
                  <c:v>-138.08983057918633</c:v>
                </c:pt>
                <c:pt idx="348">
                  <c:v>-114.94186993761399</c:v>
                </c:pt>
                <c:pt idx="349">
                  <c:v>-142.03917787584251</c:v>
                </c:pt>
                <c:pt idx="350">
                  <c:v>-142.36614846484034</c:v>
                </c:pt>
                <c:pt idx="351">
                  <c:v>-159.44375542724256</c:v>
                </c:pt>
                <c:pt idx="352">
                  <c:v>-137.94970589827452</c:v>
                </c:pt>
                <c:pt idx="353">
                  <c:v>-32.807597173607924</c:v>
                </c:pt>
                <c:pt idx="354">
                  <c:v>-112.74389736397372</c:v>
                </c:pt>
                <c:pt idx="355">
                  <c:v>-115.11279425926388</c:v>
                </c:pt>
                <c:pt idx="356">
                  <c:v>-92.232280842443799</c:v>
                </c:pt>
                <c:pt idx="357">
                  <c:v>-126.24084826979511</c:v>
                </c:pt>
                <c:pt idx="358">
                  <c:v>-100.23345616202577</c:v>
                </c:pt>
                <c:pt idx="359">
                  <c:v>-89.155992736643469</c:v>
                </c:pt>
                <c:pt idx="360">
                  <c:v>-84.530123806933304</c:v>
                </c:pt>
                <c:pt idx="361">
                  <c:v>-82.060329430153629</c:v>
                </c:pt>
                <c:pt idx="362">
                  <c:v>-61.199570829543539</c:v>
                </c:pt>
                <c:pt idx="363">
                  <c:v>2.1766470733680916</c:v>
                </c:pt>
                <c:pt idx="364">
                  <c:v>74.336716711985943</c:v>
                </c:pt>
                <c:pt idx="365">
                  <c:v>46.881415721703441</c:v>
                </c:pt>
                <c:pt idx="366">
                  <c:v>54.693140478734684</c:v>
                </c:pt>
                <c:pt idx="367">
                  <c:v>42.816545552107094</c:v>
                </c:pt>
                <c:pt idx="368">
                  <c:v>54.798428759700087</c:v>
                </c:pt>
                <c:pt idx="369">
                  <c:v>50.005327582136331</c:v>
                </c:pt>
                <c:pt idx="370">
                  <c:v>37.933352350565428</c:v>
                </c:pt>
                <c:pt idx="371">
                  <c:v>27.482153431153709</c:v>
                </c:pt>
                <c:pt idx="372">
                  <c:v>53.278068207151712</c:v>
                </c:pt>
                <c:pt idx="373">
                  <c:v>31.791240666440029</c:v>
                </c:pt>
                <c:pt idx="374">
                  <c:v>50.916761266440027</c:v>
                </c:pt>
                <c:pt idx="375">
                  <c:v>25.923898566786356</c:v>
                </c:pt>
                <c:pt idx="376">
                  <c:v>23.523715718457911</c:v>
                </c:pt>
                <c:pt idx="377">
                  <c:v>42.488555562851204</c:v>
                </c:pt>
                <c:pt idx="378">
                  <c:v>45.255240279778775</c:v>
                </c:pt>
                <c:pt idx="379">
                  <c:v>51.674477196399209</c:v>
                </c:pt>
                <c:pt idx="380">
                  <c:v>1.6173791484082412</c:v>
                </c:pt>
                <c:pt idx="381">
                  <c:v>18.542003662113846</c:v>
                </c:pt>
                <c:pt idx="382">
                  <c:v>14.8446076519628</c:v>
                </c:pt>
                <c:pt idx="383">
                  <c:v>33.158121392402357</c:v>
                </c:pt>
                <c:pt idx="384">
                  <c:v>-24.933100427197221</c:v>
                </c:pt>
                <c:pt idx="385">
                  <c:v>-36.550168796428018</c:v>
                </c:pt>
                <c:pt idx="386">
                  <c:v>-58.736548052172736</c:v>
                </c:pt>
                <c:pt idx="387">
                  <c:v>-72.068084053954294</c:v>
                </c:pt>
                <c:pt idx="388">
                  <c:v>-70.599873629636178</c:v>
                </c:pt>
                <c:pt idx="389">
                  <c:v>-66.360552361257788</c:v>
                </c:pt>
                <c:pt idx="390">
                  <c:v>54.705793058726805</c:v>
                </c:pt>
                <c:pt idx="391">
                  <c:v>1.8650270880446493</c:v>
                </c:pt>
                <c:pt idx="392">
                  <c:v>7.9844065043441557</c:v>
                </c:pt>
                <c:pt idx="393">
                  <c:v>6.4249446731205682</c:v>
                </c:pt>
                <c:pt idx="394">
                  <c:v>-3.508364296879424</c:v>
                </c:pt>
                <c:pt idx="395">
                  <c:v>-7.5550951496793699</c:v>
                </c:pt>
                <c:pt idx="396">
                  <c:v>-0.88217462874190333</c:v>
                </c:pt>
                <c:pt idx="397">
                  <c:v>12.669480083057719</c:v>
                </c:pt>
                <c:pt idx="398">
                  <c:v>15.995451972046503</c:v>
                </c:pt>
                <c:pt idx="399">
                  <c:v>17.725724873785648</c:v>
                </c:pt>
                <c:pt idx="400">
                  <c:v>7.9250812795883485</c:v>
                </c:pt>
                <c:pt idx="401">
                  <c:v>27.714800106574909</c:v>
                </c:pt>
                <c:pt idx="402">
                  <c:v>29.044303812038301</c:v>
                </c:pt>
                <c:pt idx="403">
                  <c:v>32.975209440444139</c:v>
                </c:pt>
                <c:pt idx="404">
                  <c:v>39.368593721114713</c:v>
                </c:pt>
                <c:pt idx="405">
                  <c:v>34.732892349090875</c:v>
                </c:pt>
                <c:pt idx="406">
                  <c:v>28.395919664646406</c:v>
                </c:pt>
                <c:pt idx="407">
                  <c:v>46.202898220517405</c:v>
                </c:pt>
                <c:pt idx="408">
                  <c:v>29.15850947006863</c:v>
                </c:pt>
                <c:pt idx="409">
                  <c:v>26.437805892376279</c:v>
                </c:pt>
                <c:pt idx="410">
                  <c:v>24.887751630802047</c:v>
                </c:pt>
                <c:pt idx="411">
                  <c:v>25.558727035468738</c:v>
                </c:pt>
                <c:pt idx="412">
                  <c:v>27.530837059584528</c:v>
                </c:pt>
                <c:pt idx="413">
                  <c:v>27.041517168800834</c:v>
                </c:pt>
                <c:pt idx="414">
                  <c:v>25.424831346957266</c:v>
                </c:pt>
                <c:pt idx="415">
                  <c:v>11.268942920582472</c:v>
                </c:pt>
                <c:pt idx="416">
                  <c:v>18.766592537213146</c:v>
                </c:pt>
                <c:pt idx="417">
                  <c:v>26.30043166065003</c:v>
                </c:pt>
                <c:pt idx="418">
                  <c:v>24.819367271316715</c:v>
                </c:pt>
                <c:pt idx="419">
                  <c:v>19.777379617139509</c:v>
                </c:pt>
                <c:pt idx="420">
                  <c:v>28.129455996625794</c:v>
                </c:pt>
                <c:pt idx="421">
                  <c:v>22.651157072395836</c:v>
                </c:pt>
                <c:pt idx="422">
                  <c:v>16.474685012274673</c:v>
                </c:pt>
                <c:pt idx="423">
                  <c:v>28.573887123762287</c:v>
                </c:pt>
                <c:pt idx="424">
                  <c:v>23.593832780926764</c:v>
                </c:pt>
                <c:pt idx="425">
                  <c:v>25.462194820133931</c:v>
                </c:pt>
                <c:pt idx="426">
                  <c:v>20.790578253886771</c:v>
                </c:pt>
                <c:pt idx="427">
                  <c:v>20.704072480321553</c:v>
                </c:pt>
                <c:pt idx="428">
                  <c:v>18.516981927060673</c:v>
                </c:pt>
                <c:pt idx="429">
                  <c:v>22.768545363033525</c:v>
                </c:pt>
                <c:pt idx="430">
                  <c:v>13.609662485783495</c:v>
                </c:pt>
                <c:pt idx="431">
                  <c:v>6.2147763377835066</c:v>
                </c:pt>
                <c:pt idx="432">
                  <c:v>19.650251582584225</c:v>
                </c:pt>
                <c:pt idx="433">
                  <c:v>5.8590265773289589</c:v>
                </c:pt>
                <c:pt idx="434">
                  <c:v>-0.64168484639188328</c:v>
                </c:pt>
                <c:pt idx="435">
                  <c:v>-0.44261769825683028</c:v>
                </c:pt>
                <c:pt idx="436">
                  <c:v>0.33943267492652446</c:v>
                </c:pt>
                <c:pt idx="437">
                  <c:v>0.55588244114012242</c:v>
                </c:pt>
                <c:pt idx="438">
                  <c:v>-4.5595532049248746</c:v>
                </c:pt>
                <c:pt idx="439">
                  <c:v>-1.7505223578926414</c:v>
                </c:pt>
                <c:pt idx="440">
                  <c:v>-4.0114912597676433</c:v>
                </c:pt>
                <c:pt idx="441">
                  <c:v>-8.8286897516426386</c:v>
                </c:pt>
                <c:pt idx="442">
                  <c:v>-3.7771470060351584</c:v>
                </c:pt>
                <c:pt idx="443">
                  <c:v>-5.9120854121889899</c:v>
                </c:pt>
                <c:pt idx="444">
                  <c:v>-4.3757652037856456</c:v>
                </c:pt>
                <c:pt idx="445">
                  <c:v>-6.407983420780698</c:v>
                </c:pt>
                <c:pt idx="446">
                  <c:v>-9.0413762257807111</c:v>
                </c:pt>
                <c:pt idx="447">
                  <c:v>0.60065031186633111</c:v>
                </c:pt>
                <c:pt idx="448">
                  <c:v>-17.337139551943164</c:v>
                </c:pt>
                <c:pt idx="449">
                  <c:v>-12.994121666641949</c:v>
                </c:pt>
                <c:pt idx="450">
                  <c:v>-11.853429232431431</c:v>
                </c:pt>
                <c:pt idx="451">
                  <c:v>-13.48928905201906</c:v>
                </c:pt>
                <c:pt idx="452">
                  <c:v>-9.7574287910634432</c:v>
                </c:pt>
                <c:pt idx="453">
                  <c:v>-10.04323321594717</c:v>
                </c:pt>
                <c:pt idx="454">
                  <c:v>-9.8955512218782022</c:v>
                </c:pt>
                <c:pt idx="455">
                  <c:v>-10.851998675172318</c:v>
                </c:pt>
                <c:pt idx="456">
                  <c:v>-7.686823455347767</c:v>
                </c:pt>
                <c:pt idx="457">
                  <c:v>-3.297067040988086</c:v>
                </c:pt>
                <c:pt idx="458">
                  <c:v>-4.3020855092344998</c:v>
                </c:pt>
                <c:pt idx="459">
                  <c:v>-6.1260968848615978</c:v>
                </c:pt>
                <c:pt idx="460">
                  <c:v>-2.8329609190944089</c:v>
                </c:pt>
                <c:pt idx="461">
                  <c:v>2.8347245546670723</c:v>
                </c:pt>
                <c:pt idx="462">
                  <c:v>11.515664047844361</c:v>
                </c:pt>
                <c:pt idx="463">
                  <c:v>12.58889803621757</c:v>
                </c:pt>
                <c:pt idx="464">
                  <c:v>5.7366964189226719</c:v>
                </c:pt>
                <c:pt idx="465">
                  <c:v>0.63653783433930478</c:v>
                </c:pt>
                <c:pt idx="466">
                  <c:v>-2.2833435841222363</c:v>
                </c:pt>
                <c:pt idx="467">
                  <c:v>-4.6532861015640794</c:v>
                </c:pt>
                <c:pt idx="468">
                  <c:v>-7.9156077181214535</c:v>
                </c:pt>
                <c:pt idx="469">
                  <c:v>-4.7073596314547963</c:v>
                </c:pt>
                <c:pt idx="470">
                  <c:v>-7.7793598925045364</c:v>
                </c:pt>
                <c:pt idx="471">
                  <c:v>-6.5525764523131462</c:v>
                </c:pt>
                <c:pt idx="472">
                  <c:v>-3.4807254409285209</c:v>
                </c:pt>
                <c:pt idx="473">
                  <c:v>1.2090770639564348</c:v>
                </c:pt>
                <c:pt idx="474">
                  <c:v>0.33992967302618021</c:v>
                </c:pt>
                <c:pt idx="475">
                  <c:v>4.003251828944534</c:v>
                </c:pt>
                <c:pt idx="476">
                  <c:v>-3.4987154630555022</c:v>
                </c:pt>
                <c:pt idx="477">
                  <c:v>-9.0469597375831867</c:v>
                </c:pt>
                <c:pt idx="478">
                  <c:v>-10.402411361341587</c:v>
                </c:pt>
                <c:pt idx="479">
                  <c:v>-6.2279918361802862</c:v>
                </c:pt>
                <c:pt idx="480">
                  <c:v>-1.4770771204187036</c:v>
                </c:pt>
                <c:pt idx="481">
                  <c:v>-2.0607580496494768</c:v>
                </c:pt>
                <c:pt idx="482">
                  <c:v>-1.9481077513317251</c:v>
                </c:pt>
                <c:pt idx="483">
                  <c:v>-7.4714692929888793</c:v>
                </c:pt>
                <c:pt idx="484">
                  <c:v>-5.7321084818777646</c:v>
                </c:pt>
                <c:pt idx="485">
                  <c:v>-6.1955813068777781</c:v>
                </c:pt>
                <c:pt idx="486">
                  <c:v>-5.5369701861324501</c:v>
                </c:pt>
                <c:pt idx="487">
                  <c:v>-0.59786649643546341</c:v>
                </c:pt>
                <c:pt idx="488">
                  <c:v>5.0207280546621025</c:v>
                </c:pt>
                <c:pt idx="489">
                  <c:v>6.4024556751749353</c:v>
                </c:pt>
                <c:pt idx="490">
                  <c:v>3.682164104027954</c:v>
                </c:pt>
                <c:pt idx="491">
                  <c:v>1.0589094098068352</c:v>
                </c:pt>
                <c:pt idx="492">
                  <c:v>6.2040929606526083</c:v>
                </c:pt>
                <c:pt idx="493">
                  <c:v>1.2502071622711242</c:v>
                </c:pt>
                <c:pt idx="494">
                  <c:v>5.4262686893327308</c:v>
                </c:pt>
                <c:pt idx="495">
                  <c:v>9.2806614650902919</c:v>
                </c:pt>
                <c:pt idx="496">
                  <c:v>13.248207574783887</c:v>
                </c:pt>
                <c:pt idx="497">
                  <c:v>14.849984986040186</c:v>
                </c:pt>
                <c:pt idx="498">
                  <c:v>13.75181809872312</c:v>
                </c:pt>
                <c:pt idx="499">
                  <c:v>8.5098588519269942</c:v>
                </c:pt>
                <c:pt idx="500">
                  <c:v>14.457259936737795</c:v>
                </c:pt>
                <c:pt idx="501">
                  <c:v>9.7470669694207217</c:v>
                </c:pt>
                <c:pt idx="502">
                  <c:v>15.801711259499223</c:v>
                </c:pt>
                <c:pt idx="503">
                  <c:v>16.61150341785364</c:v>
                </c:pt>
                <c:pt idx="504">
                  <c:v>8.2857962951690762</c:v>
                </c:pt>
                <c:pt idx="505">
                  <c:v>5.3763348054675975</c:v>
                </c:pt>
                <c:pt idx="506">
                  <c:v>1.5134751951017733</c:v>
                </c:pt>
                <c:pt idx="507">
                  <c:v>2.3133834966460696</c:v>
                </c:pt>
                <c:pt idx="508">
                  <c:v>-3.0467681512016571</c:v>
                </c:pt>
                <c:pt idx="509">
                  <c:v>-1.9314629109481896</c:v>
                </c:pt>
                <c:pt idx="510">
                  <c:v>5.3296768372200587</c:v>
                </c:pt>
                <c:pt idx="511">
                  <c:v>-5.2631594564997606</c:v>
                </c:pt>
                <c:pt idx="512">
                  <c:v>9.1344269328241996</c:v>
                </c:pt>
                <c:pt idx="513">
                  <c:v>9.5021480883891609</c:v>
                </c:pt>
                <c:pt idx="514">
                  <c:v>3.8531301117225363</c:v>
                </c:pt>
                <c:pt idx="515">
                  <c:v>15.351525851722535</c:v>
                </c:pt>
                <c:pt idx="516">
                  <c:v>14.702478222901538</c:v>
                </c:pt>
                <c:pt idx="517">
                  <c:v>16.992137063306362</c:v>
                </c:pt>
                <c:pt idx="518">
                  <c:v>23.07600872462503</c:v>
                </c:pt>
                <c:pt idx="519">
                  <c:v>23.097318770144369</c:v>
                </c:pt>
                <c:pt idx="520">
                  <c:v>26.030241050706682</c:v>
                </c:pt>
                <c:pt idx="521">
                  <c:v>26.416160791342339</c:v>
                </c:pt>
                <c:pt idx="522">
                  <c:v>29.652200876828228</c:v>
                </c:pt>
                <c:pt idx="523">
                  <c:v>32.822945019451176</c:v>
                </c:pt>
                <c:pt idx="524">
                  <c:v>27.216023603947317</c:v>
                </c:pt>
                <c:pt idx="525">
                  <c:v>40.659095610688901</c:v>
                </c:pt>
                <c:pt idx="526">
                  <c:v>38.9554627663735</c:v>
                </c:pt>
                <c:pt idx="527">
                  <c:v>33.976640954691739</c:v>
                </c:pt>
                <c:pt idx="528">
                  <c:v>35.063299326329535</c:v>
                </c:pt>
                <c:pt idx="529">
                  <c:v>48.097685630453242</c:v>
                </c:pt>
                <c:pt idx="530">
                  <c:v>40.532137807270509</c:v>
                </c:pt>
                <c:pt idx="531">
                  <c:v>36.895542034043125</c:v>
                </c:pt>
                <c:pt idx="532">
                  <c:v>40.367886853125704</c:v>
                </c:pt>
                <c:pt idx="533">
                  <c:v>42.355223587824092</c:v>
                </c:pt>
                <c:pt idx="534">
                  <c:v>33.871467203940583</c:v>
                </c:pt>
                <c:pt idx="535">
                  <c:v>36.888517666189919</c:v>
                </c:pt>
                <c:pt idx="536">
                  <c:v>27.30277719664188</c:v>
                </c:pt>
                <c:pt idx="537">
                  <c:v>37.956628995646746</c:v>
                </c:pt>
                <c:pt idx="538">
                  <c:v>49.019511346861243</c:v>
                </c:pt>
                <c:pt idx="539">
                  <c:v>24.689876095060434</c:v>
                </c:pt>
                <c:pt idx="540">
                  <c:v>17.799932032647497</c:v>
                </c:pt>
                <c:pt idx="541">
                  <c:v>20.722592219145131</c:v>
                </c:pt>
                <c:pt idx="542">
                  <c:v>14.492966642410455</c:v>
                </c:pt>
                <c:pt idx="543">
                  <c:v>12.153997302983111</c:v>
                </c:pt>
                <c:pt idx="544">
                  <c:v>22.459843132823302</c:v>
                </c:pt>
                <c:pt idx="545">
                  <c:v>10.150276312200148</c:v>
                </c:pt>
                <c:pt idx="546">
                  <c:v>8.8175662288322609</c:v>
                </c:pt>
                <c:pt idx="547">
                  <c:v>5.5307088013886494</c:v>
                </c:pt>
                <c:pt idx="548">
                  <c:v>8.1729429077648632</c:v>
                </c:pt>
                <c:pt idx="549">
                  <c:v>-8.3847160897961537</c:v>
                </c:pt>
                <c:pt idx="550">
                  <c:v>-6.38288138230042</c:v>
                </c:pt>
                <c:pt idx="551">
                  <c:v>-22.423685376391344</c:v>
                </c:pt>
                <c:pt idx="552">
                  <c:v>-10.237341906391324</c:v>
                </c:pt>
                <c:pt idx="553">
                  <c:v>-7.5458225571983375</c:v>
                </c:pt>
                <c:pt idx="554">
                  <c:v>-9.3362421867781844</c:v>
                </c:pt>
                <c:pt idx="555">
                  <c:v>-1.3966640236602736</c:v>
                </c:pt>
                <c:pt idx="556">
                  <c:v>-17.28325219795261</c:v>
                </c:pt>
                <c:pt idx="557">
                  <c:v>-6.6675276155526397</c:v>
                </c:pt>
                <c:pt idx="558">
                  <c:v>-22.483475033457871</c:v>
                </c:pt>
                <c:pt idx="559">
                  <c:v>-16.123145266540543</c:v>
                </c:pt>
                <c:pt idx="560">
                  <c:v>3.2592123444571781</c:v>
                </c:pt>
                <c:pt idx="561">
                  <c:v>-17.903571735090498</c:v>
                </c:pt>
                <c:pt idx="562">
                  <c:v>-8.0048938230012521</c:v>
                </c:pt>
                <c:pt idx="563">
                  <c:v>-6.6171654411917311</c:v>
                </c:pt>
                <c:pt idx="564">
                  <c:v>12.04673471610367</c:v>
                </c:pt>
                <c:pt idx="565">
                  <c:v>15.593784623260056</c:v>
                </c:pt>
                <c:pt idx="566">
                  <c:v>13.256638298682828</c:v>
                </c:pt>
                <c:pt idx="567">
                  <c:v>36.082271066008737</c:v>
                </c:pt>
                <c:pt idx="568">
                  <c:v>-117.15427335774585</c:v>
                </c:pt>
                <c:pt idx="569">
                  <c:v>-134.86564941913394</c:v>
                </c:pt>
                <c:pt idx="570">
                  <c:v>-131.37330637089858</c:v>
                </c:pt>
                <c:pt idx="571">
                  <c:v>-130.06429527195121</c:v>
                </c:pt>
                <c:pt idx="572">
                  <c:v>-129.91014133591224</c:v>
                </c:pt>
                <c:pt idx="573">
                  <c:v>-128.20129960688868</c:v>
                </c:pt>
                <c:pt idx="574">
                  <c:v>-127.34908502321518</c:v>
                </c:pt>
                <c:pt idx="575">
                  <c:v>-118.75793399031555</c:v>
                </c:pt>
                <c:pt idx="576">
                  <c:v>-122.71759267069292</c:v>
                </c:pt>
                <c:pt idx="577">
                  <c:v>-120.39093668080528</c:v>
                </c:pt>
                <c:pt idx="578">
                  <c:v>-127.29496223964918</c:v>
                </c:pt>
                <c:pt idx="579">
                  <c:v>-130.76408999365921</c:v>
                </c:pt>
                <c:pt idx="580">
                  <c:v>-129.20798395565922</c:v>
                </c:pt>
                <c:pt idx="581">
                  <c:v>-129.72295000989203</c:v>
                </c:pt>
                <c:pt idx="582">
                  <c:v>-133.00078579874699</c:v>
                </c:pt>
                <c:pt idx="583">
                  <c:v>-130.38447039917247</c:v>
                </c:pt>
                <c:pt idx="584">
                  <c:v>-127.30058286233036</c:v>
                </c:pt>
                <c:pt idx="585">
                  <c:v>-127.00529910540729</c:v>
                </c:pt>
                <c:pt idx="586">
                  <c:v>-126.51806380203516</c:v>
                </c:pt>
                <c:pt idx="587">
                  <c:v>-130.40260891665054</c:v>
                </c:pt>
                <c:pt idx="588">
                  <c:v>-128.89929086578636</c:v>
                </c:pt>
                <c:pt idx="589">
                  <c:v>-127.13763064091458</c:v>
                </c:pt>
                <c:pt idx="590">
                  <c:v>-124.85242269773703</c:v>
                </c:pt>
                <c:pt idx="591">
                  <c:v>-124.36929778593374</c:v>
                </c:pt>
                <c:pt idx="592">
                  <c:v>-132.17923877538982</c:v>
                </c:pt>
                <c:pt idx="593">
                  <c:v>-126.15995856416403</c:v>
                </c:pt>
                <c:pt idx="594">
                  <c:v>-132.33758053083065</c:v>
                </c:pt>
                <c:pt idx="595">
                  <c:v>-137.06381093261362</c:v>
                </c:pt>
                <c:pt idx="596">
                  <c:v>-132.26682999661361</c:v>
                </c:pt>
                <c:pt idx="597">
                  <c:v>-134.43593909222648</c:v>
                </c:pt>
                <c:pt idx="598">
                  <c:v>-136.0360784708472</c:v>
                </c:pt>
                <c:pt idx="599">
                  <c:v>-142.01223567687737</c:v>
                </c:pt>
                <c:pt idx="600">
                  <c:v>-143.07126942151407</c:v>
                </c:pt>
                <c:pt idx="601">
                  <c:v>-142.79056552803581</c:v>
                </c:pt>
                <c:pt idx="602">
                  <c:v>-136.01537022718156</c:v>
                </c:pt>
                <c:pt idx="603">
                  <c:v>-143.79085244594214</c:v>
                </c:pt>
                <c:pt idx="604">
                  <c:v>-160.184325538802</c:v>
                </c:pt>
                <c:pt idx="605">
                  <c:v>-169.90809254473098</c:v>
                </c:pt>
                <c:pt idx="606">
                  <c:v>-162.55591607618024</c:v>
                </c:pt>
                <c:pt idx="607">
                  <c:v>-161.66614307422756</c:v>
                </c:pt>
                <c:pt idx="608">
                  <c:v>-172.38059882326598</c:v>
                </c:pt>
                <c:pt idx="609">
                  <c:v>-174.17126386962678</c:v>
                </c:pt>
                <c:pt idx="610">
                  <c:v>-186.11836834962679</c:v>
                </c:pt>
                <c:pt idx="611">
                  <c:v>-183.62171564562684</c:v>
                </c:pt>
                <c:pt idx="612">
                  <c:v>-191.71486979325218</c:v>
                </c:pt>
                <c:pt idx="613">
                  <c:v>-202.07934830519812</c:v>
                </c:pt>
                <c:pt idx="614">
                  <c:v>-167.29703878328911</c:v>
                </c:pt>
                <c:pt idx="615">
                  <c:v>-166.72195953647318</c:v>
                </c:pt>
                <c:pt idx="616">
                  <c:v>-173.43105363475891</c:v>
                </c:pt>
                <c:pt idx="617">
                  <c:v>-175.6076671609494</c:v>
                </c:pt>
                <c:pt idx="618">
                  <c:v>-172.95710775640399</c:v>
                </c:pt>
                <c:pt idx="619">
                  <c:v>-173.8163244597373</c:v>
                </c:pt>
                <c:pt idx="620">
                  <c:v>-168.66040065663998</c:v>
                </c:pt>
                <c:pt idx="621">
                  <c:v>-167.84693801400837</c:v>
                </c:pt>
                <c:pt idx="622">
                  <c:v>-161.81215524596016</c:v>
                </c:pt>
                <c:pt idx="623">
                  <c:v>-160.63283766741344</c:v>
                </c:pt>
                <c:pt idx="624">
                  <c:v>-165.14671345104134</c:v>
                </c:pt>
                <c:pt idx="625">
                  <c:v>-169.6636484116253</c:v>
                </c:pt>
                <c:pt idx="626">
                  <c:v>-170.08533775601833</c:v>
                </c:pt>
                <c:pt idx="627">
                  <c:v>-169.1626701001513</c:v>
                </c:pt>
                <c:pt idx="628">
                  <c:v>-166.02435344723369</c:v>
                </c:pt>
                <c:pt idx="629">
                  <c:v>-162.12892673300192</c:v>
                </c:pt>
                <c:pt idx="630">
                  <c:v>-145.33484364239499</c:v>
                </c:pt>
                <c:pt idx="631">
                  <c:v>-156.56694478762441</c:v>
                </c:pt>
                <c:pt idx="632">
                  <c:v>-135.34707921762438</c:v>
                </c:pt>
                <c:pt idx="633">
                  <c:v>-124.21275222509043</c:v>
                </c:pt>
                <c:pt idx="634">
                  <c:v>-164.96476439047294</c:v>
                </c:pt>
                <c:pt idx="635">
                  <c:v>-170.05809332416788</c:v>
                </c:pt>
                <c:pt idx="636">
                  <c:v>-189.6849553261591</c:v>
                </c:pt>
                <c:pt idx="637">
                  <c:v>-196.03281583481581</c:v>
                </c:pt>
                <c:pt idx="638">
                  <c:v>-187.43475879806886</c:v>
                </c:pt>
                <c:pt idx="639">
                  <c:v>-197.22672779886025</c:v>
                </c:pt>
                <c:pt idx="640">
                  <c:v>-199.11061858963691</c:v>
                </c:pt>
                <c:pt idx="641">
                  <c:v>-200.10404654683688</c:v>
                </c:pt>
                <c:pt idx="642">
                  <c:v>-200.4409202638582</c:v>
                </c:pt>
                <c:pt idx="643">
                  <c:v>-198.34133364240122</c:v>
                </c:pt>
                <c:pt idx="644">
                  <c:v>-200.02202934240128</c:v>
                </c:pt>
                <c:pt idx="645">
                  <c:v>-199.21422254684569</c:v>
                </c:pt>
                <c:pt idx="646">
                  <c:v>-199.95694106411847</c:v>
                </c:pt>
                <c:pt idx="647">
                  <c:v>-200.27759918257084</c:v>
                </c:pt>
                <c:pt idx="648">
                  <c:v>-192.43794647918426</c:v>
                </c:pt>
                <c:pt idx="649">
                  <c:v>-190.88816148458574</c:v>
                </c:pt>
                <c:pt idx="650">
                  <c:v>-193.73519024003289</c:v>
                </c:pt>
                <c:pt idx="651">
                  <c:v>-193.90177459655465</c:v>
                </c:pt>
                <c:pt idx="652">
                  <c:v>-195.55358993416999</c:v>
                </c:pt>
                <c:pt idx="653">
                  <c:v>-193.41416610128408</c:v>
                </c:pt>
                <c:pt idx="654">
                  <c:v>-192.98457502565446</c:v>
                </c:pt>
                <c:pt idx="655">
                  <c:v>-194.9066490958617</c:v>
                </c:pt>
                <c:pt idx="656">
                  <c:v>-192.60631674972413</c:v>
                </c:pt>
                <c:pt idx="657">
                  <c:v>-194.41777474634384</c:v>
                </c:pt>
                <c:pt idx="658">
                  <c:v>-191.67675767813805</c:v>
                </c:pt>
                <c:pt idx="659">
                  <c:v>-192.77309293758816</c:v>
                </c:pt>
                <c:pt idx="660">
                  <c:v>-192.22642756019087</c:v>
                </c:pt>
                <c:pt idx="661">
                  <c:v>-183.75272383862838</c:v>
                </c:pt>
                <c:pt idx="662">
                  <c:v>-194.25203207948772</c:v>
                </c:pt>
                <c:pt idx="663">
                  <c:v>-195.11083323718006</c:v>
                </c:pt>
                <c:pt idx="664">
                  <c:v>-194.06091895528814</c:v>
                </c:pt>
                <c:pt idx="665">
                  <c:v>-192.56633839528814</c:v>
                </c:pt>
                <c:pt idx="666">
                  <c:v>-187.64851378277021</c:v>
                </c:pt>
                <c:pt idx="667">
                  <c:v>-203.48572439733164</c:v>
                </c:pt>
                <c:pt idx="668">
                  <c:v>-208.65020492373165</c:v>
                </c:pt>
                <c:pt idx="669">
                  <c:v>-212.65641497895746</c:v>
                </c:pt>
                <c:pt idx="670">
                  <c:v>-204.99629373895743</c:v>
                </c:pt>
                <c:pt idx="671">
                  <c:v>-206.3024870729574</c:v>
                </c:pt>
                <c:pt idx="672">
                  <c:v>-198.88673443517962</c:v>
                </c:pt>
                <c:pt idx="673">
                  <c:v>-201.64068990772995</c:v>
                </c:pt>
                <c:pt idx="674">
                  <c:v>-198.68267539603764</c:v>
                </c:pt>
                <c:pt idx="675">
                  <c:v>-200.52863814774494</c:v>
                </c:pt>
                <c:pt idx="676">
                  <c:v>-207.75356551208603</c:v>
                </c:pt>
                <c:pt idx="677">
                  <c:v>-203.14232642624333</c:v>
                </c:pt>
                <c:pt idx="678">
                  <c:v>-204.15507092010949</c:v>
                </c:pt>
                <c:pt idx="679">
                  <c:v>-202.35162573575596</c:v>
                </c:pt>
                <c:pt idx="680">
                  <c:v>-203.49306852391797</c:v>
                </c:pt>
                <c:pt idx="681">
                  <c:v>-205.74909576269343</c:v>
                </c:pt>
                <c:pt idx="682">
                  <c:v>-206.20344676848293</c:v>
                </c:pt>
                <c:pt idx="683">
                  <c:v>-205.56572334272022</c:v>
                </c:pt>
                <c:pt idx="684">
                  <c:v>-202.88369509372026</c:v>
                </c:pt>
                <c:pt idx="685">
                  <c:v>-195.8656373954276</c:v>
                </c:pt>
                <c:pt idx="686">
                  <c:v>-214.4423610965415</c:v>
                </c:pt>
                <c:pt idx="687">
                  <c:v>-187.52373509845825</c:v>
                </c:pt>
                <c:pt idx="688">
                  <c:v>-188.1630585058154</c:v>
                </c:pt>
                <c:pt idx="689">
                  <c:v>-187.18070305828854</c:v>
                </c:pt>
                <c:pt idx="690">
                  <c:v>-185.70399094828852</c:v>
                </c:pt>
                <c:pt idx="691">
                  <c:v>-177.23402454250939</c:v>
                </c:pt>
                <c:pt idx="692">
                  <c:v>-172.54674768574878</c:v>
                </c:pt>
                <c:pt idx="693">
                  <c:v>-172.26912108574874</c:v>
                </c:pt>
                <c:pt idx="694">
                  <c:v>-169.94118593444009</c:v>
                </c:pt>
                <c:pt idx="695">
                  <c:v>-171.9404888467991</c:v>
                </c:pt>
                <c:pt idx="696">
                  <c:v>-170.0527350667991</c:v>
                </c:pt>
                <c:pt idx="697">
                  <c:v>-173.24144810030378</c:v>
                </c:pt>
                <c:pt idx="698">
                  <c:v>-171.9309797786203</c:v>
                </c:pt>
                <c:pt idx="699">
                  <c:v>-167.04108850862031</c:v>
                </c:pt>
                <c:pt idx="700">
                  <c:v>-167.2215570150951</c:v>
                </c:pt>
                <c:pt idx="701">
                  <c:v>-169.61452590652132</c:v>
                </c:pt>
                <c:pt idx="702">
                  <c:v>-164.84715228636642</c:v>
                </c:pt>
                <c:pt idx="703">
                  <c:v>-158.02660077242768</c:v>
                </c:pt>
                <c:pt idx="704">
                  <c:v>-152.84547418698907</c:v>
                </c:pt>
                <c:pt idx="705">
                  <c:v>-155.32850420773406</c:v>
                </c:pt>
                <c:pt idx="706">
                  <c:v>-156.79332679656088</c:v>
                </c:pt>
                <c:pt idx="707">
                  <c:v>-154.9852651078354</c:v>
                </c:pt>
                <c:pt idx="708">
                  <c:v>-160.76272359715571</c:v>
                </c:pt>
                <c:pt idx="709">
                  <c:v>-151.2335851615353</c:v>
                </c:pt>
                <c:pt idx="710">
                  <c:v>-154.16260847935231</c:v>
                </c:pt>
                <c:pt idx="711">
                  <c:v>-159.28574542004998</c:v>
                </c:pt>
                <c:pt idx="712">
                  <c:v>-156.21538072078903</c:v>
                </c:pt>
                <c:pt idx="713">
                  <c:v>-147.30735517844298</c:v>
                </c:pt>
                <c:pt idx="714">
                  <c:v>-152.57665086143132</c:v>
                </c:pt>
                <c:pt idx="715">
                  <c:v>-148.75422839638935</c:v>
                </c:pt>
                <c:pt idx="716">
                  <c:v>-162.15235177355666</c:v>
                </c:pt>
                <c:pt idx="717">
                  <c:v>-167.07083894324415</c:v>
                </c:pt>
                <c:pt idx="718">
                  <c:v>-154.9738491955423</c:v>
                </c:pt>
                <c:pt idx="719">
                  <c:v>-145.78552612585335</c:v>
                </c:pt>
                <c:pt idx="720">
                  <c:v>-152.69937226003938</c:v>
                </c:pt>
                <c:pt idx="721">
                  <c:v>-157.6442678852118</c:v>
                </c:pt>
                <c:pt idx="722">
                  <c:v>-166.81462494572651</c:v>
                </c:pt>
                <c:pt idx="723">
                  <c:v>-161.85158647609177</c:v>
                </c:pt>
                <c:pt idx="724">
                  <c:v>-174.55335551406645</c:v>
                </c:pt>
                <c:pt idx="725">
                  <c:v>-171.22626613944456</c:v>
                </c:pt>
                <c:pt idx="726">
                  <c:v>-173.84827851358111</c:v>
                </c:pt>
                <c:pt idx="727">
                  <c:v>-176.84960054617369</c:v>
                </c:pt>
                <c:pt idx="728">
                  <c:v>-173.99133863356869</c:v>
                </c:pt>
                <c:pt idx="729">
                  <c:v>-168.12653978325511</c:v>
                </c:pt>
                <c:pt idx="730">
                  <c:v>-163.63487235404756</c:v>
                </c:pt>
                <c:pt idx="731">
                  <c:v>-166.50873399592254</c:v>
                </c:pt>
                <c:pt idx="732">
                  <c:v>-163.62055736213151</c:v>
                </c:pt>
                <c:pt idx="733">
                  <c:v>-165.90415150836802</c:v>
                </c:pt>
                <c:pt idx="734">
                  <c:v>-163.11920599481496</c:v>
                </c:pt>
                <c:pt idx="735">
                  <c:v>-162.98442642879724</c:v>
                </c:pt>
                <c:pt idx="736">
                  <c:v>-159.52617515643547</c:v>
                </c:pt>
                <c:pt idx="737">
                  <c:v>-160.14575716893543</c:v>
                </c:pt>
                <c:pt idx="738">
                  <c:v>-157.01317752930237</c:v>
                </c:pt>
                <c:pt idx="739">
                  <c:v>-158.34160257362674</c:v>
                </c:pt>
                <c:pt idx="740">
                  <c:v>-148.93040115951194</c:v>
                </c:pt>
                <c:pt idx="741">
                  <c:v>-144.76989806766983</c:v>
                </c:pt>
                <c:pt idx="742">
                  <c:v>-156.49448534766981</c:v>
                </c:pt>
                <c:pt idx="743">
                  <c:v>-154.0042579991339</c:v>
                </c:pt>
                <c:pt idx="744">
                  <c:v>-151.65715470137877</c:v>
                </c:pt>
                <c:pt idx="745">
                  <c:v>-154.97343617746577</c:v>
                </c:pt>
                <c:pt idx="746">
                  <c:v>-151.28559912886112</c:v>
                </c:pt>
                <c:pt idx="747">
                  <c:v>-149.5780947608568</c:v>
                </c:pt>
                <c:pt idx="748">
                  <c:v>-146.44152217085679</c:v>
                </c:pt>
                <c:pt idx="749">
                  <c:v>-149.01878558393372</c:v>
                </c:pt>
                <c:pt idx="750">
                  <c:v>-144.28081995495069</c:v>
                </c:pt>
                <c:pt idx="751">
                  <c:v>-142.41996787472132</c:v>
                </c:pt>
                <c:pt idx="752">
                  <c:v>-138.32159346958417</c:v>
                </c:pt>
                <c:pt idx="753">
                  <c:v>-140.8893026745842</c:v>
                </c:pt>
                <c:pt idx="754">
                  <c:v>-138.56630950839113</c:v>
                </c:pt>
                <c:pt idx="755">
                  <c:v>-137.65041872567656</c:v>
                </c:pt>
                <c:pt idx="756">
                  <c:v>-140.99662240795146</c:v>
                </c:pt>
                <c:pt idx="757">
                  <c:v>-139.40612906316619</c:v>
                </c:pt>
                <c:pt idx="758">
                  <c:v>-141.59146466959893</c:v>
                </c:pt>
                <c:pt idx="759">
                  <c:v>-140.63738741155015</c:v>
                </c:pt>
                <c:pt idx="760">
                  <c:v>-139.35679589195556</c:v>
                </c:pt>
                <c:pt idx="761">
                  <c:v>-141.12794786640868</c:v>
                </c:pt>
                <c:pt idx="762">
                  <c:v>-141.36347245140865</c:v>
                </c:pt>
                <c:pt idx="763">
                  <c:v>-142.33008290200692</c:v>
                </c:pt>
                <c:pt idx="764">
                  <c:v>-141.4687614999236</c:v>
                </c:pt>
                <c:pt idx="765">
                  <c:v>-139.56450336362988</c:v>
                </c:pt>
                <c:pt idx="766">
                  <c:v>-139.42892142350331</c:v>
                </c:pt>
                <c:pt idx="767">
                  <c:v>-137.46425038902055</c:v>
                </c:pt>
                <c:pt idx="768">
                  <c:v>-139.99130088643992</c:v>
                </c:pt>
                <c:pt idx="769">
                  <c:v>-139.5879318231066</c:v>
                </c:pt>
                <c:pt idx="770">
                  <c:v>-142.06776249060661</c:v>
                </c:pt>
                <c:pt idx="771">
                  <c:v>-142.3086642344457</c:v>
                </c:pt>
                <c:pt idx="772">
                  <c:v>-149.23707945736015</c:v>
                </c:pt>
                <c:pt idx="773">
                  <c:v>-145.87324392440681</c:v>
                </c:pt>
                <c:pt idx="774">
                  <c:v>-143.22663804437116</c:v>
                </c:pt>
                <c:pt idx="775">
                  <c:v>-143.81763833292186</c:v>
                </c:pt>
                <c:pt idx="776">
                  <c:v>-140.89215490788615</c:v>
                </c:pt>
                <c:pt idx="777">
                  <c:v>-141.2460901552742</c:v>
                </c:pt>
                <c:pt idx="778">
                  <c:v>-143.26421638535484</c:v>
                </c:pt>
                <c:pt idx="779">
                  <c:v>-141.78386207688922</c:v>
                </c:pt>
                <c:pt idx="780">
                  <c:v>-136.86055308125776</c:v>
                </c:pt>
                <c:pt idx="781">
                  <c:v>-134.75433370351126</c:v>
                </c:pt>
                <c:pt idx="782">
                  <c:v>-133.00595451805674</c:v>
                </c:pt>
                <c:pt idx="783">
                  <c:v>-127.99805152927847</c:v>
                </c:pt>
                <c:pt idx="784">
                  <c:v>-130.69752226789268</c:v>
                </c:pt>
                <c:pt idx="785">
                  <c:v>-128.9339969718927</c:v>
                </c:pt>
                <c:pt idx="786">
                  <c:v>-127.40666811197605</c:v>
                </c:pt>
                <c:pt idx="787">
                  <c:v>-126.26583763333321</c:v>
                </c:pt>
                <c:pt idx="788">
                  <c:v>-126.24303964364462</c:v>
                </c:pt>
                <c:pt idx="789">
                  <c:v>-128.72616934909507</c:v>
                </c:pt>
                <c:pt idx="790">
                  <c:v>-126.2375414384631</c:v>
                </c:pt>
                <c:pt idx="791">
                  <c:v>-126.87259106246309</c:v>
                </c:pt>
                <c:pt idx="792">
                  <c:v>-125.35727018441432</c:v>
                </c:pt>
                <c:pt idx="793">
                  <c:v>-128.89269696018195</c:v>
                </c:pt>
                <c:pt idx="794">
                  <c:v>-130.80762852090831</c:v>
                </c:pt>
                <c:pt idx="795">
                  <c:v>-134.38064361021543</c:v>
                </c:pt>
                <c:pt idx="796">
                  <c:v>-131.41825799590646</c:v>
                </c:pt>
                <c:pt idx="797">
                  <c:v>-132.78854639011047</c:v>
                </c:pt>
                <c:pt idx="798">
                  <c:v>-129.01336356863553</c:v>
                </c:pt>
                <c:pt idx="799">
                  <c:v>-126.35172139772838</c:v>
                </c:pt>
                <c:pt idx="800">
                  <c:v>-127.79455199021247</c:v>
                </c:pt>
                <c:pt idx="801">
                  <c:v>-131.38006984174453</c:v>
                </c:pt>
                <c:pt idx="802">
                  <c:v>-129.77138148076054</c:v>
                </c:pt>
                <c:pt idx="803">
                  <c:v>-127.75356060766411</c:v>
                </c:pt>
                <c:pt idx="804">
                  <c:v>-126.73245382803955</c:v>
                </c:pt>
                <c:pt idx="805">
                  <c:v>-124.79542068145952</c:v>
                </c:pt>
                <c:pt idx="806">
                  <c:v>-122.20156454442822</c:v>
                </c:pt>
                <c:pt idx="807">
                  <c:v>-117.19041149662334</c:v>
                </c:pt>
                <c:pt idx="808">
                  <c:v>-128.12275284262336</c:v>
                </c:pt>
                <c:pt idx="809">
                  <c:v>-127.75105422597045</c:v>
                </c:pt>
                <c:pt idx="810">
                  <c:v>-129.9280598937124</c:v>
                </c:pt>
                <c:pt idx="811">
                  <c:v>-129.10569872582252</c:v>
                </c:pt>
                <c:pt idx="812">
                  <c:v>-126.98623095040979</c:v>
                </c:pt>
                <c:pt idx="813">
                  <c:v>-124.84220396300307</c:v>
                </c:pt>
                <c:pt idx="814">
                  <c:v>-122.86222727630818</c:v>
                </c:pt>
                <c:pt idx="815">
                  <c:v>-123.39509815268009</c:v>
                </c:pt>
                <c:pt idx="816">
                  <c:v>-120.98401203591413</c:v>
                </c:pt>
                <c:pt idx="817">
                  <c:v>-122.05221975390539</c:v>
                </c:pt>
                <c:pt idx="818">
                  <c:v>-121.22198635893723</c:v>
                </c:pt>
                <c:pt idx="819">
                  <c:v>-123.17965404086152</c:v>
                </c:pt>
                <c:pt idx="820">
                  <c:v>-124.86200765536499</c:v>
                </c:pt>
                <c:pt idx="821">
                  <c:v>-123.20372447810182</c:v>
                </c:pt>
                <c:pt idx="822">
                  <c:v>-127.52448896280771</c:v>
                </c:pt>
                <c:pt idx="823">
                  <c:v>-118.15190642364843</c:v>
                </c:pt>
                <c:pt idx="824">
                  <c:v>-123.5530121670695</c:v>
                </c:pt>
                <c:pt idx="825">
                  <c:v>-118.80855972764962</c:v>
                </c:pt>
                <c:pt idx="826">
                  <c:v>-126.50837664719161</c:v>
                </c:pt>
                <c:pt idx="827">
                  <c:v>-129.21914823818037</c:v>
                </c:pt>
                <c:pt idx="828">
                  <c:v>-131.25311743447665</c:v>
                </c:pt>
                <c:pt idx="829">
                  <c:v>-125.69736572520429</c:v>
                </c:pt>
                <c:pt idx="830">
                  <c:v>-124.07013258280057</c:v>
                </c:pt>
                <c:pt idx="831">
                  <c:v>-103.21113832713198</c:v>
                </c:pt>
                <c:pt idx="832">
                  <c:v>-116.78075270800076</c:v>
                </c:pt>
                <c:pt idx="833">
                  <c:v>-121.97005273954838</c:v>
                </c:pt>
                <c:pt idx="834">
                  <c:v>-127.10976853725538</c:v>
                </c:pt>
                <c:pt idx="835">
                  <c:v>-126.25676888422339</c:v>
                </c:pt>
                <c:pt idx="836">
                  <c:v>-126.66185326200117</c:v>
                </c:pt>
                <c:pt idx="837">
                  <c:v>-127.11461283805133</c:v>
                </c:pt>
                <c:pt idx="838">
                  <c:v>-126.91860223958466</c:v>
                </c:pt>
                <c:pt idx="839">
                  <c:v>-125.32324752793174</c:v>
                </c:pt>
                <c:pt idx="840">
                  <c:v>-122.03139001712502</c:v>
                </c:pt>
                <c:pt idx="841">
                  <c:v>-116.38178824720983</c:v>
                </c:pt>
                <c:pt idx="842">
                  <c:v>-130.36398398068869</c:v>
                </c:pt>
                <c:pt idx="843">
                  <c:v>-130.48718220484599</c:v>
                </c:pt>
                <c:pt idx="844">
                  <c:v>-134.89352573486767</c:v>
                </c:pt>
                <c:pt idx="845">
                  <c:v>-134.03854525277464</c:v>
                </c:pt>
                <c:pt idx="846">
                  <c:v>-134.42536334499684</c:v>
                </c:pt>
                <c:pt idx="847">
                  <c:v>-134.65897581711582</c:v>
                </c:pt>
                <c:pt idx="848">
                  <c:v>-133.89832575497294</c:v>
                </c:pt>
                <c:pt idx="849">
                  <c:v>-135.96820928160562</c:v>
                </c:pt>
                <c:pt idx="850">
                  <c:v>-133.31882462639879</c:v>
                </c:pt>
                <c:pt idx="851">
                  <c:v>-137.5417803048166</c:v>
                </c:pt>
                <c:pt idx="852">
                  <c:v>-137.74141994069899</c:v>
                </c:pt>
                <c:pt idx="853">
                  <c:v>-137.6391699020586</c:v>
                </c:pt>
                <c:pt idx="854">
                  <c:v>-140.98990443572711</c:v>
                </c:pt>
                <c:pt idx="855">
                  <c:v>-141.32910369032376</c:v>
                </c:pt>
                <c:pt idx="856">
                  <c:v>-144.5635052103238</c:v>
                </c:pt>
                <c:pt idx="857">
                  <c:v>-144.82029553119969</c:v>
                </c:pt>
                <c:pt idx="858">
                  <c:v>-137.54738243742395</c:v>
                </c:pt>
                <c:pt idx="859">
                  <c:v>-134.56704795742397</c:v>
                </c:pt>
                <c:pt idx="860">
                  <c:v>-133.58644483336823</c:v>
                </c:pt>
                <c:pt idx="861">
                  <c:v>-132.91715497559045</c:v>
                </c:pt>
                <c:pt idx="862">
                  <c:v>-132.44543992173971</c:v>
                </c:pt>
                <c:pt idx="863">
                  <c:v>-132.64644368629303</c:v>
                </c:pt>
                <c:pt idx="864">
                  <c:v>-134.17410611148534</c:v>
                </c:pt>
                <c:pt idx="865">
                  <c:v>-134.69624124459457</c:v>
                </c:pt>
                <c:pt idx="866">
                  <c:v>-132.93245105819457</c:v>
                </c:pt>
                <c:pt idx="867">
                  <c:v>-132.51473226301945</c:v>
                </c:pt>
                <c:pt idx="868">
                  <c:v>-131.05453914373948</c:v>
                </c:pt>
                <c:pt idx="869">
                  <c:v>-132.3595469517395</c:v>
                </c:pt>
                <c:pt idx="870">
                  <c:v>-128.73986286090141</c:v>
                </c:pt>
                <c:pt idx="871">
                  <c:v>-130.86327547479453</c:v>
                </c:pt>
                <c:pt idx="872">
                  <c:v>-132.82246448332788</c:v>
                </c:pt>
                <c:pt idx="873">
                  <c:v>-134.5286475209347</c:v>
                </c:pt>
                <c:pt idx="874">
                  <c:v>-135.76446250909626</c:v>
                </c:pt>
                <c:pt idx="875">
                  <c:v>-132.25400428721562</c:v>
                </c:pt>
                <c:pt idx="876">
                  <c:v>-136.12509473628231</c:v>
                </c:pt>
                <c:pt idx="877">
                  <c:v>-135.97648956985978</c:v>
                </c:pt>
                <c:pt idx="878">
                  <c:v>-134.78458897456832</c:v>
                </c:pt>
                <c:pt idx="879">
                  <c:v>-137.99648331085862</c:v>
                </c:pt>
                <c:pt idx="880">
                  <c:v>-138.85474914958877</c:v>
                </c:pt>
                <c:pt idx="881">
                  <c:v>-138.63740275633748</c:v>
                </c:pt>
                <c:pt idx="882">
                  <c:v>-139.03756792835091</c:v>
                </c:pt>
                <c:pt idx="883">
                  <c:v>-140.2662380179377</c:v>
                </c:pt>
                <c:pt idx="884">
                  <c:v>-120.2127553066654</c:v>
                </c:pt>
                <c:pt idx="885">
                  <c:v>-120.84650392885409</c:v>
                </c:pt>
                <c:pt idx="886">
                  <c:v>-125.62227045901803</c:v>
                </c:pt>
                <c:pt idx="887">
                  <c:v>-121.70077483235134</c:v>
                </c:pt>
                <c:pt idx="888">
                  <c:v>-125.20273649196301</c:v>
                </c:pt>
                <c:pt idx="889">
                  <c:v>-125.27599428284753</c:v>
                </c:pt>
                <c:pt idx="890">
                  <c:v>-126.59808714261881</c:v>
                </c:pt>
                <c:pt idx="891">
                  <c:v>-123.82868430719023</c:v>
                </c:pt>
                <c:pt idx="892">
                  <c:v>-123.77853075872868</c:v>
                </c:pt>
                <c:pt idx="893">
                  <c:v>-126.889371904032</c:v>
                </c:pt>
                <c:pt idx="894">
                  <c:v>-128.54956945127944</c:v>
                </c:pt>
                <c:pt idx="895">
                  <c:v>-125.24403447155724</c:v>
                </c:pt>
                <c:pt idx="896">
                  <c:v>-123.27787257432718</c:v>
                </c:pt>
                <c:pt idx="897">
                  <c:v>-126.41338039253529</c:v>
                </c:pt>
                <c:pt idx="898">
                  <c:v>-120.96177999955147</c:v>
                </c:pt>
                <c:pt idx="899">
                  <c:v>-119.59519925549942</c:v>
                </c:pt>
                <c:pt idx="900">
                  <c:v>-117.31680546892959</c:v>
                </c:pt>
                <c:pt idx="901">
                  <c:v>-120.40365982701654</c:v>
                </c:pt>
                <c:pt idx="902">
                  <c:v>-116.0055452578201</c:v>
                </c:pt>
                <c:pt idx="903">
                  <c:v>-128.36489691609273</c:v>
                </c:pt>
                <c:pt idx="904">
                  <c:v>-122.97809657014007</c:v>
                </c:pt>
                <c:pt idx="905">
                  <c:v>-126.34121197841262</c:v>
                </c:pt>
                <c:pt idx="906">
                  <c:v>-118.99524054038569</c:v>
                </c:pt>
                <c:pt idx="907">
                  <c:v>-114.43614400724961</c:v>
                </c:pt>
                <c:pt idx="908">
                  <c:v>-108.76974572734962</c:v>
                </c:pt>
                <c:pt idx="909">
                  <c:v>-111.38713129504745</c:v>
                </c:pt>
                <c:pt idx="910">
                  <c:v>-110.19941770615466</c:v>
                </c:pt>
                <c:pt idx="911">
                  <c:v>-105.5069756128475</c:v>
                </c:pt>
                <c:pt idx="912">
                  <c:v>-104.92120623375929</c:v>
                </c:pt>
                <c:pt idx="913">
                  <c:v>-104.82664882134115</c:v>
                </c:pt>
                <c:pt idx="914">
                  <c:v>-106.87440444539831</c:v>
                </c:pt>
                <c:pt idx="915">
                  <c:v>-108.97464012158606</c:v>
                </c:pt>
                <c:pt idx="916">
                  <c:v>-105.27425716313665</c:v>
                </c:pt>
                <c:pt idx="917">
                  <c:v>-106.17315455707602</c:v>
                </c:pt>
                <c:pt idx="918">
                  <c:v>-103.91491993138762</c:v>
                </c:pt>
                <c:pt idx="919">
                  <c:v>-103.31713236491501</c:v>
                </c:pt>
                <c:pt idx="920">
                  <c:v>-97.526362070866895</c:v>
                </c:pt>
                <c:pt idx="921">
                  <c:v>-91.879824426482273</c:v>
                </c:pt>
                <c:pt idx="922">
                  <c:v>-93.49066541904169</c:v>
                </c:pt>
                <c:pt idx="923">
                  <c:v>-92.970957334859364</c:v>
                </c:pt>
                <c:pt idx="924">
                  <c:v>-96.666797723422434</c:v>
                </c:pt>
                <c:pt idx="925">
                  <c:v>-102.52058807473303</c:v>
                </c:pt>
                <c:pt idx="926">
                  <c:v>-103.08553348678014</c:v>
                </c:pt>
                <c:pt idx="927">
                  <c:v>-94.930240206077173</c:v>
                </c:pt>
                <c:pt idx="928">
                  <c:v>-96.425447121862035</c:v>
                </c:pt>
                <c:pt idx="929">
                  <c:v>-91.801521150197658</c:v>
                </c:pt>
                <c:pt idx="930">
                  <c:v>-88.810228945582281</c:v>
                </c:pt>
                <c:pt idx="931">
                  <c:v>-93.683607439406586</c:v>
                </c:pt>
                <c:pt idx="932">
                  <c:v>-88.235733695602079</c:v>
                </c:pt>
                <c:pt idx="933">
                  <c:v>-89.70607124784047</c:v>
                </c:pt>
                <c:pt idx="934">
                  <c:v>-83.959767653911399</c:v>
                </c:pt>
                <c:pt idx="935">
                  <c:v>-79.216264742978083</c:v>
                </c:pt>
                <c:pt idx="936">
                  <c:v>-81.213562441866969</c:v>
                </c:pt>
                <c:pt idx="937">
                  <c:v>-77.293746239432323</c:v>
                </c:pt>
                <c:pt idx="938">
                  <c:v>-73.542438366418637</c:v>
                </c:pt>
                <c:pt idx="939">
                  <c:v>-55.753873641241334</c:v>
                </c:pt>
                <c:pt idx="940">
                  <c:v>-63.583843307359977</c:v>
                </c:pt>
                <c:pt idx="941">
                  <c:v>-56.376060839814706</c:v>
                </c:pt>
                <c:pt idx="942">
                  <c:v>-34.943681760386163</c:v>
                </c:pt>
                <c:pt idx="943">
                  <c:v>-43.288711556296604</c:v>
                </c:pt>
                <c:pt idx="944">
                  <c:v>-45.123674799307494</c:v>
                </c:pt>
                <c:pt idx="945">
                  <c:v>-50.217693715052206</c:v>
                </c:pt>
                <c:pt idx="946">
                  <c:v>-54.197324849116477</c:v>
                </c:pt>
                <c:pt idx="947">
                  <c:v>-46.353515469813019</c:v>
                </c:pt>
                <c:pt idx="948">
                  <c:v>-52.196082130796583</c:v>
                </c:pt>
                <c:pt idx="949">
                  <c:v>-54.305181251365305</c:v>
                </c:pt>
                <c:pt idx="950">
                  <c:v>-49.213719362815311</c:v>
                </c:pt>
                <c:pt idx="951">
                  <c:v>-58.163469998813362</c:v>
                </c:pt>
                <c:pt idx="952">
                  <c:v>-57.213502839726054</c:v>
                </c:pt>
                <c:pt idx="953">
                  <c:v>-50.713199473937316</c:v>
                </c:pt>
                <c:pt idx="954">
                  <c:v>-55.122143932465733</c:v>
                </c:pt>
                <c:pt idx="955">
                  <c:v>-51.135081250279526</c:v>
                </c:pt>
                <c:pt idx="956">
                  <c:v>-40.12253483427952</c:v>
                </c:pt>
                <c:pt idx="957">
                  <c:v>-53.840378160279514</c:v>
                </c:pt>
                <c:pt idx="958">
                  <c:v>-45.847417385325706</c:v>
                </c:pt>
                <c:pt idx="959">
                  <c:v>-40.292882845027215</c:v>
                </c:pt>
                <c:pt idx="960">
                  <c:v>-37.882627388713487</c:v>
                </c:pt>
                <c:pt idx="961">
                  <c:v>-44.406515481709462</c:v>
                </c:pt>
                <c:pt idx="962">
                  <c:v>-40.03587677615392</c:v>
                </c:pt>
                <c:pt idx="963">
                  <c:v>-47.275126054691853</c:v>
                </c:pt>
                <c:pt idx="964">
                  <c:v>-41.750673118926862</c:v>
                </c:pt>
                <c:pt idx="965">
                  <c:v>-41.084480601595835</c:v>
                </c:pt>
                <c:pt idx="966">
                  <c:v>-44.283615153567915</c:v>
                </c:pt>
                <c:pt idx="967">
                  <c:v>-43.825843654807294</c:v>
                </c:pt>
                <c:pt idx="968">
                  <c:v>-51.14872804932341</c:v>
                </c:pt>
                <c:pt idx="969">
                  <c:v>-44.551661747467406</c:v>
                </c:pt>
                <c:pt idx="970">
                  <c:v>-28.569653207453634</c:v>
                </c:pt>
                <c:pt idx="971">
                  <c:v>-25.055364363065998</c:v>
                </c:pt>
                <c:pt idx="972">
                  <c:v>-21.238766627440977</c:v>
                </c:pt>
                <c:pt idx="973">
                  <c:v>-32.049722471016132</c:v>
                </c:pt>
                <c:pt idx="974">
                  <c:v>-21.151258000150481</c:v>
                </c:pt>
                <c:pt idx="975">
                  <c:v>-9.2486087780228381</c:v>
                </c:pt>
                <c:pt idx="976">
                  <c:v>-35.087261284012932</c:v>
                </c:pt>
                <c:pt idx="977">
                  <c:v>-34.799321927599998</c:v>
                </c:pt>
                <c:pt idx="978">
                  <c:v>-46.465895426620968</c:v>
                </c:pt>
                <c:pt idx="979">
                  <c:v>-46.516266177396396</c:v>
                </c:pt>
                <c:pt idx="980">
                  <c:v>-36.985820318468143</c:v>
                </c:pt>
                <c:pt idx="981">
                  <c:v>-58.949816393090728</c:v>
                </c:pt>
                <c:pt idx="982">
                  <c:v>-40.487388146245145</c:v>
                </c:pt>
                <c:pt idx="983">
                  <c:v>10.839607282633372</c:v>
                </c:pt>
                <c:pt idx="984">
                  <c:v>-23.750029438929786</c:v>
                </c:pt>
                <c:pt idx="985">
                  <c:v>-21.008231803991965</c:v>
                </c:pt>
                <c:pt idx="986">
                  <c:v>-3.7315671095172549</c:v>
                </c:pt>
                <c:pt idx="987">
                  <c:v>-17.449993911517236</c:v>
                </c:pt>
                <c:pt idx="988">
                  <c:v>-18.928961225072332</c:v>
                </c:pt>
                <c:pt idx="989">
                  <c:v>-33.218091287076611</c:v>
                </c:pt>
                <c:pt idx="990">
                  <c:v>-39.484931665033244</c:v>
                </c:pt>
                <c:pt idx="991">
                  <c:v>-36.800395237188859</c:v>
                </c:pt>
                <c:pt idx="992">
                  <c:v>-33.207338418227401</c:v>
                </c:pt>
                <c:pt idx="993">
                  <c:v>-38.556969988292479</c:v>
                </c:pt>
                <c:pt idx="994">
                  <c:v>-41.908814489865527</c:v>
                </c:pt>
                <c:pt idx="995">
                  <c:v>-37.91636972006274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2D-42C7-AD64-8D1DE7E66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560896"/>
        <c:axId val="315557568"/>
      </c:lineChart>
      <c:dateAx>
        <c:axId val="315560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57568"/>
        <c:crosses val="autoZero"/>
        <c:auto val="1"/>
        <c:lblOffset val="100"/>
        <c:baseTimeUnit val="days"/>
      </c:dateAx>
      <c:valAx>
        <c:axId val="31555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6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CE34042-37CD-4DB3-8AB4-90BBE8362C9A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F1B45C-6E73-469F-B0B9-B76AFA742B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3.1600000000000003E-2</v>
      </c>
      <c r="D2" s="4">
        <f>MIN(D3:D1912)</f>
        <v>1.9599999999999999E-4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4.4780000000000002E-3</v>
      </c>
      <c r="C5">
        <v>4.5310000000000003E-3</v>
      </c>
      <c r="D5">
        <v>4.3099999999999996E-3</v>
      </c>
      <c r="E5">
        <v>4.3150000000000003E-3</v>
      </c>
      <c r="F5">
        <v>198398038</v>
      </c>
      <c r="G5">
        <v>4.3150000000000003E-3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-0.95475113122171362</v>
      </c>
      <c r="Q5">
        <f t="shared" ref="Q5" si="1">F5*P5</f>
        <v>-189420751.21266854</v>
      </c>
      <c r="R5">
        <f t="shared" ref="R5" si="2">R6+Q5</f>
        <v>-36273933391.124763</v>
      </c>
      <c r="S5">
        <f t="shared" ref="S5" si="3">R5/100000</f>
        <v>-362739.33391124761</v>
      </c>
      <c r="T5">
        <f t="shared" ref="T5" si="4">S5/1000</f>
        <v>-362.73933391124763</v>
      </c>
    </row>
    <row r="6" spans="1:20" x14ac:dyDescent="0.25">
      <c r="A6" s="5">
        <v>44587</v>
      </c>
      <c r="B6">
        <v>4.3319999999999999E-3</v>
      </c>
      <c r="C6">
        <v>4.9560000000000003E-3</v>
      </c>
      <c r="D6">
        <v>4.2680000000000001E-3</v>
      </c>
      <c r="E6">
        <v>4.4770000000000001E-3</v>
      </c>
      <c r="F6">
        <v>3743881453</v>
      </c>
      <c r="G6">
        <v>4.4770000000000001E-3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-0.39244186046511653</v>
      </c>
      <c r="Q6">
        <f t="shared" ref="Q6" si="6">F6*P6</f>
        <v>-1469255802.7761638</v>
      </c>
      <c r="R6">
        <f t="shared" ref="R6" si="7">R7+Q6</f>
        <v>-36084512639.912094</v>
      </c>
      <c r="S6">
        <f t="shared" ref="S6" si="8">R6/100000</f>
        <v>-360845.12639912096</v>
      </c>
      <c r="T6">
        <f t="shared" ref="T6" si="9">S6/1000</f>
        <v>-360.84512639912094</v>
      </c>
    </row>
    <row r="7" spans="1:20" x14ac:dyDescent="0.25">
      <c r="A7" s="5">
        <v>44586</v>
      </c>
      <c r="B7">
        <v>4.5170000000000002E-3</v>
      </c>
      <c r="C7">
        <v>4.594E-3</v>
      </c>
      <c r="D7">
        <v>4.267E-3</v>
      </c>
      <c r="E7">
        <v>4.3319999999999999E-3</v>
      </c>
      <c r="F7">
        <v>3087606200</v>
      </c>
      <c r="G7">
        <v>4.3319999999999999E-3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-0.60244648318042848</v>
      </c>
      <c r="Q7">
        <f t="shared" ref="Q7" si="11">F7*P7</f>
        <v>-1860117496.6360867</v>
      </c>
      <c r="R7">
        <f t="shared" ref="R7" si="12">R8+Q7</f>
        <v>-34615256837.135933</v>
      </c>
      <c r="S7">
        <f t="shared" ref="S7" si="13">R7/100000</f>
        <v>-346152.56837135932</v>
      </c>
      <c r="T7">
        <f t="shared" ref="T7" si="14">S7/1000</f>
        <v>-346.15256837135934</v>
      </c>
    </row>
    <row r="8" spans="1:20" x14ac:dyDescent="0.25">
      <c r="A8" s="5">
        <v>44585</v>
      </c>
      <c r="B8">
        <v>4.529E-3</v>
      </c>
      <c r="C8">
        <v>4.6810000000000003E-3</v>
      </c>
      <c r="D8">
        <v>4.0010000000000002E-3</v>
      </c>
      <c r="E8">
        <v>4.5199999999999997E-3</v>
      </c>
      <c r="F8">
        <v>4156021346</v>
      </c>
      <c r="G8">
        <v>4.5199999999999997E-3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0.52647058823529258</v>
      </c>
      <c r="Q8">
        <f t="shared" ref="Q8" si="16">F8*P8</f>
        <v>2188023002.7470527</v>
      </c>
      <c r="R8">
        <f t="shared" ref="R8" si="17">R9+Q8</f>
        <v>-32755139340.499844</v>
      </c>
      <c r="S8">
        <f t="shared" ref="S8" si="18">R8/100000</f>
        <v>-327551.39340499841</v>
      </c>
      <c r="T8">
        <f t="shared" ref="T8" si="19">S8/1000</f>
        <v>-327.55139340499841</v>
      </c>
    </row>
    <row r="9" spans="1:20" x14ac:dyDescent="0.25">
      <c r="A9" s="5">
        <v>44584</v>
      </c>
      <c r="B9">
        <v>4.3420000000000004E-3</v>
      </c>
      <c r="C9">
        <v>4.7099999999999998E-3</v>
      </c>
      <c r="D9">
        <v>4.2929999999999999E-3</v>
      </c>
      <c r="E9">
        <v>4.529E-3</v>
      </c>
      <c r="F9">
        <v>2762233835</v>
      </c>
      <c r="G9">
        <v>4.529E-3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0.13189448441247095</v>
      </c>
      <c r="Q9">
        <f t="shared" ref="Q9" si="21">F9*P9</f>
        <v>364323407.49400735</v>
      </c>
      <c r="R9">
        <f t="shared" ref="R9" si="22">R10+Q9</f>
        <v>-34943162343.246895</v>
      </c>
      <c r="S9">
        <f t="shared" ref="S9" si="23">R9/100000</f>
        <v>-349431.62343246897</v>
      </c>
      <c r="T9">
        <f t="shared" ref="T9" si="24">S9/1000</f>
        <v>-349.431623432469</v>
      </c>
    </row>
    <row r="10" spans="1:20" x14ac:dyDescent="0.25">
      <c r="A10" s="5">
        <v>44583</v>
      </c>
      <c r="B10">
        <v>4.6100000000000004E-3</v>
      </c>
      <c r="C10">
        <v>4.7080000000000004E-3</v>
      </c>
      <c r="D10">
        <v>3.8419999999999999E-3</v>
      </c>
      <c r="E10">
        <v>4.3439999999999998E-3</v>
      </c>
      <c r="F10">
        <v>4759347685</v>
      </c>
      <c r="G10">
        <v>4.3439999999999998E-3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0.15935334872979118</v>
      </c>
      <c r="Q10">
        <f t="shared" ref="Q10" si="26">F10*P10</f>
        <v>758417991.3741293</v>
      </c>
      <c r="R10">
        <f t="shared" ref="R10" si="27">R11+Q10</f>
        <v>-35307485750.740906</v>
      </c>
      <c r="S10">
        <f t="shared" ref="S10" si="28">R10/100000</f>
        <v>-353074.85750740906</v>
      </c>
      <c r="T10">
        <f t="shared" ref="T10" si="29">S10/1000</f>
        <v>-353.07485750740904</v>
      </c>
    </row>
    <row r="11" spans="1:20" x14ac:dyDescent="0.25">
      <c r="A11" s="5">
        <v>44582</v>
      </c>
      <c r="B11">
        <v>5.437E-3</v>
      </c>
      <c r="C11">
        <v>5.5110000000000003E-3</v>
      </c>
      <c r="D11">
        <v>4.4999999999999997E-3</v>
      </c>
      <c r="E11">
        <v>4.6100000000000004E-3</v>
      </c>
      <c r="F11">
        <v>3398378894</v>
      </c>
      <c r="G11">
        <v>4.6100000000000004E-3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-0.78239366963402446</v>
      </c>
      <c r="Q11">
        <f t="shared" ref="Q11" si="31">F11*P11</f>
        <v>-2658870133.6834774</v>
      </c>
      <c r="R11">
        <f t="shared" ref="R11" si="32">R12+Q11</f>
        <v>-36065903742.115036</v>
      </c>
      <c r="S11">
        <f t="shared" ref="S11" si="33">R11/100000</f>
        <v>-360659.03742115037</v>
      </c>
      <c r="T11">
        <f t="shared" ref="T11" si="34">S11/1000</f>
        <v>-360.65903742115034</v>
      </c>
    </row>
    <row r="12" spans="1:20" x14ac:dyDescent="0.25">
      <c r="A12" s="5">
        <v>44581</v>
      </c>
      <c r="B12">
        <v>5.7159999999999997E-3</v>
      </c>
      <c r="C12">
        <v>5.9309999999999996E-3</v>
      </c>
      <c r="D12">
        <v>5.411E-3</v>
      </c>
      <c r="E12">
        <v>5.4419999999999998E-3</v>
      </c>
      <c r="F12">
        <v>1608373396</v>
      </c>
      <c r="G12">
        <v>5.4419999999999998E-3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-0.88076923076923153</v>
      </c>
      <c r="Q12">
        <f t="shared" ref="Q12" si="36">F12*P12</f>
        <v>-1416605798.7846167</v>
      </c>
      <c r="R12">
        <f t="shared" ref="R12" si="37">R13+Q12</f>
        <v>-33407033608.431557</v>
      </c>
      <c r="S12">
        <f t="shared" ref="S12" si="38">R12/100000</f>
        <v>-334070.33608431555</v>
      </c>
      <c r="T12">
        <f t="shared" ref="T12" si="39">S12/1000</f>
        <v>-334.07033608431556</v>
      </c>
    </row>
    <row r="13" spans="1:20" x14ac:dyDescent="0.25">
      <c r="A13" s="5">
        <v>44580</v>
      </c>
      <c r="B13">
        <v>5.927E-3</v>
      </c>
      <c r="C13">
        <v>5.9800000000000001E-3</v>
      </c>
      <c r="D13">
        <v>5.653E-3</v>
      </c>
      <c r="E13">
        <v>5.7089999999999997E-3</v>
      </c>
      <c r="F13">
        <v>1121257085</v>
      </c>
      <c r="G13">
        <v>5.7089999999999997E-3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-0.65749235474006351</v>
      </c>
      <c r="Q13">
        <f t="shared" ref="Q13" si="41">F13*P13</f>
        <v>-737217961.08562958</v>
      </c>
      <c r="R13">
        <f t="shared" ref="R13" si="42">R14+Q13</f>
        <v>-31990427809.646938</v>
      </c>
      <c r="S13">
        <f t="shared" ref="S13" si="43">R13/100000</f>
        <v>-319904.27809646941</v>
      </c>
      <c r="T13">
        <f t="shared" ref="T13" si="44">S13/1000</f>
        <v>-319.9042780964694</v>
      </c>
    </row>
    <row r="14" spans="1:20" x14ac:dyDescent="0.25">
      <c r="A14" s="5">
        <v>44579</v>
      </c>
      <c r="B14">
        <v>5.9820000000000003E-3</v>
      </c>
      <c r="C14">
        <v>6.0260000000000001E-3</v>
      </c>
      <c r="D14">
        <v>5.6950000000000004E-3</v>
      </c>
      <c r="E14">
        <v>5.9280000000000001E-3</v>
      </c>
      <c r="F14">
        <v>1409319523</v>
      </c>
      <c r="G14">
        <v>5.9280000000000001E-3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0.40785498489425931</v>
      </c>
      <c r="Q14">
        <f t="shared" ref="Q14" si="46">F14*P14</f>
        <v>574797992.7643497</v>
      </c>
      <c r="R14">
        <f t="shared" ref="R14" si="47">R15+Q14</f>
        <v>-31253209848.56131</v>
      </c>
      <c r="S14">
        <f t="shared" ref="S14" si="48">R14/100000</f>
        <v>-312532.09848561313</v>
      </c>
      <c r="T14">
        <f t="shared" ref="T14" si="49">S14/1000</f>
        <v>-312.53209848561312</v>
      </c>
    </row>
    <row r="15" spans="1:20" x14ac:dyDescent="0.25">
      <c r="A15" s="5">
        <v>44578</v>
      </c>
      <c r="B15">
        <v>6.3749999999999996E-3</v>
      </c>
      <c r="C15">
        <v>6.4120000000000002E-3</v>
      </c>
      <c r="D15">
        <v>5.8789999999999997E-3</v>
      </c>
      <c r="E15">
        <v>5.9829999999999996E-3</v>
      </c>
      <c r="F15">
        <v>1723672835</v>
      </c>
      <c r="G15">
        <v>5.9829999999999996E-3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-0.60975609756097626</v>
      </c>
      <c r="Q15">
        <f t="shared" ref="Q15" si="51">F15*P15</f>
        <v>-1051020021.3414645</v>
      </c>
      <c r="R15">
        <f t="shared" ref="R15" si="52">R16+Q15</f>
        <v>-31828007841.325661</v>
      </c>
      <c r="S15">
        <f t="shared" ref="S15" si="53">R15/100000</f>
        <v>-318280.07841325662</v>
      </c>
      <c r="T15">
        <f t="shared" ref="T15" si="54">S15/1000</f>
        <v>-318.2800784132566</v>
      </c>
    </row>
    <row r="16" spans="1:20" x14ac:dyDescent="0.25">
      <c r="A16" s="5">
        <v>44577</v>
      </c>
      <c r="B16">
        <v>6.2820000000000003E-3</v>
      </c>
      <c r="C16">
        <v>6.4549999999999998E-3</v>
      </c>
      <c r="D16">
        <v>6.2069999999999998E-3</v>
      </c>
      <c r="E16">
        <v>6.3759999999999997E-3</v>
      </c>
      <c r="F16">
        <v>1732579779</v>
      </c>
      <c r="G16">
        <v>6.3759999999999997E-3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0.3629032258064509</v>
      </c>
      <c r="Q16">
        <f t="shared" ref="Q16" si="56">F16*P16</f>
        <v>628758790.76612782</v>
      </c>
      <c r="R16">
        <f t="shared" ref="R16" si="57">R17+Q16</f>
        <v>-30776987819.984196</v>
      </c>
      <c r="S16">
        <f t="shared" ref="S16" si="58">R16/100000</f>
        <v>-307769.87819984194</v>
      </c>
      <c r="T16">
        <f t="shared" ref="T16" si="59">S16/1000</f>
        <v>-307.76987819984197</v>
      </c>
    </row>
    <row r="17" spans="1:20" x14ac:dyDescent="0.25">
      <c r="A17" s="5">
        <v>44576</v>
      </c>
      <c r="B17">
        <v>6.3290000000000004E-3</v>
      </c>
      <c r="C17">
        <v>6.4999999999999997E-3</v>
      </c>
      <c r="D17">
        <v>6.1789999999999996E-3</v>
      </c>
      <c r="E17">
        <v>6.2830000000000004E-3</v>
      </c>
      <c r="F17">
        <v>1431179517</v>
      </c>
      <c r="G17">
        <v>6.2830000000000004E-3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-0.35202492211837533</v>
      </c>
      <c r="Q17">
        <f t="shared" ref="Q17" si="61">F17*P17</f>
        <v>-503810858.00933903</v>
      </c>
      <c r="R17">
        <f t="shared" ref="R17" si="62">R18+Q17</f>
        <v>-31405746610.750324</v>
      </c>
      <c r="S17">
        <f t="shared" ref="S17" si="63">R17/100000</f>
        <v>-314057.46610750322</v>
      </c>
      <c r="T17">
        <f t="shared" ref="T17" si="64">S17/1000</f>
        <v>-314.05746610750322</v>
      </c>
    </row>
    <row r="18" spans="1:20" x14ac:dyDescent="0.25">
      <c r="A18" s="5">
        <v>44575</v>
      </c>
      <c r="B18">
        <v>6.1060000000000003E-3</v>
      </c>
      <c r="C18">
        <v>6.3990000000000002E-3</v>
      </c>
      <c r="D18">
        <v>5.9800000000000001E-3</v>
      </c>
      <c r="E18">
        <v>6.3290000000000004E-3</v>
      </c>
      <c r="F18">
        <v>1823371145</v>
      </c>
      <c r="G18">
        <v>6.3290000000000004E-3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0.66587112171837837</v>
      </c>
      <c r="Q18">
        <f t="shared" ref="Q18" si="66">F18*P18</f>
        <v>1214130189.630074</v>
      </c>
      <c r="R18">
        <f t="shared" ref="R18" si="67">R19+Q18</f>
        <v>-30901935752.740986</v>
      </c>
      <c r="S18">
        <f t="shared" ref="S18" si="68">R18/100000</f>
        <v>-309019.35752740985</v>
      </c>
      <c r="T18">
        <f t="shared" ref="T18" si="69">S18/1000</f>
        <v>-309.01935752740985</v>
      </c>
    </row>
    <row r="19" spans="1:20" x14ac:dyDescent="0.25">
      <c r="A19" s="5">
        <v>44574</v>
      </c>
      <c r="B19">
        <v>6.5389999999999997E-3</v>
      </c>
      <c r="C19">
        <v>6.6090000000000003E-3</v>
      </c>
      <c r="D19">
        <v>6.0769999999999999E-3</v>
      </c>
      <c r="E19">
        <v>6.1069999999999996E-3</v>
      </c>
      <c r="F19">
        <v>2095422403</v>
      </c>
      <c r="G19">
        <v>6.1069999999999996E-3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-0.88721804511278335</v>
      </c>
      <c r="Q19">
        <f t="shared" ref="Q19" si="71">F19*P19</f>
        <v>-1859096568.0751908</v>
      </c>
      <c r="R19">
        <f t="shared" ref="R19" si="72">R20+Q19</f>
        <v>-32116065942.371059</v>
      </c>
      <c r="S19">
        <f t="shared" ref="S19" si="73">R19/100000</f>
        <v>-321160.6594237106</v>
      </c>
      <c r="T19">
        <f t="shared" ref="T19" si="74">S19/1000</f>
        <v>-321.16065942371063</v>
      </c>
    </row>
    <row r="20" spans="1:20" x14ac:dyDescent="0.25">
      <c r="A20" s="5">
        <v>44573</v>
      </c>
      <c r="B20">
        <v>6.0920000000000002E-3</v>
      </c>
      <c r="C20">
        <v>6.62E-3</v>
      </c>
      <c r="D20">
        <v>6.0569999999999999E-3</v>
      </c>
      <c r="E20">
        <v>6.5420000000000001E-3</v>
      </c>
      <c r="F20">
        <v>2195143867</v>
      </c>
      <c r="G20">
        <v>6.5420000000000001E-3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0.72291296625222046</v>
      </c>
      <c r="Q20">
        <f t="shared" ref="Q20" si="76">F20*P20</f>
        <v>1586897964.2433398</v>
      </c>
      <c r="R20">
        <f t="shared" ref="R20" si="77">R21+Q20</f>
        <v>-30256969374.295868</v>
      </c>
      <c r="S20">
        <f t="shared" ref="S20" si="78">R20/100000</f>
        <v>-302569.69374295865</v>
      </c>
      <c r="T20">
        <f t="shared" ref="T20" si="79">S20/1000</f>
        <v>-302.56969374295863</v>
      </c>
    </row>
    <row r="21" spans="1:20" x14ac:dyDescent="0.25">
      <c r="A21" s="5">
        <v>44572</v>
      </c>
      <c r="B21">
        <v>5.7809999999999997E-3</v>
      </c>
      <c r="C21">
        <v>6.1159999999999999E-3</v>
      </c>
      <c r="D21">
        <v>5.7419999999999997E-3</v>
      </c>
      <c r="E21">
        <v>6.0920000000000002E-3</v>
      </c>
      <c r="F21">
        <v>1565819009</v>
      </c>
      <c r="G21">
        <v>6.0920000000000002E-3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0.87165775401069678</v>
      </c>
      <c r="Q21">
        <f t="shared" ref="Q21" si="81">F21*P21</f>
        <v>1364858280.5721951</v>
      </c>
      <c r="R21">
        <f t="shared" ref="R21" si="82">R22+Q21</f>
        <v>-31843867338.539207</v>
      </c>
      <c r="S21">
        <f t="shared" ref="S21" si="83">R21/100000</f>
        <v>-318438.67338539206</v>
      </c>
      <c r="T21">
        <f t="shared" ref="T21" si="84">S21/1000</f>
        <v>-318.43867338539206</v>
      </c>
    </row>
    <row r="22" spans="1:20" x14ac:dyDescent="0.25">
      <c r="A22" s="5">
        <v>44571</v>
      </c>
      <c r="B22">
        <v>6.0549999999999996E-3</v>
      </c>
      <c r="C22">
        <v>6.1830000000000001E-3</v>
      </c>
      <c r="D22">
        <v>5.5139999999999998E-3</v>
      </c>
      <c r="E22">
        <v>5.7800000000000004E-3</v>
      </c>
      <c r="F22">
        <v>2243119929</v>
      </c>
      <c r="G22">
        <v>5.7800000000000004E-3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-0.20478325859491633</v>
      </c>
      <c r="Q22">
        <f t="shared" ref="Q22" si="86">F22*P22</f>
        <v>-459353408.47981739</v>
      </c>
      <c r="R22">
        <f t="shared" ref="R22" si="87">R23+Q22</f>
        <v>-33208725619.111401</v>
      </c>
      <c r="S22">
        <f t="shared" ref="S22" si="88">R22/100000</f>
        <v>-332087.25619111402</v>
      </c>
      <c r="T22">
        <f t="shared" ref="T22" si="89">S22/1000</f>
        <v>-332.08725619111402</v>
      </c>
    </row>
    <row r="23" spans="1:20" x14ac:dyDescent="0.25">
      <c r="A23" s="5">
        <v>44570</v>
      </c>
      <c r="B23">
        <v>5.9379999999999997E-3</v>
      </c>
      <c r="C23">
        <v>6.2639999999999996E-3</v>
      </c>
      <c r="D23">
        <v>5.816E-3</v>
      </c>
      <c r="E23">
        <v>6.0559999999999998E-3</v>
      </c>
      <c r="F23">
        <v>2079581029</v>
      </c>
      <c r="G23">
        <v>6.0559999999999998E-3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7.1428571428571286E-2</v>
      </c>
      <c r="Q23">
        <f t="shared" ref="Q23" si="91">F23*P23</f>
        <v>148541502.07142827</v>
      </c>
      <c r="R23">
        <f t="shared" ref="R23" si="92">R24+Q23</f>
        <v>-32749372210.631584</v>
      </c>
      <c r="S23">
        <f t="shared" ref="S23" si="93">R23/100000</f>
        <v>-327493.72210631584</v>
      </c>
      <c r="T23">
        <f t="shared" ref="T23" si="94">S23/1000</f>
        <v>-327.49372210631583</v>
      </c>
    </row>
    <row r="24" spans="1:20" x14ac:dyDescent="0.25">
      <c r="A24" s="5">
        <v>44569</v>
      </c>
      <c r="B24">
        <v>6.2750000000000002E-3</v>
      </c>
      <c r="C24">
        <v>6.4000000000000003E-3</v>
      </c>
      <c r="D24">
        <v>5.7000000000000002E-3</v>
      </c>
      <c r="E24">
        <v>5.94E-3</v>
      </c>
      <c r="F24">
        <v>2431160812</v>
      </c>
      <c r="G24">
        <v>5.94E-3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-0.31428571428571506</v>
      </c>
      <c r="Q24">
        <f t="shared" ref="Q24" si="96">F24*P24</f>
        <v>-764079112.34285903</v>
      </c>
      <c r="R24">
        <f t="shared" ref="R24" si="97">R25+Q24</f>
        <v>-32897913712.703011</v>
      </c>
      <c r="S24">
        <f t="shared" ref="S24" si="98">R24/100000</f>
        <v>-328979.13712703012</v>
      </c>
      <c r="T24">
        <f t="shared" ref="T24" si="99">S24/1000</f>
        <v>-328.97913712703013</v>
      </c>
    </row>
    <row r="25" spans="1:20" x14ac:dyDescent="0.25">
      <c r="A25" s="5">
        <v>44568</v>
      </c>
      <c r="B25">
        <v>6.6530000000000001E-3</v>
      </c>
      <c r="C25">
        <v>6.679E-3</v>
      </c>
      <c r="D25">
        <v>6.0679999999999996E-3</v>
      </c>
      <c r="E25">
        <v>6.2750000000000002E-3</v>
      </c>
      <c r="F25">
        <v>2662012673</v>
      </c>
      <c r="G25">
        <v>6.2750000000000002E-3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-0.32242225859246992</v>
      </c>
      <c r="Q25">
        <f t="shared" ref="Q25" si="101">F25*P25</f>
        <v>-858292138.43043804</v>
      </c>
      <c r="R25">
        <f t="shared" ref="R25" si="102">R26+Q25</f>
        <v>-32133834600.360153</v>
      </c>
      <c r="S25">
        <f t="shared" ref="S25" si="103">R25/100000</f>
        <v>-321338.34600360156</v>
      </c>
      <c r="T25">
        <f t="shared" ref="T25" si="104">S25/1000</f>
        <v>-321.33834600360154</v>
      </c>
    </row>
    <row r="26" spans="1:20" x14ac:dyDescent="0.25">
      <c r="A26" s="5">
        <v>44567</v>
      </c>
      <c r="B26">
        <v>6.7149999999999996E-3</v>
      </c>
      <c r="C26">
        <v>6.7669999999999996E-3</v>
      </c>
      <c r="D26">
        <v>6.4000000000000003E-3</v>
      </c>
      <c r="E26">
        <v>6.6519999999999999E-3</v>
      </c>
      <c r="F26">
        <v>2499551822</v>
      </c>
      <c r="G26">
        <v>6.6519999999999999E-3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0.37329700272479632</v>
      </c>
      <c r="Q26">
        <f t="shared" ref="Q26" si="106">F26*P26</f>
        <v>933075203.30790365</v>
      </c>
      <c r="R26">
        <f t="shared" ref="R26" si="107">R27+Q26</f>
        <v>-31275542461.929714</v>
      </c>
      <c r="S26">
        <f t="shared" ref="S26" si="108">R26/100000</f>
        <v>-312755.42461929715</v>
      </c>
      <c r="T26">
        <f t="shared" ref="T26" si="109">S26/1000</f>
        <v>-312.75542461929717</v>
      </c>
    </row>
    <row r="27" spans="1:20" x14ac:dyDescent="0.25">
      <c r="A27" s="5">
        <v>44566</v>
      </c>
      <c r="B27">
        <v>7.2100000000000003E-3</v>
      </c>
      <c r="C27">
        <v>7.4710000000000002E-3</v>
      </c>
      <c r="D27">
        <v>6.2560000000000003E-3</v>
      </c>
      <c r="E27">
        <v>6.7289999999999997E-3</v>
      </c>
      <c r="F27">
        <v>4076423738</v>
      </c>
      <c r="G27">
        <v>6.7289999999999997E-3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-0.22139917695473335</v>
      </c>
      <c r="Q27">
        <f t="shared" ref="Q27" si="111">F27*P27</f>
        <v>-902516860.51193762</v>
      </c>
      <c r="R27">
        <f t="shared" ref="R27" si="112">R28+Q27</f>
        <v>-32208617665.237617</v>
      </c>
      <c r="S27">
        <f t="shared" ref="S27" si="113">R27/100000</f>
        <v>-322086.17665237619</v>
      </c>
      <c r="T27">
        <f t="shared" ref="T27" si="114">S27/1000</f>
        <v>-322.0861766523762</v>
      </c>
    </row>
    <row r="28" spans="1:20" x14ac:dyDescent="0.25">
      <c r="A28" s="5">
        <v>44565</v>
      </c>
      <c r="B28">
        <v>7.2950000000000003E-3</v>
      </c>
      <c r="C28">
        <v>7.4920000000000004E-3</v>
      </c>
      <c r="D28">
        <v>7.1060000000000003E-3</v>
      </c>
      <c r="E28">
        <v>7.2100000000000003E-3</v>
      </c>
      <c r="F28">
        <v>2011631030</v>
      </c>
      <c r="G28">
        <v>7.2100000000000003E-3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-0.46113989637305747</v>
      </c>
      <c r="Q28">
        <f t="shared" ref="Q28" si="116">F28*P28</f>
        <v>-927643324.71502686</v>
      </c>
      <c r="R28">
        <f t="shared" ref="R28" si="117">R29+Q28</f>
        <v>-31306100804.725681</v>
      </c>
      <c r="S28">
        <f t="shared" ref="S28" si="118">R28/100000</f>
        <v>-313061.00804725679</v>
      </c>
      <c r="T28">
        <f t="shared" ref="T28" si="119">S28/1000</f>
        <v>-313.06100804725679</v>
      </c>
    </row>
    <row r="29" spans="1:20" x14ac:dyDescent="0.25">
      <c r="A29" s="5">
        <v>44564</v>
      </c>
      <c r="B29">
        <v>7.4689999999999999E-3</v>
      </c>
      <c r="C29">
        <v>7.4840000000000002E-3</v>
      </c>
      <c r="D29">
        <v>7.1710000000000003E-3</v>
      </c>
      <c r="E29">
        <v>7.2909999999999997E-3</v>
      </c>
      <c r="F29">
        <v>1640493493</v>
      </c>
      <c r="G29">
        <v>7.2909999999999997E-3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-0.23322683706070618</v>
      </c>
      <c r="Q29">
        <f t="shared" ref="Q29" si="121">F29*P29</f>
        <v>-382607108.59105974</v>
      </c>
      <c r="R29">
        <f t="shared" ref="R29" si="122">R30+Q29</f>
        <v>-30378457480.010654</v>
      </c>
      <c r="S29">
        <f t="shared" ref="S29" si="123">R29/100000</f>
        <v>-303784.57480010652</v>
      </c>
      <c r="T29">
        <f t="shared" ref="T29" si="124">S29/1000</f>
        <v>-303.7845748001065</v>
      </c>
    </row>
    <row r="30" spans="1:20" x14ac:dyDescent="0.25">
      <c r="A30" s="5">
        <v>44563</v>
      </c>
      <c r="B30">
        <v>7.443E-3</v>
      </c>
      <c r="C30">
        <v>7.7580000000000001E-3</v>
      </c>
      <c r="D30">
        <v>7.3610000000000004E-3</v>
      </c>
      <c r="E30">
        <v>7.4710000000000002E-3</v>
      </c>
      <c r="F30">
        <v>1717345044</v>
      </c>
      <c r="G30">
        <v>7.4710000000000002E-3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-0.44584382871536565</v>
      </c>
      <c r="Q30">
        <f t="shared" ref="Q30" si="126">F30*P30</f>
        <v>-765667689.64231813</v>
      </c>
      <c r="R30">
        <f t="shared" ref="R30" si="127">R31+Q30</f>
        <v>-29995850371.419594</v>
      </c>
      <c r="S30">
        <f t="shared" ref="S30" si="128">R30/100000</f>
        <v>-299958.50371419592</v>
      </c>
      <c r="T30">
        <f t="shared" ref="T30" si="129">S30/1000</f>
        <v>-299.9585037141959</v>
      </c>
    </row>
    <row r="31" spans="1:20" x14ac:dyDescent="0.25">
      <c r="A31" s="5">
        <v>44562</v>
      </c>
      <c r="B31">
        <v>7.3000000000000001E-3</v>
      </c>
      <c r="C31">
        <v>7.4669999999999997E-3</v>
      </c>
      <c r="D31">
        <v>7.2700000000000004E-3</v>
      </c>
      <c r="E31">
        <v>7.4409999999999997E-3</v>
      </c>
      <c r="F31">
        <v>1283714152</v>
      </c>
      <c r="G31">
        <v>7.4409999999999997E-3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0.73604060913705505</v>
      </c>
      <c r="Q31">
        <f t="shared" ref="Q31" si="131">F31*P31</f>
        <v>944865746.39593804</v>
      </c>
      <c r="R31">
        <f t="shared" ref="R31" si="132">R32+Q31</f>
        <v>-29230182681.777275</v>
      </c>
      <c r="S31">
        <f t="shared" ref="S31" si="133">R31/100000</f>
        <v>-292301.82681777276</v>
      </c>
      <c r="T31">
        <f t="shared" ref="T31" si="134">S31/1000</f>
        <v>-292.30182681777274</v>
      </c>
    </row>
    <row r="32" spans="1:20" x14ac:dyDescent="0.25">
      <c r="A32" s="5">
        <v>44561</v>
      </c>
      <c r="B32">
        <v>7.365E-3</v>
      </c>
      <c r="C32">
        <v>7.5680000000000001E-3</v>
      </c>
      <c r="D32">
        <v>7.123E-3</v>
      </c>
      <c r="E32">
        <v>7.2989999999999999E-3</v>
      </c>
      <c r="F32">
        <v>2536122578</v>
      </c>
      <c r="G32">
        <v>7.2989999999999999E-3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-0.20898876404494424</v>
      </c>
      <c r="Q32">
        <f t="shared" ref="Q32" si="136">F32*P32</f>
        <v>-530021123.04269767</v>
      </c>
      <c r="R32">
        <f t="shared" ref="R32" si="137">R33+Q32</f>
        <v>-30175048428.173214</v>
      </c>
      <c r="S32">
        <f t="shared" ref="S32" si="138">R32/100000</f>
        <v>-301750.48428173212</v>
      </c>
      <c r="T32">
        <f t="shared" ref="T32" si="139">S32/1000</f>
        <v>-301.7504842817321</v>
      </c>
    </row>
    <row r="33" spans="1:20" x14ac:dyDescent="0.25">
      <c r="A33" s="5">
        <v>44560</v>
      </c>
      <c r="B33">
        <v>7.4060000000000003E-3</v>
      </c>
      <c r="C33">
        <v>7.561E-3</v>
      </c>
      <c r="D33">
        <v>7.208E-3</v>
      </c>
      <c r="E33">
        <v>7.365E-3</v>
      </c>
      <c r="F33">
        <v>1995220006</v>
      </c>
      <c r="G33">
        <v>7.365E-3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-0.1104815864022662</v>
      </c>
      <c r="Q33">
        <f t="shared" ref="Q33" si="141">F33*P33</f>
        <v>-220435071.48441908</v>
      </c>
      <c r="R33">
        <f t="shared" ref="R33" si="142">R34+Q33</f>
        <v>-29645027305.130516</v>
      </c>
      <c r="S33">
        <f t="shared" ref="S33" si="143">R33/100000</f>
        <v>-296450.27305130515</v>
      </c>
      <c r="T33">
        <f t="shared" ref="T33" si="144">S33/1000</f>
        <v>-296.45027305130515</v>
      </c>
    </row>
    <row r="34" spans="1:20" x14ac:dyDescent="0.25">
      <c r="A34" s="5">
        <v>44559</v>
      </c>
      <c r="B34">
        <v>7.6769999999999998E-3</v>
      </c>
      <c r="C34">
        <v>7.9620000000000003E-3</v>
      </c>
      <c r="D34">
        <v>7.2950000000000003E-3</v>
      </c>
      <c r="E34">
        <v>7.4110000000000001E-3</v>
      </c>
      <c r="F34">
        <v>2567848274</v>
      </c>
      <c r="G34">
        <v>7.4110000000000001E-3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-0.65217391304347894</v>
      </c>
      <c r="Q34">
        <f t="shared" ref="Q34" si="146">F34*P34</f>
        <v>-1674683656.9565234</v>
      </c>
      <c r="R34">
        <f t="shared" ref="R34" si="147">R35+Q34</f>
        <v>-29424592233.646095</v>
      </c>
      <c r="S34">
        <f t="shared" ref="S34" si="148">R34/100000</f>
        <v>-294245.92233646096</v>
      </c>
      <c r="T34">
        <f t="shared" ref="T34" si="149">S34/1000</f>
        <v>-294.24592233646098</v>
      </c>
    </row>
    <row r="35" spans="1:20" x14ac:dyDescent="0.25">
      <c r="A35" s="5">
        <v>44558</v>
      </c>
      <c r="B35">
        <v>8.5579999999999996E-3</v>
      </c>
      <c r="C35">
        <v>8.5620000000000002E-3</v>
      </c>
      <c r="D35">
        <v>7.5649999999999997E-3</v>
      </c>
      <c r="E35">
        <v>7.6769999999999998E-3</v>
      </c>
      <c r="F35">
        <v>3632067485</v>
      </c>
      <c r="G35">
        <v>7.6769999999999998E-3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-0.77532597793380131</v>
      </c>
      <c r="Q35">
        <f t="shared" ref="Q35" si="151">F35*P35</f>
        <v>-2816036274.729187</v>
      </c>
      <c r="R35">
        <f t="shared" ref="R35" si="152">R36+Q35</f>
        <v>-27749908576.689571</v>
      </c>
      <c r="S35">
        <f t="shared" ref="S35" si="153">R35/100000</f>
        <v>-277499.08576689573</v>
      </c>
      <c r="T35">
        <f t="shared" ref="T35" si="154">S35/1000</f>
        <v>-277.49908576689575</v>
      </c>
    </row>
    <row r="36" spans="1:20" x14ac:dyDescent="0.25">
      <c r="A36" s="5">
        <v>44557</v>
      </c>
      <c r="B36">
        <v>8.6829999999999997E-3</v>
      </c>
      <c r="C36">
        <v>8.8839999999999995E-3</v>
      </c>
      <c r="D36">
        <v>8.4460000000000004E-3</v>
      </c>
      <c r="E36">
        <v>8.5579999999999996E-3</v>
      </c>
      <c r="F36">
        <v>2305933605</v>
      </c>
      <c r="G36">
        <v>8.5579999999999996E-3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-0.48858447488584716</v>
      </c>
      <c r="Q36">
        <f t="shared" ref="Q36" si="156">F36*P36</f>
        <v>-1126643359.5205536</v>
      </c>
      <c r="R36">
        <f t="shared" ref="R36" si="157">R37+Q36</f>
        <v>-24933872301.960384</v>
      </c>
      <c r="S36">
        <f t="shared" ref="S36" si="158">R36/100000</f>
        <v>-249338.72301960384</v>
      </c>
      <c r="T36">
        <f t="shared" ref="T36" si="159">S36/1000</f>
        <v>-249.33872301960383</v>
      </c>
    </row>
    <row r="37" spans="1:20" x14ac:dyDescent="0.25">
      <c r="A37" s="5">
        <v>44556</v>
      </c>
      <c r="B37">
        <v>8.6280000000000003E-3</v>
      </c>
      <c r="C37">
        <v>8.8269999999999998E-3</v>
      </c>
      <c r="D37">
        <v>8.3289999999999996E-3</v>
      </c>
      <c r="E37">
        <v>8.685E-3</v>
      </c>
      <c r="F37">
        <v>1913698834</v>
      </c>
      <c r="G37">
        <v>8.685E-3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0.42971887550200916</v>
      </c>
      <c r="Q37">
        <f t="shared" ref="Q37" si="161">F37*P37</f>
        <v>822352510.9959861</v>
      </c>
      <c r="R37">
        <f t="shared" ref="R37" si="162">R38+Q37</f>
        <v>-23807228942.439831</v>
      </c>
      <c r="S37">
        <f t="shared" ref="S37" si="163">R37/100000</f>
        <v>-238072.2894243983</v>
      </c>
      <c r="T37">
        <f t="shared" ref="T37" si="164">S37/1000</f>
        <v>-238.07228942439829</v>
      </c>
    </row>
    <row r="38" spans="1:20" x14ac:dyDescent="0.25">
      <c r="A38" s="5">
        <v>44555</v>
      </c>
      <c r="B38">
        <v>8.6090000000000003E-3</v>
      </c>
      <c r="C38">
        <v>8.7349999999999997E-3</v>
      </c>
      <c r="D38">
        <v>8.4799999999999997E-3</v>
      </c>
      <c r="E38">
        <v>8.6239999999999997E-3</v>
      </c>
      <c r="F38">
        <v>1641340589</v>
      </c>
      <c r="G38">
        <v>8.6239999999999997E-3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0.1294117647058825</v>
      </c>
      <c r="Q38">
        <f t="shared" ref="Q38" si="166">F38*P38</f>
        <v>212408782.10588261</v>
      </c>
      <c r="R38">
        <f t="shared" ref="R38" si="167">R39+Q38</f>
        <v>-24629581453.435818</v>
      </c>
      <c r="S38">
        <f t="shared" ref="S38" si="168">R38/100000</f>
        <v>-246295.81453435819</v>
      </c>
      <c r="T38">
        <f t="shared" ref="T38" si="169">S38/1000</f>
        <v>-246.29581453435819</v>
      </c>
    </row>
    <row r="39" spans="1:20" x14ac:dyDescent="0.25">
      <c r="A39" s="5">
        <v>44554</v>
      </c>
      <c r="B39">
        <v>8.6540000000000002E-3</v>
      </c>
      <c r="C39">
        <v>9.2479999999999993E-3</v>
      </c>
      <c r="D39">
        <v>8.4259999999999995E-3</v>
      </c>
      <c r="E39">
        <v>8.6079999999999993E-3</v>
      </c>
      <c r="F39">
        <v>3558972953</v>
      </c>
      <c r="G39">
        <v>8.6079999999999993E-3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-0.55717761557177636</v>
      </c>
      <c r="Q39">
        <f t="shared" ref="Q39" si="171">F39*P39</f>
        <v>-1982980063.8369837</v>
      </c>
      <c r="R39">
        <f t="shared" ref="R39" si="172">R40+Q39</f>
        <v>-24841990235.541698</v>
      </c>
      <c r="S39">
        <f t="shared" ref="S39" si="173">R39/100000</f>
        <v>-248419.902355417</v>
      </c>
      <c r="T39">
        <f t="shared" ref="T39" si="174">S39/1000</f>
        <v>-248.41990235541701</v>
      </c>
    </row>
    <row r="40" spans="1:20" x14ac:dyDescent="0.25">
      <c r="A40" s="5">
        <v>44553</v>
      </c>
      <c r="B40">
        <v>8.1550000000000008E-3</v>
      </c>
      <c r="C40">
        <v>8.8190000000000004E-3</v>
      </c>
      <c r="D40">
        <v>7.9520000000000007E-3</v>
      </c>
      <c r="E40">
        <v>8.6459999999999992E-3</v>
      </c>
      <c r="F40">
        <v>3424550792</v>
      </c>
      <c r="G40">
        <v>8.6459999999999992E-3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0.60092272202998542</v>
      </c>
      <c r="Q40">
        <f t="shared" ref="Q40" si="176">F40*P40</f>
        <v>2057890383.6585824</v>
      </c>
      <c r="R40">
        <f t="shared" ref="R40" si="177">R41+Q40</f>
        <v>-22859010171.704716</v>
      </c>
      <c r="S40">
        <f t="shared" ref="S40" si="178">R40/100000</f>
        <v>-228590.10171704716</v>
      </c>
      <c r="T40">
        <f t="shared" ref="T40" si="179">S40/1000</f>
        <v>-228.59010171704716</v>
      </c>
    </row>
    <row r="41" spans="1:20" x14ac:dyDescent="0.25">
      <c r="A41" s="5">
        <v>44552</v>
      </c>
      <c r="B41">
        <v>8.0719999999999993E-3</v>
      </c>
      <c r="C41">
        <v>8.5500000000000003E-3</v>
      </c>
      <c r="D41">
        <v>8.0199999999999994E-3</v>
      </c>
      <c r="E41">
        <v>8.1550000000000008E-3</v>
      </c>
      <c r="F41">
        <v>2846360388</v>
      </c>
      <c r="G41">
        <v>8.1550000000000008E-3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-0.49056603773584456</v>
      </c>
      <c r="Q41">
        <f t="shared" ref="Q41" si="181">F41*P41</f>
        <v>-1396327737.5094211</v>
      </c>
      <c r="R41">
        <f t="shared" ref="R41" si="182">R42+Q41</f>
        <v>-24916900555.363297</v>
      </c>
      <c r="S41">
        <f t="shared" ref="S41" si="183">R41/100000</f>
        <v>-249169.00555363297</v>
      </c>
      <c r="T41">
        <f t="shared" ref="T41" si="184">S41/1000</f>
        <v>-249.16900555363299</v>
      </c>
    </row>
    <row r="42" spans="1:20" x14ac:dyDescent="0.25">
      <c r="A42" s="5">
        <v>44551</v>
      </c>
      <c r="B42">
        <v>7.6400000000000001E-3</v>
      </c>
      <c r="C42">
        <v>8.2500000000000004E-3</v>
      </c>
      <c r="D42">
        <v>7.5329999999999998E-3</v>
      </c>
      <c r="E42">
        <v>8.0689999999999998E-3</v>
      </c>
      <c r="F42">
        <v>4746026513</v>
      </c>
      <c r="G42">
        <v>8.0689999999999998E-3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0.49511854951185369</v>
      </c>
      <c r="Q42">
        <f t="shared" ref="Q42" si="186">F42*P42</f>
        <v>2349845763.0613608</v>
      </c>
      <c r="R42">
        <f t="shared" ref="R42" si="187">R43+Q42</f>
        <v>-23520572817.853874</v>
      </c>
      <c r="S42">
        <f t="shared" ref="S42" si="188">R42/100000</f>
        <v>-235205.72817853873</v>
      </c>
      <c r="T42">
        <f t="shared" ref="T42" si="189">S42/1000</f>
        <v>-235.20572817853872</v>
      </c>
    </row>
    <row r="43" spans="1:20" x14ac:dyDescent="0.25">
      <c r="A43" s="5">
        <v>44550</v>
      </c>
      <c r="B43">
        <v>7.391E-3</v>
      </c>
      <c r="C43">
        <v>7.8469999999999998E-3</v>
      </c>
      <c r="D43">
        <v>6.7510000000000001E-3</v>
      </c>
      <c r="E43">
        <v>7.6400000000000001E-3</v>
      </c>
      <c r="F43">
        <v>5107656208</v>
      </c>
      <c r="G43">
        <v>7.6400000000000001E-3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0.62226277372262817</v>
      </c>
      <c r="Q43">
        <f t="shared" ref="Q43" si="191">F43*P43</f>
        <v>3178304319.2116809</v>
      </c>
      <c r="R43">
        <f t="shared" ref="R43" si="192">R44+Q43</f>
        <v>-25870418580.915234</v>
      </c>
      <c r="S43">
        <f t="shared" ref="S43" si="193">R43/100000</f>
        <v>-258704.18580915235</v>
      </c>
      <c r="T43">
        <f t="shared" ref="T43" si="194">S43/1000</f>
        <v>-258.70418580915236</v>
      </c>
    </row>
    <row r="44" spans="1:20" x14ac:dyDescent="0.25">
      <c r="A44" s="5">
        <v>44549</v>
      </c>
      <c r="B44">
        <v>7.4580000000000002E-3</v>
      </c>
      <c r="C44">
        <v>7.8449999999999995E-3</v>
      </c>
      <c r="D44">
        <v>7.1999999999999998E-3</v>
      </c>
      <c r="E44">
        <v>7.3899999999999999E-3</v>
      </c>
      <c r="F44">
        <v>2971331494</v>
      </c>
      <c r="G44">
        <v>7.3899999999999999E-3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-0.41085271317829414</v>
      </c>
      <c r="Q44">
        <f t="shared" ref="Q44" si="196">F44*P44</f>
        <v>-1220779606.0620141</v>
      </c>
      <c r="R44">
        <f t="shared" ref="R44" si="197">R45+Q44</f>
        <v>-29048722900.126915</v>
      </c>
      <c r="S44">
        <f t="shared" ref="S44" si="198">R44/100000</f>
        <v>-290487.22900126915</v>
      </c>
      <c r="T44">
        <f t="shared" ref="T44" si="199">S44/1000</f>
        <v>-290.48722900126916</v>
      </c>
    </row>
    <row r="45" spans="1:20" x14ac:dyDescent="0.25">
      <c r="A45" s="5">
        <v>44548</v>
      </c>
      <c r="B45">
        <v>7.3610000000000004E-3</v>
      </c>
      <c r="C45">
        <v>7.6239999999999997E-3</v>
      </c>
      <c r="D45">
        <v>7.2309999999999996E-3</v>
      </c>
      <c r="E45">
        <v>7.463E-3</v>
      </c>
      <c r="F45">
        <v>1913758681</v>
      </c>
      <c r="G45">
        <v>7.463E-3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0.18066157760814436</v>
      </c>
      <c r="Q45">
        <f t="shared" ref="Q45" si="201">F45*P45</f>
        <v>345742662.47074151</v>
      </c>
      <c r="R45">
        <f t="shared" ref="R45" si="202">R46+Q45</f>
        <v>-27827943294.064899</v>
      </c>
      <c r="S45">
        <f t="shared" ref="S45" si="203">R45/100000</f>
        <v>-278279.43294064899</v>
      </c>
      <c r="T45">
        <f t="shared" ref="T45" si="204">S45/1000</f>
        <v>-278.27943294064897</v>
      </c>
    </row>
    <row r="46" spans="1:20" x14ac:dyDescent="0.25">
      <c r="A46" s="5">
        <v>44547</v>
      </c>
      <c r="B46">
        <v>7.8120000000000004E-3</v>
      </c>
      <c r="C46">
        <v>7.9699999999999997E-3</v>
      </c>
      <c r="D46">
        <v>7.1380000000000002E-3</v>
      </c>
      <c r="E46">
        <v>7.3610000000000004E-3</v>
      </c>
      <c r="F46">
        <v>3806035251</v>
      </c>
      <c r="G46">
        <v>7.3610000000000004E-3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-0.46394230769230704</v>
      </c>
      <c r="Q46">
        <f t="shared" ref="Q46" si="206">F46*P46</f>
        <v>-1765780777.5072091</v>
      </c>
      <c r="R46">
        <f t="shared" ref="R46" si="207">R47+Q46</f>
        <v>-28173685956.535641</v>
      </c>
      <c r="S46">
        <f t="shared" ref="S46" si="208">R46/100000</f>
        <v>-281736.8595653564</v>
      </c>
      <c r="T46">
        <f t="shared" ref="T46" si="209">S46/1000</f>
        <v>-281.73685956535638</v>
      </c>
    </row>
    <row r="47" spans="1:20" x14ac:dyDescent="0.25">
      <c r="A47" s="5">
        <v>44546</v>
      </c>
      <c r="B47">
        <v>8.2030000000000002E-3</v>
      </c>
      <c r="C47">
        <v>8.3099999999999997E-3</v>
      </c>
      <c r="D47">
        <v>7.7770000000000001E-3</v>
      </c>
      <c r="E47">
        <v>7.8130000000000005E-3</v>
      </c>
      <c r="F47">
        <v>2639923631</v>
      </c>
      <c r="G47">
        <v>7.8130000000000005E-3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-0.8649155722326437</v>
      </c>
      <c r="Q47">
        <f t="shared" ref="Q47" si="211">F47*P47</f>
        <v>-2283311057.9568434</v>
      </c>
      <c r="R47">
        <f t="shared" ref="R47" si="212">R48+Q47</f>
        <v>-26407905179.028431</v>
      </c>
      <c r="S47">
        <f t="shared" ref="S47" si="213">R47/100000</f>
        <v>-264079.05179028428</v>
      </c>
      <c r="T47">
        <f t="shared" ref="T47" si="214">S47/1000</f>
        <v>-264.07905179028427</v>
      </c>
    </row>
    <row r="48" spans="1:20" x14ac:dyDescent="0.25">
      <c r="A48" s="5">
        <v>44545</v>
      </c>
      <c r="B48">
        <v>7.9839999999999998E-3</v>
      </c>
      <c r="C48">
        <v>8.6300000000000005E-3</v>
      </c>
      <c r="D48">
        <v>7.4180000000000001E-3</v>
      </c>
      <c r="E48">
        <v>8.2019999999999992E-3</v>
      </c>
      <c r="F48">
        <v>4805030975</v>
      </c>
      <c r="G48">
        <v>8.2019999999999992E-3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0.29372937293729184</v>
      </c>
      <c r="Q48">
        <f t="shared" ref="Q48" si="216">F48*P48</f>
        <v>1411378735.231014</v>
      </c>
      <c r="R48">
        <f t="shared" ref="R48" si="217">R49+Q48</f>
        <v>-24124594121.071587</v>
      </c>
      <c r="S48">
        <f t="shared" ref="S48" si="218">R48/100000</f>
        <v>-241245.94121071586</v>
      </c>
      <c r="T48">
        <f t="shared" ref="T48" si="219">S48/1000</f>
        <v>-241.24594121071587</v>
      </c>
    </row>
    <row r="49" spans="1:20" x14ac:dyDescent="0.25">
      <c r="A49" s="5">
        <v>44544</v>
      </c>
      <c r="B49">
        <v>7.7499999999999999E-3</v>
      </c>
      <c r="C49">
        <v>8.1740000000000007E-3</v>
      </c>
      <c r="D49">
        <v>7.5900000000000004E-3</v>
      </c>
      <c r="E49">
        <v>7.9909999999999998E-3</v>
      </c>
      <c r="F49">
        <v>3356918656</v>
      </c>
      <c r="G49">
        <v>7.9909999999999998E-3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0.3732876712328741</v>
      </c>
      <c r="Q49">
        <f t="shared" ref="Q49" si="221">F49*P49</f>
        <v>1253096347.6164296</v>
      </c>
      <c r="R49">
        <f t="shared" ref="R49" si="222">R50+Q49</f>
        <v>-25535972856.302601</v>
      </c>
      <c r="S49">
        <f t="shared" ref="S49" si="223">R49/100000</f>
        <v>-255359.728563026</v>
      </c>
      <c r="T49">
        <f t="shared" ref="T49" si="224">S49/1000</f>
        <v>-255.35972856302601</v>
      </c>
    </row>
    <row r="50" spans="1:20" x14ac:dyDescent="0.25">
      <c r="A50" s="5">
        <v>44543</v>
      </c>
      <c r="B50">
        <v>8.7349999999999997E-3</v>
      </c>
      <c r="C50">
        <v>8.7889999999999999E-3</v>
      </c>
      <c r="D50">
        <v>7.5160000000000001E-3</v>
      </c>
      <c r="E50">
        <v>7.7470000000000004E-3</v>
      </c>
      <c r="F50">
        <v>4819794961</v>
      </c>
      <c r="G50">
        <v>7.7470000000000004E-3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-0.63707776904948887</v>
      </c>
      <c r="Q50">
        <f t="shared" ref="Q50" si="226">F50*P50</f>
        <v>-3070584221.0298481</v>
      </c>
      <c r="R50">
        <f t="shared" ref="R50" si="227">R51+Q50</f>
        <v>-26789069203.919029</v>
      </c>
      <c r="S50">
        <f t="shared" ref="S50" si="228">R50/100000</f>
        <v>-267890.69203919027</v>
      </c>
      <c r="T50">
        <f t="shared" ref="T50" si="229">S50/1000</f>
        <v>-267.89069203919024</v>
      </c>
    </row>
    <row r="51" spans="1:20" x14ac:dyDescent="0.25">
      <c r="A51" s="5">
        <v>44542</v>
      </c>
      <c r="B51">
        <v>8.7150000000000005E-3</v>
      </c>
      <c r="C51">
        <v>8.9420000000000003E-3</v>
      </c>
      <c r="D51">
        <v>8.43E-3</v>
      </c>
      <c r="E51">
        <v>8.7360000000000007E-3</v>
      </c>
      <c r="F51">
        <v>2460332740</v>
      </c>
      <c r="G51">
        <v>8.7360000000000007E-3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0.19531250000000208</v>
      </c>
      <c r="Q51">
        <f t="shared" ref="Q51" si="231">F51*P51</f>
        <v>480533738.28125513</v>
      </c>
      <c r="R51">
        <f t="shared" ref="R51" si="232">R52+Q51</f>
        <v>-23718484982.889179</v>
      </c>
      <c r="S51">
        <f t="shared" ref="S51" si="233">R51/100000</f>
        <v>-237184.84982889181</v>
      </c>
      <c r="T51">
        <f t="shared" ref="T51" si="234">S51/1000</f>
        <v>-237.1848498288918</v>
      </c>
    </row>
    <row r="52" spans="1:20" x14ac:dyDescent="0.25">
      <c r="A52" s="5">
        <v>44541</v>
      </c>
      <c r="B52">
        <v>8.4139999999999996E-3</v>
      </c>
      <c r="C52">
        <v>8.5470000000000008E-3</v>
      </c>
      <c r="D52">
        <v>8.2109999999999995E-3</v>
      </c>
      <c r="E52">
        <v>8.4770000000000002E-3</v>
      </c>
      <c r="F52">
        <v>182186208</v>
      </c>
      <c r="G52">
        <v>8.4770000000000002E-3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0.58333333333333115</v>
      </c>
      <c r="Q52">
        <f t="shared" ref="Q52" si="236">F52*P52</f>
        <v>106275287.9999996</v>
      </c>
      <c r="R52">
        <f t="shared" ref="R52" si="237">R53+Q52</f>
        <v>-24199018721.170433</v>
      </c>
      <c r="S52">
        <f t="shared" ref="S52" si="238">R52/100000</f>
        <v>-241990.18721170432</v>
      </c>
      <c r="T52">
        <f t="shared" ref="T52" si="239">S52/1000</f>
        <v>-241.99018721170432</v>
      </c>
    </row>
    <row r="53" spans="1:20" x14ac:dyDescent="0.25">
      <c r="A53" s="5">
        <v>44540</v>
      </c>
      <c r="B53">
        <v>8.9219999999999994E-3</v>
      </c>
      <c r="C53">
        <v>9.3390000000000001E-3</v>
      </c>
      <c r="D53">
        <v>8.3580000000000008E-3</v>
      </c>
      <c r="E53">
        <v>8.4340000000000005E-3</v>
      </c>
      <c r="F53">
        <v>3297287655</v>
      </c>
      <c r="G53">
        <v>8.4340000000000005E-3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-0.84505606523955201</v>
      </c>
      <c r="Q53">
        <f t="shared" ref="Q53" si="241">F53*P53</f>
        <v>-2786392931.6972494</v>
      </c>
      <c r="R53">
        <f t="shared" ref="R53" si="242">R54+Q53</f>
        <v>-24305294009.170433</v>
      </c>
      <c r="S53">
        <f t="shared" ref="S53" si="243">R53/100000</f>
        <v>-243052.94009170434</v>
      </c>
      <c r="T53">
        <f t="shared" ref="T53" si="244">S53/1000</f>
        <v>-243.05294009170433</v>
      </c>
    </row>
    <row r="54" spans="1:20" x14ac:dyDescent="0.25">
      <c r="A54" s="5">
        <v>44539</v>
      </c>
      <c r="B54">
        <v>9.8919999999999998E-3</v>
      </c>
      <c r="C54">
        <v>9.9780000000000008E-3</v>
      </c>
      <c r="D54">
        <v>8.8579999999999996E-3</v>
      </c>
      <c r="E54">
        <v>8.9230000000000004E-3</v>
      </c>
      <c r="F54">
        <v>3903040628</v>
      </c>
      <c r="G54">
        <v>8.9230000000000004E-3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-0.88392857142857006</v>
      </c>
      <c r="Q54">
        <f t="shared" ref="Q54" si="246">F54*P54</f>
        <v>-3450009126.5357089</v>
      </c>
      <c r="R54">
        <f t="shared" ref="R54" si="247">R55+Q54</f>
        <v>-21518901077.473183</v>
      </c>
      <c r="S54">
        <f t="shared" ref="S54" si="248">R54/100000</f>
        <v>-215189.01077473184</v>
      </c>
      <c r="T54">
        <f t="shared" ref="T54" si="249">S54/1000</f>
        <v>-215.18901077473183</v>
      </c>
    </row>
    <row r="55" spans="1:20" x14ac:dyDescent="0.25">
      <c r="A55" s="5">
        <v>44538</v>
      </c>
      <c r="B55">
        <v>9.6299999999999997E-3</v>
      </c>
      <c r="C55">
        <v>1.0580000000000001E-2</v>
      </c>
      <c r="D55">
        <v>9.2180000000000005E-3</v>
      </c>
      <c r="E55">
        <v>9.8860000000000007E-3</v>
      </c>
      <c r="F55">
        <v>4851576338</v>
      </c>
      <c r="G55">
        <v>9.8860000000000007E-3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-1.9089574155653433E-2</v>
      </c>
      <c r="Q55">
        <f t="shared" ref="Q55" si="251">F55*P55</f>
        <v>-92614526.27606453</v>
      </c>
      <c r="R55">
        <f t="shared" ref="R55" si="252">R56+Q55</f>
        <v>-18068891950.937473</v>
      </c>
      <c r="S55">
        <f t="shared" ref="S55" si="253">R55/100000</f>
        <v>-180688.91950937474</v>
      </c>
      <c r="T55">
        <f t="shared" ref="T55" si="254">S55/1000</f>
        <v>-180.68891950937473</v>
      </c>
    </row>
    <row r="56" spans="1:20" x14ac:dyDescent="0.25">
      <c r="A56" s="5">
        <v>44537</v>
      </c>
      <c r="B56">
        <v>9.6399999999999993E-3</v>
      </c>
      <c r="C56">
        <v>1.0596E-2</v>
      </c>
      <c r="D56">
        <v>9.4409999999999997E-3</v>
      </c>
      <c r="E56">
        <v>9.6360000000000005E-3</v>
      </c>
      <c r="F56">
        <v>5449695895</v>
      </c>
      <c r="G56">
        <v>9.6360000000000005E-3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-0.662337662337661</v>
      </c>
      <c r="Q56">
        <f t="shared" ref="Q56" si="256">F56*P56</f>
        <v>-3609538839.5454473</v>
      </c>
      <c r="R56">
        <f t="shared" ref="R56" si="257">R57+Q56</f>
        <v>-17976277424.661407</v>
      </c>
      <c r="S56">
        <f t="shared" ref="S56" si="258">R56/100000</f>
        <v>-179762.77424661408</v>
      </c>
      <c r="T56">
        <f t="shared" ref="T56" si="259">S56/1000</f>
        <v>-179.76277424661407</v>
      </c>
    </row>
    <row r="57" spans="1:20" x14ac:dyDescent="0.25">
      <c r="A57" s="5">
        <v>44536</v>
      </c>
      <c r="B57">
        <v>9.2849999999999999E-3</v>
      </c>
      <c r="C57">
        <v>9.6939999999999995E-3</v>
      </c>
      <c r="D57">
        <v>8.3199999999999993E-3</v>
      </c>
      <c r="E57">
        <v>9.6399999999999993E-3</v>
      </c>
      <c r="F57">
        <v>6710179681</v>
      </c>
      <c r="G57">
        <v>9.6399999999999993E-3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0.92139737991266346</v>
      </c>
      <c r="Q57">
        <f t="shared" ref="Q57" si="261">F57*P57</f>
        <v>6182741976.8165922</v>
      </c>
      <c r="R57">
        <f t="shared" ref="R57" si="262">R58+Q57</f>
        <v>-14366738585.115959</v>
      </c>
      <c r="S57">
        <f t="shared" ref="S57" si="263">R57/100000</f>
        <v>-143667.3858511596</v>
      </c>
      <c r="T57">
        <f t="shared" ref="T57" si="264">S57/1000</f>
        <v>-143.66738585115959</v>
      </c>
    </row>
    <row r="58" spans="1:20" x14ac:dyDescent="0.25">
      <c r="A58" s="5">
        <v>44535</v>
      </c>
      <c r="B58">
        <v>1.0118E-2</v>
      </c>
      <c r="C58">
        <v>1.0562999999999999E-2</v>
      </c>
      <c r="D58">
        <v>8.6890000000000005E-3</v>
      </c>
      <c r="E58">
        <v>9.2849999999999999E-3</v>
      </c>
      <c r="F58">
        <v>6909559028</v>
      </c>
      <c r="G58">
        <v>9.2849999999999999E-3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-0.3639274279615799</v>
      </c>
      <c r="Q58">
        <f t="shared" ref="Q58" si="266">F58*P58</f>
        <v>-2514578045.4087539</v>
      </c>
      <c r="R58">
        <f t="shared" ref="R58" si="267">R59+Q58</f>
        <v>-20549480561.932552</v>
      </c>
      <c r="S58">
        <f t="shared" ref="S58" si="268">R58/100000</f>
        <v>-205494.80561932552</v>
      </c>
      <c r="T58">
        <f t="shared" ref="T58" si="269">S58/1000</f>
        <v>-205.49480561932552</v>
      </c>
    </row>
    <row r="59" spans="1:20" x14ac:dyDescent="0.25">
      <c r="A59" s="5">
        <v>44534</v>
      </c>
      <c r="B59">
        <v>1.1004E-2</v>
      </c>
      <c r="C59">
        <v>1.1029000000000001E-2</v>
      </c>
      <c r="D59">
        <v>2.5000000000000001E-3</v>
      </c>
      <c r="E59">
        <v>1.0127000000000001E-2</v>
      </c>
      <c r="F59">
        <v>15479540480</v>
      </c>
      <c r="G59">
        <v>1.0127000000000001E-2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0.78848634071989687</v>
      </c>
      <c r="Q59">
        <f t="shared" ref="Q59" si="271">F59*P59</f>
        <v>12205406229.100716</v>
      </c>
      <c r="R59">
        <f t="shared" ref="R59" si="272">R60+Q59</f>
        <v>-18034902516.5238</v>
      </c>
      <c r="S59">
        <f t="shared" ref="S59" si="273">R59/100000</f>
        <v>-180349.02516523801</v>
      </c>
      <c r="T59">
        <f t="shared" ref="T59" si="274">S59/1000</f>
        <v>-180.349025165238</v>
      </c>
    </row>
    <row r="60" spans="1:20" x14ac:dyDescent="0.25">
      <c r="A60" s="5">
        <v>44533</v>
      </c>
      <c r="B60">
        <v>1.1501000000000001E-2</v>
      </c>
      <c r="C60">
        <v>1.1972999999999999E-2</v>
      </c>
      <c r="D60">
        <v>1.0392999999999999E-2</v>
      </c>
      <c r="E60">
        <v>1.1013E-2</v>
      </c>
      <c r="F60">
        <v>4575988571</v>
      </c>
      <c r="G60">
        <v>1.1013E-2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-0.21518987341772047</v>
      </c>
      <c r="Q60">
        <f t="shared" ref="Q60" si="276">F60*P60</f>
        <v>-984706401.35442555</v>
      </c>
      <c r="R60">
        <f t="shared" ref="R60" si="277">R61+Q60</f>
        <v>-30240308745.624516</v>
      </c>
      <c r="S60">
        <f t="shared" ref="S60" si="278">R60/100000</f>
        <v>-302403.08745624515</v>
      </c>
      <c r="T60">
        <f t="shared" ref="T60" si="279">S60/1000</f>
        <v>-302.40308745624515</v>
      </c>
    </row>
    <row r="61" spans="1:20" x14ac:dyDescent="0.25">
      <c r="A61" s="5">
        <v>44532</v>
      </c>
      <c r="B61">
        <v>1.1788E-2</v>
      </c>
      <c r="C61">
        <v>1.1801000000000001E-2</v>
      </c>
      <c r="D61">
        <v>1.1179E-2</v>
      </c>
      <c r="E61">
        <v>1.1502999999999999E-2</v>
      </c>
      <c r="F61">
        <v>3469147703</v>
      </c>
      <c r="G61">
        <v>1.1502999999999999E-2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4.1800643086813832E-2</v>
      </c>
      <c r="Q61">
        <f t="shared" ref="Q61" si="281">F61*P61</f>
        <v>145012604.94854304</v>
      </c>
      <c r="R61">
        <f t="shared" ref="R61" si="282">R62+Q61</f>
        <v>-29255602344.270088</v>
      </c>
      <c r="S61">
        <f t="shared" ref="S61" si="283">R61/100000</f>
        <v>-292556.02344270085</v>
      </c>
      <c r="T61">
        <f t="shared" ref="T61" si="284">S61/1000</f>
        <v>-292.55602344270085</v>
      </c>
    </row>
    <row r="62" spans="1:20" x14ac:dyDescent="0.25">
      <c r="A62" s="5">
        <v>44531</v>
      </c>
      <c r="B62">
        <v>1.2015E-2</v>
      </c>
      <c r="C62">
        <v>1.2272E-2</v>
      </c>
      <c r="D62">
        <v>1.1527000000000001E-2</v>
      </c>
      <c r="E62">
        <v>1.1786E-2</v>
      </c>
      <c r="F62">
        <v>3584361986</v>
      </c>
      <c r="G62">
        <v>1.1786E-2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-0.30469798657718361</v>
      </c>
      <c r="Q62">
        <f t="shared" ref="Q62" si="286">F62*P62</f>
        <v>-1092147880.2979951</v>
      </c>
      <c r="R62">
        <f t="shared" ref="R62" si="287">R63+Q62</f>
        <v>-29400614949.218632</v>
      </c>
      <c r="S62">
        <f t="shared" ref="S62" si="288">R62/100000</f>
        <v>-294006.14949218632</v>
      </c>
      <c r="T62">
        <f t="shared" ref="T62" si="289">S62/1000</f>
        <v>-294.0061494921863</v>
      </c>
    </row>
    <row r="63" spans="1:20" x14ac:dyDescent="0.25">
      <c r="A63" s="5">
        <v>44530</v>
      </c>
      <c r="B63">
        <v>1.2324999999999999E-2</v>
      </c>
      <c r="C63">
        <v>1.2689000000000001E-2</v>
      </c>
      <c r="D63">
        <v>1.1703E-2</v>
      </c>
      <c r="E63">
        <v>1.2015E-2</v>
      </c>
      <c r="F63">
        <v>5562323753</v>
      </c>
      <c r="G63">
        <v>1.2015E-2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-0.36713995943204963</v>
      </c>
      <c r="Q63">
        <f t="shared" ref="Q63" si="291">F63*P63</f>
        <v>-2042151317.0243461</v>
      </c>
      <c r="R63">
        <f t="shared" ref="R63" si="292">R64+Q63</f>
        <v>-28308467068.920635</v>
      </c>
      <c r="S63">
        <f t="shared" ref="S63" si="293">R63/100000</f>
        <v>-283084.67068920634</v>
      </c>
      <c r="T63">
        <f t="shared" ref="T63" si="294">S63/1000</f>
        <v>-283.08467068920635</v>
      </c>
    </row>
    <row r="64" spans="1:20" x14ac:dyDescent="0.25">
      <c r="A64" s="5">
        <v>44529</v>
      </c>
      <c r="B64">
        <v>1.2361E-2</v>
      </c>
      <c r="C64">
        <v>1.2959999999999999E-2</v>
      </c>
      <c r="D64">
        <v>1.1962E-2</v>
      </c>
      <c r="E64">
        <v>1.2324999999999999E-2</v>
      </c>
      <c r="F64">
        <v>3631289014</v>
      </c>
      <c r="G64">
        <v>1.2324999999999999E-2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-0.27254509018036244</v>
      </c>
      <c r="Q64">
        <f t="shared" ref="Q64" si="296">F64*P64</f>
        <v>-989689991.79158938</v>
      </c>
      <c r="R64">
        <f t="shared" ref="R64" si="297">R65+Q64</f>
        <v>-26266315751.89629</v>
      </c>
      <c r="S64">
        <f t="shared" ref="S64" si="298">R64/100000</f>
        <v>-262663.15751896292</v>
      </c>
      <c r="T64">
        <f t="shared" ref="T64" si="299">S64/1000</f>
        <v>-262.66315751896292</v>
      </c>
    </row>
    <row r="65" spans="1:20" x14ac:dyDescent="0.25">
      <c r="A65" s="5">
        <v>44528</v>
      </c>
      <c r="B65">
        <v>1.2137999999999999E-2</v>
      </c>
      <c r="C65">
        <v>1.244E-2</v>
      </c>
      <c r="D65">
        <v>1.0988E-2</v>
      </c>
      <c r="E65">
        <v>1.2361E-2</v>
      </c>
      <c r="F65">
        <v>4867182190</v>
      </c>
      <c r="G65">
        <v>1.2361E-2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0.89118457300275589</v>
      </c>
      <c r="Q65">
        <f t="shared" ref="Q65" si="301">F65*P65</f>
        <v>4337557681.7217684</v>
      </c>
      <c r="R65">
        <f t="shared" ref="R65" si="302">R66+Q65</f>
        <v>-25276625760.104702</v>
      </c>
      <c r="S65">
        <f t="shared" ref="S65" si="303">R65/100000</f>
        <v>-252766.25760104702</v>
      </c>
      <c r="T65">
        <f t="shared" ref="T65" si="304">S65/1000</f>
        <v>-252.76625760104702</v>
      </c>
    </row>
    <row r="66" spans="1:20" x14ac:dyDescent="0.25">
      <c r="A66" s="5">
        <v>44527</v>
      </c>
      <c r="B66">
        <v>1.1929E-2</v>
      </c>
      <c r="C66">
        <v>1.2711999999999999E-2</v>
      </c>
      <c r="D66">
        <v>1.1854E-2</v>
      </c>
      <c r="E66">
        <v>1.2146000000000001E-2</v>
      </c>
      <c r="F66">
        <v>2941918158</v>
      </c>
      <c r="G66">
        <v>1.2146000000000001E-2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-0.31934731934731747</v>
      </c>
      <c r="Q66">
        <f t="shared" ref="Q66" si="306">F66*P66</f>
        <v>-939493677.49649799</v>
      </c>
      <c r="R66">
        <f t="shared" ref="R66" si="307">R67+Q66</f>
        <v>-29614183441.826469</v>
      </c>
      <c r="S66">
        <f t="shared" ref="S66" si="308">R66/100000</f>
        <v>-296141.83441826468</v>
      </c>
      <c r="T66">
        <f t="shared" ref="T66" si="309">S66/1000</f>
        <v>-296.14183441826469</v>
      </c>
    </row>
    <row r="67" spans="1:20" x14ac:dyDescent="0.25">
      <c r="A67" s="5">
        <v>44526</v>
      </c>
      <c r="B67">
        <v>1.3879000000000001E-2</v>
      </c>
      <c r="C67">
        <v>1.4E-2</v>
      </c>
      <c r="D67">
        <v>1.1663E-2</v>
      </c>
      <c r="E67">
        <v>1.1932999999999999E-2</v>
      </c>
      <c r="F67">
        <v>6302468897</v>
      </c>
      <c r="G67">
        <v>1.1932999999999999E-2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-0.76893453145057822</v>
      </c>
      <c r="Q67">
        <f t="shared" ref="Q67" si="311">F67*P67</f>
        <v>-4846185968.2965374</v>
      </c>
      <c r="R67">
        <f t="shared" ref="R67" si="312">R68+Q67</f>
        <v>-28674689764.329971</v>
      </c>
      <c r="S67">
        <f t="shared" ref="S67" si="313">R67/100000</f>
        <v>-286746.89764329972</v>
      </c>
      <c r="T67">
        <f t="shared" ref="T67" si="314">S67/1000</f>
        <v>-286.74689764329969</v>
      </c>
    </row>
    <row r="68" spans="1:20" x14ac:dyDescent="0.25">
      <c r="A68" s="5">
        <v>44525</v>
      </c>
      <c r="B68">
        <v>1.3339999999999999E-2</v>
      </c>
      <c r="C68">
        <v>1.4E-2</v>
      </c>
      <c r="D68">
        <v>1.3129E-2</v>
      </c>
      <c r="E68">
        <v>1.3879000000000001E-2</v>
      </c>
      <c r="F68">
        <v>4694085276</v>
      </c>
      <c r="G68">
        <v>1.3879000000000001E-2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0.72215843857635009</v>
      </c>
      <c r="Q68">
        <f t="shared" ref="Q68" si="316">F68*P68</f>
        <v>3389873293.4603953</v>
      </c>
      <c r="R68">
        <f t="shared" ref="R68" si="317">R69+Q68</f>
        <v>-23828503796.033432</v>
      </c>
      <c r="S68">
        <f t="shared" ref="S68" si="318">R68/100000</f>
        <v>-238285.03796033433</v>
      </c>
      <c r="T68">
        <f t="shared" ref="T68" si="319">S68/1000</f>
        <v>-238.28503796033434</v>
      </c>
    </row>
    <row r="69" spans="1:20" x14ac:dyDescent="0.25">
      <c r="A69" s="5">
        <v>44524</v>
      </c>
      <c r="B69">
        <v>1.4012E-2</v>
      </c>
      <c r="C69">
        <v>1.4345999999999999E-2</v>
      </c>
      <c r="D69">
        <v>1.3450999999999999E-2</v>
      </c>
      <c r="E69">
        <v>1.3899E-2</v>
      </c>
      <c r="F69">
        <v>2189638454</v>
      </c>
      <c r="G69">
        <v>1.3899E-2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1.1173184357553074E-3</v>
      </c>
      <c r="Q69">
        <f t="shared" ref="Q69" si="321">F69*P69</f>
        <v>2446523.4122929499</v>
      </c>
      <c r="R69">
        <f t="shared" ref="R69" si="322">R70+Q69</f>
        <v>-27218377089.493828</v>
      </c>
      <c r="S69">
        <f t="shared" ref="S69" si="323">R69/100000</f>
        <v>-272183.77089493826</v>
      </c>
      <c r="T69">
        <f t="shared" ref="T69" si="324">S69/1000</f>
        <v>-272.18377089493828</v>
      </c>
    </row>
    <row r="70" spans="1:20" x14ac:dyDescent="0.25">
      <c r="A70" s="5">
        <v>44523</v>
      </c>
      <c r="B70">
        <v>1.303E-2</v>
      </c>
      <c r="C70">
        <v>1.4467000000000001E-2</v>
      </c>
      <c r="D70">
        <v>1.2456E-2</v>
      </c>
      <c r="E70">
        <v>1.4014E-2</v>
      </c>
      <c r="F70">
        <v>7829717828</v>
      </c>
      <c r="G70">
        <v>1.4014E-2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0.54947787170561901</v>
      </c>
      <c r="Q70">
        <f t="shared" ref="Q70" si="326">F70*P70</f>
        <v>4302256688.1849823</v>
      </c>
      <c r="R70">
        <f t="shared" ref="R70" si="327">R71+Q70</f>
        <v>-27220823612.90612</v>
      </c>
      <c r="S70">
        <f t="shared" ref="S70" si="328">R70/100000</f>
        <v>-272208.2361290612</v>
      </c>
      <c r="T70">
        <f t="shared" ref="T70" si="329">S70/1000</f>
        <v>-272.20823612906122</v>
      </c>
    </row>
    <row r="71" spans="1:20" x14ac:dyDescent="0.25">
      <c r="A71" s="5">
        <v>44522</v>
      </c>
      <c r="B71">
        <v>1.3866E-2</v>
      </c>
      <c r="C71">
        <v>1.3938000000000001E-2</v>
      </c>
      <c r="D71">
        <v>1.2743000000000001E-2</v>
      </c>
      <c r="E71">
        <v>1.303E-2</v>
      </c>
      <c r="F71">
        <v>4319294231</v>
      </c>
      <c r="G71">
        <v>1.303E-2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-0.51966527196652867</v>
      </c>
      <c r="Q71">
        <f t="shared" ref="Q71" si="331">F71*P71</f>
        <v>-2244587211.2560735</v>
      </c>
      <c r="R71">
        <f t="shared" ref="R71" si="332">R72+Q71</f>
        <v>-31523080301.091103</v>
      </c>
      <c r="S71">
        <f t="shared" ref="S71" si="333">R71/100000</f>
        <v>-315230.80301091104</v>
      </c>
      <c r="T71">
        <f t="shared" ref="T71" si="334">S71/1000</f>
        <v>-315.23080301091102</v>
      </c>
    </row>
    <row r="72" spans="1:20" x14ac:dyDescent="0.25">
      <c r="A72" s="5">
        <v>44521</v>
      </c>
      <c r="B72">
        <v>1.3566999999999999E-2</v>
      </c>
      <c r="C72">
        <v>1.4652E-2</v>
      </c>
      <c r="D72">
        <v>1.3321E-2</v>
      </c>
      <c r="E72">
        <v>1.3858000000000001E-2</v>
      </c>
      <c r="F72">
        <v>7444584458</v>
      </c>
      <c r="G72">
        <v>1.3858000000000001E-2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-0.19308790383170432</v>
      </c>
      <c r="Q72">
        <f t="shared" ref="Q72" si="336">F72*P72</f>
        <v>-1437459207.8933046</v>
      </c>
      <c r="R72">
        <f t="shared" ref="R72" si="337">R73+Q72</f>
        <v>-29278493089.83503</v>
      </c>
      <c r="S72">
        <f t="shared" ref="S72" si="338">R72/100000</f>
        <v>-292784.93089835031</v>
      </c>
      <c r="T72">
        <f t="shared" ref="T72" si="339">S72/1000</f>
        <v>-292.7849308983503</v>
      </c>
    </row>
    <row r="73" spans="1:20" x14ac:dyDescent="0.25">
      <c r="A73" s="5">
        <v>44520</v>
      </c>
      <c r="B73">
        <v>1.2684000000000001E-2</v>
      </c>
      <c r="C73">
        <v>1.4111E-2</v>
      </c>
      <c r="D73">
        <v>1.24E-2</v>
      </c>
      <c r="E73">
        <v>1.3566E-2</v>
      </c>
      <c r="F73">
        <v>7990721005</v>
      </c>
      <c r="G73">
        <v>1.3566E-2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0.36294564582115707</v>
      </c>
      <c r="Q73">
        <f t="shared" ref="Q73" si="341">F73*P73</f>
        <v>2900197395.7364101</v>
      </c>
      <c r="R73">
        <f t="shared" ref="R73" si="342">R74+Q73</f>
        <v>-27841033881.941727</v>
      </c>
      <c r="S73">
        <f t="shared" ref="S73" si="343">R73/100000</f>
        <v>-278410.33881941729</v>
      </c>
      <c r="T73">
        <f t="shared" ref="T73" si="344">S73/1000</f>
        <v>-278.41033881941729</v>
      </c>
    </row>
    <row r="74" spans="1:20" x14ac:dyDescent="0.25">
      <c r="A74" s="5">
        <v>44519</v>
      </c>
      <c r="B74">
        <v>1.1660999999999999E-2</v>
      </c>
      <c r="C74">
        <v>1.3062000000000001E-2</v>
      </c>
      <c r="D74">
        <v>1.1388000000000001E-2</v>
      </c>
      <c r="E74">
        <v>1.2685999999999999E-2</v>
      </c>
      <c r="F74">
        <v>6637703955</v>
      </c>
      <c r="G74">
        <v>1.2685999999999999E-2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0.55077658303464605</v>
      </c>
      <c r="Q74">
        <f t="shared" ref="Q74" si="346">F74*P74</f>
        <v>3655891903.5304561</v>
      </c>
      <c r="R74">
        <f t="shared" ref="R74" si="347">R75+Q74</f>
        <v>-30741231277.678139</v>
      </c>
      <c r="S74">
        <f t="shared" ref="S74" si="348">R74/100000</f>
        <v>-307412.31277678139</v>
      </c>
      <c r="T74">
        <f t="shared" ref="T74" si="349">S74/1000</f>
        <v>-307.41231277678139</v>
      </c>
    </row>
    <row r="75" spans="1:20" x14ac:dyDescent="0.25">
      <c r="A75" s="5">
        <v>44518</v>
      </c>
      <c r="B75">
        <v>1.2524E-2</v>
      </c>
      <c r="C75">
        <v>1.2687E-2</v>
      </c>
      <c r="D75">
        <v>1.065E-2</v>
      </c>
      <c r="E75">
        <v>1.1668E-2</v>
      </c>
      <c r="F75">
        <v>6315856071</v>
      </c>
      <c r="G75">
        <v>1.1668E-2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-4.9091801669170338E-4</v>
      </c>
      <c r="Q75">
        <f t="shared" ref="Q75" si="351">F75*P75</f>
        <v>-3100567.536085574</v>
      </c>
      <c r="R75">
        <f t="shared" ref="R75" si="352">R76+Q75</f>
        <v>-34397123181.208595</v>
      </c>
      <c r="S75">
        <f t="shared" ref="S75" si="353">R75/100000</f>
        <v>-343971.23181208596</v>
      </c>
      <c r="T75">
        <f t="shared" ref="T75" si="354">S75/1000</f>
        <v>-343.97123181208593</v>
      </c>
    </row>
    <row r="76" spans="1:20" x14ac:dyDescent="0.25">
      <c r="A76" s="5">
        <v>44517</v>
      </c>
      <c r="B76">
        <v>1.2609E-2</v>
      </c>
      <c r="C76">
        <v>1.2843E-2</v>
      </c>
      <c r="D76">
        <v>1.2109E-2</v>
      </c>
      <c r="E76">
        <v>1.2524E-2</v>
      </c>
      <c r="F76">
        <v>2745009329</v>
      </c>
      <c r="G76">
        <v>1.2524E-2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0.13079019073569559</v>
      </c>
      <c r="Q76">
        <f t="shared" ref="Q76" si="356">F76*P76</f>
        <v>359020293.71117377</v>
      </c>
      <c r="R76">
        <f t="shared" ref="R76" si="357">R77+Q76</f>
        <v>-34394022613.672508</v>
      </c>
      <c r="S76">
        <f t="shared" ref="S76" si="358">R76/100000</f>
        <v>-343940.2261367251</v>
      </c>
      <c r="T76">
        <f t="shared" ref="T76" si="359">S76/1000</f>
        <v>-343.94022613672513</v>
      </c>
    </row>
    <row r="77" spans="1:20" x14ac:dyDescent="0.25">
      <c r="A77" s="5">
        <v>44516</v>
      </c>
      <c r="B77">
        <v>1.3610000000000001E-2</v>
      </c>
      <c r="C77">
        <v>1.3615E-2</v>
      </c>
      <c r="D77">
        <v>1.15E-2</v>
      </c>
      <c r="E77">
        <v>1.2609E-2</v>
      </c>
      <c r="F77">
        <v>5737204289</v>
      </c>
      <c r="G77">
        <v>1.2609E-2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4.8699763593380914E-2</v>
      </c>
      <c r="Q77">
        <f t="shared" ref="Q77" si="361">F77*P77</f>
        <v>279400492.56123102</v>
      </c>
      <c r="R77">
        <f t="shared" ref="R77" si="362">R78+Q77</f>
        <v>-34753042907.383682</v>
      </c>
      <c r="S77">
        <f t="shared" ref="S77" si="363">R77/100000</f>
        <v>-347530.42907383683</v>
      </c>
      <c r="T77">
        <f t="shared" ref="T77" si="364">S77/1000</f>
        <v>-347.53042907383684</v>
      </c>
    </row>
    <row r="78" spans="1:20" x14ac:dyDescent="0.25">
      <c r="A78" s="5">
        <v>44515</v>
      </c>
      <c r="B78">
        <v>1.3367E-2</v>
      </c>
      <c r="C78">
        <v>1.469E-2</v>
      </c>
      <c r="D78">
        <v>1.3361E-2</v>
      </c>
      <c r="E78">
        <v>1.3618E-2</v>
      </c>
      <c r="F78">
        <v>5618515690</v>
      </c>
      <c r="G78">
        <v>1.3618E-2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-0.61324303987960838</v>
      </c>
      <c r="Q78">
        <f t="shared" ref="Q78" si="366">F78*P78</f>
        <v>-3445515641.3468752</v>
      </c>
      <c r="R78">
        <f t="shared" ref="R78" si="367">R79+Q78</f>
        <v>-35032443399.944916</v>
      </c>
      <c r="S78">
        <f t="shared" ref="S78" si="368">R78/100000</f>
        <v>-350324.43399944913</v>
      </c>
      <c r="T78">
        <f t="shared" ref="T78" si="369">S78/1000</f>
        <v>-350.32443399944913</v>
      </c>
    </row>
    <row r="79" spans="1:20" x14ac:dyDescent="0.25">
      <c r="A79" s="5">
        <v>44514</v>
      </c>
      <c r="B79">
        <v>1.3462E-2</v>
      </c>
      <c r="C79">
        <v>1.3816E-2</v>
      </c>
      <c r="D79">
        <v>1.2834999999999999E-2</v>
      </c>
      <c r="E79">
        <v>1.337E-2</v>
      </c>
      <c r="F79">
        <v>3209506873</v>
      </c>
      <c r="G79">
        <v>1.337E-2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9.0723751274210451E-2</v>
      </c>
      <c r="Q79">
        <f t="shared" ref="Q79" si="371">F79*P79</f>
        <v>291178503.25892097</v>
      </c>
      <c r="R79">
        <f t="shared" ref="R79" si="372">R80+Q79</f>
        <v>-31586927758.598042</v>
      </c>
      <c r="S79">
        <f t="shared" ref="S79" si="373">R79/100000</f>
        <v>-315869.27758598042</v>
      </c>
      <c r="T79">
        <f t="shared" ref="T79" si="374">S79/1000</f>
        <v>-315.8692775859804</v>
      </c>
    </row>
    <row r="80" spans="1:20" x14ac:dyDescent="0.25">
      <c r="A80" s="5">
        <v>44513</v>
      </c>
      <c r="B80">
        <v>1.3453E-2</v>
      </c>
      <c r="C80">
        <v>1.3867000000000001E-2</v>
      </c>
      <c r="D80">
        <v>1.325E-2</v>
      </c>
      <c r="E80">
        <v>1.3462E-2</v>
      </c>
      <c r="F80">
        <v>2679198470</v>
      </c>
      <c r="G80">
        <v>1.3462E-2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-0.31280388978930318</v>
      </c>
      <c r="Q80">
        <f t="shared" ref="Q80" si="376">F80*P80</f>
        <v>-838063702.93354976</v>
      </c>
      <c r="R80">
        <f t="shared" ref="R80" si="377">R81+Q80</f>
        <v>-31878106261.856964</v>
      </c>
      <c r="S80">
        <f t="shared" ref="S80" si="378">R80/100000</f>
        <v>-318781.06261856965</v>
      </c>
      <c r="T80">
        <f t="shared" ref="T80" si="379">S80/1000</f>
        <v>-318.78106261856965</v>
      </c>
    </row>
    <row r="81" spans="1:20" x14ac:dyDescent="0.25">
      <c r="A81" s="5">
        <v>44512</v>
      </c>
      <c r="B81">
        <v>1.3884000000000001E-2</v>
      </c>
      <c r="C81">
        <v>1.4080000000000001E-2</v>
      </c>
      <c r="D81">
        <v>1.2812E-2</v>
      </c>
      <c r="E81">
        <v>1.3453E-2</v>
      </c>
      <c r="F81">
        <v>4017018132</v>
      </c>
      <c r="G81">
        <v>1.3453E-2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1.1041009463721127E-2</v>
      </c>
      <c r="Q81">
        <f t="shared" ref="Q81" si="381">F81*P81</f>
        <v>44351935.211351365</v>
      </c>
      <c r="R81">
        <f t="shared" ref="R81" si="382">R82+Q81</f>
        <v>-31040042558.923416</v>
      </c>
      <c r="S81">
        <f t="shared" ref="S81" si="383">R81/100000</f>
        <v>-310400.42558923416</v>
      </c>
      <c r="T81">
        <f t="shared" ref="T81" si="384">S81/1000</f>
        <v>-310.40042558923415</v>
      </c>
    </row>
    <row r="82" spans="1:20" x14ac:dyDescent="0.25">
      <c r="A82" s="5">
        <v>44511</v>
      </c>
      <c r="B82">
        <v>1.3710999999999999E-2</v>
      </c>
      <c r="C82">
        <v>1.452E-2</v>
      </c>
      <c r="D82">
        <v>1.3379E-2</v>
      </c>
      <c r="E82">
        <v>1.3885E-2</v>
      </c>
      <c r="F82">
        <v>4778885629</v>
      </c>
      <c r="G82">
        <v>1.3885E-2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-0.11305872042068421</v>
      </c>
      <c r="Q82">
        <f t="shared" ref="Q82" si="386">F82*P82</f>
        <v>-540294694.25153661</v>
      </c>
      <c r="R82">
        <f t="shared" ref="R82" si="387">R83+Q82</f>
        <v>-31084394494.134766</v>
      </c>
      <c r="S82">
        <f t="shared" ref="S82" si="388">R82/100000</f>
        <v>-310843.94494134764</v>
      </c>
      <c r="T82">
        <f t="shared" ref="T82" si="389">S82/1000</f>
        <v>-310.84394494134762</v>
      </c>
    </row>
    <row r="83" spans="1:20" x14ac:dyDescent="0.25">
      <c r="A83" s="5">
        <v>44510</v>
      </c>
      <c r="B83">
        <v>1.4897000000000001E-2</v>
      </c>
      <c r="C83">
        <v>1.5650000000000001E-2</v>
      </c>
      <c r="D83">
        <v>1.2127000000000001E-2</v>
      </c>
      <c r="E83">
        <v>1.3712E-2</v>
      </c>
      <c r="F83">
        <v>9982253506</v>
      </c>
      <c r="G83">
        <v>1.3712E-2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-0.1001986942946355</v>
      </c>
      <c r="Q83">
        <f t="shared" ref="Q83" si="391">F83*P83</f>
        <v>-1000208767.4192474</v>
      </c>
      <c r="R83">
        <f t="shared" ref="R83" si="392">R84+Q83</f>
        <v>-30544099799.883228</v>
      </c>
      <c r="S83">
        <f t="shared" ref="S83" si="393">R83/100000</f>
        <v>-305440.99799883226</v>
      </c>
      <c r="T83">
        <f t="shared" ref="T83" si="394">S83/1000</f>
        <v>-305.44099799883224</v>
      </c>
    </row>
    <row r="84" spans="1:20" x14ac:dyDescent="0.25">
      <c r="A84" s="5">
        <v>44509</v>
      </c>
      <c r="B84">
        <v>1.4773E-2</v>
      </c>
      <c r="C84">
        <v>1.525E-2</v>
      </c>
      <c r="D84">
        <v>1.44E-2</v>
      </c>
      <c r="E84">
        <v>1.4898E-2</v>
      </c>
      <c r="F84">
        <v>3935709942</v>
      </c>
      <c r="G84">
        <v>1.4898E-2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0.17176470588235326</v>
      </c>
      <c r="Q84">
        <f t="shared" ref="Q84" si="396">F84*P84</f>
        <v>676016060.62588358</v>
      </c>
      <c r="R84">
        <f t="shared" ref="R84" si="397">R85+Q84</f>
        <v>-29543891032.463982</v>
      </c>
      <c r="S84">
        <f t="shared" ref="S84" si="398">R84/100000</f>
        <v>-295438.91032463982</v>
      </c>
      <c r="T84">
        <f t="shared" ref="T84" si="399">S84/1000</f>
        <v>-295.43891032463983</v>
      </c>
    </row>
    <row r="85" spans="1:20" x14ac:dyDescent="0.25">
      <c r="A85" s="5">
        <v>44508</v>
      </c>
      <c r="B85">
        <v>1.4808E-2</v>
      </c>
      <c r="C85">
        <v>1.5348000000000001E-2</v>
      </c>
      <c r="D85">
        <v>1.3877E-2</v>
      </c>
      <c r="E85">
        <v>1.4773E-2</v>
      </c>
      <c r="F85">
        <v>5143414549</v>
      </c>
      <c r="G85">
        <v>1.4773E-2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0.21821889870836053</v>
      </c>
      <c r="Q85">
        <f t="shared" ref="Q85" si="401">F85*P85</f>
        <v>1122390258.4833388</v>
      </c>
      <c r="R85">
        <f t="shared" ref="R85" si="402">R86+Q85</f>
        <v>-30219907093.089867</v>
      </c>
      <c r="S85">
        <f t="shared" ref="S85" si="403">R85/100000</f>
        <v>-302199.07093089866</v>
      </c>
      <c r="T85">
        <f t="shared" ref="T85" si="404">S85/1000</f>
        <v>-302.19907093089864</v>
      </c>
    </row>
    <row r="86" spans="1:20" x14ac:dyDescent="0.25">
      <c r="A86" s="5">
        <v>44507</v>
      </c>
      <c r="B86">
        <v>1.4734000000000001E-2</v>
      </c>
      <c r="C86">
        <v>1.5375E-2</v>
      </c>
      <c r="D86">
        <v>1.4442E-2</v>
      </c>
      <c r="E86">
        <v>1.4808E-2</v>
      </c>
      <c r="F86">
        <v>3044908554</v>
      </c>
      <c r="G86">
        <v>1.4808E-2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-0.21543408360128599</v>
      </c>
      <c r="Q86">
        <f t="shared" ref="Q86" si="406">F86*P86</f>
        <v>-655977083.98070681</v>
      </c>
      <c r="R86">
        <f t="shared" ref="R86" si="407">R87+Q86</f>
        <v>-31342297351.573204</v>
      </c>
      <c r="S86">
        <f t="shared" ref="S86" si="408">R86/100000</f>
        <v>-313422.97351573204</v>
      </c>
      <c r="T86">
        <f t="shared" ref="T86" si="409">S86/1000</f>
        <v>-313.42297351573205</v>
      </c>
    </row>
    <row r="87" spans="1:20" x14ac:dyDescent="0.25">
      <c r="A87" s="5">
        <v>44506</v>
      </c>
      <c r="B87">
        <v>1.4149E-2</v>
      </c>
      <c r="C87">
        <v>1.541E-2</v>
      </c>
      <c r="D87">
        <v>1.3511E-2</v>
      </c>
      <c r="E87">
        <v>1.4733E-2</v>
      </c>
      <c r="F87">
        <v>5480075155</v>
      </c>
      <c r="G87">
        <v>1.4733E-2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0.28699315429173183</v>
      </c>
      <c r="Q87">
        <f t="shared" ref="Q87" si="411">F87*P87</f>
        <v>1572744054.4892013</v>
      </c>
      <c r="R87">
        <f t="shared" ref="R87" si="412">R88+Q87</f>
        <v>-30686320267.592499</v>
      </c>
      <c r="S87">
        <f t="shared" ref="S87" si="413">R87/100000</f>
        <v>-306863.20267592499</v>
      </c>
      <c r="T87">
        <f t="shared" ref="T87" si="414">S87/1000</f>
        <v>-306.86320267592498</v>
      </c>
    </row>
    <row r="88" spans="1:20" x14ac:dyDescent="0.25">
      <c r="A88" s="5">
        <v>44505</v>
      </c>
      <c r="B88">
        <v>1.4877E-2</v>
      </c>
      <c r="C88">
        <v>1.5685000000000001E-2</v>
      </c>
      <c r="D88">
        <v>1.3808000000000001E-2</v>
      </c>
      <c r="E88">
        <v>1.4149E-2</v>
      </c>
      <c r="F88">
        <v>5615937604</v>
      </c>
      <c r="G88">
        <v>1.4149E-2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-0.63665423548215316</v>
      </c>
      <c r="Q88">
        <f t="shared" ref="Q88" si="416">F88*P88</f>
        <v>-3575410461.7900949</v>
      </c>
      <c r="R88">
        <f t="shared" ref="R88" si="417">R89+Q88</f>
        <v>-32259064322.081699</v>
      </c>
      <c r="S88">
        <f t="shared" ref="S88" si="418">R88/100000</f>
        <v>-322590.64322081697</v>
      </c>
      <c r="T88">
        <f t="shared" ref="T88" si="419">S88/1000</f>
        <v>-322.59064322081696</v>
      </c>
    </row>
    <row r="89" spans="1:20" x14ac:dyDescent="0.25">
      <c r="A89" s="5">
        <v>44504</v>
      </c>
      <c r="B89">
        <v>1.5726E-2</v>
      </c>
      <c r="C89">
        <v>1.6899999999999998E-2</v>
      </c>
      <c r="D89">
        <v>1.4241E-2</v>
      </c>
      <c r="E89">
        <v>1.4876E-2</v>
      </c>
      <c r="F89">
        <v>13939576633</v>
      </c>
      <c r="G89">
        <v>1.4876E-2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-0.52237683339601315</v>
      </c>
      <c r="Q89">
        <f t="shared" ref="Q89" si="421">F89*P89</f>
        <v>-7281711900.427599</v>
      </c>
      <c r="R89">
        <f t="shared" ref="R89" si="422">R90+Q89</f>
        <v>-28683653860.291603</v>
      </c>
      <c r="S89">
        <f t="shared" ref="S89" si="423">R89/100000</f>
        <v>-286836.53860291606</v>
      </c>
      <c r="T89">
        <f t="shared" ref="T89" si="424">S89/1000</f>
        <v>-286.83653860291605</v>
      </c>
    </row>
    <row r="90" spans="1:20" x14ac:dyDescent="0.25">
      <c r="A90" s="5">
        <v>44503</v>
      </c>
      <c r="B90">
        <v>1.3898000000000001E-2</v>
      </c>
      <c r="C90">
        <v>1.66E-2</v>
      </c>
      <c r="D90">
        <v>1.2751E-2</v>
      </c>
      <c r="E90">
        <v>1.5722E-2</v>
      </c>
      <c r="F90">
        <v>16759379108</v>
      </c>
      <c r="G90">
        <v>1.5722E-2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0.54377760457261615</v>
      </c>
      <c r="Q90">
        <f t="shared" ref="Q90" si="426">F90*P90</f>
        <v>9113375025.4725876</v>
      </c>
      <c r="R90">
        <f t="shared" ref="R90" si="427">R91+Q90</f>
        <v>-21401941959.864006</v>
      </c>
      <c r="S90">
        <f t="shared" ref="S90" si="428">R90/100000</f>
        <v>-214019.41959864006</v>
      </c>
      <c r="T90">
        <f t="shared" ref="T90" si="429">S90/1000</f>
        <v>-214.01941959864007</v>
      </c>
    </row>
    <row r="91" spans="1:20" x14ac:dyDescent="0.25">
      <c r="A91" s="5">
        <v>44502</v>
      </c>
      <c r="B91">
        <v>1.3084E-2</v>
      </c>
      <c r="C91">
        <v>1.4789999999999999E-2</v>
      </c>
      <c r="D91">
        <v>1.29E-2</v>
      </c>
      <c r="E91">
        <v>1.3897E-2</v>
      </c>
      <c r="F91">
        <v>11695969601</v>
      </c>
      <c r="G91">
        <v>1.3897E-2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5.5026455026455007E-2</v>
      </c>
      <c r="Q91">
        <f t="shared" ref="Q91" si="431">F91*P91</f>
        <v>643587745.24021137</v>
      </c>
      <c r="R91">
        <f t="shared" ref="R91" si="432">R92+Q91</f>
        <v>-30515316985.336594</v>
      </c>
      <c r="S91">
        <f t="shared" ref="S91" si="433">R91/100000</f>
        <v>-305153.16985336592</v>
      </c>
      <c r="T91">
        <f t="shared" ref="T91" si="434">S91/1000</f>
        <v>-305.15316985336591</v>
      </c>
    </row>
    <row r="92" spans="1:20" x14ac:dyDescent="0.25">
      <c r="A92" s="5">
        <v>44501</v>
      </c>
      <c r="B92">
        <v>1.4002000000000001E-2</v>
      </c>
      <c r="C92">
        <v>1.4845000000000001E-2</v>
      </c>
      <c r="D92">
        <v>1.2392E-2</v>
      </c>
      <c r="E92">
        <v>1.3082E-2</v>
      </c>
      <c r="F92">
        <v>16544964029</v>
      </c>
      <c r="G92">
        <v>1.3082E-2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-0.43742356298410145</v>
      </c>
      <c r="Q92">
        <f t="shared" ref="Q92" si="436">F92*P92</f>
        <v>-7237157115.0089741</v>
      </c>
      <c r="R92">
        <f t="shared" ref="R92" si="437">R93+Q92</f>
        <v>-31158904730.576805</v>
      </c>
      <c r="S92">
        <f t="shared" ref="S92" si="438">R92/100000</f>
        <v>-311589.04730576806</v>
      </c>
      <c r="T92">
        <f t="shared" ref="T92" si="439">S92/1000</f>
        <v>-311.58904730576808</v>
      </c>
    </row>
    <row r="93" spans="1:20" x14ac:dyDescent="0.25">
      <c r="A93" s="5">
        <v>44500</v>
      </c>
      <c r="B93">
        <v>1.0579E-2</v>
      </c>
      <c r="C93">
        <v>1.5678000000000001E-2</v>
      </c>
      <c r="D93">
        <v>1.031E-2</v>
      </c>
      <c r="E93">
        <v>1.4002000000000001E-2</v>
      </c>
      <c r="F93">
        <v>37865048361</v>
      </c>
      <c r="G93">
        <v>1.4002000000000001E-2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0.37555886736214605</v>
      </c>
      <c r="Q93">
        <f t="shared" ref="Q93" si="441">F93*P93</f>
        <v>14220554675.070045</v>
      </c>
      <c r="R93">
        <f t="shared" ref="R93" si="442">R94+Q93</f>
        <v>-23921747615.567833</v>
      </c>
      <c r="S93">
        <f t="shared" ref="S93" si="443">R93/100000</f>
        <v>-239217.47615567833</v>
      </c>
      <c r="T93">
        <f t="shared" ref="T93" si="444">S93/1000</f>
        <v>-239.21747615567833</v>
      </c>
    </row>
    <row r="94" spans="1:20" x14ac:dyDescent="0.25">
      <c r="A94" s="5">
        <v>44499</v>
      </c>
      <c r="B94">
        <v>1.0817999999999999E-2</v>
      </c>
      <c r="C94">
        <v>1.1475000000000001E-2</v>
      </c>
      <c r="D94">
        <v>1.0211E-2</v>
      </c>
      <c r="E94">
        <v>1.0581E-2</v>
      </c>
      <c r="F94">
        <v>8632472818</v>
      </c>
      <c r="G94">
        <v>1.0581E-2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-0.41455696202531617</v>
      </c>
      <c r="Q94">
        <f t="shared" ref="Q94" si="446">F94*P94</f>
        <v>-3578651706.1961999</v>
      </c>
      <c r="R94">
        <f t="shared" ref="R94" si="447">R95+Q94</f>
        <v>-38142302290.637878</v>
      </c>
      <c r="S94">
        <f t="shared" ref="S94" si="448">R94/100000</f>
        <v>-381423.02290637878</v>
      </c>
      <c r="T94">
        <f t="shared" ref="T94" si="449">S94/1000</f>
        <v>-381.42302290637878</v>
      </c>
    </row>
    <row r="95" spans="1:20" x14ac:dyDescent="0.25">
      <c r="A95" s="5">
        <v>44498</v>
      </c>
      <c r="B95">
        <v>1.0234999999999999E-2</v>
      </c>
      <c r="C95">
        <v>1.0970000000000001E-2</v>
      </c>
      <c r="D95">
        <v>1.0186000000000001E-2</v>
      </c>
      <c r="E95">
        <v>1.0822E-2</v>
      </c>
      <c r="F95">
        <v>7136468954</v>
      </c>
      <c r="G95">
        <v>1.0822E-2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0.62244897959183532</v>
      </c>
      <c r="Q95">
        <f t="shared" ref="Q95" si="451">F95*P95</f>
        <v>4442087818.3061123</v>
      </c>
      <c r="R95">
        <f t="shared" ref="R95" si="452">R96+Q95</f>
        <v>-34563650584.441681</v>
      </c>
      <c r="S95">
        <f t="shared" ref="S95" si="453">R95/100000</f>
        <v>-345636.5058444168</v>
      </c>
      <c r="T95">
        <f t="shared" ref="T95" si="454">S95/1000</f>
        <v>-345.63650584441677</v>
      </c>
    </row>
    <row r="96" spans="1:20" x14ac:dyDescent="0.25">
      <c r="A96" s="5">
        <v>44497</v>
      </c>
      <c r="B96">
        <v>1.0303E-2</v>
      </c>
      <c r="C96">
        <v>1.1084999999999999E-2</v>
      </c>
      <c r="D96">
        <v>9.9500000000000005E-3</v>
      </c>
      <c r="E96">
        <v>1.0241E-2</v>
      </c>
      <c r="F96">
        <v>9847092697</v>
      </c>
      <c r="G96">
        <v>1.0241E-2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-0.48722466960352445</v>
      </c>
      <c r="Q96">
        <f t="shared" ref="Q96" si="456">F96*P96</f>
        <v>-4797746485.8511038</v>
      </c>
      <c r="R96">
        <f t="shared" ref="R96" si="457">R97+Q96</f>
        <v>-39005738402.747795</v>
      </c>
      <c r="S96">
        <f t="shared" ref="S96" si="458">R96/100000</f>
        <v>-390057.38402747794</v>
      </c>
      <c r="T96">
        <f t="shared" ref="T96" si="459">S96/1000</f>
        <v>-390.05738402747795</v>
      </c>
    </row>
    <row r="97" spans="1:20" x14ac:dyDescent="0.25">
      <c r="A97" s="5">
        <v>44496</v>
      </c>
      <c r="B97">
        <v>1.1483E-2</v>
      </c>
      <c r="C97">
        <v>1.2075000000000001E-2</v>
      </c>
      <c r="D97">
        <v>9.2230000000000003E-3</v>
      </c>
      <c r="E97">
        <v>1.0298E-2</v>
      </c>
      <c r="F97">
        <v>19095134701</v>
      </c>
      <c r="G97">
        <v>1.0298E-2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-0.24614305750350671</v>
      </c>
      <c r="Q97">
        <f t="shared" ref="Q97" si="461">F97*P97</f>
        <v>-4700134838.7454491</v>
      </c>
      <c r="R97">
        <f t="shared" ref="R97" si="462">R98+Q97</f>
        <v>-34207991916.896694</v>
      </c>
      <c r="S97">
        <f t="shared" ref="S97" si="463">R97/100000</f>
        <v>-342079.91916896694</v>
      </c>
      <c r="T97">
        <f t="shared" ref="T97" si="464">S97/1000</f>
        <v>-342.07991916896697</v>
      </c>
    </row>
    <row r="98" spans="1:20" x14ac:dyDescent="0.25">
      <c r="A98" s="5">
        <v>44495</v>
      </c>
      <c r="B98">
        <v>9.6190000000000008E-3</v>
      </c>
      <c r="C98">
        <v>1.1853000000000001E-2</v>
      </c>
      <c r="D98">
        <v>9.5969999999999996E-3</v>
      </c>
      <c r="E98">
        <v>1.1476E-2</v>
      </c>
      <c r="F98">
        <v>16872538902</v>
      </c>
      <c r="G98">
        <v>1.1476E-2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0.66578014184397127</v>
      </c>
      <c r="Q98">
        <f t="shared" ref="Q98" si="466">F98*P98</f>
        <v>11233401343.441483</v>
      </c>
      <c r="R98">
        <f t="shared" ref="R98" si="467">R99+Q98</f>
        <v>-29507857078.151245</v>
      </c>
      <c r="S98">
        <f t="shared" ref="S98" si="468">R98/100000</f>
        <v>-295078.57078151248</v>
      </c>
      <c r="T98">
        <f t="shared" ref="T98" si="469">S98/1000</f>
        <v>-295.0785707815125</v>
      </c>
    </row>
    <row r="99" spans="1:20" x14ac:dyDescent="0.25">
      <c r="A99" s="5">
        <v>44494</v>
      </c>
      <c r="B99">
        <v>9.2759999999999995E-3</v>
      </c>
      <c r="C99">
        <v>9.9000000000000008E-3</v>
      </c>
      <c r="D99">
        <v>9.2409999999999992E-3</v>
      </c>
      <c r="E99">
        <v>9.6200000000000001E-3</v>
      </c>
      <c r="F99">
        <v>3421651053</v>
      </c>
      <c r="G99">
        <v>9.6200000000000001E-3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0.15022761760242775</v>
      </c>
      <c r="Q99">
        <f t="shared" ref="Q99" si="471">F99*P99</f>
        <v>514026485.95902824</v>
      </c>
      <c r="R99">
        <f t="shared" ref="R99" si="472">R100+Q99</f>
        <v>-40741258421.592728</v>
      </c>
      <c r="S99">
        <f t="shared" ref="S99" si="473">R99/100000</f>
        <v>-407412.58421592729</v>
      </c>
      <c r="T99">
        <f t="shared" ref="T99" si="474">S99/1000</f>
        <v>-407.41258421592727</v>
      </c>
    </row>
    <row r="100" spans="1:20" x14ac:dyDescent="0.25">
      <c r="A100" s="5">
        <v>44493</v>
      </c>
      <c r="B100">
        <v>9.5930000000000008E-3</v>
      </c>
      <c r="C100">
        <v>9.6120000000000008E-3</v>
      </c>
      <c r="D100">
        <v>9.0869999999999996E-3</v>
      </c>
      <c r="E100">
        <v>9.2750000000000003E-3</v>
      </c>
      <c r="F100">
        <v>2800990699</v>
      </c>
      <c r="G100">
        <v>9.2750000000000003E-3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-0.28380952380952285</v>
      </c>
      <c r="Q100">
        <f t="shared" ref="Q100" si="476">F100*P100</f>
        <v>-794947836.47809255</v>
      </c>
      <c r="R100">
        <f t="shared" ref="R100" si="477">R101+Q100</f>
        <v>-41255284907.551758</v>
      </c>
      <c r="S100">
        <f t="shared" ref="S100" si="478">R100/100000</f>
        <v>-412552.84907551756</v>
      </c>
      <c r="T100">
        <f t="shared" ref="T100" si="479">S100/1000</f>
        <v>-412.55284907551754</v>
      </c>
    </row>
    <row r="101" spans="1:20" x14ac:dyDescent="0.25">
      <c r="A101" s="5">
        <v>44492</v>
      </c>
      <c r="B101">
        <v>9.6229999999999996E-3</v>
      </c>
      <c r="C101">
        <v>9.7389999999999994E-3</v>
      </c>
      <c r="D101">
        <v>9.4629999999999992E-3</v>
      </c>
      <c r="E101">
        <v>9.5960000000000004E-3</v>
      </c>
      <c r="F101">
        <v>1800427310</v>
      </c>
      <c r="G101">
        <v>9.5960000000000004E-3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-3.6231884057963223E-2</v>
      </c>
      <c r="Q101">
        <f t="shared" ref="Q101" si="481">F101*P101</f>
        <v>-65232873.550710611</v>
      </c>
      <c r="R101">
        <f t="shared" ref="R101" si="482">R102+Q101</f>
        <v>-40460337071.073662</v>
      </c>
      <c r="S101">
        <f t="shared" ref="S101" si="483">R101/100000</f>
        <v>-404603.37071073661</v>
      </c>
      <c r="T101">
        <f t="shared" ref="T101" si="484">S101/1000</f>
        <v>-404.60337071073661</v>
      </c>
    </row>
    <row r="102" spans="1:20" x14ac:dyDescent="0.25">
      <c r="A102" s="5">
        <v>44491</v>
      </c>
      <c r="B102">
        <v>9.5510000000000005E-3</v>
      </c>
      <c r="C102">
        <v>1.0090999999999999E-2</v>
      </c>
      <c r="D102">
        <v>9.4000000000000004E-3</v>
      </c>
      <c r="E102">
        <v>9.6229999999999996E-3</v>
      </c>
      <c r="F102">
        <v>3227730914</v>
      </c>
      <c r="G102">
        <v>9.6229999999999996E-3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-0.35455861070911837</v>
      </c>
      <c r="Q102">
        <f t="shared" ref="Q102" si="486">F102*P102</f>
        <v>-1144419788.6107128</v>
      </c>
      <c r="R102">
        <f t="shared" ref="R102" si="487">R103+Q102</f>
        <v>-40395104197.522949</v>
      </c>
      <c r="S102">
        <f t="shared" ref="S102" si="488">R102/100000</f>
        <v>-403951.04197522951</v>
      </c>
      <c r="T102">
        <f t="shared" ref="T102" si="489">S102/1000</f>
        <v>-403.95104197522949</v>
      </c>
    </row>
    <row r="103" spans="1:20" x14ac:dyDescent="0.25">
      <c r="A103" s="5">
        <v>44490</v>
      </c>
      <c r="B103">
        <v>9.7370000000000009E-3</v>
      </c>
      <c r="C103">
        <v>1.0283E-2</v>
      </c>
      <c r="D103">
        <v>9.3589999999999993E-3</v>
      </c>
      <c r="E103">
        <v>9.5549999999999993E-3</v>
      </c>
      <c r="F103">
        <v>4454911435</v>
      </c>
      <c r="G103">
        <v>9.5549999999999993E-3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-0.57575757575757636</v>
      </c>
      <c r="Q103">
        <f t="shared" ref="Q103" si="491">F103*P103</f>
        <v>-2564949008.0303059</v>
      </c>
      <c r="R103">
        <f t="shared" ref="R103" si="492">R104+Q103</f>
        <v>-39250684408.912239</v>
      </c>
      <c r="S103">
        <f t="shared" ref="S103" si="493">R103/100000</f>
        <v>-392506.84408912237</v>
      </c>
      <c r="T103">
        <f t="shared" ref="T103" si="494">S103/1000</f>
        <v>-392.50684408912235</v>
      </c>
    </row>
    <row r="104" spans="1:20" x14ac:dyDescent="0.25">
      <c r="A104" s="5">
        <v>44489</v>
      </c>
      <c r="B104">
        <v>9.1649999999999995E-3</v>
      </c>
      <c r="C104">
        <v>9.9000000000000008E-3</v>
      </c>
      <c r="D104">
        <v>9.0930000000000004E-3</v>
      </c>
      <c r="E104">
        <v>9.7339999999999996E-3</v>
      </c>
      <c r="F104">
        <v>3619136707</v>
      </c>
      <c r="G104">
        <v>9.7339999999999996E-3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0.58859975216852256</v>
      </c>
      <c r="Q104">
        <f t="shared" ref="Q104" si="496">F104*P104</f>
        <v>2130222968.8042028</v>
      </c>
      <c r="R104">
        <f t="shared" ref="R104" si="497">R105+Q104</f>
        <v>-36685735400.881935</v>
      </c>
      <c r="S104">
        <f t="shared" ref="S104" si="498">R104/100000</f>
        <v>-366857.35400881933</v>
      </c>
      <c r="T104">
        <f t="shared" ref="T104" si="499">S104/1000</f>
        <v>-366.8573540088193</v>
      </c>
    </row>
    <row r="105" spans="1:20" x14ac:dyDescent="0.25">
      <c r="A105" s="5">
        <v>44488</v>
      </c>
      <c r="B105">
        <v>9.2110000000000004E-3</v>
      </c>
      <c r="C105">
        <v>9.3299999999999998E-3</v>
      </c>
      <c r="D105">
        <v>9.077E-3</v>
      </c>
      <c r="E105">
        <v>9.1660000000000005E-3</v>
      </c>
      <c r="F105">
        <v>2137476759</v>
      </c>
      <c r="G105">
        <v>9.1660000000000005E-3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-0.29644268774703064</v>
      </c>
      <c r="Q105">
        <f t="shared" ref="Q105" si="501">F105*P105</f>
        <v>-633639355.43477201</v>
      </c>
      <c r="R105">
        <f t="shared" ref="R105" si="502">R106+Q105</f>
        <v>-38815958369.686134</v>
      </c>
      <c r="S105">
        <f t="shared" ref="S105" si="503">R105/100000</f>
        <v>-388159.58369686134</v>
      </c>
      <c r="T105">
        <f t="shared" ref="T105" si="504">S105/1000</f>
        <v>-388.15958369686132</v>
      </c>
    </row>
    <row r="106" spans="1:20" x14ac:dyDescent="0.25">
      <c r="A106" s="5">
        <v>44487</v>
      </c>
      <c r="B106">
        <v>9.3279999999999995E-3</v>
      </c>
      <c r="C106">
        <v>9.5759999999999994E-3</v>
      </c>
      <c r="D106">
        <v>9.0600000000000003E-3</v>
      </c>
      <c r="E106">
        <v>9.2149999999999992E-3</v>
      </c>
      <c r="F106">
        <v>3919039607</v>
      </c>
      <c r="G106">
        <v>9.2149999999999992E-3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-0.39922480620155365</v>
      </c>
      <c r="Q106">
        <f t="shared" ref="Q106" si="506">F106*P106</f>
        <v>-1564577827.6007879</v>
      </c>
      <c r="R106">
        <f t="shared" ref="R106" si="507">R107+Q106</f>
        <v>-38182319014.251366</v>
      </c>
      <c r="S106">
        <f t="shared" ref="S106" si="508">R106/100000</f>
        <v>-381823.19014251366</v>
      </c>
      <c r="T106">
        <f t="shared" ref="T106" si="509">S106/1000</f>
        <v>-381.82319014251368</v>
      </c>
    </row>
    <row r="107" spans="1:20" x14ac:dyDescent="0.25">
      <c r="A107" s="5">
        <v>44486</v>
      </c>
      <c r="B107">
        <v>9.2919999999999999E-3</v>
      </c>
      <c r="C107">
        <v>9.9179999999999997E-3</v>
      </c>
      <c r="D107">
        <v>9.0360000000000006E-3</v>
      </c>
      <c r="E107">
        <v>9.3259999999999992E-3</v>
      </c>
      <c r="F107">
        <v>6856867237</v>
      </c>
      <c r="G107">
        <v>9.3259999999999992E-3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-0.34240362811791636</v>
      </c>
      <c r="Q107">
        <f t="shared" ref="Q107" si="511">F107*P107</f>
        <v>-2347816219.4716725</v>
      </c>
      <c r="R107">
        <f t="shared" ref="R107" si="512">R108+Q107</f>
        <v>-36617741186.650581</v>
      </c>
      <c r="S107">
        <f t="shared" ref="S107" si="513">R107/100000</f>
        <v>-366177.4118665058</v>
      </c>
      <c r="T107">
        <f t="shared" ref="T107" si="514">S107/1000</f>
        <v>-366.17741186650579</v>
      </c>
    </row>
    <row r="108" spans="1:20" x14ac:dyDescent="0.25">
      <c r="A108" s="5">
        <v>44485</v>
      </c>
      <c r="B108">
        <v>9.1629999999999993E-3</v>
      </c>
      <c r="C108">
        <v>9.6299999999999997E-3</v>
      </c>
      <c r="D108">
        <v>9.0659999999999994E-3</v>
      </c>
      <c r="E108">
        <v>9.2919999999999999E-3</v>
      </c>
      <c r="F108">
        <v>3390623006</v>
      </c>
      <c r="G108">
        <v>9.2919999999999999E-3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-0.19858156028368654</v>
      </c>
      <c r="Q108">
        <f t="shared" ref="Q108" si="516">F108*P108</f>
        <v>-673315206.86524343</v>
      </c>
      <c r="R108">
        <f t="shared" ref="R108" si="517">R109+Q108</f>
        <v>-34269924967.178909</v>
      </c>
      <c r="S108">
        <f t="shared" ref="S108" si="518">R108/100000</f>
        <v>-342699.24967178912</v>
      </c>
      <c r="T108">
        <f t="shared" ref="T108" si="519">S108/1000</f>
        <v>-342.69924967178912</v>
      </c>
    </row>
    <row r="109" spans="1:20" x14ac:dyDescent="0.25">
      <c r="A109" s="5">
        <v>44484</v>
      </c>
      <c r="B109">
        <v>9.1990000000000006E-3</v>
      </c>
      <c r="C109">
        <v>9.384E-3</v>
      </c>
      <c r="D109">
        <v>8.8999999999999999E-3</v>
      </c>
      <c r="E109">
        <v>9.1629999999999993E-3</v>
      </c>
      <c r="F109">
        <v>3648419804</v>
      </c>
      <c r="G109">
        <v>9.1629999999999993E-3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8.6776859504129403E-2</v>
      </c>
      <c r="Q109">
        <f t="shared" ref="Q109" si="521">F109*P109</f>
        <v>316598412.74379134</v>
      </c>
      <c r="R109">
        <f t="shared" ref="R109" si="522">R110+Q109</f>
        <v>-33596609760.313667</v>
      </c>
      <c r="S109">
        <f t="shared" ref="S109" si="523">R109/100000</f>
        <v>-335966.09760313667</v>
      </c>
      <c r="T109">
        <f t="shared" ref="T109" si="524">S109/1000</f>
        <v>-335.96609760313669</v>
      </c>
    </row>
    <row r="110" spans="1:20" x14ac:dyDescent="0.25">
      <c r="A110" s="5">
        <v>44483</v>
      </c>
      <c r="B110">
        <v>9.2270000000000008E-3</v>
      </c>
      <c r="C110">
        <v>9.6740000000000003E-3</v>
      </c>
      <c r="D110">
        <v>9.1310000000000002E-3</v>
      </c>
      <c r="E110">
        <v>9.2040000000000004E-3</v>
      </c>
      <c r="F110">
        <v>2655677429</v>
      </c>
      <c r="G110">
        <v>9.2040000000000004E-3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-0.73112338858195158</v>
      </c>
      <c r="Q110">
        <f t="shared" ref="Q110" si="526">F110*P110</f>
        <v>-1941627880.8710852</v>
      </c>
      <c r="R110">
        <f t="shared" ref="R110" si="527">R111+Q110</f>
        <v>-33913208173.057457</v>
      </c>
      <c r="S110">
        <f t="shared" ref="S110" si="528">R110/100000</f>
        <v>-339132.08173057454</v>
      </c>
      <c r="T110">
        <f t="shared" ref="T110" si="529">S110/1000</f>
        <v>-339.13208173057455</v>
      </c>
    </row>
    <row r="111" spans="1:20" x14ac:dyDescent="0.25">
      <c r="A111" s="5">
        <v>44482</v>
      </c>
      <c r="B111">
        <v>9.1140000000000006E-3</v>
      </c>
      <c r="C111">
        <v>9.3939999999999996E-3</v>
      </c>
      <c r="D111">
        <v>8.8070000000000006E-3</v>
      </c>
      <c r="E111">
        <v>9.2239999999999996E-3</v>
      </c>
      <c r="F111">
        <v>2693725343</v>
      </c>
      <c r="G111">
        <v>9.2239999999999996E-3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0.42078364565587628</v>
      </c>
      <c r="Q111">
        <f t="shared" ref="Q111" si="531">F111*P111</f>
        <v>1133475570.2231658</v>
      </c>
      <c r="R111">
        <f t="shared" ref="R111" si="532">R112+Q111</f>
        <v>-31971580292.186371</v>
      </c>
      <c r="S111">
        <f t="shared" ref="S111" si="533">R111/100000</f>
        <v>-319715.80292186368</v>
      </c>
      <c r="T111">
        <f t="shared" ref="T111" si="534">S111/1000</f>
        <v>-319.71580292186366</v>
      </c>
    </row>
    <row r="112" spans="1:20" x14ac:dyDescent="0.25">
      <c r="A112" s="5">
        <v>44481</v>
      </c>
      <c r="B112">
        <v>9.2219999999999993E-3</v>
      </c>
      <c r="C112">
        <v>9.3480000000000004E-3</v>
      </c>
      <c r="D112">
        <v>8.5529999999999998E-3</v>
      </c>
      <c r="E112">
        <v>9.1199999999999996E-3</v>
      </c>
      <c r="F112">
        <v>2959341281</v>
      </c>
      <c r="G112">
        <v>9.1199999999999996E-3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0.4264150943396211</v>
      </c>
      <c r="Q112">
        <f t="shared" ref="Q112" si="536">F112*P112</f>
        <v>1261907791.5207503</v>
      </c>
      <c r="R112">
        <f t="shared" ref="R112" si="537">R113+Q112</f>
        <v>-33105055862.409538</v>
      </c>
      <c r="S112">
        <f t="shared" ref="S112" si="538">R112/100000</f>
        <v>-331050.5586240954</v>
      </c>
      <c r="T112">
        <f t="shared" ref="T112" si="539">S112/1000</f>
        <v>-331.0505586240954</v>
      </c>
    </row>
    <row r="113" spans="1:20" x14ac:dyDescent="0.25">
      <c r="A113" s="5">
        <v>44480</v>
      </c>
      <c r="B113">
        <v>9.1750000000000009E-3</v>
      </c>
      <c r="C113">
        <v>9.6799999999999994E-3</v>
      </c>
      <c r="D113">
        <v>8.9499999999999996E-3</v>
      </c>
      <c r="E113">
        <v>9.2219999999999993E-3</v>
      </c>
      <c r="F113">
        <v>2363868963</v>
      </c>
      <c r="G113">
        <v>9.2219999999999993E-3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-0.25479452054794582</v>
      </c>
      <c r="Q113">
        <f t="shared" ref="Q113" si="541">F113*P113</f>
        <v>-602300859.06575489</v>
      </c>
      <c r="R113">
        <f t="shared" ref="R113" si="542">R114+Q113</f>
        <v>-34366963653.93029</v>
      </c>
      <c r="S113">
        <f t="shared" ref="S113" si="543">R113/100000</f>
        <v>-343669.63653930288</v>
      </c>
      <c r="T113">
        <f t="shared" ref="T113" si="544">S113/1000</f>
        <v>-343.66963653930287</v>
      </c>
    </row>
    <row r="114" spans="1:20" x14ac:dyDescent="0.25">
      <c r="A114" s="5">
        <v>44479</v>
      </c>
      <c r="B114">
        <v>9.6919999999999992E-3</v>
      </c>
      <c r="C114">
        <v>9.8750000000000001E-3</v>
      </c>
      <c r="D114">
        <v>9.1229999999999992E-3</v>
      </c>
      <c r="E114">
        <v>9.1789999999999997E-3</v>
      </c>
      <c r="F114">
        <v>2215480572</v>
      </c>
      <c r="G114">
        <v>9.1789999999999997E-3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-0.85106382978723294</v>
      </c>
      <c r="Q114">
        <f t="shared" ref="Q114" si="546">F114*P114</f>
        <v>-1885515380.4255295</v>
      </c>
      <c r="R114">
        <f t="shared" ref="R114" si="547">R115+Q114</f>
        <v>-33764662794.864536</v>
      </c>
      <c r="S114">
        <f t="shared" ref="S114" si="548">R114/100000</f>
        <v>-337646.62794864539</v>
      </c>
      <c r="T114">
        <f t="shared" ref="T114" si="549">S114/1000</f>
        <v>-337.6466279486454</v>
      </c>
    </row>
    <row r="115" spans="1:20" x14ac:dyDescent="0.25">
      <c r="A115" s="5">
        <v>44478</v>
      </c>
      <c r="B115">
        <v>9.4299999999999991E-3</v>
      </c>
      <c r="C115">
        <v>1.0219000000000001E-2</v>
      </c>
      <c r="D115">
        <v>9.3109999999999998E-3</v>
      </c>
      <c r="E115">
        <v>9.6930000000000002E-3</v>
      </c>
      <c r="F115">
        <v>4074024635</v>
      </c>
      <c r="G115">
        <v>9.6930000000000002E-3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-0.15859030837004395</v>
      </c>
      <c r="Q115">
        <f t="shared" ref="Q115" si="551">F115*P115</f>
        <v>-646100823.17180574</v>
      </c>
      <c r="R115">
        <f t="shared" ref="R115" si="552">R116+Q115</f>
        <v>-31879147414.439007</v>
      </c>
      <c r="S115">
        <f t="shared" ref="S115" si="553">R115/100000</f>
        <v>-318791.47414439009</v>
      </c>
      <c r="T115">
        <f t="shared" ref="T115" si="554">S115/1000</f>
        <v>-318.79147414439007</v>
      </c>
    </row>
    <row r="116" spans="1:20" x14ac:dyDescent="0.25">
      <c r="A116" s="5">
        <v>44477</v>
      </c>
      <c r="B116">
        <v>9.4400000000000005E-3</v>
      </c>
      <c r="C116">
        <v>9.8219999999999991E-3</v>
      </c>
      <c r="D116">
        <v>9.3010000000000002E-3</v>
      </c>
      <c r="E116">
        <v>9.4280000000000006E-3</v>
      </c>
      <c r="F116">
        <v>2950024404</v>
      </c>
      <c r="G116">
        <v>9.4280000000000006E-3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-0.51247600767754076</v>
      </c>
      <c r="Q116">
        <f t="shared" ref="Q116" si="556">F116*P116</f>
        <v>-1511816729.1132367</v>
      </c>
      <c r="R116">
        <f t="shared" ref="R116" si="557">R117+Q116</f>
        <v>-31233046591.2672</v>
      </c>
      <c r="S116">
        <f t="shared" ref="S116" si="558">R116/100000</f>
        <v>-312330.46591267199</v>
      </c>
      <c r="T116">
        <f t="shared" ref="T116" si="559">S116/1000</f>
        <v>-312.33046591267197</v>
      </c>
    </row>
    <row r="117" spans="1:20" x14ac:dyDescent="0.25">
      <c r="A117" s="5">
        <v>44476</v>
      </c>
      <c r="B117">
        <v>9.6710000000000008E-3</v>
      </c>
      <c r="C117">
        <v>9.8499999999999994E-3</v>
      </c>
      <c r="D117">
        <v>9.3500000000000007E-3</v>
      </c>
      <c r="E117">
        <v>9.4400000000000005E-3</v>
      </c>
      <c r="F117">
        <v>3912560626</v>
      </c>
      <c r="G117">
        <v>9.4400000000000005E-3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-0.6399999999999999</v>
      </c>
      <c r="Q117">
        <f t="shared" ref="Q117" si="561">F117*P117</f>
        <v>-2504038800.6399994</v>
      </c>
      <c r="R117">
        <f t="shared" ref="R117" si="562">R118+Q117</f>
        <v>-29721229862.153965</v>
      </c>
      <c r="S117">
        <f t="shared" ref="S117" si="563">R117/100000</f>
        <v>-297212.29862153967</v>
      </c>
      <c r="T117">
        <f t="shared" ref="T117" si="564">S117/1000</f>
        <v>-297.21229862153967</v>
      </c>
    </row>
    <row r="118" spans="1:20" x14ac:dyDescent="0.25">
      <c r="A118" s="5">
        <v>44475</v>
      </c>
      <c r="B118">
        <v>9.8429999999999993E-3</v>
      </c>
      <c r="C118">
        <v>1.0182999999999999E-2</v>
      </c>
      <c r="D118">
        <v>9.1660000000000005E-3</v>
      </c>
      <c r="E118">
        <v>9.6679999999999995E-3</v>
      </c>
      <c r="F118">
        <v>6273521404</v>
      </c>
      <c r="G118">
        <v>9.6679999999999995E-3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-1.278269419862426E-2</v>
      </c>
      <c r="Q118">
        <f t="shared" ref="Q118" si="566">F118*P118</f>
        <v>-80192505.655855924</v>
      </c>
      <c r="R118">
        <f t="shared" ref="R118" si="567">R119+Q118</f>
        <v>-27217191061.513966</v>
      </c>
      <c r="S118">
        <f t="shared" ref="S118" si="568">R118/100000</f>
        <v>-272171.91061513964</v>
      </c>
      <c r="T118">
        <f t="shared" ref="T118" si="569">S118/1000</f>
        <v>-272.17191061513967</v>
      </c>
    </row>
    <row r="119" spans="1:20" x14ac:dyDescent="0.25">
      <c r="A119" s="5">
        <v>44474</v>
      </c>
      <c r="B119">
        <v>9.0930000000000004E-3</v>
      </c>
      <c r="C119">
        <v>1.0578000000000001E-2</v>
      </c>
      <c r="D119">
        <v>9.0259999999999993E-3</v>
      </c>
      <c r="E119">
        <v>9.8340000000000007E-3</v>
      </c>
      <c r="F119">
        <v>8101004216</v>
      </c>
      <c r="G119">
        <v>9.8340000000000007E-3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4.1237113402062826E-2</v>
      </c>
      <c r="Q119">
        <f t="shared" ref="Q119" si="571">F119*P119</f>
        <v>334062029.52578104</v>
      </c>
      <c r="R119">
        <f t="shared" ref="R119" si="572">R120+Q119</f>
        <v>-27136998555.858109</v>
      </c>
      <c r="S119">
        <f t="shared" ref="S119" si="573">R119/100000</f>
        <v>-271369.98555858107</v>
      </c>
      <c r="T119">
        <f t="shared" ref="T119" si="574">S119/1000</f>
        <v>-271.36998555858105</v>
      </c>
    </row>
    <row r="120" spans="1:20" x14ac:dyDescent="0.25">
      <c r="A120" s="5">
        <v>44473</v>
      </c>
      <c r="B120">
        <v>9.4190000000000003E-3</v>
      </c>
      <c r="C120">
        <v>9.5499999999999995E-3</v>
      </c>
      <c r="D120">
        <v>8.6739999999999994E-3</v>
      </c>
      <c r="E120">
        <v>9.1339999999999998E-3</v>
      </c>
      <c r="F120">
        <v>4645605654</v>
      </c>
      <c r="G120">
        <v>9.1339999999999998E-3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5.0228310502283831E-2</v>
      </c>
      <c r="Q120">
        <f t="shared" ref="Q120" si="576">F120*P120</f>
        <v>233340923.26027733</v>
      </c>
      <c r="R120">
        <f t="shared" ref="R120" si="577">R121+Q120</f>
        <v>-27471060585.383888</v>
      </c>
      <c r="S120">
        <f t="shared" ref="S120" si="578">R120/100000</f>
        <v>-274710.6058538389</v>
      </c>
      <c r="T120">
        <f t="shared" ref="T120" si="579">S120/1000</f>
        <v>-274.7106058538389</v>
      </c>
    </row>
    <row r="121" spans="1:20" x14ac:dyDescent="0.25">
      <c r="A121" s="5">
        <v>44472</v>
      </c>
      <c r="B121">
        <v>8.6029999999999995E-3</v>
      </c>
      <c r="C121">
        <v>9.835E-3</v>
      </c>
      <c r="D121">
        <v>8.4110000000000001E-3</v>
      </c>
      <c r="E121">
        <v>9.391E-3</v>
      </c>
      <c r="F121">
        <v>4802576566</v>
      </c>
      <c r="G121">
        <v>9.391E-3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0.3764044943820225</v>
      </c>
      <c r="Q121">
        <f t="shared" ref="Q121" si="581">F121*P121</f>
        <v>1807711404.05618</v>
      </c>
      <c r="R121">
        <f t="shared" ref="R121" si="582">R122+Q121</f>
        <v>-27704401508.644165</v>
      </c>
      <c r="S121">
        <f t="shared" ref="S121" si="583">R121/100000</f>
        <v>-277044.01508644165</v>
      </c>
      <c r="T121">
        <f t="shared" ref="T121" si="584">S121/1000</f>
        <v>-277.04401508644168</v>
      </c>
    </row>
    <row r="122" spans="1:20" x14ac:dyDescent="0.25">
      <c r="A122" s="5">
        <v>44471</v>
      </c>
      <c r="B122">
        <v>8.6300000000000005E-3</v>
      </c>
      <c r="C122">
        <v>8.9390000000000008E-3</v>
      </c>
      <c r="D122">
        <v>8.3789999999999993E-3</v>
      </c>
      <c r="E122">
        <v>8.6029999999999995E-3</v>
      </c>
      <c r="F122">
        <v>2161355614</v>
      </c>
      <c r="G122">
        <v>8.6029999999999995E-3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-0.20000000000000123</v>
      </c>
      <c r="Q122">
        <f t="shared" ref="Q122" si="586">F122*P122</f>
        <v>-432271122.80000263</v>
      </c>
      <c r="R122">
        <f t="shared" ref="R122" si="587">R123+Q122</f>
        <v>-29512112912.700344</v>
      </c>
      <c r="S122">
        <f t="shared" ref="S122" si="588">R122/100000</f>
        <v>-295121.12912700343</v>
      </c>
      <c r="T122">
        <f t="shared" ref="T122" si="589">S122/1000</f>
        <v>-295.12112912700343</v>
      </c>
    </row>
    <row r="123" spans="1:20" x14ac:dyDescent="0.25">
      <c r="A123" s="5">
        <v>44470</v>
      </c>
      <c r="B123">
        <v>7.9089999999999994E-3</v>
      </c>
      <c r="C123">
        <v>8.7480000000000006E-3</v>
      </c>
      <c r="D123">
        <v>7.8209999999999998E-3</v>
      </c>
      <c r="E123">
        <v>8.6280000000000003E-3</v>
      </c>
      <c r="F123">
        <v>2862231331</v>
      </c>
      <c r="G123">
        <v>8.6280000000000003E-3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0.74110032362459499</v>
      </c>
      <c r="Q123">
        <f t="shared" ref="Q123" si="591">F123*P123</f>
        <v>2121200565.6925552</v>
      </c>
      <c r="R123">
        <f t="shared" ref="R123" si="592">R124+Q123</f>
        <v>-29079841789.900341</v>
      </c>
      <c r="S123">
        <f t="shared" ref="S123" si="593">R123/100000</f>
        <v>-290798.41789900343</v>
      </c>
      <c r="T123">
        <f t="shared" ref="T123" si="594">S123/1000</f>
        <v>-290.79841789900343</v>
      </c>
    </row>
    <row r="124" spans="1:20" x14ac:dyDescent="0.25">
      <c r="A124" s="5">
        <v>44469</v>
      </c>
      <c r="B124">
        <v>7.6E-3</v>
      </c>
      <c r="C124">
        <v>7.9290000000000003E-3</v>
      </c>
      <c r="D124">
        <v>7.5709999999999996E-3</v>
      </c>
      <c r="E124">
        <v>7.9100000000000004E-3</v>
      </c>
      <c r="F124">
        <v>1624841414</v>
      </c>
      <c r="G124">
        <v>7.9100000000000004E-3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0.89385474860335257</v>
      </c>
      <c r="Q124">
        <f t="shared" ref="Q124" si="596">F124*P124</f>
        <v>1452372213.6312859</v>
      </c>
      <c r="R124">
        <f t="shared" ref="R124" si="597">R125+Q124</f>
        <v>-31201042355.592896</v>
      </c>
      <c r="S124">
        <f t="shared" ref="S124" si="598">R124/100000</f>
        <v>-312010.42355592898</v>
      </c>
      <c r="T124">
        <f t="shared" ref="T124" si="599">S124/1000</f>
        <v>-312.01042355592898</v>
      </c>
    </row>
    <row r="125" spans="1:20" x14ac:dyDescent="0.25">
      <c r="A125" s="5">
        <v>44468</v>
      </c>
      <c r="B125">
        <v>7.4799999999999997E-3</v>
      </c>
      <c r="C125">
        <v>7.9500000000000005E-3</v>
      </c>
      <c r="D125">
        <v>7.437E-3</v>
      </c>
      <c r="E125">
        <v>7.5989999999999999E-3</v>
      </c>
      <c r="F125">
        <v>1756318977</v>
      </c>
      <c r="G125">
        <v>7.5989999999999999E-3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-0.3684210526315802</v>
      </c>
      <c r="Q125">
        <f t="shared" ref="Q125" si="601">F125*P125</f>
        <v>-647064886.26316011</v>
      </c>
      <c r="R125">
        <f t="shared" ref="R125" si="602">R126+Q125</f>
        <v>-32653414569.224182</v>
      </c>
      <c r="S125">
        <f t="shared" ref="S125" si="603">R125/100000</f>
        <v>-326534.14569224184</v>
      </c>
      <c r="T125">
        <f t="shared" ref="T125" si="604">S125/1000</f>
        <v>-326.53414569224185</v>
      </c>
    </row>
    <row r="126" spans="1:20" x14ac:dyDescent="0.25">
      <c r="A126" s="5">
        <v>44467</v>
      </c>
      <c r="B126">
        <v>7.7149999999999996E-3</v>
      </c>
      <c r="C126">
        <v>7.8989999999999998E-3</v>
      </c>
      <c r="D126">
        <v>7.45E-3</v>
      </c>
      <c r="E126">
        <v>7.4819999999999999E-3</v>
      </c>
      <c r="F126">
        <v>1666221892</v>
      </c>
      <c r="G126">
        <v>7.4819999999999999E-3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-0.85746102449888673</v>
      </c>
      <c r="Q126">
        <f t="shared" ref="Q126" si="606">F126*P126</f>
        <v>-1428720330.5567935</v>
      </c>
      <c r="R126">
        <f t="shared" ref="R126" si="607">R127+Q126</f>
        <v>-32006349682.961021</v>
      </c>
      <c r="S126">
        <f t="shared" ref="S126" si="608">R126/100000</f>
        <v>-320063.4968296102</v>
      </c>
      <c r="T126">
        <f t="shared" ref="T126" si="609">S126/1000</f>
        <v>-320.06349682961019</v>
      </c>
    </row>
    <row r="127" spans="1:20" x14ac:dyDescent="0.25">
      <c r="A127" s="5">
        <v>44466</v>
      </c>
      <c r="B127">
        <v>7.9000000000000008E-3</v>
      </c>
      <c r="C127">
        <v>8.2400000000000008E-3</v>
      </c>
      <c r="D127">
        <v>7.7000000000000002E-3</v>
      </c>
      <c r="E127">
        <v>7.718E-3</v>
      </c>
      <c r="F127">
        <v>2020089326</v>
      </c>
      <c r="G127">
        <v>7.718E-3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-0.93333333333333424</v>
      </c>
      <c r="Q127">
        <f t="shared" ref="Q127" si="611">F127*P127</f>
        <v>-1885416704.2666686</v>
      </c>
      <c r="R127">
        <f t="shared" ref="R127" si="612">R128+Q127</f>
        <v>-30577629352.404228</v>
      </c>
      <c r="S127">
        <f t="shared" ref="S127" si="613">R127/100000</f>
        <v>-305776.2935240423</v>
      </c>
      <c r="T127">
        <f t="shared" ref="T127" si="614">S127/1000</f>
        <v>-305.77629352404227</v>
      </c>
    </row>
    <row r="128" spans="1:20" x14ac:dyDescent="0.25">
      <c r="A128" s="5">
        <v>44465</v>
      </c>
      <c r="B128">
        <v>7.9559999999999995E-3</v>
      </c>
      <c r="C128">
        <v>8.1099999999999992E-3</v>
      </c>
      <c r="D128">
        <v>7.3530000000000002E-3</v>
      </c>
      <c r="E128">
        <v>7.9030000000000003E-3</v>
      </c>
      <c r="F128">
        <v>2496231735</v>
      </c>
      <c r="G128">
        <v>7.9030000000000003E-3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0.45310435931308024</v>
      </c>
      <c r="Q128">
        <f t="shared" ref="Q128" si="616">F128*P128</f>
        <v>1131053480.9841537</v>
      </c>
      <c r="R128">
        <f t="shared" ref="R128" si="617">R129+Q128</f>
        <v>-28692212648.137558</v>
      </c>
      <c r="S128">
        <f t="shared" ref="S128" si="618">R128/100000</f>
        <v>-286922.1264813756</v>
      </c>
      <c r="T128">
        <f t="shared" ref="T128" si="619">S128/1000</f>
        <v>-286.92212648137559</v>
      </c>
    </row>
    <row r="129" spans="1:20" x14ac:dyDescent="0.25">
      <c r="A129" s="5">
        <v>44464</v>
      </c>
      <c r="B129">
        <v>8.1890000000000001E-3</v>
      </c>
      <c r="C129">
        <v>8.3359999999999997E-3</v>
      </c>
      <c r="D129">
        <v>7.8539999999999999E-3</v>
      </c>
      <c r="E129">
        <v>7.9550000000000003E-3</v>
      </c>
      <c r="F129">
        <v>1943997120</v>
      </c>
      <c r="G129">
        <v>7.9550000000000003E-3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-0.58091286307053758</v>
      </c>
      <c r="Q129">
        <f t="shared" ref="Q129" si="621">F129*P129</f>
        <v>-1129292932.7800794</v>
      </c>
      <c r="R129">
        <f t="shared" ref="R129" si="622">R130+Q129</f>
        <v>-29823266129.121712</v>
      </c>
      <c r="S129">
        <f t="shared" ref="S129" si="623">R129/100000</f>
        <v>-298232.66129121714</v>
      </c>
      <c r="T129">
        <f t="shared" ref="T129" si="624">S129/1000</f>
        <v>-298.23266129121714</v>
      </c>
    </row>
    <row r="130" spans="1:20" x14ac:dyDescent="0.25">
      <c r="A130" s="5">
        <v>44463</v>
      </c>
      <c r="B130">
        <v>8.8070000000000006E-3</v>
      </c>
      <c r="C130">
        <v>8.8319999999999996E-3</v>
      </c>
      <c r="D130">
        <v>7.6080000000000002E-3</v>
      </c>
      <c r="E130">
        <v>8.1890000000000001E-3</v>
      </c>
      <c r="F130">
        <v>3598368776</v>
      </c>
      <c r="G130">
        <v>8.1890000000000001E-3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-5.0653594771241491E-2</v>
      </c>
      <c r="Q130">
        <f t="shared" ref="Q130" si="626">F130*P130</f>
        <v>-182270313.81699225</v>
      </c>
      <c r="R130">
        <f t="shared" ref="R130" si="627">R131+Q130</f>
        <v>-28693973196.341633</v>
      </c>
      <c r="S130">
        <f t="shared" ref="S130" si="628">R130/100000</f>
        <v>-286939.73196341633</v>
      </c>
      <c r="T130">
        <f t="shared" ref="T130" si="629">S130/1000</f>
        <v>-286.93973196341631</v>
      </c>
    </row>
    <row r="131" spans="1:20" x14ac:dyDescent="0.25">
      <c r="A131" s="5">
        <v>44462</v>
      </c>
      <c r="B131">
        <v>8.8199999999999997E-3</v>
      </c>
      <c r="C131">
        <v>9.0349999999999996E-3</v>
      </c>
      <c r="D131">
        <v>8.5459999999999998E-3</v>
      </c>
      <c r="E131">
        <v>8.8100000000000001E-3</v>
      </c>
      <c r="F131">
        <v>2920184548</v>
      </c>
      <c r="G131">
        <v>8.8100000000000001E-3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7.9754601226995611E-2</v>
      </c>
      <c r="Q131">
        <f t="shared" ref="Q131" si="631">F131*P131</f>
        <v>232898154.13497442</v>
      </c>
      <c r="R131">
        <f t="shared" ref="R131" si="632">R132+Q131</f>
        <v>-28511702882.524639</v>
      </c>
      <c r="S131">
        <f t="shared" ref="S131" si="633">R131/100000</f>
        <v>-285117.02882524638</v>
      </c>
      <c r="T131">
        <f t="shared" ref="T131" si="634">S131/1000</f>
        <v>-285.11702882524639</v>
      </c>
    </row>
    <row r="132" spans="1:20" x14ac:dyDescent="0.25">
      <c r="A132" s="5">
        <v>44461</v>
      </c>
      <c r="B132">
        <v>7.6169999999999996E-3</v>
      </c>
      <c r="C132">
        <v>8.9619999999999995E-3</v>
      </c>
      <c r="D132">
        <v>7.4999999999999997E-3</v>
      </c>
      <c r="E132">
        <v>8.8199999999999997E-3</v>
      </c>
      <c r="F132">
        <v>3504072789</v>
      </c>
      <c r="G132">
        <v>8.8199999999999997E-3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0.80574555403556802</v>
      </c>
      <c r="Q132">
        <f t="shared" ref="Q132" si="636">F132*P132</f>
        <v>2823391070.7537632</v>
      </c>
      <c r="R132">
        <f t="shared" ref="R132" si="637">R133+Q132</f>
        <v>-28744601036.659615</v>
      </c>
      <c r="S132">
        <f t="shared" ref="S132" si="638">R132/100000</f>
        <v>-287446.01036659617</v>
      </c>
      <c r="T132">
        <f t="shared" ref="T132" si="639">S132/1000</f>
        <v>-287.44601036659617</v>
      </c>
    </row>
    <row r="133" spans="1:20" x14ac:dyDescent="0.25">
      <c r="A133" s="5">
        <v>44460</v>
      </c>
      <c r="B133">
        <v>8.1180000000000002E-3</v>
      </c>
      <c r="C133">
        <v>8.6920000000000001E-3</v>
      </c>
      <c r="D133">
        <v>7.4000000000000003E-3</v>
      </c>
      <c r="E133">
        <v>7.6150000000000002E-3</v>
      </c>
      <c r="F133">
        <v>4079740395</v>
      </c>
      <c r="G133">
        <v>7.6150000000000002E-3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-0.66718266253869973</v>
      </c>
      <c r="Q133">
        <f t="shared" ref="Q133" si="641">F133*P133</f>
        <v>-2721932059.2027864</v>
      </c>
      <c r="R133">
        <f t="shared" ref="R133" si="642">R134+Q133</f>
        <v>-31567992107.413376</v>
      </c>
      <c r="S133">
        <f t="shared" ref="S133" si="643">R133/100000</f>
        <v>-315679.92107413377</v>
      </c>
      <c r="T133">
        <f t="shared" ref="T133" si="644">S133/1000</f>
        <v>-315.6799210741338</v>
      </c>
    </row>
    <row r="134" spans="1:20" x14ac:dyDescent="0.25">
      <c r="A134" s="5">
        <v>44459</v>
      </c>
      <c r="B134">
        <v>9.4699999999999993E-3</v>
      </c>
      <c r="C134">
        <v>9.4789999999999996E-3</v>
      </c>
      <c r="D134">
        <v>8.4620000000000008E-3</v>
      </c>
      <c r="E134">
        <v>8.6390000000000008E-3</v>
      </c>
      <c r="F134">
        <v>1918287805</v>
      </c>
      <c r="G134">
        <v>8.6390000000000008E-3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-0.65191740412979293</v>
      </c>
      <c r="Q134">
        <f t="shared" ref="Q134" si="646">F134*P134</f>
        <v>-1250565206.2094383</v>
      </c>
      <c r="R134">
        <f t="shared" ref="R134" si="647">R135+Q134</f>
        <v>-28846060048.21059</v>
      </c>
      <c r="S134">
        <f t="shared" ref="S134" si="648">R134/100000</f>
        <v>-288460.60048210592</v>
      </c>
      <c r="T134">
        <f t="shared" ref="T134" si="649">S134/1000</f>
        <v>-288.46060048210592</v>
      </c>
    </row>
    <row r="135" spans="1:20" x14ac:dyDescent="0.25">
      <c r="A135" s="5">
        <v>44458</v>
      </c>
      <c r="B135">
        <v>9.7359999999999999E-3</v>
      </c>
      <c r="C135">
        <v>9.8779999999999996E-3</v>
      </c>
      <c r="D135">
        <v>9.2999999999999992E-3</v>
      </c>
      <c r="E135">
        <v>9.469E-3</v>
      </c>
      <c r="F135">
        <v>2090395994</v>
      </c>
      <c r="G135">
        <v>9.469E-3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-0.4152249134948075</v>
      </c>
      <c r="Q135">
        <f t="shared" ref="Q135" si="651">F135*P135</f>
        <v>-867984495.77854216</v>
      </c>
      <c r="R135">
        <f t="shared" ref="R135" si="652">R136+Q135</f>
        <v>-27595494842.001152</v>
      </c>
      <c r="S135">
        <f t="shared" ref="S135" si="653">R135/100000</f>
        <v>-275954.9484200115</v>
      </c>
      <c r="T135">
        <f t="shared" ref="T135" si="654">S135/1000</f>
        <v>-275.95494842001148</v>
      </c>
    </row>
    <row r="136" spans="1:20" x14ac:dyDescent="0.25">
      <c r="A136" s="5">
        <v>44457</v>
      </c>
      <c r="B136">
        <v>9.5080000000000008E-3</v>
      </c>
      <c r="C136">
        <v>1.0279999999999999E-2</v>
      </c>
      <c r="D136">
        <v>9.3509999999999999E-3</v>
      </c>
      <c r="E136">
        <v>9.7310000000000001E-3</v>
      </c>
      <c r="F136">
        <v>3164689066</v>
      </c>
      <c r="G136">
        <v>9.7310000000000001E-3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-0.1819160387513446</v>
      </c>
      <c r="Q136">
        <f t="shared" ref="Q136" si="656">F136*P136</f>
        <v>-575707698.7664125</v>
      </c>
      <c r="R136">
        <f t="shared" ref="R136" si="657">R137+Q136</f>
        <v>-26727510346.22261</v>
      </c>
      <c r="S136">
        <f t="shared" ref="S136" si="658">R136/100000</f>
        <v>-267275.10346222611</v>
      </c>
      <c r="T136">
        <f t="shared" ref="T136" si="659">S136/1000</f>
        <v>-267.27510346222613</v>
      </c>
    </row>
    <row r="137" spans="1:20" x14ac:dyDescent="0.25">
      <c r="A137" s="5">
        <v>44456</v>
      </c>
      <c r="B137">
        <v>9.7389999999999994E-3</v>
      </c>
      <c r="C137">
        <v>9.9810000000000003E-3</v>
      </c>
      <c r="D137">
        <v>9.3229999999999997E-3</v>
      </c>
      <c r="E137">
        <v>9.5060000000000006E-3</v>
      </c>
      <c r="F137">
        <v>1999761277</v>
      </c>
      <c r="G137">
        <v>9.5060000000000006E-3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-0.44376899696048416</v>
      </c>
      <c r="Q137">
        <f t="shared" ref="Q137" si="661">F137*P137</f>
        <v>-887432056.05470693</v>
      </c>
      <c r="R137">
        <f t="shared" ref="R137" si="662">R138+Q137</f>
        <v>-26151802647.4562</v>
      </c>
      <c r="S137">
        <f t="shared" ref="S137" si="663">R137/100000</f>
        <v>-261518.02647456201</v>
      </c>
      <c r="T137">
        <f t="shared" ref="T137" si="664">S137/1000</f>
        <v>-261.51802647456202</v>
      </c>
    </row>
    <row r="138" spans="1:20" x14ac:dyDescent="0.25">
      <c r="A138" s="5">
        <v>44455</v>
      </c>
      <c r="B138">
        <v>1.0107E-2</v>
      </c>
      <c r="C138">
        <v>1.0191E-2</v>
      </c>
      <c r="D138">
        <v>9.5350000000000001E-3</v>
      </c>
      <c r="E138">
        <v>9.7429999999999999E-3</v>
      </c>
      <c r="F138">
        <v>2280707712</v>
      </c>
      <c r="G138">
        <v>9.7429999999999999E-3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-0.36585365853658613</v>
      </c>
      <c r="Q138">
        <f t="shared" ref="Q138" si="666">F138*P138</f>
        <v>-834405260.48780668</v>
      </c>
      <c r="R138">
        <f t="shared" ref="R138" si="667">R139+Q138</f>
        <v>-25264370591.401493</v>
      </c>
      <c r="S138">
        <f t="shared" ref="S138" si="668">R138/100000</f>
        <v>-252643.70591401492</v>
      </c>
      <c r="T138">
        <f t="shared" ref="T138" si="669">S138/1000</f>
        <v>-252.64370591401493</v>
      </c>
    </row>
    <row r="139" spans="1:20" x14ac:dyDescent="0.25">
      <c r="A139" s="5">
        <v>44454</v>
      </c>
      <c r="B139">
        <v>9.861E-3</v>
      </c>
      <c r="C139">
        <v>1.0283E-2</v>
      </c>
      <c r="D139">
        <v>9.7699999999999992E-3</v>
      </c>
      <c r="E139">
        <v>1.0107E-2</v>
      </c>
      <c r="F139">
        <v>1967266992</v>
      </c>
      <c r="G139">
        <v>1.0107E-2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0.3138401559454177</v>
      </c>
      <c r="Q139">
        <f t="shared" ref="Q139" si="671">F139*P139</f>
        <v>617407379.55555284</v>
      </c>
      <c r="R139">
        <f t="shared" ref="R139" si="672">R140+Q139</f>
        <v>-24429965330.913685</v>
      </c>
      <c r="S139">
        <f t="shared" ref="S139" si="673">R139/100000</f>
        <v>-244299.65330913686</v>
      </c>
      <c r="T139">
        <f t="shared" ref="T139" si="674">S139/1000</f>
        <v>-244.29965330913686</v>
      </c>
    </row>
    <row r="140" spans="1:20" x14ac:dyDescent="0.25">
      <c r="A140" s="5">
        <v>44453</v>
      </c>
      <c r="B140">
        <v>9.6050000000000007E-3</v>
      </c>
      <c r="C140">
        <v>9.9360000000000004E-3</v>
      </c>
      <c r="D140">
        <v>9.4730000000000005E-3</v>
      </c>
      <c r="E140">
        <v>9.8650000000000005E-3</v>
      </c>
      <c r="F140">
        <v>1909512093</v>
      </c>
      <c r="G140">
        <v>9.8650000000000005E-3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0.69330453563714944</v>
      </c>
      <c r="Q140">
        <f t="shared" ref="Q140" si="676">F140*P140</f>
        <v>1323873394.9308863</v>
      </c>
      <c r="R140">
        <f t="shared" ref="R140" si="677">R141+Q140</f>
        <v>-25047372710.469238</v>
      </c>
      <c r="S140">
        <f t="shared" ref="S140" si="678">R140/100000</f>
        <v>-250473.72710469237</v>
      </c>
      <c r="T140">
        <f t="shared" ref="T140" si="679">S140/1000</f>
        <v>-250.47372710469236</v>
      </c>
    </row>
    <row r="141" spans="1:20" x14ac:dyDescent="0.25">
      <c r="A141" s="5">
        <v>44452</v>
      </c>
      <c r="B141">
        <v>1.0008E-2</v>
      </c>
      <c r="C141">
        <v>1.0094000000000001E-2</v>
      </c>
      <c r="D141">
        <v>9.2999999999999992E-3</v>
      </c>
      <c r="E141">
        <v>9.6089999999999995E-3</v>
      </c>
      <c r="F141">
        <v>2733348933</v>
      </c>
      <c r="G141">
        <v>9.6089999999999995E-3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-0.22166246851385457</v>
      </c>
      <c r="Q141">
        <f t="shared" ref="Q141" si="681">F141*P141</f>
        <v>-605880871.79849052</v>
      </c>
      <c r="R141">
        <f t="shared" ref="R141" si="682">R142+Q141</f>
        <v>-26371246105.400124</v>
      </c>
      <c r="S141">
        <f t="shared" ref="S141" si="683">R141/100000</f>
        <v>-263712.46105400124</v>
      </c>
      <c r="T141">
        <f t="shared" ref="T141" si="684">S141/1000</f>
        <v>-263.71246105400121</v>
      </c>
    </row>
    <row r="142" spans="1:20" x14ac:dyDescent="0.25">
      <c r="A142" s="5">
        <v>44451</v>
      </c>
      <c r="B142">
        <v>9.8160000000000001E-3</v>
      </c>
      <c r="C142">
        <v>1.0495000000000001E-2</v>
      </c>
      <c r="D142">
        <v>9.5320000000000005E-3</v>
      </c>
      <c r="E142">
        <v>1.0011000000000001E-2</v>
      </c>
      <c r="F142">
        <v>2568964737</v>
      </c>
      <c r="G142">
        <v>1.0011000000000001E-2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-5.1921079958461005E-3</v>
      </c>
      <c r="Q142">
        <f t="shared" ref="Q142" si="686">F142*P142</f>
        <v>-13338342.352024375</v>
      </c>
      <c r="R142">
        <f t="shared" ref="R142" si="687">R143+Q142</f>
        <v>-25765365233.601635</v>
      </c>
      <c r="S142">
        <f t="shared" ref="S142" si="688">R142/100000</f>
        <v>-257653.65233601636</v>
      </c>
      <c r="T142">
        <f t="shared" ref="T142" si="689">S142/1000</f>
        <v>-257.65365233601636</v>
      </c>
    </row>
    <row r="143" spans="1:20" x14ac:dyDescent="0.25">
      <c r="A143" s="5">
        <v>44450</v>
      </c>
      <c r="B143">
        <v>9.7389999999999994E-3</v>
      </c>
      <c r="C143">
        <v>1.01E-2</v>
      </c>
      <c r="D143">
        <v>9.5829999999999995E-3</v>
      </c>
      <c r="E143">
        <v>9.8189999999999996E-3</v>
      </c>
      <c r="F143">
        <v>2019471837</v>
      </c>
      <c r="G143">
        <v>9.8189999999999996E-3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-8.7040618955512364E-2</v>
      </c>
      <c r="Q143">
        <f t="shared" ref="Q143" si="691">F143*P143</f>
        <v>-175776078.65570557</v>
      </c>
      <c r="R143">
        <f t="shared" ref="R143" si="692">R144+Q143</f>
        <v>-25752026891.249611</v>
      </c>
      <c r="S143">
        <f t="shared" ref="S143" si="693">R143/100000</f>
        <v>-257520.2689124961</v>
      </c>
      <c r="T143">
        <f t="shared" ref="T143" si="694">S143/1000</f>
        <v>-257.52026891249608</v>
      </c>
    </row>
    <row r="144" spans="1:20" x14ac:dyDescent="0.25">
      <c r="A144" s="5">
        <v>44449</v>
      </c>
      <c r="B144">
        <v>1.0199E-2</v>
      </c>
      <c r="C144">
        <v>1.0500000000000001E-2</v>
      </c>
      <c r="D144">
        <v>9.3869999999999995E-3</v>
      </c>
      <c r="E144">
        <v>9.7409999999999997E-3</v>
      </c>
      <c r="F144">
        <v>3302555911</v>
      </c>
      <c r="G144">
        <v>9.7409999999999997E-3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-0.36388140161725108</v>
      </c>
      <c r="Q144">
        <f t="shared" ref="Q144" si="696">F144*P144</f>
        <v>-1201738673.8140175</v>
      </c>
      <c r="R144">
        <f t="shared" ref="R144" si="697">R145+Q144</f>
        <v>-25576250812.593906</v>
      </c>
      <c r="S144">
        <f t="shared" ref="S144" si="698">R144/100000</f>
        <v>-255762.50812593906</v>
      </c>
      <c r="T144">
        <f t="shared" ref="T144" si="699">S144/1000</f>
        <v>-255.76250812593906</v>
      </c>
    </row>
    <row r="145" spans="1:20" x14ac:dyDescent="0.25">
      <c r="A145" s="5">
        <v>44448</v>
      </c>
      <c r="B145">
        <v>1.0146000000000001E-2</v>
      </c>
      <c r="C145">
        <v>1.0651000000000001E-2</v>
      </c>
      <c r="D145">
        <v>9.9000000000000008E-3</v>
      </c>
      <c r="E145">
        <v>1.0196E-2</v>
      </c>
      <c r="F145">
        <v>4126445812</v>
      </c>
      <c r="G145">
        <v>1.0196E-2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-0.2117177097203744</v>
      </c>
      <c r="Q145">
        <f t="shared" ref="Q145" si="701">F145*P145</f>
        <v>-873641656.60187066</v>
      </c>
      <c r="R145">
        <f t="shared" ref="R145" si="702">R146+Q145</f>
        <v>-24374512138.779888</v>
      </c>
      <c r="S145">
        <f t="shared" ref="S145" si="703">R145/100000</f>
        <v>-243745.12138779889</v>
      </c>
      <c r="T145">
        <f t="shared" ref="T145" si="704">S145/1000</f>
        <v>-243.74512138779889</v>
      </c>
    </row>
    <row r="146" spans="1:20" x14ac:dyDescent="0.25">
      <c r="A146" s="5">
        <v>44447</v>
      </c>
      <c r="B146">
        <v>1.0056000000000001E-2</v>
      </c>
      <c r="C146">
        <v>1.0468E-2</v>
      </c>
      <c r="D146">
        <v>8.8299999999999993E-3</v>
      </c>
      <c r="E146">
        <v>1.0142E-2</v>
      </c>
      <c r="F146">
        <v>6196309492</v>
      </c>
      <c r="G146">
        <v>1.0142E-2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0.60195360195360226</v>
      </c>
      <c r="Q146">
        <f t="shared" ref="Q146" si="706">F146*P146</f>
        <v>3729890817.5286956</v>
      </c>
      <c r="R146">
        <f t="shared" ref="R146" si="707">R147+Q146</f>
        <v>-23500870482.178017</v>
      </c>
      <c r="S146">
        <f t="shared" ref="S146" si="708">R146/100000</f>
        <v>-235008.70482178018</v>
      </c>
      <c r="T146">
        <f t="shared" ref="T146" si="709">S146/1000</f>
        <v>-235.00870482178019</v>
      </c>
    </row>
    <row r="147" spans="1:20" x14ac:dyDescent="0.25">
      <c r="A147" s="5">
        <v>44446</v>
      </c>
      <c r="B147">
        <v>1.2305E-2</v>
      </c>
      <c r="C147">
        <v>1.26E-2</v>
      </c>
      <c r="D147">
        <v>8.3700000000000007E-3</v>
      </c>
      <c r="E147">
        <v>1.0045999999999999E-2</v>
      </c>
      <c r="F147">
        <v>9923661576</v>
      </c>
      <c r="G147">
        <v>1.0045999999999999E-2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-0.20756501182033149</v>
      </c>
      <c r="Q147">
        <f t="shared" ref="Q147" si="711">F147*P147</f>
        <v>-2059804932.3234093</v>
      </c>
      <c r="R147">
        <f t="shared" ref="R147" si="712">R148+Q147</f>
        <v>-27230761299.706711</v>
      </c>
      <c r="S147">
        <f t="shared" ref="S147" si="713">R147/100000</f>
        <v>-272307.6129970671</v>
      </c>
      <c r="T147">
        <f t="shared" ref="T147" si="714">S147/1000</f>
        <v>-272.30761299706711</v>
      </c>
    </row>
    <row r="148" spans="1:20" x14ac:dyDescent="0.25">
      <c r="A148" s="5">
        <v>44445</v>
      </c>
      <c r="B148">
        <v>1.3073E-2</v>
      </c>
      <c r="C148">
        <v>1.3285E-2</v>
      </c>
      <c r="D148">
        <v>1.1166000000000001E-2</v>
      </c>
      <c r="E148">
        <v>1.2305E-2</v>
      </c>
      <c r="F148">
        <v>5988930269</v>
      </c>
      <c r="G148">
        <v>1.2305E-2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7.5035394053798707E-2</v>
      </c>
      <c r="Q148">
        <f t="shared" ref="Q148" si="716">F148*P148</f>
        <v>449381742.69513768</v>
      </c>
      <c r="R148">
        <f t="shared" ref="R148" si="717">R149+Q148</f>
        <v>-25170956367.383301</v>
      </c>
      <c r="S148">
        <f t="shared" ref="S148" si="718">R148/100000</f>
        <v>-251709.56367383301</v>
      </c>
      <c r="T148">
        <f t="shared" ref="T148" si="719">S148/1000</f>
        <v>-251.709563673833</v>
      </c>
    </row>
    <row r="149" spans="1:20" x14ac:dyDescent="0.25">
      <c r="A149" s="5">
        <v>44444</v>
      </c>
      <c r="B149">
        <v>1.2054E-2</v>
      </c>
      <c r="C149">
        <v>1.3358999999999999E-2</v>
      </c>
      <c r="D149">
        <v>1.1884E-2</v>
      </c>
      <c r="E149">
        <v>1.3077E-2</v>
      </c>
      <c r="F149">
        <v>7084105472</v>
      </c>
      <c r="G149">
        <v>1.3077E-2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0.6176271186440685</v>
      </c>
      <c r="Q149">
        <f t="shared" ref="Q149" si="721">F149*P149</f>
        <v>4375335650.8420391</v>
      </c>
      <c r="R149">
        <f t="shared" ref="R149" si="722">R150+Q149</f>
        <v>-25620338110.078438</v>
      </c>
      <c r="S149">
        <f t="shared" ref="S149" si="723">R149/100000</f>
        <v>-256203.38110078438</v>
      </c>
      <c r="T149">
        <f t="shared" ref="T149" si="724">S149/1000</f>
        <v>-256.20338110078438</v>
      </c>
    </row>
    <row r="150" spans="1:20" x14ac:dyDescent="0.25">
      <c r="A150" s="5">
        <v>44443</v>
      </c>
      <c r="B150">
        <v>1.238E-2</v>
      </c>
      <c r="C150">
        <v>1.2754E-2</v>
      </c>
      <c r="D150">
        <v>1.1690000000000001E-2</v>
      </c>
      <c r="E150">
        <v>1.2047E-2</v>
      </c>
      <c r="F150">
        <v>4689248326</v>
      </c>
      <c r="G150">
        <v>1.2047E-2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-0.3289473684210526</v>
      </c>
      <c r="Q150">
        <f t="shared" ref="Q150" si="726">F150*P150</f>
        <v>-1542515896.7105262</v>
      </c>
      <c r="R150">
        <f t="shared" ref="R150" si="727">R151+Q150</f>
        <v>-29995673760.920479</v>
      </c>
      <c r="S150">
        <f t="shared" ref="S150" si="728">R150/100000</f>
        <v>-299956.73760920478</v>
      </c>
      <c r="T150">
        <f t="shared" ref="T150" si="729">S150/1000</f>
        <v>-299.95673760920477</v>
      </c>
    </row>
    <row r="151" spans="1:20" x14ac:dyDescent="0.25">
      <c r="A151" s="5">
        <v>44442</v>
      </c>
      <c r="B151">
        <v>1.2973E-2</v>
      </c>
      <c r="C151">
        <v>1.3259999999999999E-2</v>
      </c>
      <c r="D151">
        <v>1.2055E-2</v>
      </c>
      <c r="E151">
        <v>1.2381E-2</v>
      </c>
      <c r="F151">
        <v>8055880622</v>
      </c>
      <c r="G151">
        <v>1.2381E-2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-0.45892116182572606</v>
      </c>
      <c r="Q151">
        <f t="shared" ref="Q151" si="731">F151*P151</f>
        <v>-3697014094.5775928</v>
      </c>
      <c r="R151">
        <f t="shared" ref="R151" si="732">R152+Q151</f>
        <v>-28453157864.209953</v>
      </c>
      <c r="S151">
        <f t="shared" ref="S151" si="733">R151/100000</f>
        <v>-284531.57864209951</v>
      </c>
      <c r="T151">
        <f t="shared" ref="T151" si="734">S151/1000</f>
        <v>-284.53157864209953</v>
      </c>
    </row>
    <row r="152" spans="1:20" x14ac:dyDescent="0.25">
      <c r="A152" s="5">
        <v>44441</v>
      </c>
      <c r="B152">
        <v>1.1023E-2</v>
      </c>
      <c r="C152">
        <v>1.34E-2</v>
      </c>
      <c r="D152">
        <v>1.093E-2</v>
      </c>
      <c r="E152">
        <v>1.2984000000000001E-2</v>
      </c>
      <c r="F152">
        <v>10986169170</v>
      </c>
      <c r="G152">
        <v>1.2984000000000001E-2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0.66315789473684239</v>
      </c>
      <c r="Q152">
        <f t="shared" ref="Q152" si="736">F152*P152</f>
        <v>7285564818.0000029</v>
      </c>
      <c r="R152">
        <f t="shared" ref="R152" si="737">R153+Q152</f>
        <v>-24756143769.632362</v>
      </c>
      <c r="S152">
        <f t="shared" ref="S152" si="738">R152/100000</f>
        <v>-247561.43769632361</v>
      </c>
      <c r="T152">
        <f t="shared" ref="T152" si="739">S152/1000</f>
        <v>-247.56143769632362</v>
      </c>
    </row>
    <row r="153" spans="1:20" x14ac:dyDescent="0.25">
      <c r="A153" s="5">
        <v>44440</v>
      </c>
      <c r="B153">
        <v>1.0553999999999999E-2</v>
      </c>
      <c r="C153">
        <v>1.125E-2</v>
      </c>
      <c r="D153">
        <v>1.035E-2</v>
      </c>
      <c r="E153">
        <v>1.1023E-2</v>
      </c>
      <c r="F153">
        <v>2663136805</v>
      </c>
      <c r="G153">
        <v>1.1023E-2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0.49555555555555592</v>
      </c>
      <c r="Q153">
        <f t="shared" ref="Q153" si="741">F153*P153</f>
        <v>1319732238.9222231</v>
      </c>
      <c r="R153">
        <f t="shared" ref="R153" si="742">R154+Q153</f>
        <v>-32041708587.632366</v>
      </c>
      <c r="S153">
        <f t="shared" ref="S153" si="743">R153/100000</f>
        <v>-320417.08587632369</v>
      </c>
      <c r="T153">
        <f t="shared" ref="T153" si="744">S153/1000</f>
        <v>-320.41708587632371</v>
      </c>
    </row>
    <row r="154" spans="1:20" x14ac:dyDescent="0.25">
      <c r="A154" s="5">
        <v>44439</v>
      </c>
      <c r="B154">
        <v>1.0463E-2</v>
      </c>
      <c r="C154">
        <v>1.1061E-2</v>
      </c>
      <c r="D154">
        <v>1.0266000000000001E-2</v>
      </c>
      <c r="E154">
        <v>1.0548999999999999E-2</v>
      </c>
      <c r="F154">
        <v>2476569230</v>
      </c>
      <c r="G154">
        <v>1.0548999999999999E-2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-0.28805031446541146</v>
      </c>
      <c r="Q154">
        <f t="shared" ref="Q154" si="746">F154*P154</f>
        <v>-713376545.49686193</v>
      </c>
      <c r="R154">
        <f t="shared" ref="R154" si="747">R155+Q154</f>
        <v>-33361440826.554588</v>
      </c>
      <c r="S154">
        <f t="shared" ref="S154" si="748">R154/100000</f>
        <v>-333614.40826554591</v>
      </c>
      <c r="T154">
        <f t="shared" ref="T154" si="749">S154/1000</f>
        <v>-333.61440826554593</v>
      </c>
    </row>
    <row r="155" spans="1:20" x14ac:dyDescent="0.25">
      <c r="A155" s="5">
        <v>44438</v>
      </c>
      <c r="B155">
        <v>1.1022000000000001E-2</v>
      </c>
      <c r="C155">
        <v>1.1102000000000001E-2</v>
      </c>
      <c r="D155">
        <v>1.0354E-2</v>
      </c>
      <c r="E155">
        <v>1.0465E-2</v>
      </c>
      <c r="F155">
        <v>2368802608</v>
      </c>
      <c r="G155">
        <v>1.0465E-2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-0.70320855614973277</v>
      </c>
      <c r="Q155">
        <f t="shared" ref="Q155" si="751">F155*P155</f>
        <v>-1665762261.7754014</v>
      </c>
      <c r="R155">
        <f t="shared" ref="R155" si="752">R156+Q155</f>
        <v>-32648064281.057728</v>
      </c>
      <c r="S155">
        <f t="shared" ref="S155" si="753">R155/100000</f>
        <v>-326480.64281057729</v>
      </c>
      <c r="T155">
        <f t="shared" ref="T155" si="754">S155/1000</f>
        <v>-326.48064281057731</v>
      </c>
    </row>
    <row r="156" spans="1:20" x14ac:dyDescent="0.25">
      <c r="A156" s="5">
        <v>44437</v>
      </c>
      <c r="B156">
        <v>1.1372E-2</v>
      </c>
      <c r="C156">
        <v>1.15E-2</v>
      </c>
      <c r="D156">
        <v>1.0834E-2</v>
      </c>
      <c r="E156">
        <v>1.1022000000000001E-2</v>
      </c>
      <c r="F156">
        <v>3099239454</v>
      </c>
      <c r="G156">
        <v>1.1022000000000001E-2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-0.43543543543543339</v>
      </c>
      <c r="Q156">
        <f t="shared" ref="Q156" si="756">F156*P156</f>
        <v>-1349518681.1711648</v>
      </c>
      <c r="R156">
        <f t="shared" ref="R156" si="757">R157+Q156</f>
        <v>-30982302019.282326</v>
      </c>
      <c r="S156">
        <f t="shared" ref="S156" si="758">R156/100000</f>
        <v>-309823.02019282326</v>
      </c>
      <c r="T156">
        <f t="shared" ref="T156" si="759">S156/1000</f>
        <v>-309.82302019282326</v>
      </c>
    </row>
    <row r="157" spans="1:20" x14ac:dyDescent="0.25">
      <c r="A157" s="5">
        <v>44436</v>
      </c>
      <c r="B157">
        <v>1.0566000000000001E-2</v>
      </c>
      <c r="C157">
        <v>1.155E-2</v>
      </c>
      <c r="D157">
        <v>1.0271000000000001E-2</v>
      </c>
      <c r="E157">
        <v>1.1382E-2</v>
      </c>
      <c r="F157">
        <v>5530547953</v>
      </c>
      <c r="G157">
        <v>1.1382E-2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0.73729476153244744</v>
      </c>
      <c r="Q157">
        <f t="shared" ref="Q157" si="761">F157*P157</f>
        <v>4077644034.1509004</v>
      </c>
      <c r="R157">
        <f t="shared" ref="R157" si="762">R158+Q157</f>
        <v>-29632783338.11116</v>
      </c>
      <c r="S157">
        <f t="shared" ref="S157" si="763">R157/100000</f>
        <v>-296327.83338111162</v>
      </c>
      <c r="T157">
        <f t="shared" ref="T157" si="764">S157/1000</f>
        <v>-296.32783338111165</v>
      </c>
    </row>
    <row r="158" spans="1:20" x14ac:dyDescent="0.25">
      <c r="A158" s="5">
        <v>44435</v>
      </c>
      <c r="B158">
        <v>9.9450000000000007E-3</v>
      </c>
      <c r="C158">
        <v>1.0618000000000001E-2</v>
      </c>
      <c r="D158">
        <v>9.4730000000000005E-3</v>
      </c>
      <c r="E158">
        <v>1.0566000000000001E-2</v>
      </c>
      <c r="F158">
        <v>2768353459</v>
      </c>
      <c r="G158">
        <v>1.0566000000000001E-2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0.90917030567685597</v>
      </c>
      <c r="Q158">
        <f t="shared" ref="Q158" si="766">F158*P158</f>
        <v>2516904760.5406117</v>
      </c>
      <c r="R158">
        <f t="shared" ref="R158" si="767">R159+Q158</f>
        <v>-33710427372.262062</v>
      </c>
      <c r="S158">
        <f t="shared" ref="S158" si="768">R158/100000</f>
        <v>-337104.27372262062</v>
      </c>
      <c r="T158">
        <f t="shared" ref="T158" si="769">S158/1000</f>
        <v>-337.10427372262063</v>
      </c>
    </row>
    <row r="159" spans="1:20" x14ac:dyDescent="0.25">
      <c r="A159" s="5">
        <v>44434</v>
      </c>
      <c r="B159">
        <v>1.0917E-2</v>
      </c>
      <c r="C159">
        <v>1.0999999999999999E-2</v>
      </c>
      <c r="D159">
        <v>9.7590000000000003E-3</v>
      </c>
      <c r="E159">
        <v>9.9500000000000005E-3</v>
      </c>
      <c r="F159">
        <v>2881510990</v>
      </c>
      <c r="G159">
        <v>9.9500000000000005E-3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-0.69218372280418961</v>
      </c>
      <c r="Q159">
        <f t="shared" ref="Q159" si="771">F159*P159</f>
        <v>-1994535004.359386</v>
      </c>
      <c r="R159">
        <f t="shared" ref="R159" si="772">R160+Q159</f>
        <v>-36227332132.802673</v>
      </c>
      <c r="S159">
        <f t="shared" ref="S159" si="773">R159/100000</f>
        <v>-362273.32132802671</v>
      </c>
      <c r="T159">
        <f t="shared" ref="T159" si="774">S159/1000</f>
        <v>-362.27332132802673</v>
      </c>
    </row>
    <row r="160" spans="1:20" x14ac:dyDescent="0.25">
      <c r="A160" s="5">
        <v>44433</v>
      </c>
      <c r="B160">
        <v>1.0586999999999999E-2</v>
      </c>
      <c r="C160">
        <v>1.0999999999999999E-2</v>
      </c>
      <c r="D160">
        <v>1.01E-2</v>
      </c>
      <c r="E160">
        <v>1.0917E-2</v>
      </c>
      <c r="F160">
        <v>2657276018</v>
      </c>
      <c r="G160">
        <v>1.0917E-2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0.81555555555555603</v>
      </c>
      <c r="Q160">
        <f t="shared" ref="Q160" si="776">F160*P160</f>
        <v>2167156219.1244459</v>
      </c>
      <c r="R160">
        <f t="shared" ref="R160" si="777">R161+Q160</f>
        <v>-34232797128.443287</v>
      </c>
      <c r="S160">
        <f t="shared" ref="S160" si="778">R160/100000</f>
        <v>-342327.97128443286</v>
      </c>
      <c r="T160">
        <f t="shared" ref="T160" si="779">S160/1000</f>
        <v>-342.32797128443286</v>
      </c>
    </row>
    <row r="161" spans="1:20" x14ac:dyDescent="0.25">
      <c r="A161" s="5">
        <v>44432</v>
      </c>
      <c r="B161">
        <v>1.1176E-2</v>
      </c>
      <c r="C161">
        <v>1.1998999999999999E-2</v>
      </c>
      <c r="D161">
        <v>0.01</v>
      </c>
      <c r="E161">
        <v>1.0591E-2</v>
      </c>
      <c r="F161">
        <v>5590216394</v>
      </c>
      <c r="G161">
        <v>1.0591E-2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-0.40870435217608825</v>
      </c>
      <c r="Q161">
        <f t="shared" ref="Q161" si="781">F161*P161</f>
        <v>-2284745769.8339181</v>
      </c>
      <c r="R161">
        <f t="shared" ref="R161" si="782">R162+Q161</f>
        <v>-36399953347.567734</v>
      </c>
      <c r="S161">
        <f t="shared" ref="S161" si="783">R161/100000</f>
        <v>-363999.53347567737</v>
      </c>
      <c r="T161">
        <f t="shared" ref="T161" si="784">S161/1000</f>
        <v>-363.99953347567737</v>
      </c>
    </row>
    <row r="162" spans="1:20" x14ac:dyDescent="0.25">
      <c r="A162" s="5">
        <v>44431</v>
      </c>
      <c r="B162">
        <v>1.1025E-2</v>
      </c>
      <c r="C162">
        <v>1.1560000000000001E-2</v>
      </c>
      <c r="D162">
        <v>1.0923E-2</v>
      </c>
      <c r="E162">
        <v>1.1176E-2</v>
      </c>
      <c r="F162">
        <v>2998232973</v>
      </c>
      <c r="G162">
        <v>1.1176E-2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-0.20565149136577837</v>
      </c>
      <c r="Q162">
        <f t="shared" ref="Q162" si="786">F162*P162</f>
        <v>-616591082.35950148</v>
      </c>
      <c r="R162">
        <f t="shared" ref="R162" si="787">R163+Q162</f>
        <v>-34115207577.733818</v>
      </c>
      <c r="S162">
        <f t="shared" ref="S162" si="788">R162/100000</f>
        <v>-341152.07577733818</v>
      </c>
      <c r="T162">
        <f t="shared" ref="T162" si="789">S162/1000</f>
        <v>-341.15207577733815</v>
      </c>
    </row>
    <row r="163" spans="1:20" x14ac:dyDescent="0.25">
      <c r="A163" s="5">
        <v>44430</v>
      </c>
      <c r="B163">
        <v>1.0777E-2</v>
      </c>
      <c r="C163">
        <v>1.1011E-2</v>
      </c>
      <c r="D163">
        <v>1.0749999999999999E-2</v>
      </c>
      <c r="E163">
        <v>1.0957E-2</v>
      </c>
      <c r="F163">
        <v>369729443</v>
      </c>
      <c r="G163">
        <v>1.0957E-2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0.58620689655172364</v>
      </c>
      <c r="Q163">
        <f t="shared" ref="Q163" si="791">F163*P163</f>
        <v>216737949.34482741</v>
      </c>
      <c r="R163">
        <f t="shared" ref="R163" si="792">R164+Q163</f>
        <v>-33498616495.374317</v>
      </c>
      <c r="S163">
        <f t="shared" ref="S163" si="793">R163/100000</f>
        <v>-334986.16495374317</v>
      </c>
      <c r="T163">
        <f t="shared" ref="T163" si="794">S163/1000</f>
        <v>-334.98616495374318</v>
      </c>
    </row>
    <row r="164" spans="1:20" x14ac:dyDescent="0.25">
      <c r="A164" s="5">
        <v>44429</v>
      </c>
      <c r="B164">
        <v>1.1315E-2</v>
      </c>
      <c r="C164">
        <v>1.1419E-2</v>
      </c>
      <c r="D164">
        <v>1.0673E-2</v>
      </c>
      <c r="E164">
        <v>1.0777E-2</v>
      </c>
      <c r="F164">
        <v>2771245646</v>
      </c>
      <c r="G164">
        <v>1.0777E-2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-0.72117962466487961</v>
      </c>
      <c r="Q164">
        <f t="shared" ref="Q164" si="796">F164*P164</f>
        <v>-1998565894.8364618</v>
      </c>
      <c r="R164">
        <f t="shared" ref="R164" si="797">R165+Q164</f>
        <v>-33715354444.719143</v>
      </c>
      <c r="S164">
        <f t="shared" ref="S164" si="798">R164/100000</f>
        <v>-337153.54444719141</v>
      </c>
      <c r="T164">
        <f t="shared" ref="T164" si="799">S164/1000</f>
        <v>-337.15354444719139</v>
      </c>
    </row>
    <row r="165" spans="1:20" x14ac:dyDescent="0.25">
      <c r="A165" s="5">
        <v>44428</v>
      </c>
      <c r="B165">
        <v>1.0758E-2</v>
      </c>
      <c r="C165">
        <v>1.1624000000000001E-2</v>
      </c>
      <c r="D165">
        <v>1.0689000000000001E-2</v>
      </c>
      <c r="E165">
        <v>1.1313999999999999E-2</v>
      </c>
      <c r="F165">
        <v>3493639679</v>
      </c>
      <c r="G165">
        <v>1.1313999999999999E-2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0.33689839572192254</v>
      </c>
      <c r="Q165">
        <f t="shared" ref="Q165" si="801">F165*P165</f>
        <v>1177001603.0855525</v>
      </c>
      <c r="R165">
        <f t="shared" ref="R165" si="802">R166+Q165</f>
        <v>-31716788549.882683</v>
      </c>
      <c r="S165">
        <f t="shared" ref="S165" si="803">R165/100000</f>
        <v>-317167.8854988268</v>
      </c>
      <c r="T165">
        <f t="shared" ref="T165" si="804">S165/1000</f>
        <v>-317.16788549882682</v>
      </c>
    </row>
    <row r="166" spans="1:20" x14ac:dyDescent="0.25">
      <c r="A166" s="5">
        <v>44427</v>
      </c>
      <c r="B166">
        <v>1.0251E-2</v>
      </c>
      <c r="C166">
        <v>1.0862999999999999E-2</v>
      </c>
      <c r="D166">
        <v>9.7210000000000005E-3</v>
      </c>
      <c r="E166">
        <v>1.0762000000000001E-2</v>
      </c>
      <c r="F166">
        <v>3590643854</v>
      </c>
      <c r="G166">
        <v>1.0762000000000001E-2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0.82311733800350484</v>
      </c>
      <c r="Q166">
        <f t="shared" ref="Q166" si="806">F166*P166</f>
        <v>2955521210.8231254</v>
      </c>
      <c r="R166">
        <f t="shared" ref="R166" si="807">R167+Q166</f>
        <v>-32893790152.968235</v>
      </c>
      <c r="S166">
        <f t="shared" ref="S166" si="808">R166/100000</f>
        <v>-328937.90152968233</v>
      </c>
      <c r="T166">
        <f t="shared" ref="T166" si="809">S166/1000</f>
        <v>-328.93790152968234</v>
      </c>
    </row>
    <row r="167" spans="1:20" x14ac:dyDescent="0.25">
      <c r="A167" s="5">
        <v>44426</v>
      </c>
      <c r="B167">
        <v>1.0225E-2</v>
      </c>
      <c r="C167">
        <v>1.0970000000000001E-2</v>
      </c>
      <c r="D167">
        <v>9.6080000000000002E-3</v>
      </c>
      <c r="E167">
        <v>1.0253E-2</v>
      </c>
      <c r="F167">
        <v>4160481983</v>
      </c>
      <c r="G167">
        <v>1.0253E-2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-5.286343612334865E-2</v>
      </c>
      <c r="Q167">
        <f t="shared" ref="Q167" si="811">F167*P167</f>
        <v>-219937373.55066341</v>
      </c>
      <c r="R167">
        <f t="shared" ref="R167" si="812">R168+Q167</f>
        <v>-35849311363.791359</v>
      </c>
      <c r="S167">
        <f t="shared" ref="S167" si="813">R167/100000</f>
        <v>-358493.1136379136</v>
      </c>
      <c r="T167">
        <f t="shared" ref="T167" si="814">S167/1000</f>
        <v>-358.49311363791361</v>
      </c>
    </row>
    <row r="168" spans="1:20" x14ac:dyDescent="0.25">
      <c r="A168" s="5">
        <v>44425</v>
      </c>
      <c r="B168">
        <v>1.1304E-2</v>
      </c>
      <c r="C168">
        <v>1.1599E-2</v>
      </c>
      <c r="D168">
        <v>1.0000999999999999E-2</v>
      </c>
      <c r="E168">
        <v>1.0245000000000001E-2</v>
      </c>
      <c r="F168">
        <v>4734890901</v>
      </c>
      <c r="G168">
        <v>1.0245000000000001E-2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-0.69461827284104993</v>
      </c>
      <c r="Q168">
        <f t="shared" ref="Q168" si="816">F168*P168</f>
        <v>-3288941739.743423</v>
      </c>
      <c r="R168">
        <f t="shared" ref="R168" si="817">R169+Q168</f>
        <v>-35629373990.240692</v>
      </c>
      <c r="S168">
        <f t="shared" ref="S168" si="818">R168/100000</f>
        <v>-356293.73990240693</v>
      </c>
      <c r="T168">
        <f t="shared" ref="T168" si="819">S168/1000</f>
        <v>-356.29373990240691</v>
      </c>
    </row>
    <row r="169" spans="1:20" x14ac:dyDescent="0.25">
      <c r="A169" s="5">
        <v>44424</v>
      </c>
      <c r="B169">
        <v>1.1787000000000001E-2</v>
      </c>
      <c r="C169">
        <v>1.225E-2</v>
      </c>
      <c r="D169">
        <v>1.0541E-2</v>
      </c>
      <c r="E169">
        <v>1.1304E-2</v>
      </c>
      <c r="F169">
        <v>4200071180</v>
      </c>
      <c r="G169">
        <v>1.1304E-2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-0.10708016383850252</v>
      </c>
      <c r="Q169">
        <f t="shared" ref="Q169" si="821">F169*P169</f>
        <v>-449744310.08777261</v>
      </c>
      <c r="R169">
        <f t="shared" ref="R169" si="822">R170+Q169</f>
        <v>-32340432250.497272</v>
      </c>
      <c r="S169">
        <f t="shared" ref="S169" si="823">R169/100000</f>
        <v>-323404.32250497275</v>
      </c>
      <c r="T169">
        <f t="shared" ref="T169" si="824">S169/1000</f>
        <v>-323.40432250497275</v>
      </c>
    </row>
    <row r="170" spans="1:20" x14ac:dyDescent="0.25">
      <c r="A170" s="5">
        <v>44423</v>
      </c>
      <c r="B170">
        <v>1.1820000000000001E-2</v>
      </c>
      <c r="C170">
        <v>1.2186000000000001E-2</v>
      </c>
      <c r="D170">
        <v>1.1051E-2</v>
      </c>
      <c r="E170">
        <v>1.1787000000000001E-2</v>
      </c>
      <c r="F170">
        <v>4030763296</v>
      </c>
      <c r="G170">
        <v>1.1787000000000001E-2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0.29691629955947163</v>
      </c>
      <c r="Q170">
        <f t="shared" ref="Q170" si="826">F170*P170</f>
        <v>1196799322.2484591</v>
      </c>
      <c r="R170">
        <f t="shared" ref="R170" si="827">R171+Q170</f>
        <v>-31890687940.4095</v>
      </c>
      <c r="S170">
        <f t="shared" ref="S170" si="828">R170/100000</f>
        <v>-318906.879404095</v>
      </c>
      <c r="T170">
        <f t="shared" ref="T170" si="829">S170/1000</f>
        <v>-318.90687940409498</v>
      </c>
    </row>
    <row r="171" spans="1:20" x14ac:dyDescent="0.25">
      <c r="A171" s="5">
        <v>44422</v>
      </c>
      <c r="B171">
        <v>1.2128999999999999E-2</v>
      </c>
      <c r="C171">
        <v>1.2371999999999999E-2</v>
      </c>
      <c r="D171">
        <v>1.15E-2</v>
      </c>
      <c r="E171">
        <v>1.1825E-2</v>
      </c>
      <c r="F171">
        <v>4969199442</v>
      </c>
      <c r="G171">
        <v>1.1825E-2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-0.25458715596330089</v>
      </c>
      <c r="Q171">
        <f t="shared" ref="Q171" si="831">F171*P171</f>
        <v>-1265094353.3532019</v>
      </c>
      <c r="R171">
        <f t="shared" ref="R171" si="832">R172+Q171</f>
        <v>-33087487262.657959</v>
      </c>
      <c r="S171">
        <f t="shared" ref="S171" si="833">R171/100000</f>
        <v>-330874.8726265796</v>
      </c>
      <c r="T171">
        <f t="shared" ref="T171" si="834">S171/1000</f>
        <v>-330.87487262657959</v>
      </c>
    </row>
    <row r="172" spans="1:20" x14ac:dyDescent="0.25">
      <c r="A172" s="5">
        <v>44421</v>
      </c>
      <c r="B172">
        <v>1.098E-2</v>
      </c>
      <c r="C172">
        <v>1.2500000000000001E-2</v>
      </c>
      <c r="D172">
        <v>1.0918000000000001E-2</v>
      </c>
      <c r="E172">
        <v>1.2130999999999999E-2</v>
      </c>
      <c r="F172">
        <v>7359159630</v>
      </c>
      <c r="G172">
        <v>1.2130999999999999E-2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0.53350189633375311</v>
      </c>
      <c r="Q172">
        <f t="shared" ref="Q172" si="836">F172*P172</f>
        <v>3926125618.027801</v>
      </c>
      <c r="R172">
        <f t="shared" ref="R172" si="837">R173+Q172</f>
        <v>-31822392909.304756</v>
      </c>
      <c r="S172">
        <f t="shared" ref="S172" si="838">R172/100000</f>
        <v>-318223.92909304757</v>
      </c>
      <c r="T172">
        <f t="shared" ref="T172" si="839">S172/1000</f>
        <v>-318.22392909304756</v>
      </c>
    </row>
    <row r="173" spans="1:20" x14ac:dyDescent="0.25">
      <c r="A173" s="5">
        <v>44420</v>
      </c>
      <c r="B173">
        <v>1.1502E-2</v>
      </c>
      <c r="C173">
        <v>1.1979999999999999E-2</v>
      </c>
      <c r="D173">
        <v>1.0229E-2</v>
      </c>
      <c r="E173">
        <v>1.0991000000000001E-2</v>
      </c>
      <c r="F173">
        <v>8734509636</v>
      </c>
      <c r="G173">
        <v>1.0991000000000001E-2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-0.12964020559680078</v>
      </c>
      <c r="Q173">
        <f t="shared" ref="Q173" si="841">F173*P173</f>
        <v>-1132343624.9982777</v>
      </c>
      <c r="R173">
        <f t="shared" ref="R173" si="842">R174+Q173</f>
        <v>-35748518527.332558</v>
      </c>
      <c r="S173">
        <f t="shared" ref="S173" si="843">R173/100000</f>
        <v>-357485.18527332559</v>
      </c>
      <c r="T173">
        <f t="shared" ref="T173" si="844">S173/1000</f>
        <v>-357.48518527332561</v>
      </c>
    </row>
    <row r="174" spans="1:20" x14ac:dyDescent="0.25">
      <c r="A174" s="5">
        <v>44419</v>
      </c>
      <c r="B174">
        <v>9.7719999999999994E-3</v>
      </c>
      <c r="C174">
        <v>1.2274999999999999E-2</v>
      </c>
      <c r="D174">
        <v>9.5189999999999997E-3</v>
      </c>
      <c r="E174">
        <v>1.1505E-2</v>
      </c>
      <c r="F174">
        <v>13815947219</v>
      </c>
      <c r="G174">
        <v>1.1505E-2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0.44121915820029034</v>
      </c>
      <c r="Q174">
        <f t="shared" ref="Q174" si="846">F174*P174</f>
        <v>6095860601.7068224</v>
      </c>
      <c r="R174">
        <f t="shared" ref="R174" si="847">R175+Q174</f>
        <v>-34616174902.334282</v>
      </c>
      <c r="S174">
        <f t="shared" ref="S174" si="848">R174/100000</f>
        <v>-346161.7490233428</v>
      </c>
      <c r="T174">
        <f t="shared" ref="T174" si="849">S174/1000</f>
        <v>-346.16174902334279</v>
      </c>
    </row>
    <row r="175" spans="1:20" x14ac:dyDescent="0.25">
      <c r="A175" s="5">
        <v>44418</v>
      </c>
      <c r="B175">
        <v>8.5319999999999997E-3</v>
      </c>
      <c r="C175">
        <v>9.8499999999999994E-3</v>
      </c>
      <c r="D175">
        <v>8.4410000000000006E-3</v>
      </c>
      <c r="E175">
        <v>9.7719999999999994E-3</v>
      </c>
      <c r="F175">
        <v>7110865400</v>
      </c>
      <c r="G175">
        <v>9.7719999999999994E-3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0.8892831795599716</v>
      </c>
      <c r="Q175">
        <f t="shared" ref="Q175" si="851">F175*P175</f>
        <v>6323572992.3349895</v>
      </c>
      <c r="R175">
        <f t="shared" ref="R175" si="852">R176+Q175</f>
        <v>-40712035504.041107</v>
      </c>
      <c r="S175">
        <f t="shared" ref="S175" si="853">R175/100000</f>
        <v>-407120.35504041106</v>
      </c>
      <c r="T175">
        <f t="shared" ref="T175" si="854">S175/1000</f>
        <v>-407.12035504041108</v>
      </c>
    </row>
    <row r="176" spans="1:20" x14ac:dyDescent="0.25">
      <c r="A176" s="5">
        <v>44417</v>
      </c>
      <c r="B176">
        <v>8.1499999999999993E-3</v>
      </c>
      <c r="C176">
        <v>8.77E-3</v>
      </c>
      <c r="D176">
        <v>7.9159999999999994E-3</v>
      </c>
      <c r="E176">
        <v>8.541E-3</v>
      </c>
      <c r="F176">
        <v>5070962123</v>
      </c>
      <c r="G176">
        <v>8.541E-3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0.46370023419203776</v>
      </c>
      <c r="Q176">
        <f t="shared" ref="Q176" si="856">F176*P176</f>
        <v>2351406324.0140529</v>
      </c>
      <c r="R176">
        <f t="shared" ref="R176" si="857">R177+Q176</f>
        <v>-47035608496.376099</v>
      </c>
      <c r="S176">
        <f t="shared" ref="S176" si="858">R176/100000</f>
        <v>-470356.08496376098</v>
      </c>
      <c r="T176">
        <f t="shared" ref="T176" si="859">S176/1000</f>
        <v>-470.35608496376096</v>
      </c>
    </row>
    <row r="177" spans="1:20" x14ac:dyDescent="0.25">
      <c r="A177" s="5">
        <v>44416</v>
      </c>
      <c r="B177">
        <v>7.8519999999999996E-3</v>
      </c>
      <c r="C177">
        <v>8.9499999999999996E-3</v>
      </c>
      <c r="D177">
        <v>7.5859999999999999E-3</v>
      </c>
      <c r="E177">
        <v>8.1569999999999993E-3</v>
      </c>
      <c r="F177">
        <v>7944511585</v>
      </c>
      <c r="G177">
        <v>8.1569999999999993E-3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-0.16275659824046984</v>
      </c>
      <c r="Q177">
        <f t="shared" ref="Q177" si="861">F177*P177</f>
        <v>-1293021680.2566032</v>
      </c>
      <c r="R177">
        <f t="shared" ref="R177" si="862">R178+Q177</f>
        <v>-49387014820.390152</v>
      </c>
      <c r="S177">
        <f t="shared" ref="S177" si="863">R177/100000</f>
        <v>-493870.14820390154</v>
      </c>
      <c r="T177">
        <f t="shared" ref="T177" si="864">S177/1000</f>
        <v>-493.87014820390152</v>
      </c>
    </row>
    <row r="178" spans="1:20" x14ac:dyDescent="0.25">
      <c r="A178" s="5">
        <v>44415</v>
      </c>
      <c r="B178">
        <v>7.8549999999999991E-3</v>
      </c>
      <c r="C178">
        <v>8.2850000000000007E-3</v>
      </c>
      <c r="D178">
        <v>7.3000000000000001E-3</v>
      </c>
      <c r="E178">
        <v>7.8480000000000008E-3</v>
      </c>
      <c r="F178">
        <v>6468919442</v>
      </c>
      <c r="G178">
        <v>7.8480000000000008E-3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0.11269035532995003</v>
      </c>
      <c r="Q178">
        <f t="shared" ref="Q178" si="866">F178*P178</f>
        <v>728984830.51980209</v>
      </c>
      <c r="R178">
        <f t="shared" ref="R178" si="867">R179+Q178</f>
        <v>-48093993140.133545</v>
      </c>
      <c r="S178">
        <f t="shared" ref="S178" si="868">R178/100000</f>
        <v>-480939.93140133546</v>
      </c>
      <c r="T178">
        <f t="shared" ref="T178" si="869">S178/1000</f>
        <v>-480.93993140133546</v>
      </c>
    </row>
    <row r="179" spans="1:20" x14ac:dyDescent="0.25">
      <c r="A179" s="5">
        <v>44414</v>
      </c>
      <c r="B179">
        <v>6.5279999999999999E-3</v>
      </c>
      <c r="C179">
        <v>8.4899999999999993E-3</v>
      </c>
      <c r="D179">
        <v>6.3959999999999998E-3</v>
      </c>
      <c r="E179">
        <v>7.8510000000000003E-3</v>
      </c>
      <c r="F179">
        <v>10965426767</v>
      </c>
      <c r="G179">
        <v>7.8510000000000003E-3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0.38968481375358255</v>
      </c>
      <c r="Q179">
        <f t="shared" ref="Q179" si="871">F179*P179</f>
        <v>4273060287.4269438</v>
      </c>
      <c r="R179">
        <f t="shared" ref="R179" si="872">R180+Q179</f>
        <v>-48822977970.653343</v>
      </c>
      <c r="S179">
        <f t="shared" ref="S179" si="873">R179/100000</f>
        <v>-488229.77970653342</v>
      </c>
      <c r="T179">
        <f t="shared" ref="T179" si="874">S179/1000</f>
        <v>-488.22977970653341</v>
      </c>
    </row>
    <row r="180" spans="1:20" x14ac:dyDescent="0.25">
      <c r="A180" s="5">
        <v>44413</v>
      </c>
      <c r="B180">
        <v>6.3829999999999998E-3</v>
      </c>
      <c r="C180">
        <v>6.5900000000000004E-3</v>
      </c>
      <c r="D180">
        <v>6.202E-3</v>
      </c>
      <c r="E180">
        <v>6.5319999999999996E-3</v>
      </c>
      <c r="F180">
        <v>2389852404</v>
      </c>
      <c r="G180">
        <v>6.5319999999999996E-3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0.70103092783504783</v>
      </c>
      <c r="Q180">
        <f t="shared" ref="Q180" si="876">F180*P180</f>
        <v>1675360448.1649396</v>
      </c>
      <c r="R180">
        <f t="shared" ref="R180" si="877">R181+Q180</f>
        <v>-53096038258.080284</v>
      </c>
      <c r="S180">
        <f t="shared" ref="S180" si="878">R180/100000</f>
        <v>-530960.38258080289</v>
      </c>
      <c r="T180">
        <f t="shared" ref="T180" si="879">S180/1000</f>
        <v>-530.96038258080284</v>
      </c>
    </row>
    <row r="181" spans="1:20" x14ac:dyDescent="0.25">
      <c r="A181" s="5">
        <v>44412</v>
      </c>
      <c r="B181">
        <v>6.1419999999999999E-3</v>
      </c>
      <c r="C181">
        <v>6.4140000000000004E-3</v>
      </c>
      <c r="D181">
        <v>6.0679999999999996E-3</v>
      </c>
      <c r="E181">
        <v>6.3759999999999997E-3</v>
      </c>
      <c r="F181">
        <v>1708391330</v>
      </c>
      <c r="G181">
        <v>6.3759999999999997E-3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0.780346820809245</v>
      </c>
      <c r="Q181">
        <f t="shared" ref="Q181" si="881">F181*P181</f>
        <v>1333137743.0635777</v>
      </c>
      <c r="R181">
        <f t="shared" ref="R181" si="882">R182+Q181</f>
        <v>-54771398706.245224</v>
      </c>
      <c r="S181">
        <f t="shared" ref="S181" si="883">R181/100000</f>
        <v>-547713.98706245224</v>
      </c>
      <c r="T181">
        <f t="shared" ref="T181" si="884">S181/1000</f>
        <v>-547.71398706245225</v>
      </c>
    </row>
    <row r="182" spans="1:20" x14ac:dyDescent="0.25">
      <c r="A182" s="5">
        <v>44411</v>
      </c>
      <c r="B182">
        <v>6.2249999999999996E-3</v>
      </c>
      <c r="C182">
        <v>6.2969999999999996E-3</v>
      </c>
      <c r="D182">
        <v>6.0219999999999996E-3</v>
      </c>
      <c r="E182">
        <v>6.1380000000000002E-3</v>
      </c>
      <c r="F182">
        <v>1424988552</v>
      </c>
      <c r="G182">
        <v>6.1380000000000002E-3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-0.15636363636363185</v>
      </c>
      <c r="Q182">
        <f t="shared" ref="Q182" si="886">F182*P182</f>
        <v>-222816391.7672663</v>
      </c>
      <c r="R182">
        <f t="shared" ref="R182" si="887">R183+Q182</f>
        <v>-56104536449.3088</v>
      </c>
      <c r="S182">
        <f t="shared" ref="S182" si="888">R182/100000</f>
        <v>-561045.36449308798</v>
      </c>
      <c r="T182">
        <f t="shared" ref="T182" si="889">S182/1000</f>
        <v>-561.04536449308796</v>
      </c>
    </row>
    <row r="183" spans="1:20" x14ac:dyDescent="0.25">
      <c r="A183" s="5">
        <v>44410</v>
      </c>
      <c r="B183">
        <v>6.2259999999999998E-3</v>
      </c>
      <c r="C183">
        <v>6.3969999999999999E-3</v>
      </c>
      <c r="D183">
        <v>6.1399999999999996E-3</v>
      </c>
      <c r="E183">
        <v>6.2269999999999999E-3</v>
      </c>
      <c r="F183">
        <v>1408897842</v>
      </c>
      <c r="G183">
        <v>6.2269999999999999E-3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-0.3229571984435784</v>
      </c>
      <c r="Q183">
        <f t="shared" ref="Q183" si="891">F183*P183</f>
        <v>-455013699.94552338</v>
      </c>
      <c r="R183">
        <f t="shared" ref="R183" si="892">R184+Q183</f>
        <v>-55881720057.541534</v>
      </c>
      <c r="S183">
        <f t="shared" ref="S183" si="893">R183/100000</f>
        <v>-558817.20057541539</v>
      </c>
      <c r="T183">
        <f t="shared" ref="T183" si="894">S183/1000</f>
        <v>-558.81720057541543</v>
      </c>
    </row>
    <row r="184" spans="1:20" x14ac:dyDescent="0.25">
      <c r="A184" s="5">
        <v>44409</v>
      </c>
      <c r="B184">
        <v>6.3070000000000001E-3</v>
      </c>
      <c r="C184">
        <v>6.6699999999999997E-3</v>
      </c>
      <c r="D184">
        <v>6.1289999999999999E-3</v>
      </c>
      <c r="E184">
        <v>6.2249999999999996E-3</v>
      </c>
      <c r="F184">
        <v>2912040503</v>
      </c>
      <c r="G184">
        <v>6.2249999999999996E-3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-0.64510166358595278</v>
      </c>
      <c r="Q184">
        <f t="shared" ref="Q184" si="896">F184*P184</f>
        <v>-1878562172.9149747</v>
      </c>
      <c r="R184">
        <f t="shared" ref="R184" si="897">R185+Q184</f>
        <v>-55426706357.596008</v>
      </c>
      <c r="S184">
        <f t="shared" ref="S184" si="898">R184/100000</f>
        <v>-554267.06357596011</v>
      </c>
      <c r="T184">
        <f t="shared" ref="T184" si="899">S184/1000</f>
        <v>-554.26706357596015</v>
      </c>
    </row>
    <row r="185" spans="1:20" x14ac:dyDescent="0.25">
      <c r="A185" s="5">
        <v>44408</v>
      </c>
      <c r="B185">
        <v>6.3730000000000002E-3</v>
      </c>
      <c r="C185">
        <v>6.4429999999999999E-3</v>
      </c>
      <c r="D185">
        <v>6.2100000000000002E-3</v>
      </c>
      <c r="E185">
        <v>6.3150000000000003E-3</v>
      </c>
      <c r="F185">
        <v>1957715901</v>
      </c>
      <c r="G185">
        <v>6.3150000000000003E-3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-9.8712446351929675E-2</v>
      </c>
      <c r="Q185">
        <f t="shared" ref="Q185" si="901">F185*P185</f>
        <v>-193250925.84978217</v>
      </c>
      <c r="R185">
        <f t="shared" ref="R185" si="902">R186+Q185</f>
        <v>-53548144184.68103</v>
      </c>
      <c r="S185">
        <f t="shared" ref="S185" si="903">R185/100000</f>
        <v>-535481.44184681028</v>
      </c>
      <c r="T185">
        <f t="shared" ref="T185" si="904">S185/1000</f>
        <v>-535.4814418468103</v>
      </c>
    </row>
    <row r="186" spans="1:20" x14ac:dyDescent="0.25">
      <c r="A186" s="5">
        <v>44407</v>
      </c>
      <c r="B186">
        <v>6.2440000000000004E-3</v>
      </c>
      <c r="C186">
        <v>6.3829999999999998E-3</v>
      </c>
      <c r="D186">
        <v>5.9319999999999998E-3</v>
      </c>
      <c r="E186">
        <v>6.3730000000000002E-3</v>
      </c>
      <c r="F186">
        <v>2134891303</v>
      </c>
      <c r="G186">
        <v>6.3730000000000002E-3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0.95565410199556722</v>
      </c>
      <c r="Q186">
        <f t="shared" ref="Q186" si="906">F186*P186</f>
        <v>2040217631.0266113</v>
      </c>
      <c r="R186">
        <f t="shared" ref="R186" si="907">R187+Q186</f>
        <v>-53354893258.831245</v>
      </c>
      <c r="S186">
        <f t="shared" ref="S186" si="908">R186/100000</f>
        <v>-533548.93258831243</v>
      </c>
      <c r="T186">
        <f t="shared" ref="T186" si="909">S186/1000</f>
        <v>-533.54893258831248</v>
      </c>
    </row>
    <row r="187" spans="1:20" x14ac:dyDescent="0.25">
      <c r="A187" s="5">
        <v>44406</v>
      </c>
      <c r="B187">
        <v>6.2139999999999999E-3</v>
      </c>
      <c r="C187">
        <v>6.4200000000000004E-3</v>
      </c>
      <c r="D187">
        <v>6.0800000000000003E-3</v>
      </c>
      <c r="E187">
        <v>6.2449999999999997E-3</v>
      </c>
      <c r="F187">
        <v>2184639548</v>
      </c>
      <c r="G187">
        <v>6.2449999999999997E-3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-2.9411764705886256E-2</v>
      </c>
      <c r="Q187">
        <f t="shared" ref="Q187" si="911">F187*P187</f>
        <v>-64254104.352949701</v>
      </c>
      <c r="R187">
        <f t="shared" ref="R187" si="912">R188+Q187</f>
        <v>-55395110889.857857</v>
      </c>
      <c r="S187">
        <f t="shared" ref="S187" si="913">R187/100000</f>
        <v>-553951.10889857856</v>
      </c>
      <c r="T187">
        <f t="shared" ref="T187" si="914">S187/1000</f>
        <v>-553.95110889857858</v>
      </c>
    </row>
    <row r="188" spans="1:20" x14ac:dyDescent="0.25">
      <c r="A188" s="5">
        <v>44405</v>
      </c>
      <c r="B188">
        <v>6.3140000000000002E-3</v>
      </c>
      <c r="C188">
        <v>6.4359999999999999E-3</v>
      </c>
      <c r="D188">
        <v>6.0600000000000003E-3</v>
      </c>
      <c r="E188">
        <v>6.2179999999999996E-3</v>
      </c>
      <c r="F188">
        <v>3206461739</v>
      </c>
      <c r="G188">
        <v>6.2179999999999996E-3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-0.15957446808510928</v>
      </c>
      <c r="Q188">
        <f t="shared" ref="Q188" si="916">F188*P188</f>
        <v>-511669426.43617952</v>
      </c>
      <c r="R188">
        <f t="shared" ref="R188" si="917">R189+Q188</f>
        <v>-55330856785.504906</v>
      </c>
      <c r="S188">
        <f t="shared" ref="S188" si="918">R188/100000</f>
        <v>-553308.56785504904</v>
      </c>
      <c r="T188">
        <f t="shared" ref="T188" si="919">S188/1000</f>
        <v>-553.30856785504909</v>
      </c>
    </row>
    <row r="189" spans="1:20" x14ac:dyDescent="0.25">
      <c r="A189" s="5">
        <v>44404</v>
      </c>
      <c r="B189">
        <v>5.9259999999999998E-3</v>
      </c>
      <c r="C189">
        <v>6.5339999999999999E-3</v>
      </c>
      <c r="D189">
        <v>5.5909999999999996E-3</v>
      </c>
      <c r="E189">
        <v>6.306E-3</v>
      </c>
      <c r="F189">
        <v>5352603532</v>
      </c>
      <c r="G189">
        <v>6.306E-3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0.51643690349947013</v>
      </c>
      <c r="Q189">
        <f t="shared" ref="Q189" si="921">F189*P189</f>
        <v>2764281993.7264071</v>
      </c>
      <c r="R189">
        <f t="shared" ref="R189" si="922">R190+Q189</f>
        <v>-54819187359.068726</v>
      </c>
      <c r="S189">
        <f t="shared" ref="S189" si="923">R189/100000</f>
        <v>-548191.87359068729</v>
      </c>
      <c r="T189">
        <f t="shared" ref="T189" si="924">S189/1000</f>
        <v>-548.19187359068724</v>
      </c>
    </row>
    <row r="190" spans="1:20" x14ac:dyDescent="0.25">
      <c r="A190" s="5">
        <v>44403</v>
      </c>
      <c r="B190">
        <v>5.339E-3</v>
      </c>
      <c r="C190">
        <v>6.6990000000000001E-3</v>
      </c>
      <c r="D190">
        <v>5.2830000000000004E-3</v>
      </c>
      <c r="E190">
        <v>5.9319999999999998E-3</v>
      </c>
      <c r="F190">
        <v>9230710821</v>
      </c>
      <c r="G190">
        <v>5.9319999999999998E-3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-8.3333333333333995E-2</v>
      </c>
      <c r="Q190">
        <f t="shared" ref="Q190" si="926">F190*P190</f>
        <v>-769225901.75000608</v>
      </c>
      <c r="R190">
        <f t="shared" ref="R190" si="927">R191+Q190</f>
        <v>-57583469352.795135</v>
      </c>
      <c r="S190">
        <f t="shared" ref="S190" si="928">R190/100000</f>
        <v>-575834.69352795137</v>
      </c>
      <c r="T190">
        <f t="shared" ref="T190" si="929">S190/1000</f>
        <v>-575.83469352795134</v>
      </c>
    </row>
    <row r="191" spans="1:20" x14ac:dyDescent="0.25">
      <c r="A191" s="5">
        <v>44402</v>
      </c>
      <c r="B191">
        <v>5.2009999999999999E-3</v>
      </c>
      <c r="C191">
        <v>5.3410000000000003E-3</v>
      </c>
      <c r="D191">
        <v>5.045E-3</v>
      </c>
      <c r="E191">
        <v>5.339E-3</v>
      </c>
      <c r="F191">
        <v>2070111246</v>
      </c>
      <c r="G191">
        <v>5.339E-3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0.98648648648648474</v>
      </c>
      <c r="Q191">
        <f t="shared" ref="Q191" si="931">F191*P191</f>
        <v>2042136769.7026992</v>
      </c>
      <c r="R191">
        <f t="shared" ref="R191" si="932">R192+Q191</f>
        <v>-56814243451.045128</v>
      </c>
      <c r="S191">
        <f t="shared" ref="S191" si="933">R191/100000</f>
        <v>-568142.43451045128</v>
      </c>
      <c r="T191">
        <f t="shared" ref="T191:T197" si="934">S191/1000</f>
        <v>-568.14243451045127</v>
      </c>
    </row>
    <row r="192" spans="1:20" x14ac:dyDescent="0.25">
      <c r="A192" s="5">
        <v>44401</v>
      </c>
      <c r="B192">
        <v>5.1549999999999999E-3</v>
      </c>
      <c r="C192">
        <v>5.4450000000000002E-3</v>
      </c>
      <c r="D192">
        <v>5.0309999999999999E-3</v>
      </c>
      <c r="E192">
        <v>5.202E-3</v>
      </c>
      <c r="F192">
        <v>2753818224</v>
      </c>
      <c r="G192">
        <v>5.202E-3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-0.17391304347826078</v>
      </c>
      <c r="Q192">
        <f t="shared" ref="Q192" si="936">F192*P192</f>
        <v>-478924908.52173889</v>
      </c>
      <c r="R192">
        <f t="shared" ref="R192" si="937">R193+Q192</f>
        <v>-58856380220.747826</v>
      </c>
      <c r="S192">
        <f t="shared" ref="S192" si="938">R192/100000</f>
        <v>-588563.80220747821</v>
      </c>
      <c r="T192">
        <f t="shared" si="934"/>
        <v>-588.56380220747826</v>
      </c>
    </row>
    <row r="193" spans="1:20" x14ac:dyDescent="0.25">
      <c r="A193" s="5">
        <v>44400</v>
      </c>
      <c r="B193">
        <v>4.8929999999999998E-3</v>
      </c>
      <c r="C193">
        <v>5.1910000000000003E-3</v>
      </c>
      <c r="D193">
        <v>4.7530000000000003E-3</v>
      </c>
      <c r="E193">
        <v>5.1549999999999999E-3</v>
      </c>
      <c r="F193">
        <v>1720521800</v>
      </c>
      <c r="G193">
        <v>5.1549999999999999E-3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0.83561643835616239</v>
      </c>
      <c r="Q193">
        <f t="shared" ref="Q193" si="940">F193*P193</f>
        <v>1437696298.6301336</v>
      </c>
      <c r="R193">
        <f t="shared" ref="R193" si="941">R194+Q193</f>
        <v>-58377455312.226089</v>
      </c>
      <c r="S193">
        <f t="shared" ref="S193" si="942">R193/100000</f>
        <v>-583774.55312226084</v>
      </c>
      <c r="T193">
        <f t="shared" si="934"/>
        <v>-583.77455312226084</v>
      </c>
    </row>
    <row r="194" spans="1:20" x14ac:dyDescent="0.25">
      <c r="A194" s="5">
        <v>44399</v>
      </c>
      <c r="B194">
        <v>4.7840000000000001E-3</v>
      </c>
      <c r="C194">
        <v>4.9839999999999997E-3</v>
      </c>
      <c r="D194">
        <v>4.6909999999999999E-3</v>
      </c>
      <c r="E194">
        <v>4.895E-3</v>
      </c>
      <c r="F194">
        <v>1538513501</v>
      </c>
      <c r="G194">
        <v>4.895E-3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0.39249146757679376</v>
      </c>
      <c r="Q194">
        <f t="shared" ref="Q194" si="944">F194*P194</f>
        <v>603853421.89420092</v>
      </c>
      <c r="R194">
        <f t="shared" ref="R194" si="945">R195+Q194</f>
        <v>-59815151610.856224</v>
      </c>
      <c r="S194">
        <f t="shared" ref="S194" si="946">R194/100000</f>
        <v>-598151.51610856224</v>
      </c>
      <c r="T194">
        <f t="shared" si="934"/>
        <v>-598.15151610856219</v>
      </c>
    </row>
    <row r="195" spans="1:20" x14ac:dyDescent="0.25">
      <c r="A195" s="5">
        <v>44398</v>
      </c>
      <c r="B195">
        <v>4.457E-3</v>
      </c>
      <c r="C195">
        <v>4.9370000000000004E-3</v>
      </c>
      <c r="D195">
        <v>4.3299999999999996E-3</v>
      </c>
      <c r="E195">
        <v>4.7850000000000002E-3</v>
      </c>
      <c r="F195">
        <v>2417540854</v>
      </c>
      <c r="G195">
        <v>4.7850000000000002E-3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0.49917627677100485</v>
      </c>
      <c r="Q195">
        <f t="shared" ref="Q195" si="948">F195*P195</f>
        <v>1206779042.4415154</v>
      </c>
      <c r="R195">
        <f t="shared" ref="R195" si="949">R196+Q195</f>
        <v>-60419005032.750427</v>
      </c>
      <c r="S195">
        <f t="shared" ref="S195" si="950">R195/100000</f>
        <v>-604190.05032750429</v>
      </c>
      <c r="T195">
        <f t="shared" si="934"/>
        <v>-604.19005032750431</v>
      </c>
    </row>
    <row r="196" spans="1:20" x14ac:dyDescent="0.25">
      <c r="A196" s="5">
        <v>44397</v>
      </c>
      <c r="B196">
        <v>4.7990000000000003E-3</v>
      </c>
      <c r="C196">
        <v>4.8869999999999999E-3</v>
      </c>
      <c r="D196">
        <v>4.3540000000000002E-3</v>
      </c>
      <c r="E196">
        <v>4.4549999999999998E-3</v>
      </c>
      <c r="F196">
        <v>3513581521</v>
      </c>
      <c r="G196">
        <v>4.4549999999999998E-3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-0.62101313320825668</v>
      </c>
      <c r="Q196">
        <f t="shared" ref="Q196" si="952">F196*P196</f>
        <v>-2181980269.1388421</v>
      </c>
      <c r="R196">
        <f t="shared" ref="R196" si="953">R197+Q196</f>
        <v>-61625784075.19194</v>
      </c>
      <c r="S196">
        <f t="shared" ref="S196" si="954">R196/100000</f>
        <v>-616257.84075191943</v>
      </c>
      <c r="T196">
        <f t="shared" si="934"/>
        <v>-616.25784075191939</v>
      </c>
    </row>
    <row r="197" spans="1:20" x14ac:dyDescent="0.25">
      <c r="A197" s="5">
        <v>44396</v>
      </c>
      <c r="B197">
        <v>5.1130000000000004E-3</v>
      </c>
      <c r="C197">
        <v>5.1380000000000002E-3</v>
      </c>
      <c r="D197">
        <v>4.7499999999999999E-3</v>
      </c>
      <c r="E197">
        <v>4.7949999999999998E-3</v>
      </c>
      <c r="F197">
        <v>1676059147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-0.76804123711340277</v>
      </c>
      <c r="Q197">
        <f t="shared" ref="Q197" si="956">F197*P197</f>
        <v>-1287282540.7371147</v>
      </c>
      <c r="R197">
        <f t="shared" ref="R197" si="957">R198+Q197</f>
        <v>-59443803806.053101</v>
      </c>
      <c r="S197">
        <f t="shared" ref="S197" si="958">R197/100000</f>
        <v>-594438.03806053102</v>
      </c>
      <c r="T197">
        <f t="shared" si="934"/>
        <v>-594.43803806053097</v>
      </c>
    </row>
    <row r="198" spans="1:20" x14ac:dyDescent="0.25">
      <c r="A198" s="5">
        <v>44395</v>
      </c>
      <c r="B198">
        <v>5.169E-3</v>
      </c>
      <c r="C198">
        <v>5.2950000000000002E-3</v>
      </c>
      <c r="D198">
        <v>5.0439999999999999E-3</v>
      </c>
      <c r="E198">
        <v>5.1139999999999996E-3</v>
      </c>
      <c r="F198">
        <v>1548825886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-0.44223107569721393</v>
      </c>
      <c r="Q198">
        <f t="shared" ref="Q198:Q261" si="960">F198*P198</f>
        <v>-684938937.63347042</v>
      </c>
      <c r="R198">
        <f t="shared" ref="R198:R261" si="961">R199+Q198</f>
        <v>-58156521265.315987</v>
      </c>
      <c r="S198">
        <f t="shared" ref="S198:S261" si="962">R198/100000</f>
        <v>-581565.21265315986</v>
      </c>
      <c r="T198">
        <f t="shared" ref="T198:T261" si="963">S198/1000</f>
        <v>-581.56521265315985</v>
      </c>
    </row>
    <row r="199" spans="1:20" x14ac:dyDescent="0.25">
      <c r="A199" s="5">
        <v>44394</v>
      </c>
      <c r="B199">
        <v>5.0140000000000002E-3</v>
      </c>
      <c r="C199">
        <v>5.5649999999999996E-3</v>
      </c>
      <c r="D199">
        <v>4.9550000000000002E-3</v>
      </c>
      <c r="E199">
        <v>5.169E-3</v>
      </c>
      <c r="F199">
        <v>2866697539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-0.29836065573770498</v>
      </c>
      <c r="Q199">
        <f t="shared" si="960"/>
        <v>-855309757.53770506</v>
      </c>
      <c r="R199">
        <f t="shared" si="961"/>
        <v>-57471582327.682518</v>
      </c>
      <c r="S199">
        <f t="shared" si="962"/>
        <v>-574715.82327682513</v>
      </c>
      <c r="T199">
        <f t="shared" si="963"/>
        <v>-574.71582327682518</v>
      </c>
    </row>
    <row r="200" spans="1:20" x14ac:dyDescent="0.25">
      <c r="A200" s="5">
        <v>44393</v>
      </c>
      <c r="B200">
        <v>5.2420000000000001E-3</v>
      </c>
      <c r="C200">
        <v>5.3930000000000002E-3</v>
      </c>
      <c r="D200">
        <v>4.9940000000000002E-3</v>
      </c>
      <c r="E200">
        <v>5.0150000000000004E-3</v>
      </c>
      <c r="F200">
        <v>1778753479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-0.89473684210526228</v>
      </c>
      <c r="Q200">
        <f t="shared" si="960"/>
        <v>-1591516270.6842089</v>
      </c>
      <c r="R200">
        <f t="shared" si="961"/>
        <v>-56616272570.144814</v>
      </c>
      <c r="S200">
        <f t="shared" si="962"/>
        <v>-566162.72570144816</v>
      </c>
      <c r="T200">
        <f t="shared" si="963"/>
        <v>-566.16272570144815</v>
      </c>
    </row>
    <row r="201" spans="1:20" x14ac:dyDescent="0.25">
      <c r="A201" s="5">
        <v>44392</v>
      </c>
      <c r="B201">
        <v>5.4819999999999999E-3</v>
      </c>
      <c r="C201">
        <v>5.5659999999999998E-3</v>
      </c>
      <c r="D201">
        <v>5.143E-3</v>
      </c>
      <c r="E201">
        <v>5.2389999999999997E-3</v>
      </c>
      <c r="F201">
        <v>1628330576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-0.54609929078014285</v>
      </c>
      <c r="Q201">
        <f t="shared" si="960"/>
        <v>-889230172.70922148</v>
      </c>
      <c r="R201">
        <f t="shared" si="961"/>
        <v>-55024756299.460602</v>
      </c>
      <c r="S201">
        <f t="shared" si="962"/>
        <v>-550247.56299460598</v>
      </c>
      <c r="T201">
        <f t="shared" si="963"/>
        <v>-550.24756299460603</v>
      </c>
    </row>
    <row r="202" spans="1:20" x14ac:dyDescent="0.25">
      <c r="A202" s="5">
        <v>44391</v>
      </c>
      <c r="B202">
        <v>5.4660000000000004E-3</v>
      </c>
      <c r="C202">
        <v>5.5529999999999998E-3</v>
      </c>
      <c r="D202">
        <v>5.0829999999999998E-3</v>
      </c>
      <c r="E202">
        <v>5.4840000000000002E-3</v>
      </c>
      <c r="F202">
        <v>1598018865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0.70638297872340583</v>
      </c>
      <c r="Q202">
        <f t="shared" si="960"/>
        <v>1128813325.9148962</v>
      </c>
      <c r="R202">
        <f t="shared" si="961"/>
        <v>-54135526126.751381</v>
      </c>
      <c r="S202">
        <f t="shared" si="962"/>
        <v>-541355.26126751385</v>
      </c>
      <c r="T202">
        <f t="shared" si="963"/>
        <v>-541.35526126751381</v>
      </c>
    </row>
    <row r="203" spans="1:20" x14ac:dyDescent="0.25">
      <c r="A203" s="5">
        <v>44390</v>
      </c>
      <c r="B203">
        <v>5.6249999999999998E-3</v>
      </c>
      <c r="C203">
        <v>5.6699999999999997E-3</v>
      </c>
      <c r="D203">
        <v>5.3569999999999998E-3</v>
      </c>
      <c r="E203">
        <v>5.4619999999999998E-3</v>
      </c>
      <c r="F203">
        <v>1192068385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-0.32907348242811446</v>
      </c>
      <c r="Q203">
        <f t="shared" si="960"/>
        <v>-392278094.74440831</v>
      </c>
      <c r="R203">
        <f t="shared" si="961"/>
        <v>-55264339452.666275</v>
      </c>
      <c r="S203">
        <f t="shared" si="962"/>
        <v>-552643.39452666277</v>
      </c>
      <c r="T203">
        <f t="shared" si="963"/>
        <v>-552.64339452666275</v>
      </c>
    </row>
    <row r="204" spans="1:20" x14ac:dyDescent="0.25">
      <c r="A204" s="5">
        <v>44389</v>
      </c>
      <c r="B204">
        <v>5.77E-3</v>
      </c>
      <c r="C204">
        <v>5.8279999999999998E-3</v>
      </c>
      <c r="D204">
        <v>5.5110000000000003E-3</v>
      </c>
      <c r="E204">
        <v>5.6210000000000001E-3</v>
      </c>
      <c r="F204">
        <v>1003743741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-0.305993690851735</v>
      </c>
      <c r="Q204">
        <f t="shared" si="960"/>
        <v>-307139251.97791797</v>
      </c>
      <c r="R204">
        <f t="shared" si="961"/>
        <v>-54872061357.921867</v>
      </c>
      <c r="S204">
        <f t="shared" si="962"/>
        <v>-548720.61357921863</v>
      </c>
      <c r="T204">
        <f t="shared" si="963"/>
        <v>-548.72061357921859</v>
      </c>
    </row>
    <row r="205" spans="1:20" x14ac:dyDescent="0.25">
      <c r="A205" s="5">
        <v>44388</v>
      </c>
      <c r="B205">
        <v>5.6870000000000002E-3</v>
      </c>
      <c r="C205">
        <v>5.8459999999999996E-3</v>
      </c>
      <c r="D205">
        <v>5.6270000000000001E-3</v>
      </c>
      <c r="E205">
        <v>5.7609999999999996E-3</v>
      </c>
      <c r="F205">
        <v>905830580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0.22374429223744136</v>
      </c>
      <c r="Q205">
        <f t="shared" si="960"/>
        <v>202674422.00913101</v>
      </c>
      <c r="R205">
        <f t="shared" si="961"/>
        <v>-54564922105.943947</v>
      </c>
      <c r="S205">
        <f t="shared" si="962"/>
        <v>-545649.22105943947</v>
      </c>
      <c r="T205">
        <f t="shared" si="963"/>
        <v>-545.64922105943947</v>
      </c>
    </row>
    <row r="206" spans="1:20" x14ac:dyDescent="0.25">
      <c r="A206" s="5">
        <v>44387</v>
      </c>
      <c r="B206">
        <v>5.8060000000000004E-3</v>
      </c>
      <c r="C206">
        <v>5.9160000000000003E-3</v>
      </c>
      <c r="D206">
        <v>5.555E-3</v>
      </c>
      <c r="E206">
        <v>5.6889999999999996E-3</v>
      </c>
      <c r="F206">
        <v>1173541706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-0.25761772853185877</v>
      </c>
      <c r="Q206">
        <f t="shared" si="960"/>
        <v>-302325148.63712239</v>
      </c>
      <c r="R206">
        <f t="shared" si="961"/>
        <v>-54767596527.953079</v>
      </c>
      <c r="S206">
        <f t="shared" si="962"/>
        <v>-547675.96527953085</v>
      </c>
      <c r="T206">
        <f t="shared" si="963"/>
        <v>-547.67596527953083</v>
      </c>
    </row>
    <row r="207" spans="1:20" x14ac:dyDescent="0.25">
      <c r="A207" s="5">
        <v>44386</v>
      </c>
      <c r="B207">
        <v>5.7479999999999996E-3</v>
      </c>
      <c r="C207">
        <v>5.8890000000000001E-3</v>
      </c>
      <c r="D207">
        <v>5.4640000000000001E-3</v>
      </c>
      <c r="E207">
        <v>5.803E-3</v>
      </c>
      <c r="F207">
        <v>1503600490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0.5952941176470582</v>
      </c>
      <c r="Q207">
        <f t="shared" si="960"/>
        <v>895084526.9882344</v>
      </c>
      <c r="R207">
        <f t="shared" si="961"/>
        <v>-54465271379.315956</v>
      </c>
      <c r="S207">
        <f t="shared" si="962"/>
        <v>-544652.71379315958</v>
      </c>
      <c r="T207">
        <f t="shared" si="963"/>
        <v>-544.65271379315959</v>
      </c>
    </row>
    <row r="208" spans="1:20" x14ac:dyDescent="0.25">
      <c r="A208" s="5">
        <v>44385</v>
      </c>
      <c r="B208">
        <v>5.9880000000000003E-3</v>
      </c>
      <c r="C208">
        <v>6.0099999999999997E-3</v>
      </c>
      <c r="D208">
        <v>5.672E-3</v>
      </c>
      <c r="E208">
        <v>5.7400000000000003E-3</v>
      </c>
      <c r="F208">
        <v>1753870741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-0.59763313609467217</v>
      </c>
      <c r="Q208">
        <f t="shared" si="960"/>
        <v>-1048171271.2485166</v>
      </c>
      <c r="R208">
        <f t="shared" si="961"/>
        <v>-55360355906.304192</v>
      </c>
      <c r="S208">
        <f t="shared" si="962"/>
        <v>-553603.55906304193</v>
      </c>
      <c r="T208">
        <f t="shared" si="963"/>
        <v>-553.60355906304198</v>
      </c>
    </row>
    <row r="209" spans="1:20" x14ac:dyDescent="0.25">
      <c r="A209" s="5">
        <v>44384</v>
      </c>
      <c r="B209">
        <v>6.0289999999999996E-3</v>
      </c>
      <c r="C209">
        <v>6.2300000000000003E-3</v>
      </c>
      <c r="D209">
        <v>5.9550000000000002E-3</v>
      </c>
      <c r="E209">
        <v>5.9909999999999998E-3</v>
      </c>
      <c r="F209">
        <v>2249055154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-0.73818181818182138</v>
      </c>
      <c r="Q209">
        <f t="shared" si="960"/>
        <v>-1660211622.7709162</v>
      </c>
      <c r="R209">
        <f t="shared" si="961"/>
        <v>-54312184635.055672</v>
      </c>
      <c r="S209">
        <f t="shared" si="962"/>
        <v>-543121.84635055671</v>
      </c>
      <c r="T209">
        <f t="shared" si="963"/>
        <v>-543.12184635055667</v>
      </c>
    </row>
    <row r="210" spans="1:20" x14ac:dyDescent="0.25">
      <c r="A210" s="5">
        <v>44383</v>
      </c>
      <c r="B210">
        <v>5.96E-3</v>
      </c>
      <c r="C210">
        <v>6.1999999999999998E-3</v>
      </c>
      <c r="D210">
        <v>5.9259999999999998E-3</v>
      </c>
      <c r="E210">
        <v>6.0289999999999996E-3</v>
      </c>
      <c r="F210">
        <v>1918465459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-0.24817518248175316</v>
      </c>
      <c r="Q210">
        <f t="shared" si="960"/>
        <v>-476115515.37226534</v>
      </c>
      <c r="R210">
        <f t="shared" si="961"/>
        <v>-52651973012.284752</v>
      </c>
      <c r="S210">
        <f t="shared" si="962"/>
        <v>-526519.73012284748</v>
      </c>
      <c r="T210">
        <f t="shared" si="963"/>
        <v>-526.51973012284748</v>
      </c>
    </row>
    <row r="211" spans="1:20" x14ac:dyDescent="0.25">
      <c r="A211" s="5">
        <v>44382</v>
      </c>
      <c r="B211">
        <v>6.1710000000000003E-3</v>
      </c>
      <c r="C211">
        <v>6.1710000000000003E-3</v>
      </c>
      <c r="D211">
        <v>5.8440000000000002E-3</v>
      </c>
      <c r="E211">
        <v>5.9569999999999996E-3</v>
      </c>
      <c r="F211">
        <v>1692606785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-0.30886850152905582</v>
      </c>
      <c r="Q211">
        <f t="shared" si="960"/>
        <v>-522792921.36086273</v>
      </c>
      <c r="R211">
        <f t="shared" si="961"/>
        <v>-52175857496.912483</v>
      </c>
      <c r="S211">
        <f t="shared" si="962"/>
        <v>-521758.57496912481</v>
      </c>
      <c r="T211">
        <f t="shared" si="963"/>
        <v>-521.75857496912477</v>
      </c>
    </row>
    <row r="212" spans="1:20" x14ac:dyDescent="0.25">
      <c r="A212" s="5">
        <v>44381</v>
      </c>
      <c r="B212">
        <v>6.0629999999999998E-3</v>
      </c>
      <c r="C212">
        <v>6.3449999999999999E-3</v>
      </c>
      <c r="D212">
        <v>5.94E-3</v>
      </c>
      <c r="E212">
        <v>6.169E-3</v>
      </c>
      <c r="F212">
        <v>1642963055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0.13086419753086445</v>
      </c>
      <c r="Q212">
        <f t="shared" si="960"/>
        <v>215005041.76543251</v>
      </c>
      <c r="R212">
        <f t="shared" si="961"/>
        <v>-51653064575.55162</v>
      </c>
      <c r="S212">
        <f t="shared" si="962"/>
        <v>-516530.64575551619</v>
      </c>
      <c r="T212">
        <f t="shared" si="963"/>
        <v>-516.53064575551616</v>
      </c>
    </row>
    <row r="213" spans="1:20" x14ac:dyDescent="0.25">
      <c r="A213" s="5">
        <v>44380</v>
      </c>
      <c r="B213">
        <v>5.8830000000000002E-3</v>
      </c>
      <c r="C213">
        <v>6.1000000000000004E-3</v>
      </c>
      <c r="D213">
        <v>5.8650000000000004E-3</v>
      </c>
      <c r="E213">
        <v>6.0569999999999999E-3</v>
      </c>
      <c r="F213">
        <v>1645364063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0.63404255319148506</v>
      </c>
      <c r="Q213">
        <f t="shared" si="960"/>
        <v>1043230831.4340354</v>
      </c>
      <c r="R213">
        <f t="shared" si="961"/>
        <v>-51868069617.317055</v>
      </c>
      <c r="S213">
        <f t="shared" si="962"/>
        <v>-518680.69617317052</v>
      </c>
      <c r="T213">
        <f t="shared" si="963"/>
        <v>-518.68069617317053</v>
      </c>
    </row>
    <row r="214" spans="1:20" x14ac:dyDescent="0.25">
      <c r="A214" s="5">
        <v>44379</v>
      </c>
      <c r="B214">
        <v>5.8809999999999999E-3</v>
      </c>
      <c r="C214">
        <v>5.9709999999999997E-3</v>
      </c>
      <c r="D214">
        <v>5.6930000000000001E-3</v>
      </c>
      <c r="E214">
        <v>5.8830000000000002E-3</v>
      </c>
      <c r="F214">
        <v>1359436818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0.36690647482014632</v>
      </c>
      <c r="Q214">
        <f t="shared" si="960"/>
        <v>498786170.63309681</v>
      </c>
      <c r="R214">
        <f t="shared" si="961"/>
        <v>-52911300448.751091</v>
      </c>
      <c r="S214">
        <f t="shared" si="962"/>
        <v>-529113.00448751089</v>
      </c>
      <c r="T214">
        <f t="shared" si="963"/>
        <v>-529.11300448751092</v>
      </c>
    </row>
    <row r="215" spans="1:20" x14ac:dyDescent="0.25">
      <c r="A215" s="5">
        <v>44378</v>
      </c>
      <c r="B215">
        <v>6.1320000000000003E-3</v>
      </c>
      <c r="C215">
        <v>6.1580000000000003E-3</v>
      </c>
      <c r="D215">
        <v>5.7619999999999998E-3</v>
      </c>
      <c r="E215">
        <v>5.8760000000000001E-3</v>
      </c>
      <c r="F215">
        <v>2095560814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-0.42424242424242303</v>
      </c>
      <c r="Q215">
        <f t="shared" si="960"/>
        <v>-889025799.87878537</v>
      </c>
      <c r="R215">
        <f t="shared" si="961"/>
        <v>-53410086619.384186</v>
      </c>
      <c r="S215">
        <f t="shared" si="962"/>
        <v>-534100.86619384191</v>
      </c>
      <c r="T215">
        <f t="shared" si="963"/>
        <v>-534.10086619384197</v>
      </c>
    </row>
    <row r="216" spans="1:20" x14ac:dyDescent="0.25">
      <c r="A216" s="5">
        <v>44377</v>
      </c>
      <c r="B216">
        <v>6.2500000000000003E-3</v>
      </c>
      <c r="C216">
        <v>6.3350000000000004E-3</v>
      </c>
      <c r="D216">
        <v>5.7530000000000003E-3</v>
      </c>
      <c r="E216">
        <v>6.1320000000000003E-3</v>
      </c>
      <c r="F216">
        <v>2383376861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0.30240549828178681</v>
      </c>
      <c r="Q216">
        <f t="shared" si="960"/>
        <v>720746267.24398589</v>
      </c>
      <c r="R216">
        <f t="shared" si="961"/>
        <v>-52521060819.505402</v>
      </c>
      <c r="S216">
        <f t="shared" si="962"/>
        <v>-525210.608195054</v>
      </c>
      <c r="T216">
        <f t="shared" si="963"/>
        <v>-525.21060819505396</v>
      </c>
    </row>
    <row r="217" spans="1:20" x14ac:dyDescent="0.25">
      <c r="A217" s="5">
        <v>44376</v>
      </c>
      <c r="B217">
        <v>5.953E-3</v>
      </c>
      <c r="C217">
        <v>6.6080000000000002E-3</v>
      </c>
      <c r="D217">
        <v>5.9309999999999996E-3</v>
      </c>
      <c r="E217">
        <v>6.2480000000000001E-3</v>
      </c>
      <c r="F217">
        <v>3412864742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-6.3515509601181103E-2</v>
      </c>
      <c r="Q217">
        <f t="shared" si="960"/>
        <v>-216769843.28803346</v>
      </c>
      <c r="R217">
        <f t="shared" si="961"/>
        <v>-53241807086.74939</v>
      </c>
      <c r="S217">
        <f t="shared" si="962"/>
        <v>-532418.07086749387</v>
      </c>
      <c r="T217">
        <f t="shared" si="963"/>
        <v>-532.41807086749384</v>
      </c>
    </row>
    <row r="218" spans="1:20" x14ac:dyDescent="0.25">
      <c r="A218" s="5">
        <v>44375</v>
      </c>
      <c r="B218">
        <v>5.9150000000000001E-3</v>
      </c>
      <c r="C218">
        <v>6.0590000000000001E-3</v>
      </c>
      <c r="D218">
        <v>5.8069999999999997E-3</v>
      </c>
      <c r="E218">
        <v>5.9480000000000002E-3</v>
      </c>
      <c r="F218">
        <v>1994969695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0.11904761904762085</v>
      </c>
      <c r="Q218">
        <f t="shared" si="960"/>
        <v>237496392.26190835</v>
      </c>
      <c r="R218">
        <f t="shared" si="961"/>
        <v>-53025037243.461357</v>
      </c>
      <c r="S218">
        <f t="shared" si="962"/>
        <v>-530250.37243461353</v>
      </c>
      <c r="T218">
        <f t="shared" si="963"/>
        <v>-530.2503724346135</v>
      </c>
    </row>
    <row r="219" spans="1:20" x14ac:dyDescent="0.25">
      <c r="A219" s="5">
        <v>44374</v>
      </c>
      <c r="B219">
        <v>5.6490000000000004E-3</v>
      </c>
      <c r="C219">
        <v>5.9500000000000004E-3</v>
      </c>
      <c r="D219">
        <v>5.5409999999999999E-3</v>
      </c>
      <c r="E219">
        <v>5.9109999999999996E-3</v>
      </c>
      <c r="F219">
        <v>2255604216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0.8092909535452284</v>
      </c>
      <c r="Q219">
        <f t="shared" si="960"/>
        <v>1825440086.7872772</v>
      </c>
      <c r="R219">
        <f t="shared" si="961"/>
        <v>-53262533635.723267</v>
      </c>
      <c r="S219">
        <f t="shared" si="962"/>
        <v>-532625.33635723265</v>
      </c>
      <c r="T219">
        <f t="shared" si="963"/>
        <v>-532.62533635723264</v>
      </c>
    </row>
    <row r="220" spans="1:20" x14ac:dyDescent="0.25">
      <c r="A220" s="5">
        <v>44373</v>
      </c>
      <c r="B220">
        <v>5.561E-3</v>
      </c>
      <c r="C220">
        <v>5.7860000000000003E-3</v>
      </c>
      <c r="D220">
        <v>5.3150000000000003E-3</v>
      </c>
      <c r="E220">
        <v>5.6470000000000001E-3</v>
      </c>
      <c r="F220">
        <v>2073636302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0.40976645435244069</v>
      </c>
      <c r="Q220">
        <f t="shared" si="960"/>
        <v>849706595.08704686</v>
      </c>
      <c r="R220">
        <f t="shared" si="961"/>
        <v>-55087973722.510544</v>
      </c>
      <c r="S220">
        <f t="shared" si="962"/>
        <v>-550879.7372251054</v>
      </c>
      <c r="T220">
        <f t="shared" si="963"/>
        <v>-550.87973722510537</v>
      </c>
    </row>
    <row r="221" spans="1:20" x14ac:dyDescent="0.25">
      <c r="A221" s="5">
        <v>44372</v>
      </c>
      <c r="B221">
        <v>6.0939999999999996E-3</v>
      </c>
      <c r="C221">
        <v>6.2620000000000002E-3</v>
      </c>
      <c r="D221">
        <v>5.4010000000000004E-3</v>
      </c>
      <c r="E221">
        <v>5.5630000000000002E-3</v>
      </c>
      <c r="F221">
        <v>3075064037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-0.62369337979094108</v>
      </c>
      <c r="Q221">
        <f t="shared" si="960"/>
        <v>-1917897082.3101056</v>
      </c>
      <c r="R221">
        <f t="shared" si="961"/>
        <v>-55937680317.597588</v>
      </c>
      <c r="S221">
        <f t="shared" si="962"/>
        <v>-559376.80317597592</v>
      </c>
      <c r="T221">
        <f t="shared" si="963"/>
        <v>-559.37680317597597</v>
      </c>
    </row>
    <row r="222" spans="1:20" x14ac:dyDescent="0.25">
      <c r="A222" s="5">
        <v>44371</v>
      </c>
      <c r="B222">
        <v>5.9280000000000001E-3</v>
      </c>
      <c r="C222">
        <v>6.1999999999999998E-3</v>
      </c>
      <c r="D222">
        <v>5.6820000000000004E-3</v>
      </c>
      <c r="E222">
        <v>6.0930000000000003E-3</v>
      </c>
      <c r="F222">
        <v>2388202696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0.58687258687258848</v>
      </c>
      <c r="Q222">
        <f t="shared" si="960"/>
        <v>1401570694.1776099</v>
      </c>
      <c r="R222">
        <f t="shared" si="961"/>
        <v>-54019783235.287483</v>
      </c>
      <c r="S222">
        <f t="shared" si="962"/>
        <v>-540197.8323528748</v>
      </c>
      <c r="T222">
        <f t="shared" si="963"/>
        <v>-540.1978323528748</v>
      </c>
    </row>
    <row r="223" spans="1:20" x14ac:dyDescent="0.25">
      <c r="A223" s="5">
        <v>44370</v>
      </c>
      <c r="B223">
        <v>5.457E-3</v>
      </c>
      <c r="C223">
        <v>6.1999999999999998E-3</v>
      </c>
      <c r="D223">
        <v>5.2050000000000004E-3</v>
      </c>
      <c r="E223">
        <v>5.9249999999999997E-3</v>
      </c>
      <c r="F223">
        <v>4312176024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0.44723618090452211</v>
      </c>
      <c r="Q223">
        <f t="shared" si="960"/>
        <v>1928561136.3618069</v>
      </c>
      <c r="R223">
        <f t="shared" si="961"/>
        <v>-55421353929.465096</v>
      </c>
      <c r="S223">
        <f t="shared" si="962"/>
        <v>-554213.53929465101</v>
      </c>
      <c r="T223">
        <f t="shared" si="963"/>
        <v>-554.21353929465101</v>
      </c>
    </row>
    <row r="224" spans="1:20" x14ac:dyDescent="0.25">
      <c r="A224" s="5">
        <v>44369</v>
      </c>
      <c r="B224">
        <v>5.9680000000000002E-3</v>
      </c>
      <c r="C224">
        <v>6.3489999999999996E-3</v>
      </c>
      <c r="D224">
        <v>4.7999999999999996E-3</v>
      </c>
      <c r="E224">
        <v>5.4479999999999997E-3</v>
      </c>
      <c r="F224">
        <v>8681975499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-0.16333118140735942</v>
      </c>
      <c r="Q224">
        <f t="shared" si="960"/>
        <v>-1418037315.2014189</v>
      </c>
      <c r="R224">
        <f t="shared" si="961"/>
        <v>-57349915065.826904</v>
      </c>
      <c r="S224">
        <f t="shared" si="962"/>
        <v>-573499.15065826906</v>
      </c>
      <c r="T224">
        <f t="shared" si="963"/>
        <v>-573.49915065826906</v>
      </c>
    </row>
    <row r="225" spans="1:20" x14ac:dyDescent="0.25">
      <c r="A225" s="5">
        <v>44368</v>
      </c>
      <c r="B225">
        <v>7.4390000000000003E-3</v>
      </c>
      <c r="C225">
        <v>7.4590000000000004E-3</v>
      </c>
      <c r="D225">
        <v>5.9030000000000003E-3</v>
      </c>
      <c r="E225">
        <v>5.9659999999999999E-3</v>
      </c>
      <c r="F225">
        <v>5000288625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-0.919023136246787</v>
      </c>
      <c r="Q225">
        <f t="shared" si="960"/>
        <v>-4595380934.2866344</v>
      </c>
      <c r="R225">
        <f t="shared" si="961"/>
        <v>-55931877750.625488</v>
      </c>
      <c r="S225">
        <f t="shared" si="962"/>
        <v>-559318.77750625485</v>
      </c>
      <c r="T225">
        <f t="shared" si="963"/>
        <v>-559.31877750625483</v>
      </c>
    </row>
    <row r="226" spans="1:20" x14ac:dyDescent="0.25">
      <c r="A226" s="5">
        <v>44367</v>
      </c>
      <c r="B226">
        <v>7.0099999999999997E-3</v>
      </c>
      <c r="C226">
        <v>7.6579999999999999E-3</v>
      </c>
      <c r="D226">
        <v>6.6280000000000002E-3</v>
      </c>
      <c r="E226">
        <v>7.4390000000000003E-3</v>
      </c>
      <c r="F226">
        <v>3161783853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0.57475728155339878</v>
      </c>
      <c r="Q226">
        <f t="shared" si="960"/>
        <v>1817258292.2097111</v>
      </c>
      <c r="R226">
        <f t="shared" si="961"/>
        <v>-51336496816.338852</v>
      </c>
      <c r="S226">
        <f t="shared" si="962"/>
        <v>-513364.96816338849</v>
      </c>
      <c r="T226">
        <f t="shared" si="963"/>
        <v>-513.36496816338854</v>
      </c>
    </row>
    <row r="227" spans="1:20" x14ac:dyDescent="0.25">
      <c r="A227" s="5">
        <v>44366</v>
      </c>
      <c r="B227">
        <v>7.2049999999999996E-3</v>
      </c>
      <c r="C227">
        <v>7.326E-3</v>
      </c>
      <c r="D227">
        <v>6.9499999999999996E-3</v>
      </c>
      <c r="E227">
        <v>7.0109999999999999E-3</v>
      </c>
      <c r="F227">
        <v>2057567487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-0.67553191489361586</v>
      </c>
      <c r="Q227">
        <f t="shared" si="960"/>
        <v>-1389952504.515955</v>
      </c>
      <c r="R227">
        <f t="shared" si="961"/>
        <v>-53153755108.548561</v>
      </c>
      <c r="S227">
        <f t="shared" si="962"/>
        <v>-531537.55108548561</v>
      </c>
      <c r="T227">
        <f t="shared" si="963"/>
        <v>-531.53755108548557</v>
      </c>
    </row>
    <row r="228" spans="1:20" x14ac:dyDescent="0.25">
      <c r="A228" s="5">
        <v>44365</v>
      </c>
      <c r="B228">
        <v>7.6870000000000003E-3</v>
      </c>
      <c r="C228">
        <v>7.6870000000000003E-3</v>
      </c>
      <c r="D228">
        <v>6.8849999999999996E-3</v>
      </c>
      <c r="E228">
        <v>7.2059999999999997E-3</v>
      </c>
      <c r="F228">
        <v>2229485946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-0.19950124688279339</v>
      </c>
      <c r="Q228">
        <f t="shared" si="960"/>
        <v>-444785226.13466418</v>
      </c>
      <c r="R228">
        <f t="shared" si="961"/>
        <v>-51763802604.032608</v>
      </c>
      <c r="S228">
        <f t="shared" si="962"/>
        <v>-517638.02604032611</v>
      </c>
      <c r="T228">
        <f t="shared" si="963"/>
        <v>-517.63802604032605</v>
      </c>
    </row>
    <row r="229" spans="1:20" x14ac:dyDescent="0.25">
      <c r="A229" s="5">
        <v>44364</v>
      </c>
      <c r="B229">
        <v>7.7499999999999999E-3</v>
      </c>
      <c r="C229">
        <v>7.986E-3</v>
      </c>
      <c r="D229">
        <v>7.5180000000000004E-3</v>
      </c>
      <c r="E229">
        <v>7.6889999999999997E-3</v>
      </c>
      <c r="F229">
        <v>2027409256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-0.26923076923077177</v>
      </c>
      <c r="Q229">
        <f t="shared" si="960"/>
        <v>-545840953.53846669</v>
      </c>
      <c r="R229">
        <f t="shared" si="961"/>
        <v>-51319017377.897942</v>
      </c>
      <c r="S229">
        <f t="shared" si="962"/>
        <v>-513190.1737789794</v>
      </c>
      <c r="T229">
        <f t="shared" si="963"/>
        <v>-513.19017377897944</v>
      </c>
    </row>
    <row r="230" spans="1:20" x14ac:dyDescent="0.25">
      <c r="A230" s="5">
        <v>44363</v>
      </c>
      <c r="B230">
        <v>8.0630000000000007E-3</v>
      </c>
      <c r="C230">
        <v>8.116E-3</v>
      </c>
      <c r="D230">
        <v>7.6629999999999997E-3</v>
      </c>
      <c r="E230">
        <v>7.7549999999999997E-3</v>
      </c>
      <c r="F230">
        <v>2196956508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-0.59381898454746129</v>
      </c>
      <c r="Q230">
        <f t="shared" si="960"/>
        <v>-1304594482.6754966</v>
      </c>
      <c r="R230">
        <f t="shared" si="961"/>
        <v>-50773176424.359474</v>
      </c>
      <c r="S230">
        <f t="shared" si="962"/>
        <v>-507731.76424359472</v>
      </c>
      <c r="T230">
        <f t="shared" si="963"/>
        <v>-507.73176424359474</v>
      </c>
    </row>
    <row r="231" spans="1:20" x14ac:dyDescent="0.25">
      <c r="A231" s="5">
        <v>44362</v>
      </c>
      <c r="B231">
        <v>8.2900000000000005E-3</v>
      </c>
      <c r="C231">
        <v>8.5280000000000009E-3</v>
      </c>
      <c r="D231">
        <v>7.9710000000000007E-3</v>
      </c>
      <c r="E231">
        <v>8.0669999999999995E-3</v>
      </c>
      <c r="F231">
        <v>2732110569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-0.65529622980251767</v>
      </c>
      <c r="Q231">
        <f t="shared" si="960"/>
        <v>-1790341755.2693114</v>
      </c>
      <c r="R231">
        <f t="shared" si="961"/>
        <v>-49468581941.683975</v>
      </c>
      <c r="S231">
        <f t="shared" si="962"/>
        <v>-494685.81941683975</v>
      </c>
      <c r="T231">
        <f t="shared" si="963"/>
        <v>-494.68581941683976</v>
      </c>
    </row>
    <row r="232" spans="1:20" x14ac:dyDescent="0.25">
      <c r="A232" s="5">
        <v>44361</v>
      </c>
      <c r="B232">
        <v>8.2050000000000005E-3</v>
      </c>
      <c r="C232">
        <v>8.4749999999999999E-3</v>
      </c>
      <c r="D232">
        <v>7.9419999999999994E-3</v>
      </c>
      <c r="E232">
        <v>8.2889999999999995E-3</v>
      </c>
      <c r="F232">
        <v>3587514702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0.30206378986866705</v>
      </c>
      <c r="Q232">
        <f t="shared" si="960"/>
        <v>1083658287.0956817</v>
      </c>
      <c r="R232">
        <f t="shared" si="961"/>
        <v>-47678240186.414665</v>
      </c>
      <c r="S232">
        <f t="shared" si="962"/>
        <v>-476782.40186414664</v>
      </c>
      <c r="T232">
        <f t="shared" si="963"/>
        <v>-476.78240186414666</v>
      </c>
    </row>
    <row r="233" spans="1:20" x14ac:dyDescent="0.25">
      <c r="A233" s="5">
        <v>44360</v>
      </c>
      <c r="B233">
        <v>7.3550000000000004E-3</v>
      </c>
      <c r="C233">
        <v>8.6879999999999995E-3</v>
      </c>
      <c r="D233">
        <v>7.2719999999999998E-3</v>
      </c>
      <c r="E233">
        <v>8.2019999999999992E-3</v>
      </c>
      <c r="F233">
        <v>3919682213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0.31355932203389769</v>
      </c>
      <c r="Q233">
        <f t="shared" si="960"/>
        <v>1229052897.2966077</v>
      </c>
      <c r="R233">
        <f t="shared" si="961"/>
        <v>-48761898473.510345</v>
      </c>
      <c r="S233">
        <f t="shared" si="962"/>
        <v>-487618.98473510344</v>
      </c>
      <c r="T233">
        <f t="shared" si="963"/>
        <v>-487.61898473510342</v>
      </c>
    </row>
    <row r="234" spans="1:20" x14ac:dyDescent="0.25">
      <c r="A234" s="5">
        <v>44359</v>
      </c>
      <c r="B234">
        <v>7.5240000000000003E-3</v>
      </c>
      <c r="C234">
        <v>7.6270000000000001E-3</v>
      </c>
      <c r="D234">
        <v>7.1300000000000001E-3</v>
      </c>
      <c r="E234">
        <v>7.3540000000000003E-3</v>
      </c>
      <c r="F234">
        <v>1887658185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-9.8591549295773767E-2</v>
      </c>
      <c r="Q234">
        <f t="shared" si="960"/>
        <v>-186107144.99999833</v>
      </c>
      <c r="R234">
        <f t="shared" si="961"/>
        <v>-49990951370.806953</v>
      </c>
      <c r="S234">
        <f t="shared" si="962"/>
        <v>-499909.51370806951</v>
      </c>
      <c r="T234">
        <f t="shared" si="963"/>
        <v>-499.90951370806954</v>
      </c>
    </row>
    <row r="235" spans="1:20" x14ac:dyDescent="0.25">
      <c r="A235" s="5">
        <v>44358</v>
      </c>
      <c r="B235">
        <v>7.8449999999999995E-3</v>
      </c>
      <c r="C235">
        <v>8.0649999999999993E-3</v>
      </c>
      <c r="D235">
        <v>7.3590000000000001E-3</v>
      </c>
      <c r="E235">
        <v>7.5199999999999998E-3</v>
      </c>
      <c r="F235">
        <v>2222678235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-0.54390934844192673</v>
      </c>
      <c r="Q235">
        <f t="shared" si="960"/>
        <v>-1208935470.5949018</v>
      </c>
      <c r="R235">
        <f t="shared" si="961"/>
        <v>-49804844225.806953</v>
      </c>
      <c r="S235">
        <f t="shared" si="962"/>
        <v>-498048.44225806952</v>
      </c>
      <c r="T235">
        <f t="shared" si="963"/>
        <v>-498.04844225806954</v>
      </c>
    </row>
    <row r="236" spans="1:20" x14ac:dyDescent="0.25">
      <c r="A236" s="5">
        <v>44357</v>
      </c>
      <c r="B236">
        <v>8.2369999999999995E-3</v>
      </c>
      <c r="C236">
        <v>8.3020000000000004E-3</v>
      </c>
      <c r="D236">
        <v>7.7400000000000004E-3</v>
      </c>
      <c r="E236">
        <v>7.8340000000000007E-3</v>
      </c>
      <c r="F236">
        <v>2440643403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-0.6654804270462622</v>
      </c>
      <c r="Q236">
        <f t="shared" si="960"/>
        <v>-1624200414.0960827</v>
      </c>
      <c r="R236">
        <f t="shared" si="961"/>
        <v>-48595908755.212051</v>
      </c>
      <c r="S236">
        <f t="shared" si="962"/>
        <v>-485959.0875521205</v>
      </c>
      <c r="T236">
        <f t="shared" si="963"/>
        <v>-485.95908755212048</v>
      </c>
    </row>
    <row r="237" spans="1:20" x14ac:dyDescent="0.25">
      <c r="A237" s="5">
        <v>44356</v>
      </c>
      <c r="B237">
        <v>7.9509999999999997E-3</v>
      </c>
      <c r="C237">
        <v>8.3459999999999993E-3</v>
      </c>
      <c r="D237">
        <v>7.5640000000000004E-3</v>
      </c>
      <c r="E237">
        <v>8.2310000000000005E-3</v>
      </c>
      <c r="F237">
        <v>3459939771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0.70588235294117918</v>
      </c>
      <c r="Q237">
        <f t="shared" si="960"/>
        <v>2442310426.5882444</v>
      </c>
      <c r="R237">
        <f t="shared" si="961"/>
        <v>-46971708341.115967</v>
      </c>
      <c r="S237">
        <f t="shared" si="962"/>
        <v>-469717.08341115969</v>
      </c>
      <c r="T237">
        <f t="shared" si="963"/>
        <v>-469.71708341115971</v>
      </c>
    </row>
    <row r="238" spans="1:20" x14ac:dyDescent="0.25">
      <c r="A238" s="5">
        <v>44355</v>
      </c>
      <c r="B238">
        <v>7.7869999999999997E-3</v>
      </c>
      <c r="C238">
        <v>8.208E-3</v>
      </c>
      <c r="D238">
        <v>7.0000000000000001E-3</v>
      </c>
      <c r="E238">
        <v>7.9430000000000004E-3</v>
      </c>
      <c r="F238">
        <v>4858867078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0.56125827814569595</v>
      </c>
      <c r="Q238">
        <f t="shared" si="960"/>
        <v>2727079369.937089</v>
      </c>
      <c r="R238">
        <f t="shared" si="961"/>
        <v>-49414018767.704208</v>
      </c>
      <c r="S238">
        <f t="shared" si="962"/>
        <v>-494140.18767704209</v>
      </c>
      <c r="T238">
        <f t="shared" si="963"/>
        <v>-494.14018767704209</v>
      </c>
    </row>
    <row r="239" spans="1:20" x14ac:dyDescent="0.25">
      <c r="A239" s="5">
        <v>44354</v>
      </c>
      <c r="B239">
        <v>8.5599999999999999E-3</v>
      </c>
      <c r="C239">
        <v>8.7500000000000008E-3</v>
      </c>
      <c r="D239">
        <v>7.6689999999999996E-3</v>
      </c>
      <c r="E239">
        <v>7.7869999999999997E-3</v>
      </c>
      <c r="F239">
        <v>3661895313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-0.78168362627197052</v>
      </c>
      <c r="Q239">
        <f t="shared" si="960"/>
        <v>-2862443607.2941723</v>
      </c>
      <c r="R239">
        <f t="shared" si="961"/>
        <v>-52141098137.641296</v>
      </c>
      <c r="S239">
        <f t="shared" si="962"/>
        <v>-521410.98137641296</v>
      </c>
      <c r="T239">
        <f t="shared" si="963"/>
        <v>-521.41098137641302</v>
      </c>
    </row>
    <row r="240" spans="1:20" x14ac:dyDescent="0.25">
      <c r="A240" s="5">
        <v>44353</v>
      </c>
      <c r="B240">
        <v>8.352E-3</v>
      </c>
      <c r="C240">
        <v>8.6499999999999997E-3</v>
      </c>
      <c r="D240">
        <v>8.2810000000000002E-3</v>
      </c>
      <c r="E240">
        <v>8.5590000000000006E-3</v>
      </c>
      <c r="F240">
        <v>2138968485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0.50677506775068193</v>
      </c>
      <c r="Q240">
        <f t="shared" si="960"/>
        <v>1083975898.9024484</v>
      </c>
      <c r="R240">
        <f t="shared" si="961"/>
        <v>-49278654530.347122</v>
      </c>
      <c r="S240">
        <f t="shared" si="962"/>
        <v>-492786.54530347121</v>
      </c>
      <c r="T240">
        <f t="shared" si="963"/>
        <v>-492.7865453034712</v>
      </c>
    </row>
    <row r="241" spans="1:20" x14ac:dyDescent="0.25">
      <c r="A241" s="5">
        <v>44352</v>
      </c>
      <c r="B241">
        <v>8.5620000000000002E-3</v>
      </c>
      <c r="C241">
        <v>9.1330000000000005E-3</v>
      </c>
      <c r="D241">
        <v>8.0389999999999993E-3</v>
      </c>
      <c r="E241">
        <v>8.3549999999999996E-3</v>
      </c>
      <c r="F241">
        <v>4183672364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-0.42230347349177338</v>
      </c>
      <c r="Q241">
        <f t="shared" si="960"/>
        <v>-1766779371.268739</v>
      </c>
      <c r="R241">
        <f t="shared" si="961"/>
        <v>-50362630429.249573</v>
      </c>
      <c r="S241">
        <f t="shared" si="962"/>
        <v>-503626.30429249571</v>
      </c>
      <c r="T241">
        <f t="shared" si="963"/>
        <v>-503.62630429249572</v>
      </c>
    </row>
    <row r="242" spans="1:20" x14ac:dyDescent="0.25">
      <c r="A242" s="5">
        <v>44351</v>
      </c>
      <c r="B242">
        <v>9.2790000000000008E-3</v>
      </c>
      <c r="C242">
        <v>9.2890000000000004E-3</v>
      </c>
      <c r="D242">
        <v>8.0199999999999994E-3</v>
      </c>
      <c r="E242">
        <v>8.5590000000000006E-3</v>
      </c>
      <c r="F242">
        <v>5388851799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-0.15051221434200024</v>
      </c>
      <c r="Q242">
        <f t="shared" si="960"/>
        <v>-811088017.02836156</v>
      </c>
      <c r="R242">
        <f t="shared" si="961"/>
        <v>-48595851057.980835</v>
      </c>
      <c r="S242">
        <f t="shared" si="962"/>
        <v>-485958.51057980832</v>
      </c>
      <c r="T242">
        <f t="shared" si="963"/>
        <v>-485.95851057980832</v>
      </c>
    </row>
    <row r="243" spans="1:20" x14ac:dyDescent="0.25">
      <c r="A243" s="5">
        <v>44350</v>
      </c>
      <c r="B243">
        <v>8.7480000000000006E-3</v>
      </c>
      <c r="C243">
        <v>9.7979999999999994E-3</v>
      </c>
      <c r="D243">
        <v>8.6739999999999994E-3</v>
      </c>
      <c r="E243">
        <v>9.2739999999999993E-3</v>
      </c>
      <c r="F243">
        <v>6257215543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6.7615658362989037E-2</v>
      </c>
      <c r="Q243">
        <f t="shared" si="960"/>
        <v>423085748.45907295</v>
      </c>
      <c r="R243">
        <f t="shared" si="961"/>
        <v>-47784763040.952477</v>
      </c>
      <c r="S243">
        <f t="shared" si="962"/>
        <v>-477847.63040952478</v>
      </c>
      <c r="T243">
        <f t="shared" si="963"/>
        <v>-477.84763040952475</v>
      </c>
    </row>
    <row r="244" spans="1:20" x14ac:dyDescent="0.25">
      <c r="A244" s="5">
        <v>44349</v>
      </c>
      <c r="B244">
        <v>8.5470000000000008E-3</v>
      </c>
      <c r="C244">
        <v>9.0240000000000008E-3</v>
      </c>
      <c r="D244">
        <v>8.4410000000000006E-3</v>
      </c>
      <c r="E244">
        <v>8.7539999999999996E-3</v>
      </c>
      <c r="F244">
        <v>4037624816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7.3756432246994658E-2</v>
      </c>
      <c r="Q244">
        <f t="shared" si="960"/>
        <v>297800801.18008828</v>
      </c>
      <c r="R244">
        <f t="shared" si="961"/>
        <v>-48207848789.411552</v>
      </c>
      <c r="S244">
        <f t="shared" si="962"/>
        <v>-482078.4878941155</v>
      </c>
      <c r="T244">
        <f t="shared" si="963"/>
        <v>-482.07848789411548</v>
      </c>
    </row>
    <row r="245" spans="1:20" x14ac:dyDescent="0.25">
      <c r="A245" s="5">
        <v>44348</v>
      </c>
      <c r="B245">
        <v>9.0060000000000001E-3</v>
      </c>
      <c r="C245">
        <v>9.162E-3</v>
      </c>
      <c r="D245">
        <v>8.4100000000000008E-3</v>
      </c>
      <c r="E245">
        <v>8.5509999999999996E-3</v>
      </c>
      <c r="F245">
        <v>3922053826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-0.62500000000000289</v>
      </c>
      <c r="Q245">
        <f t="shared" si="960"/>
        <v>-2451283641.2500114</v>
      </c>
      <c r="R245">
        <f t="shared" si="961"/>
        <v>-48505649590.591644</v>
      </c>
      <c r="S245">
        <f t="shared" si="962"/>
        <v>-485056.49590591644</v>
      </c>
      <c r="T245">
        <f t="shared" si="963"/>
        <v>-485.05649590591645</v>
      </c>
    </row>
    <row r="246" spans="1:20" x14ac:dyDescent="0.25">
      <c r="A246" s="5">
        <v>44347</v>
      </c>
      <c r="B246">
        <v>8.6309999999999998E-3</v>
      </c>
      <c r="C246">
        <v>9.2189999999999998E-3</v>
      </c>
      <c r="D246">
        <v>8.3549999999999996E-3</v>
      </c>
      <c r="E246">
        <v>9.0109999999999999E-3</v>
      </c>
      <c r="F246">
        <v>4940046921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0.51851851851851893</v>
      </c>
      <c r="Q246">
        <f t="shared" si="960"/>
        <v>2561505810.8888907</v>
      </c>
      <c r="R246">
        <f t="shared" si="961"/>
        <v>-46054365949.341637</v>
      </c>
      <c r="S246">
        <f t="shared" si="962"/>
        <v>-460543.65949341637</v>
      </c>
      <c r="T246">
        <f t="shared" si="963"/>
        <v>-460.54365949341638</v>
      </c>
    </row>
    <row r="247" spans="1:20" x14ac:dyDescent="0.25">
      <c r="A247" s="5">
        <v>44346</v>
      </c>
      <c r="B247">
        <v>8.1670000000000006E-3</v>
      </c>
      <c r="C247">
        <v>8.8959999999999994E-3</v>
      </c>
      <c r="D247">
        <v>7.737E-3</v>
      </c>
      <c r="E247">
        <v>8.6289999999999995E-3</v>
      </c>
      <c r="F247">
        <v>4985204531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0.53925798101811906</v>
      </c>
      <c r="Q247">
        <f t="shared" si="960"/>
        <v>2688311330.3494391</v>
      </c>
      <c r="R247">
        <f t="shared" si="961"/>
        <v>-48615871760.23053</v>
      </c>
      <c r="S247">
        <f t="shared" si="962"/>
        <v>-486158.71760230529</v>
      </c>
      <c r="T247">
        <f t="shared" si="963"/>
        <v>-486.15871760230527</v>
      </c>
    </row>
    <row r="248" spans="1:20" x14ac:dyDescent="0.25">
      <c r="A248" s="5">
        <v>44345</v>
      </c>
      <c r="B248">
        <v>8.3840000000000008E-3</v>
      </c>
      <c r="C248">
        <v>8.9890000000000005E-3</v>
      </c>
      <c r="D248">
        <v>7.5640000000000004E-3</v>
      </c>
      <c r="E248">
        <v>8.1740000000000007E-3</v>
      </c>
      <c r="F248">
        <v>6254387422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-0.14385964912280663</v>
      </c>
      <c r="Q248">
        <f t="shared" si="960"/>
        <v>-899753980.00701511</v>
      </c>
      <c r="R248">
        <f t="shared" si="961"/>
        <v>-51304183090.579971</v>
      </c>
      <c r="S248">
        <f t="shared" si="962"/>
        <v>-513041.8309057997</v>
      </c>
      <c r="T248">
        <f t="shared" si="963"/>
        <v>-513.04183090579966</v>
      </c>
    </row>
    <row r="249" spans="1:20" x14ac:dyDescent="0.25">
      <c r="A249" s="5">
        <v>44344</v>
      </c>
      <c r="B249">
        <v>9.5479999999999992E-3</v>
      </c>
      <c r="C249">
        <v>9.9869999999999994E-3</v>
      </c>
      <c r="D249">
        <v>8.0000000000000002E-3</v>
      </c>
      <c r="E249">
        <v>8.3920000000000002E-3</v>
      </c>
      <c r="F249">
        <v>9659565690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-0.60543532964267721</v>
      </c>
      <c r="Q249">
        <f t="shared" si="960"/>
        <v>-5848242337.7302446</v>
      </c>
      <c r="R249">
        <f t="shared" si="961"/>
        <v>-50404429110.57296</v>
      </c>
      <c r="S249">
        <f t="shared" si="962"/>
        <v>-504044.29110572959</v>
      </c>
      <c r="T249">
        <f t="shared" si="963"/>
        <v>-504.0442911057296</v>
      </c>
    </row>
    <row r="250" spans="1:20" x14ac:dyDescent="0.25">
      <c r="A250" s="5">
        <v>44343</v>
      </c>
      <c r="B250">
        <v>1.0744999999999999E-2</v>
      </c>
      <c r="C250">
        <v>1.0749999999999999E-2</v>
      </c>
      <c r="D250">
        <v>9.2999999999999992E-3</v>
      </c>
      <c r="E250">
        <v>9.5469999999999999E-3</v>
      </c>
      <c r="F250">
        <v>8381232612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-0.65931034482758522</v>
      </c>
      <c r="Q250">
        <f t="shared" si="960"/>
        <v>-5525833363.4979229</v>
      </c>
      <c r="R250">
        <f t="shared" si="961"/>
        <v>-44556186772.842712</v>
      </c>
      <c r="S250">
        <f t="shared" si="962"/>
        <v>-445561.86772842711</v>
      </c>
      <c r="T250">
        <f t="shared" si="963"/>
        <v>-445.5618677284271</v>
      </c>
    </row>
    <row r="251" spans="1:20" x14ac:dyDescent="0.25">
      <c r="A251" s="5">
        <v>44342</v>
      </c>
      <c r="B251">
        <v>9.3380000000000008E-3</v>
      </c>
      <c r="C251">
        <v>1.158E-2</v>
      </c>
      <c r="D251">
        <v>9.1009999999999997E-3</v>
      </c>
      <c r="E251">
        <v>1.0742E-2</v>
      </c>
      <c r="F251">
        <v>16056138039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0.32392093586123427</v>
      </c>
      <c r="Q251">
        <f t="shared" si="960"/>
        <v>5200919259.9100428</v>
      </c>
      <c r="R251">
        <f t="shared" si="961"/>
        <v>-39030353409.344788</v>
      </c>
      <c r="S251">
        <f t="shared" si="962"/>
        <v>-390303.5340934479</v>
      </c>
      <c r="T251">
        <f t="shared" si="963"/>
        <v>-390.30353409344792</v>
      </c>
    </row>
    <row r="252" spans="1:20" x14ac:dyDescent="0.25">
      <c r="A252" s="5">
        <v>44341</v>
      </c>
      <c r="B252">
        <v>7.6689999999999996E-3</v>
      </c>
      <c r="C252">
        <v>1.0456E-2</v>
      </c>
      <c r="D252">
        <v>7.2459999999999998E-3</v>
      </c>
      <c r="E252">
        <v>9.3279999999999995E-3</v>
      </c>
      <c r="F252">
        <v>18041377561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0.29719626168224272</v>
      </c>
      <c r="Q252">
        <f t="shared" si="960"/>
        <v>5361829966.7270985</v>
      </c>
      <c r="R252">
        <f t="shared" si="961"/>
        <v>-44231272669.254829</v>
      </c>
      <c r="S252">
        <f t="shared" si="962"/>
        <v>-442312.72669254831</v>
      </c>
      <c r="T252">
        <f t="shared" si="963"/>
        <v>-442.31272669254832</v>
      </c>
    </row>
    <row r="253" spans="1:20" x14ac:dyDescent="0.25">
      <c r="A253" s="5">
        <v>44340</v>
      </c>
      <c r="B253">
        <v>6.0210000000000003E-3</v>
      </c>
      <c r="C253">
        <v>7.7479999999999997E-3</v>
      </c>
      <c r="D253">
        <v>5.8700000000000002E-3</v>
      </c>
      <c r="E253">
        <v>7.672E-3</v>
      </c>
      <c r="F253">
        <v>8442409920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0.91906283280085233</v>
      </c>
      <c r="Q253">
        <f t="shared" si="960"/>
        <v>7759105176.7412167</v>
      </c>
      <c r="R253">
        <f t="shared" si="961"/>
        <v>-49593102635.981926</v>
      </c>
      <c r="S253">
        <f t="shared" si="962"/>
        <v>-495931.02635981928</v>
      </c>
      <c r="T253">
        <f t="shared" si="963"/>
        <v>-495.93102635981927</v>
      </c>
    </row>
    <row r="254" spans="1:20" x14ac:dyDescent="0.25">
      <c r="A254" s="5">
        <v>44339</v>
      </c>
      <c r="B254">
        <v>7.0549999999999996E-3</v>
      </c>
      <c r="C254">
        <v>7.3299999999999997E-3</v>
      </c>
      <c r="D254">
        <v>4.9870000000000001E-3</v>
      </c>
      <c r="E254">
        <v>6.0099999999999997E-3</v>
      </c>
      <c r="F254">
        <v>9360120790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-0.12676056338028188</v>
      </c>
      <c r="Q254">
        <f t="shared" si="960"/>
        <v>-1186494184.6478891</v>
      </c>
      <c r="R254">
        <f t="shared" si="961"/>
        <v>-57352207812.723145</v>
      </c>
      <c r="S254">
        <f t="shared" si="962"/>
        <v>-573522.07812723145</v>
      </c>
      <c r="T254">
        <f t="shared" si="963"/>
        <v>-573.52207812723145</v>
      </c>
    </row>
    <row r="255" spans="1:20" x14ac:dyDescent="0.25">
      <c r="A255" s="5">
        <v>44338</v>
      </c>
      <c r="B255">
        <v>7.6239999999999997E-3</v>
      </c>
      <c r="C255">
        <v>7.7450000000000001E-3</v>
      </c>
      <c r="D255">
        <v>6.8190000000000004E-3</v>
      </c>
      <c r="E255">
        <v>7.051E-3</v>
      </c>
      <c r="F255">
        <v>7173873677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-0.49892008639308932</v>
      </c>
      <c r="Q255">
        <f t="shared" si="960"/>
        <v>-3579189674.7019496</v>
      </c>
      <c r="R255">
        <f t="shared" si="961"/>
        <v>-56165713628.075256</v>
      </c>
      <c r="S255">
        <f t="shared" si="962"/>
        <v>-561657.1362807526</v>
      </c>
      <c r="T255">
        <f t="shared" si="963"/>
        <v>-561.65713628075264</v>
      </c>
    </row>
    <row r="256" spans="1:20" x14ac:dyDescent="0.25">
      <c r="A256" s="5">
        <v>44337</v>
      </c>
      <c r="B256">
        <v>8.4980000000000003E-3</v>
      </c>
      <c r="C256">
        <v>9.0869999999999996E-3</v>
      </c>
      <c r="D256">
        <v>6.45E-3</v>
      </c>
      <c r="E256">
        <v>7.6140000000000001E-3</v>
      </c>
      <c r="F256">
        <v>9552414947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-0.11717861205915792</v>
      </c>
      <c r="Q256">
        <f t="shared" si="960"/>
        <v>-1119338725.3026145</v>
      </c>
      <c r="R256">
        <f t="shared" si="961"/>
        <v>-52586523953.373306</v>
      </c>
      <c r="S256">
        <f t="shared" si="962"/>
        <v>-525865.23953373311</v>
      </c>
      <c r="T256">
        <f t="shared" si="963"/>
        <v>-525.86523953373307</v>
      </c>
    </row>
    <row r="257" spans="1:20" x14ac:dyDescent="0.25">
      <c r="A257" s="5">
        <v>44336</v>
      </c>
      <c r="B257">
        <v>7.1840000000000003E-3</v>
      </c>
      <c r="C257">
        <v>9.6579999999999999E-3</v>
      </c>
      <c r="D257">
        <v>6.4200000000000004E-3</v>
      </c>
      <c r="E257">
        <v>8.5129999999999997E-3</v>
      </c>
      <c r="F257">
        <v>10078500551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0.29277331686226044</v>
      </c>
      <c r="Q257">
        <f t="shared" si="960"/>
        <v>2950716035.3143892</v>
      </c>
      <c r="R257">
        <f t="shared" si="961"/>
        <v>-51467185228.070694</v>
      </c>
      <c r="S257">
        <f t="shared" si="962"/>
        <v>-514671.85228070692</v>
      </c>
      <c r="T257">
        <f t="shared" si="963"/>
        <v>-514.67185228070696</v>
      </c>
    </row>
    <row r="258" spans="1:20" x14ac:dyDescent="0.25">
      <c r="A258" s="5">
        <v>44335</v>
      </c>
      <c r="B258">
        <v>1.1034E-2</v>
      </c>
      <c r="C258">
        <v>1.1228999999999999E-2</v>
      </c>
      <c r="D258">
        <v>4.7140000000000003E-3</v>
      </c>
      <c r="E258">
        <v>7.1869999999999998E-3</v>
      </c>
      <c r="F258">
        <v>15723709950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-0.24082885648503458</v>
      </c>
      <c r="Q258">
        <f t="shared" si="960"/>
        <v>-3786723086.9608603</v>
      </c>
      <c r="R258">
        <f t="shared" si="961"/>
        <v>-54417901263.385086</v>
      </c>
      <c r="S258">
        <f t="shared" si="962"/>
        <v>-544179.01263385091</v>
      </c>
      <c r="T258">
        <f t="shared" si="963"/>
        <v>-544.1790126338509</v>
      </c>
    </row>
    <row r="259" spans="1:20" x14ac:dyDescent="0.25">
      <c r="A259" s="5">
        <v>44334</v>
      </c>
      <c r="B259">
        <v>1.0999E-2</v>
      </c>
      <c r="C259">
        <v>1.1594E-2</v>
      </c>
      <c r="D259">
        <v>1.076E-2</v>
      </c>
      <c r="E259">
        <v>1.1034E-2</v>
      </c>
      <c r="F259">
        <v>4717871776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-0.34292565947242193</v>
      </c>
      <c r="Q259">
        <f t="shared" si="960"/>
        <v>-1617879290.0911264</v>
      </c>
      <c r="R259">
        <f t="shared" si="961"/>
        <v>-50631178176.424225</v>
      </c>
      <c r="S259">
        <f t="shared" si="962"/>
        <v>-506311.78176424227</v>
      </c>
      <c r="T259">
        <f t="shared" si="963"/>
        <v>-506.31178176424226</v>
      </c>
    </row>
    <row r="260" spans="1:20" x14ac:dyDescent="0.25">
      <c r="A260" s="5">
        <v>44333</v>
      </c>
      <c r="B260">
        <v>1.1649E-2</v>
      </c>
      <c r="C260">
        <v>1.2149999999999999E-2</v>
      </c>
      <c r="D260">
        <v>1.06E-2</v>
      </c>
      <c r="E260">
        <v>1.0999E-2</v>
      </c>
      <c r="F260">
        <v>7434333320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-0.48516129032258037</v>
      </c>
      <c r="Q260">
        <f t="shared" si="960"/>
        <v>-3606850746.2193527</v>
      </c>
      <c r="R260">
        <f t="shared" si="961"/>
        <v>-49013298886.333099</v>
      </c>
      <c r="S260">
        <f t="shared" si="962"/>
        <v>-490132.98886333097</v>
      </c>
      <c r="T260">
        <f t="shared" si="963"/>
        <v>-490.13298886333098</v>
      </c>
    </row>
    <row r="261" spans="1:20" x14ac:dyDescent="0.25">
      <c r="A261" s="5">
        <v>44332</v>
      </c>
      <c r="B261">
        <v>1.085E-2</v>
      </c>
      <c r="C261">
        <v>1.2982E-2</v>
      </c>
      <c r="D261">
        <v>1.0656000000000001E-2</v>
      </c>
      <c r="E261">
        <v>1.1639E-2</v>
      </c>
      <c r="F261">
        <v>11274441223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-0.15477214101461778</v>
      </c>
      <c r="Q261">
        <f t="shared" si="960"/>
        <v>-1744969406.8271759</v>
      </c>
      <c r="R261">
        <f t="shared" si="961"/>
        <v>-45406448140.113747</v>
      </c>
      <c r="S261">
        <f t="shared" si="962"/>
        <v>-454064.48140113748</v>
      </c>
      <c r="T261">
        <f t="shared" si="963"/>
        <v>-454.06448140113747</v>
      </c>
    </row>
    <row r="262" spans="1:20" x14ac:dyDescent="0.25">
      <c r="A262" s="5">
        <v>44331</v>
      </c>
      <c r="B262">
        <v>1.1845E-2</v>
      </c>
      <c r="C262">
        <v>1.1953E-2</v>
      </c>
      <c r="D262">
        <v>1.0699999999999999E-2</v>
      </c>
      <c r="E262">
        <v>1.0848999999999999E-2</v>
      </c>
      <c r="F262">
        <v>4449377676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-0.76217079010375144</v>
      </c>
      <c r="Q262">
        <f t="shared" ref="Q262:Q325" si="965">F262*P262</f>
        <v>-3391185698.7869134</v>
      </c>
      <c r="R262">
        <f t="shared" ref="R262:R325" si="966">R263+Q262</f>
        <v>-43661478733.286568</v>
      </c>
      <c r="S262">
        <f t="shared" ref="S262:S325" si="967">R262/100000</f>
        <v>-436614.7873328657</v>
      </c>
      <c r="T262">
        <f t="shared" ref="T262:T325" si="968">S262/1000</f>
        <v>-436.61478733286572</v>
      </c>
    </row>
    <row r="263" spans="1:20" x14ac:dyDescent="0.25">
      <c r="A263" s="5">
        <v>44330</v>
      </c>
      <c r="B263">
        <v>1.1247E-2</v>
      </c>
      <c r="C263">
        <v>1.2500000000000001E-2</v>
      </c>
      <c r="D263">
        <v>1.1079E-2</v>
      </c>
      <c r="E263">
        <v>1.1847E-2</v>
      </c>
      <c r="F263">
        <v>6699215666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8.0928923293454441E-2</v>
      </c>
      <c r="Q263">
        <f t="shared" si="965"/>
        <v>542160310.76002228</v>
      </c>
      <c r="R263">
        <f t="shared" si="966"/>
        <v>-40270293034.499657</v>
      </c>
      <c r="S263">
        <f t="shared" si="967"/>
        <v>-402702.93034499657</v>
      </c>
      <c r="T263">
        <f t="shared" si="968"/>
        <v>-402.70293034499656</v>
      </c>
    </row>
    <row r="264" spans="1:20" x14ac:dyDescent="0.25">
      <c r="A264" s="5">
        <v>44329</v>
      </c>
      <c r="B264">
        <v>1.0560999999999999E-2</v>
      </c>
      <c r="C264">
        <v>1.1950000000000001E-2</v>
      </c>
      <c r="D264">
        <v>1.0000999999999999E-2</v>
      </c>
      <c r="E264">
        <v>1.125E-2</v>
      </c>
      <c r="F264">
        <v>9222464546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0.28168291431503273</v>
      </c>
      <c r="Q264">
        <f t="shared" si="965"/>
        <v>2597810690.4843454</v>
      </c>
      <c r="R264">
        <f t="shared" si="966"/>
        <v>-40812453345.259682</v>
      </c>
      <c r="S264">
        <f t="shared" si="967"/>
        <v>-408124.53345259681</v>
      </c>
      <c r="T264">
        <f t="shared" si="968"/>
        <v>-408.12453345259678</v>
      </c>
    </row>
    <row r="265" spans="1:20" x14ac:dyDescent="0.25">
      <c r="A265" s="5">
        <v>44328</v>
      </c>
      <c r="B265">
        <v>1.303E-2</v>
      </c>
      <c r="C265">
        <v>1.353E-2</v>
      </c>
      <c r="D265">
        <v>1.0515999999999999E-2</v>
      </c>
      <c r="E265">
        <v>1.0559000000000001E-2</v>
      </c>
      <c r="F265">
        <v>7263619991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-0.97146648971466398</v>
      </c>
      <c r="Q265">
        <f t="shared" si="965"/>
        <v>-7056363415.2780294</v>
      </c>
      <c r="R265">
        <f t="shared" si="966"/>
        <v>-43410264035.744026</v>
      </c>
      <c r="S265">
        <f t="shared" si="967"/>
        <v>-434102.64035744028</v>
      </c>
      <c r="T265">
        <f t="shared" si="968"/>
        <v>-434.10264035744029</v>
      </c>
    </row>
    <row r="266" spans="1:20" x14ac:dyDescent="0.25">
      <c r="A266" s="5">
        <v>44327</v>
      </c>
      <c r="B266">
        <v>1.2673E-2</v>
      </c>
      <c r="C266">
        <v>1.35E-2</v>
      </c>
      <c r="D266">
        <v>1.2142999999999999E-2</v>
      </c>
      <c r="E266">
        <v>1.303E-2</v>
      </c>
      <c r="F266">
        <v>6622600035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0.3072955047899783</v>
      </c>
      <c r="Q266">
        <f t="shared" si="965"/>
        <v>2035095220.7774529</v>
      </c>
      <c r="R266">
        <f t="shared" si="966"/>
        <v>-36353900620.465996</v>
      </c>
      <c r="S266">
        <f t="shared" si="967"/>
        <v>-363539.00620465993</v>
      </c>
      <c r="T266">
        <f t="shared" si="968"/>
        <v>-363.53900620465993</v>
      </c>
    </row>
    <row r="267" spans="1:20" x14ac:dyDescent="0.25">
      <c r="A267" s="5">
        <v>44326</v>
      </c>
      <c r="B267">
        <v>1.4420000000000001E-2</v>
      </c>
      <c r="C267">
        <v>1.4886E-2</v>
      </c>
      <c r="D267">
        <v>1.1147000000000001E-2</v>
      </c>
      <c r="E267">
        <v>1.2671999999999999E-2</v>
      </c>
      <c r="F267">
        <v>9775969260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-0.1842738700187222</v>
      </c>
      <c r="Q267">
        <f t="shared" si="965"/>
        <v>-1801455688.7242639</v>
      </c>
      <c r="R267">
        <f t="shared" si="966"/>
        <v>-38388995841.243446</v>
      </c>
      <c r="S267">
        <f t="shared" si="967"/>
        <v>-383889.95841243444</v>
      </c>
      <c r="T267">
        <f t="shared" si="968"/>
        <v>-383.88995841243445</v>
      </c>
    </row>
    <row r="268" spans="1:20" x14ac:dyDescent="0.25">
      <c r="A268" s="5">
        <v>44325</v>
      </c>
      <c r="B268">
        <v>1.477E-2</v>
      </c>
      <c r="C268">
        <v>1.4893999999999999E-2</v>
      </c>
      <c r="D268">
        <v>1.371E-2</v>
      </c>
      <c r="E268">
        <v>1.4420000000000001E-2</v>
      </c>
      <c r="F268">
        <v>6929675405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0.19932432432432598</v>
      </c>
      <c r="Q268">
        <f t="shared" si="965"/>
        <v>1381252867.888525</v>
      </c>
      <c r="R268">
        <f t="shared" si="966"/>
        <v>-36587540152.51918</v>
      </c>
      <c r="S268">
        <f t="shared" si="967"/>
        <v>-365875.40152519179</v>
      </c>
      <c r="T268">
        <f t="shared" si="968"/>
        <v>-365.87540152519176</v>
      </c>
    </row>
    <row r="269" spans="1:20" x14ac:dyDescent="0.25">
      <c r="A269" s="5">
        <v>44324</v>
      </c>
      <c r="B269">
        <v>1.5221999999999999E-2</v>
      </c>
      <c r="C269">
        <v>1.6E-2</v>
      </c>
      <c r="D269">
        <v>1.461E-2</v>
      </c>
      <c r="E269">
        <v>1.477E-2</v>
      </c>
      <c r="F269">
        <v>6823508865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-0.76978417266187005</v>
      </c>
      <c r="Q269">
        <f t="shared" si="965"/>
        <v>-5252629126.294961</v>
      </c>
      <c r="R269">
        <f t="shared" si="966"/>
        <v>-37968793020.407707</v>
      </c>
      <c r="S269">
        <f t="shared" si="967"/>
        <v>-379687.9302040771</v>
      </c>
      <c r="T269">
        <f t="shared" si="968"/>
        <v>-379.68793020407708</v>
      </c>
    </row>
    <row r="270" spans="1:20" x14ac:dyDescent="0.25">
      <c r="A270" s="5">
        <v>44323</v>
      </c>
      <c r="B270">
        <v>1.4985E-2</v>
      </c>
      <c r="C270">
        <v>1.6840000000000001E-2</v>
      </c>
      <c r="D270">
        <v>1.4548999999999999E-2</v>
      </c>
      <c r="E270">
        <v>1.5233E-2</v>
      </c>
      <c r="F270">
        <v>16165191491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-0.40288083806198149</v>
      </c>
      <c r="Q270">
        <f t="shared" si="965"/>
        <v>-6512645895.3264923</v>
      </c>
      <c r="R270">
        <f t="shared" si="966"/>
        <v>-32716163894.112743</v>
      </c>
      <c r="S270">
        <f t="shared" si="967"/>
        <v>-327161.63894112746</v>
      </c>
      <c r="T270">
        <f t="shared" si="968"/>
        <v>-327.16163894112748</v>
      </c>
    </row>
    <row r="271" spans="1:20" x14ac:dyDescent="0.25">
      <c r="A271" s="5">
        <v>44322</v>
      </c>
      <c r="B271">
        <v>1.4775E-2</v>
      </c>
      <c r="C271">
        <v>1.5765999999999999E-2</v>
      </c>
      <c r="D271">
        <v>1.4255E-2</v>
      </c>
      <c r="E271">
        <v>1.4982000000000001E-2</v>
      </c>
      <c r="F271">
        <v>10668815222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-3.7723362011911371E-2</v>
      </c>
      <c r="Q271">
        <f t="shared" si="965"/>
        <v>-402463578.85769659</v>
      </c>
      <c r="R271">
        <f t="shared" si="966"/>
        <v>-26203517998.786251</v>
      </c>
      <c r="S271">
        <f t="shared" si="967"/>
        <v>-262035.1799878625</v>
      </c>
      <c r="T271">
        <f t="shared" si="968"/>
        <v>-262.03517998786248</v>
      </c>
    </row>
    <row r="272" spans="1:20" x14ac:dyDescent="0.25">
      <c r="A272" s="5">
        <v>44321</v>
      </c>
      <c r="B272">
        <v>1.3525000000000001E-2</v>
      </c>
      <c r="C272">
        <v>1.6195999999999999E-2</v>
      </c>
      <c r="D272">
        <v>1.3370999999999999E-2</v>
      </c>
      <c r="E272">
        <v>1.4775E-2</v>
      </c>
      <c r="F272">
        <v>12621011661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-6.0176991150435125E-3</v>
      </c>
      <c r="Q272">
        <f t="shared" si="965"/>
        <v>-75949450.703353554</v>
      </c>
      <c r="R272">
        <f t="shared" si="966"/>
        <v>-25801054419.928555</v>
      </c>
      <c r="S272">
        <f t="shared" si="967"/>
        <v>-258010.54419928553</v>
      </c>
      <c r="T272">
        <f t="shared" si="968"/>
        <v>-258.01054419928556</v>
      </c>
    </row>
    <row r="273" spans="1:20" x14ac:dyDescent="0.25">
      <c r="A273" s="5">
        <v>44320</v>
      </c>
      <c r="B273">
        <v>1.5296000000000001E-2</v>
      </c>
      <c r="C273">
        <v>1.5315E-2</v>
      </c>
      <c r="D273">
        <v>1.3115E-2</v>
      </c>
      <c r="E273">
        <v>1.3525000000000001E-2</v>
      </c>
      <c r="F273">
        <v>11062626526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-0.62727272727272676</v>
      </c>
      <c r="Q273">
        <f t="shared" si="965"/>
        <v>-6939283911.7636309</v>
      </c>
      <c r="R273">
        <f t="shared" si="966"/>
        <v>-25725104969.225201</v>
      </c>
      <c r="S273">
        <f t="shared" si="967"/>
        <v>-257251.04969225201</v>
      </c>
      <c r="T273">
        <f t="shared" si="968"/>
        <v>-257.25104969225202</v>
      </c>
    </row>
    <row r="274" spans="1:20" x14ac:dyDescent="0.25">
      <c r="A274" s="5">
        <v>44319</v>
      </c>
      <c r="B274">
        <v>1.5526999999999999E-2</v>
      </c>
      <c r="C274">
        <v>1.6225E-2</v>
      </c>
      <c r="D274">
        <v>1.4500000000000001E-2</v>
      </c>
      <c r="E274">
        <v>1.529E-2</v>
      </c>
      <c r="F274">
        <v>7914874541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-8.4057971014493402E-2</v>
      </c>
      <c r="Q274">
        <f t="shared" si="965"/>
        <v>-665308294.7507298</v>
      </c>
      <c r="R274">
        <f t="shared" si="966"/>
        <v>-18785821057.461571</v>
      </c>
      <c r="S274">
        <f t="shared" si="967"/>
        <v>-187858.21057461572</v>
      </c>
      <c r="T274">
        <f t="shared" si="968"/>
        <v>-187.85821057461573</v>
      </c>
    </row>
    <row r="275" spans="1:20" x14ac:dyDescent="0.25">
      <c r="A275" s="5">
        <v>44318</v>
      </c>
      <c r="B275">
        <v>1.6198000000000001E-2</v>
      </c>
      <c r="C275">
        <v>1.6278999999999998E-2</v>
      </c>
      <c r="D275">
        <v>1.4876E-2</v>
      </c>
      <c r="E275">
        <v>1.5528E-2</v>
      </c>
      <c r="F275">
        <v>6105633237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-7.0563079116178568E-2</v>
      </c>
      <c r="Q275">
        <f t="shared" si="965"/>
        <v>-430832281.15680045</v>
      </c>
      <c r="R275">
        <f t="shared" si="966"/>
        <v>-18120512762.710842</v>
      </c>
      <c r="S275">
        <f t="shared" si="967"/>
        <v>-181205.12762710842</v>
      </c>
      <c r="T275">
        <f t="shared" si="968"/>
        <v>-181.20512762710842</v>
      </c>
    </row>
    <row r="276" spans="1:20" x14ac:dyDescent="0.25">
      <c r="A276" s="5">
        <v>44317</v>
      </c>
      <c r="B276">
        <v>1.6071999999999999E-2</v>
      </c>
      <c r="C276">
        <v>1.6992E-2</v>
      </c>
      <c r="D276">
        <v>1.5573999999999999E-2</v>
      </c>
      <c r="E276">
        <v>1.6197E-2</v>
      </c>
      <c r="F276">
        <v>8774410043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-0.12129760225669969</v>
      </c>
      <c r="Q276">
        <f t="shared" si="965"/>
        <v>-1064314899.4330052</v>
      </c>
      <c r="R276">
        <f t="shared" si="966"/>
        <v>-17689680481.554043</v>
      </c>
      <c r="S276">
        <f t="shared" si="967"/>
        <v>-176896.80481554044</v>
      </c>
      <c r="T276">
        <f t="shared" si="968"/>
        <v>-176.89680481554043</v>
      </c>
    </row>
    <row r="277" spans="1:20" x14ac:dyDescent="0.25">
      <c r="A277" s="5">
        <v>44316</v>
      </c>
      <c r="B277">
        <v>1.5384999999999999E-2</v>
      </c>
      <c r="C277">
        <v>1.6327000000000001E-2</v>
      </c>
      <c r="D277">
        <v>1.506E-2</v>
      </c>
      <c r="E277">
        <v>1.6070999999999998E-2</v>
      </c>
      <c r="F277">
        <v>8256593993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0.59589581689028792</v>
      </c>
      <c r="Q277">
        <f t="shared" si="965"/>
        <v>4920069822.1901789</v>
      </c>
      <c r="R277">
        <f t="shared" si="966"/>
        <v>-16625365582.121037</v>
      </c>
      <c r="S277">
        <f t="shared" si="967"/>
        <v>-166253.65582121036</v>
      </c>
      <c r="T277">
        <f t="shared" si="968"/>
        <v>-166.25365582121034</v>
      </c>
    </row>
    <row r="278" spans="1:20" x14ac:dyDescent="0.25">
      <c r="A278" s="5">
        <v>44315</v>
      </c>
      <c r="B278">
        <v>1.5852000000000002E-2</v>
      </c>
      <c r="C278">
        <v>1.6428999999999999E-2</v>
      </c>
      <c r="D278">
        <v>1.4760000000000001E-2</v>
      </c>
      <c r="E278">
        <v>1.5375E-2</v>
      </c>
      <c r="F278">
        <v>8746368455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-0.26303175554224117</v>
      </c>
      <c r="Q278">
        <f t="shared" si="965"/>
        <v>-2300572649.3379297</v>
      </c>
      <c r="R278">
        <f t="shared" si="966"/>
        <v>-21545435404.311214</v>
      </c>
      <c r="S278">
        <f t="shared" si="967"/>
        <v>-215454.35404311214</v>
      </c>
      <c r="T278">
        <f t="shared" si="968"/>
        <v>-215.45435404311215</v>
      </c>
    </row>
    <row r="279" spans="1:20" x14ac:dyDescent="0.25">
      <c r="A279" s="5">
        <v>44314</v>
      </c>
      <c r="B279">
        <v>1.6476999999999999E-2</v>
      </c>
      <c r="C279">
        <v>1.736E-2</v>
      </c>
      <c r="D279">
        <v>1.4274999999999999E-2</v>
      </c>
      <c r="E279">
        <v>1.5842999999999999E-2</v>
      </c>
      <c r="F279">
        <v>18077859179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1.6531604538087177E-2</v>
      </c>
      <c r="Q279">
        <f t="shared" si="965"/>
        <v>298856018.84245735</v>
      </c>
      <c r="R279">
        <f t="shared" si="966"/>
        <v>-19244862754.973286</v>
      </c>
      <c r="S279">
        <f t="shared" si="967"/>
        <v>-192448.62754973286</v>
      </c>
      <c r="T279">
        <f t="shared" si="968"/>
        <v>-192.44862754973286</v>
      </c>
    </row>
    <row r="280" spans="1:20" x14ac:dyDescent="0.25">
      <c r="A280" s="5">
        <v>44313</v>
      </c>
      <c r="B280">
        <v>1.4054000000000001E-2</v>
      </c>
      <c r="C280">
        <v>1.7676999999999998E-2</v>
      </c>
      <c r="D280">
        <v>1.3521E-2</v>
      </c>
      <c r="E280">
        <v>1.6473000000000002E-2</v>
      </c>
      <c r="F280">
        <v>25149930141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0.42059672762271549</v>
      </c>
      <c r="Q280">
        <f t="shared" si="965"/>
        <v>10577978317.244499</v>
      </c>
      <c r="R280">
        <f t="shared" si="966"/>
        <v>-19543718773.815742</v>
      </c>
      <c r="S280">
        <f t="shared" si="967"/>
        <v>-195437.18773815743</v>
      </c>
      <c r="T280">
        <f t="shared" si="968"/>
        <v>-195.43718773815743</v>
      </c>
    </row>
    <row r="281" spans="1:20" x14ac:dyDescent="0.25">
      <c r="A281" s="5">
        <v>44312</v>
      </c>
      <c r="B281">
        <v>1.1749000000000001E-2</v>
      </c>
      <c r="C281">
        <v>1.44E-2</v>
      </c>
      <c r="D281">
        <v>1.1583E-2</v>
      </c>
      <c r="E281">
        <v>1.4055E-2</v>
      </c>
      <c r="F281">
        <v>17619714050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0.75505857294994694</v>
      </c>
      <c r="Q281">
        <f t="shared" si="965"/>
        <v>13303916146.379129</v>
      </c>
      <c r="R281">
        <f t="shared" si="966"/>
        <v>-30121697091.060242</v>
      </c>
      <c r="S281">
        <f t="shared" si="967"/>
        <v>-301216.97091060242</v>
      </c>
      <c r="T281">
        <f t="shared" si="968"/>
        <v>-301.21697091060241</v>
      </c>
    </row>
    <row r="282" spans="1:20" x14ac:dyDescent="0.25">
      <c r="A282" s="5">
        <v>44311</v>
      </c>
      <c r="B282">
        <v>1.20997E-2</v>
      </c>
      <c r="C282">
        <v>1.3148399999999999E-2</v>
      </c>
      <c r="D282">
        <v>1.0512000000000001E-2</v>
      </c>
      <c r="E282">
        <v>1.1748E-2</v>
      </c>
      <c r="F282">
        <v>11312795332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-6.2357760582612796E-2</v>
      </c>
      <c r="Q282">
        <f t="shared" si="965"/>
        <v>-705440582.8329556</v>
      </c>
      <c r="R282">
        <f t="shared" si="966"/>
        <v>-43425613237.439369</v>
      </c>
      <c r="S282">
        <f t="shared" si="967"/>
        <v>-434256.1323743937</v>
      </c>
      <c r="T282">
        <f t="shared" si="968"/>
        <v>-434.2561323743937</v>
      </c>
    </row>
    <row r="283" spans="1:20" x14ac:dyDescent="0.25">
      <c r="A283" s="5">
        <v>44310</v>
      </c>
      <c r="B283">
        <v>1.28004E-2</v>
      </c>
      <c r="C283">
        <v>1.54E-2</v>
      </c>
      <c r="D283">
        <v>1.17267E-2</v>
      </c>
      <c r="E283">
        <v>1.20997E-2</v>
      </c>
      <c r="F283">
        <v>26485249141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-0.796912857648436</v>
      </c>
      <c r="Q283">
        <f t="shared" si="965"/>
        <v>-21106435578.485096</v>
      </c>
      <c r="R283">
        <f t="shared" si="966"/>
        <v>-42720172654.606415</v>
      </c>
      <c r="S283">
        <f t="shared" si="967"/>
        <v>-427201.72654606414</v>
      </c>
      <c r="T283">
        <f t="shared" si="968"/>
        <v>-427.20172654606415</v>
      </c>
    </row>
    <row r="284" spans="1:20" x14ac:dyDescent="0.25">
      <c r="A284" s="5">
        <v>44309</v>
      </c>
      <c r="B284">
        <v>1.2707299999999999E-2</v>
      </c>
      <c r="C284">
        <v>1.38E-2</v>
      </c>
      <c r="D284">
        <v>8.8000000000000005E-3</v>
      </c>
      <c r="E284">
        <v>1.28001E-2</v>
      </c>
      <c r="F284">
        <v>30656502858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0.60004000000000002</v>
      </c>
      <c r="Q284">
        <f t="shared" si="965"/>
        <v>18395127974.914322</v>
      </c>
      <c r="R284">
        <f t="shared" si="966"/>
        <v>-21613737076.121315</v>
      </c>
      <c r="S284">
        <f t="shared" si="967"/>
        <v>-216137.37076121315</v>
      </c>
      <c r="T284">
        <f t="shared" si="968"/>
        <v>-216.13737076121316</v>
      </c>
    </row>
    <row r="285" spans="1:20" x14ac:dyDescent="0.25">
      <c r="A285" s="5">
        <v>44308</v>
      </c>
      <c r="B285">
        <v>1.49E-2</v>
      </c>
      <c r="C285">
        <v>1.54775E-2</v>
      </c>
      <c r="D285">
        <v>1.1562299999999999E-2</v>
      </c>
      <c r="E285">
        <v>1.27212E-2</v>
      </c>
      <c r="F285">
        <v>13939113536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-0.40799959133632985</v>
      </c>
      <c r="Q285">
        <f t="shared" si="965"/>
        <v>-5687152626.2787037</v>
      </c>
      <c r="R285">
        <f t="shared" si="966"/>
        <v>-40008865051.035637</v>
      </c>
      <c r="S285">
        <f t="shared" si="967"/>
        <v>-400088.65051035635</v>
      </c>
      <c r="T285">
        <f t="shared" si="968"/>
        <v>-400.08865051035633</v>
      </c>
    </row>
    <row r="286" spans="1:20" x14ac:dyDescent="0.25">
      <c r="A286" s="5">
        <v>44307</v>
      </c>
      <c r="B286">
        <v>1.6074399999999999E-2</v>
      </c>
      <c r="C286">
        <v>1.7095900000000001E-2</v>
      </c>
      <c r="D286">
        <v>1.47122E-2</v>
      </c>
      <c r="E286">
        <v>1.49E-2</v>
      </c>
      <c r="F286">
        <v>8281340189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-0.84242983596929144</v>
      </c>
      <c r="Q286">
        <f t="shared" si="965"/>
        <v>-6976448057.0251713</v>
      </c>
      <c r="R286">
        <f t="shared" si="966"/>
        <v>-34321712424.756935</v>
      </c>
      <c r="S286">
        <f t="shared" si="967"/>
        <v>-343217.12424756936</v>
      </c>
      <c r="T286">
        <f t="shared" si="968"/>
        <v>-343.21712424756936</v>
      </c>
    </row>
    <row r="287" spans="1:20" x14ac:dyDescent="0.25">
      <c r="A287" s="5">
        <v>44306</v>
      </c>
      <c r="B287">
        <v>1.5768799999999999E-2</v>
      </c>
      <c r="C287">
        <v>1.7957899999999999E-2</v>
      </c>
      <c r="D287">
        <v>1.38E-2</v>
      </c>
      <c r="E287">
        <v>1.6075800000000001E-2</v>
      </c>
      <c r="F287">
        <v>14192691086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9.46872219149099E-2</v>
      </c>
      <c r="Q287">
        <f t="shared" si="965"/>
        <v>1343866490.4298456</v>
      </c>
      <c r="R287">
        <f t="shared" si="966"/>
        <v>-27345264367.731762</v>
      </c>
      <c r="S287">
        <f t="shared" si="967"/>
        <v>-273452.6436773176</v>
      </c>
      <c r="T287">
        <f t="shared" si="968"/>
        <v>-273.45264367731761</v>
      </c>
    </row>
    <row r="288" spans="1:20" x14ac:dyDescent="0.25">
      <c r="A288" s="5">
        <v>44305</v>
      </c>
      <c r="B288">
        <v>1.7059999999999999E-2</v>
      </c>
      <c r="C288">
        <v>1.8494500000000001E-2</v>
      </c>
      <c r="D288">
        <v>1.5505400000000001E-2</v>
      </c>
      <c r="E288">
        <v>1.5781400000000001E-2</v>
      </c>
      <c r="F288">
        <v>10882681909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-0.81532902880465674</v>
      </c>
      <c r="Q288">
        <f t="shared" si="965"/>
        <v>-8872966471.6549778</v>
      </c>
      <c r="R288">
        <f t="shared" si="966"/>
        <v>-28689130858.161606</v>
      </c>
      <c r="S288">
        <f t="shared" si="967"/>
        <v>-286891.30858161603</v>
      </c>
      <c r="T288">
        <f t="shared" si="968"/>
        <v>-286.89130858161604</v>
      </c>
    </row>
    <row r="289" spans="1:20" x14ac:dyDescent="0.25">
      <c r="A289" s="5">
        <v>44304</v>
      </c>
      <c r="B289">
        <v>1.88259E-2</v>
      </c>
      <c r="C289">
        <v>1.9099999999999999E-2</v>
      </c>
      <c r="D289">
        <v>1.35011E-2</v>
      </c>
      <c r="E289">
        <v>1.7060800000000001E-2</v>
      </c>
      <c r="F289">
        <v>13384929859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0.27157120148600672</v>
      </c>
      <c r="Q289">
        <f t="shared" si="965"/>
        <v>3634961483.6145563</v>
      </c>
      <c r="R289">
        <f t="shared" si="966"/>
        <v>-19816164386.50663</v>
      </c>
      <c r="S289">
        <f t="shared" si="967"/>
        <v>-198161.64386506629</v>
      </c>
      <c r="T289">
        <f t="shared" si="968"/>
        <v>-198.16164386506628</v>
      </c>
    </row>
    <row r="290" spans="1:20" x14ac:dyDescent="0.25">
      <c r="A290" s="5">
        <v>44303</v>
      </c>
      <c r="B290">
        <v>1.9002999999999999E-2</v>
      </c>
      <c r="C290">
        <v>2.1606199999999999E-2</v>
      </c>
      <c r="D290">
        <v>1.8532699999999999E-2</v>
      </c>
      <c r="E290">
        <v>1.8870899999999999E-2</v>
      </c>
      <c r="F290">
        <v>20437039239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-0.77992516674800694</v>
      </c>
      <c r="Q290">
        <f t="shared" si="965"/>
        <v>-15939361236.312635</v>
      </c>
      <c r="R290">
        <f t="shared" si="966"/>
        <v>-23451125870.121185</v>
      </c>
      <c r="S290">
        <f t="shared" si="967"/>
        <v>-234511.25870121186</v>
      </c>
      <c r="T290">
        <f t="shared" si="968"/>
        <v>-234.51125870121186</v>
      </c>
    </row>
    <row r="291" spans="1:20" x14ac:dyDescent="0.25">
      <c r="A291" s="5">
        <v>44302</v>
      </c>
      <c r="B291">
        <v>1.8577E-2</v>
      </c>
      <c r="C291">
        <v>2.0676E-2</v>
      </c>
      <c r="D291">
        <v>1.7000000000000001E-2</v>
      </c>
      <c r="E291">
        <v>1.90209E-2</v>
      </c>
      <c r="F291">
        <v>19991502894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9.9510337323177253E-2</v>
      </c>
      <c r="Q291">
        <f t="shared" si="965"/>
        <v>1989361196.5792143</v>
      </c>
      <c r="R291">
        <f t="shared" si="966"/>
        <v>-7511764633.8085499</v>
      </c>
      <c r="S291">
        <f t="shared" si="967"/>
        <v>-75117.646338085498</v>
      </c>
      <c r="T291">
        <f t="shared" si="968"/>
        <v>-75.117646338085493</v>
      </c>
    </row>
    <row r="292" spans="1:20" x14ac:dyDescent="0.25">
      <c r="A292" s="5">
        <v>44301</v>
      </c>
      <c r="B292">
        <v>1.7570100000000002E-2</v>
      </c>
      <c r="C292">
        <v>2.1407099999999998E-2</v>
      </c>
      <c r="D292">
        <v>1.7175900000000001E-2</v>
      </c>
      <c r="E292">
        <v>1.8561399999999999E-2</v>
      </c>
      <c r="F292">
        <v>21964859419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-0.34510304405369696</v>
      </c>
      <c r="Q292">
        <f t="shared" si="965"/>
        <v>-7580139847.7084179</v>
      </c>
      <c r="R292">
        <f t="shared" si="966"/>
        <v>-9501125830.387764</v>
      </c>
      <c r="S292">
        <f t="shared" si="967"/>
        <v>-95011.258303877636</v>
      </c>
      <c r="T292">
        <f t="shared" si="968"/>
        <v>-95.011258303877639</v>
      </c>
    </row>
    <row r="293" spans="1:20" x14ac:dyDescent="0.25">
      <c r="A293" s="5">
        <v>44300</v>
      </c>
      <c r="B293">
        <v>1.8715099999999998E-2</v>
      </c>
      <c r="C293">
        <v>1.9033899999999999E-2</v>
      </c>
      <c r="D293">
        <v>1.6221699999999999E-2</v>
      </c>
      <c r="E293">
        <v>1.7569999999999999E-2</v>
      </c>
      <c r="F293">
        <v>12094141823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-4.1106606926961234E-2</v>
      </c>
      <c r="Q293">
        <f t="shared" si="965"/>
        <v>-497149134.03698337</v>
      </c>
      <c r="R293">
        <f t="shared" si="966"/>
        <v>-1920985982.6793451</v>
      </c>
      <c r="S293">
        <f t="shared" si="967"/>
        <v>-19209.85982679345</v>
      </c>
      <c r="T293">
        <f t="shared" si="968"/>
        <v>-19.209859826793451</v>
      </c>
    </row>
    <row r="294" spans="1:20" x14ac:dyDescent="0.25">
      <c r="A294" s="5">
        <v>44299</v>
      </c>
      <c r="B294">
        <v>1.8798700000000002E-2</v>
      </c>
      <c r="C294">
        <v>1.985E-2</v>
      </c>
      <c r="D294">
        <v>1.8285300000000001E-2</v>
      </c>
      <c r="E294">
        <v>1.8720799999999999E-2</v>
      </c>
      <c r="F294">
        <v>11048458595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-0.44334377196906916</v>
      </c>
      <c r="Q294">
        <f t="shared" si="965"/>
        <v>-4898265307.9513826</v>
      </c>
      <c r="R294">
        <f t="shared" si="966"/>
        <v>-1423836848.6423616</v>
      </c>
      <c r="S294">
        <f t="shared" si="967"/>
        <v>-14238.368486423617</v>
      </c>
      <c r="T294">
        <f t="shared" si="968"/>
        <v>-14.238368486423617</v>
      </c>
    </row>
    <row r="295" spans="1:20" x14ac:dyDescent="0.25">
      <c r="A295" s="5">
        <v>44298</v>
      </c>
      <c r="B295">
        <v>1.9745700000000001E-2</v>
      </c>
      <c r="C295">
        <v>2.1964999999999998E-2</v>
      </c>
      <c r="D295">
        <v>1.8669700000000001E-2</v>
      </c>
      <c r="E295">
        <v>1.8798700000000002E-2</v>
      </c>
      <c r="F295">
        <v>14035959456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-0.92170667314053301</v>
      </c>
      <c r="Q295">
        <f t="shared" si="965"/>
        <v>-12937037494.525166</v>
      </c>
      <c r="R295">
        <f t="shared" si="966"/>
        <v>3474428459.309021</v>
      </c>
      <c r="S295">
        <f t="shared" si="967"/>
        <v>34744.284593090211</v>
      </c>
      <c r="T295">
        <f t="shared" si="968"/>
        <v>34.744284593090214</v>
      </c>
    </row>
    <row r="296" spans="1:20" x14ac:dyDescent="0.25">
      <c r="A296" s="5">
        <v>44297</v>
      </c>
      <c r="B296">
        <v>1.9134200000000001E-2</v>
      </c>
      <c r="C296">
        <v>2.2599999999999999E-2</v>
      </c>
      <c r="D296">
        <v>1.7286800000000001E-2</v>
      </c>
      <c r="E296">
        <v>1.9745700000000001E-2</v>
      </c>
      <c r="F296">
        <v>28104002876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-7.4418429571632416E-2</v>
      </c>
      <c r="Q296">
        <f t="shared" si="965"/>
        <v>-2091455758.7085609</v>
      </c>
      <c r="R296">
        <f t="shared" si="966"/>
        <v>16411465953.834187</v>
      </c>
      <c r="S296">
        <f t="shared" si="967"/>
        <v>164114.65953834186</v>
      </c>
      <c r="T296">
        <f t="shared" si="968"/>
        <v>164.11465953834187</v>
      </c>
    </row>
    <row r="297" spans="1:20" x14ac:dyDescent="0.25">
      <c r="A297" s="5">
        <v>44296</v>
      </c>
      <c r="B297">
        <v>2.0939599999999999E-2</v>
      </c>
      <c r="C297">
        <v>2.1706E-2</v>
      </c>
      <c r="D297">
        <v>1.7725999999999999E-2</v>
      </c>
      <c r="E297">
        <v>1.9134100000000001E-2</v>
      </c>
      <c r="F297">
        <v>22063445219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-0.29241206030150652</v>
      </c>
      <c r="Q297">
        <f t="shared" si="965"/>
        <v>-6451617473.8372135</v>
      </c>
      <c r="R297">
        <f t="shared" si="966"/>
        <v>18502921712.542747</v>
      </c>
      <c r="S297">
        <f t="shared" si="967"/>
        <v>185029.21712542747</v>
      </c>
      <c r="T297">
        <f t="shared" si="968"/>
        <v>185.02921712542746</v>
      </c>
    </row>
    <row r="298" spans="1:20" x14ac:dyDescent="0.25">
      <c r="A298" s="5">
        <v>44295</v>
      </c>
      <c r="B298">
        <v>2.3134200000000001E-2</v>
      </c>
      <c r="C298">
        <v>2.3699999999999999E-2</v>
      </c>
      <c r="D298">
        <v>2.0422200000000001E-2</v>
      </c>
      <c r="E298">
        <v>2.0939900000000001E-2</v>
      </c>
      <c r="F298">
        <v>9916452819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-0.68411739581426578</v>
      </c>
      <c r="Q298">
        <f t="shared" si="965"/>
        <v>-6784017878.2493143</v>
      </c>
      <c r="R298">
        <f t="shared" si="966"/>
        <v>24954539186.379959</v>
      </c>
      <c r="S298">
        <f t="shared" si="967"/>
        <v>249545.3918637996</v>
      </c>
      <c r="T298">
        <f t="shared" si="968"/>
        <v>249.54539186379961</v>
      </c>
    </row>
    <row r="299" spans="1:20" x14ac:dyDescent="0.25">
      <c r="A299" s="5">
        <v>44294</v>
      </c>
      <c r="B299">
        <v>2.0470100000000001E-2</v>
      </c>
      <c r="C299">
        <v>2.47E-2</v>
      </c>
      <c r="D299">
        <v>2.03114E-2</v>
      </c>
      <c r="E299">
        <v>2.3106100000000001E-2</v>
      </c>
      <c r="F299">
        <v>16808459633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0.27361801029941257</v>
      </c>
      <c r="Q299">
        <f t="shared" si="965"/>
        <v>4599097280.979454</v>
      </c>
      <c r="R299">
        <f t="shared" si="966"/>
        <v>31738557064.629272</v>
      </c>
      <c r="S299">
        <f t="shared" si="967"/>
        <v>317385.5706462927</v>
      </c>
      <c r="T299">
        <f t="shared" si="968"/>
        <v>317.38557064629271</v>
      </c>
    </row>
    <row r="300" spans="1:20" x14ac:dyDescent="0.25">
      <c r="A300" s="5">
        <v>44293</v>
      </c>
      <c r="B300">
        <v>2.2734999999999998E-2</v>
      </c>
      <c r="C300">
        <v>2.3848100000000001E-2</v>
      </c>
      <c r="D300">
        <v>1.9199999999999998E-2</v>
      </c>
      <c r="E300">
        <v>2.0469500000000002E-2</v>
      </c>
      <c r="F300">
        <v>28585644946</v>
      </c>
      <c r="G300">
        <v>0</v>
      </c>
      <c r="L300" t="s">
        <v>8</v>
      </c>
      <c r="M300" t="s">
        <v>8</v>
      </c>
      <c r="N300" t="s">
        <v>7</v>
      </c>
      <c r="P300">
        <f t="shared" si="964"/>
        <v>-0.45375529786364205</v>
      </c>
      <c r="Q300">
        <f t="shared" si="965"/>
        <v>-12970887837.096544</v>
      </c>
      <c r="R300">
        <f t="shared" si="966"/>
        <v>27139459783.649818</v>
      </c>
      <c r="S300">
        <f t="shared" si="967"/>
        <v>271394.59783649817</v>
      </c>
      <c r="T300">
        <f t="shared" si="968"/>
        <v>271.39459783649818</v>
      </c>
    </row>
    <row r="301" spans="1:20" x14ac:dyDescent="0.25">
      <c r="A301" s="5">
        <v>44292</v>
      </c>
      <c r="B301">
        <v>2.8599699999999999E-2</v>
      </c>
      <c r="C301">
        <v>2.8761399999999999E-2</v>
      </c>
      <c r="D301">
        <v>1.9155499999999999E-2</v>
      </c>
      <c r="E301">
        <v>2.2735100000000001E-2</v>
      </c>
      <c r="F301">
        <v>36670927247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-0.25470804401461561</v>
      </c>
      <c r="Q301">
        <f t="shared" si="965"/>
        <v>-9340380151.2856426</v>
      </c>
      <c r="R301">
        <f t="shared" si="966"/>
        <v>40110347620.746361</v>
      </c>
      <c r="S301">
        <f t="shared" si="967"/>
        <v>401103.47620746359</v>
      </c>
      <c r="T301">
        <f t="shared" si="968"/>
        <v>401.10347620746359</v>
      </c>
    </row>
    <row r="302" spans="1:20" x14ac:dyDescent="0.25">
      <c r="A302" s="5">
        <v>44291</v>
      </c>
      <c r="B302">
        <v>2.72295E-2</v>
      </c>
      <c r="C302">
        <v>3.1600000000000003E-2</v>
      </c>
      <c r="D302">
        <v>2.5441499999999999E-2</v>
      </c>
      <c r="E302">
        <v>2.8599699999999999E-2</v>
      </c>
      <c r="F302">
        <v>29770407201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2.563936023382243E-2</v>
      </c>
      <c r="Q302">
        <f t="shared" si="965"/>
        <v>763294194.5340203</v>
      </c>
      <c r="R302">
        <f t="shared" si="966"/>
        <v>49450727772.032005</v>
      </c>
      <c r="S302">
        <f t="shared" si="967"/>
        <v>494507.27772032004</v>
      </c>
      <c r="T302">
        <f t="shared" si="968"/>
        <v>494.50727772032002</v>
      </c>
    </row>
    <row r="303" spans="1:20" x14ac:dyDescent="0.25">
      <c r="A303" s="5">
        <v>44290</v>
      </c>
      <c r="B303">
        <v>2.3101799999999999E-2</v>
      </c>
      <c r="C303">
        <v>2.981E-2</v>
      </c>
      <c r="D303">
        <v>2.2390500000000001E-2</v>
      </c>
      <c r="E303">
        <v>2.7244299999999999E-2</v>
      </c>
      <c r="F303">
        <v>38522651697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0.30839005323808855</v>
      </c>
      <c r="Q303">
        <f t="shared" si="965"/>
        <v>11880002607.710173</v>
      </c>
      <c r="R303">
        <f t="shared" si="966"/>
        <v>48687433577.497986</v>
      </c>
      <c r="S303">
        <f t="shared" si="967"/>
        <v>486874.33577497985</v>
      </c>
      <c r="T303">
        <f t="shared" si="968"/>
        <v>486.87433577497984</v>
      </c>
    </row>
    <row r="304" spans="1:20" x14ac:dyDescent="0.25">
      <c r="A304" s="5">
        <v>44289</v>
      </c>
      <c r="B304">
        <v>2.4254999999999999E-2</v>
      </c>
      <c r="C304">
        <v>2.8000000000000001E-2</v>
      </c>
      <c r="D304">
        <v>2.1562000000000001E-2</v>
      </c>
      <c r="E304">
        <v>2.3073199999999999E-2</v>
      </c>
      <c r="F304">
        <v>44172024724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-0.53053743398571063</v>
      </c>
      <c r="Q304">
        <f t="shared" si="965"/>
        <v>-23434912651.024326</v>
      </c>
      <c r="R304">
        <f t="shared" si="966"/>
        <v>36807430969.787811</v>
      </c>
      <c r="S304">
        <f t="shared" si="967"/>
        <v>368074.30969787814</v>
      </c>
      <c r="T304">
        <f t="shared" si="968"/>
        <v>368.07430969787816</v>
      </c>
    </row>
    <row r="305" spans="1:20" x14ac:dyDescent="0.25">
      <c r="A305" s="5">
        <v>44288</v>
      </c>
      <c r="B305">
        <v>1.7353199999999999E-2</v>
      </c>
      <c r="C305">
        <v>2.4400000000000002E-2</v>
      </c>
      <c r="D305">
        <v>1.7062500000000001E-2</v>
      </c>
      <c r="E305">
        <v>2.4254899999999999E-2</v>
      </c>
      <c r="F305">
        <v>36532487551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0.9604497444633725</v>
      </c>
      <c r="Q305">
        <f t="shared" si="965"/>
        <v>35087618332.969284</v>
      </c>
      <c r="R305">
        <f t="shared" si="966"/>
        <v>60242343620.812134</v>
      </c>
      <c r="S305">
        <f t="shared" si="967"/>
        <v>602423.43620812136</v>
      </c>
      <c r="T305">
        <f t="shared" si="968"/>
        <v>602.42343620812142</v>
      </c>
    </row>
    <row r="306" spans="1:20" x14ac:dyDescent="0.25">
      <c r="A306" s="5">
        <v>44287</v>
      </c>
      <c r="B306">
        <v>1.6751800000000001E-2</v>
      </c>
      <c r="C306">
        <v>1.8369699999999999E-2</v>
      </c>
      <c r="D306">
        <v>1.6500000000000001E-2</v>
      </c>
      <c r="E306">
        <v>1.7353199999999999E-2</v>
      </c>
      <c r="F306">
        <v>15475951097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-8.7340215007756197E-2</v>
      </c>
      <c r="Q306">
        <f t="shared" si="965"/>
        <v>-1351672896.2615004</v>
      </c>
      <c r="R306">
        <f t="shared" si="966"/>
        <v>25154725287.842854</v>
      </c>
      <c r="S306">
        <f t="shared" si="967"/>
        <v>251547.25287842852</v>
      </c>
      <c r="T306">
        <f t="shared" si="968"/>
        <v>251.54725287842854</v>
      </c>
    </row>
    <row r="307" spans="1:20" x14ac:dyDescent="0.25">
      <c r="A307" s="5">
        <v>44286</v>
      </c>
      <c r="B307">
        <v>1.8128100000000001E-2</v>
      </c>
      <c r="C307">
        <v>1.9498999999999999E-2</v>
      </c>
      <c r="D307">
        <v>1.51112E-2</v>
      </c>
      <c r="E307">
        <v>1.6751800000000001E-2</v>
      </c>
      <c r="F307">
        <v>32231943311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-0.25219927982132223</v>
      </c>
      <c r="Q307">
        <f t="shared" si="965"/>
        <v>-8128872890.2758846</v>
      </c>
      <c r="R307">
        <f t="shared" si="966"/>
        <v>26506398184.104355</v>
      </c>
      <c r="S307">
        <f t="shared" si="967"/>
        <v>265063.98184104357</v>
      </c>
      <c r="T307">
        <f t="shared" si="968"/>
        <v>265.06398184104359</v>
      </c>
    </row>
    <row r="308" spans="1:20" x14ac:dyDescent="0.25">
      <c r="A308" s="5">
        <v>44285</v>
      </c>
      <c r="B308">
        <v>1.30084E-2</v>
      </c>
      <c r="C308">
        <v>2.0622600000000001E-2</v>
      </c>
      <c r="D308">
        <v>1.24905E-2</v>
      </c>
      <c r="E308">
        <v>1.8127399999999998E-2</v>
      </c>
      <c r="F308">
        <v>63723594344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0.38633317347302604</v>
      </c>
      <c r="Q308">
        <f t="shared" si="965"/>
        <v>24618538428.025291</v>
      </c>
      <c r="R308">
        <f t="shared" si="966"/>
        <v>34635271074.380241</v>
      </c>
      <c r="S308">
        <f t="shared" si="967"/>
        <v>346352.71074380242</v>
      </c>
      <c r="T308">
        <f t="shared" si="968"/>
        <v>346.35271074380245</v>
      </c>
    </row>
    <row r="309" spans="1:20" x14ac:dyDescent="0.25">
      <c r="A309" s="5">
        <v>44284</v>
      </c>
      <c r="B309">
        <v>1.01879E-2</v>
      </c>
      <c r="C309">
        <v>1.345E-2</v>
      </c>
      <c r="D309">
        <v>1.0030000000000001E-2</v>
      </c>
      <c r="E309">
        <v>1.29999E-2</v>
      </c>
      <c r="F309">
        <v>35484346456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0.73678362573099399</v>
      </c>
      <c r="Q309">
        <f t="shared" si="965"/>
        <v>26144285438.546429</v>
      </c>
      <c r="R309">
        <f t="shared" si="966"/>
        <v>10016732646.354952</v>
      </c>
      <c r="S309">
        <f t="shared" si="967"/>
        <v>100167.32646354951</v>
      </c>
      <c r="T309">
        <f t="shared" si="968"/>
        <v>100.16732646354951</v>
      </c>
    </row>
    <row r="310" spans="1:20" x14ac:dyDescent="0.25">
      <c r="A310" s="5">
        <v>44283</v>
      </c>
      <c r="B310">
        <v>9.9939999999999994E-3</v>
      </c>
      <c r="C310">
        <v>1.0675E-2</v>
      </c>
      <c r="D310">
        <v>9.75E-3</v>
      </c>
      <c r="E310">
        <v>1.01872E-2</v>
      </c>
      <c r="F310">
        <v>12628604955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-5.4702702702702249E-2</v>
      </c>
      <c r="Q310">
        <f t="shared" si="965"/>
        <v>-690818822.40323746</v>
      </c>
      <c r="R310">
        <f t="shared" si="966"/>
        <v>-16127552792.191477</v>
      </c>
      <c r="S310">
        <f t="shared" si="967"/>
        <v>-161275.52792191476</v>
      </c>
      <c r="T310">
        <f t="shared" si="968"/>
        <v>-161.27552792191477</v>
      </c>
    </row>
    <row r="311" spans="1:20" x14ac:dyDescent="0.25">
      <c r="A311" s="5">
        <v>44282</v>
      </c>
      <c r="B311">
        <v>1.04099E-2</v>
      </c>
      <c r="C311">
        <v>1.155E-2</v>
      </c>
      <c r="D311">
        <v>9.6500000000000006E-3</v>
      </c>
      <c r="E311">
        <v>9.9945999999999993E-3</v>
      </c>
      <c r="F311">
        <v>31541473439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-0.63726315789473797</v>
      </c>
      <c r="Q311">
        <f t="shared" si="965"/>
        <v>-20100218968.390141</v>
      </c>
      <c r="R311">
        <f t="shared" si="966"/>
        <v>-15436733969.788239</v>
      </c>
      <c r="S311">
        <f t="shared" si="967"/>
        <v>-154367.33969788239</v>
      </c>
      <c r="T311">
        <f t="shared" si="968"/>
        <v>-154.36733969788239</v>
      </c>
    </row>
    <row r="312" spans="1:20" x14ac:dyDescent="0.25">
      <c r="A312" s="5">
        <v>44281</v>
      </c>
      <c r="B312">
        <v>7.7745999999999996E-3</v>
      </c>
      <c r="C312">
        <v>1.13705E-2</v>
      </c>
      <c r="D312">
        <v>7.6666E-3</v>
      </c>
      <c r="E312">
        <v>1.04099E-2</v>
      </c>
      <c r="F312">
        <v>35897944935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0.4813034909149812</v>
      </c>
      <c r="Q312">
        <f t="shared" si="965"/>
        <v>17277806213.889267</v>
      </c>
      <c r="R312">
        <f t="shared" si="966"/>
        <v>4663484998.601902</v>
      </c>
      <c r="S312">
        <f t="shared" si="967"/>
        <v>46634.84998601902</v>
      </c>
      <c r="T312">
        <f t="shared" si="968"/>
        <v>46.63484998601902</v>
      </c>
    </row>
    <row r="313" spans="1:20" x14ac:dyDescent="0.25">
      <c r="A313" s="5">
        <v>44280</v>
      </c>
      <c r="B313">
        <v>7.2462000000000004E-3</v>
      </c>
      <c r="C313">
        <v>8.5000000000000006E-3</v>
      </c>
      <c r="D313">
        <v>6.7504000000000002E-3</v>
      </c>
      <c r="E313">
        <v>7.7736999999999997E-3</v>
      </c>
      <c r="F313">
        <v>15788525050</v>
      </c>
      <c r="G313">
        <v>0</v>
      </c>
      <c r="L313" t="s">
        <v>8</v>
      </c>
      <c r="M313" t="s">
        <v>7</v>
      </c>
      <c r="N313" t="s">
        <v>8</v>
      </c>
      <c r="P313">
        <f t="shared" si="964"/>
        <v>0.16975308641975229</v>
      </c>
      <c r="Q313">
        <f t="shared" si="965"/>
        <v>2680150857.2530737</v>
      </c>
      <c r="R313">
        <f t="shared" si="966"/>
        <v>-12614321215.287365</v>
      </c>
      <c r="S313">
        <f t="shared" si="967"/>
        <v>-126143.21215287365</v>
      </c>
      <c r="T313">
        <f t="shared" si="968"/>
        <v>-126.14321215287364</v>
      </c>
    </row>
    <row r="314" spans="1:20" x14ac:dyDescent="0.25">
      <c r="A314" s="5">
        <v>44279</v>
      </c>
      <c r="B314">
        <v>7.6378000000000001E-3</v>
      </c>
      <c r="C314">
        <v>8.3999999999999995E-3</v>
      </c>
      <c r="D314">
        <v>7.0499999999999998E-3</v>
      </c>
      <c r="E314">
        <v>7.2310999999999999E-3</v>
      </c>
      <c r="F314">
        <v>13220233533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-0.73170370370370363</v>
      </c>
      <c r="Q314">
        <f t="shared" si="965"/>
        <v>-9673293839.9239998</v>
      </c>
      <c r="R314">
        <f t="shared" si="966"/>
        <v>-15294472072.54044</v>
      </c>
      <c r="S314">
        <f t="shared" si="967"/>
        <v>-152944.72072540439</v>
      </c>
      <c r="T314">
        <f t="shared" si="968"/>
        <v>-152.94472072540438</v>
      </c>
    </row>
    <row r="315" spans="1:20" x14ac:dyDescent="0.25">
      <c r="A315" s="5">
        <v>44278</v>
      </c>
      <c r="B315">
        <v>7.4200000000000004E-3</v>
      </c>
      <c r="C315">
        <v>8.6499999999999997E-3</v>
      </c>
      <c r="D315">
        <v>6.8100000000000001E-3</v>
      </c>
      <c r="E315">
        <v>7.6373999999999999E-3</v>
      </c>
      <c r="F315">
        <v>12687695378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-0.10065217391304347</v>
      </c>
      <c r="Q315">
        <f t="shared" si="965"/>
        <v>-1277044121.7421739</v>
      </c>
      <c r="R315">
        <f t="shared" si="966"/>
        <v>-5621178232.6164398</v>
      </c>
      <c r="S315">
        <f t="shared" si="967"/>
        <v>-56211.782326164401</v>
      </c>
      <c r="T315">
        <f t="shared" si="968"/>
        <v>-56.211782326164403</v>
      </c>
    </row>
    <row r="316" spans="1:20" x14ac:dyDescent="0.25">
      <c r="A316" s="5">
        <v>44277</v>
      </c>
      <c r="B316">
        <v>7.9920000000000008E-3</v>
      </c>
      <c r="C316">
        <v>8.2226999999999995E-3</v>
      </c>
      <c r="D316">
        <v>6.9750000000000003E-3</v>
      </c>
      <c r="E316">
        <v>7.4200000000000004E-3</v>
      </c>
      <c r="F316">
        <v>10149565177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-0.28668750500921636</v>
      </c>
      <c r="Q316">
        <f t="shared" si="965"/>
        <v>-2909753517.5225554</v>
      </c>
      <c r="R316">
        <f t="shared" si="966"/>
        <v>-4344134110.8742657</v>
      </c>
      <c r="S316">
        <f t="shared" si="967"/>
        <v>-43441.341108742658</v>
      </c>
      <c r="T316">
        <f t="shared" si="968"/>
        <v>-43.441341108742655</v>
      </c>
    </row>
    <row r="317" spans="1:20" x14ac:dyDescent="0.25">
      <c r="A317" s="5">
        <v>44276</v>
      </c>
      <c r="B317">
        <v>7.7199E-3</v>
      </c>
      <c r="C317">
        <v>8.4358999999999996E-3</v>
      </c>
      <c r="D317">
        <v>7.4162000000000004E-3</v>
      </c>
      <c r="E317">
        <v>8.0067000000000003E-3</v>
      </c>
      <c r="F317">
        <v>13493205448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0.15818377954300344</v>
      </c>
      <c r="Q317">
        <f t="shared" si="965"/>
        <v>2134406235.914885</v>
      </c>
      <c r="R317">
        <f t="shared" si="966"/>
        <v>-1434380593.3517108</v>
      </c>
      <c r="S317">
        <f t="shared" si="967"/>
        <v>-14343.805933517107</v>
      </c>
      <c r="T317">
        <f t="shared" si="968"/>
        <v>-14.343805933517107</v>
      </c>
    </row>
    <row r="318" spans="1:20" x14ac:dyDescent="0.25">
      <c r="A318" s="5">
        <v>44275</v>
      </c>
      <c r="B318">
        <v>8.1598999999999994E-3</v>
      </c>
      <c r="C318">
        <v>9.1111000000000004E-3</v>
      </c>
      <c r="D318">
        <v>7.6918000000000004E-3</v>
      </c>
      <c r="E318">
        <v>7.7178000000000004E-3</v>
      </c>
      <c r="F318">
        <v>19504758055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-0.96336222081307687</v>
      </c>
      <c r="Q318">
        <f t="shared" si="965"/>
        <v>-18790147036.286549</v>
      </c>
      <c r="R318">
        <f t="shared" si="966"/>
        <v>-3568786829.2665958</v>
      </c>
      <c r="S318">
        <f t="shared" si="967"/>
        <v>-35687.86829266596</v>
      </c>
      <c r="T318">
        <f t="shared" si="968"/>
        <v>-35.687868292665961</v>
      </c>
    </row>
    <row r="319" spans="1:20" x14ac:dyDescent="0.25">
      <c r="A319" s="5">
        <v>44274</v>
      </c>
      <c r="B319">
        <v>7.1408000000000001E-3</v>
      </c>
      <c r="C319">
        <v>8.8617999999999995E-3</v>
      </c>
      <c r="D319">
        <v>7.0000000000000001E-3</v>
      </c>
      <c r="E319">
        <v>8.1499999999999993E-3</v>
      </c>
      <c r="F319">
        <v>26583226998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0.23536362659791543</v>
      </c>
      <c r="Q319">
        <f t="shared" si="965"/>
        <v>6256724712.9248962</v>
      </c>
      <c r="R319">
        <f t="shared" si="966"/>
        <v>15221360207.019953</v>
      </c>
      <c r="S319">
        <f t="shared" si="967"/>
        <v>152213.60207019953</v>
      </c>
      <c r="T319">
        <f t="shared" si="968"/>
        <v>152.21360207019953</v>
      </c>
    </row>
    <row r="320" spans="1:20" x14ac:dyDescent="0.25">
      <c r="A320" s="5">
        <v>44273</v>
      </c>
      <c r="B320">
        <v>7.1513000000000002E-3</v>
      </c>
      <c r="C320">
        <v>7.6626999999999997E-3</v>
      </c>
      <c r="D320">
        <v>6.9411999999999998E-3</v>
      </c>
      <c r="E320">
        <v>7.1323000000000003E-3</v>
      </c>
      <c r="F320">
        <v>12679113922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-0.47027027027026891</v>
      </c>
      <c r="Q320">
        <f t="shared" si="965"/>
        <v>-5962610330.8864689</v>
      </c>
      <c r="R320">
        <f t="shared" si="966"/>
        <v>8964635494.0950565</v>
      </c>
      <c r="S320">
        <f t="shared" si="967"/>
        <v>89646.354940950565</v>
      </c>
      <c r="T320">
        <f t="shared" si="968"/>
        <v>89.646354940950559</v>
      </c>
    </row>
    <row r="321" spans="1:20" x14ac:dyDescent="0.25">
      <c r="A321" s="5">
        <v>44272</v>
      </c>
      <c r="B321">
        <v>6.8358999999999998E-3</v>
      </c>
      <c r="C321">
        <v>8.5000000000000006E-3</v>
      </c>
      <c r="D321">
        <v>6.4619999999999999E-3</v>
      </c>
      <c r="E321">
        <v>7.1675999999999997E-3</v>
      </c>
      <c r="F321">
        <v>26462909379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-0.30755642787046167</v>
      </c>
      <c r="Q321">
        <f t="shared" si="965"/>
        <v>-8138837879.6649771</v>
      </c>
      <c r="R321">
        <f t="shared" si="966"/>
        <v>14927245824.981525</v>
      </c>
      <c r="S321">
        <f t="shared" si="967"/>
        <v>149272.45824981524</v>
      </c>
      <c r="T321">
        <f t="shared" si="968"/>
        <v>149.27245824981526</v>
      </c>
    </row>
    <row r="322" spans="1:20" x14ac:dyDescent="0.25">
      <c r="A322" s="5">
        <v>44271</v>
      </c>
      <c r="B322">
        <v>7.1082000000000003E-3</v>
      </c>
      <c r="C322">
        <v>7.9339000000000007E-3</v>
      </c>
      <c r="D322">
        <v>5.6603000000000001E-3</v>
      </c>
      <c r="E322">
        <v>6.8415999999999998E-3</v>
      </c>
      <c r="F322">
        <v>36039356359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3.9144968332159913E-2</v>
      </c>
      <c r="Q322">
        <f t="shared" si="965"/>
        <v>1410759463.384481</v>
      </c>
      <c r="R322">
        <f t="shared" si="966"/>
        <v>23066083704.646503</v>
      </c>
      <c r="S322">
        <f t="shared" si="967"/>
        <v>230660.83704646502</v>
      </c>
      <c r="T322">
        <f t="shared" si="968"/>
        <v>230.66083704646502</v>
      </c>
    </row>
    <row r="323" spans="1:20" x14ac:dyDescent="0.25">
      <c r="A323" s="5">
        <v>44270</v>
      </c>
      <c r="B323">
        <v>7.3068999999999999E-3</v>
      </c>
      <c r="C323">
        <v>9.5384000000000007E-3</v>
      </c>
      <c r="D323">
        <v>6.8212999999999998E-3</v>
      </c>
      <c r="E323">
        <v>7.0800000000000004E-3</v>
      </c>
      <c r="F323">
        <v>65673289044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-0.80957638658864195</v>
      </c>
      <c r="Q323">
        <f t="shared" si="965"/>
        <v>-53167544039.632965</v>
      </c>
      <c r="R323">
        <f t="shared" si="966"/>
        <v>21655324241.262024</v>
      </c>
      <c r="S323">
        <f t="shared" si="967"/>
        <v>216553.24241262025</v>
      </c>
      <c r="T323">
        <f t="shared" si="968"/>
        <v>216.55324241262025</v>
      </c>
    </row>
    <row r="324" spans="1:20" x14ac:dyDescent="0.25">
      <c r="A324" s="5">
        <v>44269</v>
      </c>
      <c r="B324">
        <v>4.6278999999999999E-3</v>
      </c>
      <c r="C324">
        <v>8.6999999999999994E-3</v>
      </c>
      <c r="D324">
        <v>4.4086000000000004E-3</v>
      </c>
      <c r="E324">
        <v>7.2737000000000001E-3</v>
      </c>
      <c r="F324">
        <v>79976332633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0.33527520156592272</v>
      </c>
      <c r="Q324">
        <f t="shared" si="965"/>
        <v>26814081044.032356</v>
      </c>
      <c r="R324">
        <f t="shared" si="966"/>
        <v>74822868280.894989</v>
      </c>
      <c r="S324">
        <f t="shared" si="967"/>
        <v>748228.68280894984</v>
      </c>
      <c r="T324">
        <f t="shared" si="968"/>
        <v>748.22868280894988</v>
      </c>
    </row>
    <row r="325" spans="1:20" x14ac:dyDescent="0.25">
      <c r="A325" s="5">
        <v>44268</v>
      </c>
      <c r="B325">
        <v>2.9597E-3</v>
      </c>
      <c r="C325">
        <v>5.6556000000000002E-3</v>
      </c>
      <c r="D325">
        <v>2.8657000000000001E-3</v>
      </c>
      <c r="E325">
        <v>4.6189999999999998E-3</v>
      </c>
      <c r="F325">
        <v>60429209352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0.25689092799025032</v>
      </c>
      <c r="Q325">
        <f t="shared" si="965"/>
        <v>15523715668.152393</v>
      </c>
      <c r="R325">
        <f t="shared" si="966"/>
        <v>48008787236.86264</v>
      </c>
      <c r="S325">
        <f t="shared" si="967"/>
        <v>480087.87236862641</v>
      </c>
      <c r="T325">
        <f t="shared" si="968"/>
        <v>480.08787236862639</v>
      </c>
    </row>
    <row r="326" spans="1:20" x14ac:dyDescent="0.25">
      <c r="A326" s="5">
        <v>44267</v>
      </c>
      <c r="B326">
        <v>3.1427E-3</v>
      </c>
      <c r="C326">
        <v>3.2146000000000002E-3</v>
      </c>
      <c r="D326">
        <v>2.7845999999999999E-3</v>
      </c>
      <c r="E326">
        <v>2.9624999999999999E-3</v>
      </c>
      <c r="F326">
        <v>6570855010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-0.17255813953488452</v>
      </c>
      <c r="Q326">
        <f t="shared" ref="Q326:Q389" si="970">F326*P326</f>
        <v>-1133854515.679075</v>
      </c>
      <c r="R326">
        <f t="shared" ref="R326:R389" si="971">R327+Q326</f>
        <v>32485071568.710247</v>
      </c>
      <c r="S326">
        <f t="shared" ref="S326:S389" si="972">R326/100000</f>
        <v>324850.71568710246</v>
      </c>
      <c r="T326">
        <f t="shared" ref="T326:T389" si="973">S326/1000</f>
        <v>324.85071568710248</v>
      </c>
    </row>
    <row r="327" spans="1:20" x14ac:dyDescent="0.25">
      <c r="A327" s="5">
        <v>44266</v>
      </c>
      <c r="B327">
        <v>3.0904000000000001E-3</v>
      </c>
      <c r="C327">
        <v>3.2828000000000002E-3</v>
      </c>
      <c r="D327">
        <v>3.0090999999999998E-3</v>
      </c>
      <c r="E327">
        <v>3.1402999999999999E-3</v>
      </c>
      <c r="F327">
        <v>6190583496</v>
      </c>
      <c r="G327">
        <v>0</v>
      </c>
      <c r="L327" t="s">
        <v>8</v>
      </c>
      <c r="M327" t="s">
        <v>7</v>
      </c>
      <c r="N327" t="s">
        <v>8</v>
      </c>
      <c r="P327">
        <f t="shared" si="969"/>
        <v>-4.128607964925135E-2</v>
      </c>
      <c r="Q327">
        <f t="shared" si="970"/>
        <v>-255584923.29119688</v>
      </c>
      <c r="R327">
        <f t="shared" si="971"/>
        <v>33618926084.38932</v>
      </c>
      <c r="S327">
        <f t="shared" si="972"/>
        <v>336189.26084389322</v>
      </c>
      <c r="T327">
        <f t="shared" si="973"/>
        <v>336.18926084389324</v>
      </c>
    </row>
    <row r="328" spans="1:20" x14ac:dyDescent="0.25">
      <c r="A328" s="5">
        <v>44265</v>
      </c>
      <c r="B328">
        <v>3.1299000000000001E-3</v>
      </c>
      <c r="C328">
        <v>3.3693E-3</v>
      </c>
      <c r="D328">
        <v>2.9868E-3</v>
      </c>
      <c r="E328">
        <v>3.0958000000000001E-3</v>
      </c>
      <c r="F328">
        <v>11984997260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-0.43006535947712343</v>
      </c>
      <c r="Q328">
        <f t="shared" si="970"/>
        <v>-5154332154.9542389</v>
      </c>
      <c r="R328">
        <f t="shared" si="971"/>
        <v>33874511007.680519</v>
      </c>
      <c r="S328">
        <f t="shared" si="972"/>
        <v>338745.11007680517</v>
      </c>
      <c r="T328">
        <f t="shared" si="973"/>
        <v>338.74511007680519</v>
      </c>
    </row>
    <row r="329" spans="1:20" x14ac:dyDescent="0.25">
      <c r="A329" s="5">
        <v>44264</v>
      </c>
      <c r="B329">
        <v>3.0005000000000001E-3</v>
      </c>
      <c r="C329">
        <v>3.4998999999999998E-3</v>
      </c>
      <c r="D329">
        <v>2.9702000000000001E-3</v>
      </c>
      <c r="E329">
        <v>3.1370999999999999E-3</v>
      </c>
      <c r="F329">
        <v>11075246017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-0.36983198036624554</v>
      </c>
      <c r="Q329">
        <f t="shared" si="970"/>
        <v>-4095980167.5104833</v>
      </c>
      <c r="R329">
        <f t="shared" si="971"/>
        <v>39028843162.634758</v>
      </c>
      <c r="S329">
        <f t="shared" si="972"/>
        <v>390288.43162634759</v>
      </c>
      <c r="T329">
        <f t="shared" si="973"/>
        <v>390.28843162634757</v>
      </c>
    </row>
    <row r="330" spans="1:20" x14ac:dyDescent="0.25">
      <c r="A330" s="5">
        <v>44263</v>
      </c>
      <c r="B330">
        <v>3.0333999999999999E-3</v>
      </c>
      <c r="C330">
        <v>3.16E-3</v>
      </c>
      <c r="D330">
        <v>2.9261000000000001E-3</v>
      </c>
      <c r="E330">
        <v>3.0073000000000001E-3</v>
      </c>
      <c r="F330">
        <v>5946729148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-0.30568619067977748</v>
      </c>
      <c r="Q330">
        <f t="shared" si="970"/>
        <v>-1817832980.2565186</v>
      </c>
      <c r="R330">
        <f t="shared" si="971"/>
        <v>43124823330.145241</v>
      </c>
      <c r="S330">
        <f t="shared" si="972"/>
        <v>431248.23330145242</v>
      </c>
      <c r="T330">
        <f t="shared" si="973"/>
        <v>431.24823330145244</v>
      </c>
    </row>
    <row r="331" spans="1:20" x14ac:dyDescent="0.25">
      <c r="A331" s="5">
        <v>44262</v>
      </c>
      <c r="B331">
        <v>2.9851000000000001E-3</v>
      </c>
      <c r="C331">
        <v>3.2799999999999999E-3</v>
      </c>
      <c r="D331">
        <v>2.9191999999999998E-3</v>
      </c>
      <c r="E331">
        <v>3.0384000000000001E-3</v>
      </c>
      <c r="F331">
        <v>6916670190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-0.33924611973392316</v>
      </c>
      <c r="Q331">
        <f t="shared" si="970"/>
        <v>-2346453523.4367971</v>
      </c>
      <c r="R331">
        <f t="shared" si="971"/>
        <v>44942656310.401756</v>
      </c>
      <c r="S331">
        <f t="shared" si="972"/>
        <v>449426.56310401758</v>
      </c>
      <c r="T331">
        <f t="shared" si="973"/>
        <v>449.42656310401759</v>
      </c>
    </row>
    <row r="332" spans="1:20" x14ac:dyDescent="0.25">
      <c r="A332" s="5">
        <v>44261</v>
      </c>
      <c r="B332">
        <v>3.0274E-3</v>
      </c>
      <c r="C332">
        <v>3.2958000000000002E-3</v>
      </c>
      <c r="D332">
        <v>2.8781000000000002E-3</v>
      </c>
      <c r="E332">
        <v>2.9854999999999999E-3</v>
      </c>
      <c r="F332">
        <v>10724927455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-0.4857553267895634</v>
      </c>
      <c r="Q332">
        <f t="shared" si="970"/>
        <v>-5209690640.6978855</v>
      </c>
      <c r="R332">
        <f t="shared" si="971"/>
        <v>47289109833.838554</v>
      </c>
      <c r="S332">
        <f t="shared" si="972"/>
        <v>472891.09833838552</v>
      </c>
      <c r="T332">
        <f t="shared" si="973"/>
        <v>472.89109833838552</v>
      </c>
    </row>
    <row r="333" spans="1:20" x14ac:dyDescent="0.25">
      <c r="A333" s="5">
        <v>44260</v>
      </c>
      <c r="B333">
        <v>2.4918000000000002E-3</v>
      </c>
      <c r="C333">
        <v>3.5000000000000001E-3</v>
      </c>
      <c r="D333">
        <v>2.3500000000000001E-3</v>
      </c>
      <c r="E333">
        <v>3.0274E-3</v>
      </c>
      <c r="F333">
        <v>19951213563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0.17808695652173895</v>
      </c>
      <c r="Q333">
        <f t="shared" si="970"/>
        <v>3553050902.3499093</v>
      </c>
      <c r="R333">
        <f t="shared" si="971"/>
        <v>52498800474.536438</v>
      </c>
      <c r="S333">
        <f t="shared" si="972"/>
        <v>524988.00474536442</v>
      </c>
      <c r="T333">
        <f t="shared" si="973"/>
        <v>524.98800474536438</v>
      </c>
    </row>
    <row r="334" spans="1:20" x14ac:dyDescent="0.25">
      <c r="A334" s="5">
        <v>44259</v>
      </c>
      <c r="B334">
        <v>2.6859000000000002E-3</v>
      </c>
      <c r="C334">
        <v>2.7485000000000001E-3</v>
      </c>
      <c r="D334">
        <v>2.2750000000000001E-3</v>
      </c>
      <c r="E334">
        <v>2.4918000000000002E-3</v>
      </c>
      <c r="F334">
        <v>5459360499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-8.4266103484688146E-2</v>
      </c>
      <c r="Q334">
        <f t="shared" si="970"/>
        <v>-460039036.76895273</v>
      </c>
      <c r="R334">
        <f t="shared" si="971"/>
        <v>48945749572.186531</v>
      </c>
      <c r="S334">
        <f t="shared" si="972"/>
        <v>489457.49572186533</v>
      </c>
      <c r="T334">
        <f t="shared" si="973"/>
        <v>489.45749572186531</v>
      </c>
    </row>
    <row r="335" spans="1:20" x14ac:dyDescent="0.25">
      <c r="A335" s="5">
        <v>44258</v>
      </c>
      <c r="B335">
        <v>2.6749E-3</v>
      </c>
      <c r="C335">
        <v>2.9499999999999999E-3</v>
      </c>
      <c r="D335">
        <v>2.6189999999999998E-3</v>
      </c>
      <c r="E335">
        <v>2.6857000000000001E-3</v>
      </c>
      <c r="F335">
        <v>5360253497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-0.59697885196374478</v>
      </c>
      <c r="Q335">
        <f t="shared" si="970"/>
        <v>-3199957978.8737082</v>
      </c>
      <c r="R335">
        <f t="shared" si="971"/>
        <v>49405788608.955482</v>
      </c>
      <c r="S335">
        <f t="shared" si="972"/>
        <v>494057.88608955481</v>
      </c>
      <c r="T335">
        <f t="shared" si="973"/>
        <v>494.05788608955481</v>
      </c>
    </row>
    <row r="336" spans="1:20" x14ac:dyDescent="0.25">
      <c r="A336" s="5">
        <v>44257</v>
      </c>
      <c r="B336">
        <v>2.8137000000000001E-3</v>
      </c>
      <c r="C336">
        <v>2.8484999999999999E-3</v>
      </c>
      <c r="D336">
        <v>2.5214E-3</v>
      </c>
      <c r="E336">
        <v>2.6748000000000002E-3</v>
      </c>
      <c r="F336">
        <v>5182574724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-6.2060531947415405E-2</v>
      </c>
      <c r="Q336">
        <f t="shared" si="970"/>
        <v>-321633344.22866958</v>
      </c>
      <c r="R336">
        <f t="shared" si="971"/>
        <v>52605746587.829193</v>
      </c>
      <c r="S336">
        <f t="shared" si="972"/>
        <v>526057.46587829199</v>
      </c>
      <c r="T336">
        <f t="shared" si="973"/>
        <v>526.05746587829196</v>
      </c>
    </row>
    <row r="337" spans="1:20" x14ac:dyDescent="0.25">
      <c r="A337" s="5">
        <v>44256</v>
      </c>
      <c r="B337">
        <v>2.4372999999999999E-3</v>
      </c>
      <c r="C337">
        <v>2.9998999999999998E-3</v>
      </c>
      <c r="D337">
        <v>2.4258000000000001E-3</v>
      </c>
      <c r="E337">
        <v>2.807E-3</v>
      </c>
      <c r="F337">
        <v>8795059543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0.32799163908726753</v>
      </c>
      <c r="Q337">
        <f t="shared" si="970"/>
        <v>2884705995.378684</v>
      </c>
      <c r="R337">
        <f t="shared" si="971"/>
        <v>52927379932.057861</v>
      </c>
      <c r="S337">
        <f t="shared" si="972"/>
        <v>529273.79932057858</v>
      </c>
      <c r="T337">
        <f t="shared" si="973"/>
        <v>529.27379932057852</v>
      </c>
    </row>
    <row r="338" spans="1:20" x14ac:dyDescent="0.25">
      <c r="A338" s="5">
        <v>44255</v>
      </c>
      <c r="B338">
        <v>2.6470999999999999E-3</v>
      </c>
      <c r="C338">
        <v>2.6599000000000002E-3</v>
      </c>
      <c r="D338">
        <v>2.1749999999999999E-3</v>
      </c>
      <c r="E338">
        <v>2.4256E-3</v>
      </c>
      <c r="F338">
        <v>8490470959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3.3615178387296135E-2</v>
      </c>
      <c r="Q338">
        <f t="shared" si="970"/>
        <v>285408695.87894231</v>
      </c>
      <c r="R338">
        <f t="shared" si="971"/>
        <v>50042673936.679176</v>
      </c>
      <c r="S338">
        <f t="shared" si="972"/>
        <v>500426.73936679173</v>
      </c>
      <c r="T338">
        <f t="shared" si="973"/>
        <v>500.42673936679171</v>
      </c>
    </row>
    <row r="339" spans="1:20" x14ac:dyDescent="0.25">
      <c r="A339" s="5">
        <v>44254</v>
      </c>
      <c r="B339">
        <v>2.8116999999999999E-3</v>
      </c>
      <c r="C339">
        <v>2.9757999999999998E-3</v>
      </c>
      <c r="D339">
        <v>2.5500000000000002E-3</v>
      </c>
      <c r="E339">
        <v>2.6421999999999999E-3</v>
      </c>
      <c r="F339">
        <v>5833726935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-0.56693283231564195</v>
      </c>
      <c r="Q339">
        <f t="shared" si="970"/>
        <v>-3307331334.2155991</v>
      </c>
      <c r="R339">
        <f t="shared" si="971"/>
        <v>49757265240.800232</v>
      </c>
      <c r="S339">
        <f t="shared" si="972"/>
        <v>497572.65240800229</v>
      </c>
      <c r="T339">
        <f t="shared" si="973"/>
        <v>497.57265240800228</v>
      </c>
    </row>
    <row r="340" spans="1:20" x14ac:dyDescent="0.25">
      <c r="A340" s="5">
        <v>44253</v>
      </c>
      <c r="B340">
        <v>2.9684999999999998E-3</v>
      </c>
      <c r="C340">
        <v>3.0490999999999999E-3</v>
      </c>
      <c r="D340">
        <v>2.6215000000000001E-3</v>
      </c>
      <c r="E340">
        <v>2.8118000000000001E-3</v>
      </c>
      <c r="F340">
        <v>7641668531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-0.10991580916744564</v>
      </c>
      <c r="Q340">
        <f t="shared" si="970"/>
        <v>-839940179.9742707</v>
      </c>
      <c r="R340">
        <f t="shared" si="971"/>
        <v>53064596575.015831</v>
      </c>
      <c r="S340">
        <f t="shared" si="972"/>
        <v>530645.9657501583</v>
      </c>
      <c r="T340">
        <f t="shared" si="973"/>
        <v>530.64596575015833</v>
      </c>
    </row>
    <row r="341" spans="1:20" x14ac:dyDescent="0.25">
      <c r="A341" s="5">
        <v>44252</v>
      </c>
      <c r="B341">
        <v>3.1465E-3</v>
      </c>
      <c r="C341">
        <v>3.3449999999999999E-3</v>
      </c>
      <c r="D341">
        <v>2.9231999999999999E-3</v>
      </c>
      <c r="E341">
        <v>2.9678999999999999E-3</v>
      </c>
      <c r="F341">
        <v>7965825451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-0.78805120910384086</v>
      </c>
      <c r="Q341">
        <f t="shared" si="970"/>
        <v>-6277478378.1706982</v>
      </c>
      <c r="R341">
        <f t="shared" si="971"/>
        <v>53904536754.990105</v>
      </c>
      <c r="S341">
        <f t="shared" si="972"/>
        <v>539045.36754990101</v>
      </c>
      <c r="T341">
        <f t="shared" si="973"/>
        <v>539.04536754990102</v>
      </c>
    </row>
    <row r="342" spans="1:20" x14ac:dyDescent="0.25">
      <c r="A342" s="5">
        <v>44251</v>
      </c>
      <c r="B342">
        <v>3.0129000000000002E-3</v>
      </c>
      <c r="C342">
        <v>3.63E-3</v>
      </c>
      <c r="D342">
        <v>2.8E-3</v>
      </c>
      <c r="E342">
        <v>3.1332999999999999E-3</v>
      </c>
      <c r="F342">
        <v>13049897406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-0.19686746987951828</v>
      </c>
      <c r="Q342">
        <f t="shared" si="970"/>
        <v>-2569100284.5065088</v>
      </c>
      <c r="R342">
        <f t="shared" si="971"/>
        <v>60182015133.160805</v>
      </c>
      <c r="S342">
        <f t="shared" si="972"/>
        <v>601820.15133160807</v>
      </c>
      <c r="T342">
        <f t="shared" si="973"/>
        <v>601.82015133160803</v>
      </c>
    </row>
    <row r="343" spans="1:20" x14ac:dyDescent="0.25">
      <c r="A343" s="5">
        <v>44250</v>
      </c>
      <c r="B343">
        <v>3.4250999999999999E-3</v>
      </c>
      <c r="C343">
        <v>3.4978000000000001E-3</v>
      </c>
      <c r="D343">
        <v>2.1045999999999999E-3</v>
      </c>
      <c r="E343">
        <v>3.0186000000000002E-3</v>
      </c>
      <c r="F343">
        <v>23133921122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0.31208728107952938</v>
      </c>
      <c r="Q343">
        <f t="shared" si="970"/>
        <v>7219802543.6732759</v>
      </c>
      <c r="R343">
        <f t="shared" si="971"/>
        <v>62751115417.667313</v>
      </c>
      <c r="S343">
        <f t="shared" si="972"/>
        <v>627511.15417667315</v>
      </c>
      <c r="T343">
        <f t="shared" si="973"/>
        <v>627.51115417667313</v>
      </c>
    </row>
    <row r="344" spans="1:20" x14ac:dyDescent="0.25">
      <c r="A344" s="5">
        <v>44249</v>
      </c>
      <c r="B344">
        <v>3.7802000000000001E-3</v>
      </c>
      <c r="C344">
        <v>3.8E-3</v>
      </c>
      <c r="D344">
        <v>2.5111000000000001E-3</v>
      </c>
      <c r="E344">
        <v>3.4332E-3</v>
      </c>
      <c r="F344">
        <v>28117073636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0.43083249282333769</v>
      </c>
      <c r="Q344">
        <f t="shared" si="970"/>
        <v>12113748925.495228</v>
      </c>
      <c r="R344">
        <f t="shared" si="971"/>
        <v>55531312873.994034</v>
      </c>
      <c r="S344">
        <f t="shared" si="972"/>
        <v>555313.12873994035</v>
      </c>
      <c r="T344">
        <f t="shared" si="973"/>
        <v>555.31312873994034</v>
      </c>
    </row>
    <row r="345" spans="1:20" x14ac:dyDescent="0.25">
      <c r="A345" s="5">
        <v>44248</v>
      </c>
      <c r="B345">
        <v>2.274E-3</v>
      </c>
      <c r="C345">
        <v>4.2399999999999998E-3</v>
      </c>
      <c r="D345">
        <v>2.1291999999999999E-3</v>
      </c>
      <c r="E345">
        <v>3.7799999999999999E-3</v>
      </c>
      <c r="F345">
        <v>60405107052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0.56414629524350968</v>
      </c>
      <c r="Q345">
        <f t="shared" si="970"/>
        <v>34077317357.173401</v>
      </c>
      <c r="R345">
        <f t="shared" si="971"/>
        <v>43417563948.498802</v>
      </c>
      <c r="S345">
        <f t="shared" si="972"/>
        <v>434175.639484988</v>
      </c>
      <c r="T345">
        <f t="shared" si="973"/>
        <v>434.17563948498798</v>
      </c>
    </row>
    <row r="346" spans="1:20" x14ac:dyDescent="0.25">
      <c r="A346" s="5">
        <v>44247</v>
      </c>
      <c r="B346">
        <v>1.8534999999999999E-3</v>
      </c>
      <c r="C346">
        <v>2.6800000000000001E-3</v>
      </c>
      <c r="D346">
        <v>1.7533E-3</v>
      </c>
      <c r="E346">
        <v>2.2772999999999999E-3</v>
      </c>
      <c r="F346">
        <v>32684339920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0.13089457213769259</v>
      </c>
      <c r="Q346">
        <f t="shared" si="970"/>
        <v>4278202689.4313059</v>
      </c>
      <c r="R346">
        <f t="shared" si="971"/>
        <v>9340246591.3254032</v>
      </c>
      <c r="S346">
        <f t="shared" si="972"/>
        <v>93402.465913254026</v>
      </c>
      <c r="T346">
        <f t="shared" si="973"/>
        <v>93.402465913254019</v>
      </c>
    </row>
    <row r="347" spans="1:20" x14ac:dyDescent="0.25">
      <c r="A347" s="5">
        <v>44246</v>
      </c>
      <c r="B347">
        <v>1.4934E-3</v>
      </c>
      <c r="C347">
        <v>2.0772999999999998E-3</v>
      </c>
      <c r="D347">
        <v>1.4599999999999999E-3</v>
      </c>
      <c r="E347">
        <v>1.8465000000000001E-3</v>
      </c>
      <c r="F347">
        <v>16969496950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0.25222744208650638</v>
      </c>
      <c r="Q347">
        <f t="shared" si="970"/>
        <v>4280172809.1932716</v>
      </c>
      <c r="R347">
        <f t="shared" si="971"/>
        <v>5062043901.8940973</v>
      </c>
      <c r="S347">
        <f t="shared" si="972"/>
        <v>50620.439018940975</v>
      </c>
      <c r="T347">
        <f t="shared" si="973"/>
        <v>50.620439018940978</v>
      </c>
    </row>
    <row r="348" spans="1:20" x14ac:dyDescent="0.25">
      <c r="A348" s="5">
        <v>44245</v>
      </c>
      <c r="B348">
        <v>1.5422999999999999E-3</v>
      </c>
      <c r="C348">
        <v>1.57E-3</v>
      </c>
      <c r="D348">
        <v>1.415E-3</v>
      </c>
      <c r="E348">
        <v>1.4986999999999999E-3</v>
      </c>
      <c r="F348">
        <v>9649479124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7.9999999999999155E-2</v>
      </c>
      <c r="Q348">
        <f t="shared" si="970"/>
        <v>771958329.91999185</v>
      </c>
      <c r="R348">
        <f t="shared" si="971"/>
        <v>781871092.70082605</v>
      </c>
      <c r="S348">
        <f t="shared" si="972"/>
        <v>7818.7109270082601</v>
      </c>
      <c r="T348">
        <f t="shared" si="973"/>
        <v>7.8187109270082598</v>
      </c>
    </row>
    <row r="349" spans="1:20" x14ac:dyDescent="0.25">
      <c r="A349" s="5">
        <v>44244</v>
      </c>
      <c r="B349">
        <v>1.2888000000000001E-3</v>
      </c>
      <c r="C349">
        <v>1.5887E-3</v>
      </c>
      <c r="D349">
        <v>1.235E-3</v>
      </c>
      <c r="E349">
        <v>1.5463E-3</v>
      </c>
      <c r="F349">
        <v>18464828158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0.76024879841673765</v>
      </c>
      <c r="Q349">
        <f t="shared" si="970"/>
        <v>14037863420.091043</v>
      </c>
      <c r="R349">
        <f t="shared" si="971"/>
        <v>9912762.780834198</v>
      </c>
      <c r="S349">
        <f t="shared" si="972"/>
        <v>99.127627808341984</v>
      </c>
      <c r="T349">
        <f t="shared" si="973"/>
        <v>9.9127627808341987E-2</v>
      </c>
    </row>
    <row r="350" spans="1:20" x14ac:dyDescent="0.25">
      <c r="A350" s="5">
        <v>44243</v>
      </c>
      <c r="B350">
        <v>1.2964000000000001E-3</v>
      </c>
      <c r="C350">
        <v>1.3749000000000001E-3</v>
      </c>
      <c r="D350">
        <v>1.2367999999999999E-3</v>
      </c>
      <c r="E350">
        <v>1.2916E-3</v>
      </c>
      <c r="F350">
        <v>5814929186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-0.20637219406227417</v>
      </c>
      <c r="Q350">
        <f t="shared" si="970"/>
        <v>-1200039694.4315739</v>
      </c>
      <c r="R350">
        <f t="shared" si="971"/>
        <v>-14027950657.310209</v>
      </c>
      <c r="S350">
        <f t="shared" si="972"/>
        <v>-140279.50657310209</v>
      </c>
      <c r="T350">
        <f t="shared" si="973"/>
        <v>-140.27950657310208</v>
      </c>
    </row>
    <row r="351" spans="1:20" x14ac:dyDescent="0.25">
      <c r="A351" s="5">
        <v>44242</v>
      </c>
      <c r="B351">
        <v>1.2828E-3</v>
      </c>
      <c r="C351">
        <v>1.42E-3</v>
      </c>
      <c r="D351">
        <v>1.1249999999999999E-3</v>
      </c>
      <c r="E351">
        <v>1.2960999999999999E-3</v>
      </c>
      <c r="F351">
        <v>6131700594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0.15999999999999942</v>
      </c>
      <c r="Q351">
        <f t="shared" si="970"/>
        <v>981072095.0399965</v>
      </c>
      <c r="R351">
        <f t="shared" si="971"/>
        <v>-12827910962.878635</v>
      </c>
      <c r="S351">
        <f t="shared" si="972"/>
        <v>-128279.10962878635</v>
      </c>
      <c r="T351">
        <f t="shared" si="973"/>
        <v>-128.27910962878636</v>
      </c>
    </row>
    <row r="352" spans="1:20" x14ac:dyDescent="0.25">
      <c r="A352" s="5">
        <v>44241</v>
      </c>
      <c r="B352">
        <v>1.3937999999999999E-3</v>
      </c>
      <c r="C352">
        <v>1.4168E-3</v>
      </c>
      <c r="D352">
        <v>1.2279000000000001E-3</v>
      </c>
      <c r="E352">
        <v>1.2803999999999999E-3</v>
      </c>
      <c r="F352">
        <v>5211739887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-0.44415034409740767</v>
      </c>
      <c r="Q352">
        <f t="shared" si="970"/>
        <v>-2314796064.1572347</v>
      </c>
      <c r="R352">
        <f t="shared" si="971"/>
        <v>-13808983057.918633</v>
      </c>
      <c r="S352">
        <f t="shared" si="972"/>
        <v>-138089.83057918632</v>
      </c>
      <c r="T352">
        <f t="shared" si="973"/>
        <v>-138.08983057918633</v>
      </c>
    </row>
    <row r="353" spans="1:20" x14ac:dyDescent="0.25">
      <c r="A353" s="5">
        <v>44240</v>
      </c>
      <c r="B353">
        <v>1.4042E-3</v>
      </c>
      <c r="C353">
        <v>1.4649999999999999E-3</v>
      </c>
      <c r="D353">
        <v>1.255E-3</v>
      </c>
      <c r="E353">
        <v>1.3933999999999999E-3</v>
      </c>
      <c r="F353">
        <v>8518614771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0.31809523809523771</v>
      </c>
      <c r="Q353">
        <f t="shared" si="970"/>
        <v>2709730793.822854</v>
      </c>
      <c r="R353">
        <f t="shared" si="971"/>
        <v>-11494186993.761398</v>
      </c>
      <c r="S353">
        <f t="shared" si="972"/>
        <v>-114941.86993761398</v>
      </c>
      <c r="T353">
        <f t="shared" si="973"/>
        <v>-114.94186993761399</v>
      </c>
    </row>
    <row r="354" spans="1:20" x14ac:dyDescent="0.25">
      <c r="A354" s="5">
        <v>44239</v>
      </c>
      <c r="B354">
        <v>1.292E-3</v>
      </c>
      <c r="C354">
        <v>1.5968E-3</v>
      </c>
      <c r="D354">
        <v>1.2136E-3</v>
      </c>
      <c r="E354">
        <v>1.4055999999999999E-3</v>
      </c>
      <c r="F354">
        <v>15661891213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2.0876826722333055E-3</v>
      </c>
      <c r="Q354">
        <f t="shared" si="970"/>
        <v>32697058.899783164</v>
      </c>
      <c r="R354">
        <f t="shared" si="971"/>
        <v>-14203917787.584251</v>
      </c>
      <c r="S354">
        <f t="shared" si="972"/>
        <v>-142039.17787584252</v>
      </c>
      <c r="T354">
        <f t="shared" si="973"/>
        <v>-142.03917787584251</v>
      </c>
    </row>
    <row r="355" spans="1:20" x14ac:dyDescent="0.25">
      <c r="A355" s="5">
        <v>44238</v>
      </c>
      <c r="B355">
        <v>1.1202E-3</v>
      </c>
      <c r="C355">
        <v>1.4499999999999999E-3</v>
      </c>
      <c r="D355">
        <v>1.0920000000000001E-3</v>
      </c>
      <c r="E355">
        <v>1.292E-3</v>
      </c>
      <c r="F355">
        <v>14556626887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0.11731843575418983</v>
      </c>
      <c r="Q355">
        <f t="shared" si="970"/>
        <v>1707760696.240222</v>
      </c>
      <c r="R355">
        <f t="shared" si="971"/>
        <v>-14236614846.484035</v>
      </c>
      <c r="S355">
        <f t="shared" si="972"/>
        <v>-142366.14846484034</v>
      </c>
      <c r="T355">
        <f t="shared" si="973"/>
        <v>-142.36614846484034</v>
      </c>
    </row>
    <row r="356" spans="1:20" x14ac:dyDescent="0.25">
      <c r="A356" s="5">
        <v>44237</v>
      </c>
      <c r="B356">
        <v>1.196E-3</v>
      </c>
      <c r="C356">
        <v>1.2729E-3</v>
      </c>
      <c r="D356">
        <v>1.0200000000000001E-3</v>
      </c>
      <c r="E356">
        <v>1.1238999999999999E-3</v>
      </c>
      <c r="F356">
        <v>12052871676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-0.17833135626730007</v>
      </c>
      <c r="Q356">
        <f t="shared" si="970"/>
        <v>-2149404952.8968062</v>
      </c>
      <c r="R356">
        <f t="shared" si="971"/>
        <v>-15944375542.724258</v>
      </c>
      <c r="S356">
        <f t="shared" si="972"/>
        <v>-159443.75542724258</v>
      </c>
      <c r="T356">
        <f t="shared" si="973"/>
        <v>-159.44375542724256</v>
      </c>
    </row>
    <row r="357" spans="1:20" x14ac:dyDescent="0.25">
      <c r="A357" s="5">
        <v>44236</v>
      </c>
      <c r="B357">
        <v>1.1280000000000001E-3</v>
      </c>
      <c r="C357">
        <v>1.5E-3</v>
      </c>
      <c r="D357">
        <v>1.0499999999999999E-3</v>
      </c>
      <c r="E357">
        <v>1.196E-3</v>
      </c>
      <c r="F357">
        <v>29945537295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-0.35111111111111087</v>
      </c>
      <c r="Q357">
        <f t="shared" si="970"/>
        <v>-10514210872.46666</v>
      </c>
      <c r="R357">
        <f t="shared" si="971"/>
        <v>-13794970589.827452</v>
      </c>
      <c r="S357">
        <f t="shared" si="972"/>
        <v>-137949.70589827452</v>
      </c>
      <c r="T357">
        <f t="shared" si="973"/>
        <v>-137.94970589827452</v>
      </c>
    </row>
    <row r="358" spans="1:20" x14ac:dyDescent="0.25">
      <c r="A358" s="5">
        <v>44235</v>
      </c>
      <c r="B358">
        <v>8.0000000000000004E-4</v>
      </c>
      <c r="C358">
        <v>1.3615999999999999E-3</v>
      </c>
      <c r="D358">
        <v>7.8169999999999997E-4</v>
      </c>
      <c r="E358">
        <v>1.1280000000000001E-3</v>
      </c>
      <c r="F358">
        <v>41131375759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0.19434385238834334</v>
      </c>
      <c r="Q358">
        <f t="shared" si="970"/>
        <v>7993630019.0365791</v>
      </c>
      <c r="R358">
        <f t="shared" si="971"/>
        <v>-3280759717.3607922</v>
      </c>
      <c r="S358">
        <f t="shared" si="972"/>
        <v>-32807.597173607923</v>
      </c>
      <c r="T358">
        <f t="shared" si="973"/>
        <v>-32.807597173607924</v>
      </c>
    </row>
    <row r="359" spans="1:20" x14ac:dyDescent="0.25">
      <c r="A359" s="5">
        <v>44234</v>
      </c>
      <c r="B359">
        <v>7.9120000000000004E-4</v>
      </c>
      <c r="C359">
        <v>8.2790000000000001E-4</v>
      </c>
      <c r="D359">
        <v>7.693E-4</v>
      </c>
      <c r="E359">
        <v>8.0000000000000004E-4</v>
      </c>
      <c r="F359">
        <v>4957762788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4.7781569965871455E-2</v>
      </c>
      <c r="Q359">
        <f t="shared" si="970"/>
        <v>236889689.52901593</v>
      </c>
      <c r="R359">
        <f t="shared" si="971"/>
        <v>-11274389736.397371</v>
      </c>
      <c r="S359">
        <f t="shared" si="972"/>
        <v>-112743.89736397371</v>
      </c>
      <c r="T359">
        <f t="shared" si="973"/>
        <v>-112.74389736397372</v>
      </c>
    </row>
    <row r="360" spans="1:20" x14ac:dyDescent="0.25">
      <c r="A360" s="5">
        <v>44233</v>
      </c>
      <c r="B360">
        <v>8.2019999999999999E-4</v>
      </c>
      <c r="C360">
        <v>8.2899999999999998E-4</v>
      </c>
      <c r="D360">
        <v>7.8120000000000002E-4</v>
      </c>
      <c r="E360">
        <v>7.917E-4</v>
      </c>
      <c r="F360">
        <v>4080927393</v>
      </c>
      <c r="G360">
        <v>0</v>
      </c>
      <c r="L360" t="s">
        <v>8</v>
      </c>
      <c r="M360" t="s">
        <v>7</v>
      </c>
      <c r="N360" t="s">
        <v>8</v>
      </c>
      <c r="P360">
        <f t="shared" si="969"/>
        <v>-0.56066945606694596</v>
      </c>
      <c r="Q360">
        <f t="shared" si="970"/>
        <v>-2288051341.6820097</v>
      </c>
      <c r="R360">
        <f t="shared" si="971"/>
        <v>-11511279425.926388</v>
      </c>
      <c r="S360">
        <f t="shared" si="972"/>
        <v>-115112.79425926387</v>
      </c>
      <c r="T360">
        <f t="shared" si="973"/>
        <v>-115.11279425926388</v>
      </c>
    </row>
    <row r="361" spans="1:20" x14ac:dyDescent="0.25">
      <c r="A361" s="5">
        <v>44232</v>
      </c>
      <c r="B361">
        <v>7.8129999999999996E-4</v>
      </c>
      <c r="C361">
        <v>8.3000000000000001E-4</v>
      </c>
      <c r="D361">
        <v>7.7789999999999999E-4</v>
      </c>
      <c r="E361">
        <v>8.2010000000000004E-4</v>
      </c>
      <c r="F361">
        <v>5485592455</v>
      </c>
      <c r="G361">
        <v>0</v>
      </c>
      <c r="L361" t="s">
        <v>7</v>
      </c>
      <c r="M361" t="s">
        <v>7</v>
      </c>
      <c r="N361" t="s">
        <v>8</v>
      </c>
      <c r="P361">
        <f t="shared" si="969"/>
        <v>0.61996161228407043</v>
      </c>
      <c r="Q361">
        <f t="shared" si="970"/>
        <v>3400856742.7351322</v>
      </c>
      <c r="R361">
        <f t="shared" si="971"/>
        <v>-9223228084.244379</v>
      </c>
      <c r="S361">
        <f t="shared" si="972"/>
        <v>-92232.280842443797</v>
      </c>
      <c r="T361">
        <f t="shared" si="973"/>
        <v>-92.232280842443799</v>
      </c>
    </row>
    <row r="362" spans="1:20" x14ac:dyDescent="0.25">
      <c r="A362" s="5">
        <v>44231</v>
      </c>
      <c r="B362">
        <v>8.0610000000000002E-4</v>
      </c>
      <c r="C362">
        <v>8.2160000000000002E-4</v>
      </c>
      <c r="D362">
        <v>7.6869999999999998E-4</v>
      </c>
      <c r="E362">
        <v>7.8100000000000001E-4</v>
      </c>
      <c r="F362">
        <v>4861452447</v>
      </c>
      <c r="G362">
        <v>0</v>
      </c>
      <c r="L362" t="s">
        <v>8</v>
      </c>
      <c r="M362" t="s">
        <v>7</v>
      </c>
      <c r="N362" t="s">
        <v>8</v>
      </c>
      <c r="P362">
        <f t="shared" si="969"/>
        <v>-0.53497164461247571</v>
      </c>
      <c r="Q362">
        <f t="shared" si="970"/>
        <v>-2600739210.7769341</v>
      </c>
      <c r="R362">
        <f t="shared" si="971"/>
        <v>-12624084826.979511</v>
      </c>
      <c r="S362">
        <f t="shared" si="972"/>
        <v>-126240.84826979511</v>
      </c>
      <c r="T362">
        <f t="shared" si="973"/>
        <v>-126.24084826979511</v>
      </c>
    </row>
    <row r="363" spans="1:20" x14ac:dyDescent="0.25">
      <c r="A363" s="5">
        <v>44230</v>
      </c>
      <c r="B363">
        <v>7.9319999999999998E-4</v>
      </c>
      <c r="C363">
        <v>8.4360000000000001E-4</v>
      </c>
      <c r="D363">
        <v>7.7950000000000003E-4</v>
      </c>
      <c r="E363">
        <v>8.0639999999999998E-4</v>
      </c>
      <c r="F363">
        <v>6893838889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-0.16068642745709968</v>
      </c>
      <c r="Q363">
        <f t="shared" si="970"/>
        <v>-1107746342.5382311</v>
      </c>
      <c r="R363">
        <f t="shared" si="971"/>
        <v>-10023345616.202578</v>
      </c>
      <c r="S363">
        <f t="shared" si="972"/>
        <v>-100233.45616202577</v>
      </c>
      <c r="T363">
        <f t="shared" si="973"/>
        <v>-100.23345616202577</v>
      </c>
    </row>
    <row r="364" spans="1:20" x14ac:dyDescent="0.25">
      <c r="A364" s="5">
        <v>44229</v>
      </c>
      <c r="B364">
        <v>7.5659999999999996E-4</v>
      </c>
      <c r="C364">
        <v>8.5630000000000005E-4</v>
      </c>
      <c r="D364">
        <v>7.3899999999999997E-4</v>
      </c>
      <c r="E364">
        <v>7.9339999999999999E-4</v>
      </c>
      <c r="F364">
        <v>6383699123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-7.2463768115942351E-2</v>
      </c>
      <c r="Q364">
        <f t="shared" si="970"/>
        <v>-462586892.97101653</v>
      </c>
      <c r="R364">
        <f t="shared" si="971"/>
        <v>-8915599273.6643467</v>
      </c>
      <c r="S364">
        <f t="shared" si="972"/>
        <v>-89155.992736643471</v>
      </c>
      <c r="T364">
        <f t="shared" si="973"/>
        <v>-89.155992736643469</v>
      </c>
    </row>
    <row r="365" spans="1:20" x14ac:dyDescent="0.25">
      <c r="A365" s="5">
        <v>44228</v>
      </c>
      <c r="B365">
        <v>7.5219999999999996E-4</v>
      </c>
      <c r="C365">
        <v>7.8390000000000003E-4</v>
      </c>
      <c r="D365">
        <v>7.3079999999999998E-4</v>
      </c>
      <c r="E365">
        <v>7.5569999999999999E-4</v>
      </c>
      <c r="F365">
        <v>3974123679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-6.2146892655367672E-2</v>
      </c>
      <c r="Q365">
        <f t="shared" si="970"/>
        <v>-246979437.67796785</v>
      </c>
      <c r="R365">
        <f t="shared" si="971"/>
        <v>-8453012380.6933298</v>
      </c>
      <c r="S365">
        <f t="shared" si="972"/>
        <v>-84530.123806933305</v>
      </c>
      <c r="T365">
        <f t="shared" si="973"/>
        <v>-84.530123806933304</v>
      </c>
    </row>
    <row r="366" spans="1:20" x14ac:dyDescent="0.25">
      <c r="A366" s="5">
        <v>44227</v>
      </c>
      <c r="B366">
        <v>7.7720000000000003E-4</v>
      </c>
      <c r="C366">
        <v>7.9420000000000001E-4</v>
      </c>
      <c r="D366">
        <v>7.4010000000000005E-4</v>
      </c>
      <c r="E366">
        <v>7.5279999999999998E-4</v>
      </c>
      <c r="F366">
        <v>3932289339</v>
      </c>
      <c r="G366">
        <v>0</v>
      </c>
      <c r="L366" t="s">
        <v>8</v>
      </c>
      <c r="M366" t="s">
        <v>7</v>
      </c>
      <c r="N366" t="s">
        <v>8</v>
      </c>
      <c r="P366">
        <f t="shared" si="969"/>
        <v>-0.53049907578558453</v>
      </c>
      <c r="Q366">
        <f t="shared" si="970"/>
        <v>-2086075860.061007</v>
      </c>
      <c r="R366">
        <f t="shared" si="971"/>
        <v>-8206032943.0153618</v>
      </c>
      <c r="S366">
        <f t="shared" si="972"/>
        <v>-82060.329430153623</v>
      </c>
      <c r="T366">
        <f t="shared" si="973"/>
        <v>-82.060329430153629</v>
      </c>
    </row>
    <row r="367" spans="1:20" x14ac:dyDescent="0.25">
      <c r="A367" s="5">
        <v>44226</v>
      </c>
      <c r="B367">
        <v>8.0710000000000005E-4</v>
      </c>
      <c r="C367">
        <v>9.1770000000000003E-4</v>
      </c>
      <c r="D367">
        <v>7.5009999999999996E-4</v>
      </c>
      <c r="E367">
        <v>7.7720000000000003E-4</v>
      </c>
      <c r="F367">
        <v>9366714392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-0.67661097852028573</v>
      </c>
      <c r="Q367">
        <f t="shared" si="970"/>
        <v>-6337621790.2911634</v>
      </c>
      <c r="R367">
        <f t="shared" si="971"/>
        <v>-6119957082.9543543</v>
      </c>
      <c r="S367">
        <f t="shared" si="972"/>
        <v>-61199.57082954354</v>
      </c>
      <c r="T367">
        <f t="shared" si="973"/>
        <v>-61.199570829543539</v>
      </c>
    </row>
    <row r="368" spans="1:20" x14ac:dyDescent="0.25">
      <c r="A368" s="5">
        <v>44225</v>
      </c>
      <c r="B368">
        <v>7.5020000000000002E-4</v>
      </c>
      <c r="C368">
        <v>1.039E-3</v>
      </c>
      <c r="D368">
        <v>7.0109999999999997E-4</v>
      </c>
      <c r="E368">
        <v>8.0710000000000005E-4</v>
      </c>
      <c r="F368">
        <v>19366868571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-0.37259544243859088</v>
      </c>
      <c r="Q368">
        <f t="shared" si="970"/>
        <v>-7216006963.8617849</v>
      </c>
      <c r="R368">
        <f t="shared" si="971"/>
        <v>217664707.33680916</v>
      </c>
      <c r="S368">
        <f t="shared" si="972"/>
        <v>2176.6470733680917</v>
      </c>
      <c r="T368">
        <f t="shared" si="973"/>
        <v>2.1766470733680916</v>
      </c>
    </row>
    <row r="369" spans="1:20" x14ac:dyDescent="0.25">
      <c r="A369" s="5">
        <v>44224</v>
      </c>
      <c r="B369">
        <v>6.2540000000000002E-4</v>
      </c>
      <c r="C369">
        <v>8.2879999999999998E-4</v>
      </c>
      <c r="D369">
        <v>6.1640000000000002E-4</v>
      </c>
      <c r="E369">
        <v>7.4980000000000001E-4</v>
      </c>
      <c r="F369">
        <v>10719680019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0.25612052730696816</v>
      </c>
      <c r="Q369">
        <f t="shared" si="970"/>
        <v>2745530099.0282507</v>
      </c>
      <c r="R369">
        <f t="shared" si="971"/>
        <v>7433671671.1985941</v>
      </c>
      <c r="S369">
        <f t="shared" si="972"/>
        <v>74336.716711985937</v>
      </c>
      <c r="T369">
        <f t="shared" si="973"/>
        <v>74.336716711985943</v>
      </c>
    </row>
    <row r="370" spans="1:20" x14ac:dyDescent="0.25">
      <c r="A370" s="5">
        <v>44223</v>
      </c>
      <c r="B370">
        <v>6.7159999999999995E-4</v>
      </c>
      <c r="C370">
        <v>6.7400000000000001E-4</v>
      </c>
      <c r="D370">
        <v>6.0999999999999997E-4</v>
      </c>
      <c r="E370">
        <v>6.2549999999999997E-4</v>
      </c>
      <c r="F370">
        <v>1515001165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-0.51562500000000033</v>
      </c>
      <c r="Q370">
        <f t="shared" si="970"/>
        <v>-781172475.70312548</v>
      </c>
      <c r="R370">
        <f t="shared" si="971"/>
        <v>4688141572.1703434</v>
      </c>
      <c r="S370">
        <f t="shared" si="972"/>
        <v>46881.415721703437</v>
      </c>
      <c r="T370">
        <f t="shared" si="973"/>
        <v>46.881415721703441</v>
      </c>
    </row>
    <row r="371" spans="1:20" x14ac:dyDescent="0.25">
      <c r="A371" s="5">
        <v>44222</v>
      </c>
      <c r="B371">
        <v>6.6189999999999999E-4</v>
      </c>
      <c r="C371">
        <v>6.7420000000000002E-4</v>
      </c>
      <c r="D371">
        <v>6.401E-4</v>
      </c>
      <c r="E371">
        <v>6.7100000000000005E-4</v>
      </c>
      <c r="F371">
        <v>1462064574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0.81231671554252383</v>
      </c>
      <c r="Q371">
        <f t="shared" si="970"/>
        <v>1187659492.6627593</v>
      </c>
      <c r="R371">
        <f t="shared" si="971"/>
        <v>5469314047.8734684</v>
      </c>
      <c r="S371">
        <f t="shared" si="972"/>
        <v>54693.140478734684</v>
      </c>
      <c r="T371">
        <f t="shared" si="973"/>
        <v>54.693140478734684</v>
      </c>
    </row>
    <row r="372" spans="1:20" x14ac:dyDescent="0.25">
      <c r="A372" s="5">
        <v>44221</v>
      </c>
      <c r="B372">
        <v>6.9260000000000003E-4</v>
      </c>
      <c r="C372">
        <v>6.9870000000000002E-4</v>
      </c>
      <c r="D372">
        <v>6.5300000000000004E-4</v>
      </c>
      <c r="E372">
        <v>6.6180000000000004E-4</v>
      </c>
      <c r="F372">
        <v>1948655027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-0.61487964989059074</v>
      </c>
      <c r="Q372">
        <f t="shared" si="970"/>
        <v>-1198188320.7592998</v>
      </c>
      <c r="R372">
        <f t="shared" si="971"/>
        <v>4281654555.2107091</v>
      </c>
      <c r="S372">
        <f t="shared" si="972"/>
        <v>42816.545552107091</v>
      </c>
      <c r="T372">
        <f t="shared" si="973"/>
        <v>42.816545552107094</v>
      </c>
    </row>
    <row r="373" spans="1:20" x14ac:dyDescent="0.25">
      <c r="A373" s="5">
        <v>44220</v>
      </c>
      <c r="B373">
        <v>6.9169999999999995E-4</v>
      </c>
      <c r="C373">
        <v>7.1980000000000004E-4</v>
      </c>
      <c r="D373">
        <v>6.4919999999999995E-4</v>
      </c>
      <c r="E373">
        <v>6.9260000000000003E-4</v>
      </c>
      <c r="F373">
        <v>2088845328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0.22946175637393837</v>
      </c>
      <c r="Q373">
        <f t="shared" si="970"/>
        <v>479310117.75637537</v>
      </c>
      <c r="R373">
        <f t="shared" si="971"/>
        <v>5479842875.9700089</v>
      </c>
      <c r="S373">
        <f t="shared" si="972"/>
        <v>54798.428759700088</v>
      </c>
      <c r="T373">
        <f t="shared" si="973"/>
        <v>54.798428759700087</v>
      </c>
    </row>
    <row r="374" spans="1:20" x14ac:dyDescent="0.25">
      <c r="A374" s="5">
        <v>44219</v>
      </c>
      <c r="B374">
        <v>6.4599999999999998E-4</v>
      </c>
      <c r="C374">
        <v>7.1529999999999999E-4</v>
      </c>
      <c r="D374">
        <v>6.3000000000000003E-4</v>
      </c>
      <c r="E374">
        <v>6.9169999999999995E-4</v>
      </c>
      <c r="F374">
        <v>2702728313</v>
      </c>
      <c r="G374">
        <v>0</v>
      </c>
      <c r="L374" t="s">
        <v>7</v>
      </c>
      <c r="M374" t="s">
        <v>8</v>
      </c>
      <c r="N374" t="s">
        <v>7</v>
      </c>
      <c r="P374">
        <f t="shared" si="969"/>
        <v>0.44665885111371528</v>
      </c>
      <c r="Q374">
        <f t="shared" si="970"/>
        <v>1207197523.1570899</v>
      </c>
      <c r="R374">
        <f t="shared" si="971"/>
        <v>5000532758.2136335</v>
      </c>
      <c r="S374">
        <f t="shared" si="972"/>
        <v>50005.327582136335</v>
      </c>
      <c r="T374">
        <f t="shared" si="973"/>
        <v>50.005327582136331</v>
      </c>
    </row>
    <row r="375" spans="1:20" x14ac:dyDescent="0.25">
      <c r="A375" s="5">
        <v>44218</v>
      </c>
      <c r="B375">
        <v>6.0329999999999997E-4</v>
      </c>
      <c r="C375">
        <v>6.7000000000000002E-4</v>
      </c>
      <c r="D375">
        <v>5.8500000000000002E-4</v>
      </c>
      <c r="E375">
        <v>6.4499999999999996E-4</v>
      </c>
      <c r="F375">
        <v>2538148309</v>
      </c>
      <c r="G375">
        <v>0</v>
      </c>
      <c r="L375" t="s">
        <v>8</v>
      </c>
      <c r="M375" t="s">
        <v>7</v>
      </c>
      <c r="N375" t="s">
        <v>7</v>
      </c>
      <c r="P375">
        <f t="shared" si="969"/>
        <v>0.41176470588235142</v>
      </c>
      <c r="Q375">
        <f t="shared" si="970"/>
        <v>1045119891.9411726</v>
      </c>
      <c r="R375">
        <f t="shared" si="971"/>
        <v>3793335235.0565434</v>
      </c>
      <c r="S375">
        <f t="shared" si="972"/>
        <v>37933.35235056543</v>
      </c>
      <c r="T375">
        <f t="shared" si="973"/>
        <v>37.933352350565428</v>
      </c>
    </row>
    <row r="376" spans="1:20" x14ac:dyDescent="0.25">
      <c r="A376" s="5">
        <v>44217</v>
      </c>
      <c r="B376">
        <v>7.0290000000000001E-4</v>
      </c>
      <c r="C376">
        <v>7.0299999999999996E-4</v>
      </c>
      <c r="D376">
        <v>6.0229999999999995E-4</v>
      </c>
      <c r="E376">
        <v>6.0249999999999995E-4</v>
      </c>
      <c r="F376">
        <v>2589878981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-0.99602780536246271</v>
      </c>
      <c r="Q376">
        <f t="shared" si="970"/>
        <v>-2579591477.5998011</v>
      </c>
      <c r="R376">
        <f t="shared" si="971"/>
        <v>2748215343.1153708</v>
      </c>
      <c r="S376">
        <f t="shared" si="972"/>
        <v>27482.153431153707</v>
      </c>
      <c r="T376">
        <f t="shared" si="973"/>
        <v>27.482153431153709</v>
      </c>
    </row>
    <row r="377" spans="1:20" x14ac:dyDescent="0.25">
      <c r="A377" s="5">
        <v>44216</v>
      </c>
      <c r="B377">
        <v>7.0129999999999997E-4</v>
      </c>
      <c r="C377">
        <v>7.0739999999999996E-4</v>
      </c>
      <c r="D377">
        <v>6.5399999999999996E-4</v>
      </c>
      <c r="E377">
        <v>7.0180000000000004E-4</v>
      </c>
      <c r="F377">
        <v>2718949267</v>
      </c>
      <c r="G377">
        <v>0</v>
      </c>
      <c r="L377" t="s">
        <v>8</v>
      </c>
      <c r="M377" t="s">
        <v>7</v>
      </c>
      <c r="N377" t="s">
        <v>7</v>
      </c>
      <c r="P377">
        <f t="shared" si="969"/>
        <v>0.79026217228464724</v>
      </c>
      <c r="Q377">
        <f t="shared" si="970"/>
        <v>2148682754.0711694</v>
      </c>
      <c r="R377">
        <f t="shared" si="971"/>
        <v>5327806820.7151718</v>
      </c>
      <c r="S377">
        <f t="shared" si="972"/>
        <v>53278.068207151715</v>
      </c>
      <c r="T377">
        <f t="shared" si="973"/>
        <v>53.278068207151712</v>
      </c>
    </row>
    <row r="378" spans="1:20" x14ac:dyDescent="0.25">
      <c r="A378" s="5">
        <v>44215</v>
      </c>
      <c r="B378">
        <v>7.2539999999999996E-4</v>
      </c>
      <c r="C378">
        <v>7.4010000000000005E-4</v>
      </c>
      <c r="D378">
        <v>6.9629999999999996E-4</v>
      </c>
      <c r="E378">
        <v>7.0359999999999997E-4</v>
      </c>
      <c r="F378">
        <v>2868828090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-0.66666666666666663</v>
      </c>
      <c r="Q378">
        <f t="shared" si="970"/>
        <v>-1912552060</v>
      </c>
      <c r="R378">
        <f t="shared" si="971"/>
        <v>3179124066.6440029</v>
      </c>
      <c r="S378">
        <f t="shared" si="972"/>
        <v>31791.24066644003</v>
      </c>
      <c r="T378">
        <f t="shared" si="973"/>
        <v>31.791240666440029</v>
      </c>
    </row>
    <row r="379" spans="1:20" x14ac:dyDescent="0.25">
      <c r="A379" s="5">
        <v>44214</v>
      </c>
      <c r="B379">
        <v>7.0509999999999995E-4</v>
      </c>
      <c r="C379">
        <v>7.2999999999999996E-4</v>
      </c>
      <c r="D379">
        <v>6.8670000000000005E-4</v>
      </c>
      <c r="E379">
        <v>7.2880000000000004E-4</v>
      </c>
      <c r="F379">
        <v>2645943655</v>
      </c>
      <c r="G379">
        <v>0</v>
      </c>
      <c r="L379" t="s">
        <v>8</v>
      </c>
      <c r="M379" t="s">
        <v>7</v>
      </c>
      <c r="N379" t="s">
        <v>7</v>
      </c>
      <c r="P379">
        <f t="shared" si="969"/>
        <v>0.94457274826790194</v>
      </c>
      <c r="Q379">
        <f t="shared" si="970"/>
        <v>2499286269.9653673</v>
      </c>
      <c r="R379">
        <f t="shared" si="971"/>
        <v>5091676126.6440029</v>
      </c>
      <c r="S379">
        <f t="shared" si="972"/>
        <v>50916.761266440029</v>
      </c>
      <c r="T379">
        <f t="shared" si="973"/>
        <v>50.916761266440027</v>
      </c>
    </row>
    <row r="380" spans="1:20" x14ac:dyDescent="0.25">
      <c r="A380" s="5">
        <v>44213</v>
      </c>
      <c r="B380">
        <v>7.1500000000000003E-4</v>
      </c>
      <c r="C380">
        <v>7.3820000000000005E-4</v>
      </c>
      <c r="D380">
        <v>6.7000000000000002E-4</v>
      </c>
      <c r="E380">
        <v>7.0620000000000004E-4</v>
      </c>
      <c r="F380">
        <v>3897439768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6.1583577712609847E-2</v>
      </c>
      <c r="Q380">
        <f t="shared" si="970"/>
        <v>240018284.83284408</v>
      </c>
      <c r="R380">
        <f t="shared" si="971"/>
        <v>2592389856.6786356</v>
      </c>
      <c r="S380">
        <f t="shared" si="972"/>
        <v>25923.898566786356</v>
      </c>
      <c r="T380">
        <f t="shared" si="973"/>
        <v>25.923898566786356</v>
      </c>
    </row>
    <row r="381" spans="1:20" x14ac:dyDescent="0.25">
      <c r="A381" s="5">
        <v>44212</v>
      </c>
      <c r="B381">
        <v>7.205E-4</v>
      </c>
      <c r="C381">
        <v>7.6800000000000002E-4</v>
      </c>
      <c r="D381">
        <v>6.9629999999999996E-4</v>
      </c>
      <c r="E381">
        <v>7.1549999999999999E-4</v>
      </c>
      <c r="F381">
        <v>4083420471</v>
      </c>
      <c r="G381">
        <v>0</v>
      </c>
      <c r="L381" t="s">
        <v>8</v>
      </c>
      <c r="M381" t="s">
        <v>7</v>
      </c>
      <c r="N381" t="s">
        <v>7</v>
      </c>
      <c r="P381">
        <f t="shared" si="969"/>
        <v>-0.46443514644351419</v>
      </c>
      <c r="Q381">
        <f t="shared" si="970"/>
        <v>-1896483984.4393287</v>
      </c>
      <c r="R381">
        <f t="shared" si="971"/>
        <v>2352371571.8457913</v>
      </c>
      <c r="S381">
        <f t="shared" si="972"/>
        <v>23523.715718457912</v>
      </c>
      <c r="T381">
        <f t="shared" si="973"/>
        <v>23.523715718457911</v>
      </c>
    </row>
    <row r="382" spans="1:20" x14ac:dyDescent="0.25">
      <c r="A382" s="5">
        <v>44211</v>
      </c>
      <c r="B382">
        <v>7.7470000000000002E-4</v>
      </c>
      <c r="C382">
        <v>7.7499999999999997E-4</v>
      </c>
      <c r="D382">
        <v>6.715E-4</v>
      </c>
      <c r="E382">
        <v>7.2039999999999995E-4</v>
      </c>
      <c r="F382">
        <v>5023716986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-5.5072463768116774E-2</v>
      </c>
      <c r="Q382">
        <f t="shared" si="970"/>
        <v>-276668471.69275779</v>
      </c>
      <c r="R382">
        <f t="shared" si="971"/>
        <v>4248855556.28512</v>
      </c>
      <c r="S382">
        <f t="shared" si="972"/>
        <v>42488.555562851201</v>
      </c>
      <c r="T382">
        <f t="shared" si="973"/>
        <v>42.488555562851204</v>
      </c>
    </row>
    <row r="383" spans="1:20" x14ac:dyDescent="0.25">
      <c r="A383" s="5">
        <v>44210</v>
      </c>
      <c r="B383">
        <v>8.0849999999999997E-4</v>
      </c>
      <c r="C383">
        <v>8.1800000000000004E-4</v>
      </c>
      <c r="D383">
        <v>7.3870000000000001E-4</v>
      </c>
      <c r="E383">
        <v>7.7470000000000002E-4</v>
      </c>
      <c r="F383">
        <v>6973225856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-9.2055485498108602E-2</v>
      </c>
      <c r="Q383">
        <f t="shared" si="970"/>
        <v>-641923691.66204393</v>
      </c>
      <c r="R383">
        <f t="shared" si="971"/>
        <v>4525524027.9778776</v>
      </c>
      <c r="S383">
        <f t="shared" si="972"/>
        <v>45255.240279778773</v>
      </c>
      <c r="T383">
        <f t="shared" si="973"/>
        <v>45.255240279778775</v>
      </c>
    </row>
    <row r="384" spans="1:20" x14ac:dyDescent="0.25">
      <c r="A384" s="5">
        <v>44209</v>
      </c>
      <c r="B384">
        <v>8.4150000000000002E-4</v>
      </c>
      <c r="C384">
        <v>8.6439999999999998E-4</v>
      </c>
      <c r="D384">
        <v>6.8820000000000003E-4</v>
      </c>
      <c r="E384">
        <v>8.0840000000000003E-4</v>
      </c>
      <c r="F384">
        <v>13738412268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0.36435868331441579</v>
      </c>
      <c r="Q384">
        <f t="shared" si="970"/>
        <v>5005709804.7990971</v>
      </c>
      <c r="R384">
        <f t="shared" si="971"/>
        <v>5167447719.6399212</v>
      </c>
      <c r="S384">
        <f t="shared" si="972"/>
        <v>51674.47719639921</v>
      </c>
      <c r="T384">
        <f t="shared" si="973"/>
        <v>51.674477196399209</v>
      </c>
    </row>
    <row r="385" spans="1:20" x14ac:dyDescent="0.25">
      <c r="A385" s="5">
        <v>44208</v>
      </c>
      <c r="B385">
        <v>8.878E-4</v>
      </c>
      <c r="C385">
        <v>9.3380000000000004E-4</v>
      </c>
      <c r="D385">
        <v>8.1559999999999998E-4</v>
      </c>
      <c r="E385">
        <v>8.3869999999999995E-4</v>
      </c>
      <c r="F385">
        <v>2778459191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-0.60913705583756417</v>
      </c>
      <c r="Q385">
        <f t="shared" si="970"/>
        <v>-1692462451.3705604</v>
      </c>
      <c r="R385">
        <f t="shared" si="971"/>
        <v>161737914.84082413</v>
      </c>
      <c r="S385">
        <f t="shared" si="972"/>
        <v>1617.3791484082412</v>
      </c>
      <c r="T385">
        <f t="shared" si="973"/>
        <v>1.6173791484082412</v>
      </c>
    </row>
    <row r="386" spans="1:20" x14ac:dyDescent="0.25">
      <c r="A386" s="5">
        <v>44207</v>
      </c>
      <c r="B386">
        <v>9.7360000000000003E-4</v>
      </c>
      <c r="C386">
        <v>9.7919999999999995E-4</v>
      </c>
      <c r="D386">
        <v>7.806E-4</v>
      </c>
      <c r="E386">
        <v>8.8769999999999995E-4</v>
      </c>
      <c r="F386">
        <v>4707069536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7.8549848942597936E-2</v>
      </c>
      <c r="Q386">
        <f t="shared" si="970"/>
        <v>369739601.01510453</v>
      </c>
      <c r="R386">
        <f t="shared" si="971"/>
        <v>1854200366.2113845</v>
      </c>
      <c r="S386">
        <f t="shared" si="972"/>
        <v>18542.003662113846</v>
      </c>
      <c r="T386">
        <f t="shared" si="973"/>
        <v>18.542003662113846</v>
      </c>
    </row>
    <row r="387" spans="1:20" x14ac:dyDescent="0.25">
      <c r="A387" s="5">
        <v>44206</v>
      </c>
      <c r="B387">
        <v>1.0059999999999999E-3</v>
      </c>
      <c r="C387">
        <v>1.1299999999999999E-3</v>
      </c>
      <c r="D387">
        <v>8.8429999999999997E-4</v>
      </c>
      <c r="E387">
        <v>9.7349999999999997E-4</v>
      </c>
      <c r="F387">
        <v>6685929162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-0.27391127391127379</v>
      </c>
      <c r="Q387">
        <f t="shared" si="970"/>
        <v>-1831351374.0439553</v>
      </c>
      <c r="R387">
        <f t="shared" si="971"/>
        <v>1484460765.19628</v>
      </c>
      <c r="S387">
        <f t="shared" si="972"/>
        <v>14844.6076519628</v>
      </c>
      <c r="T387">
        <f t="shared" si="973"/>
        <v>14.8446076519628</v>
      </c>
    </row>
    <row r="388" spans="1:20" x14ac:dyDescent="0.25">
      <c r="A388" s="5">
        <v>44205</v>
      </c>
      <c r="B388">
        <v>8.1760000000000003E-4</v>
      </c>
      <c r="C388">
        <v>1.07E-3</v>
      </c>
      <c r="D388">
        <v>8.0029999999999999E-4</v>
      </c>
      <c r="E388">
        <v>1.0065E-3</v>
      </c>
      <c r="F388">
        <v>10979118798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0.52910641453466833</v>
      </c>
      <c r="Q388">
        <f t="shared" si="970"/>
        <v>5809122181.9599571</v>
      </c>
      <c r="R388">
        <f t="shared" si="971"/>
        <v>3315812139.2402353</v>
      </c>
      <c r="S388">
        <f t="shared" si="972"/>
        <v>33158.121392402354</v>
      </c>
      <c r="T388">
        <f t="shared" si="973"/>
        <v>33.158121392402357</v>
      </c>
    </row>
    <row r="389" spans="1:20" x14ac:dyDescent="0.25">
      <c r="A389" s="5">
        <v>44204</v>
      </c>
      <c r="B389">
        <v>7.9980000000000003E-4</v>
      </c>
      <c r="C389">
        <v>8.4889999999999998E-4</v>
      </c>
      <c r="D389">
        <v>7.5009999999999996E-4</v>
      </c>
      <c r="E389">
        <v>8.1470000000000002E-4</v>
      </c>
      <c r="F389">
        <v>3775547220</v>
      </c>
      <c r="G389">
        <v>0</v>
      </c>
      <c r="L389" t="s">
        <v>8</v>
      </c>
      <c r="M389" t="s">
        <v>8</v>
      </c>
      <c r="N389" t="s">
        <v>7</v>
      </c>
      <c r="P389">
        <f t="shared" si="969"/>
        <v>0.30769230769230854</v>
      </c>
      <c r="Q389">
        <f t="shared" si="970"/>
        <v>1161706836.9230802</v>
      </c>
      <c r="R389">
        <f t="shared" si="971"/>
        <v>-2493310042.7197218</v>
      </c>
      <c r="S389">
        <f t="shared" si="972"/>
        <v>-24933.10042719722</v>
      </c>
      <c r="T389">
        <f t="shared" si="973"/>
        <v>-24.933100427197221</v>
      </c>
    </row>
    <row r="390" spans="1:20" x14ac:dyDescent="0.25">
      <c r="A390" s="5">
        <v>44203</v>
      </c>
      <c r="B390">
        <v>7.649E-4</v>
      </c>
      <c r="C390">
        <v>8.1579999999999999E-4</v>
      </c>
      <c r="D390">
        <v>7.5000000000000002E-4</v>
      </c>
      <c r="E390">
        <v>7.9920000000000002E-4</v>
      </c>
      <c r="F390">
        <v>4478109678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0.49544072948328338</v>
      </c>
      <c r="Q390">
        <f t="shared" ref="Q390:Q453" si="975">F390*P390</f>
        <v>2218637925.5744715</v>
      </c>
      <c r="R390">
        <f t="shared" ref="R390:R453" si="976">R391+Q390</f>
        <v>-3655016879.6428022</v>
      </c>
      <c r="S390">
        <f t="shared" ref="S390:S453" si="977">R390/100000</f>
        <v>-36550.168796428021</v>
      </c>
      <c r="T390">
        <f t="shared" ref="T390:T453" si="978">S390/1000</f>
        <v>-36.550168796428018</v>
      </c>
    </row>
    <row r="391" spans="1:20" x14ac:dyDescent="0.25">
      <c r="A391" s="5">
        <v>44202</v>
      </c>
      <c r="B391">
        <v>7.3999999999999999E-4</v>
      </c>
      <c r="C391">
        <v>7.8560000000000001E-4</v>
      </c>
      <c r="D391">
        <v>7.1599999999999995E-4</v>
      </c>
      <c r="E391">
        <v>7.6499999999999995E-4</v>
      </c>
      <c r="F391">
        <v>3267165161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0.40804597701149287</v>
      </c>
      <c r="Q391">
        <f t="shared" si="975"/>
        <v>1333153600.1781564</v>
      </c>
      <c r="R391">
        <f t="shared" si="976"/>
        <v>-5873654805.2172737</v>
      </c>
      <c r="S391">
        <f t="shared" si="977"/>
        <v>-58736.548052172737</v>
      </c>
      <c r="T391">
        <f t="shared" si="978"/>
        <v>-58.736548052172736</v>
      </c>
    </row>
    <row r="392" spans="1:20" x14ac:dyDescent="0.25">
      <c r="A392" s="5">
        <v>44201</v>
      </c>
      <c r="B392">
        <v>7.3229999999999996E-4</v>
      </c>
      <c r="C392">
        <v>7.7629999999999995E-4</v>
      </c>
      <c r="D392">
        <v>7.0589999999999997E-4</v>
      </c>
      <c r="E392">
        <v>7.3930000000000003E-4</v>
      </c>
      <c r="F392">
        <v>2871167052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-5.1136363636361815E-2</v>
      </c>
      <c r="Q392">
        <f t="shared" si="975"/>
        <v>-146821042.43181294</v>
      </c>
      <c r="R392">
        <f t="shared" si="976"/>
        <v>-7206808405.3954306</v>
      </c>
      <c r="S392">
        <f t="shared" si="977"/>
        <v>-72068.084053954299</v>
      </c>
      <c r="T392">
        <f t="shared" si="978"/>
        <v>-72.068084053954294</v>
      </c>
    </row>
    <row r="393" spans="1:20" x14ac:dyDescent="0.25">
      <c r="A393" s="5">
        <v>44200</v>
      </c>
      <c r="B393">
        <v>7.5540000000000004E-4</v>
      </c>
      <c r="C393">
        <v>7.8890000000000004E-4</v>
      </c>
      <c r="D393">
        <v>6.8530000000000002E-4</v>
      </c>
      <c r="E393">
        <v>7.3220000000000002E-4</v>
      </c>
      <c r="F393">
        <v>4481568198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-9.459459459459478E-2</v>
      </c>
      <c r="Q393">
        <f t="shared" si="975"/>
        <v>-423932126.83783865</v>
      </c>
      <c r="R393">
        <f t="shared" si="976"/>
        <v>-7059987362.9636173</v>
      </c>
      <c r="S393">
        <f t="shared" si="977"/>
        <v>-70599.873629636175</v>
      </c>
      <c r="T393">
        <f t="shared" si="978"/>
        <v>-70.599873629636178</v>
      </c>
    </row>
    <row r="394" spans="1:20" x14ac:dyDescent="0.25">
      <c r="A394" s="5">
        <v>44199</v>
      </c>
      <c r="B394">
        <v>8.03E-4</v>
      </c>
      <c r="C394">
        <v>9.8949999999999993E-4</v>
      </c>
      <c r="D394">
        <v>7.2950000000000001E-4</v>
      </c>
      <c r="E394">
        <v>7.5080000000000004E-4</v>
      </c>
      <c r="F394">
        <v>14478955754</v>
      </c>
      <c r="G394">
        <v>0</v>
      </c>
      <c r="L394" t="s">
        <v>7</v>
      </c>
      <c r="M394" t="s">
        <v>8</v>
      </c>
      <c r="N394" t="s">
        <v>8</v>
      </c>
      <c r="P394">
        <f t="shared" si="974"/>
        <v>-0.83615384615384591</v>
      </c>
      <c r="Q394">
        <f t="shared" si="975"/>
        <v>-12106634541.998459</v>
      </c>
      <c r="R394">
        <f t="shared" si="976"/>
        <v>-6636055236.1257782</v>
      </c>
      <c r="S394">
        <f t="shared" si="977"/>
        <v>-66360.552361257782</v>
      </c>
      <c r="T394">
        <f t="shared" si="978"/>
        <v>-66.360552361257788</v>
      </c>
    </row>
    <row r="395" spans="1:20" x14ac:dyDescent="0.25">
      <c r="A395" s="5">
        <v>44198</v>
      </c>
      <c r="B395">
        <v>6.1550000000000005E-4</v>
      </c>
      <c r="C395">
        <v>8.7230000000000001E-4</v>
      </c>
      <c r="D395">
        <v>6.0550000000000003E-4</v>
      </c>
      <c r="E395">
        <v>8.0320000000000001E-4</v>
      </c>
      <c r="F395">
        <v>10962609923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0.48200899550224885</v>
      </c>
      <c r="Q395">
        <f t="shared" si="975"/>
        <v>5284076597.0682154</v>
      </c>
      <c r="R395">
        <f t="shared" si="976"/>
        <v>5470579305.8726807</v>
      </c>
      <c r="S395">
        <f t="shared" si="977"/>
        <v>54705.793058726806</v>
      </c>
      <c r="T395">
        <f t="shared" si="978"/>
        <v>54.705793058726805</v>
      </c>
    </row>
    <row r="396" spans="1:20" x14ac:dyDescent="0.25">
      <c r="A396" s="5">
        <v>44197</v>
      </c>
      <c r="B396">
        <v>5.865E-4</v>
      </c>
      <c r="C396">
        <v>6.7089999999999999E-4</v>
      </c>
      <c r="D396">
        <v>5.8009999999999995E-4</v>
      </c>
      <c r="E396">
        <v>6.1550000000000005E-4</v>
      </c>
      <c r="F396">
        <v>2778198255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-0.22026431718061484</v>
      </c>
      <c r="Q396">
        <f t="shared" si="975"/>
        <v>-611937941.62995064</v>
      </c>
      <c r="R396">
        <f t="shared" si="976"/>
        <v>186502708.80446494</v>
      </c>
      <c r="S396">
        <f t="shared" si="977"/>
        <v>1865.0270880446494</v>
      </c>
      <c r="T396">
        <f t="shared" si="978"/>
        <v>1.8650270880446493</v>
      </c>
    </row>
    <row r="397" spans="1:20" x14ac:dyDescent="0.25">
      <c r="A397" s="5">
        <v>44196</v>
      </c>
      <c r="B397">
        <v>5.8469999999999996E-4</v>
      </c>
      <c r="C397">
        <v>5.9500000000000004E-4</v>
      </c>
      <c r="D397">
        <v>5.7129999999999995E-4</v>
      </c>
      <c r="E397">
        <v>5.8489999999999996E-4</v>
      </c>
      <c r="F397">
        <v>1055978440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0.14767932489451094</v>
      </c>
      <c r="Q397">
        <f t="shared" si="975"/>
        <v>155946183.12235883</v>
      </c>
      <c r="R397">
        <f t="shared" si="976"/>
        <v>798440650.43441558</v>
      </c>
      <c r="S397">
        <f t="shared" si="977"/>
        <v>7984.406504344156</v>
      </c>
      <c r="T397">
        <f t="shared" si="978"/>
        <v>7.9844065043441557</v>
      </c>
    </row>
    <row r="398" spans="1:20" x14ac:dyDescent="0.25">
      <c r="A398" s="5">
        <v>44195</v>
      </c>
      <c r="B398">
        <v>5.7200000000000003E-4</v>
      </c>
      <c r="C398">
        <v>5.9219999999999997E-4</v>
      </c>
      <c r="D398">
        <v>5.5380000000000002E-4</v>
      </c>
      <c r="E398">
        <v>5.8739999999999997E-4</v>
      </c>
      <c r="F398">
        <v>1324441196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0.74999999999999933</v>
      </c>
      <c r="Q398">
        <f t="shared" si="975"/>
        <v>993330896.99999917</v>
      </c>
      <c r="R398">
        <f t="shared" si="976"/>
        <v>642494467.31205678</v>
      </c>
      <c r="S398">
        <f t="shared" si="977"/>
        <v>6424.944673120568</v>
      </c>
      <c r="T398">
        <f t="shared" si="978"/>
        <v>6.4249446731205682</v>
      </c>
    </row>
    <row r="399" spans="1:20" x14ac:dyDescent="0.25">
      <c r="A399" s="5">
        <v>44194</v>
      </c>
      <c r="B399">
        <v>5.7249999999999998E-4</v>
      </c>
      <c r="C399">
        <v>5.9500000000000004E-4</v>
      </c>
      <c r="D399">
        <v>5.4000000000000001E-4</v>
      </c>
      <c r="E399">
        <v>5.7189999999999997E-4</v>
      </c>
      <c r="F399">
        <v>2529206783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0.15999999999999787</v>
      </c>
      <c r="Q399">
        <f t="shared" si="975"/>
        <v>404673085.27999461</v>
      </c>
      <c r="R399">
        <f t="shared" si="976"/>
        <v>-350836429.68794239</v>
      </c>
      <c r="S399">
        <f t="shared" si="977"/>
        <v>-3508.3642968794238</v>
      </c>
      <c r="T399">
        <f t="shared" si="978"/>
        <v>-3.508364296879424</v>
      </c>
    </row>
    <row r="400" spans="1:20" x14ac:dyDescent="0.25">
      <c r="A400" s="5">
        <v>44193</v>
      </c>
      <c r="B400">
        <v>5.7640000000000002E-4</v>
      </c>
      <c r="C400">
        <v>5.8799999999999998E-4</v>
      </c>
      <c r="D400">
        <v>5.6879999999999995E-4</v>
      </c>
      <c r="E400">
        <v>5.7249999999999998E-4</v>
      </c>
      <c r="F400">
        <v>1085763339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-0.61458333333333026</v>
      </c>
      <c r="Q400">
        <f t="shared" si="975"/>
        <v>-667292052.09374666</v>
      </c>
      <c r="R400">
        <f t="shared" si="976"/>
        <v>-755509514.96793699</v>
      </c>
      <c r="S400">
        <f t="shared" si="977"/>
        <v>-7555.0951496793696</v>
      </c>
      <c r="T400">
        <f t="shared" si="978"/>
        <v>-7.5550951496793699</v>
      </c>
    </row>
    <row r="401" spans="1:20" x14ac:dyDescent="0.25">
      <c r="A401" s="5">
        <v>44192</v>
      </c>
      <c r="B401">
        <v>5.7339999999999995E-4</v>
      </c>
      <c r="C401">
        <v>6.1669999999999997E-4</v>
      </c>
      <c r="D401">
        <v>5.6280000000000002E-4</v>
      </c>
      <c r="E401">
        <v>5.7390000000000002E-4</v>
      </c>
      <c r="F401">
        <v>2304208798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-0.58812615955473069</v>
      </c>
      <c r="Q401">
        <f t="shared" si="975"/>
        <v>-1355165471.1799622</v>
      </c>
      <c r="R401">
        <f t="shared" si="976"/>
        <v>-88217462.874190331</v>
      </c>
      <c r="S401">
        <f t="shared" si="977"/>
        <v>-882.17462874190335</v>
      </c>
      <c r="T401">
        <f t="shared" si="978"/>
        <v>-0.88217462874190333</v>
      </c>
    </row>
    <row r="402" spans="1:20" x14ac:dyDescent="0.25">
      <c r="A402" s="5">
        <v>44191</v>
      </c>
      <c r="B402">
        <v>5.733E-4</v>
      </c>
      <c r="C402">
        <v>5.9170000000000002E-4</v>
      </c>
      <c r="D402">
        <v>5.6499999999999996E-4</v>
      </c>
      <c r="E402">
        <v>5.7319999999999995E-4</v>
      </c>
      <c r="F402">
        <v>862169412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-0.38576779026217484</v>
      </c>
      <c r="Q402">
        <f t="shared" si="975"/>
        <v>-332597188.89887863</v>
      </c>
      <c r="R402">
        <f t="shared" si="976"/>
        <v>1266948008.3057718</v>
      </c>
      <c r="S402">
        <f t="shared" si="977"/>
        <v>12669.480083057719</v>
      </c>
      <c r="T402">
        <f t="shared" si="978"/>
        <v>12.669480083057719</v>
      </c>
    </row>
    <row r="403" spans="1:20" x14ac:dyDescent="0.25">
      <c r="A403" s="5">
        <v>44190</v>
      </c>
      <c r="B403">
        <v>5.6809999999999999E-4</v>
      </c>
      <c r="C403">
        <v>5.9800000000000001E-4</v>
      </c>
      <c r="D403">
        <v>5.5659999999999998E-4</v>
      </c>
      <c r="E403">
        <v>5.7399999999999997E-4</v>
      </c>
      <c r="F403">
        <v>1085353002</v>
      </c>
      <c r="G403">
        <v>0</v>
      </c>
      <c r="L403" t="s">
        <v>8</v>
      </c>
      <c r="M403" t="s">
        <v>7</v>
      </c>
      <c r="N403" t="s">
        <v>8</v>
      </c>
      <c r="P403">
        <f t="shared" si="974"/>
        <v>-0.15942028985507362</v>
      </c>
      <c r="Q403">
        <f t="shared" si="975"/>
        <v>-173027290.17391428</v>
      </c>
      <c r="R403">
        <f t="shared" si="976"/>
        <v>1599545197.2046504</v>
      </c>
      <c r="S403">
        <f t="shared" si="977"/>
        <v>15995.451972046503</v>
      </c>
      <c r="T403">
        <f t="shared" si="978"/>
        <v>15.995451972046503</v>
      </c>
    </row>
    <row r="404" spans="1:20" x14ac:dyDescent="0.25">
      <c r="A404" s="5">
        <v>44189</v>
      </c>
      <c r="B404">
        <v>5.4259999999999996E-4</v>
      </c>
      <c r="C404">
        <v>5.7669999999999998E-4</v>
      </c>
      <c r="D404">
        <v>5.2499999999999997E-4</v>
      </c>
      <c r="E404">
        <v>5.6809999999999999E-4</v>
      </c>
      <c r="F404">
        <v>1468676156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0.6673114119922634</v>
      </c>
      <c r="Q404">
        <f t="shared" si="975"/>
        <v>980064359.41972971</v>
      </c>
      <c r="R404">
        <f t="shared" si="976"/>
        <v>1772572487.3785646</v>
      </c>
      <c r="S404">
        <f t="shared" si="977"/>
        <v>17725.724873785646</v>
      </c>
      <c r="T404">
        <f t="shared" si="978"/>
        <v>17.725724873785648</v>
      </c>
    </row>
    <row r="405" spans="1:20" x14ac:dyDescent="0.25">
      <c r="A405" s="5">
        <v>44188</v>
      </c>
      <c r="B405">
        <v>6.3489999999999998E-4</v>
      </c>
      <c r="C405">
        <v>6.4039999999999995E-4</v>
      </c>
      <c r="D405">
        <v>5.3620000000000002E-4</v>
      </c>
      <c r="E405">
        <v>5.4100000000000003E-4</v>
      </c>
      <c r="F405">
        <v>2179797782</v>
      </c>
      <c r="G405">
        <v>0</v>
      </c>
      <c r="L405" t="s">
        <v>8</v>
      </c>
      <c r="M405" t="s">
        <v>7</v>
      </c>
      <c r="N405" t="s">
        <v>8</v>
      </c>
      <c r="P405">
        <f t="shared" si="974"/>
        <v>-0.90786948176583471</v>
      </c>
      <c r="Q405">
        <f t="shared" si="975"/>
        <v>-1978971882.6986558</v>
      </c>
      <c r="R405">
        <f t="shared" si="976"/>
        <v>792508127.95883489</v>
      </c>
      <c r="S405">
        <f t="shared" si="977"/>
        <v>7925.0812795883485</v>
      </c>
      <c r="T405">
        <f t="shared" si="978"/>
        <v>7.9250812795883485</v>
      </c>
    </row>
    <row r="406" spans="1:20" x14ac:dyDescent="0.25">
      <c r="A406" s="5">
        <v>44187</v>
      </c>
      <c r="B406">
        <v>6.1519999999999999E-4</v>
      </c>
      <c r="C406">
        <v>6.7739999999999999E-4</v>
      </c>
      <c r="D406">
        <v>5.9540000000000005E-4</v>
      </c>
      <c r="E406">
        <v>6.3500000000000004E-4</v>
      </c>
      <c r="F406">
        <v>3893546566</v>
      </c>
      <c r="G406">
        <v>0</v>
      </c>
      <c r="L406" t="s">
        <v>7</v>
      </c>
      <c r="M406" t="s">
        <v>8</v>
      </c>
      <c r="N406" t="s">
        <v>8</v>
      </c>
      <c r="P406">
        <f t="shared" si="974"/>
        <v>-3.4146341463414172E-2</v>
      </c>
      <c r="Q406">
        <f t="shared" si="975"/>
        <v>-132950370.54633966</v>
      </c>
      <c r="R406">
        <f t="shared" si="976"/>
        <v>2771480010.6574907</v>
      </c>
      <c r="S406">
        <f t="shared" si="977"/>
        <v>27714.800106574909</v>
      </c>
      <c r="T406">
        <f t="shared" si="978"/>
        <v>27.714800106574909</v>
      </c>
    </row>
    <row r="407" spans="1:20" x14ac:dyDescent="0.25">
      <c r="A407" s="5">
        <v>44186</v>
      </c>
      <c r="B407">
        <v>5.9639999999999997E-4</v>
      </c>
      <c r="C407">
        <v>6.9300000000000004E-4</v>
      </c>
      <c r="D407">
        <v>5.5500000000000005E-4</v>
      </c>
      <c r="E407">
        <v>6.1339999999999995E-4</v>
      </c>
      <c r="F407">
        <v>2558797060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-0.1536231884057985</v>
      </c>
      <c r="Q407">
        <f t="shared" si="975"/>
        <v>-393090562.84058326</v>
      </c>
      <c r="R407">
        <f t="shared" si="976"/>
        <v>2904430381.2038302</v>
      </c>
      <c r="S407">
        <f t="shared" si="977"/>
        <v>29044.303812038303</v>
      </c>
      <c r="T407">
        <f t="shared" si="978"/>
        <v>29.044303812038301</v>
      </c>
    </row>
    <row r="408" spans="1:20" x14ac:dyDescent="0.25">
      <c r="A408" s="5">
        <v>44185</v>
      </c>
      <c r="B408">
        <v>6.0939999999999996E-4</v>
      </c>
      <c r="C408">
        <v>6.1990000000000005E-4</v>
      </c>
      <c r="D408">
        <v>5.8560000000000003E-4</v>
      </c>
      <c r="E408">
        <v>5.9630000000000002E-4</v>
      </c>
      <c r="F408">
        <v>1699946363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-0.37609329446064244</v>
      </c>
      <c r="Q408">
        <f t="shared" si="975"/>
        <v>-639338428.06705713</v>
      </c>
      <c r="R408">
        <f t="shared" si="976"/>
        <v>3297520944.0444136</v>
      </c>
      <c r="S408">
        <f t="shared" si="977"/>
        <v>32975.209440444138</v>
      </c>
      <c r="T408">
        <f t="shared" si="978"/>
        <v>32.975209440444139</v>
      </c>
    </row>
    <row r="409" spans="1:20" x14ac:dyDescent="0.25">
      <c r="A409" s="5">
        <v>44184</v>
      </c>
      <c r="B409">
        <v>6.1359999999999995E-4</v>
      </c>
      <c r="C409">
        <v>6.1689999999999998E-4</v>
      </c>
      <c r="D409">
        <v>6.001E-4</v>
      </c>
      <c r="E409">
        <v>6.11E-4</v>
      </c>
      <c r="F409">
        <v>1557595661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0.29761904761904884</v>
      </c>
      <c r="Q409">
        <f t="shared" si="975"/>
        <v>463570137.20238286</v>
      </c>
      <c r="R409">
        <f t="shared" si="976"/>
        <v>3936859372.1114707</v>
      </c>
      <c r="S409">
        <f t="shared" si="977"/>
        <v>39368.59372111471</v>
      </c>
      <c r="T409">
        <f t="shared" si="978"/>
        <v>39.368593721114713</v>
      </c>
    </row>
    <row r="410" spans="1:20" x14ac:dyDescent="0.25">
      <c r="A410" s="5">
        <v>44183</v>
      </c>
      <c r="B410">
        <v>6.0769999999999997E-4</v>
      </c>
      <c r="C410">
        <v>6.2319999999999997E-4</v>
      </c>
      <c r="D410">
        <v>5.8900000000000001E-4</v>
      </c>
      <c r="E410">
        <v>6.1370000000000001E-4</v>
      </c>
      <c r="F410">
        <v>1425818854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0.4444444444444462</v>
      </c>
      <c r="Q410">
        <f t="shared" si="975"/>
        <v>633697268.44444692</v>
      </c>
      <c r="R410">
        <f t="shared" si="976"/>
        <v>3473289234.9090877</v>
      </c>
      <c r="S410">
        <f t="shared" si="977"/>
        <v>34732.892349090878</v>
      </c>
      <c r="T410">
        <f t="shared" si="978"/>
        <v>34.732892349090875</v>
      </c>
    </row>
    <row r="411" spans="1:20" x14ac:dyDescent="0.25">
      <c r="A411" s="5">
        <v>44182</v>
      </c>
      <c r="B411">
        <v>6.1970000000000005E-4</v>
      </c>
      <c r="C411">
        <v>6.466E-4</v>
      </c>
      <c r="D411">
        <v>6.001E-4</v>
      </c>
      <c r="E411">
        <v>6.0769999999999997E-4</v>
      </c>
      <c r="F411">
        <v>2645445696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-0.67311827956989378</v>
      </c>
      <c r="Q411">
        <f t="shared" si="975"/>
        <v>-1780697855.5871003</v>
      </c>
      <c r="R411">
        <f t="shared" si="976"/>
        <v>2839591966.4646406</v>
      </c>
      <c r="S411">
        <f t="shared" si="977"/>
        <v>28395.919664646408</v>
      </c>
      <c r="T411">
        <f t="shared" si="978"/>
        <v>28.395919664646406</v>
      </c>
    </row>
    <row r="412" spans="1:20" x14ac:dyDescent="0.25">
      <c r="A412" s="5">
        <v>44181</v>
      </c>
      <c r="B412">
        <v>5.8259999999999996E-4</v>
      </c>
      <c r="C412">
        <v>6.2890000000000005E-4</v>
      </c>
      <c r="D412">
        <v>5.576E-4</v>
      </c>
      <c r="E412">
        <v>6.198E-4</v>
      </c>
      <c r="F412">
        <v>2288634497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0.7447405329593253</v>
      </c>
      <c r="Q412">
        <f t="shared" si="975"/>
        <v>1704438875.0448773</v>
      </c>
      <c r="R412">
        <f t="shared" si="976"/>
        <v>4620289822.0517406</v>
      </c>
      <c r="S412">
        <f t="shared" si="977"/>
        <v>46202.898220517403</v>
      </c>
      <c r="T412">
        <f t="shared" si="978"/>
        <v>46.202898220517405</v>
      </c>
    </row>
    <row r="413" spans="1:20" x14ac:dyDescent="0.25">
      <c r="A413" s="5">
        <v>44180</v>
      </c>
      <c r="B413">
        <v>5.8430000000000005E-4</v>
      </c>
      <c r="C413">
        <v>5.8889999999999995E-4</v>
      </c>
      <c r="D413">
        <v>5.7200000000000003E-4</v>
      </c>
      <c r="E413">
        <v>5.8250000000000001E-4</v>
      </c>
      <c r="F413">
        <v>1121460743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0.24260355029586178</v>
      </c>
      <c r="Q413">
        <f t="shared" si="975"/>
        <v>272070357.76923501</v>
      </c>
      <c r="R413">
        <f t="shared" si="976"/>
        <v>2915850947.0068631</v>
      </c>
      <c r="S413">
        <f t="shared" si="977"/>
        <v>29158.509470068631</v>
      </c>
      <c r="T413">
        <f t="shared" si="978"/>
        <v>29.15850947006863</v>
      </c>
    </row>
    <row r="414" spans="1:20" x14ac:dyDescent="0.25">
      <c r="A414" s="5">
        <v>44179</v>
      </c>
      <c r="B414">
        <v>5.4799999999999998E-4</v>
      </c>
      <c r="C414">
        <v>6.2640000000000005E-4</v>
      </c>
      <c r="D414">
        <v>5.3620000000000002E-4</v>
      </c>
      <c r="E414">
        <v>5.8339999999999998E-4</v>
      </c>
      <c r="F414">
        <v>3328926057</v>
      </c>
      <c r="G414">
        <v>0</v>
      </c>
      <c r="L414" t="s">
        <v>7</v>
      </c>
      <c r="M414" t="s">
        <v>8</v>
      </c>
      <c r="N414" t="s">
        <v>8</v>
      </c>
      <c r="P414">
        <f t="shared" si="974"/>
        <v>4.6563192904655035E-2</v>
      </c>
      <c r="Q414">
        <f t="shared" si="975"/>
        <v>155005426.15742368</v>
      </c>
      <c r="R414">
        <f t="shared" si="976"/>
        <v>2643780589.237628</v>
      </c>
      <c r="S414">
        <f t="shared" si="977"/>
        <v>26437.80589237628</v>
      </c>
      <c r="T414">
        <f t="shared" si="978"/>
        <v>26.437805892376279</v>
      </c>
    </row>
    <row r="415" spans="1:20" x14ac:dyDescent="0.25">
      <c r="A415" s="5">
        <v>44178</v>
      </c>
      <c r="B415">
        <v>5.398E-4</v>
      </c>
      <c r="C415">
        <v>5.6800000000000004E-4</v>
      </c>
      <c r="D415">
        <v>5.3050000000000005E-4</v>
      </c>
      <c r="E415">
        <v>5.4799999999999998E-4</v>
      </c>
      <c r="F415">
        <v>1006463107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-6.6666666666669747E-2</v>
      </c>
      <c r="Q415">
        <f t="shared" si="975"/>
        <v>-67097540.466669768</v>
      </c>
      <c r="R415">
        <f t="shared" si="976"/>
        <v>2488775163.0802045</v>
      </c>
      <c r="S415">
        <f t="shared" si="977"/>
        <v>24887.751630802046</v>
      </c>
      <c r="T415">
        <f t="shared" si="978"/>
        <v>24.887751630802047</v>
      </c>
    </row>
    <row r="416" spans="1:20" x14ac:dyDescent="0.25">
      <c r="A416" s="5">
        <v>44177</v>
      </c>
      <c r="B416">
        <v>5.2809999999999999E-4</v>
      </c>
      <c r="C416">
        <v>5.5920000000000004E-4</v>
      </c>
      <c r="D416">
        <v>5.2809999999999999E-4</v>
      </c>
      <c r="E416">
        <v>5.3989999999999995E-4</v>
      </c>
      <c r="F416">
        <v>817768290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-0.24115755627010019</v>
      </c>
      <c r="Q416">
        <f t="shared" si="975"/>
        <v>-197211002.4115786</v>
      </c>
      <c r="R416">
        <f t="shared" si="976"/>
        <v>2555872703.546874</v>
      </c>
      <c r="S416">
        <f t="shared" si="977"/>
        <v>25558.727035468739</v>
      </c>
      <c r="T416">
        <f t="shared" si="978"/>
        <v>25.558727035468738</v>
      </c>
    </row>
    <row r="417" spans="1:20" x14ac:dyDescent="0.25">
      <c r="A417" s="5">
        <v>44176</v>
      </c>
      <c r="B417">
        <v>5.4330000000000003E-4</v>
      </c>
      <c r="C417">
        <v>5.4690000000000001E-4</v>
      </c>
      <c r="D417">
        <v>5.1500000000000005E-4</v>
      </c>
      <c r="E417">
        <v>5.3160000000000002E-4</v>
      </c>
      <c r="F417">
        <v>1200715732</v>
      </c>
      <c r="G417">
        <v>0</v>
      </c>
      <c r="L417" t="s">
        <v>8</v>
      </c>
      <c r="M417" t="s">
        <v>7</v>
      </c>
      <c r="N417" t="s">
        <v>8</v>
      </c>
      <c r="P417">
        <f t="shared" si="974"/>
        <v>4.0752351097178022E-2</v>
      </c>
      <c r="Q417">
        <f t="shared" si="975"/>
        <v>48931989.078369111</v>
      </c>
      <c r="R417">
        <f t="shared" si="976"/>
        <v>2753083705.9584527</v>
      </c>
      <c r="S417">
        <f t="shared" si="977"/>
        <v>27530.837059584526</v>
      </c>
      <c r="T417">
        <f t="shared" si="978"/>
        <v>27.530837059584528</v>
      </c>
    </row>
    <row r="418" spans="1:20" x14ac:dyDescent="0.25">
      <c r="A418" s="5">
        <v>44175</v>
      </c>
      <c r="B418">
        <v>5.553E-4</v>
      </c>
      <c r="C418">
        <v>5.5719999999999999E-4</v>
      </c>
      <c r="D418">
        <v>5.2139999999999999E-4</v>
      </c>
      <c r="E418">
        <v>5.4339999999999998E-4</v>
      </c>
      <c r="F418">
        <v>705821371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0.22905027932960842</v>
      </c>
      <c r="Q418">
        <f t="shared" si="975"/>
        <v>161668582.18435717</v>
      </c>
      <c r="R418">
        <f t="shared" si="976"/>
        <v>2704151716.8800836</v>
      </c>
      <c r="S418">
        <f t="shared" si="977"/>
        <v>27041.517168800834</v>
      </c>
      <c r="T418">
        <f t="shared" si="978"/>
        <v>27.041517168800834</v>
      </c>
    </row>
    <row r="419" spans="1:20" x14ac:dyDescent="0.25">
      <c r="A419" s="5">
        <v>44174</v>
      </c>
      <c r="B419">
        <v>5.5679999999999998E-4</v>
      </c>
      <c r="C419">
        <v>5.6039999999999996E-4</v>
      </c>
      <c r="D419">
        <v>5.1130000000000001E-4</v>
      </c>
      <c r="E419">
        <v>5.5670000000000003E-4</v>
      </c>
      <c r="F419">
        <v>1666796455</v>
      </c>
      <c r="G419">
        <v>0</v>
      </c>
      <c r="L419" t="s">
        <v>8</v>
      </c>
      <c r="M419" t="s">
        <v>7</v>
      </c>
      <c r="N419" t="s">
        <v>8</v>
      </c>
      <c r="P419">
        <f t="shared" si="974"/>
        <v>0.84928716904277268</v>
      </c>
      <c r="Q419">
        <f t="shared" si="975"/>
        <v>1415588842.6374793</v>
      </c>
      <c r="R419">
        <f t="shared" si="976"/>
        <v>2542483134.6957264</v>
      </c>
      <c r="S419">
        <f t="shared" si="977"/>
        <v>25424.831346957264</v>
      </c>
      <c r="T419">
        <f t="shared" si="978"/>
        <v>25.424831346957266</v>
      </c>
    </row>
    <row r="420" spans="1:20" x14ac:dyDescent="0.25">
      <c r="A420" s="5">
        <v>44173</v>
      </c>
      <c r="B420">
        <v>5.9540000000000005E-4</v>
      </c>
      <c r="C420">
        <v>6.0130000000000003E-4</v>
      </c>
      <c r="D420">
        <v>5.5500000000000005E-4</v>
      </c>
      <c r="E420">
        <v>5.5690000000000004E-4</v>
      </c>
      <c r="F420">
        <v>816802770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-0.91792656587473032</v>
      </c>
      <c r="Q420">
        <f t="shared" si="975"/>
        <v>-749764961.66306722</v>
      </c>
      <c r="R420">
        <f t="shared" si="976"/>
        <v>1126894292.0582471</v>
      </c>
      <c r="S420">
        <f t="shared" si="977"/>
        <v>11268.942920582471</v>
      </c>
      <c r="T420">
        <f t="shared" si="978"/>
        <v>11.268942920582472</v>
      </c>
    </row>
    <row r="421" spans="1:20" x14ac:dyDescent="0.25">
      <c r="A421" s="5">
        <v>44172</v>
      </c>
      <c r="B421">
        <v>5.953E-4</v>
      </c>
      <c r="C421">
        <v>6.3699999999999998E-4</v>
      </c>
      <c r="D421">
        <v>5.8549999999999997E-4</v>
      </c>
      <c r="E421">
        <v>5.953E-4</v>
      </c>
      <c r="F421">
        <v>1216278103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-0.61941747572815453</v>
      </c>
      <c r="Q421">
        <f t="shared" si="975"/>
        <v>-753383912.34368837</v>
      </c>
      <c r="R421">
        <f t="shared" si="976"/>
        <v>1876659253.7213144</v>
      </c>
      <c r="S421">
        <f t="shared" si="977"/>
        <v>18766.592537213146</v>
      </c>
      <c r="T421">
        <f t="shared" si="978"/>
        <v>18.766592537213146</v>
      </c>
    </row>
    <row r="422" spans="1:20" x14ac:dyDescent="0.25">
      <c r="A422" s="5">
        <v>44171</v>
      </c>
      <c r="B422">
        <v>5.9690000000000003E-4</v>
      </c>
      <c r="C422">
        <v>6.0300000000000002E-4</v>
      </c>
      <c r="D422">
        <v>5.8200000000000005E-4</v>
      </c>
      <c r="E422">
        <v>5.953E-4</v>
      </c>
      <c r="F422">
        <v>555399146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0.26666666666666322</v>
      </c>
      <c r="Q422">
        <f t="shared" si="975"/>
        <v>148106438.93333143</v>
      </c>
      <c r="R422">
        <f t="shared" si="976"/>
        <v>2630043166.0650029</v>
      </c>
      <c r="S422">
        <f t="shared" si="977"/>
        <v>26300.431660650029</v>
      </c>
      <c r="T422">
        <f t="shared" si="978"/>
        <v>26.30043166065003</v>
      </c>
    </row>
    <row r="423" spans="1:20" x14ac:dyDescent="0.25">
      <c r="A423" s="5">
        <v>44170</v>
      </c>
      <c r="B423">
        <v>5.8089999999999997E-4</v>
      </c>
      <c r="C423">
        <v>6.0210000000000005E-4</v>
      </c>
      <c r="D423">
        <v>5.7050000000000004E-4</v>
      </c>
      <c r="E423">
        <v>5.9690000000000003E-4</v>
      </c>
      <c r="F423">
        <v>751541556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0.670886075949366</v>
      </c>
      <c r="Q423">
        <f t="shared" si="975"/>
        <v>504198765.41772068</v>
      </c>
      <c r="R423">
        <f t="shared" si="976"/>
        <v>2481936727.1316714</v>
      </c>
      <c r="S423">
        <f t="shared" si="977"/>
        <v>24819.367271316714</v>
      </c>
      <c r="T423">
        <f t="shared" si="978"/>
        <v>24.819367271316715</v>
      </c>
    </row>
    <row r="424" spans="1:20" x14ac:dyDescent="0.25">
      <c r="A424" s="5">
        <v>44169</v>
      </c>
      <c r="B424">
        <v>6.2830000000000004E-4</v>
      </c>
      <c r="C424">
        <v>6.3170000000000001E-4</v>
      </c>
      <c r="D424">
        <v>5.733E-4</v>
      </c>
      <c r="E424">
        <v>5.8140000000000004E-4</v>
      </c>
      <c r="F424">
        <v>1155832371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-0.72260273972602629</v>
      </c>
      <c r="Q424">
        <f t="shared" si="975"/>
        <v>-835207637.9486289</v>
      </c>
      <c r="R424">
        <f t="shared" si="976"/>
        <v>1977737961.7139506</v>
      </c>
      <c r="S424">
        <f t="shared" si="977"/>
        <v>19777.379617139508</v>
      </c>
      <c r="T424">
        <f t="shared" si="978"/>
        <v>19.777379617139509</v>
      </c>
    </row>
    <row r="425" spans="1:20" x14ac:dyDescent="0.25">
      <c r="A425" s="5">
        <v>44168</v>
      </c>
      <c r="B425">
        <v>5.9679999999999998E-4</v>
      </c>
      <c r="C425">
        <v>6.3889999999999997E-4</v>
      </c>
      <c r="D425">
        <v>5.9279999999999999E-4</v>
      </c>
      <c r="E425">
        <v>6.2830000000000004E-4</v>
      </c>
      <c r="F425">
        <v>1014255343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0.54013015184382052</v>
      </c>
      <c r="Q425">
        <f t="shared" si="975"/>
        <v>547829892.42299628</v>
      </c>
      <c r="R425">
        <f t="shared" si="976"/>
        <v>2812945599.6625795</v>
      </c>
      <c r="S425">
        <f t="shared" si="977"/>
        <v>28129.455996625795</v>
      </c>
      <c r="T425">
        <f t="shared" si="978"/>
        <v>28.129455996625794</v>
      </c>
    </row>
    <row r="426" spans="1:20" x14ac:dyDescent="0.25">
      <c r="A426" s="5">
        <v>44167</v>
      </c>
      <c r="B426">
        <v>5.9020000000000003E-4</v>
      </c>
      <c r="C426">
        <v>6.0400000000000004E-4</v>
      </c>
      <c r="D426">
        <v>5.71E-4</v>
      </c>
      <c r="E426">
        <v>5.9789999999999995E-4</v>
      </c>
      <c r="F426">
        <v>979921048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0.63030303030302504</v>
      </c>
      <c r="Q426">
        <f t="shared" si="975"/>
        <v>617647206.01211607</v>
      </c>
      <c r="R426">
        <f t="shared" si="976"/>
        <v>2265115707.2395835</v>
      </c>
      <c r="S426">
        <f t="shared" si="977"/>
        <v>22651.157072395836</v>
      </c>
      <c r="T426">
        <f t="shared" si="978"/>
        <v>22.651157072395836</v>
      </c>
    </row>
    <row r="427" spans="1:20" x14ac:dyDescent="0.25">
      <c r="A427" s="5">
        <v>44166</v>
      </c>
      <c r="B427">
        <v>6.357E-4</v>
      </c>
      <c r="C427">
        <v>6.4000000000000005E-4</v>
      </c>
      <c r="D427">
        <v>5.7950000000000005E-4</v>
      </c>
      <c r="E427">
        <v>5.9000000000000003E-4</v>
      </c>
      <c r="F427">
        <v>1853168931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-0.65289256198347168</v>
      </c>
      <c r="Q427">
        <f t="shared" si="975"/>
        <v>-1209920211.1487615</v>
      </c>
      <c r="R427">
        <f t="shared" si="976"/>
        <v>1647468501.2274673</v>
      </c>
      <c r="S427">
        <f t="shared" si="977"/>
        <v>16474.685012274673</v>
      </c>
      <c r="T427">
        <f t="shared" si="978"/>
        <v>16.474685012274673</v>
      </c>
    </row>
    <row r="428" spans="1:20" x14ac:dyDescent="0.25">
      <c r="A428" s="5">
        <v>44165</v>
      </c>
      <c r="B428">
        <v>5.7319999999999995E-4</v>
      </c>
      <c r="C428">
        <v>6.7230000000000002E-4</v>
      </c>
      <c r="D428">
        <v>5.7319999999999995E-4</v>
      </c>
      <c r="E428">
        <v>6.355E-4</v>
      </c>
      <c r="F428">
        <v>1935385825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0.2573158425832493</v>
      </c>
      <c r="Q428">
        <f t="shared" si="975"/>
        <v>498005434.28355205</v>
      </c>
      <c r="R428">
        <f t="shared" si="976"/>
        <v>2857388712.3762288</v>
      </c>
      <c r="S428">
        <f t="shared" si="977"/>
        <v>28573.887123762288</v>
      </c>
      <c r="T428">
        <f t="shared" si="978"/>
        <v>28.573887123762287</v>
      </c>
    </row>
    <row r="429" spans="1:20" x14ac:dyDescent="0.25">
      <c r="A429" s="5">
        <v>44164</v>
      </c>
      <c r="B429">
        <v>5.8239999999999995E-4</v>
      </c>
      <c r="C429">
        <v>5.9650000000000002E-4</v>
      </c>
      <c r="D429">
        <v>5.574E-4</v>
      </c>
      <c r="E429">
        <v>5.733E-4</v>
      </c>
      <c r="F429">
        <v>1000725421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-0.18670076726342735</v>
      </c>
      <c r="Q429">
        <f t="shared" si="975"/>
        <v>-186836203.92071635</v>
      </c>
      <c r="R429">
        <f t="shared" si="976"/>
        <v>2359383278.0926766</v>
      </c>
      <c r="S429">
        <f t="shared" si="977"/>
        <v>23593.832780926765</v>
      </c>
      <c r="T429">
        <f t="shared" si="978"/>
        <v>23.593832780926764</v>
      </c>
    </row>
    <row r="430" spans="1:20" x14ac:dyDescent="0.25">
      <c r="A430" s="5">
        <v>44163</v>
      </c>
      <c r="B430">
        <v>5.6380000000000004E-4</v>
      </c>
      <c r="C430">
        <v>5.9369999999999996E-4</v>
      </c>
      <c r="D430">
        <v>5.5000000000000003E-4</v>
      </c>
      <c r="E430">
        <v>5.8290000000000002E-4</v>
      </c>
      <c r="F430">
        <v>923754045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0.50572082379862904</v>
      </c>
      <c r="Q430">
        <f t="shared" si="975"/>
        <v>467161656.62471586</v>
      </c>
      <c r="R430">
        <f t="shared" si="976"/>
        <v>2546219482.0133929</v>
      </c>
      <c r="S430">
        <f t="shared" si="977"/>
        <v>25462.194820133929</v>
      </c>
      <c r="T430">
        <f t="shared" si="978"/>
        <v>25.462194820133931</v>
      </c>
    </row>
    <row r="431" spans="1:20" x14ac:dyDescent="0.25">
      <c r="A431" s="5">
        <v>44162</v>
      </c>
      <c r="B431">
        <v>5.6470000000000001E-4</v>
      </c>
      <c r="C431">
        <v>5.8799999999999998E-4</v>
      </c>
      <c r="D431">
        <v>5.4199999999999995E-4</v>
      </c>
      <c r="E431">
        <v>5.6519999999999997E-4</v>
      </c>
      <c r="F431">
        <v>994816396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8.6956521739132483E-3</v>
      </c>
      <c r="Q431">
        <f t="shared" si="975"/>
        <v>8650577.3565219436</v>
      </c>
      <c r="R431">
        <f t="shared" si="976"/>
        <v>2079057825.3886771</v>
      </c>
      <c r="S431">
        <f t="shared" si="977"/>
        <v>20790.578253886772</v>
      </c>
      <c r="T431">
        <f t="shared" si="978"/>
        <v>20.790578253886771</v>
      </c>
    </row>
    <row r="432" spans="1:20" x14ac:dyDescent="0.25">
      <c r="A432" s="5">
        <v>44161</v>
      </c>
      <c r="B432">
        <v>6.2540000000000002E-4</v>
      </c>
      <c r="C432">
        <v>6.4999999999999997E-4</v>
      </c>
      <c r="D432">
        <v>4.5679999999999999E-4</v>
      </c>
      <c r="E432">
        <v>5.6070000000000002E-4</v>
      </c>
      <c r="F432">
        <v>2894149965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7.5569358178054269E-2</v>
      </c>
      <c r="Q432">
        <f t="shared" si="975"/>
        <v>218709055.32608822</v>
      </c>
      <c r="R432">
        <f t="shared" si="976"/>
        <v>2070407248.0321553</v>
      </c>
      <c r="S432">
        <f t="shared" si="977"/>
        <v>20704.072480321553</v>
      </c>
      <c r="T432">
        <f t="shared" si="978"/>
        <v>20.704072480321553</v>
      </c>
    </row>
    <row r="433" spans="1:20" x14ac:dyDescent="0.25">
      <c r="A433" s="5">
        <v>44160</v>
      </c>
      <c r="B433">
        <v>6.5300000000000004E-4</v>
      </c>
      <c r="C433">
        <v>6.8300000000000001E-4</v>
      </c>
      <c r="D433">
        <v>5.9460000000000003E-4</v>
      </c>
      <c r="E433">
        <v>6.2980000000000002E-4</v>
      </c>
      <c r="F433">
        <v>2087990043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-0.20361990950226252</v>
      </c>
      <c r="Q433">
        <f t="shared" si="975"/>
        <v>-425156343.59728521</v>
      </c>
      <c r="R433">
        <f t="shared" si="976"/>
        <v>1851698192.7060671</v>
      </c>
      <c r="S433">
        <f t="shared" si="977"/>
        <v>18516.981927060671</v>
      </c>
      <c r="T433">
        <f t="shared" si="978"/>
        <v>18.516981927060673</v>
      </c>
    </row>
    <row r="434" spans="1:20" x14ac:dyDescent="0.25">
      <c r="A434" s="5">
        <v>44159</v>
      </c>
      <c r="B434">
        <v>5.8549999999999997E-4</v>
      </c>
      <c r="C434">
        <v>6.9999999999999999E-4</v>
      </c>
      <c r="D434">
        <v>5.8E-4</v>
      </c>
      <c r="E434">
        <v>6.5550000000000005E-4</v>
      </c>
      <c r="F434">
        <v>3545374017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0.25833333333333419</v>
      </c>
      <c r="Q434">
        <f t="shared" si="975"/>
        <v>915888287.725003</v>
      </c>
      <c r="R434">
        <f t="shared" si="976"/>
        <v>2276854536.3033524</v>
      </c>
      <c r="S434">
        <f t="shared" si="977"/>
        <v>22768.545363033525</v>
      </c>
      <c r="T434">
        <f t="shared" si="978"/>
        <v>22.768545363033525</v>
      </c>
    </row>
    <row r="435" spans="1:20" x14ac:dyDescent="0.25">
      <c r="A435" s="5">
        <v>44158</v>
      </c>
      <c r="B435">
        <v>5.5469999999999998E-4</v>
      </c>
      <c r="C435">
        <v>5.9659999999999997E-4</v>
      </c>
      <c r="D435">
        <v>5.486E-4</v>
      </c>
      <c r="E435">
        <v>5.8299999999999997E-4</v>
      </c>
      <c r="F435">
        <v>1706512188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0.43333333333333279</v>
      </c>
      <c r="Q435">
        <f t="shared" si="975"/>
        <v>739488614.79999912</v>
      </c>
      <c r="R435">
        <f t="shared" si="976"/>
        <v>1360966248.5783496</v>
      </c>
      <c r="S435">
        <f t="shared" si="977"/>
        <v>13609.662485783496</v>
      </c>
      <c r="T435">
        <f t="shared" si="978"/>
        <v>13.609662485783495</v>
      </c>
    </row>
    <row r="436" spans="1:20" x14ac:dyDescent="0.25">
      <c r="A436" s="5">
        <v>44157</v>
      </c>
      <c r="B436">
        <v>5.4920000000000001E-4</v>
      </c>
      <c r="C436">
        <v>5.9650000000000002E-4</v>
      </c>
      <c r="D436">
        <v>5.3879999999999998E-4</v>
      </c>
      <c r="E436">
        <v>5.5639999999999997E-4</v>
      </c>
      <c r="F436">
        <v>3445452985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-0.38994800693240972</v>
      </c>
      <c r="Q436">
        <f t="shared" si="975"/>
        <v>-1343547524.4800718</v>
      </c>
      <c r="R436">
        <f t="shared" si="976"/>
        <v>621477633.77835059</v>
      </c>
      <c r="S436">
        <f t="shared" si="977"/>
        <v>6214.7763377835063</v>
      </c>
      <c r="T436">
        <f t="shared" si="978"/>
        <v>6.2147763377835066</v>
      </c>
    </row>
    <row r="437" spans="1:20" x14ac:dyDescent="0.25">
      <c r="A437" s="5">
        <v>44156</v>
      </c>
      <c r="B437">
        <v>4.9890000000000004E-4</v>
      </c>
      <c r="C437">
        <v>5.599E-4</v>
      </c>
      <c r="D437">
        <v>4.9330000000000001E-4</v>
      </c>
      <c r="E437">
        <v>5.4710000000000002E-4</v>
      </c>
      <c r="F437">
        <v>2240233135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0.61561561561561595</v>
      </c>
      <c r="Q437">
        <f t="shared" si="975"/>
        <v>1379122500.5255263</v>
      </c>
      <c r="R437">
        <f t="shared" si="976"/>
        <v>1965025158.2584224</v>
      </c>
      <c r="S437">
        <f t="shared" si="977"/>
        <v>19650.251582584224</v>
      </c>
      <c r="T437">
        <f t="shared" si="978"/>
        <v>19.650251582584225</v>
      </c>
    </row>
    <row r="438" spans="1:20" x14ac:dyDescent="0.25">
      <c r="A438" s="5">
        <v>44155</v>
      </c>
      <c r="B438">
        <v>4.952E-4</v>
      </c>
      <c r="C438">
        <v>5.0390000000000005E-4</v>
      </c>
      <c r="D438">
        <v>4.8240000000000002E-4</v>
      </c>
      <c r="E438">
        <v>4.9989999999999995E-4</v>
      </c>
      <c r="F438">
        <v>1035298486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0.62790697674417761</v>
      </c>
      <c r="Q438">
        <f t="shared" si="975"/>
        <v>650071142.37208426</v>
      </c>
      <c r="R438">
        <f t="shared" si="976"/>
        <v>585902657.73289597</v>
      </c>
      <c r="S438">
        <f t="shared" si="977"/>
        <v>5859.0265773289593</v>
      </c>
      <c r="T438">
        <f t="shared" si="978"/>
        <v>5.8590265773289589</v>
      </c>
    </row>
    <row r="439" spans="1:20" x14ac:dyDescent="0.25">
      <c r="A439" s="5">
        <v>44154</v>
      </c>
      <c r="B439">
        <v>4.9039999999999999E-4</v>
      </c>
      <c r="C439">
        <v>5.1110000000000001E-4</v>
      </c>
      <c r="D439">
        <v>4.8000000000000001E-4</v>
      </c>
      <c r="E439">
        <v>4.952E-4</v>
      </c>
      <c r="F439">
        <v>884426901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-2.2508038585209552E-2</v>
      </c>
      <c r="Q439">
        <f t="shared" si="975"/>
        <v>-19906714.813505307</v>
      </c>
      <c r="R439">
        <f t="shared" si="976"/>
        <v>-64168484.639188334</v>
      </c>
      <c r="S439">
        <f t="shared" si="977"/>
        <v>-641.6848463918833</v>
      </c>
      <c r="T439">
        <f t="shared" si="978"/>
        <v>-0.64168484639188328</v>
      </c>
    </row>
    <row r="440" spans="1:20" x14ac:dyDescent="0.25">
      <c r="A440" s="5">
        <v>44153</v>
      </c>
      <c r="B440">
        <v>5.0160000000000005E-4</v>
      </c>
      <c r="C440">
        <v>5.0589999999999999E-4</v>
      </c>
      <c r="D440">
        <v>4.7699999999999999E-4</v>
      </c>
      <c r="E440">
        <v>4.9030000000000005E-4</v>
      </c>
      <c r="F440">
        <v>982663295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-7.9584775086501497E-2</v>
      </c>
      <c r="Q440">
        <f t="shared" si="975"/>
        <v>-78205037.318335474</v>
      </c>
      <c r="R440">
        <f t="shared" si="976"/>
        <v>-44261769.825683028</v>
      </c>
      <c r="S440">
        <f t="shared" si="977"/>
        <v>-442.61769825683029</v>
      </c>
      <c r="T440">
        <f t="shared" si="978"/>
        <v>-0.44261769825683028</v>
      </c>
    </row>
    <row r="441" spans="1:20" x14ac:dyDescent="0.25">
      <c r="A441" s="5">
        <v>44152</v>
      </c>
      <c r="B441">
        <v>4.973E-4</v>
      </c>
      <c r="C441">
        <v>5.1259999999999999E-4</v>
      </c>
      <c r="D441">
        <v>4.9200000000000003E-4</v>
      </c>
      <c r="E441">
        <v>5.0210000000000001E-4</v>
      </c>
      <c r="F441">
        <v>1114716296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-1.9417475728155852E-2</v>
      </c>
      <c r="Q441">
        <f t="shared" si="975"/>
        <v>-21644976.621359795</v>
      </c>
      <c r="R441">
        <f t="shared" si="976"/>
        <v>33943267.492652446</v>
      </c>
      <c r="S441">
        <f t="shared" si="977"/>
        <v>339.43267492652444</v>
      </c>
      <c r="T441">
        <f t="shared" si="978"/>
        <v>0.33943267492652446</v>
      </c>
    </row>
    <row r="442" spans="1:20" x14ac:dyDescent="0.25">
      <c r="A442" s="5">
        <v>44151</v>
      </c>
      <c r="B442">
        <v>4.819E-4</v>
      </c>
      <c r="C442">
        <v>5.0509999999999997E-4</v>
      </c>
      <c r="D442">
        <v>4.774E-4</v>
      </c>
      <c r="E442">
        <v>4.973E-4</v>
      </c>
      <c r="F442">
        <v>1171054276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0.43682310469314212</v>
      </c>
      <c r="Q442">
        <f t="shared" si="975"/>
        <v>511543564.60649973</v>
      </c>
      <c r="R442">
        <f t="shared" si="976"/>
        <v>55588244.114012241</v>
      </c>
      <c r="S442">
        <f t="shared" si="977"/>
        <v>555.88244114012241</v>
      </c>
      <c r="T442">
        <f t="shared" si="978"/>
        <v>0.55588244114012242</v>
      </c>
    </row>
    <row r="443" spans="1:20" x14ac:dyDescent="0.25">
      <c r="A443" s="5">
        <v>44150</v>
      </c>
      <c r="B443">
        <v>4.8299999999999998E-4</v>
      </c>
      <c r="C443">
        <v>4.9109999999999996E-4</v>
      </c>
      <c r="D443">
        <v>4.7560000000000001E-4</v>
      </c>
      <c r="E443">
        <v>4.8040000000000002E-4</v>
      </c>
      <c r="F443">
        <v>737965731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-0.38064516129031922</v>
      </c>
      <c r="Q443">
        <f t="shared" si="975"/>
        <v>-280903084.70322335</v>
      </c>
      <c r="R443">
        <f t="shared" si="976"/>
        <v>-455955320.49248749</v>
      </c>
      <c r="S443">
        <f t="shared" si="977"/>
        <v>-4559.553204924875</v>
      </c>
      <c r="T443">
        <f t="shared" si="978"/>
        <v>-4.5595532049248746</v>
      </c>
    </row>
    <row r="444" spans="1:20" x14ac:dyDescent="0.25">
      <c r="A444" s="5">
        <v>44149</v>
      </c>
      <c r="B444">
        <v>4.795E-4</v>
      </c>
      <c r="C444">
        <v>4.9180000000000003E-4</v>
      </c>
      <c r="D444">
        <v>4.662E-4</v>
      </c>
      <c r="E444">
        <v>4.8260000000000002E-4</v>
      </c>
      <c r="F444">
        <v>803900054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0.28125000000000022</v>
      </c>
      <c r="Q444">
        <f t="shared" si="975"/>
        <v>226096890.18750018</v>
      </c>
      <c r="R444">
        <f t="shared" si="976"/>
        <v>-175052235.78926414</v>
      </c>
      <c r="S444">
        <f t="shared" si="977"/>
        <v>-1750.5223578926414</v>
      </c>
      <c r="T444">
        <f t="shared" si="978"/>
        <v>-1.7505223578926414</v>
      </c>
    </row>
    <row r="445" spans="1:20" x14ac:dyDescent="0.25">
      <c r="A445" s="5">
        <v>44148</v>
      </c>
      <c r="B445">
        <v>4.683E-4</v>
      </c>
      <c r="C445">
        <v>4.819E-4</v>
      </c>
      <c r="D445">
        <v>4.6589999999999999E-4</v>
      </c>
      <c r="E445">
        <v>4.794E-4</v>
      </c>
      <c r="F445">
        <v>700683417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0.68749999999999933</v>
      </c>
      <c r="Q445">
        <f t="shared" si="975"/>
        <v>481719849.18749952</v>
      </c>
      <c r="R445">
        <f t="shared" si="976"/>
        <v>-401149125.97676432</v>
      </c>
      <c r="S445">
        <f t="shared" si="977"/>
        <v>-4011.491259767643</v>
      </c>
      <c r="T445">
        <f t="shared" si="978"/>
        <v>-4.0114912597676433</v>
      </c>
    </row>
    <row r="446" spans="1:20" x14ac:dyDescent="0.25">
      <c r="A446" s="5">
        <v>44147</v>
      </c>
      <c r="B446">
        <v>4.7859999999999998E-4</v>
      </c>
      <c r="C446">
        <v>4.8640000000000001E-4</v>
      </c>
      <c r="D446">
        <v>4.6500000000000003E-4</v>
      </c>
      <c r="E446">
        <v>4.6910000000000002E-4</v>
      </c>
      <c r="F446">
        <v>818962233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-0.61682242990654246</v>
      </c>
      <c r="Q446">
        <f t="shared" si="975"/>
        <v>-505154274.56074798</v>
      </c>
      <c r="R446">
        <f t="shared" si="976"/>
        <v>-882868975.16426384</v>
      </c>
      <c r="S446">
        <f t="shared" si="977"/>
        <v>-8828.6897516426379</v>
      </c>
      <c r="T446">
        <f t="shared" si="978"/>
        <v>-8.8286897516426386</v>
      </c>
    </row>
    <row r="447" spans="1:20" x14ac:dyDescent="0.25">
      <c r="A447" s="5">
        <v>44146</v>
      </c>
      <c r="B447">
        <v>4.7320000000000001E-4</v>
      </c>
      <c r="C447">
        <v>4.8730000000000003E-4</v>
      </c>
      <c r="D447">
        <v>4.639E-4</v>
      </c>
      <c r="E447">
        <v>4.7919999999999999E-4</v>
      </c>
      <c r="F447">
        <v>693854982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0.30769230769230554</v>
      </c>
      <c r="Q447">
        <f t="shared" si="975"/>
        <v>213493840.61538312</v>
      </c>
      <c r="R447">
        <f t="shared" si="976"/>
        <v>-377714700.60351586</v>
      </c>
      <c r="S447">
        <f t="shared" si="977"/>
        <v>-3777.1470060351585</v>
      </c>
      <c r="T447">
        <f t="shared" si="978"/>
        <v>-3.7771470060351584</v>
      </c>
    </row>
    <row r="448" spans="1:20" x14ac:dyDescent="0.25">
      <c r="A448" s="5">
        <v>44145</v>
      </c>
      <c r="B448">
        <v>4.684E-4</v>
      </c>
      <c r="C448">
        <v>4.8680000000000001E-4</v>
      </c>
      <c r="D448">
        <v>4.6299999999999998E-4</v>
      </c>
      <c r="E448">
        <v>4.7330000000000001E-4</v>
      </c>
      <c r="F448">
        <v>1142638155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-0.13445378151260354</v>
      </c>
      <c r="Q448">
        <f t="shared" si="975"/>
        <v>-153632020.84033442</v>
      </c>
      <c r="R448">
        <f t="shared" si="976"/>
        <v>-591208541.21889901</v>
      </c>
      <c r="S448">
        <f t="shared" si="977"/>
        <v>-5912.0854121889897</v>
      </c>
      <c r="T448">
        <f t="shared" si="978"/>
        <v>-5.9120854121889899</v>
      </c>
    </row>
    <row r="449" spans="1:20" x14ac:dyDescent="0.25">
      <c r="A449" s="5">
        <v>44144</v>
      </c>
      <c r="B449">
        <v>4.6920000000000002E-4</v>
      </c>
      <c r="C449">
        <v>4.7810000000000002E-4</v>
      </c>
      <c r="D449">
        <v>4.5780000000000001E-4</v>
      </c>
      <c r="E449">
        <v>4.7029999999999999E-4</v>
      </c>
      <c r="F449">
        <v>877745315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0.23152709359605667</v>
      </c>
      <c r="Q449">
        <f t="shared" si="975"/>
        <v>203221821.69950524</v>
      </c>
      <c r="R449">
        <f t="shared" si="976"/>
        <v>-437576520.3785646</v>
      </c>
      <c r="S449">
        <f t="shared" si="977"/>
        <v>-4375.765203785646</v>
      </c>
      <c r="T449">
        <f t="shared" si="978"/>
        <v>-4.3757652037856456</v>
      </c>
    </row>
    <row r="450" spans="1:20" x14ac:dyDescent="0.25">
      <c r="A450" s="5">
        <v>44143</v>
      </c>
      <c r="B450">
        <v>4.5849999999999998E-4</v>
      </c>
      <c r="C450">
        <v>4.75E-4</v>
      </c>
      <c r="D450">
        <v>4.5219999999999999E-4</v>
      </c>
      <c r="E450">
        <v>4.6930000000000002E-4</v>
      </c>
      <c r="F450">
        <v>526678561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0.50000000000000233</v>
      </c>
      <c r="Q450">
        <f t="shared" si="975"/>
        <v>263339280.50000122</v>
      </c>
      <c r="R450">
        <f t="shared" si="976"/>
        <v>-640798342.07806981</v>
      </c>
      <c r="S450">
        <f t="shared" si="977"/>
        <v>-6407.983420780698</v>
      </c>
      <c r="T450">
        <f t="shared" si="978"/>
        <v>-6.407983420780698</v>
      </c>
    </row>
    <row r="451" spans="1:20" x14ac:dyDescent="0.25">
      <c r="A451" s="5">
        <v>44142</v>
      </c>
      <c r="B451">
        <v>4.6959999999999998E-4</v>
      </c>
      <c r="C451">
        <v>5.0460000000000001E-4</v>
      </c>
      <c r="D451">
        <v>4.4509999999999998E-4</v>
      </c>
      <c r="E451">
        <v>4.5780000000000001E-4</v>
      </c>
      <c r="F451">
        <v>1682406390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-0.57310924369747795</v>
      </c>
      <c r="Q451">
        <f t="shared" si="975"/>
        <v>-964202653.76470411</v>
      </c>
      <c r="R451">
        <f t="shared" si="976"/>
        <v>-904137622.578071</v>
      </c>
      <c r="S451">
        <f t="shared" si="977"/>
        <v>-9041.3762257807102</v>
      </c>
      <c r="T451">
        <f t="shared" si="978"/>
        <v>-9.0413762257807111</v>
      </c>
    </row>
    <row r="452" spans="1:20" x14ac:dyDescent="0.25">
      <c r="A452" s="5">
        <v>44141</v>
      </c>
      <c r="B452">
        <v>4.3829999999999997E-4</v>
      </c>
      <c r="C452">
        <v>4.7790000000000002E-4</v>
      </c>
      <c r="D452">
        <v>4.2749999999999998E-4</v>
      </c>
      <c r="E452">
        <v>4.6989999999999998E-4</v>
      </c>
      <c r="F452">
        <v>2628094794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0.68253968253968145</v>
      </c>
      <c r="Q452">
        <f t="shared" si="975"/>
        <v>1793778986.3809495</v>
      </c>
      <c r="R452">
        <f t="shared" si="976"/>
        <v>60065031.18663311</v>
      </c>
      <c r="S452">
        <f t="shared" si="977"/>
        <v>600.65031186633109</v>
      </c>
      <c r="T452">
        <f t="shared" si="978"/>
        <v>0.60065031186633111</v>
      </c>
    </row>
    <row r="453" spans="1:20" x14ac:dyDescent="0.25">
      <c r="A453" s="5">
        <v>44140</v>
      </c>
      <c r="B453">
        <v>4.3970000000000001E-4</v>
      </c>
      <c r="C453">
        <v>4.4799999999999999E-4</v>
      </c>
      <c r="D453">
        <v>4.3140000000000002E-4</v>
      </c>
      <c r="E453">
        <v>4.3740000000000001E-4</v>
      </c>
      <c r="F453">
        <v>1567262976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-0.27710843373494048</v>
      </c>
      <c r="Q453">
        <f t="shared" si="975"/>
        <v>-434301788.53012162</v>
      </c>
      <c r="R453">
        <f t="shared" si="976"/>
        <v>-1733713955.1943164</v>
      </c>
      <c r="S453">
        <f t="shared" si="977"/>
        <v>-17337.139551943164</v>
      </c>
      <c r="T453">
        <f t="shared" si="978"/>
        <v>-17.337139551943164</v>
      </c>
    </row>
    <row r="454" spans="1:20" x14ac:dyDescent="0.25">
      <c r="A454" s="5">
        <v>44139</v>
      </c>
      <c r="B454">
        <v>4.4020000000000002E-4</v>
      </c>
      <c r="C454">
        <v>4.504E-4</v>
      </c>
      <c r="D454">
        <v>4.3520000000000001E-4</v>
      </c>
      <c r="E454">
        <v>4.4030000000000002E-4</v>
      </c>
      <c r="F454">
        <v>346770500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-0.32894736842105016</v>
      </c>
      <c r="Q454">
        <f t="shared" ref="Q454:Q517" si="980">F454*P454</f>
        <v>-114069243.42105177</v>
      </c>
      <c r="R454">
        <f t="shared" ref="R454:R517" si="981">R455+Q454</f>
        <v>-1299412166.6641948</v>
      </c>
      <c r="S454">
        <f t="shared" ref="S454:S517" si="982">R454/100000</f>
        <v>-12994.121666641948</v>
      </c>
      <c r="T454">
        <f t="shared" ref="T454:T517" si="983">S454/1000</f>
        <v>-12.994121666641949</v>
      </c>
    </row>
    <row r="455" spans="1:20" x14ac:dyDescent="0.25">
      <c r="A455" s="5">
        <v>44138</v>
      </c>
      <c r="B455">
        <v>4.3879999999999999E-4</v>
      </c>
      <c r="C455">
        <v>4.4450000000000002E-4</v>
      </c>
      <c r="D455">
        <v>4.2509999999999998E-4</v>
      </c>
      <c r="E455">
        <v>4.3980000000000001E-4</v>
      </c>
      <c r="F455">
        <v>317356805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0.51546391752577359</v>
      </c>
      <c r="Q455">
        <f t="shared" si="980"/>
        <v>163585981.958763</v>
      </c>
      <c r="R455">
        <f t="shared" si="981"/>
        <v>-1185342923.2431431</v>
      </c>
      <c r="S455">
        <f t="shared" si="982"/>
        <v>-11853.42923243143</v>
      </c>
      <c r="T455">
        <f t="shared" si="983"/>
        <v>-11.853429232431431</v>
      </c>
    </row>
    <row r="456" spans="1:20" x14ac:dyDescent="0.25">
      <c r="A456" s="5">
        <v>44137</v>
      </c>
      <c r="B456">
        <v>4.5169999999999997E-4</v>
      </c>
      <c r="C456">
        <v>4.6319999999999998E-4</v>
      </c>
      <c r="D456">
        <v>4.3389999999999998E-4</v>
      </c>
      <c r="E456">
        <v>4.395E-4</v>
      </c>
      <c r="F456">
        <v>604107766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-0.61774744027303574</v>
      </c>
      <c r="Q456">
        <f t="shared" si="980"/>
        <v>-373186026.09556204</v>
      </c>
      <c r="R456">
        <f t="shared" si="981"/>
        <v>-1348928905.2019062</v>
      </c>
      <c r="S456">
        <f t="shared" si="982"/>
        <v>-13489.289052019061</v>
      </c>
      <c r="T456">
        <f t="shared" si="983"/>
        <v>-13.48928905201906</v>
      </c>
    </row>
    <row r="457" spans="1:20" x14ac:dyDescent="0.25">
      <c r="A457" s="5">
        <v>44136</v>
      </c>
      <c r="B457">
        <v>4.5019999999999999E-4</v>
      </c>
      <c r="C457">
        <v>4.5899999999999999E-4</v>
      </c>
      <c r="D457">
        <v>4.4180000000000001E-4</v>
      </c>
      <c r="E457">
        <v>4.5130000000000002E-4</v>
      </c>
      <c r="F457">
        <v>273102006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0.10465116279070032</v>
      </c>
      <c r="Q457">
        <f t="shared" si="980"/>
        <v>28580442.488372814</v>
      </c>
      <c r="R457">
        <f t="shared" si="981"/>
        <v>-975742879.10634422</v>
      </c>
      <c r="S457">
        <f t="shared" si="982"/>
        <v>-9757.428791063443</v>
      </c>
      <c r="T457">
        <f t="shared" si="983"/>
        <v>-9.7574287910634432</v>
      </c>
    </row>
    <row r="458" spans="1:20" x14ac:dyDescent="0.25">
      <c r="A458" s="5">
        <v>44135</v>
      </c>
      <c r="B458">
        <v>4.4719999999999997E-4</v>
      </c>
      <c r="C458">
        <v>4.5750000000000001E-4</v>
      </c>
      <c r="D458">
        <v>4.4299999999999998E-4</v>
      </c>
      <c r="E458">
        <v>4.4989999999999999E-4</v>
      </c>
      <c r="F458">
        <v>305912702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-4.8275862068966599E-2</v>
      </c>
      <c r="Q458">
        <f t="shared" si="980"/>
        <v>-14768199.406896882</v>
      </c>
      <c r="R458">
        <f t="shared" si="981"/>
        <v>-1004323321.594717</v>
      </c>
      <c r="S458">
        <f t="shared" si="982"/>
        <v>-10043.23321594717</v>
      </c>
      <c r="T458">
        <f t="shared" si="983"/>
        <v>-10.04323321594717</v>
      </c>
    </row>
    <row r="459" spans="1:20" x14ac:dyDescent="0.25">
      <c r="A459" s="5">
        <v>44134</v>
      </c>
      <c r="B459">
        <v>4.572E-4</v>
      </c>
      <c r="C459">
        <v>4.5790000000000002E-4</v>
      </c>
      <c r="D459">
        <v>4.3239999999999999E-4</v>
      </c>
      <c r="E459">
        <v>4.483E-4</v>
      </c>
      <c r="F459">
        <v>387133493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0.24705882352941116</v>
      </c>
      <c r="Q459">
        <f t="shared" si="980"/>
        <v>95644745.329411536</v>
      </c>
      <c r="R459">
        <f t="shared" si="981"/>
        <v>-989555122.1878202</v>
      </c>
      <c r="S459">
        <f t="shared" si="982"/>
        <v>-9895.5512218782023</v>
      </c>
      <c r="T459">
        <f t="shared" si="983"/>
        <v>-9.8955512218782022</v>
      </c>
    </row>
    <row r="460" spans="1:20" x14ac:dyDescent="0.25">
      <c r="A460" s="5">
        <v>44133</v>
      </c>
      <c r="B460">
        <v>4.638E-4</v>
      </c>
      <c r="C460">
        <v>4.6999999999999999E-4</v>
      </c>
      <c r="D460">
        <v>4.529E-4</v>
      </c>
      <c r="E460">
        <v>4.5580000000000002E-4</v>
      </c>
      <c r="F460">
        <v>478977843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-0.66081871345029009</v>
      </c>
      <c r="Q460">
        <f t="shared" si="980"/>
        <v>-316517521.98245502</v>
      </c>
      <c r="R460">
        <f t="shared" si="981"/>
        <v>-1085199867.5172317</v>
      </c>
      <c r="S460">
        <f t="shared" si="982"/>
        <v>-10851.998675172317</v>
      </c>
      <c r="T460">
        <f t="shared" si="983"/>
        <v>-10.851998675172318</v>
      </c>
    </row>
    <row r="461" spans="1:20" x14ac:dyDescent="0.25">
      <c r="A461" s="5">
        <v>44132</v>
      </c>
      <c r="B461">
        <v>4.9129999999999996E-4</v>
      </c>
      <c r="C461">
        <v>4.9709999999999999E-4</v>
      </c>
      <c r="D461">
        <v>4.6040000000000002E-4</v>
      </c>
      <c r="E461">
        <v>4.6359999999999999E-4</v>
      </c>
      <c r="F461">
        <v>531696569</v>
      </c>
      <c r="G461">
        <v>0</v>
      </c>
      <c r="L461" t="s">
        <v>8</v>
      </c>
      <c r="M461" t="s">
        <v>8</v>
      </c>
      <c r="N461" t="s">
        <v>7</v>
      </c>
      <c r="P461">
        <f t="shared" si="979"/>
        <v>-0.8256130790190751</v>
      </c>
      <c r="Q461">
        <f t="shared" si="980"/>
        <v>-438975641.4359681</v>
      </c>
      <c r="R461">
        <f t="shared" si="981"/>
        <v>-768682345.53477669</v>
      </c>
      <c r="S461">
        <f t="shared" si="982"/>
        <v>-7686.8234553477669</v>
      </c>
      <c r="T461">
        <f t="shared" si="983"/>
        <v>-7.686823455347767</v>
      </c>
    </row>
    <row r="462" spans="1:20" x14ac:dyDescent="0.25">
      <c r="A462" s="5">
        <v>44131</v>
      </c>
      <c r="B462">
        <v>4.8349999999999999E-4</v>
      </c>
      <c r="C462">
        <v>5.1000000000000004E-4</v>
      </c>
      <c r="D462">
        <v>4.6779999999999999E-4</v>
      </c>
      <c r="E462">
        <v>4.9089999999999995E-4</v>
      </c>
      <c r="F462">
        <v>1060294484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9.4786729857816956E-2</v>
      </c>
      <c r="Q462">
        <f t="shared" si="980"/>
        <v>100501846.82464142</v>
      </c>
      <c r="R462">
        <f t="shared" si="981"/>
        <v>-329706704.09880859</v>
      </c>
      <c r="S462">
        <f t="shared" si="982"/>
        <v>-3297.0670409880859</v>
      </c>
      <c r="T462">
        <f t="shared" si="983"/>
        <v>-3.297067040988086</v>
      </c>
    </row>
    <row r="463" spans="1:20" x14ac:dyDescent="0.25">
      <c r="A463" s="5">
        <v>44130</v>
      </c>
      <c r="B463">
        <v>4.8950000000000003E-4</v>
      </c>
      <c r="C463">
        <v>4.9410000000000003E-4</v>
      </c>
      <c r="D463">
        <v>4.6460000000000002E-4</v>
      </c>
      <c r="E463">
        <v>4.8319999999999998E-4</v>
      </c>
      <c r="F463">
        <v>698809553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0.26101694915253942</v>
      </c>
      <c r="Q463">
        <f t="shared" si="980"/>
        <v>182401137.56270981</v>
      </c>
      <c r="R463">
        <f t="shared" si="981"/>
        <v>-430208550.92344999</v>
      </c>
      <c r="S463">
        <f t="shared" si="982"/>
        <v>-4302.0855092345</v>
      </c>
      <c r="T463">
        <f t="shared" si="983"/>
        <v>-4.3020855092344998</v>
      </c>
    </row>
    <row r="464" spans="1:20" x14ac:dyDescent="0.25">
      <c r="A464" s="5">
        <v>44129</v>
      </c>
      <c r="B464">
        <v>5.0299999999999997E-4</v>
      </c>
      <c r="C464">
        <v>5.042E-4</v>
      </c>
      <c r="D464">
        <v>4.8529999999999998E-4</v>
      </c>
      <c r="E464">
        <v>4.8819999999999999E-4</v>
      </c>
      <c r="F464">
        <v>475116563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-0.69312169312169181</v>
      </c>
      <c r="Q464">
        <f t="shared" si="980"/>
        <v>-329313596.57671893</v>
      </c>
      <c r="R464">
        <f t="shared" si="981"/>
        <v>-612609688.4861598</v>
      </c>
      <c r="S464">
        <f t="shared" si="982"/>
        <v>-6126.0968848615976</v>
      </c>
      <c r="T464">
        <f t="shared" si="983"/>
        <v>-6.1260968848615978</v>
      </c>
    </row>
    <row r="465" spans="1:20" x14ac:dyDescent="0.25">
      <c r="A465" s="5">
        <v>44128</v>
      </c>
      <c r="B465">
        <v>4.9819999999999997E-4</v>
      </c>
      <c r="C465">
        <v>5.2999999999999998E-4</v>
      </c>
      <c r="D465">
        <v>4.973E-4</v>
      </c>
      <c r="E465">
        <v>5.0279999999999997E-4</v>
      </c>
      <c r="F465">
        <v>854070576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-0.66360856269113311</v>
      </c>
      <c r="Q465">
        <f t="shared" si="980"/>
        <v>-566768547.3761481</v>
      </c>
      <c r="R465">
        <f t="shared" si="981"/>
        <v>-283296091.90944088</v>
      </c>
      <c r="S465">
        <f t="shared" si="982"/>
        <v>-2832.9609190944088</v>
      </c>
      <c r="T465">
        <f t="shared" si="983"/>
        <v>-2.8329609190944089</v>
      </c>
    </row>
    <row r="466" spans="1:20" x14ac:dyDescent="0.25">
      <c r="A466" s="5">
        <v>44127</v>
      </c>
      <c r="B466">
        <v>5.1800000000000001E-4</v>
      </c>
      <c r="C466">
        <v>5.2530000000000003E-4</v>
      </c>
      <c r="D466">
        <v>4.9540000000000001E-4</v>
      </c>
      <c r="E466">
        <v>4.9819999999999997E-4</v>
      </c>
      <c r="F466">
        <v>1068148522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-0.81270903010033724</v>
      </c>
      <c r="Q466">
        <f t="shared" si="980"/>
        <v>-868093949.31772876</v>
      </c>
      <c r="R466">
        <f t="shared" si="981"/>
        <v>283472455.46670723</v>
      </c>
      <c r="S466">
        <f t="shared" si="982"/>
        <v>2834.7245546670724</v>
      </c>
      <c r="T466">
        <f t="shared" si="983"/>
        <v>2.8347245546670723</v>
      </c>
    </row>
    <row r="467" spans="1:20" x14ac:dyDescent="0.25">
      <c r="A467" s="5">
        <v>44126</v>
      </c>
      <c r="B467">
        <v>5.1730000000000005E-4</v>
      </c>
      <c r="C467">
        <v>5.2990000000000003E-4</v>
      </c>
      <c r="D467">
        <v>5.0900000000000001E-4</v>
      </c>
      <c r="E467">
        <v>5.1800000000000001E-4</v>
      </c>
      <c r="F467">
        <v>773468633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-0.13875598086124466</v>
      </c>
      <c r="Q467">
        <f t="shared" si="980"/>
        <v>-107323398.83732107</v>
      </c>
      <c r="R467">
        <f t="shared" si="981"/>
        <v>1151566404.784436</v>
      </c>
      <c r="S467">
        <f t="shared" si="982"/>
        <v>11515.664047844361</v>
      </c>
      <c r="T467">
        <f t="shared" si="983"/>
        <v>11.515664047844361</v>
      </c>
    </row>
    <row r="468" spans="1:20" x14ac:dyDescent="0.25">
      <c r="A468" s="5">
        <v>44125</v>
      </c>
      <c r="B468">
        <v>4.9129999999999996E-4</v>
      </c>
      <c r="C468">
        <v>5.2800000000000004E-4</v>
      </c>
      <c r="D468">
        <v>4.8289999999999997E-4</v>
      </c>
      <c r="E468">
        <v>5.1820000000000002E-4</v>
      </c>
      <c r="F468">
        <v>1211899188</v>
      </c>
      <c r="G468">
        <v>0</v>
      </c>
      <c r="L468" t="s">
        <v>7</v>
      </c>
      <c r="M468" t="s">
        <v>8</v>
      </c>
      <c r="N468" t="s">
        <v>7</v>
      </c>
      <c r="P468">
        <f t="shared" si="979"/>
        <v>0.5654101995565407</v>
      </c>
      <c r="Q468">
        <f t="shared" si="980"/>
        <v>685220161.72948968</v>
      </c>
      <c r="R468">
        <f t="shared" si="981"/>
        <v>1258889803.621757</v>
      </c>
      <c r="S468">
        <f t="shared" si="982"/>
        <v>12588.89803621757</v>
      </c>
      <c r="T468">
        <f t="shared" si="983"/>
        <v>12.58889803621757</v>
      </c>
    </row>
    <row r="469" spans="1:20" x14ac:dyDescent="0.25">
      <c r="A469" s="5">
        <v>44124</v>
      </c>
      <c r="B469">
        <v>4.7390000000000003E-4</v>
      </c>
      <c r="C469">
        <v>4.9919999999999999E-4</v>
      </c>
      <c r="D469">
        <v>4.6559999999999999E-4</v>
      </c>
      <c r="E469">
        <v>4.9010000000000004E-4</v>
      </c>
      <c r="F469">
        <v>1112761873</v>
      </c>
      <c r="G469">
        <v>0</v>
      </c>
      <c r="L469" t="s">
        <v>8</v>
      </c>
      <c r="M469" t="s">
        <v>7</v>
      </c>
      <c r="N469" t="s">
        <v>7</v>
      </c>
      <c r="P469">
        <f t="shared" si="979"/>
        <v>0.45833333333333637</v>
      </c>
      <c r="Q469">
        <f t="shared" si="980"/>
        <v>510015858.45833671</v>
      </c>
      <c r="R469">
        <f t="shared" si="981"/>
        <v>573669641.89226723</v>
      </c>
      <c r="S469">
        <f t="shared" si="982"/>
        <v>5736.6964189226719</v>
      </c>
      <c r="T469">
        <f t="shared" si="983"/>
        <v>5.7366964189226719</v>
      </c>
    </row>
    <row r="470" spans="1:20" x14ac:dyDescent="0.25">
      <c r="A470" s="5">
        <v>44123</v>
      </c>
      <c r="B470">
        <v>4.7849999999999998E-4</v>
      </c>
      <c r="C470">
        <v>4.8589999999999999E-4</v>
      </c>
      <c r="D470">
        <v>4.4040000000000003E-4</v>
      </c>
      <c r="E470">
        <v>4.7540000000000001E-4</v>
      </c>
      <c r="F470">
        <v>542263692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0.53846153846153888</v>
      </c>
      <c r="Q470">
        <f t="shared" si="980"/>
        <v>291988141.84615409</v>
      </c>
      <c r="R470">
        <f t="shared" si="981"/>
        <v>63653783.433930486</v>
      </c>
      <c r="S470">
        <f t="shared" si="982"/>
        <v>636.53783433930482</v>
      </c>
      <c r="T470">
        <f t="shared" si="983"/>
        <v>0.63653783433930478</v>
      </c>
    </row>
    <row r="471" spans="1:20" x14ac:dyDescent="0.25">
      <c r="A471" s="5">
        <v>44122</v>
      </c>
      <c r="B471">
        <v>4.6799999999999999E-4</v>
      </c>
      <c r="C471">
        <v>4.8220000000000001E-4</v>
      </c>
      <c r="D471">
        <v>4.6500000000000003E-4</v>
      </c>
      <c r="E471">
        <v>4.7859999999999998E-4</v>
      </c>
      <c r="F471">
        <v>407630113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0.58139534883720501</v>
      </c>
      <c r="Q471">
        <f t="shared" si="980"/>
        <v>236994251.74418429</v>
      </c>
      <c r="R471">
        <f t="shared" si="981"/>
        <v>-228334358.41222361</v>
      </c>
      <c r="S471">
        <f t="shared" si="982"/>
        <v>-2283.3435841222363</v>
      </c>
      <c r="T471">
        <f t="shared" si="983"/>
        <v>-2.2833435841222363</v>
      </c>
    </row>
    <row r="472" spans="1:20" x14ac:dyDescent="0.25">
      <c r="A472" s="5">
        <v>44121</v>
      </c>
      <c r="B472">
        <v>4.5990000000000001E-4</v>
      </c>
      <c r="C472">
        <v>4.6900000000000002E-4</v>
      </c>
      <c r="D472">
        <v>4.5679999999999999E-4</v>
      </c>
      <c r="E472">
        <v>4.6880000000000001E-4</v>
      </c>
      <c r="F472">
        <v>337290879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0.96721311475409766</v>
      </c>
      <c r="Q472">
        <f t="shared" si="980"/>
        <v>326232161.65573746</v>
      </c>
      <c r="R472">
        <f t="shared" si="981"/>
        <v>-465328610.15640789</v>
      </c>
      <c r="S472">
        <f t="shared" si="982"/>
        <v>-4653.2861015640792</v>
      </c>
      <c r="T472">
        <f t="shared" si="983"/>
        <v>-4.6532861015640794</v>
      </c>
    </row>
    <row r="473" spans="1:20" x14ac:dyDescent="0.25">
      <c r="A473" s="5">
        <v>44120</v>
      </c>
      <c r="B473">
        <v>4.8000000000000001E-4</v>
      </c>
      <c r="C473">
        <v>4.8999999999999998E-4</v>
      </c>
      <c r="D473">
        <v>4.5399999999999998E-4</v>
      </c>
      <c r="E473">
        <v>4.6000000000000001E-4</v>
      </c>
      <c r="F473">
        <v>481237213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-0.66666666666666463</v>
      </c>
      <c r="Q473">
        <f t="shared" si="980"/>
        <v>-320824808.66666567</v>
      </c>
      <c r="R473">
        <f t="shared" si="981"/>
        <v>-791560771.81214535</v>
      </c>
      <c r="S473">
        <f t="shared" si="982"/>
        <v>-7915.6077181214532</v>
      </c>
      <c r="T473">
        <f t="shared" si="983"/>
        <v>-7.9156077181214535</v>
      </c>
    </row>
    <row r="474" spans="1:20" x14ac:dyDescent="0.25">
      <c r="A474" s="5">
        <v>44119</v>
      </c>
      <c r="B474">
        <v>4.797E-4</v>
      </c>
      <c r="C474">
        <v>4.8289999999999997E-4</v>
      </c>
      <c r="D474">
        <v>4.6480000000000002E-4</v>
      </c>
      <c r="E474">
        <v>4.8000000000000001E-4</v>
      </c>
      <c r="F474">
        <v>452058575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0.67955801104972713</v>
      </c>
      <c r="Q474">
        <f t="shared" si="980"/>
        <v>307200026.10497391</v>
      </c>
      <c r="R474">
        <f t="shared" si="981"/>
        <v>-470735963.14547968</v>
      </c>
      <c r="S474">
        <f t="shared" si="982"/>
        <v>-4707.3596314547967</v>
      </c>
      <c r="T474">
        <f t="shared" si="983"/>
        <v>-4.7073596314547963</v>
      </c>
    </row>
    <row r="475" spans="1:20" x14ac:dyDescent="0.25">
      <c r="A475" s="5">
        <v>44118</v>
      </c>
      <c r="B475">
        <v>4.8819999999999999E-4</v>
      </c>
      <c r="C475">
        <v>4.9350000000000002E-4</v>
      </c>
      <c r="D475">
        <v>4.7259999999999999E-4</v>
      </c>
      <c r="E475">
        <v>4.793E-4</v>
      </c>
      <c r="F475">
        <v>341863652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-0.35885167464114892</v>
      </c>
      <c r="Q475">
        <f t="shared" si="980"/>
        <v>-122678344.01913896</v>
      </c>
      <c r="R475">
        <f t="shared" si="981"/>
        <v>-777935989.25045359</v>
      </c>
      <c r="S475">
        <f t="shared" si="982"/>
        <v>-7779.3598925045362</v>
      </c>
      <c r="T475">
        <f t="shared" si="983"/>
        <v>-7.7793598925045364</v>
      </c>
    </row>
    <row r="476" spans="1:20" x14ac:dyDescent="0.25">
      <c r="A476" s="5">
        <v>44117</v>
      </c>
      <c r="B476">
        <v>5.0710000000000002E-4</v>
      </c>
      <c r="C476">
        <v>5.086E-4</v>
      </c>
      <c r="D476">
        <v>4.8260000000000002E-4</v>
      </c>
      <c r="E476">
        <v>4.8819999999999999E-4</v>
      </c>
      <c r="F476">
        <v>539649502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-0.56923076923077098</v>
      </c>
      <c r="Q476">
        <f t="shared" si="980"/>
        <v>-307185101.13846248</v>
      </c>
      <c r="R476">
        <f t="shared" si="981"/>
        <v>-655257645.23131466</v>
      </c>
      <c r="S476">
        <f t="shared" si="982"/>
        <v>-6552.5764523131465</v>
      </c>
      <c r="T476">
        <f t="shared" si="983"/>
        <v>-6.5525764523131462</v>
      </c>
    </row>
    <row r="477" spans="1:20" x14ac:dyDescent="0.25">
      <c r="A477" s="5">
        <v>44116</v>
      </c>
      <c r="B477">
        <v>4.9700000000000005E-4</v>
      </c>
      <c r="C477">
        <v>5.5000000000000003E-4</v>
      </c>
      <c r="D477">
        <v>4.9350000000000002E-4</v>
      </c>
      <c r="E477">
        <v>5.0710000000000002E-4</v>
      </c>
      <c r="F477">
        <v>904347582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-0.51858407079646018</v>
      </c>
      <c r="Q477">
        <f t="shared" si="980"/>
        <v>-468980250.48849559</v>
      </c>
      <c r="R477">
        <f t="shared" si="981"/>
        <v>-348072544.09285212</v>
      </c>
      <c r="S477">
        <f t="shared" si="982"/>
        <v>-3480.725440928521</v>
      </c>
      <c r="T477">
        <f t="shared" si="983"/>
        <v>-3.4807254409285209</v>
      </c>
    </row>
    <row r="478" spans="1:20" x14ac:dyDescent="0.25">
      <c r="A478" s="5">
        <v>44115</v>
      </c>
      <c r="B478">
        <v>4.6690000000000002E-4</v>
      </c>
      <c r="C478">
        <v>5.2499999999999997E-4</v>
      </c>
      <c r="D478">
        <v>4.6480000000000002E-4</v>
      </c>
      <c r="E478">
        <v>4.9700000000000005E-4</v>
      </c>
      <c r="F478">
        <v>1245777927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6.9767441860466878E-2</v>
      </c>
      <c r="Q478">
        <f t="shared" si="980"/>
        <v>86914739.093025446</v>
      </c>
      <c r="R478">
        <f t="shared" si="981"/>
        <v>120907706.39564347</v>
      </c>
      <c r="S478">
        <f t="shared" si="982"/>
        <v>1209.0770639564348</v>
      </c>
      <c r="T478">
        <f t="shared" si="983"/>
        <v>1.2090770639564348</v>
      </c>
    </row>
    <row r="479" spans="1:20" x14ac:dyDescent="0.25">
      <c r="A479" s="5">
        <v>44114</v>
      </c>
      <c r="B479">
        <v>4.7610000000000003E-4</v>
      </c>
      <c r="C479">
        <v>4.8809999999999999E-4</v>
      </c>
      <c r="D479">
        <v>4.6359999999999999E-4</v>
      </c>
      <c r="E479">
        <v>4.6910000000000002E-4</v>
      </c>
      <c r="F479">
        <v>664825132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-0.55102040816326325</v>
      </c>
      <c r="Q479">
        <f t="shared" si="980"/>
        <v>-366332215.59183538</v>
      </c>
      <c r="R479">
        <f t="shared" si="981"/>
        <v>33992967.302618027</v>
      </c>
      <c r="S479">
        <f t="shared" si="982"/>
        <v>339.92967302618024</v>
      </c>
      <c r="T479">
        <f t="shared" si="983"/>
        <v>0.33992967302618021</v>
      </c>
    </row>
    <row r="480" spans="1:20" x14ac:dyDescent="0.25">
      <c r="A480" s="5">
        <v>44113</v>
      </c>
      <c r="B480">
        <v>4.6139999999999999E-4</v>
      </c>
      <c r="C480">
        <v>4.7889999999999999E-4</v>
      </c>
      <c r="D480">
        <v>4.5689999999999999E-4</v>
      </c>
      <c r="E480">
        <v>4.7610000000000003E-4</v>
      </c>
      <c r="F480">
        <v>1006361466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0.74545454545454903</v>
      </c>
      <c r="Q480">
        <f t="shared" si="980"/>
        <v>750196729.20000362</v>
      </c>
      <c r="R480">
        <f t="shared" si="981"/>
        <v>400325182.89445341</v>
      </c>
      <c r="S480">
        <f t="shared" si="982"/>
        <v>4003.2518289445343</v>
      </c>
      <c r="T480">
        <f t="shared" si="983"/>
        <v>4.003251828944534</v>
      </c>
    </row>
    <row r="481" spans="1:20" x14ac:dyDescent="0.25">
      <c r="A481" s="5">
        <v>44112</v>
      </c>
      <c r="B481">
        <v>4.482E-4</v>
      </c>
      <c r="C481">
        <v>4.6500000000000003E-4</v>
      </c>
      <c r="D481">
        <v>4.036E-4</v>
      </c>
      <c r="E481">
        <v>4.6220000000000001E-4</v>
      </c>
      <c r="F481">
        <v>610505732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0.90879478827361526</v>
      </c>
      <c r="Q481">
        <f t="shared" si="980"/>
        <v>554824427.45276845</v>
      </c>
      <c r="R481">
        <f t="shared" si="981"/>
        <v>-349871546.30555022</v>
      </c>
      <c r="S481">
        <f t="shared" si="982"/>
        <v>-3498.7154630555024</v>
      </c>
      <c r="T481">
        <f t="shared" si="983"/>
        <v>-3.4987154630555022</v>
      </c>
    </row>
    <row r="482" spans="1:20" x14ac:dyDescent="0.25">
      <c r="A482" s="5">
        <v>44111</v>
      </c>
      <c r="B482">
        <v>4.3859999999999998E-4</v>
      </c>
      <c r="C482">
        <v>4.5689999999999999E-4</v>
      </c>
      <c r="D482">
        <v>4.2709999999999997E-4</v>
      </c>
      <c r="E482">
        <v>4.4710000000000003E-4</v>
      </c>
      <c r="F482">
        <v>396004494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0.34228187919463349</v>
      </c>
      <c r="Q482">
        <f t="shared" si="980"/>
        <v>135545162.37583995</v>
      </c>
      <c r="R482">
        <f t="shared" si="981"/>
        <v>-904695973.75831866</v>
      </c>
      <c r="S482">
        <f t="shared" si="982"/>
        <v>-9046.9597375831872</v>
      </c>
      <c r="T482">
        <f t="shared" si="983"/>
        <v>-9.0469597375831867</v>
      </c>
    </row>
    <row r="483" spans="1:20" x14ac:dyDescent="0.25">
      <c r="A483" s="5">
        <v>44110</v>
      </c>
      <c r="B483">
        <v>4.5520000000000001E-4</v>
      </c>
      <c r="C483">
        <v>4.6279999999999997E-4</v>
      </c>
      <c r="D483">
        <v>4.3800000000000002E-4</v>
      </c>
      <c r="E483">
        <v>4.392E-4</v>
      </c>
      <c r="F483">
        <v>462167876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-0.90322580645161477</v>
      </c>
      <c r="Q483">
        <f t="shared" si="980"/>
        <v>-417441952.51612991</v>
      </c>
      <c r="R483">
        <f t="shared" si="981"/>
        <v>-1040241136.1341586</v>
      </c>
      <c r="S483">
        <f t="shared" si="982"/>
        <v>-10402.411361341587</v>
      </c>
      <c r="T483">
        <f t="shared" si="983"/>
        <v>-10.402411361341587</v>
      </c>
    </row>
    <row r="484" spans="1:20" x14ac:dyDescent="0.25">
      <c r="A484" s="5">
        <v>44109</v>
      </c>
      <c r="B484">
        <v>4.6220000000000001E-4</v>
      </c>
      <c r="C484">
        <v>4.8000000000000001E-4</v>
      </c>
      <c r="D484">
        <v>4.4979999999999998E-4</v>
      </c>
      <c r="E484">
        <v>4.551E-4</v>
      </c>
      <c r="F484">
        <v>732028696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-0.64900662251655528</v>
      </c>
      <c r="Q484">
        <f t="shared" si="980"/>
        <v>-475091471.57615823</v>
      </c>
      <c r="R484">
        <f t="shared" si="981"/>
        <v>-622799183.61802864</v>
      </c>
      <c r="S484">
        <f t="shared" si="982"/>
        <v>-6227.9918361802866</v>
      </c>
      <c r="T484">
        <f t="shared" si="983"/>
        <v>-6.2279918361802862</v>
      </c>
    </row>
    <row r="485" spans="1:20" x14ac:dyDescent="0.25">
      <c r="A485" s="5">
        <v>44108</v>
      </c>
      <c r="B485">
        <v>4.6250000000000002E-4</v>
      </c>
      <c r="C485">
        <v>4.7120000000000002E-4</v>
      </c>
      <c r="D485">
        <v>4.5560000000000002E-4</v>
      </c>
      <c r="E485">
        <v>4.6500000000000003E-4</v>
      </c>
      <c r="F485">
        <v>284544453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0.20512820512820665</v>
      </c>
      <c r="Q485">
        <f t="shared" si="980"/>
        <v>58368092.923077352</v>
      </c>
      <c r="R485">
        <f t="shared" si="981"/>
        <v>-147707712.04187036</v>
      </c>
      <c r="S485">
        <f t="shared" si="982"/>
        <v>-1477.0771204187035</v>
      </c>
      <c r="T485">
        <f t="shared" si="983"/>
        <v>-1.4770771204187036</v>
      </c>
    </row>
    <row r="486" spans="1:20" x14ac:dyDescent="0.25">
      <c r="A486" s="5">
        <v>44107</v>
      </c>
      <c r="B486">
        <v>4.685E-4</v>
      </c>
      <c r="C486">
        <v>4.7360000000000002E-4</v>
      </c>
      <c r="D486">
        <v>4.5219999999999999E-4</v>
      </c>
      <c r="E486">
        <v>4.6250000000000002E-4</v>
      </c>
      <c r="F486">
        <v>301339548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-3.7383177570091776E-2</v>
      </c>
      <c r="Q486">
        <f t="shared" si="980"/>
        <v>-11265029.831775194</v>
      </c>
      <c r="R486">
        <f t="shared" si="981"/>
        <v>-206075804.9649477</v>
      </c>
      <c r="S486">
        <f t="shared" si="982"/>
        <v>-2060.758049649477</v>
      </c>
      <c r="T486">
        <f t="shared" si="983"/>
        <v>-2.0607580496494768</v>
      </c>
    </row>
    <row r="487" spans="1:20" x14ac:dyDescent="0.25">
      <c r="A487" s="5">
        <v>44106</v>
      </c>
      <c r="B487">
        <v>4.6989999999999998E-4</v>
      </c>
      <c r="C487">
        <v>4.7419999999999998E-4</v>
      </c>
      <c r="D487">
        <v>4.392E-4</v>
      </c>
      <c r="E487">
        <v>4.7100000000000001E-4</v>
      </c>
      <c r="F487">
        <v>675935853</v>
      </c>
      <c r="G487">
        <v>0</v>
      </c>
      <c r="L487" t="s">
        <v>8</v>
      </c>
      <c r="M487" t="s">
        <v>7</v>
      </c>
      <c r="N487" t="s">
        <v>7</v>
      </c>
      <c r="P487">
        <f t="shared" si="979"/>
        <v>0.81714285714285884</v>
      </c>
      <c r="Q487">
        <f t="shared" si="980"/>
        <v>552336154.16571546</v>
      </c>
      <c r="R487">
        <f t="shared" si="981"/>
        <v>-194810775.13317251</v>
      </c>
      <c r="S487">
        <f t="shared" si="982"/>
        <v>-1948.107751331725</v>
      </c>
      <c r="T487">
        <f t="shared" si="983"/>
        <v>-1.9481077513317251</v>
      </c>
    </row>
    <row r="488" spans="1:20" x14ac:dyDescent="0.25">
      <c r="A488" s="5">
        <v>44105</v>
      </c>
      <c r="B488">
        <v>4.8040000000000002E-4</v>
      </c>
      <c r="C488">
        <v>4.9069999999999995E-4</v>
      </c>
      <c r="D488">
        <v>4.6010000000000002E-4</v>
      </c>
      <c r="E488">
        <v>4.7199999999999998E-4</v>
      </c>
      <c r="F488">
        <v>782712365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-0.22222222222222282</v>
      </c>
      <c r="Q488">
        <f t="shared" si="980"/>
        <v>-173936081.11111158</v>
      </c>
      <c r="R488">
        <f t="shared" si="981"/>
        <v>-747146929.29888797</v>
      </c>
      <c r="S488">
        <f t="shared" si="982"/>
        <v>-7471.4692929888797</v>
      </c>
      <c r="T488">
        <f t="shared" si="983"/>
        <v>-7.4714692929888793</v>
      </c>
    </row>
    <row r="489" spans="1:20" x14ac:dyDescent="0.25">
      <c r="A489" s="5">
        <v>44104</v>
      </c>
      <c r="B489">
        <v>4.7679999999999999E-4</v>
      </c>
      <c r="C489">
        <v>4.8739999999999998E-4</v>
      </c>
      <c r="D489">
        <v>4.7140000000000002E-4</v>
      </c>
      <c r="E489">
        <v>4.8040000000000002E-4</v>
      </c>
      <c r="F489">
        <v>370778260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0.12500000000000339</v>
      </c>
      <c r="Q489">
        <f t="shared" si="980"/>
        <v>46347282.500001259</v>
      </c>
      <c r="R489">
        <f t="shared" si="981"/>
        <v>-573210848.18777645</v>
      </c>
      <c r="S489">
        <f t="shared" si="982"/>
        <v>-5732.1084818777645</v>
      </c>
      <c r="T489">
        <f t="shared" si="983"/>
        <v>-5.7321084818777646</v>
      </c>
    </row>
    <row r="490" spans="1:20" x14ac:dyDescent="0.25">
      <c r="A490" s="5">
        <v>44103</v>
      </c>
      <c r="B490">
        <v>4.7259999999999999E-4</v>
      </c>
      <c r="C490">
        <v>4.973E-4</v>
      </c>
      <c r="D490">
        <v>4.6509999999999998E-4</v>
      </c>
      <c r="E490">
        <v>4.8000000000000001E-4</v>
      </c>
      <c r="F490">
        <v>883636587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-7.4534161490681622E-2</v>
      </c>
      <c r="Q490">
        <f t="shared" si="980"/>
        <v>-65861112.07453274</v>
      </c>
      <c r="R490">
        <f t="shared" si="981"/>
        <v>-619558130.68777776</v>
      </c>
      <c r="S490">
        <f t="shared" si="982"/>
        <v>-6195.5813068777779</v>
      </c>
      <c r="T490">
        <f t="shared" si="983"/>
        <v>-6.1955813068777781</v>
      </c>
    </row>
    <row r="491" spans="1:20" x14ac:dyDescent="0.25">
      <c r="A491" s="5">
        <v>44102</v>
      </c>
      <c r="B491">
        <v>4.7679999999999999E-4</v>
      </c>
      <c r="C491">
        <v>4.9100000000000001E-4</v>
      </c>
      <c r="D491">
        <v>4.7120000000000002E-4</v>
      </c>
      <c r="E491">
        <v>4.7469999999999999E-4</v>
      </c>
      <c r="F491">
        <v>764017602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-0.64646464646464874</v>
      </c>
      <c r="Q491">
        <f t="shared" si="980"/>
        <v>-493910368.96969873</v>
      </c>
      <c r="R491">
        <f t="shared" si="981"/>
        <v>-553697018.61324501</v>
      </c>
      <c r="S491">
        <f t="shared" si="982"/>
        <v>-5536.9701861324502</v>
      </c>
      <c r="T491">
        <f t="shared" si="983"/>
        <v>-5.5369701861324501</v>
      </c>
    </row>
    <row r="492" spans="1:20" x14ac:dyDescent="0.25">
      <c r="A492" s="5">
        <v>44101</v>
      </c>
      <c r="B492">
        <v>4.9100000000000001E-4</v>
      </c>
      <c r="C492">
        <v>4.9980000000000001E-4</v>
      </c>
      <c r="D492">
        <v>4.6700000000000002E-4</v>
      </c>
      <c r="E492">
        <v>4.7320000000000001E-4</v>
      </c>
      <c r="F492">
        <v>903381869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-0.62195121951219567</v>
      </c>
      <c r="Q492">
        <f t="shared" si="980"/>
        <v>-561859455.10975659</v>
      </c>
      <c r="R492">
        <f t="shared" si="981"/>
        <v>-59786649.643546343</v>
      </c>
      <c r="S492">
        <f t="shared" si="982"/>
        <v>-597.86649643546343</v>
      </c>
      <c r="T492">
        <f t="shared" si="983"/>
        <v>-0.59786649643546341</v>
      </c>
    </row>
    <row r="493" spans="1:20" x14ac:dyDescent="0.25">
      <c r="A493" s="5">
        <v>44100</v>
      </c>
      <c r="B493">
        <v>4.9470000000000004E-4</v>
      </c>
      <c r="C493">
        <v>5.0020000000000002E-4</v>
      </c>
      <c r="D493">
        <v>4.885E-4</v>
      </c>
      <c r="E493">
        <v>4.9249999999999999E-4</v>
      </c>
      <c r="F493">
        <v>436924680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-0.31623931623931895</v>
      </c>
      <c r="Q493">
        <f t="shared" si="980"/>
        <v>-138172762.05128324</v>
      </c>
      <c r="R493">
        <f t="shared" si="981"/>
        <v>502072805.46621025</v>
      </c>
      <c r="S493">
        <f t="shared" si="982"/>
        <v>5020.7280546621023</v>
      </c>
      <c r="T493">
        <f t="shared" si="983"/>
        <v>5.0207280546621025</v>
      </c>
    </row>
    <row r="494" spans="1:20" x14ac:dyDescent="0.25">
      <c r="A494" s="5">
        <v>44099</v>
      </c>
      <c r="B494">
        <v>4.8859999999999995E-4</v>
      </c>
      <c r="C494">
        <v>4.9989999999999995E-4</v>
      </c>
      <c r="D494">
        <v>4.7199999999999998E-4</v>
      </c>
      <c r="E494">
        <v>4.9140000000000002E-4</v>
      </c>
      <c r="F494">
        <v>696294815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0.39068100358423341</v>
      </c>
      <c r="Q494">
        <f t="shared" si="980"/>
        <v>272029157.11469811</v>
      </c>
      <c r="R494">
        <f t="shared" si="981"/>
        <v>640245567.51749349</v>
      </c>
      <c r="S494">
        <f t="shared" si="982"/>
        <v>6402.4556751749351</v>
      </c>
      <c r="T494">
        <f t="shared" si="983"/>
        <v>6.4024556751749353</v>
      </c>
    </row>
    <row r="495" spans="1:20" x14ac:dyDescent="0.25">
      <c r="A495" s="5">
        <v>44098</v>
      </c>
      <c r="B495">
        <v>4.528E-4</v>
      </c>
      <c r="C495">
        <v>5.0940000000000002E-4</v>
      </c>
      <c r="D495">
        <v>4.4969999999999998E-4</v>
      </c>
      <c r="E495">
        <v>4.8840000000000005E-4</v>
      </c>
      <c r="F495">
        <v>884792685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0.29648241206030307</v>
      </c>
      <c r="Q495">
        <f t="shared" si="980"/>
        <v>262325469.42211193</v>
      </c>
      <c r="R495">
        <f t="shared" si="981"/>
        <v>368216410.40279543</v>
      </c>
      <c r="S495">
        <f t="shared" si="982"/>
        <v>3682.1641040279542</v>
      </c>
      <c r="T495">
        <f t="shared" si="983"/>
        <v>3.682164104027954</v>
      </c>
    </row>
    <row r="496" spans="1:20" x14ac:dyDescent="0.25">
      <c r="A496" s="5">
        <v>44097</v>
      </c>
      <c r="B496">
        <v>4.8730000000000003E-4</v>
      </c>
      <c r="C496">
        <v>4.9229999999999999E-4</v>
      </c>
      <c r="D496">
        <v>4.5209999999999998E-4</v>
      </c>
      <c r="E496">
        <v>4.5409999999999998E-4</v>
      </c>
      <c r="F496">
        <v>571371212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-0.90049751243781118</v>
      </c>
      <c r="Q496">
        <f t="shared" si="980"/>
        <v>-514518355.08457726</v>
      </c>
      <c r="R496">
        <f t="shared" si="981"/>
        <v>105890940.98068351</v>
      </c>
      <c r="S496">
        <f t="shared" si="982"/>
        <v>1058.9094098068351</v>
      </c>
      <c r="T496">
        <f t="shared" si="983"/>
        <v>1.0589094098068352</v>
      </c>
    </row>
    <row r="497" spans="1:20" x14ac:dyDescent="0.25">
      <c r="A497" s="5">
        <v>44096</v>
      </c>
      <c r="B497">
        <v>4.8799999999999999E-4</v>
      </c>
      <c r="C497">
        <v>4.9220000000000004E-4</v>
      </c>
      <c r="D497">
        <v>4.5760000000000001E-4</v>
      </c>
      <c r="E497">
        <v>4.8779999999999998E-4</v>
      </c>
      <c r="F497">
        <v>664358328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0.74566473988439019</v>
      </c>
      <c r="Q497">
        <f t="shared" si="980"/>
        <v>495388579.83814836</v>
      </c>
      <c r="R497">
        <f t="shared" si="981"/>
        <v>620409296.06526077</v>
      </c>
      <c r="S497">
        <f t="shared" si="982"/>
        <v>6204.0929606526079</v>
      </c>
      <c r="T497">
        <f t="shared" si="983"/>
        <v>6.2040929606526083</v>
      </c>
    </row>
    <row r="498" spans="1:20" x14ac:dyDescent="0.25">
      <c r="A498" s="5">
        <v>44095</v>
      </c>
      <c r="B498">
        <v>5.262E-4</v>
      </c>
      <c r="C498">
        <v>5.3640000000000003E-4</v>
      </c>
      <c r="D498">
        <v>4.5199999999999998E-4</v>
      </c>
      <c r="E498">
        <v>4.8440000000000001E-4</v>
      </c>
      <c r="F498">
        <v>1798263229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-0.2322274881516585</v>
      </c>
      <c r="Q498">
        <f t="shared" si="980"/>
        <v>-417606152.70616066</v>
      </c>
      <c r="R498">
        <f t="shared" si="981"/>
        <v>125020716.22711241</v>
      </c>
      <c r="S498">
        <f t="shared" si="982"/>
        <v>1250.2071622711242</v>
      </c>
      <c r="T498">
        <f t="shared" si="983"/>
        <v>1.2502071622711242</v>
      </c>
    </row>
    <row r="499" spans="1:20" x14ac:dyDescent="0.25">
      <c r="A499" s="5">
        <v>44094</v>
      </c>
      <c r="B499">
        <v>5.3459999999999998E-4</v>
      </c>
      <c r="C499">
        <v>5.5000000000000003E-4</v>
      </c>
      <c r="D499">
        <v>5.1699999999999999E-4</v>
      </c>
      <c r="E499">
        <v>5.2550000000000003E-4</v>
      </c>
      <c r="F499">
        <v>794968510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-0.48484848484848286</v>
      </c>
      <c r="Q499">
        <f t="shared" si="980"/>
        <v>-385439277.57575601</v>
      </c>
      <c r="R499">
        <f t="shared" si="981"/>
        <v>542626868.93327308</v>
      </c>
      <c r="S499">
        <f t="shared" si="982"/>
        <v>5426.2686893327309</v>
      </c>
      <c r="T499">
        <f t="shared" si="983"/>
        <v>5.4262686893327308</v>
      </c>
    </row>
    <row r="500" spans="1:20" x14ac:dyDescent="0.25">
      <c r="A500" s="5">
        <v>44093</v>
      </c>
      <c r="B500">
        <v>5.4969999999999997E-4</v>
      </c>
      <c r="C500">
        <v>5.599E-4</v>
      </c>
      <c r="D500">
        <v>5.2400000000000005E-4</v>
      </c>
      <c r="E500">
        <v>5.3450000000000004E-4</v>
      </c>
      <c r="F500">
        <v>955938962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-0.41504178272980508</v>
      </c>
      <c r="Q500">
        <f t="shared" si="980"/>
        <v>-396754610.9693594</v>
      </c>
      <c r="R500">
        <f t="shared" si="981"/>
        <v>928066146.50902915</v>
      </c>
      <c r="S500">
        <f t="shared" si="982"/>
        <v>9280.661465090292</v>
      </c>
      <c r="T500">
        <f t="shared" si="983"/>
        <v>9.2806614650902919</v>
      </c>
    </row>
    <row r="501" spans="1:20" x14ac:dyDescent="0.25">
      <c r="A501" s="5">
        <v>44092</v>
      </c>
      <c r="B501">
        <v>5.5840000000000002E-4</v>
      </c>
      <c r="C501">
        <v>5.62E-4</v>
      </c>
      <c r="D501">
        <v>5.421E-4</v>
      </c>
      <c r="E501">
        <v>5.4969999999999997E-4</v>
      </c>
      <c r="F501">
        <v>678199372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-0.23618090452261614</v>
      </c>
      <c r="Q501">
        <f t="shared" si="980"/>
        <v>-160177741.12563023</v>
      </c>
      <c r="R501">
        <f t="shared" si="981"/>
        <v>1324820757.4783885</v>
      </c>
      <c r="S501">
        <f t="shared" si="982"/>
        <v>13248.207574783886</v>
      </c>
      <c r="T501">
        <f t="shared" si="983"/>
        <v>13.248207574783887</v>
      </c>
    </row>
    <row r="502" spans="1:20" x14ac:dyDescent="0.25">
      <c r="A502" s="5">
        <v>44091</v>
      </c>
      <c r="B502">
        <v>5.5270000000000004E-4</v>
      </c>
      <c r="C502">
        <v>5.7439999999999998E-4</v>
      </c>
      <c r="D502">
        <v>5.375E-4</v>
      </c>
      <c r="E502">
        <v>5.5849999999999997E-4</v>
      </c>
      <c r="F502">
        <v>794556042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0.13821138211382017</v>
      </c>
      <c r="Q502">
        <f t="shared" si="980"/>
        <v>109816688.73170654</v>
      </c>
      <c r="R502">
        <f t="shared" si="981"/>
        <v>1484998498.6040187</v>
      </c>
      <c r="S502">
        <f t="shared" si="982"/>
        <v>14849.984986040186</v>
      </c>
      <c r="T502">
        <f t="shared" si="983"/>
        <v>14.849984986040186</v>
      </c>
    </row>
    <row r="503" spans="1:20" x14ac:dyDescent="0.25">
      <c r="A503" s="5">
        <v>44090</v>
      </c>
      <c r="B503">
        <v>5.4790000000000004E-4</v>
      </c>
      <c r="C503">
        <v>5.5999999999999995E-4</v>
      </c>
      <c r="D503">
        <v>5.1880000000000003E-4</v>
      </c>
      <c r="E503">
        <v>5.5259999999999999E-4</v>
      </c>
      <c r="F503">
        <v>818063337</v>
      </c>
      <c r="G503">
        <v>0</v>
      </c>
      <c r="L503" t="s">
        <v>8</v>
      </c>
      <c r="M503" t="s">
        <v>7</v>
      </c>
      <c r="N503" t="s">
        <v>7</v>
      </c>
      <c r="P503">
        <f t="shared" si="979"/>
        <v>0.64077669902912726</v>
      </c>
      <c r="Q503">
        <f t="shared" si="980"/>
        <v>524195924.67961252</v>
      </c>
      <c r="R503">
        <f t="shared" si="981"/>
        <v>1375181809.8723121</v>
      </c>
      <c r="S503">
        <f t="shared" si="982"/>
        <v>13751.818098723121</v>
      </c>
      <c r="T503">
        <f t="shared" si="983"/>
        <v>13.75181809872312</v>
      </c>
    </row>
    <row r="504" spans="1:20" x14ac:dyDescent="0.25">
      <c r="A504" s="5">
        <v>44089</v>
      </c>
      <c r="B504">
        <v>5.5659999999999998E-4</v>
      </c>
      <c r="C504">
        <v>5.7709999999999999E-4</v>
      </c>
      <c r="D504">
        <v>5.4009999999999996E-4</v>
      </c>
      <c r="E504">
        <v>5.4569999999999998E-4</v>
      </c>
      <c r="F504">
        <v>852921861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-0.69729729729729606</v>
      </c>
      <c r="Q504">
        <f t="shared" si="980"/>
        <v>-594740108.48108006</v>
      </c>
      <c r="R504">
        <f t="shared" si="981"/>
        <v>850985885.19269943</v>
      </c>
      <c r="S504">
        <f t="shared" si="982"/>
        <v>8509.8588519269942</v>
      </c>
      <c r="T504">
        <f t="shared" si="983"/>
        <v>8.5098588519269942</v>
      </c>
    </row>
    <row r="505" spans="1:20" x14ac:dyDescent="0.25">
      <c r="A505" s="5">
        <v>44088</v>
      </c>
      <c r="B505">
        <v>5.4460000000000001E-4</v>
      </c>
      <c r="C505">
        <v>5.6550000000000003E-4</v>
      </c>
      <c r="D505">
        <v>5.3269999999999999E-4</v>
      </c>
      <c r="E505">
        <v>5.5630000000000002E-4</v>
      </c>
      <c r="F505">
        <v>1072877287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0.43902439024390266</v>
      </c>
      <c r="Q505">
        <f t="shared" si="980"/>
        <v>471019296.73170757</v>
      </c>
      <c r="R505">
        <f t="shared" si="981"/>
        <v>1445725993.6737795</v>
      </c>
      <c r="S505">
        <f t="shared" si="982"/>
        <v>14457.259936737795</v>
      </c>
      <c r="T505">
        <f t="shared" si="983"/>
        <v>14.457259936737795</v>
      </c>
    </row>
    <row r="506" spans="1:20" x14ac:dyDescent="0.25">
      <c r="A506" s="5">
        <v>44087</v>
      </c>
      <c r="B506">
        <v>5.8549999999999997E-4</v>
      </c>
      <c r="C506">
        <v>5.9880000000000003E-4</v>
      </c>
      <c r="D506">
        <v>5.3510000000000005E-4</v>
      </c>
      <c r="E506">
        <v>5.4460000000000001E-4</v>
      </c>
      <c r="F506">
        <v>862820674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-0.7017268445839886</v>
      </c>
      <c r="Q506">
        <f t="shared" si="980"/>
        <v>-605464429.00785029</v>
      </c>
      <c r="R506">
        <f t="shared" si="981"/>
        <v>974706696.94207203</v>
      </c>
      <c r="S506">
        <f t="shared" si="982"/>
        <v>9747.0669694207209</v>
      </c>
      <c r="T506">
        <f t="shared" si="983"/>
        <v>9.7470669694207217</v>
      </c>
    </row>
    <row r="507" spans="1:20" x14ac:dyDescent="0.25">
      <c r="A507" s="5">
        <v>44086</v>
      </c>
      <c r="B507">
        <v>6.0510000000000002E-4</v>
      </c>
      <c r="C507">
        <v>6.0519999999999997E-4</v>
      </c>
      <c r="D507">
        <v>5.7359999999999996E-4</v>
      </c>
      <c r="E507">
        <v>5.8799999999999998E-4</v>
      </c>
      <c r="F507">
        <v>913908293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-8.8607594936707557E-2</v>
      </c>
      <c r="Q507">
        <f t="shared" si="980"/>
        <v>-80979215.835441843</v>
      </c>
      <c r="R507">
        <f t="shared" si="981"/>
        <v>1580171125.9499223</v>
      </c>
      <c r="S507">
        <f t="shared" si="982"/>
        <v>15801.711259499223</v>
      </c>
      <c r="T507">
        <f t="shared" si="983"/>
        <v>15.801711259499223</v>
      </c>
    </row>
    <row r="508" spans="1:20" x14ac:dyDescent="0.25">
      <c r="A508" s="5">
        <v>44085</v>
      </c>
      <c r="B508">
        <v>5.5520000000000005E-4</v>
      </c>
      <c r="C508">
        <v>6.2330000000000003E-4</v>
      </c>
      <c r="D508">
        <v>5.3390000000000002E-4</v>
      </c>
      <c r="E508">
        <v>6.0320000000000003E-4</v>
      </c>
      <c r="F508">
        <v>1512841904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0.55033557046979864</v>
      </c>
      <c r="Q508">
        <f t="shared" si="980"/>
        <v>832570712.26845634</v>
      </c>
      <c r="R508">
        <f t="shared" si="981"/>
        <v>1661150341.7853642</v>
      </c>
      <c r="S508">
        <f t="shared" si="982"/>
        <v>16611.503417853641</v>
      </c>
      <c r="T508">
        <f t="shared" si="983"/>
        <v>16.61150341785364</v>
      </c>
    </row>
    <row r="509" spans="1:20" x14ac:dyDescent="0.25">
      <c r="A509" s="5">
        <v>44084</v>
      </c>
      <c r="B509">
        <v>5.4540000000000003E-4</v>
      </c>
      <c r="C509">
        <v>5.6309999999999997E-4</v>
      </c>
      <c r="D509">
        <v>5.3629999999999997E-4</v>
      </c>
      <c r="E509">
        <v>5.5349999999999996E-4</v>
      </c>
      <c r="F509">
        <v>1025967999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0.28358208955223757</v>
      </c>
      <c r="Q509">
        <f t="shared" si="980"/>
        <v>290946148.97014797</v>
      </c>
      <c r="R509">
        <f t="shared" si="981"/>
        <v>828579629.51690769</v>
      </c>
      <c r="S509">
        <f t="shared" si="982"/>
        <v>8285.796295169077</v>
      </c>
      <c r="T509">
        <f t="shared" si="983"/>
        <v>8.2857962951690762</v>
      </c>
    </row>
    <row r="510" spans="1:20" x14ac:dyDescent="0.25">
      <c r="A510" s="5">
        <v>44083</v>
      </c>
      <c r="B510">
        <v>5.2809999999999999E-4</v>
      </c>
      <c r="C510">
        <v>5.5500000000000005E-4</v>
      </c>
      <c r="D510">
        <v>5.2220000000000001E-4</v>
      </c>
      <c r="E510">
        <v>5.4909999999999996E-4</v>
      </c>
      <c r="F510">
        <v>603341882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0.64024390243901941</v>
      </c>
      <c r="Q510">
        <f t="shared" si="980"/>
        <v>386285961.03658235</v>
      </c>
      <c r="R510">
        <f t="shared" si="981"/>
        <v>537633480.54675972</v>
      </c>
      <c r="S510">
        <f t="shared" si="982"/>
        <v>5376.3348054675971</v>
      </c>
      <c r="T510">
        <f t="shared" si="983"/>
        <v>5.3763348054675975</v>
      </c>
    </row>
    <row r="511" spans="1:20" x14ac:dyDescent="0.25">
      <c r="A511" s="5">
        <v>44082</v>
      </c>
      <c r="B511">
        <v>5.4750000000000003E-4</v>
      </c>
      <c r="C511">
        <v>5.5500000000000005E-4</v>
      </c>
      <c r="D511">
        <v>5.1550000000000001E-4</v>
      </c>
      <c r="E511">
        <v>5.3280000000000005E-4</v>
      </c>
      <c r="F511">
        <v>644824039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-0.12405063291139118</v>
      </c>
      <c r="Q511">
        <f t="shared" si="980"/>
        <v>-79990830.154429585</v>
      </c>
      <c r="R511">
        <f t="shared" si="981"/>
        <v>151347519.51017734</v>
      </c>
      <c r="S511">
        <f t="shared" si="982"/>
        <v>1513.4751951017734</v>
      </c>
      <c r="T511">
        <f t="shared" si="983"/>
        <v>1.5134751951017733</v>
      </c>
    </row>
    <row r="512" spans="1:20" x14ac:dyDescent="0.25">
      <c r="A512" s="5">
        <v>44081</v>
      </c>
      <c r="B512">
        <v>5.4440000000000001E-4</v>
      </c>
      <c r="C512">
        <v>5.6300000000000002E-4</v>
      </c>
      <c r="D512">
        <v>4.9470000000000004E-4</v>
      </c>
      <c r="E512">
        <v>5.4920000000000001E-4</v>
      </c>
      <c r="F512">
        <v>899504564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0.59590043923865255</v>
      </c>
      <c r="Q512">
        <f t="shared" si="980"/>
        <v>536015164.78477263</v>
      </c>
      <c r="R512">
        <f t="shared" si="981"/>
        <v>231338349.66460693</v>
      </c>
      <c r="S512">
        <f t="shared" si="982"/>
        <v>2313.3834966460695</v>
      </c>
      <c r="T512">
        <f t="shared" si="983"/>
        <v>2.3133834966460696</v>
      </c>
    </row>
    <row r="513" spans="1:20" x14ac:dyDescent="0.25">
      <c r="A513" s="5">
        <v>44080</v>
      </c>
      <c r="B513">
        <v>5.3200000000000003E-4</v>
      </c>
      <c r="C513">
        <v>5.8299999999999997E-4</v>
      </c>
      <c r="D513">
        <v>5.0409999999999995E-4</v>
      </c>
      <c r="E513">
        <v>5.4020000000000001E-4</v>
      </c>
      <c r="F513">
        <v>1313396768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-8.4917617237007484E-2</v>
      </c>
      <c r="Q513">
        <f t="shared" si="980"/>
        <v>-111530524.02534673</v>
      </c>
      <c r="R513">
        <f t="shared" si="981"/>
        <v>-304676815.12016571</v>
      </c>
      <c r="S513">
        <f t="shared" si="982"/>
        <v>-3046.768151201657</v>
      </c>
      <c r="T513">
        <f t="shared" si="983"/>
        <v>-3.0467681512016571</v>
      </c>
    </row>
    <row r="514" spans="1:20" x14ac:dyDescent="0.25">
      <c r="A514" s="5">
        <v>44079</v>
      </c>
      <c r="B514">
        <v>6.0539999999999997E-4</v>
      </c>
      <c r="C514">
        <v>6.4939999999999996E-4</v>
      </c>
      <c r="D514">
        <v>5.0199999999999995E-4</v>
      </c>
      <c r="E514">
        <v>5.3359999999999996E-4</v>
      </c>
      <c r="F514">
        <v>1271130640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-0.57123473541383973</v>
      </c>
      <c r="Q514">
        <f t="shared" si="980"/>
        <v>-726113974.81682479</v>
      </c>
      <c r="R514">
        <f t="shared" si="981"/>
        <v>-193146291.09481895</v>
      </c>
      <c r="S514">
        <f t="shared" si="982"/>
        <v>-1931.4629109481896</v>
      </c>
      <c r="T514">
        <f t="shared" si="983"/>
        <v>-1.9314629109481896</v>
      </c>
    </row>
    <row r="515" spans="1:20" x14ac:dyDescent="0.25">
      <c r="A515" s="5">
        <v>44078</v>
      </c>
      <c r="B515">
        <v>6.0139999999999998E-4</v>
      </c>
      <c r="C515">
        <v>6.1470000000000003E-4</v>
      </c>
      <c r="D515">
        <v>5.5259999999999999E-4</v>
      </c>
      <c r="E515">
        <v>6.0420000000000005E-4</v>
      </c>
      <c r="F515">
        <v>1600523440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0.66183574879227125</v>
      </c>
      <c r="Q515">
        <f t="shared" si="980"/>
        <v>1059283629.3719819</v>
      </c>
      <c r="R515">
        <f t="shared" si="981"/>
        <v>532967683.72200584</v>
      </c>
      <c r="S515">
        <f t="shared" si="982"/>
        <v>5329.6768372200586</v>
      </c>
      <c r="T515">
        <f t="shared" si="983"/>
        <v>5.3296768372200587</v>
      </c>
    </row>
    <row r="516" spans="1:20" x14ac:dyDescent="0.25">
      <c r="A516" s="5">
        <v>44077</v>
      </c>
      <c r="B516">
        <v>7.0069999999999996E-4</v>
      </c>
      <c r="C516">
        <v>7.0989999999999996E-4</v>
      </c>
      <c r="D516">
        <v>5.9599999999999996E-4</v>
      </c>
      <c r="E516">
        <v>6.0179999999999999E-4</v>
      </c>
      <c r="F516">
        <v>1603015728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-0.89815627743634707</v>
      </c>
      <c r="Q516">
        <f t="shared" si="980"/>
        <v>-1439758638.9323959</v>
      </c>
      <c r="R516">
        <f t="shared" si="981"/>
        <v>-526315945.64997602</v>
      </c>
      <c r="S516">
        <f t="shared" si="982"/>
        <v>-5263.1594564997604</v>
      </c>
      <c r="T516">
        <f t="shared" si="983"/>
        <v>-5.2631594564997606</v>
      </c>
    </row>
    <row r="517" spans="1:20" x14ac:dyDescent="0.25">
      <c r="A517" s="5">
        <v>44076</v>
      </c>
      <c r="B517">
        <v>7.2999999999999996E-4</v>
      </c>
      <c r="C517">
        <v>7.3999999999999999E-4</v>
      </c>
      <c r="D517">
        <v>6.692E-4</v>
      </c>
      <c r="E517">
        <v>7.0350000000000002E-4</v>
      </c>
      <c r="F517">
        <v>1183393537</v>
      </c>
      <c r="G517">
        <v>0</v>
      </c>
      <c r="L517" t="s">
        <v>8</v>
      </c>
      <c r="M517" t="s">
        <v>7</v>
      </c>
      <c r="N517" t="s">
        <v>8</v>
      </c>
      <c r="P517">
        <f t="shared" si="979"/>
        <v>-3.1073446327682847E-2</v>
      </c>
      <c r="Q517">
        <f t="shared" si="980"/>
        <v>-36772115.556496263</v>
      </c>
      <c r="R517">
        <f t="shared" si="981"/>
        <v>913442693.28241992</v>
      </c>
      <c r="S517">
        <f t="shared" si="982"/>
        <v>9134.426932824199</v>
      </c>
      <c r="T517">
        <f t="shared" si="983"/>
        <v>9.1344269328241996</v>
      </c>
    </row>
    <row r="518" spans="1:20" x14ac:dyDescent="0.25">
      <c r="A518" s="5">
        <v>44075</v>
      </c>
      <c r="B518">
        <v>7.2780000000000002E-4</v>
      </c>
      <c r="C518">
        <v>7.3999999999999999E-4</v>
      </c>
      <c r="D518">
        <v>7.1000000000000002E-4</v>
      </c>
      <c r="E518">
        <v>7.2999999999999996E-4</v>
      </c>
      <c r="F518">
        <v>1694705393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0.33333333333333093</v>
      </c>
      <c r="Q518">
        <f t="shared" ref="Q518:Q581" si="985">F518*P518</f>
        <v>564901797.66666257</v>
      </c>
      <c r="R518">
        <f t="shared" ref="R518:R581" si="986">R519+Q518</f>
        <v>950214808.83891618</v>
      </c>
      <c r="S518">
        <f t="shared" ref="S518:S581" si="987">R518/100000</f>
        <v>9502.1480883891618</v>
      </c>
      <c r="T518">
        <f t="shared" ref="T518:T581" si="988">S518/1000</f>
        <v>9.5021480883891609</v>
      </c>
    </row>
    <row r="519" spans="1:20" x14ac:dyDescent="0.25">
      <c r="A519" s="5">
        <v>44074</v>
      </c>
      <c r="B519">
        <v>7.4200000000000004E-4</v>
      </c>
      <c r="C519">
        <v>7.4410000000000003E-4</v>
      </c>
      <c r="D519">
        <v>7.249E-4</v>
      </c>
      <c r="E519">
        <v>7.249E-4</v>
      </c>
      <c r="F519">
        <v>1149839574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-1</v>
      </c>
      <c r="Q519">
        <f t="shared" si="985"/>
        <v>-1149839574</v>
      </c>
      <c r="R519">
        <f t="shared" si="986"/>
        <v>385313011.17225361</v>
      </c>
      <c r="S519">
        <f t="shared" si="987"/>
        <v>3853.1301117225362</v>
      </c>
      <c r="T519">
        <f t="shared" si="988"/>
        <v>3.8531301117225363</v>
      </c>
    </row>
    <row r="520" spans="1:20" x14ac:dyDescent="0.25">
      <c r="A520" s="5">
        <v>44073</v>
      </c>
      <c r="B520">
        <v>7.4580000000000002E-4</v>
      </c>
      <c r="C520">
        <v>7.5270000000000003E-4</v>
      </c>
      <c r="D520">
        <v>7.2979999999999996E-4</v>
      </c>
      <c r="E520">
        <v>7.4200000000000004E-4</v>
      </c>
      <c r="F520">
        <v>990879380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6.5502183406117298E-2</v>
      </c>
      <c r="Q520">
        <f t="shared" si="985"/>
        <v>64904762.8820998</v>
      </c>
      <c r="R520">
        <f t="shared" si="986"/>
        <v>1535152585.1722536</v>
      </c>
      <c r="S520">
        <f t="shared" si="987"/>
        <v>15351.525851722536</v>
      </c>
      <c r="T520">
        <f t="shared" si="988"/>
        <v>15.351525851722535</v>
      </c>
    </row>
    <row r="521" spans="1:20" x14ac:dyDescent="0.25">
      <c r="A521" s="5">
        <v>44072</v>
      </c>
      <c r="B521">
        <v>7.3439999999999996E-4</v>
      </c>
      <c r="C521">
        <v>7.7209999999999996E-4</v>
      </c>
      <c r="D521">
        <v>7.2269999999999995E-4</v>
      </c>
      <c r="E521">
        <v>7.4160000000000003E-4</v>
      </c>
      <c r="F521">
        <v>975078851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-0.23481781376517907</v>
      </c>
      <c r="Q521">
        <f t="shared" si="985"/>
        <v>-228965884.04048279</v>
      </c>
      <c r="R521">
        <f t="shared" si="986"/>
        <v>1470247822.2901537</v>
      </c>
      <c r="S521">
        <f t="shared" si="987"/>
        <v>14702.478222901538</v>
      </c>
      <c r="T521">
        <f t="shared" si="988"/>
        <v>14.702478222901538</v>
      </c>
    </row>
    <row r="522" spans="1:20" x14ac:dyDescent="0.25">
      <c r="A522" s="5">
        <v>44071</v>
      </c>
      <c r="B522">
        <v>7.1860000000000001E-4</v>
      </c>
      <c r="C522">
        <v>7.6999999999999996E-4</v>
      </c>
      <c r="D522">
        <v>7.1540000000000004E-4</v>
      </c>
      <c r="E522">
        <v>7.3130000000000005E-4</v>
      </c>
      <c r="F522">
        <v>1456927161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-0.41758241758241643</v>
      </c>
      <c r="Q522">
        <f t="shared" si="985"/>
        <v>-608387166.13186646</v>
      </c>
      <c r="R522">
        <f t="shared" si="986"/>
        <v>1699213706.3306365</v>
      </c>
      <c r="S522">
        <f t="shared" si="987"/>
        <v>16992.137063306363</v>
      </c>
      <c r="T522">
        <f t="shared" si="988"/>
        <v>16.992137063306362</v>
      </c>
    </row>
    <row r="523" spans="1:20" x14ac:dyDescent="0.25">
      <c r="A523" s="5">
        <v>44070</v>
      </c>
      <c r="B523">
        <v>7.3890000000000002E-4</v>
      </c>
      <c r="C523">
        <v>7.4019999999999999E-4</v>
      </c>
      <c r="D523">
        <v>6.9110000000000005E-4</v>
      </c>
      <c r="E523">
        <v>7.1560000000000005E-4</v>
      </c>
      <c r="F523">
        <v>1046323235</v>
      </c>
      <c r="G523">
        <v>0</v>
      </c>
      <c r="L523" t="s">
        <v>8</v>
      </c>
      <c r="M523" t="s">
        <v>7</v>
      </c>
      <c r="N523" t="s">
        <v>8</v>
      </c>
      <c r="P523">
        <f t="shared" si="984"/>
        <v>-2.036659877799355E-3</v>
      </c>
      <c r="Q523">
        <f t="shared" si="985"/>
        <v>-2131004.5519337258</v>
      </c>
      <c r="R523">
        <f t="shared" si="986"/>
        <v>2307600872.462503</v>
      </c>
      <c r="S523">
        <f t="shared" si="987"/>
        <v>23076.00872462503</v>
      </c>
      <c r="T523">
        <f t="shared" si="988"/>
        <v>23.07600872462503</v>
      </c>
    </row>
    <row r="524" spans="1:20" x14ac:dyDescent="0.25">
      <c r="A524" s="5">
        <v>44069</v>
      </c>
      <c r="B524">
        <v>7.4589999999999997E-4</v>
      </c>
      <c r="C524">
        <v>7.6210000000000004E-4</v>
      </c>
      <c r="D524">
        <v>7.2119999999999997E-4</v>
      </c>
      <c r="E524">
        <v>7.3590000000000005E-4</v>
      </c>
      <c r="F524">
        <v>1043100185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-0.28117359413202642</v>
      </c>
      <c r="Q524">
        <f t="shared" si="985"/>
        <v>-293292228.05623168</v>
      </c>
      <c r="R524">
        <f t="shared" si="986"/>
        <v>2309731877.0144367</v>
      </c>
      <c r="S524">
        <f t="shared" si="987"/>
        <v>23097.318770144368</v>
      </c>
      <c r="T524">
        <f t="shared" si="988"/>
        <v>23.097318770144369</v>
      </c>
    </row>
    <row r="525" spans="1:20" x14ac:dyDescent="0.25">
      <c r="A525" s="5">
        <v>44068</v>
      </c>
      <c r="B525">
        <v>7.8169999999999997E-4</v>
      </c>
      <c r="C525">
        <v>7.9120000000000004E-4</v>
      </c>
      <c r="D525">
        <v>7.0310000000000001E-4</v>
      </c>
      <c r="E525">
        <v>7.4589999999999997E-4</v>
      </c>
      <c r="F525">
        <v>1359981166</v>
      </c>
      <c r="G525">
        <v>0</v>
      </c>
      <c r="L525" t="s">
        <v>8</v>
      </c>
      <c r="M525" t="s">
        <v>7</v>
      </c>
      <c r="N525" t="s">
        <v>8</v>
      </c>
      <c r="P525">
        <f t="shared" si="984"/>
        <v>-2.8376844494893465E-2</v>
      </c>
      <c r="Q525">
        <f t="shared" si="985"/>
        <v>-38591974.063565895</v>
      </c>
      <c r="R525">
        <f t="shared" si="986"/>
        <v>2603024105.0706682</v>
      </c>
      <c r="S525">
        <f t="shared" si="987"/>
        <v>26030.241050706682</v>
      </c>
      <c r="T525">
        <f t="shared" si="988"/>
        <v>26.030241050706682</v>
      </c>
    </row>
    <row r="526" spans="1:20" x14ac:dyDescent="0.25">
      <c r="A526" s="5">
        <v>44067</v>
      </c>
      <c r="B526">
        <v>7.7809999999999999E-4</v>
      </c>
      <c r="C526">
        <v>8.0259999999999999E-4</v>
      </c>
      <c r="D526">
        <v>7.7070000000000003E-4</v>
      </c>
      <c r="E526">
        <v>7.8160000000000002E-4</v>
      </c>
      <c r="F526">
        <v>1022076027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-0.31661442006269552</v>
      </c>
      <c r="Q526">
        <f t="shared" si="985"/>
        <v>-323604008.54858893</v>
      </c>
      <c r="R526">
        <f t="shared" si="986"/>
        <v>2641616079.134234</v>
      </c>
      <c r="S526">
        <f t="shared" si="987"/>
        <v>26416.16079134234</v>
      </c>
      <c r="T526">
        <f t="shared" si="988"/>
        <v>26.416160791342339</v>
      </c>
    </row>
    <row r="527" spans="1:20" x14ac:dyDescent="0.25">
      <c r="A527" s="5">
        <v>44066</v>
      </c>
      <c r="B527">
        <v>7.9319999999999998E-4</v>
      </c>
      <c r="C527">
        <v>8.0150000000000002E-4</v>
      </c>
      <c r="D527">
        <v>7.649E-4</v>
      </c>
      <c r="E527">
        <v>7.7450000000000001E-4</v>
      </c>
      <c r="F527">
        <v>666949630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-0.47540983606557319</v>
      </c>
      <c r="Q527">
        <f t="shared" si="985"/>
        <v>-317074414.26229471</v>
      </c>
      <c r="R527">
        <f t="shared" si="986"/>
        <v>2965220087.6828227</v>
      </c>
      <c r="S527">
        <f t="shared" si="987"/>
        <v>29652.200876828229</v>
      </c>
      <c r="T527">
        <f t="shared" si="988"/>
        <v>29.652200876828228</v>
      </c>
    </row>
    <row r="528" spans="1:20" x14ac:dyDescent="0.25">
      <c r="A528" s="5">
        <v>44065</v>
      </c>
      <c r="B528">
        <v>7.7249999999999997E-4</v>
      </c>
      <c r="C528">
        <v>8.0659999999999998E-4</v>
      </c>
      <c r="D528">
        <v>7.5500000000000003E-4</v>
      </c>
      <c r="E528">
        <v>7.9619999999999995E-4</v>
      </c>
      <c r="F528">
        <v>939341380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0.59689922480619984</v>
      </c>
      <c r="Q528">
        <f t="shared" si="985"/>
        <v>560692141.55038595</v>
      </c>
      <c r="R528">
        <f t="shared" si="986"/>
        <v>3282294501.9451175</v>
      </c>
      <c r="S528">
        <f t="shared" si="987"/>
        <v>32822.945019451174</v>
      </c>
      <c r="T528">
        <f t="shared" si="988"/>
        <v>32.822945019451176</v>
      </c>
    </row>
    <row r="529" spans="1:20" x14ac:dyDescent="0.25">
      <c r="A529" s="5">
        <v>44064</v>
      </c>
      <c r="B529">
        <v>8.4420000000000003E-4</v>
      </c>
      <c r="C529">
        <v>8.543E-4</v>
      </c>
      <c r="D529">
        <v>7.6530000000000001E-4</v>
      </c>
      <c r="E529">
        <v>7.7579999999999999E-4</v>
      </c>
      <c r="F529">
        <v>1759460895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-0.76404494382022503</v>
      </c>
      <c r="Q529">
        <f t="shared" si="985"/>
        <v>-1344307200.6741579</v>
      </c>
      <c r="R529">
        <f t="shared" si="986"/>
        <v>2721602360.3947315</v>
      </c>
      <c r="S529">
        <f t="shared" si="987"/>
        <v>27216.023603947317</v>
      </c>
      <c r="T529">
        <f t="shared" si="988"/>
        <v>27.216023603947317</v>
      </c>
    </row>
    <row r="530" spans="1:20" x14ac:dyDescent="0.25">
      <c r="A530" s="5">
        <v>44063</v>
      </c>
      <c r="B530">
        <v>8.2569999999999996E-4</v>
      </c>
      <c r="C530">
        <v>8.6649999999999997E-4</v>
      </c>
      <c r="D530">
        <v>8.183E-4</v>
      </c>
      <c r="E530">
        <v>8.4500000000000005E-4</v>
      </c>
      <c r="F530">
        <v>1579136598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0.10788381742738856</v>
      </c>
      <c r="Q530">
        <f t="shared" si="985"/>
        <v>170363284.43153948</v>
      </c>
      <c r="R530">
        <f t="shared" si="986"/>
        <v>4065909561.0688896</v>
      </c>
      <c r="S530">
        <f t="shared" si="987"/>
        <v>40659.095610688899</v>
      </c>
      <c r="T530">
        <f t="shared" si="988"/>
        <v>40.659095610688901</v>
      </c>
    </row>
    <row r="531" spans="1:20" x14ac:dyDescent="0.25">
      <c r="A531" s="5">
        <v>44062</v>
      </c>
      <c r="B531">
        <v>8.4639999999999997E-4</v>
      </c>
      <c r="C531">
        <v>8.4979999999999995E-4</v>
      </c>
      <c r="D531">
        <v>7.8319999999999996E-4</v>
      </c>
      <c r="E531">
        <v>8.2260000000000005E-4</v>
      </c>
      <c r="F531">
        <v>2717946989</v>
      </c>
      <c r="G531">
        <v>0</v>
      </c>
      <c r="L531" t="s">
        <v>8</v>
      </c>
      <c r="M531" t="s">
        <v>7</v>
      </c>
      <c r="N531" t="s">
        <v>8</v>
      </c>
      <c r="P531">
        <f t="shared" si="984"/>
        <v>0.18318318318318602</v>
      </c>
      <c r="Q531">
        <f t="shared" si="985"/>
        <v>497882181.16817588</v>
      </c>
      <c r="R531">
        <f t="shared" si="986"/>
        <v>3895546276.6373501</v>
      </c>
      <c r="S531">
        <f t="shared" si="987"/>
        <v>38955.462766373501</v>
      </c>
      <c r="T531">
        <f t="shared" si="988"/>
        <v>38.9554627663735</v>
      </c>
    </row>
    <row r="532" spans="1:20" x14ac:dyDescent="0.25">
      <c r="A532" s="5">
        <v>44061</v>
      </c>
      <c r="B532">
        <v>8.8259999999999999E-4</v>
      </c>
      <c r="C532">
        <v>8.9820000000000004E-4</v>
      </c>
      <c r="D532">
        <v>7.9440000000000001E-4</v>
      </c>
      <c r="E532">
        <v>8.4369999999999996E-4</v>
      </c>
      <c r="F532">
        <v>2169137288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-5.009633911368136E-2</v>
      </c>
      <c r="Q532">
        <f t="shared" si="985"/>
        <v>-108665837.16377911</v>
      </c>
      <c r="R532">
        <f t="shared" si="986"/>
        <v>3397664095.4691744</v>
      </c>
      <c r="S532">
        <f t="shared" si="987"/>
        <v>33976.640954691742</v>
      </c>
      <c r="T532">
        <f t="shared" si="988"/>
        <v>33.976640954691739</v>
      </c>
    </row>
    <row r="533" spans="1:20" x14ac:dyDescent="0.25">
      <c r="A533" s="5">
        <v>44060</v>
      </c>
      <c r="B533">
        <v>9.0939999999999999E-4</v>
      </c>
      <c r="C533">
        <v>9.412E-4</v>
      </c>
      <c r="D533">
        <v>8.6359999999999996E-4</v>
      </c>
      <c r="E533">
        <v>8.8239999999999998E-4</v>
      </c>
      <c r="F533">
        <v>2528670943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-0.51546391752577292</v>
      </c>
      <c r="Q533">
        <f t="shared" si="985"/>
        <v>-1303438630.4123704</v>
      </c>
      <c r="R533">
        <f t="shared" si="986"/>
        <v>3506329932.6329536</v>
      </c>
      <c r="S533">
        <f t="shared" si="987"/>
        <v>35063.299326329536</v>
      </c>
      <c r="T533">
        <f t="shared" si="988"/>
        <v>35.063299326329535</v>
      </c>
    </row>
    <row r="534" spans="1:20" x14ac:dyDescent="0.25">
      <c r="A534" s="5">
        <v>44059</v>
      </c>
      <c r="B534">
        <v>8.5499999999999997E-4</v>
      </c>
      <c r="C534">
        <v>9.3789999999999998E-4</v>
      </c>
      <c r="D534">
        <v>8.3609999999999999E-4</v>
      </c>
      <c r="E534">
        <v>9.0700000000000004E-4</v>
      </c>
      <c r="F534">
        <v>1925431921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0.39292730844793822</v>
      </c>
      <c r="Q534">
        <f t="shared" si="985"/>
        <v>756554782.31827319</v>
      </c>
      <c r="R534">
        <f t="shared" si="986"/>
        <v>4809768563.0453243</v>
      </c>
      <c r="S534">
        <f t="shared" si="987"/>
        <v>48097.685630453241</v>
      </c>
      <c r="T534">
        <f t="shared" si="988"/>
        <v>48.097685630453242</v>
      </c>
    </row>
    <row r="535" spans="1:20" x14ac:dyDescent="0.25">
      <c r="A535" s="5">
        <v>44058</v>
      </c>
      <c r="B535">
        <v>8.4749999999999995E-4</v>
      </c>
      <c r="C535">
        <v>8.6989999999999995E-4</v>
      </c>
      <c r="D535">
        <v>8.2899999999999998E-4</v>
      </c>
      <c r="E535">
        <v>8.5499999999999997E-4</v>
      </c>
      <c r="F535">
        <v>1339970875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0.27139364303178504</v>
      </c>
      <c r="Q535">
        <f t="shared" si="985"/>
        <v>363659577.32273865</v>
      </c>
      <c r="R535">
        <f t="shared" si="986"/>
        <v>4053213780.7270513</v>
      </c>
      <c r="S535">
        <f t="shared" si="987"/>
        <v>40532.137807270512</v>
      </c>
      <c r="T535">
        <f t="shared" si="988"/>
        <v>40.532137807270509</v>
      </c>
    </row>
    <row r="536" spans="1:20" x14ac:dyDescent="0.25">
      <c r="A536" s="5">
        <v>44057</v>
      </c>
      <c r="B536">
        <v>8.4840000000000002E-4</v>
      </c>
      <c r="C536">
        <v>8.7359999999999998E-4</v>
      </c>
      <c r="D536">
        <v>8.3000000000000001E-4</v>
      </c>
      <c r="E536">
        <v>8.4699999999999999E-4</v>
      </c>
      <c r="F536">
        <v>1577023272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-0.22018348623853262</v>
      </c>
      <c r="Q536">
        <f t="shared" si="985"/>
        <v>-347234481.90825766</v>
      </c>
      <c r="R536">
        <f t="shared" si="986"/>
        <v>3689554203.4043126</v>
      </c>
      <c r="S536">
        <f t="shared" si="987"/>
        <v>36895.542034043123</v>
      </c>
      <c r="T536">
        <f t="shared" si="988"/>
        <v>36.895542034043125</v>
      </c>
    </row>
    <row r="537" spans="1:20" x14ac:dyDescent="0.25">
      <c r="A537" s="5">
        <v>44056</v>
      </c>
      <c r="B537">
        <v>8.6030000000000004E-4</v>
      </c>
      <c r="C537">
        <v>8.83E-4</v>
      </c>
      <c r="D537">
        <v>8.1999999999999998E-4</v>
      </c>
      <c r="E537">
        <v>8.4840000000000002E-4</v>
      </c>
      <c r="F537">
        <v>2019390553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-9.8412698412697341E-2</v>
      </c>
      <c r="Q537">
        <f t="shared" si="985"/>
        <v>-198733673.4698391</v>
      </c>
      <c r="R537">
        <f t="shared" si="986"/>
        <v>4036788685.3125701</v>
      </c>
      <c r="S537">
        <f t="shared" si="987"/>
        <v>40367.886853125703</v>
      </c>
      <c r="T537">
        <f t="shared" si="988"/>
        <v>40.367886853125704</v>
      </c>
    </row>
    <row r="538" spans="1:20" x14ac:dyDescent="0.25">
      <c r="A538" s="5">
        <v>44055</v>
      </c>
      <c r="B538">
        <v>8.1970000000000003E-4</v>
      </c>
      <c r="C538">
        <v>8.9050000000000002E-4</v>
      </c>
      <c r="D538">
        <v>7.8750000000000001E-4</v>
      </c>
      <c r="E538">
        <v>8.5840000000000005E-4</v>
      </c>
      <c r="F538">
        <v>2252131205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0.37669902912621428</v>
      </c>
      <c r="Q538">
        <f t="shared" si="985"/>
        <v>848375638.38835108</v>
      </c>
      <c r="R538">
        <f t="shared" si="986"/>
        <v>4235522358.7824092</v>
      </c>
      <c r="S538">
        <f t="shared" si="987"/>
        <v>42355.22358782409</v>
      </c>
      <c r="T538">
        <f t="shared" si="988"/>
        <v>42.355223587824092</v>
      </c>
    </row>
    <row r="539" spans="1:20" x14ac:dyDescent="0.25">
      <c r="A539" s="5">
        <v>44054</v>
      </c>
      <c r="B539">
        <v>8.5780000000000003E-4</v>
      </c>
      <c r="C539">
        <v>8.6379999999999996E-4</v>
      </c>
      <c r="D539">
        <v>7.9000000000000001E-4</v>
      </c>
      <c r="E539">
        <v>8.1979999999999998E-4</v>
      </c>
      <c r="F539">
        <v>1568016367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-0.1924119241192416</v>
      </c>
      <c r="Q539">
        <f t="shared" si="985"/>
        <v>-301705046.22493291</v>
      </c>
      <c r="R539">
        <f t="shared" si="986"/>
        <v>3387146720.3940582</v>
      </c>
      <c r="S539">
        <f t="shared" si="987"/>
        <v>33871.467203940585</v>
      </c>
      <c r="T539">
        <f t="shared" si="988"/>
        <v>33.871467203940583</v>
      </c>
    </row>
    <row r="540" spans="1:20" x14ac:dyDescent="0.25">
      <c r="A540" s="5">
        <v>44053</v>
      </c>
      <c r="B540">
        <v>8.3230000000000001E-4</v>
      </c>
      <c r="C540">
        <v>8.7100000000000003E-4</v>
      </c>
      <c r="D540">
        <v>8.1789999999999999E-4</v>
      </c>
      <c r="E540">
        <v>8.5780000000000003E-4</v>
      </c>
      <c r="F540">
        <v>1906377599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0.50282485875706273</v>
      </c>
      <c r="Q540">
        <f t="shared" si="985"/>
        <v>958574046.95480335</v>
      </c>
      <c r="R540">
        <f t="shared" si="986"/>
        <v>3688851766.6189914</v>
      </c>
      <c r="S540">
        <f t="shared" si="987"/>
        <v>36888.517666189917</v>
      </c>
      <c r="T540">
        <f t="shared" si="988"/>
        <v>36.888517666189919</v>
      </c>
    </row>
    <row r="541" spans="1:20" x14ac:dyDescent="0.25">
      <c r="A541" s="5">
        <v>44052</v>
      </c>
      <c r="B541">
        <v>8.5150000000000004E-4</v>
      </c>
      <c r="C541">
        <v>8.83E-4</v>
      </c>
      <c r="D541">
        <v>8.2070000000000005E-4</v>
      </c>
      <c r="E541">
        <v>8.3219999999999995E-4</v>
      </c>
      <c r="F541">
        <v>1688893046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-0.63081861958266738</v>
      </c>
      <c r="Q541">
        <f t="shared" si="985"/>
        <v>-1065385179.9004864</v>
      </c>
      <c r="R541">
        <f t="shared" si="986"/>
        <v>2730277719.6641879</v>
      </c>
      <c r="S541">
        <f t="shared" si="987"/>
        <v>27302.77719664188</v>
      </c>
      <c r="T541">
        <f t="shared" si="988"/>
        <v>27.30277719664188</v>
      </c>
    </row>
    <row r="542" spans="1:20" x14ac:dyDescent="0.25">
      <c r="A542" s="5">
        <v>44051</v>
      </c>
      <c r="B542">
        <v>8.5800000000000004E-4</v>
      </c>
      <c r="C542">
        <v>8.9999999999999998E-4</v>
      </c>
      <c r="D542">
        <v>8.2589999999999996E-4</v>
      </c>
      <c r="E542">
        <v>8.5170000000000005E-4</v>
      </c>
      <c r="F542">
        <v>3643375921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-0.30364372469635409</v>
      </c>
      <c r="Q542">
        <f t="shared" si="985"/>
        <v>-1106288235.1214495</v>
      </c>
      <c r="R542">
        <f t="shared" si="986"/>
        <v>3795662899.5646744</v>
      </c>
      <c r="S542">
        <f t="shared" si="987"/>
        <v>37956.628995646744</v>
      </c>
      <c r="T542">
        <f t="shared" si="988"/>
        <v>37.956628995646746</v>
      </c>
    </row>
    <row r="543" spans="1:20" x14ac:dyDescent="0.25">
      <c r="A543" s="5">
        <v>44050</v>
      </c>
      <c r="B543">
        <v>7.8450000000000004E-4</v>
      </c>
      <c r="C543">
        <v>8.7540000000000003E-4</v>
      </c>
      <c r="D543">
        <v>7.4989999999999996E-4</v>
      </c>
      <c r="E543">
        <v>8.5780000000000003E-4</v>
      </c>
      <c r="F543">
        <v>3381361267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0.71952191235059781</v>
      </c>
      <c r="Q543">
        <f t="shared" si="985"/>
        <v>2432963525.1800804</v>
      </c>
      <c r="R543">
        <f t="shared" si="986"/>
        <v>4901951134.6861238</v>
      </c>
      <c r="S543">
        <f t="shared" si="987"/>
        <v>49019.51134686124</v>
      </c>
      <c r="T543">
        <f t="shared" si="988"/>
        <v>49.019511346861243</v>
      </c>
    </row>
    <row r="544" spans="1:20" x14ac:dyDescent="0.25">
      <c r="A544" s="5">
        <v>44049</v>
      </c>
      <c r="B544">
        <v>7.6610000000000003E-4</v>
      </c>
      <c r="C544">
        <v>7.9429999999999995E-4</v>
      </c>
      <c r="D544">
        <v>7.5699999999999997E-4</v>
      </c>
      <c r="E544">
        <v>7.8450000000000004E-4</v>
      </c>
      <c r="F544">
        <v>1451948664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0.47453083109920019</v>
      </c>
      <c r="Q544">
        <f t="shared" si="985"/>
        <v>688994406.24129331</v>
      </c>
      <c r="R544">
        <f t="shared" si="986"/>
        <v>2468987609.5060434</v>
      </c>
      <c r="S544">
        <f t="shared" si="987"/>
        <v>24689.876095060434</v>
      </c>
      <c r="T544">
        <f t="shared" si="988"/>
        <v>24.689876095060434</v>
      </c>
    </row>
    <row r="545" spans="1:20" x14ac:dyDescent="0.25">
      <c r="A545" s="5">
        <v>44048</v>
      </c>
      <c r="B545">
        <v>7.783E-4</v>
      </c>
      <c r="C545">
        <v>7.7999999999999999E-4</v>
      </c>
      <c r="D545">
        <v>7.5829999999999995E-4</v>
      </c>
      <c r="E545">
        <v>7.6610000000000003E-4</v>
      </c>
      <c r="F545">
        <v>1039700427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-0.28110599078340398</v>
      </c>
      <c r="Q545">
        <f t="shared" si="985"/>
        <v>-292266018.64976317</v>
      </c>
      <c r="R545">
        <f t="shared" si="986"/>
        <v>1779993203.26475</v>
      </c>
      <c r="S545">
        <f t="shared" si="987"/>
        <v>17799.932032647499</v>
      </c>
      <c r="T545">
        <f t="shared" si="988"/>
        <v>17.799932032647497</v>
      </c>
    </row>
    <row r="546" spans="1:20" x14ac:dyDescent="0.25">
      <c r="A546" s="5">
        <v>44047</v>
      </c>
      <c r="B546">
        <v>7.7119999999999999E-4</v>
      </c>
      <c r="C546">
        <v>7.8149999999999997E-4</v>
      </c>
      <c r="D546">
        <v>7.6190000000000003E-4</v>
      </c>
      <c r="E546">
        <v>7.7879999999999996E-4</v>
      </c>
      <c r="F546">
        <v>859863812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0.72448979591836526</v>
      </c>
      <c r="Q546">
        <f t="shared" si="985"/>
        <v>622962557.67346764</v>
      </c>
      <c r="R546">
        <f t="shared" si="986"/>
        <v>2072259221.9145131</v>
      </c>
      <c r="S546">
        <f t="shared" si="987"/>
        <v>20722.592219145132</v>
      </c>
      <c r="T546">
        <f t="shared" si="988"/>
        <v>20.722592219145131</v>
      </c>
    </row>
    <row r="547" spans="1:20" x14ac:dyDescent="0.25">
      <c r="A547" s="5">
        <v>44046</v>
      </c>
      <c r="B547">
        <v>7.6360000000000002E-4</v>
      </c>
      <c r="C547">
        <v>7.7899999999999996E-4</v>
      </c>
      <c r="D547">
        <v>7.5630000000000001E-4</v>
      </c>
      <c r="E547">
        <v>7.6990000000000001E-4</v>
      </c>
      <c r="F547">
        <v>1179880089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0.19823788546255788</v>
      </c>
      <c r="Q547">
        <f t="shared" si="985"/>
        <v>233896933.9427346</v>
      </c>
      <c r="R547">
        <f t="shared" si="986"/>
        <v>1449296664.2410455</v>
      </c>
      <c r="S547">
        <f t="shared" si="987"/>
        <v>14492.966642410454</v>
      </c>
      <c r="T547">
        <f t="shared" si="988"/>
        <v>14.492966642410455</v>
      </c>
    </row>
    <row r="548" spans="1:20" x14ac:dyDescent="0.25">
      <c r="A548" s="5">
        <v>44045</v>
      </c>
      <c r="B548">
        <v>8.116E-4</v>
      </c>
      <c r="C548">
        <v>8.2759999999999995E-4</v>
      </c>
      <c r="D548">
        <v>7.3999999999999999E-4</v>
      </c>
      <c r="E548">
        <v>7.6349999999999996E-4</v>
      </c>
      <c r="F548">
        <v>2223625849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-0.46347031963470353</v>
      </c>
      <c r="Q548">
        <f t="shared" si="985"/>
        <v>-1030584582.984019</v>
      </c>
      <c r="R548">
        <f t="shared" si="986"/>
        <v>1215399730.298311</v>
      </c>
      <c r="S548">
        <f t="shared" si="987"/>
        <v>12153.997302983111</v>
      </c>
      <c r="T548">
        <f t="shared" si="988"/>
        <v>12.153997302983111</v>
      </c>
    </row>
    <row r="549" spans="1:20" x14ac:dyDescent="0.25">
      <c r="A549" s="5">
        <v>44044</v>
      </c>
      <c r="B549">
        <v>7.5960000000000003E-4</v>
      </c>
      <c r="C549">
        <v>8.2399999999999997E-4</v>
      </c>
      <c r="D549">
        <v>7.5659999999999996E-4</v>
      </c>
      <c r="E549">
        <v>8.1099999999999998E-4</v>
      </c>
      <c r="F549">
        <v>2004021265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0.61424332344213683</v>
      </c>
      <c r="Q549">
        <f t="shared" si="985"/>
        <v>1230956682.0623152</v>
      </c>
      <c r="R549">
        <f t="shared" si="986"/>
        <v>2245984313.28233</v>
      </c>
      <c r="S549">
        <f t="shared" si="987"/>
        <v>22459.843132823302</v>
      </c>
      <c r="T549">
        <f t="shared" si="988"/>
        <v>22.459843132823302</v>
      </c>
    </row>
    <row r="550" spans="1:20" x14ac:dyDescent="0.25">
      <c r="A550" s="5">
        <v>44043</v>
      </c>
      <c r="B550">
        <v>7.6099999999999996E-4</v>
      </c>
      <c r="C550">
        <v>7.6909999999999999E-4</v>
      </c>
      <c r="D550">
        <v>7.4980000000000001E-4</v>
      </c>
      <c r="E550">
        <v>7.6110000000000001E-4</v>
      </c>
      <c r="F550">
        <v>779433473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0.17098445595855075</v>
      </c>
      <c r="Q550">
        <f t="shared" si="985"/>
        <v>133271008.33678876</v>
      </c>
      <c r="R550">
        <f t="shared" si="986"/>
        <v>1015027631.2200148</v>
      </c>
      <c r="S550">
        <f t="shared" si="987"/>
        <v>10150.276312200149</v>
      </c>
      <c r="T550">
        <f t="shared" si="988"/>
        <v>10.150276312200148</v>
      </c>
    </row>
    <row r="551" spans="1:20" x14ac:dyDescent="0.25">
      <c r="A551" s="5">
        <v>44042</v>
      </c>
      <c r="B551">
        <v>7.5520000000000003E-4</v>
      </c>
      <c r="C551">
        <v>7.6990000000000001E-4</v>
      </c>
      <c r="D551">
        <v>7.4330000000000002E-4</v>
      </c>
      <c r="E551">
        <v>7.6110000000000001E-4</v>
      </c>
      <c r="F551">
        <v>971448973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0.33834586466165428</v>
      </c>
      <c r="Q551">
        <f t="shared" si="985"/>
        <v>328685742.74436104</v>
      </c>
      <c r="R551">
        <f t="shared" si="986"/>
        <v>881756622.88322604</v>
      </c>
      <c r="S551">
        <f t="shared" si="987"/>
        <v>8817.5662288322601</v>
      </c>
      <c r="T551">
        <f t="shared" si="988"/>
        <v>8.8175662288322609</v>
      </c>
    </row>
    <row r="552" spans="1:20" x14ac:dyDescent="0.25">
      <c r="A552" s="5">
        <v>44041</v>
      </c>
      <c r="B552">
        <v>7.7220000000000001E-4</v>
      </c>
      <c r="C552">
        <v>7.8299999999999995E-4</v>
      </c>
      <c r="D552">
        <v>7.3249999999999997E-4</v>
      </c>
      <c r="E552">
        <v>7.538E-4</v>
      </c>
      <c r="F552">
        <v>1689023068</v>
      </c>
      <c r="G552">
        <v>0</v>
      </c>
      <c r="L552" t="s">
        <v>7</v>
      </c>
      <c r="M552" t="s">
        <v>7</v>
      </c>
      <c r="N552" t="s">
        <v>8</v>
      </c>
      <c r="P552">
        <f t="shared" si="984"/>
        <v>-0.15643564356435494</v>
      </c>
      <c r="Q552">
        <f t="shared" si="985"/>
        <v>-264223410.63762122</v>
      </c>
      <c r="R552">
        <f t="shared" si="986"/>
        <v>553070880.13886499</v>
      </c>
      <c r="S552">
        <f t="shared" si="987"/>
        <v>5530.7088013886496</v>
      </c>
      <c r="T552">
        <f t="shared" si="988"/>
        <v>5.5307088013886494</v>
      </c>
    </row>
    <row r="553" spans="1:20" x14ac:dyDescent="0.25">
      <c r="A553" s="5">
        <v>44040</v>
      </c>
      <c r="B553">
        <v>7.1860000000000001E-4</v>
      </c>
      <c r="C553">
        <v>7.7689999999999996E-4</v>
      </c>
      <c r="D553">
        <v>7.0310000000000001E-4</v>
      </c>
      <c r="E553">
        <v>7.6900000000000004E-4</v>
      </c>
      <c r="F553">
        <v>2106819369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0.78590785907859273</v>
      </c>
      <c r="Q553">
        <f t="shared" si="985"/>
        <v>1655765899.7561016</v>
      </c>
      <c r="R553">
        <f t="shared" si="986"/>
        <v>817294290.77648628</v>
      </c>
      <c r="S553">
        <f t="shared" si="987"/>
        <v>8172.9429077648629</v>
      </c>
      <c r="T553">
        <f t="shared" si="988"/>
        <v>8.1729429077648632</v>
      </c>
    </row>
    <row r="554" spans="1:20" x14ac:dyDescent="0.25">
      <c r="A554" s="5">
        <v>44039</v>
      </c>
      <c r="B554">
        <v>7.492E-4</v>
      </c>
      <c r="C554">
        <v>7.5000000000000002E-4</v>
      </c>
      <c r="D554">
        <v>6.9169999999999995E-4</v>
      </c>
      <c r="E554">
        <v>7.1869999999999996E-4</v>
      </c>
      <c r="F554">
        <v>2714115429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-7.3756432246999071E-2</v>
      </c>
      <c r="Q554">
        <f t="shared" si="985"/>
        <v>-200183470.74957332</v>
      </c>
      <c r="R554">
        <f t="shared" si="986"/>
        <v>-838471608.97961533</v>
      </c>
      <c r="S554">
        <f t="shared" si="987"/>
        <v>-8384.716089796153</v>
      </c>
      <c r="T554">
        <f t="shared" si="988"/>
        <v>-8.3847160897961537</v>
      </c>
    </row>
    <row r="555" spans="1:20" x14ac:dyDescent="0.25">
      <c r="A555" s="5">
        <v>44038</v>
      </c>
      <c r="B555">
        <v>7.6369999999999997E-4</v>
      </c>
      <c r="C555">
        <v>7.6570000000000002E-4</v>
      </c>
      <c r="D555">
        <v>6.6010000000000005E-4</v>
      </c>
      <c r="E555">
        <v>7.4930000000000005E-4</v>
      </c>
      <c r="F555">
        <v>2326797942</v>
      </c>
      <c r="G555">
        <v>0</v>
      </c>
      <c r="L555" t="s">
        <v>8</v>
      </c>
      <c r="M555" t="s">
        <v>7</v>
      </c>
      <c r="N555" t="s">
        <v>8</v>
      </c>
      <c r="P555">
        <f t="shared" si="984"/>
        <v>0.68939393939394</v>
      </c>
      <c r="Q555">
        <f t="shared" si="985"/>
        <v>1604080399.4090924</v>
      </c>
      <c r="R555">
        <f t="shared" si="986"/>
        <v>-638288138.23004198</v>
      </c>
      <c r="S555">
        <f t="shared" si="987"/>
        <v>-6382.8813823004202</v>
      </c>
      <c r="T555">
        <f t="shared" si="988"/>
        <v>-6.38288138230042</v>
      </c>
    </row>
    <row r="556" spans="1:20" x14ac:dyDescent="0.25">
      <c r="A556" s="5">
        <v>44037</v>
      </c>
      <c r="B556">
        <v>7.7220000000000001E-4</v>
      </c>
      <c r="C556">
        <v>7.9409999999999995E-4</v>
      </c>
      <c r="D556">
        <v>7.561E-4</v>
      </c>
      <c r="E556">
        <v>7.6369999999999997E-4</v>
      </c>
      <c r="F556">
        <v>2031057245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-0.60000000000000109</v>
      </c>
      <c r="Q556">
        <f t="shared" si="985"/>
        <v>-1218634347.0000021</v>
      </c>
      <c r="R556">
        <f t="shared" si="986"/>
        <v>-2242368537.6391344</v>
      </c>
      <c r="S556">
        <f t="shared" si="987"/>
        <v>-22423.685376391342</v>
      </c>
      <c r="T556">
        <f t="shared" si="988"/>
        <v>-22.423685376391344</v>
      </c>
    </row>
    <row r="557" spans="1:20" x14ac:dyDescent="0.25">
      <c r="A557" s="5">
        <v>44036</v>
      </c>
      <c r="B557">
        <v>7.8399999999999997E-4</v>
      </c>
      <c r="C557">
        <v>7.8989999999999996E-4</v>
      </c>
      <c r="D557">
        <v>7.6139999999999997E-4</v>
      </c>
      <c r="E557">
        <v>7.7209999999999996E-4</v>
      </c>
      <c r="F557">
        <v>1080398612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-0.2491228070175443</v>
      </c>
      <c r="Q557">
        <f t="shared" si="985"/>
        <v>-269151934.91929871</v>
      </c>
      <c r="R557">
        <f t="shared" si="986"/>
        <v>-1023734190.6391325</v>
      </c>
      <c r="S557">
        <f t="shared" si="987"/>
        <v>-10237.341906391324</v>
      </c>
      <c r="T557">
        <f t="shared" si="988"/>
        <v>-10.237341906391324</v>
      </c>
    </row>
    <row r="558" spans="1:20" x14ac:dyDescent="0.25">
      <c r="A558" s="5">
        <v>44035</v>
      </c>
      <c r="B558">
        <v>7.7410000000000001E-4</v>
      </c>
      <c r="C558">
        <v>8.0000000000000004E-4</v>
      </c>
      <c r="D558">
        <v>7.6429999999999998E-4</v>
      </c>
      <c r="E558">
        <v>7.8410000000000003E-4</v>
      </c>
      <c r="F558">
        <v>1638922584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0.10924369747899257</v>
      </c>
      <c r="Q558">
        <f t="shared" si="985"/>
        <v>179041962.95798478</v>
      </c>
      <c r="R558">
        <f t="shared" si="986"/>
        <v>-754582255.71983373</v>
      </c>
      <c r="S558">
        <f t="shared" si="987"/>
        <v>-7545.8225571983376</v>
      </c>
      <c r="T558">
        <f t="shared" si="988"/>
        <v>-7.5458225571983375</v>
      </c>
    </row>
    <row r="559" spans="1:20" x14ac:dyDescent="0.25">
      <c r="A559" s="5">
        <v>44034</v>
      </c>
      <c r="B559">
        <v>7.5909999999999997E-4</v>
      </c>
      <c r="C559">
        <v>8.1649999999999995E-4</v>
      </c>
      <c r="D559">
        <v>7.4529999999999996E-4</v>
      </c>
      <c r="E559">
        <v>7.7260000000000002E-4</v>
      </c>
      <c r="F559">
        <v>3405409429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-0.23314606741572841</v>
      </c>
      <c r="Q559">
        <f t="shared" si="985"/>
        <v>-793957816.31179118</v>
      </c>
      <c r="R559">
        <f t="shared" si="986"/>
        <v>-933624218.67781854</v>
      </c>
      <c r="S559">
        <f t="shared" si="987"/>
        <v>-9336.242186778185</v>
      </c>
      <c r="T559">
        <f t="shared" si="988"/>
        <v>-9.3362421867781844</v>
      </c>
    </row>
    <row r="560" spans="1:20" x14ac:dyDescent="0.25">
      <c r="A560" s="5">
        <v>44033</v>
      </c>
      <c r="B560">
        <v>7.0810000000000003E-4</v>
      </c>
      <c r="C560">
        <v>7.7050000000000003E-4</v>
      </c>
      <c r="D560">
        <v>7.0620000000000004E-4</v>
      </c>
      <c r="E560">
        <v>7.5529999999999998E-4</v>
      </c>
      <c r="F560">
        <v>3013296813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0.5272161741835133</v>
      </c>
      <c r="Q560">
        <f t="shared" si="985"/>
        <v>1588658817.4292336</v>
      </c>
      <c r="R560">
        <f t="shared" si="986"/>
        <v>-139666402.36602736</v>
      </c>
      <c r="S560">
        <f t="shared" si="987"/>
        <v>-1396.6640236602736</v>
      </c>
      <c r="T560">
        <f t="shared" si="988"/>
        <v>-1.3966640236602736</v>
      </c>
    </row>
    <row r="561" spans="1:104" x14ac:dyDescent="0.25">
      <c r="A561" s="5">
        <v>44032</v>
      </c>
      <c r="B561">
        <v>7.2729999999999995E-4</v>
      </c>
      <c r="C561">
        <v>7.3999999999999999E-4</v>
      </c>
      <c r="D561">
        <v>6.9999999999999999E-4</v>
      </c>
      <c r="E561">
        <v>7.0810000000000003E-4</v>
      </c>
      <c r="F561">
        <v>1784155392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-0.5949999999999982</v>
      </c>
      <c r="Q561">
        <f t="shared" si="985"/>
        <v>-1061572458.2399968</v>
      </c>
      <c r="R561">
        <f t="shared" si="986"/>
        <v>-1728325219.7952609</v>
      </c>
      <c r="S561">
        <f t="shared" si="987"/>
        <v>-17283.25219795261</v>
      </c>
      <c r="T561">
        <f t="shared" si="988"/>
        <v>-17.28325219795261</v>
      </c>
      <c r="CZ561" t="s">
        <v>7</v>
      </c>
    </row>
    <row r="562" spans="1:104" x14ac:dyDescent="0.25">
      <c r="A562" s="5">
        <v>44031</v>
      </c>
      <c r="B562">
        <v>6.9839999999999995E-4</v>
      </c>
      <c r="C562">
        <v>7.3490000000000003E-4</v>
      </c>
      <c r="D562">
        <v>6.8000000000000005E-4</v>
      </c>
      <c r="E562">
        <v>7.2579999999999997E-4</v>
      </c>
      <c r="F562">
        <v>2365927829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0.66848816029143676</v>
      </c>
      <c r="Q562">
        <f t="shared" si="985"/>
        <v>1581594741.7905231</v>
      </c>
      <c r="R562">
        <f t="shared" si="986"/>
        <v>-666752761.555264</v>
      </c>
      <c r="S562">
        <f t="shared" si="987"/>
        <v>-6667.5276155526399</v>
      </c>
      <c r="T562">
        <f t="shared" si="988"/>
        <v>-6.6675276155526397</v>
      </c>
      <c r="CZ562" t="s">
        <v>7</v>
      </c>
    </row>
    <row r="563" spans="1:104" x14ac:dyDescent="0.25">
      <c r="A563" s="5">
        <v>44030</v>
      </c>
      <c r="B563">
        <v>7.2250000000000005E-4</v>
      </c>
      <c r="C563">
        <v>7.2999999999999996E-4</v>
      </c>
      <c r="D563">
        <v>6.9010000000000002E-4</v>
      </c>
      <c r="E563">
        <v>7.0069999999999996E-4</v>
      </c>
      <c r="F563">
        <v>1357097100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-0.46867167919799757</v>
      </c>
      <c r="Q563">
        <f t="shared" si="985"/>
        <v>-636032976.69173288</v>
      </c>
      <c r="R563">
        <f t="shared" si="986"/>
        <v>-2248347503.345787</v>
      </c>
      <c r="S563">
        <f t="shared" si="987"/>
        <v>-22483.475033457871</v>
      </c>
      <c r="T563">
        <f t="shared" si="988"/>
        <v>-22.483475033457871</v>
      </c>
      <c r="CZ563" t="s">
        <v>7</v>
      </c>
    </row>
    <row r="564" spans="1:104" x14ac:dyDescent="0.25">
      <c r="A564" s="5">
        <v>44029</v>
      </c>
      <c r="B564">
        <v>7.3680000000000002E-4</v>
      </c>
      <c r="C564">
        <v>7.6000000000000004E-4</v>
      </c>
      <c r="D564">
        <v>7.159E-4</v>
      </c>
      <c r="E564">
        <v>7.2090000000000001E-4</v>
      </c>
      <c r="F564">
        <v>2506633345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-0.77324263038548713</v>
      </c>
      <c r="Q564">
        <f t="shared" si="985"/>
        <v>-1938235761.0997722</v>
      </c>
      <c r="R564">
        <f t="shared" si="986"/>
        <v>-1612314526.6540544</v>
      </c>
      <c r="S564">
        <f t="shared" si="987"/>
        <v>-16123.145266540543</v>
      </c>
      <c r="T564">
        <f t="shared" si="988"/>
        <v>-16.123145266540543</v>
      </c>
    </row>
    <row r="565" spans="1:104" x14ac:dyDescent="0.25">
      <c r="A565" s="5">
        <v>44028</v>
      </c>
      <c r="B565">
        <v>6.824E-4</v>
      </c>
      <c r="C565">
        <v>7.517E-4</v>
      </c>
      <c r="D565">
        <v>6.4999999999999997E-4</v>
      </c>
      <c r="E565">
        <v>7.3499999999999998E-4</v>
      </c>
      <c r="F565">
        <v>3151178830</v>
      </c>
      <c r="G565">
        <v>0</v>
      </c>
      <c r="L565" t="s">
        <v>8</v>
      </c>
      <c r="M565" t="s">
        <v>7</v>
      </c>
      <c r="N565" t="s">
        <v>8</v>
      </c>
      <c r="P565">
        <f t="shared" si="984"/>
        <v>0.67158308751229068</v>
      </c>
      <c r="Q565">
        <f t="shared" si="985"/>
        <v>2116278407.9547677</v>
      </c>
      <c r="R565">
        <f t="shared" si="986"/>
        <v>325921234.44571781</v>
      </c>
      <c r="S565">
        <f t="shared" si="987"/>
        <v>3259.212344457178</v>
      </c>
      <c r="T565">
        <f t="shared" si="988"/>
        <v>3.2592123444571781</v>
      </c>
    </row>
    <row r="566" spans="1:104" x14ac:dyDescent="0.25">
      <c r="A566" s="5">
        <v>44027</v>
      </c>
      <c r="B566">
        <v>7.1969999999999998E-4</v>
      </c>
      <c r="C566">
        <v>7.2900000000000005E-4</v>
      </c>
      <c r="D566">
        <v>6.7969999999999999E-4</v>
      </c>
      <c r="E566">
        <v>6.824E-4</v>
      </c>
      <c r="F566">
        <v>1111628294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-0.89046653144016197</v>
      </c>
      <c r="Q566">
        <f t="shared" si="985"/>
        <v>-989867791.20892465</v>
      </c>
      <c r="R566">
        <f t="shared" si="986"/>
        <v>-1790357173.5090499</v>
      </c>
      <c r="S566">
        <f t="shared" si="987"/>
        <v>-17903.5717350905</v>
      </c>
      <c r="T566">
        <f t="shared" si="988"/>
        <v>-17.903571735090498</v>
      </c>
    </row>
    <row r="567" spans="1:104" x14ac:dyDescent="0.25">
      <c r="A567" s="5">
        <v>44026</v>
      </c>
      <c r="B567">
        <v>7.0799999999999997E-4</v>
      </c>
      <c r="C567">
        <v>7.4200000000000004E-4</v>
      </c>
      <c r="D567">
        <v>6.9999999999999999E-4</v>
      </c>
      <c r="E567">
        <v>7.1880000000000002E-4</v>
      </c>
      <c r="F567">
        <v>1324649819</v>
      </c>
      <c r="G567">
        <v>0</v>
      </c>
      <c r="L567" t="s">
        <v>8</v>
      </c>
      <c r="M567" t="s">
        <v>7</v>
      </c>
      <c r="N567" t="s">
        <v>8</v>
      </c>
      <c r="P567">
        <f t="shared" si="984"/>
        <v>-0.10476190476190461</v>
      </c>
      <c r="Q567">
        <f t="shared" si="985"/>
        <v>-138772838.18095219</v>
      </c>
      <c r="R567">
        <f t="shared" si="986"/>
        <v>-800489382.30012524</v>
      </c>
      <c r="S567">
        <f t="shared" si="987"/>
        <v>-8004.8938230012527</v>
      </c>
      <c r="T567">
        <f t="shared" si="988"/>
        <v>-8.0048938230012521</v>
      </c>
    </row>
    <row r="568" spans="1:104" x14ac:dyDescent="0.25">
      <c r="A568" s="5">
        <v>44025</v>
      </c>
      <c r="B568">
        <v>6.9899999999999997E-4</v>
      </c>
      <c r="C568">
        <v>7.9040000000000002E-4</v>
      </c>
      <c r="D568">
        <v>6.78E-4</v>
      </c>
      <c r="E568">
        <v>7.0799999999999997E-4</v>
      </c>
      <c r="F568">
        <v>4003477820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-0.46619217081850595</v>
      </c>
      <c r="Q568">
        <f t="shared" si="985"/>
        <v>-1866390015.7295399</v>
      </c>
      <c r="R568">
        <f t="shared" si="986"/>
        <v>-661716544.11917305</v>
      </c>
      <c r="S568">
        <f t="shared" si="987"/>
        <v>-6617.1654411917307</v>
      </c>
      <c r="T568">
        <f t="shared" si="988"/>
        <v>-6.6171654411917311</v>
      </c>
    </row>
    <row r="569" spans="1:104" x14ac:dyDescent="0.25">
      <c r="A569" s="5">
        <v>44024</v>
      </c>
      <c r="B569">
        <v>7.1699999999999997E-4</v>
      </c>
      <c r="C569">
        <v>7.2740000000000001E-4</v>
      </c>
      <c r="D569">
        <v>6.8519999999999996E-4</v>
      </c>
      <c r="E569">
        <v>6.9999999999999999E-4</v>
      </c>
      <c r="F569">
        <v>1187980207</v>
      </c>
      <c r="G569">
        <v>0</v>
      </c>
      <c r="L569" t="s">
        <v>8</v>
      </c>
      <c r="M569" t="s">
        <v>7</v>
      </c>
      <c r="N569" t="s">
        <v>8</v>
      </c>
      <c r="P569">
        <f t="shared" si="984"/>
        <v>-0.2985781990521319</v>
      </c>
      <c r="Q569">
        <f t="shared" si="985"/>
        <v>-354704990.71563888</v>
      </c>
      <c r="R569">
        <f t="shared" si="986"/>
        <v>1204673471.6103668</v>
      </c>
      <c r="S569">
        <f t="shared" si="987"/>
        <v>12046.734716103669</v>
      </c>
      <c r="T569">
        <f t="shared" si="988"/>
        <v>12.04673471610367</v>
      </c>
    </row>
    <row r="570" spans="1:104" x14ac:dyDescent="0.25">
      <c r="A570" s="5">
        <v>44023</v>
      </c>
      <c r="B570">
        <v>7.2800000000000002E-4</v>
      </c>
      <c r="C570">
        <v>7.3229999999999996E-4</v>
      </c>
      <c r="D570">
        <v>6.9800000000000005E-4</v>
      </c>
      <c r="E570">
        <v>7.1719999999999998E-4</v>
      </c>
      <c r="F570">
        <v>1955222413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0.11953352769679147</v>
      </c>
      <c r="Q570">
        <f t="shared" si="985"/>
        <v>233714632.45772296</v>
      </c>
      <c r="R570">
        <f t="shared" si="986"/>
        <v>1559378462.3260057</v>
      </c>
      <c r="S570">
        <f t="shared" si="987"/>
        <v>15593.784623260057</v>
      </c>
      <c r="T570">
        <f t="shared" si="988"/>
        <v>15.593784623260056</v>
      </c>
    </row>
    <row r="571" spans="1:104" x14ac:dyDescent="0.25">
      <c r="A571" s="5">
        <v>44022</v>
      </c>
      <c r="B571">
        <v>8.0449999999999999E-4</v>
      </c>
      <c r="C571">
        <v>8.1030000000000002E-4</v>
      </c>
      <c r="D571">
        <v>7.0259999999999995E-4</v>
      </c>
      <c r="E571">
        <v>7.3209999999999996E-4</v>
      </c>
      <c r="F571">
        <v>5047886343</v>
      </c>
      <c r="G571">
        <v>0</v>
      </c>
      <c r="L571" t="s">
        <v>8</v>
      </c>
      <c r="M571" t="s">
        <v>7</v>
      </c>
      <c r="N571" t="s">
        <v>8</v>
      </c>
      <c r="P571">
        <f t="shared" si="984"/>
        <v>-0.45218198700092865</v>
      </c>
      <c r="Q571">
        <f t="shared" si="985"/>
        <v>-2282563276.7325912</v>
      </c>
      <c r="R571">
        <f t="shared" si="986"/>
        <v>1325663829.8682828</v>
      </c>
      <c r="S571">
        <f t="shared" si="987"/>
        <v>13256.638298682828</v>
      </c>
      <c r="T571">
        <f t="shared" si="988"/>
        <v>13.256638298682828</v>
      </c>
    </row>
    <row r="572" spans="1:104" x14ac:dyDescent="0.25">
      <c r="A572" s="5">
        <v>44021</v>
      </c>
      <c r="B572">
        <v>6.3150000000000001E-4</v>
      </c>
      <c r="C572">
        <v>8.4049999999999999E-4</v>
      </c>
      <c r="D572">
        <v>6.2850000000000004E-4</v>
      </c>
      <c r="E572">
        <v>8.0309999999999995E-4</v>
      </c>
      <c r="F572">
        <v>23677950013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0.64716981132075424</v>
      </c>
      <c r="Q572">
        <f t="shared" si="985"/>
        <v>15323654442.37546</v>
      </c>
      <c r="R572">
        <f t="shared" si="986"/>
        <v>3608227106.6008739</v>
      </c>
      <c r="S572">
        <f t="shared" si="987"/>
        <v>36082.27106600874</v>
      </c>
      <c r="T572">
        <f t="shared" si="988"/>
        <v>36.082271066008737</v>
      </c>
    </row>
    <row r="573" spans="1:104" x14ac:dyDescent="0.25">
      <c r="A573" s="5">
        <v>44020</v>
      </c>
      <c r="B573">
        <v>5.5800000000000001E-4</v>
      </c>
      <c r="C573">
        <v>6.6089999999999996E-4</v>
      </c>
      <c r="D573">
        <v>5.5500000000000005E-4</v>
      </c>
      <c r="E573">
        <v>6.3150000000000001E-4</v>
      </c>
      <c r="F573">
        <v>3982239331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0.44475920679886727</v>
      </c>
      <c r="Q573">
        <f t="shared" si="985"/>
        <v>1771137606.1388118</v>
      </c>
      <c r="R573">
        <f t="shared" si="986"/>
        <v>-11715427335.774586</v>
      </c>
      <c r="S573">
        <f t="shared" si="987"/>
        <v>-117154.27335774586</v>
      </c>
      <c r="T573">
        <f t="shared" si="988"/>
        <v>-117.15427335774585</v>
      </c>
    </row>
    <row r="574" spans="1:104" x14ac:dyDescent="0.25">
      <c r="A574" s="5">
        <v>44019</v>
      </c>
      <c r="B574">
        <v>5.6700000000000001E-4</v>
      </c>
      <c r="C574">
        <v>5.6700000000000001E-4</v>
      </c>
      <c r="D574">
        <v>5.5000000000000003E-4</v>
      </c>
      <c r="E574">
        <v>5.5559999999999995E-4</v>
      </c>
      <c r="F574">
        <v>1023617790</v>
      </c>
      <c r="G574">
        <v>0</v>
      </c>
      <c r="L574" t="s">
        <v>7</v>
      </c>
      <c r="M574" t="s">
        <v>8</v>
      </c>
      <c r="N574" t="s">
        <v>8</v>
      </c>
      <c r="P574">
        <f t="shared" si="984"/>
        <v>-0.34117647058824402</v>
      </c>
      <c r="Q574">
        <f t="shared" si="985"/>
        <v>-349234304.82353836</v>
      </c>
      <c r="R574">
        <f t="shared" si="986"/>
        <v>-13486564941.913397</v>
      </c>
      <c r="S574">
        <f t="shared" si="987"/>
        <v>-134865.64941913396</v>
      </c>
      <c r="T574">
        <f t="shared" si="988"/>
        <v>-134.86564941913394</v>
      </c>
    </row>
    <row r="575" spans="1:104" x14ac:dyDescent="0.25">
      <c r="A575" s="5">
        <v>44018</v>
      </c>
      <c r="B575">
        <v>5.5800000000000001E-4</v>
      </c>
      <c r="C575">
        <v>5.9820000000000001E-4</v>
      </c>
      <c r="D575">
        <v>5.3930000000000004E-4</v>
      </c>
      <c r="E575">
        <v>5.6720000000000002E-4</v>
      </c>
      <c r="F575">
        <v>2487121088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-5.2631578947368807E-2</v>
      </c>
      <c r="Q575">
        <f t="shared" si="985"/>
        <v>-130901109.89473779</v>
      </c>
      <c r="R575">
        <f t="shared" si="986"/>
        <v>-13137330637.089859</v>
      </c>
      <c r="S575">
        <f t="shared" si="987"/>
        <v>-131373.30637089859</v>
      </c>
      <c r="T575">
        <f t="shared" si="988"/>
        <v>-131.37330637089858</v>
      </c>
    </row>
    <row r="576" spans="1:104" x14ac:dyDescent="0.25">
      <c r="A576" s="5">
        <v>44017</v>
      </c>
      <c r="B576">
        <v>5.5259999999999999E-4</v>
      </c>
      <c r="C576">
        <v>5.7390000000000002E-4</v>
      </c>
      <c r="D576">
        <v>5.4310000000000003E-4</v>
      </c>
      <c r="E576">
        <v>5.5800000000000001E-4</v>
      </c>
      <c r="F576">
        <v>474794123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-3.2467532467533269E-2</v>
      </c>
      <c r="Q576">
        <f t="shared" si="985"/>
        <v>-15415393.603896484</v>
      </c>
      <c r="R576">
        <f t="shared" si="986"/>
        <v>-13006429527.195122</v>
      </c>
      <c r="S576">
        <f t="shared" si="987"/>
        <v>-130064.29527195121</v>
      </c>
      <c r="T576">
        <f t="shared" si="988"/>
        <v>-130.06429527195121</v>
      </c>
    </row>
    <row r="577" spans="1:20" x14ac:dyDescent="0.25">
      <c r="A577" s="5">
        <v>44016</v>
      </c>
      <c r="B577">
        <v>5.4500000000000002E-4</v>
      </c>
      <c r="C577">
        <v>5.7140000000000001E-4</v>
      </c>
      <c r="D577">
        <v>5.4169999999999999E-4</v>
      </c>
      <c r="E577">
        <v>5.5199999999999997E-4</v>
      </c>
      <c r="F577">
        <v>557720872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-0.30639730639730817</v>
      </c>
      <c r="Q577">
        <f t="shared" si="985"/>
        <v>-170884172.90235788</v>
      </c>
      <c r="R577">
        <f t="shared" si="986"/>
        <v>-12991014133.591225</v>
      </c>
      <c r="S577">
        <f t="shared" si="987"/>
        <v>-129910.14133591225</v>
      </c>
      <c r="T577">
        <f t="shared" si="988"/>
        <v>-129.91014133591224</v>
      </c>
    </row>
    <row r="578" spans="1:20" x14ac:dyDescent="0.25">
      <c r="A578" s="5">
        <v>44015</v>
      </c>
      <c r="B578">
        <v>5.4830000000000005E-4</v>
      </c>
      <c r="C578">
        <v>5.5099999999999995E-4</v>
      </c>
      <c r="D578">
        <v>5.4120000000000004E-4</v>
      </c>
      <c r="E578">
        <v>5.4509999999999997E-4</v>
      </c>
      <c r="F578">
        <v>417585146</v>
      </c>
      <c r="G578">
        <v>0</v>
      </c>
      <c r="L578" t="s">
        <v>7</v>
      </c>
      <c r="M578" t="s">
        <v>8</v>
      </c>
      <c r="N578" t="s">
        <v>8</v>
      </c>
      <c r="P578">
        <f t="shared" si="984"/>
        <v>-0.204081632653068</v>
      </c>
      <c r="Q578">
        <f t="shared" si="985"/>
        <v>-85221458.367349774</v>
      </c>
      <c r="R578">
        <f t="shared" si="986"/>
        <v>-12820129960.688868</v>
      </c>
      <c r="S578">
        <f t="shared" si="987"/>
        <v>-128201.29960688867</v>
      </c>
      <c r="T578">
        <f t="shared" si="988"/>
        <v>-128.20129960688868</v>
      </c>
    </row>
    <row r="579" spans="1:20" x14ac:dyDescent="0.25">
      <c r="A579" s="5">
        <v>44014</v>
      </c>
      <c r="B579">
        <v>5.4900000000000001E-4</v>
      </c>
      <c r="C579">
        <v>5.888E-4</v>
      </c>
      <c r="D579">
        <v>5.3499999999999999E-4</v>
      </c>
      <c r="E579">
        <v>5.4839999999999999E-4</v>
      </c>
      <c r="F579">
        <v>1711866391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-0.50185873605947962</v>
      </c>
      <c r="Q579">
        <f t="shared" si="985"/>
        <v>-859115103.28996289</v>
      </c>
      <c r="R579">
        <f t="shared" si="986"/>
        <v>-12734908502.321518</v>
      </c>
      <c r="S579">
        <f t="shared" si="987"/>
        <v>-127349.08502321519</v>
      </c>
      <c r="T579">
        <f t="shared" si="988"/>
        <v>-127.34908502321518</v>
      </c>
    </row>
    <row r="580" spans="1:20" x14ac:dyDescent="0.25">
      <c r="A580" s="5">
        <v>44013</v>
      </c>
      <c r="B580">
        <v>5.2990000000000003E-4</v>
      </c>
      <c r="C580">
        <v>5.5599999999999996E-4</v>
      </c>
      <c r="D580">
        <v>5.1889999999999998E-4</v>
      </c>
      <c r="E580">
        <v>5.4900000000000001E-4</v>
      </c>
      <c r="F580">
        <v>635945182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0.62264150943396457</v>
      </c>
      <c r="Q580">
        <f t="shared" si="985"/>
        <v>395965868.03773731</v>
      </c>
      <c r="R580">
        <f t="shared" si="986"/>
        <v>-11875793399.031555</v>
      </c>
      <c r="S580">
        <f t="shared" si="987"/>
        <v>-118757.93399031555</v>
      </c>
      <c r="T580">
        <f t="shared" si="988"/>
        <v>-118.75793399031555</v>
      </c>
    </row>
    <row r="581" spans="1:20" x14ac:dyDescent="0.25">
      <c r="A581" s="5">
        <v>44012</v>
      </c>
      <c r="B581">
        <v>5.3830000000000002E-4</v>
      </c>
      <c r="C581">
        <v>5.4310000000000003E-4</v>
      </c>
      <c r="D581">
        <v>5.2530000000000003E-4</v>
      </c>
      <c r="E581">
        <v>5.2760000000000003E-4</v>
      </c>
      <c r="F581">
        <v>313746035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-0.74157303370786498</v>
      </c>
      <c r="Q581">
        <f t="shared" si="985"/>
        <v>-232665598.98876399</v>
      </c>
      <c r="R581">
        <f t="shared" si="986"/>
        <v>-12271759267.069292</v>
      </c>
      <c r="S581">
        <f t="shared" si="987"/>
        <v>-122717.59267069292</v>
      </c>
      <c r="T581">
        <f t="shared" si="988"/>
        <v>-122.71759267069292</v>
      </c>
    </row>
    <row r="582" spans="1:20" x14ac:dyDescent="0.25">
      <c r="A582" s="5">
        <v>44011</v>
      </c>
      <c r="B582">
        <v>5.3499999999999999E-4</v>
      </c>
      <c r="C582">
        <v>5.4299999999999997E-4</v>
      </c>
      <c r="D582">
        <v>5.2570000000000004E-4</v>
      </c>
      <c r="E582">
        <v>5.4199999999999995E-4</v>
      </c>
      <c r="F582">
        <v>780651256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0.88439306358381176</v>
      </c>
      <c r="Q582">
        <f t="shared" ref="Q582:Q645" si="990">F582*P582</f>
        <v>690402555.88439047</v>
      </c>
      <c r="R582">
        <f t="shared" ref="R582:R645" si="991">R583+Q582</f>
        <v>-12039093668.080528</v>
      </c>
      <c r="S582">
        <f t="shared" ref="S582:S645" si="992">R582/100000</f>
        <v>-120390.93668080529</v>
      </c>
      <c r="T582">
        <f t="shared" ref="T582:T645" si="993">S582/1000</f>
        <v>-120.39093668080528</v>
      </c>
    </row>
    <row r="583" spans="1:20" x14ac:dyDescent="0.25">
      <c r="A583" s="5">
        <v>44010</v>
      </c>
      <c r="B583">
        <v>5.3180000000000002E-4</v>
      </c>
      <c r="C583">
        <v>5.4000000000000001E-4</v>
      </c>
      <c r="D583">
        <v>5.0009999999999996E-4</v>
      </c>
      <c r="E583">
        <v>5.3499999999999999E-4</v>
      </c>
      <c r="F583">
        <v>462937115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0.74937343358395958</v>
      </c>
      <c r="Q583">
        <f t="shared" si="990"/>
        <v>346912775.40100235</v>
      </c>
      <c r="R583">
        <f t="shared" si="991"/>
        <v>-12729496223.964918</v>
      </c>
      <c r="S583">
        <f t="shared" si="992"/>
        <v>-127294.96223964918</v>
      </c>
      <c r="T583">
        <f t="shared" si="993"/>
        <v>-127.29496223964918</v>
      </c>
    </row>
    <row r="584" spans="1:20" x14ac:dyDescent="0.25">
      <c r="A584" s="5">
        <v>44009</v>
      </c>
      <c r="B584">
        <v>5.486E-4</v>
      </c>
      <c r="C584">
        <v>5.5460000000000004E-4</v>
      </c>
      <c r="D584">
        <v>5.1659999999999998E-4</v>
      </c>
      <c r="E584">
        <v>5.3180000000000002E-4</v>
      </c>
      <c r="F584">
        <v>778053019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-0.19999999999999885</v>
      </c>
      <c r="Q584">
        <f t="shared" si="990"/>
        <v>-155610603.79999909</v>
      </c>
      <c r="R584">
        <f t="shared" si="991"/>
        <v>-13076408999.365921</v>
      </c>
      <c r="S584">
        <f t="shared" si="992"/>
        <v>-130764.0899936592</v>
      </c>
      <c r="T584">
        <f t="shared" si="993"/>
        <v>-130.76408999365921</v>
      </c>
    </row>
    <row r="585" spans="1:20" x14ac:dyDescent="0.25">
      <c r="A585" s="5">
        <v>44008</v>
      </c>
      <c r="B585">
        <v>5.6079999999999997E-4</v>
      </c>
      <c r="C585">
        <v>5.6079999999999997E-4</v>
      </c>
      <c r="D585">
        <v>5.419E-4</v>
      </c>
      <c r="E585">
        <v>5.5259999999999999E-4</v>
      </c>
      <c r="F585">
        <v>389314337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0.13227513227513282</v>
      </c>
      <c r="Q585">
        <f t="shared" si="990"/>
        <v>51496605.423280634</v>
      </c>
      <c r="R585">
        <f t="shared" si="991"/>
        <v>-12920798395.565922</v>
      </c>
      <c r="S585">
        <f t="shared" si="992"/>
        <v>-129207.98395565922</v>
      </c>
      <c r="T585">
        <f t="shared" si="993"/>
        <v>-129.20798395565922</v>
      </c>
    </row>
    <row r="586" spans="1:20" x14ac:dyDescent="0.25">
      <c r="A586" s="5">
        <v>44007</v>
      </c>
      <c r="B586">
        <v>5.6249999999999996E-4</v>
      </c>
      <c r="C586">
        <v>5.6809999999999999E-4</v>
      </c>
      <c r="D586">
        <v>5.419E-4</v>
      </c>
      <c r="E586">
        <v>5.6079999999999997E-4</v>
      </c>
      <c r="F586">
        <v>740338773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0.44274809160305201</v>
      </c>
      <c r="Q586">
        <f t="shared" si="990"/>
        <v>327783578.88549513</v>
      </c>
      <c r="R586">
        <f t="shared" si="991"/>
        <v>-12972295000.989202</v>
      </c>
      <c r="S586">
        <f t="shared" si="992"/>
        <v>-129722.95000989203</v>
      </c>
      <c r="T586">
        <f t="shared" si="993"/>
        <v>-129.72295000989203</v>
      </c>
    </row>
    <row r="587" spans="1:20" x14ac:dyDescent="0.25">
      <c r="A587" s="5">
        <v>44006</v>
      </c>
      <c r="B587">
        <v>5.8149999999999999E-4</v>
      </c>
      <c r="C587">
        <v>5.9500000000000004E-4</v>
      </c>
      <c r="D587">
        <v>5.4799999999999998E-4</v>
      </c>
      <c r="E587">
        <v>5.6249999999999996E-4</v>
      </c>
      <c r="F587">
        <v>683149021</v>
      </c>
      <c r="G587">
        <v>0</v>
      </c>
      <c r="L587" t="s">
        <v>8</v>
      </c>
      <c r="M587" t="s">
        <v>7</v>
      </c>
      <c r="N587" t="s">
        <v>8</v>
      </c>
      <c r="P587">
        <f t="shared" si="989"/>
        <v>-0.38297872340425726</v>
      </c>
      <c r="Q587">
        <f t="shared" si="990"/>
        <v>-261631539.95744812</v>
      </c>
      <c r="R587">
        <f t="shared" si="991"/>
        <v>-13300078579.874697</v>
      </c>
      <c r="S587">
        <f t="shared" si="992"/>
        <v>-133000.78579874698</v>
      </c>
      <c r="T587">
        <f t="shared" si="993"/>
        <v>-133.00078579874699</v>
      </c>
    </row>
    <row r="588" spans="1:20" x14ac:dyDescent="0.25">
      <c r="A588" s="5">
        <v>44005</v>
      </c>
      <c r="B588">
        <v>5.8359999999999998E-4</v>
      </c>
      <c r="C588">
        <v>5.9599999999999996E-4</v>
      </c>
      <c r="D588">
        <v>5.7700000000000004E-4</v>
      </c>
      <c r="E588">
        <v>5.8149999999999999E-4</v>
      </c>
      <c r="F588">
        <v>585938632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-0.52631578947368785</v>
      </c>
      <c r="Q588">
        <f t="shared" si="990"/>
        <v>-308388753.68421268</v>
      </c>
      <c r="R588">
        <f t="shared" si="991"/>
        <v>-13038447039.917248</v>
      </c>
      <c r="S588">
        <f t="shared" si="992"/>
        <v>-130384.47039917248</v>
      </c>
      <c r="T588">
        <f t="shared" si="993"/>
        <v>-130.38447039917247</v>
      </c>
    </row>
    <row r="589" spans="1:20" x14ac:dyDescent="0.25">
      <c r="A589" s="5">
        <v>44004</v>
      </c>
      <c r="B589">
        <v>5.6840000000000005E-4</v>
      </c>
      <c r="C589">
        <v>6.0899999999999995E-4</v>
      </c>
      <c r="D589">
        <v>5.6740000000000002E-4</v>
      </c>
      <c r="E589">
        <v>5.8750000000000002E-4</v>
      </c>
      <c r="F589">
        <v>877414592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-3.3653846153844424E-2</v>
      </c>
      <c r="Q589">
        <f t="shared" si="990"/>
        <v>-29528375.692306176</v>
      </c>
      <c r="R589">
        <f t="shared" si="991"/>
        <v>-12730058286.233036</v>
      </c>
      <c r="S589">
        <f t="shared" si="992"/>
        <v>-127300.58286233035</v>
      </c>
      <c r="T589">
        <f t="shared" si="993"/>
        <v>-127.30058286233036</v>
      </c>
    </row>
    <row r="590" spans="1:20" x14ac:dyDescent="0.25">
      <c r="A590" s="5">
        <v>44003</v>
      </c>
      <c r="B590">
        <v>5.7510000000000005E-4</v>
      </c>
      <c r="C590">
        <v>5.8100000000000003E-4</v>
      </c>
      <c r="D590">
        <v>5.6380000000000004E-4</v>
      </c>
      <c r="E590">
        <v>5.7149999999999996E-4</v>
      </c>
      <c r="F590">
        <v>465580401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-0.10465116279070662</v>
      </c>
      <c r="Q590">
        <f t="shared" si="990"/>
        <v>-48723530.337213464</v>
      </c>
      <c r="R590">
        <f t="shared" si="991"/>
        <v>-12700529910.54073</v>
      </c>
      <c r="S590">
        <f t="shared" si="992"/>
        <v>-127005.29910540729</v>
      </c>
      <c r="T590">
        <f t="shared" si="993"/>
        <v>-127.00529910540729</v>
      </c>
    </row>
    <row r="591" spans="1:20" x14ac:dyDescent="0.25">
      <c r="A591" s="5">
        <v>44002</v>
      </c>
      <c r="B591">
        <v>5.6479999999999996E-4</v>
      </c>
      <c r="C591">
        <v>5.8100000000000003E-4</v>
      </c>
      <c r="D591">
        <v>5.5239999999999998E-4</v>
      </c>
      <c r="E591">
        <v>5.7600000000000001E-4</v>
      </c>
      <c r="F591">
        <v>597301023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0.65034965034964998</v>
      </c>
      <c r="Q591">
        <f t="shared" si="990"/>
        <v>388454511.46153826</v>
      </c>
      <c r="R591">
        <f t="shared" si="991"/>
        <v>-12651806380.203516</v>
      </c>
      <c r="S591">
        <f t="shared" si="992"/>
        <v>-126518.06380203516</v>
      </c>
      <c r="T591">
        <f t="shared" si="993"/>
        <v>-126.51806380203516</v>
      </c>
    </row>
    <row r="592" spans="1:20" x14ac:dyDescent="0.25">
      <c r="A592" s="5">
        <v>44001</v>
      </c>
      <c r="B592">
        <v>5.7729999999999999E-4</v>
      </c>
      <c r="C592">
        <v>5.8E-4</v>
      </c>
      <c r="D592">
        <v>5.5570000000000001E-4</v>
      </c>
      <c r="E592">
        <v>5.6530000000000003E-4</v>
      </c>
      <c r="F592">
        <v>716286836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-0.20987654320987501</v>
      </c>
      <c r="Q592">
        <f t="shared" si="990"/>
        <v>-150331805.08641866</v>
      </c>
      <c r="R592">
        <f t="shared" si="991"/>
        <v>-13040260891.665054</v>
      </c>
      <c r="S592">
        <f t="shared" si="992"/>
        <v>-130402.60891665054</v>
      </c>
      <c r="T592">
        <f t="shared" si="993"/>
        <v>-130.40260891665054</v>
      </c>
    </row>
    <row r="593" spans="1:20" x14ac:dyDescent="0.25">
      <c r="A593" s="5">
        <v>44000</v>
      </c>
      <c r="B593">
        <v>5.8149999999999999E-4</v>
      </c>
      <c r="C593">
        <v>5.8949999999999996E-4</v>
      </c>
      <c r="D593">
        <v>5.6999999999999998E-4</v>
      </c>
      <c r="E593">
        <v>5.7729999999999999E-4</v>
      </c>
      <c r="F593">
        <v>701068865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-0.25128205128204922</v>
      </c>
      <c r="Q593">
        <f t="shared" si="990"/>
        <v>-176166022.48717806</v>
      </c>
      <c r="R593">
        <f t="shared" si="991"/>
        <v>-12889929086.578636</v>
      </c>
      <c r="S593">
        <f t="shared" si="992"/>
        <v>-128899.29086578636</v>
      </c>
      <c r="T593">
        <f t="shared" si="993"/>
        <v>-128.89929086578636</v>
      </c>
    </row>
    <row r="594" spans="1:20" x14ac:dyDescent="0.25">
      <c r="A594" s="5">
        <v>43999</v>
      </c>
      <c r="B594">
        <v>5.865E-4</v>
      </c>
      <c r="C594">
        <v>5.9599999999999996E-4</v>
      </c>
      <c r="D594">
        <v>5.7459999999999998E-4</v>
      </c>
      <c r="E594">
        <v>5.821E-4</v>
      </c>
      <c r="F594">
        <v>764116406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-0.29906542056074509</v>
      </c>
      <c r="Q594">
        <f t="shared" si="990"/>
        <v>-228520794.31775504</v>
      </c>
      <c r="R594">
        <f t="shared" si="991"/>
        <v>-12713763064.091457</v>
      </c>
      <c r="S594">
        <f t="shared" si="992"/>
        <v>-127137.63064091458</v>
      </c>
      <c r="T594">
        <f t="shared" si="993"/>
        <v>-127.13763064091458</v>
      </c>
    </row>
    <row r="595" spans="1:20" x14ac:dyDescent="0.25">
      <c r="A595" s="5">
        <v>43998</v>
      </c>
      <c r="B595">
        <v>5.9040000000000004E-4</v>
      </c>
      <c r="C595">
        <v>6.0860000000000005E-4</v>
      </c>
      <c r="D595">
        <v>5.5979999999999995E-4</v>
      </c>
      <c r="E595">
        <v>5.8339999999999998E-4</v>
      </c>
      <c r="F595">
        <v>1473530981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-3.278688524590237E-2</v>
      </c>
      <c r="Q595">
        <f t="shared" si="990"/>
        <v>-48312491.180328943</v>
      </c>
      <c r="R595">
        <f t="shared" si="991"/>
        <v>-12485242269.773703</v>
      </c>
      <c r="S595">
        <f t="shared" si="992"/>
        <v>-124852.42269773703</v>
      </c>
      <c r="T595">
        <f t="shared" si="993"/>
        <v>-124.85242269773703</v>
      </c>
    </row>
    <row r="596" spans="1:20" x14ac:dyDescent="0.25">
      <c r="A596" s="5">
        <v>43997</v>
      </c>
      <c r="B596">
        <v>5.9290000000000005E-4</v>
      </c>
      <c r="C596">
        <v>5.978E-4</v>
      </c>
      <c r="D596">
        <v>5.5000000000000003E-4</v>
      </c>
      <c r="E596">
        <v>5.9230000000000003E-4</v>
      </c>
      <c r="F596">
        <v>1014443422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0.76987447698744871</v>
      </c>
      <c r="Q596">
        <f t="shared" si="990"/>
        <v>780994098.94560766</v>
      </c>
      <c r="R596">
        <f t="shared" si="991"/>
        <v>-12436929778.593374</v>
      </c>
      <c r="S596">
        <f t="shared" si="992"/>
        <v>-124369.29778593374</v>
      </c>
      <c r="T596">
        <f t="shared" si="993"/>
        <v>-124.36929778593374</v>
      </c>
    </row>
    <row r="597" spans="1:20" x14ac:dyDescent="0.25">
      <c r="A597" s="5">
        <v>43996</v>
      </c>
      <c r="B597">
        <v>6.0959999999999996E-4</v>
      </c>
      <c r="C597">
        <v>6.2080000000000002E-4</v>
      </c>
      <c r="D597">
        <v>5.8980000000000002E-4</v>
      </c>
      <c r="E597">
        <v>5.9310000000000005E-4</v>
      </c>
      <c r="F597">
        <v>764744617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-0.78709677419354662</v>
      </c>
      <c r="Q597">
        <f t="shared" si="990"/>
        <v>-601928021.12257934</v>
      </c>
      <c r="R597">
        <f t="shared" si="991"/>
        <v>-13217923877.538982</v>
      </c>
      <c r="S597">
        <f t="shared" si="992"/>
        <v>-132179.23877538982</v>
      </c>
      <c r="T597">
        <f t="shared" si="993"/>
        <v>-132.17923877538982</v>
      </c>
    </row>
    <row r="598" spans="1:20" x14ac:dyDescent="0.25">
      <c r="A598" s="5">
        <v>43995</v>
      </c>
      <c r="B598">
        <v>6.0689999999999995E-4</v>
      </c>
      <c r="C598">
        <v>6.156E-4</v>
      </c>
      <c r="D598">
        <v>5.8200000000000005E-4</v>
      </c>
      <c r="E598">
        <v>6.0999999999999997E-4</v>
      </c>
      <c r="F598">
        <v>926643295</v>
      </c>
      <c r="G598">
        <v>0</v>
      </c>
      <c r="L598" t="s">
        <v>7</v>
      </c>
      <c r="M598" t="s">
        <v>7</v>
      </c>
      <c r="N598" t="s">
        <v>8</v>
      </c>
      <c r="P598">
        <f t="shared" si="989"/>
        <v>0.66666666666666452</v>
      </c>
      <c r="Q598">
        <f t="shared" si="990"/>
        <v>617762196.66666472</v>
      </c>
      <c r="R598">
        <f t="shared" si="991"/>
        <v>-12615995856.416403</v>
      </c>
      <c r="S598">
        <f t="shared" si="992"/>
        <v>-126159.95856416403</v>
      </c>
      <c r="T598">
        <f t="shared" si="993"/>
        <v>-126.15995856416403</v>
      </c>
    </row>
    <row r="599" spans="1:20" x14ac:dyDescent="0.25">
      <c r="A599" s="5">
        <v>43994</v>
      </c>
      <c r="B599">
        <v>5.7479999999999999E-4</v>
      </c>
      <c r="C599">
        <v>6.1200000000000002E-4</v>
      </c>
      <c r="D599">
        <v>5.733E-4</v>
      </c>
      <c r="E599">
        <v>6.0510000000000002E-4</v>
      </c>
      <c r="F599">
        <v>734558701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0.64341085271317822</v>
      </c>
      <c r="Q599">
        <f t="shared" si="990"/>
        <v>472623040.17829454</v>
      </c>
      <c r="R599">
        <f t="shared" si="991"/>
        <v>-13233758053.083067</v>
      </c>
      <c r="S599">
        <f t="shared" si="992"/>
        <v>-132337.58053083066</v>
      </c>
      <c r="T599">
        <f t="shared" si="993"/>
        <v>-132.33758053083065</v>
      </c>
    </row>
    <row r="600" spans="1:20" x14ac:dyDescent="0.25">
      <c r="A600" s="5">
        <v>43993</v>
      </c>
      <c r="B600">
        <v>6.3429999999999997E-4</v>
      </c>
      <c r="C600">
        <v>6.3949999999999999E-4</v>
      </c>
      <c r="D600">
        <v>5.4350000000000004E-4</v>
      </c>
      <c r="E600">
        <v>5.7830000000000002E-4</v>
      </c>
      <c r="F600">
        <v>1744356704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-0.27500000000000008</v>
      </c>
      <c r="Q600">
        <f t="shared" si="990"/>
        <v>-479698093.60000014</v>
      </c>
      <c r="R600">
        <f t="shared" si="991"/>
        <v>-13706381093.261362</v>
      </c>
      <c r="S600">
        <f t="shared" si="992"/>
        <v>-137063.81093261362</v>
      </c>
      <c r="T600">
        <f t="shared" si="993"/>
        <v>-137.06381093261362</v>
      </c>
    </row>
    <row r="601" spans="1:20" x14ac:dyDescent="0.25">
      <c r="A601" s="5">
        <v>43992</v>
      </c>
      <c r="B601">
        <v>6.3480000000000003E-4</v>
      </c>
      <c r="C601">
        <v>6.4150000000000003E-4</v>
      </c>
      <c r="D601">
        <v>6.2600000000000004E-4</v>
      </c>
      <c r="E601">
        <v>6.3639999999999996E-4</v>
      </c>
      <c r="F601">
        <v>634362094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0.34193548387095862</v>
      </c>
      <c r="Q601">
        <f t="shared" si="990"/>
        <v>216910909.56128454</v>
      </c>
      <c r="R601">
        <f t="shared" si="991"/>
        <v>-13226682999.661362</v>
      </c>
      <c r="S601">
        <f t="shared" si="992"/>
        <v>-132266.82999661361</v>
      </c>
      <c r="T601">
        <f t="shared" si="993"/>
        <v>-132.26682999661361</v>
      </c>
    </row>
    <row r="602" spans="1:20" x14ac:dyDescent="0.25">
      <c r="A602" s="5">
        <v>43991</v>
      </c>
      <c r="B602">
        <v>6.3940000000000004E-4</v>
      </c>
      <c r="C602">
        <v>6.4329999999999997E-4</v>
      </c>
      <c r="D602">
        <v>6.2009999999999995E-4</v>
      </c>
      <c r="E602">
        <v>6.3480000000000003E-4</v>
      </c>
      <c r="F602">
        <v>598761832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0.26724137931035108</v>
      </c>
      <c r="Q602">
        <f t="shared" si="990"/>
        <v>160013937.86207271</v>
      </c>
      <c r="R602">
        <f t="shared" si="991"/>
        <v>-13443593909.222647</v>
      </c>
      <c r="S602">
        <f t="shared" si="992"/>
        <v>-134435.93909222647</v>
      </c>
      <c r="T602">
        <f t="shared" si="993"/>
        <v>-134.43593909222648</v>
      </c>
    </row>
    <row r="603" spans="1:20" x14ac:dyDescent="0.25">
      <c r="A603" s="5">
        <v>43990</v>
      </c>
      <c r="B603">
        <v>6.2660000000000005E-4</v>
      </c>
      <c r="C603">
        <v>6.399E-4</v>
      </c>
      <c r="D603">
        <v>6.2E-4</v>
      </c>
      <c r="E603">
        <v>6.3940000000000004E-4</v>
      </c>
      <c r="F603">
        <v>629235600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0.94974874371859719</v>
      </c>
      <c r="Q603">
        <f t="shared" si="990"/>
        <v>597615720.60301769</v>
      </c>
      <c r="R603">
        <f t="shared" si="991"/>
        <v>-13603607847.084719</v>
      </c>
      <c r="S603">
        <f t="shared" si="992"/>
        <v>-136036.07847084719</v>
      </c>
      <c r="T603">
        <f t="shared" si="993"/>
        <v>-136.0360784708472</v>
      </c>
    </row>
    <row r="604" spans="1:20" x14ac:dyDescent="0.25">
      <c r="A604" s="5">
        <v>43989</v>
      </c>
      <c r="B604">
        <v>6.3759999999999999E-4</v>
      </c>
      <c r="C604">
        <v>6.399E-4</v>
      </c>
      <c r="D604">
        <v>6.11E-4</v>
      </c>
      <c r="E604">
        <v>6.2790000000000003E-4</v>
      </c>
      <c r="F604">
        <v>624613780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0.16955017301038289</v>
      </c>
      <c r="Q604">
        <f t="shared" si="990"/>
        <v>105903374.46366924</v>
      </c>
      <c r="R604">
        <f t="shared" si="991"/>
        <v>-14201223567.687737</v>
      </c>
      <c r="S604">
        <f t="shared" si="992"/>
        <v>-142012.23567687738</v>
      </c>
      <c r="T604">
        <f t="shared" si="993"/>
        <v>-142.01223567687737</v>
      </c>
    </row>
    <row r="605" spans="1:20" x14ac:dyDescent="0.25">
      <c r="A605" s="5">
        <v>43988</v>
      </c>
      <c r="B605">
        <v>6.3789999999999995E-4</v>
      </c>
      <c r="C605">
        <v>6.4599999999999998E-4</v>
      </c>
      <c r="D605">
        <v>6.2989999999999997E-4</v>
      </c>
      <c r="E605">
        <v>6.3759999999999999E-4</v>
      </c>
      <c r="F605">
        <v>645618955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-4.3478260869562878E-2</v>
      </c>
      <c r="Q605">
        <f t="shared" si="990"/>
        <v>-28070389.347824577</v>
      </c>
      <c r="R605">
        <f t="shared" si="991"/>
        <v>-14307126942.151405</v>
      </c>
      <c r="S605">
        <f t="shared" si="992"/>
        <v>-143071.26942151407</v>
      </c>
      <c r="T605">
        <f t="shared" si="993"/>
        <v>-143.07126942151407</v>
      </c>
    </row>
    <row r="606" spans="1:20" x14ac:dyDescent="0.25">
      <c r="A606" s="5">
        <v>43987</v>
      </c>
      <c r="B606">
        <v>6.4789999999999997E-4</v>
      </c>
      <c r="C606">
        <v>6.5499999999999998E-4</v>
      </c>
      <c r="D606">
        <v>6.3509999999999999E-4</v>
      </c>
      <c r="E606">
        <v>6.38E-4</v>
      </c>
      <c r="F606">
        <v>956215507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-0.70854271356783749</v>
      </c>
      <c r="Q606">
        <f t="shared" si="990"/>
        <v>-677519530.0854255</v>
      </c>
      <c r="R606">
        <f t="shared" si="991"/>
        <v>-14279056552.803581</v>
      </c>
      <c r="S606">
        <f t="shared" si="992"/>
        <v>-142790.5655280358</v>
      </c>
      <c r="T606">
        <f t="shared" si="993"/>
        <v>-142.79056552803581</v>
      </c>
    </row>
    <row r="607" spans="1:20" x14ac:dyDescent="0.25">
      <c r="A607" s="5">
        <v>43986</v>
      </c>
      <c r="B607">
        <v>6.5200000000000002E-4</v>
      </c>
      <c r="C607">
        <v>6.5769999999999999E-4</v>
      </c>
      <c r="D607">
        <v>6.2220000000000005E-4</v>
      </c>
      <c r="E607">
        <v>6.4780000000000003E-4</v>
      </c>
      <c r="F607">
        <v>1758150438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0.44225352112676136</v>
      </c>
      <c r="Q607">
        <f t="shared" si="990"/>
        <v>777548221.87605774</v>
      </c>
      <c r="R607">
        <f t="shared" si="991"/>
        <v>-13601537022.718155</v>
      </c>
      <c r="S607">
        <f t="shared" si="992"/>
        <v>-136015.37022718156</v>
      </c>
      <c r="T607">
        <f t="shared" si="993"/>
        <v>-136.01537022718156</v>
      </c>
    </row>
    <row r="608" spans="1:20" x14ac:dyDescent="0.25">
      <c r="A608" s="5">
        <v>43985</v>
      </c>
      <c r="B608">
        <v>6.2060000000000001E-4</v>
      </c>
      <c r="C608">
        <v>6.5879999999999997E-4</v>
      </c>
      <c r="D608">
        <v>6.0530000000000002E-4</v>
      </c>
      <c r="E608">
        <v>6.5200000000000002E-4</v>
      </c>
      <c r="F608">
        <v>2198122332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0.7457943925233661</v>
      </c>
      <c r="Q608">
        <f t="shared" si="990"/>
        <v>1639347309.2859848</v>
      </c>
      <c r="R608">
        <f t="shared" si="991"/>
        <v>-14379085244.594213</v>
      </c>
      <c r="S608">
        <f t="shared" si="992"/>
        <v>-143790.85244594215</v>
      </c>
      <c r="T608">
        <f t="shared" si="993"/>
        <v>-143.79085244594214</v>
      </c>
    </row>
    <row r="609" spans="1:20" x14ac:dyDescent="0.25">
      <c r="A609" s="5">
        <v>43984</v>
      </c>
      <c r="B609">
        <v>6.2609999999999999E-4</v>
      </c>
      <c r="C609">
        <v>6.4880000000000005E-4</v>
      </c>
      <c r="D609">
        <v>5.53E-4</v>
      </c>
      <c r="E609">
        <v>6.2330000000000003E-4</v>
      </c>
      <c r="F609">
        <v>2079323391</v>
      </c>
      <c r="G609">
        <v>0</v>
      </c>
      <c r="L609" t="s">
        <v>8</v>
      </c>
      <c r="M609" t="s">
        <v>7</v>
      </c>
      <c r="N609" t="s">
        <v>8</v>
      </c>
      <c r="P609">
        <f t="shared" si="989"/>
        <v>0.4676409185803756</v>
      </c>
      <c r="Q609">
        <f t="shared" si="990"/>
        <v>972376700.59290147</v>
      </c>
      <c r="R609">
        <f t="shared" si="991"/>
        <v>-16018432553.880198</v>
      </c>
      <c r="S609">
        <f t="shared" si="992"/>
        <v>-160184.32553880199</v>
      </c>
      <c r="T609">
        <f t="shared" si="993"/>
        <v>-160.184325538802</v>
      </c>
    </row>
    <row r="610" spans="1:20" x14ac:dyDescent="0.25">
      <c r="A610" s="5">
        <v>43983</v>
      </c>
      <c r="B610">
        <v>6.2520000000000002E-4</v>
      </c>
      <c r="C610">
        <v>6.5870000000000002E-4</v>
      </c>
      <c r="D610">
        <v>6.1039999999999998E-4</v>
      </c>
      <c r="E610">
        <v>6.2799999999999998E-4</v>
      </c>
      <c r="F610">
        <v>2710764301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-0.27122153209109812</v>
      </c>
      <c r="Q610">
        <f t="shared" si="990"/>
        <v>-735217646.85507464</v>
      </c>
      <c r="R610">
        <f t="shared" si="991"/>
        <v>-16990809254.473099</v>
      </c>
      <c r="S610">
        <f t="shared" si="992"/>
        <v>-169908.09254473099</v>
      </c>
      <c r="T610">
        <f t="shared" si="993"/>
        <v>-169.90809254473098</v>
      </c>
    </row>
    <row r="611" spans="1:20" x14ac:dyDescent="0.25">
      <c r="A611" s="5">
        <v>43982</v>
      </c>
      <c r="B611">
        <v>5.8230000000000001E-4</v>
      </c>
      <c r="C611">
        <v>6.8720000000000001E-4</v>
      </c>
      <c r="D611">
        <v>5.689E-4</v>
      </c>
      <c r="E611">
        <v>6.2699999999999995E-4</v>
      </c>
      <c r="F611">
        <v>5012387911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-1.7751479289941717E-2</v>
      </c>
      <c r="Q611">
        <f t="shared" si="990"/>
        <v>-88977300.195270732</v>
      </c>
      <c r="R611">
        <f t="shared" si="991"/>
        <v>-16255591607.618025</v>
      </c>
      <c r="S611">
        <f t="shared" si="992"/>
        <v>-162555.91607618023</v>
      </c>
      <c r="T611">
        <f t="shared" si="993"/>
        <v>-162.55591607618024</v>
      </c>
    </row>
    <row r="612" spans="1:20" x14ac:dyDescent="0.25">
      <c r="A612" s="5">
        <v>43981</v>
      </c>
      <c r="B612">
        <v>5.6090000000000003E-4</v>
      </c>
      <c r="C612">
        <v>5.9199999999999997E-4</v>
      </c>
      <c r="D612">
        <v>5.5040000000000004E-4</v>
      </c>
      <c r="E612">
        <v>5.8279999999999996E-4</v>
      </c>
      <c r="F612">
        <v>1921212755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0.5576923076923066</v>
      </c>
      <c r="Q612">
        <f t="shared" si="990"/>
        <v>1071445574.903844</v>
      </c>
      <c r="R612">
        <f t="shared" si="991"/>
        <v>-16166614307.422754</v>
      </c>
      <c r="S612">
        <f t="shared" si="992"/>
        <v>-161666.14307422756</v>
      </c>
      <c r="T612">
        <f t="shared" si="993"/>
        <v>-161.66614307422756</v>
      </c>
    </row>
    <row r="613" spans="1:20" x14ac:dyDescent="0.25">
      <c r="A613" s="5">
        <v>43980</v>
      </c>
      <c r="B613">
        <v>5.6849999999999999E-4</v>
      </c>
      <c r="C613">
        <v>5.7300000000000005E-4</v>
      </c>
      <c r="D613">
        <v>5.4029999999999996E-4</v>
      </c>
      <c r="E613">
        <v>5.5999999999999995E-4</v>
      </c>
      <c r="F613">
        <v>873951448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0.20489296636085239</v>
      </c>
      <c r="Q613">
        <f t="shared" si="990"/>
        <v>179066504.63608223</v>
      </c>
      <c r="R613">
        <f t="shared" si="991"/>
        <v>-17238059882.326599</v>
      </c>
      <c r="S613">
        <f t="shared" si="992"/>
        <v>-172380.59882326599</v>
      </c>
      <c r="T613">
        <f t="shared" si="993"/>
        <v>-172.38059882326598</v>
      </c>
    </row>
    <row r="614" spans="1:20" x14ac:dyDescent="0.25">
      <c r="A614" s="5">
        <v>43979</v>
      </c>
      <c r="B614">
        <v>5.5460000000000004E-4</v>
      </c>
      <c r="C614">
        <v>5.6849999999999999E-4</v>
      </c>
      <c r="D614">
        <v>5.4100000000000003E-4</v>
      </c>
      <c r="E614">
        <v>5.6849999999999999E-4</v>
      </c>
      <c r="F614">
        <v>1194710448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1</v>
      </c>
      <c r="Q614">
        <f t="shared" si="990"/>
        <v>1194710448</v>
      </c>
      <c r="R614">
        <f t="shared" si="991"/>
        <v>-17417126386.962681</v>
      </c>
      <c r="S614">
        <f t="shared" si="992"/>
        <v>-174171.2638696268</v>
      </c>
      <c r="T614">
        <f t="shared" si="993"/>
        <v>-174.17126386962678</v>
      </c>
    </row>
    <row r="615" spans="1:20" x14ac:dyDescent="0.25">
      <c r="A615" s="5">
        <v>43978</v>
      </c>
      <c r="B615">
        <v>5.6119999999999998E-4</v>
      </c>
      <c r="C615">
        <v>5.7399999999999997E-4</v>
      </c>
      <c r="D615">
        <v>5.5000000000000003E-4</v>
      </c>
      <c r="E615">
        <v>5.5840000000000002E-4</v>
      </c>
      <c r="F615">
        <v>832217568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-0.2999999999999991</v>
      </c>
      <c r="Q615">
        <f t="shared" si="990"/>
        <v>-249665270.39999926</v>
      </c>
      <c r="R615">
        <f t="shared" si="991"/>
        <v>-18611836834.962681</v>
      </c>
      <c r="S615">
        <f t="shared" si="992"/>
        <v>-186118.36834962681</v>
      </c>
      <c r="T615">
        <f t="shared" si="993"/>
        <v>-186.11836834962679</v>
      </c>
    </row>
    <row r="616" spans="1:20" x14ac:dyDescent="0.25">
      <c r="A616" s="5">
        <v>43977</v>
      </c>
      <c r="B616">
        <v>5.6959999999999997E-4</v>
      </c>
      <c r="C616">
        <v>5.7410000000000002E-4</v>
      </c>
      <c r="D616">
        <v>5.3620000000000002E-4</v>
      </c>
      <c r="E616">
        <v>5.6340000000000003E-4</v>
      </c>
      <c r="F616">
        <v>1858972983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0.43535620052770507</v>
      </c>
      <c r="Q616">
        <f t="shared" si="990"/>
        <v>809315414.76253402</v>
      </c>
      <c r="R616">
        <f t="shared" si="991"/>
        <v>-18362171564.562683</v>
      </c>
      <c r="S616">
        <f t="shared" si="992"/>
        <v>-183621.71564562683</v>
      </c>
      <c r="T616">
        <f t="shared" si="993"/>
        <v>-183.62171564562684</v>
      </c>
    </row>
    <row r="617" spans="1:20" x14ac:dyDescent="0.25">
      <c r="A617" s="5">
        <v>43976</v>
      </c>
      <c r="B617">
        <v>5.3149999999999996E-4</v>
      </c>
      <c r="C617">
        <v>5.8060000000000002E-4</v>
      </c>
      <c r="D617">
        <v>5.2510000000000002E-4</v>
      </c>
      <c r="E617">
        <v>5.6590000000000004E-4</v>
      </c>
      <c r="F617">
        <v>2203940833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0.47027027027027102</v>
      </c>
      <c r="Q617">
        <f t="shared" si="990"/>
        <v>1036447851.1945963</v>
      </c>
      <c r="R617">
        <f t="shared" si="991"/>
        <v>-19171486979.325218</v>
      </c>
      <c r="S617">
        <f t="shared" si="992"/>
        <v>-191714.86979325218</v>
      </c>
      <c r="T617">
        <f t="shared" si="993"/>
        <v>-191.71486979325218</v>
      </c>
    </row>
    <row r="618" spans="1:20" x14ac:dyDescent="0.25">
      <c r="A618" s="5">
        <v>43975</v>
      </c>
      <c r="B618">
        <v>5.2689999999999996E-4</v>
      </c>
      <c r="C618">
        <v>5.9840000000000002E-4</v>
      </c>
      <c r="D618">
        <v>5.1929999999999999E-4</v>
      </c>
      <c r="E618">
        <v>5.3149999999999996E-4</v>
      </c>
      <c r="F618">
        <v>5029763589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-0.69152970922882506</v>
      </c>
      <c r="Q618">
        <f t="shared" si="990"/>
        <v>-3478230952.1909018</v>
      </c>
      <c r="R618">
        <f t="shared" si="991"/>
        <v>-20207934830.519814</v>
      </c>
      <c r="S618">
        <f t="shared" si="992"/>
        <v>-202079.34830519813</v>
      </c>
      <c r="T618">
        <f t="shared" si="993"/>
        <v>-202.07934830519812</v>
      </c>
    </row>
    <row r="619" spans="1:20" x14ac:dyDescent="0.25">
      <c r="A619" s="5">
        <v>43974</v>
      </c>
      <c r="B619">
        <v>5.3580000000000001E-4</v>
      </c>
      <c r="C619">
        <v>5.3839999999999997E-4</v>
      </c>
      <c r="D619">
        <v>5.1829999999999997E-4</v>
      </c>
      <c r="E619">
        <v>5.2689999999999996E-4</v>
      </c>
      <c r="F619">
        <v>398589409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-0.14427860696517494</v>
      </c>
      <c r="Q619">
        <f t="shared" si="990"/>
        <v>-57507924.681592368</v>
      </c>
      <c r="R619">
        <f t="shared" si="991"/>
        <v>-16729703878.328911</v>
      </c>
      <c r="S619">
        <f t="shared" si="992"/>
        <v>-167297.03878328911</v>
      </c>
      <c r="T619">
        <f t="shared" si="993"/>
        <v>-167.29703878328911</v>
      </c>
    </row>
    <row r="620" spans="1:20" x14ac:dyDescent="0.25">
      <c r="A620" s="5">
        <v>43973</v>
      </c>
      <c r="B620">
        <v>5.1420000000000003E-4</v>
      </c>
      <c r="C620">
        <v>5.4049999999999996E-4</v>
      </c>
      <c r="D620">
        <v>5.0549999999999998E-4</v>
      </c>
      <c r="E620">
        <v>5.3499999999999999E-4</v>
      </c>
      <c r="F620">
        <v>978409556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0.68571428571428716</v>
      </c>
      <c r="Q620">
        <f t="shared" si="990"/>
        <v>670909409.82857287</v>
      </c>
      <c r="R620">
        <f t="shared" si="991"/>
        <v>-16672195953.647318</v>
      </c>
      <c r="S620">
        <f t="shared" si="992"/>
        <v>-166721.95953647318</v>
      </c>
      <c r="T620">
        <f t="shared" si="993"/>
        <v>-166.72195953647318</v>
      </c>
    </row>
    <row r="621" spans="1:20" x14ac:dyDescent="0.25">
      <c r="A621" s="5">
        <v>43972</v>
      </c>
      <c r="B621">
        <v>5.2030000000000002E-4</v>
      </c>
      <c r="C621">
        <v>5.2999999999999998E-4</v>
      </c>
      <c r="D621">
        <v>4.9010000000000004E-4</v>
      </c>
      <c r="E621">
        <v>5.1340000000000001E-4</v>
      </c>
      <c r="F621">
        <v>1296222085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0.16791979949874714</v>
      </c>
      <c r="Q621">
        <f t="shared" si="990"/>
        <v>217661352.61904797</v>
      </c>
      <c r="R621">
        <f t="shared" si="991"/>
        <v>-17343105363.475891</v>
      </c>
      <c r="S621">
        <f t="shared" si="992"/>
        <v>-173431.05363475892</v>
      </c>
      <c r="T621">
        <f t="shared" si="993"/>
        <v>-173.43105363475891</v>
      </c>
    </row>
    <row r="622" spans="1:20" x14ac:dyDescent="0.25">
      <c r="A622" s="5">
        <v>43971</v>
      </c>
      <c r="B622">
        <v>5.3720000000000005E-4</v>
      </c>
      <c r="C622">
        <v>5.4049999999999996E-4</v>
      </c>
      <c r="D622">
        <v>5.086E-4</v>
      </c>
      <c r="E622">
        <v>5.2030000000000002E-4</v>
      </c>
      <c r="F622">
        <v>994739353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-0.26645768025078198</v>
      </c>
      <c r="Q622">
        <f t="shared" si="990"/>
        <v>-265055940.45454374</v>
      </c>
      <c r="R622">
        <f t="shared" si="991"/>
        <v>-17560766716.09494</v>
      </c>
      <c r="S622">
        <f t="shared" si="992"/>
        <v>-175607.66716094941</v>
      </c>
      <c r="T622">
        <f t="shared" si="993"/>
        <v>-175.6076671609494</v>
      </c>
    </row>
    <row r="623" spans="1:20" x14ac:dyDescent="0.25">
      <c r="A623" s="5">
        <v>43970</v>
      </c>
      <c r="B623">
        <v>5.3660000000000003E-4</v>
      </c>
      <c r="C623">
        <v>5.4370000000000004E-4</v>
      </c>
      <c r="D623">
        <v>5.2809999999999999E-4</v>
      </c>
      <c r="E623">
        <v>5.3720000000000005E-4</v>
      </c>
      <c r="F623">
        <v>515530022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0.16666666666667015</v>
      </c>
      <c r="Q623">
        <f t="shared" si="990"/>
        <v>85921670.333335131</v>
      </c>
      <c r="R623">
        <f t="shared" si="991"/>
        <v>-17295710775.640396</v>
      </c>
      <c r="S623">
        <f t="shared" si="992"/>
        <v>-172957.10775640397</v>
      </c>
      <c r="T623">
        <f t="shared" si="993"/>
        <v>-172.95710775640399</v>
      </c>
    </row>
    <row r="624" spans="1:20" x14ac:dyDescent="0.25">
      <c r="A624" s="5">
        <v>43969</v>
      </c>
      <c r="B624">
        <v>5.3899999999999998E-4</v>
      </c>
      <c r="C624">
        <v>5.4569999999999998E-4</v>
      </c>
      <c r="D624">
        <v>5.3439999999999998E-4</v>
      </c>
      <c r="E624">
        <v>5.3629999999999997E-4</v>
      </c>
      <c r="F624">
        <v>776825853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-0.66371681415929351</v>
      </c>
      <c r="Q624">
        <f t="shared" si="990"/>
        <v>-515592380.30973566</v>
      </c>
      <c r="R624">
        <f t="shared" si="991"/>
        <v>-17381632445.973732</v>
      </c>
      <c r="S624">
        <f t="shared" si="992"/>
        <v>-173816.32445973731</v>
      </c>
      <c r="T624">
        <f t="shared" si="993"/>
        <v>-173.8163244597373</v>
      </c>
    </row>
    <row r="625" spans="1:20" x14ac:dyDescent="0.25">
      <c r="A625" s="5">
        <v>43968</v>
      </c>
      <c r="B625">
        <v>5.3330000000000001E-4</v>
      </c>
      <c r="C625">
        <v>5.5000000000000003E-4</v>
      </c>
      <c r="D625">
        <v>5.31E-4</v>
      </c>
      <c r="E625">
        <v>5.3899999999999998E-4</v>
      </c>
      <c r="F625">
        <v>515193007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-0.15789473684210886</v>
      </c>
      <c r="Q625">
        <f t="shared" si="990"/>
        <v>-81346264.263159752</v>
      </c>
      <c r="R625">
        <f t="shared" si="991"/>
        <v>-16866040065.663998</v>
      </c>
      <c r="S625">
        <f t="shared" si="992"/>
        <v>-168660.40065663998</v>
      </c>
      <c r="T625">
        <f t="shared" si="993"/>
        <v>-168.66040065663998</v>
      </c>
    </row>
    <row r="626" spans="1:20" x14ac:dyDescent="0.25">
      <c r="A626" s="5">
        <v>43967</v>
      </c>
      <c r="B626">
        <v>5.2999999999999998E-4</v>
      </c>
      <c r="C626">
        <v>5.6450000000000001E-4</v>
      </c>
      <c r="D626">
        <v>5.2300000000000003E-4</v>
      </c>
      <c r="E626">
        <v>5.3330000000000001E-4</v>
      </c>
      <c r="F626">
        <v>1198294186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-0.50361445783132608</v>
      </c>
      <c r="Q626">
        <f t="shared" si="990"/>
        <v>-603478276.80482018</v>
      </c>
      <c r="R626">
        <f t="shared" si="991"/>
        <v>-16784693801.400837</v>
      </c>
      <c r="S626">
        <f t="shared" si="992"/>
        <v>-167846.93801400837</v>
      </c>
      <c r="T626">
        <f t="shared" si="993"/>
        <v>-167.84693801400837</v>
      </c>
    </row>
    <row r="627" spans="1:20" x14ac:dyDescent="0.25">
      <c r="A627" s="5">
        <v>43966</v>
      </c>
      <c r="B627">
        <v>5.1999999999999995E-4</v>
      </c>
      <c r="C627">
        <v>5.6090000000000003E-4</v>
      </c>
      <c r="D627">
        <v>5.0310000000000003E-4</v>
      </c>
      <c r="E627">
        <v>5.2999999999999998E-4</v>
      </c>
      <c r="F627">
        <v>1704113901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-6.9204152249136633E-2</v>
      </c>
      <c r="Q627">
        <f t="shared" si="990"/>
        <v>-117931757.85467415</v>
      </c>
      <c r="R627">
        <f t="shared" si="991"/>
        <v>-16181215524.596016</v>
      </c>
      <c r="S627">
        <f t="shared" si="992"/>
        <v>-161812.15524596017</v>
      </c>
      <c r="T627">
        <f t="shared" si="993"/>
        <v>-161.81215524596016</v>
      </c>
    </row>
    <row r="628" spans="1:20" x14ac:dyDescent="0.25">
      <c r="A628" s="5">
        <v>43965</v>
      </c>
      <c r="B628">
        <v>5.2150000000000005E-4</v>
      </c>
      <c r="C628">
        <v>5.2809999999999999E-4</v>
      </c>
      <c r="D628">
        <v>4.8509999999999997E-4</v>
      </c>
      <c r="E628">
        <v>5.1670000000000004E-4</v>
      </c>
      <c r="F628">
        <v>960874548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0.46976744186046754</v>
      </c>
      <c r="Q628">
        <f t="shared" si="990"/>
        <v>451387578.36279303</v>
      </c>
      <c r="R628">
        <f t="shared" si="991"/>
        <v>-16063283766.741343</v>
      </c>
      <c r="S628">
        <f t="shared" si="992"/>
        <v>-160632.83766741343</v>
      </c>
      <c r="T628">
        <f t="shared" si="993"/>
        <v>-160.63283766741344</v>
      </c>
    </row>
    <row r="629" spans="1:20" x14ac:dyDescent="0.25">
      <c r="A629" s="5">
        <v>43964</v>
      </c>
      <c r="B629">
        <v>4.9819999999999997E-4</v>
      </c>
      <c r="C629">
        <v>5.3350000000000001E-4</v>
      </c>
      <c r="D629">
        <v>4.9240000000000004E-4</v>
      </c>
      <c r="E629">
        <v>5.2150000000000005E-4</v>
      </c>
      <c r="F629">
        <v>1085649280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0.41605839416058515</v>
      </c>
      <c r="Q629">
        <f t="shared" si="990"/>
        <v>451693496.0583955</v>
      </c>
      <c r="R629">
        <f t="shared" si="991"/>
        <v>-16514671345.104136</v>
      </c>
      <c r="S629">
        <f t="shared" si="992"/>
        <v>-165146.71345104135</v>
      </c>
      <c r="T629">
        <f t="shared" si="993"/>
        <v>-165.14671345104134</v>
      </c>
    </row>
    <row r="630" spans="1:20" x14ac:dyDescent="0.25">
      <c r="A630" s="5">
        <v>43963</v>
      </c>
      <c r="B630">
        <v>4.906E-4</v>
      </c>
      <c r="C630">
        <v>5.1270000000000005E-4</v>
      </c>
      <c r="D630">
        <v>4.7810000000000002E-4</v>
      </c>
      <c r="E630">
        <v>4.9609999999999997E-4</v>
      </c>
      <c r="F630">
        <v>1042175094</v>
      </c>
      <c r="G630">
        <v>0</v>
      </c>
      <c r="L630" t="s">
        <v>7</v>
      </c>
      <c r="M630" t="s">
        <v>8</v>
      </c>
      <c r="N630" t="s">
        <v>8</v>
      </c>
      <c r="P630">
        <f t="shared" si="989"/>
        <v>4.0462427745660993E-2</v>
      </c>
      <c r="Q630">
        <f t="shared" si="990"/>
        <v>42168934.439302452</v>
      </c>
      <c r="R630">
        <f t="shared" si="991"/>
        <v>-16966364841.162531</v>
      </c>
      <c r="S630">
        <f t="shared" si="992"/>
        <v>-169663.6484116253</v>
      </c>
      <c r="T630">
        <f t="shared" si="993"/>
        <v>-169.6636484116253</v>
      </c>
    </row>
    <row r="631" spans="1:20" x14ac:dyDescent="0.25">
      <c r="A631" s="5">
        <v>43962</v>
      </c>
      <c r="B631">
        <v>4.7160000000000002E-4</v>
      </c>
      <c r="C631">
        <v>5.2990000000000003E-4</v>
      </c>
      <c r="D631">
        <v>4.5320000000000001E-4</v>
      </c>
      <c r="E631">
        <v>4.8979999999999998E-4</v>
      </c>
      <c r="F631">
        <v>2021960263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-4.5632333767928086E-2</v>
      </c>
      <c r="Q631">
        <f t="shared" si="990"/>
        <v>-92266765.586703658</v>
      </c>
      <c r="R631">
        <f t="shared" si="991"/>
        <v>-17008533775.601833</v>
      </c>
      <c r="S631">
        <f t="shared" si="992"/>
        <v>-170085.33775601833</v>
      </c>
      <c r="T631">
        <f t="shared" si="993"/>
        <v>-170.08533775601833</v>
      </c>
    </row>
    <row r="632" spans="1:20" x14ac:dyDescent="0.25">
      <c r="A632" s="5">
        <v>43961</v>
      </c>
      <c r="B632">
        <v>5.1789999999999996E-4</v>
      </c>
      <c r="C632">
        <v>5.2110000000000004E-4</v>
      </c>
      <c r="D632">
        <v>4.3130000000000002E-4</v>
      </c>
      <c r="E632">
        <v>4.6880000000000001E-4</v>
      </c>
      <c r="F632">
        <v>1904194834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-0.16481069042316293</v>
      </c>
      <c r="Q632">
        <f t="shared" si="990"/>
        <v>-313831665.29176015</v>
      </c>
      <c r="R632">
        <f t="shared" si="991"/>
        <v>-16916267010.015129</v>
      </c>
      <c r="S632">
        <f t="shared" si="992"/>
        <v>-169162.6701001513</v>
      </c>
      <c r="T632">
        <f t="shared" si="993"/>
        <v>-169.1626701001513</v>
      </c>
    </row>
    <row r="633" spans="1:20" x14ac:dyDescent="0.25">
      <c r="A633" s="5">
        <v>43960</v>
      </c>
      <c r="B633">
        <v>5.2749999999999997E-4</v>
      </c>
      <c r="C633">
        <v>5.4429999999999995E-4</v>
      </c>
      <c r="D633">
        <v>5.0719999999999997E-4</v>
      </c>
      <c r="E633">
        <v>5.1860000000000003E-4</v>
      </c>
      <c r="F633">
        <v>1010631686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-0.38544474393530642</v>
      </c>
      <c r="Q633">
        <f t="shared" si="990"/>
        <v>-389542671.423177</v>
      </c>
      <c r="R633">
        <f t="shared" si="991"/>
        <v>-16602435344.72337</v>
      </c>
      <c r="S633">
        <f t="shared" si="992"/>
        <v>-166024.35344723371</v>
      </c>
      <c r="T633">
        <f t="shared" si="993"/>
        <v>-166.02435344723369</v>
      </c>
    </row>
    <row r="634" spans="1:20" x14ac:dyDescent="0.25">
      <c r="A634" s="5">
        <v>43959</v>
      </c>
      <c r="B634">
        <v>5.4460000000000001E-4</v>
      </c>
      <c r="C634">
        <v>5.6320000000000003E-4</v>
      </c>
      <c r="D634">
        <v>5.2530000000000003E-4</v>
      </c>
      <c r="E634">
        <v>5.2709999999999996E-4</v>
      </c>
      <c r="F634">
        <v>1855672738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-0.90501319261214064</v>
      </c>
      <c r="Q634">
        <f t="shared" si="990"/>
        <v>-1679408309.0606923</v>
      </c>
      <c r="R634">
        <f t="shared" si="991"/>
        <v>-16212892673.300192</v>
      </c>
      <c r="S634">
        <f t="shared" si="992"/>
        <v>-162128.92673300192</v>
      </c>
      <c r="T634">
        <f t="shared" si="993"/>
        <v>-162.12892673300192</v>
      </c>
    </row>
    <row r="635" spans="1:20" x14ac:dyDescent="0.25">
      <c r="A635" s="5">
        <v>43958</v>
      </c>
      <c r="B635">
        <v>5.0180000000000005E-4</v>
      </c>
      <c r="C635">
        <v>5.7839999999999996E-4</v>
      </c>
      <c r="D635">
        <v>4.8030000000000002E-4</v>
      </c>
      <c r="E635">
        <v>5.4330000000000003E-4</v>
      </c>
      <c r="F635">
        <v>3949351693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0.28440366972477166</v>
      </c>
      <c r="Q635">
        <f t="shared" si="990"/>
        <v>1123210114.5229397</v>
      </c>
      <c r="R635">
        <f t="shared" si="991"/>
        <v>-14533484364.2395</v>
      </c>
      <c r="S635">
        <f t="shared" si="992"/>
        <v>-145334.84364239499</v>
      </c>
      <c r="T635">
        <f t="shared" si="993"/>
        <v>-145.33484364239499</v>
      </c>
    </row>
    <row r="636" spans="1:20" x14ac:dyDescent="0.25">
      <c r="A636" s="5">
        <v>43957</v>
      </c>
      <c r="B636">
        <v>5.4929999999999996E-4</v>
      </c>
      <c r="C636">
        <v>5.6090000000000003E-4</v>
      </c>
      <c r="D636">
        <v>4.9950000000000005E-4</v>
      </c>
      <c r="E636">
        <v>4.9950000000000005E-4</v>
      </c>
      <c r="F636">
        <v>2121986557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-1</v>
      </c>
      <c r="Q636">
        <f t="shared" si="990"/>
        <v>-2121986557</v>
      </c>
      <c r="R636">
        <f t="shared" si="991"/>
        <v>-15656694478.76244</v>
      </c>
      <c r="S636">
        <f t="shared" si="992"/>
        <v>-156566.94478762441</v>
      </c>
      <c r="T636">
        <f t="shared" si="993"/>
        <v>-156.56694478762441</v>
      </c>
    </row>
    <row r="637" spans="1:20" x14ac:dyDescent="0.25">
      <c r="A637" s="5">
        <v>43956</v>
      </c>
      <c r="B637">
        <v>5.6780000000000003E-4</v>
      </c>
      <c r="C637">
        <v>5.8149999999999999E-4</v>
      </c>
      <c r="D637">
        <v>5.373E-4</v>
      </c>
      <c r="E637">
        <v>5.4929999999999996E-4</v>
      </c>
      <c r="F637">
        <v>2436323035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-0.45701357466063486</v>
      </c>
      <c r="Q637">
        <f t="shared" si="990"/>
        <v>-1113432699.253397</v>
      </c>
      <c r="R637">
        <f t="shared" si="991"/>
        <v>-13534707921.76244</v>
      </c>
      <c r="S637">
        <f t="shared" si="992"/>
        <v>-135347.07921762438</v>
      </c>
      <c r="T637">
        <f t="shared" si="993"/>
        <v>-135.34707921762438</v>
      </c>
    </row>
    <row r="638" spans="1:20" x14ac:dyDescent="0.25">
      <c r="A638" s="5">
        <v>43955</v>
      </c>
      <c r="B638">
        <v>5.0370000000000005E-4</v>
      </c>
      <c r="C638">
        <v>6.0409999999999999E-4</v>
      </c>
      <c r="D638">
        <v>4.9299999999999995E-4</v>
      </c>
      <c r="E638">
        <v>5.6959999999999997E-4</v>
      </c>
      <c r="F638">
        <v>10754272094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0.37893789378937875</v>
      </c>
      <c r="Q638">
        <f t="shared" si="990"/>
        <v>4075201216.5382519</v>
      </c>
      <c r="R638">
        <f t="shared" si="991"/>
        <v>-12421275222.509043</v>
      </c>
      <c r="S638">
        <f t="shared" si="992"/>
        <v>-124212.75222509043</v>
      </c>
      <c r="T638">
        <f t="shared" si="993"/>
        <v>-124.21275222509043</v>
      </c>
    </row>
    <row r="639" spans="1:20" x14ac:dyDescent="0.25">
      <c r="A639" s="5">
        <v>43954</v>
      </c>
      <c r="B639">
        <v>4.4210000000000001E-4</v>
      </c>
      <c r="C639">
        <v>5.9329999999999995E-4</v>
      </c>
      <c r="D639">
        <v>4.0709999999999997E-4</v>
      </c>
      <c r="E639">
        <v>5.0449999999999996E-4</v>
      </c>
      <c r="F639">
        <v>11027649389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4.6186895810955926E-2</v>
      </c>
      <c r="Q639">
        <f t="shared" si="990"/>
        <v>509332893.3694948</v>
      </c>
      <c r="R639">
        <f t="shared" si="991"/>
        <v>-16496476439.047295</v>
      </c>
      <c r="S639">
        <f t="shared" si="992"/>
        <v>-164964.76439047293</v>
      </c>
      <c r="T639">
        <f t="shared" si="993"/>
        <v>-164.96476439047294</v>
      </c>
    </row>
    <row r="640" spans="1:20" x14ac:dyDescent="0.25">
      <c r="A640" s="5">
        <v>43953</v>
      </c>
      <c r="B640">
        <v>3.6249999999999998E-4</v>
      </c>
      <c r="C640">
        <v>4.4890000000000002E-4</v>
      </c>
      <c r="D640">
        <v>3.5799999999999997E-4</v>
      </c>
      <c r="E640">
        <v>4.4210000000000001E-4</v>
      </c>
      <c r="F640">
        <v>2307997097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0.85038503850385039</v>
      </c>
      <c r="Q640">
        <f t="shared" si="990"/>
        <v>1962686200.1991198</v>
      </c>
      <c r="R640">
        <f t="shared" si="991"/>
        <v>-17005809332.41679</v>
      </c>
      <c r="S640">
        <f t="shared" si="992"/>
        <v>-170058.09332416789</v>
      </c>
      <c r="T640">
        <f t="shared" si="993"/>
        <v>-170.05809332416788</v>
      </c>
    </row>
    <row r="641" spans="1:20" x14ac:dyDescent="0.25">
      <c r="A641" s="5">
        <v>43952</v>
      </c>
      <c r="B641">
        <v>3.5129999999999997E-4</v>
      </c>
      <c r="C641">
        <v>3.634E-4</v>
      </c>
      <c r="D641">
        <v>3.5E-4</v>
      </c>
      <c r="E641">
        <v>3.6230000000000002E-4</v>
      </c>
      <c r="F641">
        <v>759476168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0.83582089552239214</v>
      </c>
      <c r="Q641">
        <f t="shared" si="990"/>
        <v>634786050.86567473</v>
      </c>
      <c r="R641">
        <f t="shared" si="991"/>
        <v>-18968495532.61591</v>
      </c>
      <c r="S641">
        <f t="shared" si="992"/>
        <v>-189684.95532615911</v>
      </c>
      <c r="T641">
        <f t="shared" si="993"/>
        <v>-189.6849553261591</v>
      </c>
    </row>
    <row r="642" spans="1:20" x14ac:dyDescent="0.25">
      <c r="A642" s="5">
        <v>43951</v>
      </c>
      <c r="B642">
        <v>3.6099999999999999E-4</v>
      </c>
      <c r="C642">
        <v>3.7859999999999999E-4</v>
      </c>
      <c r="D642">
        <v>3.4539999999999999E-4</v>
      </c>
      <c r="E642">
        <v>3.5100000000000002E-4</v>
      </c>
      <c r="F642">
        <v>1297524971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-0.6626506024096368</v>
      </c>
      <c r="Q642">
        <f t="shared" si="990"/>
        <v>-859805703.67469656</v>
      </c>
      <c r="R642">
        <f t="shared" si="991"/>
        <v>-19603281583.481583</v>
      </c>
      <c r="S642">
        <f t="shared" si="992"/>
        <v>-196032.81583481582</v>
      </c>
      <c r="T642">
        <f t="shared" si="993"/>
        <v>-196.03281583481581</v>
      </c>
    </row>
    <row r="643" spans="1:20" x14ac:dyDescent="0.25">
      <c r="A643" s="5">
        <v>43950</v>
      </c>
      <c r="B643">
        <v>3.4259999999999998E-4</v>
      </c>
      <c r="C643">
        <v>3.658E-4</v>
      </c>
      <c r="D643">
        <v>3.3799999999999998E-4</v>
      </c>
      <c r="E643">
        <v>3.6160000000000001E-4</v>
      </c>
      <c r="F643">
        <v>1403179063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0.6978417266187058</v>
      </c>
      <c r="Q643">
        <f t="shared" si="990"/>
        <v>979196900.0791378</v>
      </c>
      <c r="R643">
        <f t="shared" si="991"/>
        <v>-18743475879.806885</v>
      </c>
      <c r="S643">
        <f t="shared" si="992"/>
        <v>-187434.75879806885</v>
      </c>
      <c r="T643">
        <f t="shared" si="993"/>
        <v>-187.43475879806886</v>
      </c>
    </row>
    <row r="644" spans="1:20" x14ac:dyDescent="0.25">
      <c r="A644" s="5">
        <v>43949</v>
      </c>
      <c r="B644">
        <v>3.457E-4</v>
      </c>
      <c r="C644">
        <v>3.4600000000000001E-4</v>
      </c>
      <c r="D644">
        <v>3.3569999999999997E-4</v>
      </c>
      <c r="E644">
        <v>3.4259999999999998E-4</v>
      </c>
      <c r="F644">
        <v>554402147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0.33980582524271508</v>
      </c>
      <c r="Q644">
        <f t="shared" si="990"/>
        <v>188389079.07766804</v>
      </c>
      <c r="R644">
        <f t="shared" si="991"/>
        <v>-19722672779.886024</v>
      </c>
      <c r="S644">
        <f t="shared" si="992"/>
        <v>-197226.72779886026</v>
      </c>
      <c r="T644">
        <f t="shared" si="993"/>
        <v>-197.22672779886025</v>
      </c>
    </row>
    <row r="645" spans="1:20" x14ac:dyDescent="0.25">
      <c r="A645" s="5">
        <v>43948</v>
      </c>
      <c r="B645">
        <v>3.458E-4</v>
      </c>
      <c r="C645">
        <v>3.5E-4</v>
      </c>
      <c r="D645">
        <v>3.4000000000000002E-4</v>
      </c>
      <c r="E645">
        <v>3.457E-4</v>
      </c>
      <c r="F645">
        <v>709591398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0.13999999999999838</v>
      </c>
      <c r="Q645">
        <f t="shared" si="990"/>
        <v>99342795.719998851</v>
      </c>
      <c r="R645">
        <f t="shared" si="991"/>
        <v>-19911061858.963692</v>
      </c>
      <c r="S645">
        <f t="shared" si="992"/>
        <v>-199110.61858963693</v>
      </c>
      <c r="T645">
        <f t="shared" si="993"/>
        <v>-199.11061858963691</v>
      </c>
    </row>
    <row r="646" spans="1:20" x14ac:dyDescent="0.25">
      <c r="A646" s="5">
        <v>43947</v>
      </c>
      <c r="B646">
        <v>3.4089999999999999E-4</v>
      </c>
      <c r="C646">
        <v>3.5E-4</v>
      </c>
      <c r="D646">
        <v>3.4059999999999998E-4</v>
      </c>
      <c r="E646">
        <v>3.455E-4</v>
      </c>
      <c r="F646">
        <v>791653235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4.2553191489362686E-2</v>
      </c>
      <c r="Q646">
        <f t="shared" ref="Q646:Q709" si="995">F646*P646</f>
        <v>33687371.70212844</v>
      </c>
      <c r="R646">
        <f t="shared" ref="R646:R709" si="996">R647+Q646</f>
        <v>-20010404654.683689</v>
      </c>
      <c r="S646">
        <f t="shared" ref="S646:S709" si="997">R646/100000</f>
        <v>-200104.04654683688</v>
      </c>
      <c r="T646">
        <f t="shared" ref="T646:T709" si="998">S646/1000</f>
        <v>-200.10404654683688</v>
      </c>
    </row>
    <row r="647" spans="1:20" x14ac:dyDescent="0.25">
      <c r="A647" s="5">
        <v>43946</v>
      </c>
      <c r="B647">
        <v>3.3330000000000002E-4</v>
      </c>
      <c r="C647">
        <v>3.5970000000000002E-4</v>
      </c>
      <c r="D647">
        <v>3.2949999999999999E-4</v>
      </c>
      <c r="E647">
        <v>3.4099999999999999E-4</v>
      </c>
      <c r="F647">
        <v>880659944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-0.23841059602649026</v>
      </c>
      <c r="Q647">
        <f t="shared" si="995"/>
        <v>-209958662.14569554</v>
      </c>
      <c r="R647">
        <f t="shared" si="996"/>
        <v>-20044092026.385818</v>
      </c>
      <c r="S647">
        <f t="shared" si="997"/>
        <v>-200440.92026385819</v>
      </c>
      <c r="T647">
        <f t="shared" si="998"/>
        <v>-200.4409202638582</v>
      </c>
    </row>
    <row r="648" spans="1:20" x14ac:dyDescent="0.25">
      <c r="A648" s="5">
        <v>43945</v>
      </c>
      <c r="B648">
        <v>3.2630000000000002E-4</v>
      </c>
      <c r="C648">
        <v>3.3839999999999999E-4</v>
      </c>
      <c r="D648">
        <v>3.2519999999999999E-4</v>
      </c>
      <c r="E648">
        <v>3.3330000000000002E-4</v>
      </c>
      <c r="F648">
        <v>739506108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0.22727272727273287</v>
      </c>
      <c r="Q648">
        <f t="shared" si="995"/>
        <v>168069570.00000414</v>
      </c>
      <c r="R648">
        <f t="shared" si="996"/>
        <v>-19834133364.240124</v>
      </c>
      <c r="S648">
        <f t="shared" si="997"/>
        <v>-198341.33364240124</v>
      </c>
      <c r="T648">
        <f t="shared" si="998"/>
        <v>-198.34133364240122</v>
      </c>
    </row>
    <row r="649" spans="1:20" x14ac:dyDescent="0.25">
      <c r="A649" s="5">
        <v>43944</v>
      </c>
      <c r="B649">
        <v>3.2019999999999998E-4</v>
      </c>
      <c r="C649">
        <v>3.3609999999999998E-4</v>
      </c>
      <c r="D649">
        <v>3.1629999999999999E-4</v>
      </c>
      <c r="E649">
        <v>3.2509999999999999E-4</v>
      </c>
      <c r="F649">
        <v>727026116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-0.1111111111111111</v>
      </c>
      <c r="Q649">
        <f t="shared" si="995"/>
        <v>-80780679.555555552</v>
      </c>
      <c r="R649">
        <f t="shared" si="996"/>
        <v>-20002202934.240128</v>
      </c>
      <c r="S649">
        <f t="shared" si="997"/>
        <v>-200022.02934240128</v>
      </c>
      <c r="T649">
        <f t="shared" si="998"/>
        <v>-200.02202934240128</v>
      </c>
    </row>
    <row r="650" spans="1:20" x14ac:dyDescent="0.25">
      <c r="A650" s="5">
        <v>43943</v>
      </c>
      <c r="B650">
        <v>3.146E-4</v>
      </c>
      <c r="C650">
        <v>3.2499999999999999E-4</v>
      </c>
      <c r="D650">
        <v>3.1179999999999999E-4</v>
      </c>
      <c r="E650">
        <v>3.1930000000000001E-4</v>
      </c>
      <c r="F650">
        <v>544660246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0.13636363636363971</v>
      </c>
      <c r="Q650">
        <f t="shared" si="995"/>
        <v>74271851.727274552</v>
      </c>
      <c r="R650">
        <f t="shared" si="996"/>
        <v>-19921422254.68457</v>
      </c>
      <c r="S650">
        <f t="shared" si="997"/>
        <v>-199214.2225468457</v>
      </c>
      <c r="T650">
        <f t="shared" si="998"/>
        <v>-199.21422254684569</v>
      </c>
    </row>
    <row r="651" spans="1:20" x14ac:dyDescent="0.25">
      <c r="A651" s="5">
        <v>43942</v>
      </c>
      <c r="B651">
        <v>3.1080000000000002E-4</v>
      </c>
      <c r="C651">
        <v>3.2249999999999998E-4</v>
      </c>
      <c r="D651">
        <v>3.057E-4</v>
      </c>
      <c r="E651">
        <v>3.146E-4</v>
      </c>
      <c r="F651">
        <v>538705639</v>
      </c>
      <c r="G651">
        <v>0</v>
      </c>
      <c r="L651" t="s">
        <v>8</v>
      </c>
      <c r="M651" t="s">
        <v>7</v>
      </c>
      <c r="N651" t="s">
        <v>8</v>
      </c>
      <c r="P651">
        <f t="shared" si="994"/>
        <v>5.9523809523811061E-2</v>
      </c>
      <c r="Q651">
        <f t="shared" si="995"/>
        <v>32065811.845238924</v>
      </c>
      <c r="R651">
        <f t="shared" si="996"/>
        <v>-19995694106.411846</v>
      </c>
      <c r="S651">
        <f t="shared" si="997"/>
        <v>-199956.94106411847</v>
      </c>
      <c r="T651">
        <f t="shared" si="998"/>
        <v>-199.95694106411847</v>
      </c>
    </row>
    <row r="652" spans="1:20" x14ac:dyDescent="0.25">
      <c r="A652" s="5">
        <v>43941</v>
      </c>
      <c r="B652">
        <v>3.347E-4</v>
      </c>
      <c r="C652">
        <v>3.4099999999999999E-4</v>
      </c>
      <c r="D652">
        <v>3.0969999999999999E-4</v>
      </c>
      <c r="E652">
        <v>3.1199999999999999E-4</v>
      </c>
      <c r="F652">
        <v>919030448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-0.85303514376996792</v>
      </c>
      <c r="Q652">
        <f t="shared" si="995"/>
        <v>-783965270.33865798</v>
      </c>
      <c r="R652">
        <f t="shared" si="996"/>
        <v>-20027759918.257084</v>
      </c>
      <c r="S652">
        <f t="shared" si="997"/>
        <v>-200277.59918257085</v>
      </c>
      <c r="T652">
        <f t="shared" si="998"/>
        <v>-200.27759918257084</v>
      </c>
    </row>
    <row r="653" spans="1:20" x14ac:dyDescent="0.25">
      <c r="A653" s="5">
        <v>43940</v>
      </c>
      <c r="B653">
        <v>3.4370000000000001E-4</v>
      </c>
      <c r="C653">
        <v>3.4370000000000001E-4</v>
      </c>
      <c r="D653">
        <v>3.3E-4</v>
      </c>
      <c r="E653">
        <v>3.3480000000000001E-4</v>
      </c>
      <c r="F653">
        <v>517854986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-0.29927007299269992</v>
      </c>
      <c r="Q653">
        <f t="shared" si="995"/>
        <v>-154978499.45985359</v>
      </c>
      <c r="R653">
        <f t="shared" si="996"/>
        <v>-19243794647.918427</v>
      </c>
      <c r="S653">
        <f t="shared" si="997"/>
        <v>-192437.94647918426</v>
      </c>
      <c r="T653">
        <f t="shared" si="998"/>
        <v>-192.43794647918426</v>
      </c>
    </row>
    <row r="654" spans="1:20" x14ac:dyDescent="0.25">
      <c r="A654" s="5">
        <v>43939</v>
      </c>
      <c r="B654">
        <v>3.3789999999999997E-4</v>
      </c>
      <c r="C654">
        <v>3.4769999999999999E-4</v>
      </c>
      <c r="D654">
        <v>3.3540000000000002E-4</v>
      </c>
      <c r="E654">
        <v>3.4370000000000001E-4</v>
      </c>
      <c r="F654">
        <v>814382644</v>
      </c>
      <c r="G654">
        <v>0</v>
      </c>
      <c r="L654" t="s">
        <v>7</v>
      </c>
      <c r="M654" t="s">
        <v>8</v>
      </c>
      <c r="N654" t="s">
        <v>8</v>
      </c>
      <c r="P654">
        <f t="shared" si="994"/>
        <v>0.34959349593495975</v>
      </c>
      <c r="Q654">
        <f t="shared" si="995"/>
        <v>284702875.54471576</v>
      </c>
      <c r="R654">
        <f t="shared" si="996"/>
        <v>-19088816148.458572</v>
      </c>
      <c r="S654">
        <f t="shared" si="997"/>
        <v>-190888.16148458573</v>
      </c>
      <c r="T654">
        <f t="shared" si="998"/>
        <v>-190.88816148458574</v>
      </c>
    </row>
    <row r="655" spans="1:20" x14ac:dyDescent="0.25">
      <c r="A655" s="5">
        <v>43938</v>
      </c>
      <c r="B655">
        <v>3.3780000000000003E-4</v>
      </c>
      <c r="C655">
        <v>3.4089999999999999E-4</v>
      </c>
      <c r="D655">
        <v>3.3399999999999999E-4</v>
      </c>
      <c r="E655">
        <v>3.3760000000000002E-4</v>
      </c>
      <c r="F655">
        <v>383144020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4.3478260869574098E-2</v>
      </c>
      <c r="Q655">
        <f t="shared" si="995"/>
        <v>16658435.652177315</v>
      </c>
      <c r="R655">
        <f t="shared" si="996"/>
        <v>-19373519024.003288</v>
      </c>
      <c r="S655">
        <f t="shared" si="997"/>
        <v>-193735.19024003288</v>
      </c>
      <c r="T655">
        <f t="shared" si="998"/>
        <v>-193.73519024003289</v>
      </c>
    </row>
    <row r="656" spans="1:20" x14ac:dyDescent="0.25">
      <c r="A656" s="5">
        <v>43937</v>
      </c>
      <c r="B656">
        <v>3.2519999999999999E-4</v>
      </c>
      <c r="C656">
        <v>3.4600000000000001E-4</v>
      </c>
      <c r="D656">
        <v>3.2000000000000003E-4</v>
      </c>
      <c r="E656">
        <v>3.3629999999999999E-4</v>
      </c>
      <c r="F656">
        <v>650715133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0.25384615384615183</v>
      </c>
      <c r="Q656">
        <f t="shared" si="995"/>
        <v>165181533.76153716</v>
      </c>
      <c r="R656">
        <f t="shared" si="996"/>
        <v>-19390177459.655464</v>
      </c>
      <c r="S656">
        <f t="shared" si="997"/>
        <v>-193901.77459655463</v>
      </c>
      <c r="T656">
        <f t="shared" si="998"/>
        <v>-193.90177459655465</v>
      </c>
    </row>
    <row r="657" spans="1:20" x14ac:dyDescent="0.25">
      <c r="A657" s="5">
        <v>43936</v>
      </c>
      <c r="B657">
        <v>3.3510000000000001E-4</v>
      </c>
      <c r="C657">
        <v>3.4000000000000002E-4</v>
      </c>
      <c r="D657">
        <v>3.2509999999999999E-4</v>
      </c>
      <c r="E657">
        <v>3.2679999999999997E-4</v>
      </c>
      <c r="F657">
        <v>277194914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-0.77181208053691508</v>
      </c>
      <c r="Q657">
        <f t="shared" si="995"/>
        <v>-213942383.28859124</v>
      </c>
      <c r="R657">
        <f t="shared" si="996"/>
        <v>-19555358993.417</v>
      </c>
      <c r="S657">
        <f t="shared" si="997"/>
        <v>-195553.58993416998</v>
      </c>
      <c r="T657">
        <f t="shared" si="998"/>
        <v>-195.55358993416999</v>
      </c>
    </row>
    <row r="658" spans="1:20" x14ac:dyDescent="0.25">
      <c r="A658" s="5">
        <v>43935</v>
      </c>
      <c r="B658">
        <v>3.39E-4</v>
      </c>
      <c r="C658">
        <v>3.4299999999999999E-4</v>
      </c>
      <c r="D658">
        <v>3.2949999999999999E-4</v>
      </c>
      <c r="E658">
        <v>3.3569999999999997E-4</v>
      </c>
      <c r="F658">
        <v>527225411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-8.1481481481483445E-2</v>
      </c>
      <c r="Q658">
        <f t="shared" si="995"/>
        <v>-42959107.562964</v>
      </c>
      <c r="R658">
        <f t="shared" si="996"/>
        <v>-19341416610.12841</v>
      </c>
      <c r="S658">
        <f t="shared" si="997"/>
        <v>-193414.16610128409</v>
      </c>
      <c r="T658">
        <f t="shared" si="998"/>
        <v>-193.41416610128408</v>
      </c>
    </row>
    <row r="659" spans="1:20" x14ac:dyDescent="0.25">
      <c r="A659" s="5">
        <v>43934</v>
      </c>
      <c r="B659">
        <v>3.346E-4</v>
      </c>
      <c r="C659">
        <v>3.434E-4</v>
      </c>
      <c r="D659">
        <v>3.2410000000000002E-4</v>
      </c>
      <c r="E659">
        <v>3.3700000000000001E-4</v>
      </c>
      <c r="F659">
        <v>570708147</v>
      </c>
      <c r="G659">
        <v>0</v>
      </c>
      <c r="L659" t="s">
        <v>8</v>
      </c>
      <c r="M659" t="s">
        <v>8</v>
      </c>
      <c r="N659" t="s">
        <v>8</v>
      </c>
      <c r="P659">
        <f t="shared" si="994"/>
        <v>0.33678756476683946</v>
      </c>
      <c r="Q659">
        <f t="shared" si="995"/>
        <v>192207407.02072543</v>
      </c>
      <c r="R659">
        <f t="shared" si="996"/>
        <v>-19298457502.565445</v>
      </c>
      <c r="S659">
        <f t="shared" si="997"/>
        <v>-192984.57502565446</v>
      </c>
      <c r="T659">
        <f t="shared" si="998"/>
        <v>-192.98457502565446</v>
      </c>
    </row>
    <row r="660" spans="1:20" x14ac:dyDescent="0.25">
      <c r="A660" s="5">
        <v>43933</v>
      </c>
      <c r="B660">
        <v>3.3859999999999999E-4</v>
      </c>
      <c r="C660">
        <v>3.4890000000000002E-4</v>
      </c>
      <c r="D660">
        <v>3.3E-4</v>
      </c>
      <c r="E660">
        <v>3.346E-4</v>
      </c>
      <c r="F660">
        <v>448209086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-0.51322751322751348</v>
      </c>
      <c r="Q660">
        <f t="shared" si="995"/>
        <v>-230033234.61375672</v>
      </c>
      <c r="R660">
        <f t="shared" si="996"/>
        <v>-19490664909.58617</v>
      </c>
      <c r="S660">
        <f t="shared" si="997"/>
        <v>-194906.64909586171</v>
      </c>
      <c r="T660">
        <f t="shared" si="998"/>
        <v>-194.9066490958617</v>
      </c>
    </row>
    <row r="661" spans="1:20" x14ac:dyDescent="0.25">
      <c r="A661" s="5">
        <v>43932</v>
      </c>
      <c r="B661">
        <v>3.414E-4</v>
      </c>
      <c r="C661">
        <v>3.4319999999999999E-4</v>
      </c>
      <c r="D661">
        <v>3.2899999999999997E-4</v>
      </c>
      <c r="E661">
        <v>3.3869999999999999E-4</v>
      </c>
      <c r="F661">
        <v>494667376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0.36619718309859228</v>
      </c>
      <c r="Q661">
        <f t="shared" si="995"/>
        <v>181145799.66197219</v>
      </c>
      <c r="R661">
        <f t="shared" si="996"/>
        <v>-19260631674.972412</v>
      </c>
      <c r="S661">
        <f t="shared" si="997"/>
        <v>-192606.31674972412</v>
      </c>
      <c r="T661">
        <f t="shared" si="998"/>
        <v>-192.60631674972413</v>
      </c>
    </row>
    <row r="662" spans="1:20" x14ac:dyDescent="0.25">
      <c r="A662" s="5">
        <v>43931</v>
      </c>
      <c r="B662">
        <v>3.636E-4</v>
      </c>
      <c r="C662">
        <v>3.6689999999999997E-4</v>
      </c>
      <c r="D662">
        <v>3.2899999999999997E-4</v>
      </c>
      <c r="E662">
        <v>3.4150000000000001E-4</v>
      </c>
      <c r="F662">
        <v>805306565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-0.34036939313983994</v>
      </c>
      <c r="Q662">
        <f t="shared" si="995"/>
        <v>-274101706.82057905</v>
      </c>
      <c r="R662">
        <f t="shared" si="996"/>
        <v>-19441777474.634384</v>
      </c>
      <c r="S662">
        <f t="shared" si="997"/>
        <v>-194417.77474634384</v>
      </c>
      <c r="T662">
        <f t="shared" si="998"/>
        <v>-194.41777474634384</v>
      </c>
    </row>
    <row r="663" spans="1:20" x14ac:dyDescent="0.25">
      <c r="A663" s="5">
        <v>43930</v>
      </c>
      <c r="B663">
        <v>3.5609999999999998E-4</v>
      </c>
      <c r="C663">
        <v>3.7800000000000003E-4</v>
      </c>
      <c r="D663">
        <v>3.4890000000000002E-4</v>
      </c>
      <c r="E663">
        <v>3.6469999999999997E-4</v>
      </c>
      <c r="F663">
        <v>1276134242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8.5910652920958688E-2</v>
      </c>
      <c r="Q663">
        <f t="shared" si="995"/>
        <v>109633525.9450127</v>
      </c>
      <c r="R663">
        <f t="shared" si="996"/>
        <v>-19167675767.813805</v>
      </c>
      <c r="S663">
        <f t="shared" si="997"/>
        <v>-191676.75767813803</v>
      </c>
      <c r="T663">
        <f t="shared" si="998"/>
        <v>-191.67675767813805</v>
      </c>
    </row>
    <row r="664" spans="1:20" x14ac:dyDescent="0.25">
      <c r="A664" s="5">
        <v>43929</v>
      </c>
      <c r="B664">
        <v>3.4309999999999999E-4</v>
      </c>
      <c r="C664">
        <v>3.7800000000000003E-4</v>
      </c>
      <c r="D664">
        <v>3.4150000000000001E-4</v>
      </c>
      <c r="E664">
        <v>3.5849999999999999E-4</v>
      </c>
      <c r="F664">
        <v>798131451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-6.8493150684933141E-2</v>
      </c>
      <c r="Q664">
        <f t="shared" si="995"/>
        <v>-54666537.739727333</v>
      </c>
      <c r="R664">
        <f t="shared" si="996"/>
        <v>-19277309293.758816</v>
      </c>
      <c r="S664">
        <f t="shared" si="997"/>
        <v>-192773.09293758817</v>
      </c>
      <c r="T664">
        <f t="shared" si="998"/>
        <v>-192.77309293758816</v>
      </c>
    </row>
    <row r="665" spans="1:20" x14ac:dyDescent="0.25">
      <c r="A665" s="5">
        <v>43928</v>
      </c>
      <c r="B665">
        <v>3.5300000000000002E-4</v>
      </c>
      <c r="C665">
        <v>3.5960000000000001E-4</v>
      </c>
      <c r="D665">
        <v>3.4039999999999998E-4</v>
      </c>
      <c r="E665">
        <v>3.4309999999999999E-4</v>
      </c>
      <c r="F665">
        <v>1178950083</v>
      </c>
      <c r="G665">
        <v>0</v>
      </c>
      <c r="L665" t="s">
        <v>8</v>
      </c>
      <c r="M665" t="s">
        <v>8</v>
      </c>
      <c r="N665" t="s">
        <v>7</v>
      </c>
      <c r="P665">
        <f t="shared" si="994"/>
        <v>-0.71874999999999933</v>
      </c>
      <c r="Q665">
        <f t="shared" si="995"/>
        <v>-847370372.15624917</v>
      </c>
      <c r="R665">
        <f t="shared" si="996"/>
        <v>-19222642756.019089</v>
      </c>
      <c r="S665">
        <f t="shared" si="997"/>
        <v>-192226.42756019087</v>
      </c>
      <c r="T665">
        <f t="shared" si="998"/>
        <v>-192.22642756019087</v>
      </c>
    </row>
    <row r="666" spans="1:20" x14ac:dyDescent="0.25">
      <c r="A666" s="5">
        <v>43927</v>
      </c>
      <c r="B666">
        <v>3.2860000000000002E-4</v>
      </c>
      <c r="C666">
        <v>3.5340000000000002E-4</v>
      </c>
      <c r="D666">
        <v>3.278E-4</v>
      </c>
      <c r="E666">
        <v>3.525E-4</v>
      </c>
      <c r="F666">
        <v>1129337357</v>
      </c>
      <c r="G666">
        <v>0</v>
      </c>
      <c r="L666" t="s">
        <v>7</v>
      </c>
      <c r="M666" t="s">
        <v>8</v>
      </c>
      <c r="N666" t="s">
        <v>7</v>
      </c>
      <c r="P666">
        <f t="shared" si="994"/>
        <v>0.92968749999999833</v>
      </c>
      <c r="Q666">
        <f t="shared" si="995"/>
        <v>1049930824.0859356</v>
      </c>
      <c r="R666">
        <f t="shared" si="996"/>
        <v>-18375272383.862839</v>
      </c>
      <c r="S666">
        <f t="shared" si="997"/>
        <v>-183752.72383862839</v>
      </c>
      <c r="T666">
        <f t="shared" si="998"/>
        <v>-183.75272383862838</v>
      </c>
    </row>
    <row r="667" spans="1:20" x14ac:dyDescent="0.25">
      <c r="A667" s="5">
        <v>43926</v>
      </c>
      <c r="B667">
        <v>3.2929999999999998E-4</v>
      </c>
      <c r="C667">
        <v>3.3189999999999999E-4</v>
      </c>
      <c r="D667">
        <v>3.2279999999999999E-4</v>
      </c>
      <c r="E667">
        <v>3.2850000000000002E-4</v>
      </c>
      <c r="F667">
        <v>339786545</v>
      </c>
      <c r="G667">
        <v>0</v>
      </c>
      <c r="L667" t="s">
        <v>8</v>
      </c>
      <c r="M667" t="s">
        <v>8</v>
      </c>
      <c r="N667" t="s">
        <v>7</v>
      </c>
      <c r="P667">
        <f t="shared" si="994"/>
        <v>0.25274725274725879</v>
      </c>
      <c r="Q667">
        <f t="shared" si="995"/>
        <v>85880115.769232824</v>
      </c>
      <c r="R667">
        <f t="shared" si="996"/>
        <v>-19425203207.948772</v>
      </c>
      <c r="S667">
        <f t="shared" si="997"/>
        <v>-194252.03207948772</v>
      </c>
      <c r="T667">
        <f t="shared" si="998"/>
        <v>-194.25203207948772</v>
      </c>
    </row>
    <row r="668" spans="1:20" x14ac:dyDescent="0.25">
      <c r="A668" s="5">
        <v>43925</v>
      </c>
      <c r="B668">
        <v>3.3070000000000002E-4</v>
      </c>
      <c r="C668">
        <v>3.3609999999999998E-4</v>
      </c>
      <c r="D668">
        <v>3.2499999999999999E-4</v>
      </c>
      <c r="E668">
        <v>3.2919999999999998E-4</v>
      </c>
      <c r="F668">
        <v>431631427</v>
      </c>
      <c r="G668">
        <v>0</v>
      </c>
      <c r="L668" t="s">
        <v>7</v>
      </c>
      <c r="M668" t="s">
        <v>8</v>
      </c>
      <c r="N668" t="s">
        <v>7</v>
      </c>
      <c r="P668">
        <f t="shared" si="994"/>
        <v>-0.24324324324324431</v>
      </c>
      <c r="Q668">
        <f t="shared" si="995"/>
        <v>-104991428.18918966</v>
      </c>
      <c r="R668">
        <f t="shared" si="996"/>
        <v>-19511083323.718006</v>
      </c>
      <c r="S668">
        <f t="shared" si="997"/>
        <v>-195110.83323718005</v>
      </c>
      <c r="T668">
        <f t="shared" si="998"/>
        <v>-195.11083323718006</v>
      </c>
    </row>
    <row r="669" spans="1:20" x14ac:dyDescent="0.25">
      <c r="A669" s="5">
        <v>43924</v>
      </c>
      <c r="B669">
        <v>3.2959999999999999E-4</v>
      </c>
      <c r="C669">
        <v>3.4170000000000001E-4</v>
      </c>
      <c r="D669">
        <v>3.2499999999999999E-4</v>
      </c>
      <c r="E669">
        <v>3.3169999999999999E-4</v>
      </c>
      <c r="F669">
        <v>756348344</v>
      </c>
      <c r="G669">
        <v>0</v>
      </c>
      <c r="L669" t="s">
        <v>8</v>
      </c>
      <c r="M669" t="s">
        <v>8</v>
      </c>
      <c r="N669" t="s">
        <v>7</v>
      </c>
      <c r="P669">
        <f t="shared" si="994"/>
        <v>-0.19760479041916293</v>
      </c>
      <c r="Q669">
        <f t="shared" si="995"/>
        <v>-149458056.00000095</v>
      </c>
      <c r="R669">
        <f t="shared" si="996"/>
        <v>-19406091895.528816</v>
      </c>
      <c r="S669">
        <f t="shared" si="997"/>
        <v>-194060.91895528816</v>
      </c>
      <c r="T669">
        <f t="shared" si="998"/>
        <v>-194.06091895528814</v>
      </c>
    </row>
    <row r="670" spans="1:20" x14ac:dyDescent="0.25">
      <c r="A670" s="5">
        <v>43923</v>
      </c>
      <c r="B670">
        <v>3.3310000000000002E-4</v>
      </c>
      <c r="C670">
        <v>3.481E-4</v>
      </c>
      <c r="D670">
        <v>3.2029999999999998E-4</v>
      </c>
      <c r="E670">
        <v>3.299E-4</v>
      </c>
      <c r="F670">
        <v>1589715398</v>
      </c>
      <c r="G670">
        <v>0</v>
      </c>
      <c r="L670" t="s">
        <v>7</v>
      </c>
      <c r="M670" t="s">
        <v>8</v>
      </c>
      <c r="N670" t="s">
        <v>7</v>
      </c>
      <c r="P670">
        <f t="shared" si="994"/>
        <v>-0.30935251798561098</v>
      </c>
      <c r="Q670">
        <f t="shared" si="995"/>
        <v>-491782461.25179774</v>
      </c>
      <c r="R670">
        <f t="shared" si="996"/>
        <v>-19256633839.528816</v>
      </c>
      <c r="S670">
        <f t="shared" si="997"/>
        <v>-192566.33839528816</v>
      </c>
      <c r="T670">
        <f t="shared" si="998"/>
        <v>-192.56633839528814</v>
      </c>
    </row>
    <row r="671" spans="1:20" x14ac:dyDescent="0.25">
      <c r="A671" s="5">
        <v>43922</v>
      </c>
      <c r="B671">
        <v>3.3629999999999999E-4</v>
      </c>
      <c r="C671">
        <v>3.3629999999999999E-4</v>
      </c>
      <c r="D671">
        <v>3.078E-4</v>
      </c>
      <c r="E671">
        <v>3.3310000000000002E-4</v>
      </c>
      <c r="F671">
        <v>2042355215</v>
      </c>
      <c r="G671">
        <v>0</v>
      </c>
      <c r="L671" t="s">
        <v>8</v>
      </c>
      <c r="M671" t="s">
        <v>7</v>
      </c>
      <c r="N671" t="s">
        <v>7</v>
      </c>
      <c r="P671">
        <f t="shared" si="994"/>
        <v>0.77543859649123015</v>
      </c>
      <c r="Q671">
        <f t="shared" si="995"/>
        <v>1583721061.4561446</v>
      </c>
      <c r="R671">
        <f t="shared" si="996"/>
        <v>-18764851378.27702</v>
      </c>
      <c r="S671">
        <f t="shared" si="997"/>
        <v>-187648.5137827702</v>
      </c>
      <c r="T671">
        <f t="shared" si="998"/>
        <v>-187.64851378277021</v>
      </c>
    </row>
    <row r="672" spans="1:20" x14ac:dyDescent="0.25">
      <c r="A672" s="5">
        <v>43921</v>
      </c>
      <c r="B672">
        <v>3.2909999999999998E-4</v>
      </c>
      <c r="C672">
        <v>3.4000000000000002E-4</v>
      </c>
      <c r="D672">
        <v>3.2499999999999999E-4</v>
      </c>
      <c r="E672">
        <v>3.3780000000000003E-4</v>
      </c>
      <c r="F672">
        <v>730822716</v>
      </c>
      <c r="G672">
        <v>0</v>
      </c>
      <c r="L672" t="s">
        <v>7</v>
      </c>
      <c r="M672" t="s">
        <v>7</v>
      </c>
      <c r="N672" t="s">
        <v>7</v>
      </c>
      <c r="P672">
        <f t="shared" si="994"/>
        <v>0.70666666666666755</v>
      </c>
      <c r="Q672">
        <f t="shared" si="995"/>
        <v>516448052.64000064</v>
      </c>
      <c r="R672">
        <f t="shared" si="996"/>
        <v>-20348572439.733166</v>
      </c>
      <c r="S672">
        <f t="shared" si="997"/>
        <v>-203485.72439733165</v>
      </c>
      <c r="T672">
        <f t="shared" si="998"/>
        <v>-203.48572439733164</v>
      </c>
    </row>
    <row r="673" spans="1:20" x14ac:dyDescent="0.25">
      <c r="A673" s="5">
        <v>43920</v>
      </c>
      <c r="B673">
        <v>3.0929999999999998E-4</v>
      </c>
      <c r="C673">
        <v>3.3990000000000002E-4</v>
      </c>
      <c r="D673">
        <v>3.0889999999999997E-4</v>
      </c>
      <c r="E673">
        <v>3.2979999999999999E-4</v>
      </c>
      <c r="F673">
        <v>1149930664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0.34838709677419272</v>
      </c>
      <c r="Q673">
        <f t="shared" si="995"/>
        <v>400621005.52257967</v>
      </c>
      <c r="R673">
        <f t="shared" si="996"/>
        <v>-20865020492.373165</v>
      </c>
      <c r="S673">
        <f t="shared" si="997"/>
        <v>-208650.20492373165</v>
      </c>
      <c r="T673">
        <f t="shared" si="998"/>
        <v>-208.65020492373165</v>
      </c>
    </row>
    <row r="674" spans="1:20" x14ac:dyDescent="0.25">
      <c r="A674" s="5">
        <v>43919</v>
      </c>
      <c r="B674">
        <v>3.189E-4</v>
      </c>
      <c r="C674">
        <v>3.3480000000000001E-4</v>
      </c>
      <c r="D674">
        <v>3.0909999999999998E-4</v>
      </c>
      <c r="E674">
        <v>3.0909999999999998E-4</v>
      </c>
      <c r="F674">
        <v>766012124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-1</v>
      </c>
      <c r="Q674">
        <f t="shared" si="995"/>
        <v>-766012124</v>
      </c>
      <c r="R674">
        <f t="shared" si="996"/>
        <v>-21265641497.895744</v>
      </c>
      <c r="S674">
        <f t="shared" si="997"/>
        <v>-212656.41497895744</v>
      </c>
      <c r="T674">
        <f t="shared" si="998"/>
        <v>-212.65641497895746</v>
      </c>
    </row>
    <row r="675" spans="1:20" x14ac:dyDescent="0.25">
      <c r="A675" s="5">
        <v>43918</v>
      </c>
      <c r="B675">
        <v>3.1119999999999997E-4</v>
      </c>
      <c r="C675">
        <v>3.3500000000000001E-4</v>
      </c>
      <c r="D675">
        <v>2.99E-4</v>
      </c>
      <c r="E675">
        <v>3.188E-4</v>
      </c>
      <c r="F675">
        <v>1306193334</v>
      </c>
      <c r="G675">
        <v>0</v>
      </c>
      <c r="L675" t="s">
        <v>8</v>
      </c>
      <c r="M675" t="s">
        <v>7</v>
      </c>
      <c r="N675" t="s">
        <v>7</v>
      </c>
      <c r="P675">
        <f t="shared" si="994"/>
        <v>9.9999999999999395E-2</v>
      </c>
      <c r="Q675">
        <f t="shared" si="995"/>
        <v>130619333.39999922</v>
      </c>
      <c r="R675">
        <f t="shared" si="996"/>
        <v>-20499629373.895744</v>
      </c>
      <c r="S675">
        <f t="shared" si="997"/>
        <v>-204996.29373895744</v>
      </c>
      <c r="T675">
        <f t="shared" si="998"/>
        <v>-204.99629373895743</v>
      </c>
    </row>
    <row r="676" spans="1:20" x14ac:dyDescent="0.25">
      <c r="A676" s="5">
        <v>43917</v>
      </c>
      <c r="B676">
        <v>3.2689999999999998E-4</v>
      </c>
      <c r="C676">
        <v>3.3700000000000001E-4</v>
      </c>
      <c r="D676">
        <v>3.1E-4</v>
      </c>
      <c r="E676">
        <v>3.1119999999999997E-4</v>
      </c>
      <c r="F676">
        <v>813924070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-0.91111111111111298</v>
      </c>
      <c r="Q676">
        <f t="shared" si="995"/>
        <v>-741575263.77777934</v>
      </c>
      <c r="R676">
        <f t="shared" si="996"/>
        <v>-20630248707.295742</v>
      </c>
      <c r="S676">
        <f t="shared" si="997"/>
        <v>-206302.48707295742</v>
      </c>
      <c r="T676">
        <f t="shared" si="998"/>
        <v>-206.3024870729574</v>
      </c>
    </row>
    <row r="677" spans="1:20" x14ac:dyDescent="0.25">
      <c r="A677" s="5">
        <v>43916</v>
      </c>
      <c r="B677">
        <v>3.191E-4</v>
      </c>
      <c r="C677">
        <v>3.3E-4</v>
      </c>
      <c r="D677">
        <v>3.1510000000000002E-4</v>
      </c>
      <c r="E677">
        <v>3.2509999999999999E-4</v>
      </c>
      <c r="F677">
        <v>804586991</v>
      </c>
      <c r="G677">
        <v>0</v>
      </c>
      <c r="L677" t="s">
        <v>8</v>
      </c>
      <c r="M677" t="s">
        <v>7</v>
      </c>
      <c r="N677" t="s">
        <v>7</v>
      </c>
      <c r="P677">
        <f t="shared" si="994"/>
        <v>0.34228187919462866</v>
      </c>
      <c r="Q677">
        <f t="shared" si="995"/>
        <v>275395547.25503176</v>
      </c>
      <c r="R677">
        <f t="shared" si="996"/>
        <v>-19888673443.517963</v>
      </c>
      <c r="S677">
        <f t="shared" si="997"/>
        <v>-198886.73443517962</v>
      </c>
      <c r="T677">
        <f t="shared" si="998"/>
        <v>-198.88673443517962</v>
      </c>
    </row>
    <row r="678" spans="1:20" x14ac:dyDescent="0.25">
      <c r="A678" s="5">
        <v>43915</v>
      </c>
      <c r="B678">
        <v>3.3369999999999998E-4</v>
      </c>
      <c r="C678">
        <v>3.4099999999999999E-4</v>
      </c>
      <c r="D678">
        <v>3.0850000000000002E-4</v>
      </c>
      <c r="E678">
        <v>3.1980000000000002E-4</v>
      </c>
      <c r="F678">
        <v>971065370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-0.3046153846153839</v>
      </c>
      <c r="Q678">
        <f t="shared" si="995"/>
        <v>-295801451.1692301</v>
      </c>
      <c r="R678">
        <f t="shared" si="996"/>
        <v>-20164068990.772995</v>
      </c>
      <c r="S678">
        <f t="shared" si="997"/>
        <v>-201640.68990772995</v>
      </c>
      <c r="T678">
        <f t="shared" si="998"/>
        <v>-201.64068990772995</v>
      </c>
    </row>
    <row r="679" spans="1:20" x14ac:dyDescent="0.25">
      <c r="A679" s="5">
        <v>43914</v>
      </c>
      <c r="B679">
        <v>3.28E-4</v>
      </c>
      <c r="C679">
        <v>3.4459999999999997E-4</v>
      </c>
      <c r="D679">
        <v>3.2000000000000003E-4</v>
      </c>
      <c r="E679">
        <v>3.345E-4</v>
      </c>
      <c r="F679">
        <v>1032060993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0.17886178861788651</v>
      </c>
      <c r="Q679">
        <f t="shared" si="995"/>
        <v>184596275.17073205</v>
      </c>
      <c r="R679">
        <f t="shared" si="996"/>
        <v>-19868267539.603764</v>
      </c>
      <c r="S679">
        <f t="shared" si="997"/>
        <v>-198682.67539603764</v>
      </c>
      <c r="T679">
        <f t="shared" si="998"/>
        <v>-198.68267539603764</v>
      </c>
    </row>
    <row r="680" spans="1:20" x14ac:dyDescent="0.25">
      <c r="A680" s="5">
        <v>43913</v>
      </c>
      <c r="B680">
        <v>3.0019999999999998E-4</v>
      </c>
      <c r="C680">
        <v>3.3300000000000002E-4</v>
      </c>
      <c r="D680">
        <v>2.943E-4</v>
      </c>
      <c r="E680">
        <v>3.2729999999999999E-4</v>
      </c>
      <c r="F680">
        <v>1024193000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0.70542635658914588</v>
      </c>
      <c r="Q680">
        <f t="shared" si="995"/>
        <v>722492736.43410707</v>
      </c>
      <c r="R680">
        <f t="shared" si="996"/>
        <v>-20052863814.774494</v>
      </c>
      <c r="S680">
        <f t="shared" si="997"/>
        <v>-200528.63814774493</v>
      </c>
      <c r="T680">
        <f t="shared" si="998"/>
        <v>-200.52863814774494</v>
      </c>
    </row>
    <row r="681" spans="1:20" x14ac:dyDescent="0.25">
      <c r="A681" s="5">
        <v>43912</v>
      </c>
      <c r="B681">
        <v>3.2000000000000003E-4</v>
      </c>
      <c r="C681">
        <v>3.3560000000000003E-4</v>
      </c>
      <c r="D681">
        <v>2.9999999999999997E-4</v>
      </c>
      <c r="E681">
        <v>3.0459999999999998E-4</v>
      </c>
      <c r="F681">
        <v>621818604</v>
      </c>
      <c r="G681">
        <v>0</v>
      </c>
      <c r="L681" t="s">
        <v>8</v>
      </c>
      <c r="M681" t="s">
        <v>7</v>
      </c>
      <c r="N681" t="s">
        <v>7</v>
      </c>
      <c r="P681">
        <f t="shared" si="994"/>
        <v>-0.74157303370786531</v>
      </c>
      <c r="Q681">
        <f t="shared" si="995"/>
        <v>-461123908.58426976</v>
      </c>
      <c r="R681">
        <f t="shared" si="996"/>
        <v>-20775356551.208603</v>
      </c>
      <c r="S681">
        <f t="shared" si="997"/>
        <v>-207753.56551208603</v>
      </c>
      <c r="T681">
        <f t="shared" si="998"/>
        <v>-207.75356551208603</v>
      </c>
    </row>
    <row r="682" spans="1:20" x14ac:dyDescent="0.25">
      <c r="A682" s="5">
        <v>43911</v>
      </c>
      <c r="B682">
        <v>3.2370000000000001E-4</v>
      </c>
      <c r="C682">
        <v>3.3490000000000001E-4</v>
      </c>
      <c r="D682">
        <v>3.0800000000000001E-4</v>
      </c>
      <c r="E682">
        <v>3.2370000000000001E-4</v>
      </c>
      <c r="F682">
        <v>605396153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0.16728624535315986</v>
      </c>
      <c r="Q682">
        <f t="shared" si="995"/>
        <v>101274449.38661711</v>
      </c>
      <c r="R682">
        <f t="shared" si="996"/>
        <v>-20314232642.624332</v>
      </c>
      <c r="S682">
        <f t="shared" si="997"/>
        <v>-203142.32642624332</v>
      </c>
      <c r="T682">
        <f t="shared" si="998"/>
        <v>-203.14232642624333</v>
      </c>
    </row>
    <row r="683" spans="1:20" x14ac:dyDescent="0.25">
      <c r="A683" s="5">
        <v>43910</v>
      </c>
      <c r="B683">
        <v>3.3030000000000001E-4</v>
      </c>
      <c r="C683">
        <v>3.6000000000000002E-4</v>
      </c>
      <c r="D683">
        <v>2.989E-4</v>
      </c>
      <c r="E683">
        <v>3.2590000000000001E-4</v>
      </c>
      <c r="F683">
        <v>1551978884</v>
      </c>
      <c r="G683">
        <v>0</v>
      </c>
      <c r="L683" t="s">
        <v>8</v>
      </c>
      <c r="M683" t="s">
        <v>7</v>
      </c>
      <c r="N683" t="s">
        <v>7</v>
      </c>
      <c r="P683">
        <f t="shared" si="994"/>
        <v>-0.11620294599018015</v>
      </c>
      <c r="Q683">
        <f t="shared" si="995"/>
        <v>-180344518.43535206</v>
      </c>
      <c r="R683">
        <f t="shared" si="996"/>
        <v>-20415507092.010948</v>
      </c>
      <c r="S683">
        <f t="shared" si="997"/>
        <v>-204155.07092010949</v>
      </c>
      <c r="T683">
        <f t="shared" si="998"/>
        <v>-204.15507092010949</v>
      </c>
    </row>
    <row r="684" spans="1:20" x14ac:dyDescent="0.25">
      <c r="A684" s="5">
        <v>43909</v>
      </c>
      <c r="B684">
        <v>2.9999999999999997E-4</v>
      </c>
      <c r="C684">
        <v>3.6000000000000002E-4</v>
      </c>
      <c r="D684">
        <v>2.9579999999999998E-4</v>
      </c>
      <c r="E684">
        <v>3.3040000000000001E-4</v>
      </c>
      <c r="F684">
        <v>1465612540</v>
      </c>
      <c r="G684">
        <v>0</v>
      </c>
      <c r="L684" t="s">
        <v>7</v>
      </c>
      <c r="M684" t="s">
        <v>8</v>
      </c>
      <c r="N684" t="s">
        <v>7</v>
      </c>
      <c r="P684">
        <f t="shared" si="994"/>
        <v>7.7881619937694851E-2</v>
      </c>
      <c r="Q684">
        <f t="shared" si="995"/>
        <v>114144278.81619959</v>
      </c>
      <c r="R684">
        <f t="shared" si="996"/>
        <v>-20235162573.575596</v>
      </c>
      <c r="S684">
        <f t="shared" si="997"/>
        <v>-202351.62573575595</v>
      </c>
      <c r="T684">
        <f t="shared" si="998"/>
        <v>-202.35162573575596</v>
      </c>
    </row>
    <row r="685" spans="1:20" x14ac:dyDescent="0.25">
      <c r="A685" s="5">
        <v>43908</v>
      </c>
      <c r="B685">
        <v>2.9970000000000002E-4</v>
      </c>
      <c r="C685">
        <v>3.0380000000000001E-4</v>
      </c>
      <c r="D685">
        <v>2.8420000000000002E-4</v>
      </c>
      <c r="E685">
        <v>2.9999999999999997E-4</v>
      </c>
      <c r="F685">
        <v>368484449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0.61224489795917958</v>
      </c>
      <c r="Q685">
        <f t="shared" si="995"/>
        <v>225602723.8775495</v>
      </c>
      <c r="R685">
        <f t="shared" si="996"/>
        <v>-20349306852.391796</v>
      </c>
      <c r="S685">
        <f t="shared" si="997"/>
        <v>-203493.06852391796</v>
      </c>
      <c r="T685">
        <f t="shared" si="998"/>
        <v>-203.49306852391797</v>
      </c>
    </row>
    <row r="686" spans="1:20" x14ac:dyDescent="0.25">
      <c r="A686" s="5">
        <v>43907</v>
      </c>
      <c r="B686">
        <v>2.8239999999999998E-4</v>
      </c>
      <c r="C686">
        <v>3.1050000000000001E-4</v>
      </c>
      <c r="D686">
        <v>2.8009999999999998E-4</v>
      </c>
      <c r="E686">
        <v>2.965E-4</v>
      </c>
      <c r="F686">
        <v>575511274</v>
      </c>
      <c r="G686">
        <v>0</v>
      </c>
      <c r="L686" t="s">
        <v>7</v>
      </c>
      <c r="M686" t="s">
        <v>8</v>
      </c>
      <c r="N686" t="s">
        <v>7</v>
      </c>
      <c r="P686">
        <f t="shared" si="994"/>
        <v>7.8947368421052683E-2</v>
      </c>
      <c r="Q686">
        <f t="shared" si="995"/>
        <v>45435100.578947395</v>
      </c>
      <c r="R686">
        <f t="shared" si="996"/>
        <v>-20574909576.269344</v>
      </c>
      <c r="S686">
        <f t="shared" si="997"/>
        <v>-205749.09576269344</v>
      </c>
      <c r="T686">
        <f t="shared" si="998"/>
        <v>-205.74909576269343</v>
      </c>
    </row>
    <row r="687" spans="1:20" x14ac:dyDescent="0.25">
      <c r="A687" s="5">
        <v>43906</v>
      </c>
      <c r="B687">
        <v>3.101E-4</v>
      </c>
      <c r="C687">
        <v>3.1149999999999998E-4</v>
      </c>
      <c r="D687">
        <v>2.5250000000000001E-4</v>
      </c>
      <c r="E687">
        <v>2.8069999999999999E-4</v>
      </c>
      <c r="F687">
        <v>1447141620</v>
      </c>
      <c r="G687">
        <v>0</v>
      </c>
      <c r="L687" t="s">
        <v>8</v>
      </c>
      <c r="M687" t="s">
        <v>7</v>
      </c>
      <c r="N687" t="s">
        <v>7</v>
      </c>
      <c r="P687">
        <f t="shared" si="994"/>
        <v>-4.4067796610169664E-2</v>
      </c>
      <c r="Q687">
        <f t="shared" si="995"/>
        <v>-63772342.576271437</v>
      </c>
      <c r="R687">
        <f t="shared" si="996"/>
        <v>-20620344676.848293</v>
      </c>
      <c r="S687">
        <f t="shared" si="997"/>
        <v>-206203.44676848294</v>
      </c>
      <c r="T687">
        <f t="shared" si="998"/>
        <v>-206.20344676848293</v>
      </c>
    </row>
    <row r="688" spans="1:20" x14ac:dyDescent="0.25">
      <c r="A688" s="5">
        <v>43905</v>
      </c>
      <c r="B688">
        <v>3.1E-4</v>
      </c>
      <c r="C688">
        <v>3.3799999999999998E-4</v>
      </c>
      <c r="D688">
        <v>2.9999999999999997E-4</v>
      </c>
      <c r="E688">
        <v>3.1169999999999999E-4</v>
      </c>
      <c r="F688">
        <v>698062147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-0.38421052631578878</v>
      </c>
      <c r="Q688">
        <f t="shared" si="995"/>
        <v>-268202824.89999953</v>
      </c>
      <c r="R688">
        <f t="shared" si="996"/>
        <v>-20556572334.272022</v>
      </c>
      <c r="S688">
        <f t="shared" si="997"/>
        <v>-205565.72334272022</v>
      </c>
      <c r="T688">
        <f t="shared" si="998"/>
        <v>-205.56572334272022</v>
      </c>
    </row>
    <row r="689" spans="1:20" x14ac:dyDescent="0.25">
      <c r="A689" s="5">
        <v>43904</v>
      </c>
      <c r="B689">
        <v>3.2499999999999999E-4</v>
      </c>
      <c r="C689">
        <v>3.3589999999999998E-4</v>
      </c>
      <c r="D689">
        <v>3.0309999999999999E-4</v>
      </c>
      <c r="E689">
        <v>3.0810000000000001E-4</v>
      </c>
      <c r="F689">
        <v>1009615318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-0.69512195121951126</v>
      </c>
      <c r="Q689">
        <f t="shared" si="995"/>
        <v>-701805769.82926738</v>
      </c>
      <c r="R689">
        <f t="shared" si="996"/>
        <v>-20288369509.372025</v>
      </c>
      <c r="S689">
        <f t="shared" si="997"/>
        <v>-202883.69509372025</v>
      </c>
      <c r="T689">
        <f t="shared" si="998"/>
        <v>-202.88369509372026</v>
      </c>
    </row>
    <row r="690" spans="1:20" x14ac:dyDescent="0.25">
      <c r="A690" s="5">
        <v>43903</v>
      </c>
      <c r="B690">
        <v>2.9389999999999999E-4</v>
      </c>
      <c r="C690">
        <v>3.5310000000000002E-4</v>
      </c>
      <c r="D690">
        <v>1.9599999999999999E-4</v>
      </c>
      <c r="E690">
        <v>3.2229999999999997E-4</v>
      </c>
      <c r="F690">
        <v>3055919679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0.60789306174411151</v>
      </c>
      <c r="Q690">
        <f t="shared" si="995"/>
        <v>1857672370.1113925</v>
      </c>
      <c r="R690">
        <f t="shared" si="996"/>
        <v>-19586563739.542759</v>
      </c>
      <c r="S690">
        <f t="shared" si="997"/>
        <v>-195865.63739542759</v>
      </c>
      <c r="T690">
        <f t="shared" si="998"/>
        <v>-195.8656373954276</v>
      </c>
    </row>
    <row r="691" spans="1:20" x14ac:dyDescent="0.25">
      <c r="A691" s="5">
        <v>43902</v>
      </c>
      <c r="B691">
        <v>5.2450000000000001E-4</v>
      </c>
      <c r="C691">
        <v>5.2479999999999996E-4</v>
      </c>
      <c r="D691">
        <v>2.7020000000000001E-4</v>
      </c>
      <c r="E691">
        <v>2.8190000000000002E-4</v>
      </c>
      <c r="F691">
        <v>2964308901</v>
      </c>
      <c r="G691">
        <v>0</v>
      </c>
      <c r="L691" t="s">
        <v>8</v>
      </c>
      <c r="M691" t="s">
        <v>7</v>
      </c>
      <c r="N691" t="s">
        <v>7</v>
      </c>
      <c r="P691">
        <f t="shared" si="994"/>
        <v>-0.90809112333071473</v>
      </c>
      <c r="Q691">
        <f t="shared" si="995"/>
        <v>-2691862599.8083262</v>
      </c>
      <c r="R691">
        <f t="shared" si="996"/>
        <v>-21444236109.654152</v>
      </c>
      <c r="S691">
        <f t="shared" si="997"/>
        <v>-214442.36109654151</v>
      </c>
      <c r="T691">
        <f t="shared" si="998"/>
        <v>-214.4423610965415</v>
      </c>
    </row>
    <row r="692" spans="1:20" x14ac:dyDescent="0.25">
      <c r="A692" s="5">
        <v>43901</v>
      </c>
      <c r="B692">
        <v>5.4489999999999996E-4</v>
      </c>
      <c r="C692">
        <v>5.4989999999999998E-4</v>
      </c>
      <c r="D692">
        <v>4.9390000000000002E-4</v>
      </c>
      <c r="E692">
        <v>5.2450000000000001E-4</v>
      </c>
      <c r="F692">
        <v>688502131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9.2857142857143263E-2</v>
      </c>
      <c r="Q692">
        <f t="shared" si="995"/>
        <v>63932340.735714562</v>
      </c>
      <c r="R692">
        <f t="shared" si="996"/>
        <v>-18752373509.845825</v>
      </c>
      <c r="S692">
        <f t="shared" si="997"/>
        <v>-187523.73509845824</v>
      </c>
      <c r="T692">
        <f t="shared" si="998"/>
        <v>-187.52373509845825</v>
      </c>
    </row>
    <row r="693" spans="1:20" x14ac:dyDescent="0.25">
      <c r="A693" s="5">
        <v>43900</v>
      </c>
      <c r="B693">
        <v>5.3689999999999999E-4</v>
      </c>
      <c r="C693">
        <v>5.6999999999999998E-4</v>
      </c>
      <c r="D693">
        <v>5.2349999999999999E-4</v>
      </c>
      <c r="E693">
        <v>5.4350000000000004E-4</v>
      </c>
      <c r="F693">
        <v>702761974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-0.13978494623655674</v>
      </c>
      <c r="Q693">
        <f t="shared" si="995"/>
        <v>-98235544.752686486</v>
      </c>
      <c r="R693">
        <f t="shared" si="996"/>
        <v>-18816305850.581539</v>
      </c>
      <c r="S693">
        <f t="shared" si="997"/>
        <v>-188163.0585058154</v>
      </c>
      <c r="T693">
        <f t="shared" si="998"/>
        <v>-188.1630585058154</v>
      </c>
    </row>
    <row r="694" spans="1:20" x14ac:dyDescent="0.25">
      <c r="A694" s="5">
        <v>43899</v>
      </c>
      <c r="B694">
        <v>5.4670000000000001E-4</v>
      </c>
      <c r="C694">
        <v>5.6789999999999998E-4</v>
      </c>
      <c r="D694">
        <v>5.0580000000000004E-4</v>
      </c>
      <c r="E694">
        <v>5.3280000000000005E-4</v>
      </c>
      <c r="F694">
        <v>1132145951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-0.13043478260869459</v>
      </c>
      <c r="Q694">
        <f t="shared" si="995"/>
        <v>-147671210.99999881</v>
      </c>
      <c r="R694">
        <f t="shared" si="996"/>
        <v>-18718070305.828854</v>
      </c>
      <c r="S694">
        <f t="shared" si="997"/>
        <v>-187180.70305828855</v>
      </c>
      <c r="T694">
        <f t="shared" si="998"/>
        <v>-187.18070305828854</v>
      </c>
    </row>
    <row r="695" spans="1:20" x14ac:dyDescent="0.25">
      <c r="A695" s="5">
        <v>43898</v>
      </c>
      <c r="B695">
        <v>6.3020000000000003E-4</v>
      </c>
      <c r="C695">
        <v>6.3100000000000005E-4</v>
      </c>
      <c r="D695">
        <v>5.3410000000000003E-4</v>
      </c>
      <c r="E695">
        <v>5.3989999999999995E-4</v>
      </c>
      <c r="F695">
        <v>962180240</v>
      </c>
      <c r="G695">
        <v>0</v>
      </c>
      <c r="L695" t="s">
        <v>8</v>
      </c>
      <c r="M695" t="s">
        <v>7</v>
      </c>
      <c r="N695" t="s">
        <v>7</v>
      </c>
      <c r="P695">
        <f t="shared" si="994"/>
        <v>-0.88028895768834003</v>
      </c>
      <c r="Q695">
        <f t="shared" si="995"/>
        <v>-846996640.57791686</v>
      </c>
      <c r="R695">
        <f t="shared" si="996"/>
        <v>-18570399094.828854</v>
      </c>
      <c r="S695">
        <f t="shared" si="997"/>
        <v>-185703.99094828853</v>
      </c>
      <c r="T695">
        <f t="shared" si="998"/>
        <v>-185.70399094828852</v>
      </c>
    </row>
    <row r="696" spans="1:20" x14ac:dyDescent="0.25">
      <c r="A696" s="5">
        <v>43897</v>
      </c>
      <c r="B696">
        <v>6.4619999999999999E-4</v>
      </c>
      <c r="C696">
        <v>6.6149999999999998E-4</v>
      </c>
      <c r="D696">
        <v>6.2600000000000004E-4</v>
      </c>
      <c r="E696">
        <v>6.3349999999999995E-4</v>
      </c>
      <c r="F696">
        <v>811699163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-0.5774647887323987</v>
      </c>
      <c r="Q696">
        <f t="shared" si="995"/>
        <v>-468727685.67605984</v>
      </c>
      <c r="R696">
        <f t="shared" si="996"/>
        <v>-17723402454.250938</v>
      </c>
      <c r="S696">
        <f t="shared" si="997"/>
        <v>-177234.02454250937</v>
      </c>
      <c r="T696">
        <f t="shared" si="998"/>
        <v>-177.23402454250939</v>
      </c>
    </row>
    <row r="697" spans="1:20" x14ac:dyDescent="0.25">
      <c r="A697" s="5">
        <v>43896</v>
      </c>
      <c r="B697">
        <v>6.5169999999999996E-4</v>
      </c>
      <c r="C697">
        <v>6.5910000000000003E-4</v>
      </c>
      <c r="D697">
        <v>6.3840000000000001E-4</v>
      </c>
      <c r="E697">
        <v>6.4829999999999998E-4</v>
      </c>
      <c r="F697">
        <v>638541180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-4.3478260869568859E-2</v>
      </c>
      <c r="Q697">
        <f t="shared" si="995"/>
        <v>-27762660.000002325</v>
      </c>
      <c r="R697">
        <f t="shared" si="996"/>
        <v>-17254674768.574879</v>
      </c>
      <c r="S697">
        <f t="shared" si="997"/>
        <v>-172546.74768574879</v>
      </c>
      <c r="T697">
        <f t="shared" si="998"/>
        <v>-172.54674768574878</v>
      </c>
    </row>
    <row r="698" spans="1:20" x14ac:dyDescent="0.25">
      <c r="A698" s="5">
        <v>43895</v>
      </c>
      <c r="B698">
        <v>6.3630000000000002E-4</v>
      </c>
      <c r="C698">
        <v>6.7679999999999997E-4</v>
      </c>
      <c r="D698">
        <v>6.3630000000000002E-4</v>
      </c>
      <c r="E698">
        <v>6.5169999999999996E-4</v>
      </c>
      <c r="F698">
        <v>971972924</v>
      </c>
      <c r="G698">
        <v>0</v>
      </c>
      <c r="L698" t="s">
        <v>7</v>
      </c>
      <c r="M698" t="s">
        <v>7</v>
      </c>
      <c r="N698" t="s">
        <v>7</v>
      </c>
      <c r="P698">
        <f t="shared" si="994"/>
        <v>-0.23950617283950826</v>
      </c>
      <c r="Q698">
        <f t="shared" si="995"/>
        <v>-232793515.13086623</v>
      </c>
      <c r="R698">
        <f t="shared" si="996"/>
        <v>-17226912108.574875</v>
      </c>
      <c r="S698">
        <f t="shared" si="997"/>
        <v>-172269.12108574875</v>
      </c>
      <c r="T698">
        <f t="shared" si="998"/>
        <v>-172.26912108574874</v>
      </c>
    </row>
    <row r="699" spans="1:20" x14ac:dyDescent="0.25">
      <c r="A699" s="5">
        <v>43894</v>
      </c>
      <c r="B699">
        <v>6.3100000000000005E-4</v>
      </c>
      <c r="C699">
        <v>6.4499999999999996E-4</v>
      </c>
      <c r="D699">
        <v>6.2549999999999997E-4</v>
      </c>
      <c r="E699">
        <v>6.3880000000000002E-4</v>
      </c>
      <c r="F699">
        <v>549104321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0.36410256410257041</v>
      </c>
      <c r="Q699">
        <f t="shared" si="995"/>
        <v>199930291.23590091</v>
      </c>
      <c r="R699">
        <f t="shared" si="996"/>
        <v>-16994118593.444008</v>
      </c>
      <c r="S699">
        <f t="shared" si="997"/>
        <v>-169941.18593444009</v>
      </c>
      <c r="T699">
        <f t="shared" si="998"/>
        <v>-169.94118593444009</v>
      </c>
    </row>
    <row r="700" spans="1:20" x14ac:dyDescent="0.25">
      <c r="A700" s="5">
        <v>43893</v>
      </c>
      <c r="B700">
        <v>6.3960000000000004E-4</v>
      </c>
      <c r="C700">
        <v>6.4490000000000001E-4</v>
      </c>
      <c r="D700">
        <v>6.2730000000000001E-4</v>
      </c>
      <c r="E700">
        <v>6.3100000000000005E-4</v>
      </c>
      <c r="F700">
        <v>325730064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-0.57954545454545037</v>
      </c>
      <c r="Q700">
        <f t="shared" si="995"/>
        <v>-188775377.99999863</v>
      </c>
      <c r="R700">
        <f t="shared" si="996"/>
        <v>-17194048884.679909</v>
      </c>
      <c r="S700">
        <f t="shared" si="997"/>
        <v>-171940.4888467991</v>
      </c>
      <c r="T700">
        <f t="shared" si="998"/>
        <v>-171.9404888467991</v>
      </c>
    </row>
    <row r="701" spans="1:20" x14ac:dyDescent="0.25">
      <c r="A701" s="5">
        <v>43892</v>
      </c>
      <c r="B701">
        <v>6.1010000000000003E-4</v>
      </c>
      <c r="C701">
        <v>6.4709999999999995E-4</v>
      </c>
      <c r="D701">
        <v>6.043E-4</v>
      </c>
      <c r="E701">
        <v>6.3940000000000004E-4</v>
      </c>
      <c r="F701">
        <v>498090941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0.64018691588785404</v>
      </c>
      <c r="Q701">
        <f t="shared" si="995"/>
        <v>318871303.35046905</v>
      </c>
      <c r="R701">
        <f t="shared" si="996"/>
        <v>-17005273506.679911</v>
      </c>
      <c r="S701">
        <f t="shared" si="997"/>
        <v>-170052.7350667991</v>
      </c>
      <c r="T701">
        <f t="shared" si="998"/>
        <v>-170.0527350667991</v>
      </c>
    </row>
    <row r="702" spans="1:20" x14ac:dyDescent="0.25">
      <c r="A702" s="5">
        <v>43891</v>
      </c>
      <c r="B702">
        <v>6.1870000000000002E-4</v>
      </c>
      <c r="C702">
        <v>6.3000000000000003E-4</v>
      </c>
      <c r="D702">
        <v>6.0030000000000001E-4</v>
      </c>
      <c r="E702">
        <v>6.1070000000000004E-4</v>
      </c>
      <c r="F702">
        <v>437313586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-0.29966329966329763</v>
      </c>
      <c r="Q702">
        <f t="shared" si="995"/>
        <v>-131046832.16834928</v>
      </c>
      <c r="R702">
        <f t="shared" si="996"/>
        <v>-17324144810.03038</v>
      </c>
      <c r="S702">
        <f t="shared" si="997"/>
        <v>-173241.44810030379</v>
      </c>
      <c r="T702">
        <f t="shared" si="998"/>
        <v>-173.24144810030378</v>
      </c>
    </row>
    <row r="703" spans="1:20" x14ac:dyDescent="0.25">
      <c r="A703" s="5">
        <v>43890</v>
      </c>
      <c r="B703">
        <v>6.3590000000000001E-4</v>
      </c>
      <c r="C703">
        <v>6.4499999999999996E-4</v>
      </c>
      <c r="D703">
        <v>6.1890000000000003E-4</v>
      </c>
      <c r="E703">
        <v>6.1890000000000003E-4</v>
      </c>
      <c r="F703">
        <v>488989127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-488989127</v>
      </c>
      <c r="R703">
        <f t="shared" si="996"/>
        <v>-17193097977.86203</v>
      </c>
      <c r="S703">
        <f t="shared" si="997"/>
        <v>-171930.9797786203</v>
      </c>
      <c r="T703">
        <f t="shared" si="998"/>
        <v>-171.9309797786203</v>
      </c>
    </row>
    <row r="704" spans="1:20" x14ac:dyDescent="0.25">
      <c r="A704" s="5">
        <v>43889</v>
      </c>
      <c r="B704">
        <v>6.4459999999999995E-4</v>
      </c>
      <c r="C704">
        <v>6.5430000000000002E-4</v>
      </c>
      <c r="D704">
        <v>6.1260000000000004E-4</v>
      </c>
      <c r="E704">
        <v>6.3409999999999996E-4</v>
      </c>
      <c r="F704">
        <v>578887440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3.117505995203524E-2</v>
      </c>
      <c r="Q704">
        <f t="shared" si="995"/>
        <v>18046850.647480205</v>
      </c>
      <c r="R704">
        <f t="shared" si="996"/>
        <v>-16704108850.86203</v>
      </c>
      <c r="S704">
        <f t="shared" si="997"/>
        <v>-167041.08850862031</v>
      </c>
      <c r="T704">
        <f t="shared" si="998"/>
        <v>-167.04108850862031</v>
      </c>
    </row>
    <row r="705" spans="1:20" x14ac:dyDescent="0.25">
      <c r="A705" s="5">
        <v>43888</v>
      </c>
      <c r="B705">
        <v>6.202E-4</v>
      </c>
      <c r="C705">
        <v>6.6029999999999995E-4</v>
      </c>
      <c r="D705">
        <v>5.9999999999999995E-4</v>
      </c>
      <c r="E705">
        <v>6.4300000000000002E-4</v>
      </c>
      <c r="F705">
        <v>561463129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0.42620232172471206</v>
      </c>
      <c r="Q705">
        <f t="shared" si="995"/>
        <v>239296889.14262152</v>
      </c>
      <c r="R705">
        <f t="shared" si="996"/>
        <v>-16722155701.50951</v>
      </c>
      <c r="S705">
        <f t="shared" si="997"/>
        <v>-167221.55701509511</v>
      </c>
      <c r="T705">
        <f t="shared" si="998"/>
        <v>-167.2215570150951</v>
      </c>
    </row>
    <row r="706" spans="1:20" x14ac:dyDescent="0.25">
      <c r="A706" s="5">
        <v>43887</v>
      </c>
      <c r="B706">
        <v>6.5519999999999999E-4</v>
      </c>
      <c r="C706">
        <v>6.6600000000000003E-4</v>
      </c>
      <c r="D706">
        <v>6.0789999999999998E-4</v>
      </c>
      <c r="E706">
        <v>6.2029999999999995E-4</v>
      </c>
      <c r="F706">
        <v>831785007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-0.57314974182444189</v>
      </c>
      <c r="Q706">
        <f t="shared" si="995"/>
        <v>-476737362.0154916</v>
      </c>
      <c r="R706">
        <f t="shared" si="996"/>
        <v>-16961452590.652132</v>
      </c>
      <c r="S706">
        <f t="shared" si="997"/>
        <v>-169614.52590652133</v>
      </c>
      <c r="T706">
        <f t="shared" si="998"/>
        <v>-169.61452590652132</v>
      </c>
    </row>
    <row r="707" spans="1:20" x14ac:dyDescent="0.25">
      <c r="A707" s="5">
        <v>43886</v>
      </c>
      <c r="B707">
        <v>6.9660000000000002E-4</v>
      </c>
      <c r="C707">
        <v>6.9800000000000005E-4</v>
      </c>
      <c r="D707">
        <v>6.5229999999999997E-4</v>
      </c>
      <c r="E707">
        <v>6.5519999999999999E-4</v>
      </c>
      <c r="F707">
        <v>781201013</v>
      </c>
      <c r="G707">
        <v>0</v>
      </c>
      <c r="L707" t="s">
        <v>8</v>
      </c>
      <c r="M707" t="s">
        <v>7</v>
      </c>
      <c r="N707" t="s">
        <v>8</v>
      </c>
      <c r="P707">
        <f t="shared" si="994"/>
        <v>-0.87308533916848963</v>
      </c>
      <c r="Q707">
        <f t="shared" si="995"/>
        <v>-682055151.39387262</v>
      </c>
      <c r="R707">
        <f t="shared" si="996"/>
        <v>-16484715228.636641</v>
      </c>
      <c r="S707">
        <f t="shared" si="997"/>
        <v>-164847.15228636641</v>
      </c>
      <c r="T707">
        <f t="shared" si="998"/>
        <v>-164.84715228636642</v>
      </c>
    </row>
    <row r="708" spans="1:20" x14ac:dyDescent="0.25">
      <c r="A708" s="5">
        <v>43885</v>
      </c>
      <c r="B708">
        <v>7.4689999999999999E-4</v>
      </c>
      <c r="C708">
        <v>7.5040000000000003E-4</v>
      </c>
      <c r="D708">
        <v>6.8199999999999999E-4</v>
      </c>
      <c r="E708">
        <v>6.9609999999999995E-4</v>
      </c>
      <c r="F708">
        <v>881564822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-0.58771929824561531</v>
      </c>
      <c r="Q708">
        <f t="shared" si="995"/>
        <v>-518112658.54386079</v>
      </c>
      <c r="R708">
        <f t="shared" si="996"/>
        <v>-15802660077.242767</v>
      </c>
      <c r="S708">
        <f t="shared" si="997"/>
        <v>-158026.60077242769</v>
      </c>
      <c r="T708">
        <f t="shared" si="998"/>
        <v>-158.02660077242768</v>
      </c>
    </row>
    <row r="709" spans="1:20" x14ac:dyDescent="0.25">
      <c r="A709" s="5">
        <v>43884</v>
      </c>
      <c r="B709">
        <v>7.3019999999999997E-4</v>
      </c>
      <c r="C709">
        <v>7.5989999999999999E-4</v>
      </c>
      <c r="D709">
        <v>7.2499999999999995E-4</v>
      </c>
      <c r="E709">
        <v>7.5009999999999996E-4</v>
      </c>
      <c r="F709">
        <v>566390508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0.43839541547277872</v>
      </c>
      <c r="Q709">
        <f t="shared" si="995"/>
        <v>248303002.07449821</v>
      </c>
      <c r="R709">
        <f t="shared" si="996"/>
        <v>-15284547418.698906</v>
      </c>
      <c r="S709">
        <f t="shared" si="997"/>
        <v>-152845.47418698907</v>
      </c>
      <c r="T709">
        <f t="shared" si="998"/>
        <v>-152.84547418698907</v>
      </c>
    </row>
    <row r="710" spans="1:20" x14ac:dyDescent="0.25">
      <c r="A710" s="5">
        <v>43883</v>
      </c>
      <c r="B710">
        <v>7.3280000000000003E-4</v>
      </c>
      <c r="C710">
        <v>7.3479999999999997E-4</v>
      </c>
      <c r="D710">
        <v>7.1690000000000002E-4</v>
      </c>
      <c r="E710">
        <v>7.3010000000000002E-4</v>
      </c>
      <c r="F710">
        <v>308474404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0.47486033519553461</v>
      </c>
      <c r="Q710">
        <f t="shared" ref="Q710:Q766" si="1000">F710*P710</f>
        <v>146482258.88268277</v>
      </c>
      <c r="R710">
        <f t="shared" ref="R710:R766" si="1001">R711+Q710</f>
        <v>-15532850420.773405</v>
      </c>
      <c r="S710">
        <f t="shared" ref="S710:S766" si="1002">R710/100000</f>
        <v>-155328.50420773405</v>
      </c>
      <c r="T710">
        <f t="shared" ref="T710:T766" si="1003">S710/1000</f>
        <v>-155.32850420773406</v>
      </c>
    </row>
    <row r="711" spans="1:20" x14ac:dyDescent="0.25">
      <c r="A711" s="5">
        <v>43882</v>
      </c>
      <c r="B711">
        <v>7.2360000000000002E-4</v>
      </c>
      <c r="C711">
        <v>7.5860000000000001E-4</v>
      </c>
      <c r="D711">
        <v>7.1779999999999999E-4</v>
      </c>
      <c r="E711">
        <v>7.3320000000000004E-4</v>
      </c>
      <c r="F711">
        <v>737689169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-0.24509803921568415</v>
      </c>
      <c r="Q711">
        <f t="shared" si="1000"/>
        <v>-180806168.87254745</v>
      </c>
      <c r="R711">
        <f t="shared" si="1001"/>
        <v>-15679332679.656088</v>
      </c>
      <c r="S711">
        <f t="shared" si="1002"/>
        <v>-156793.32679656087</v>
      </c>
      <c r="T711">
        <f t="shared" si="1003"/>
        <v>-156.79332679656088</v>
      </c>
    </row>
    <row r="712" spans="1:20" x14ac:dyDescent="0.25">
      <c r="A712" s="5">
        <v>43881</v>
      </c>
      <c r="B712">
        <v>7.2840000000000003E-4</v>
      </c>
      <c r="C712">
        <v>7.3970000000000004E-4</v>
      </c>
      <c r="D712">
        <v>6.9850000000000001E-4</v>
      </c>
      <c r="E712">
        <v>7.2349999999999997E-4</v>
      </c>
      <c r="F712">
        <v>2704901020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0.2135922330097059</v>
      </c>
      <c r="Q712">
        <f t="shared" si="1000"/>
        <v>577745848.93203115</v>
      </c>
      <c r="R712">
        <f t="shared" si="1001"/>
        <v>-15498526510.783541</v>
      </c>
      <c r="S712">
        <f t="shared" si="1002"/>
        <v>-154985.26510783541</v>
      </c>
      <c r="T712">
        <f t="shared" si="1003"/>
        <v>-154.9852651078354</v>
      </c>
    </row>
    <row r="713" spans="1:20" x14ac:dyDescent="0.25">
      <c r="A713" s="5">
        <v>43880</v>
      </c>
      <c r="B713">
        <v>7.9569999999999999E-4</v>
      </c>
      <c r="C713">
        <v>8.028E-4</v>
      </c>
      <c r="D713">
        <v>7.2059999999999995E-4</v>
      </c>
      <c r="E713">
        <v>7.2840000000000003E-4</v>
      </c>
      <c r="F713">
        <v>1176118888</v>
      </c>
      <c r="G713">
        <v>0</v>
      </c>
      <c r="L713" t="s">
        <v>8</v>
      </c>
      <c r="M713" t="s">
        <v>7</v>
      </c>
      <c r="N713" t="s">
        <v>8</v>
      </c>
      <c r="P713">
        <f t="shared" si="999"/>
        <v>-0.8102189781021879</v>
      </c>
      <c r="Q713">
        <f t="shared" si="1000"/>
        <v>-952913843.56204164</v>
      </c>
      <c r="R713">
        <f t="shared" si="1001"/>
        <v>-16076272359.715572</v>
      </c>
      <c r="S713">
        <f t="shared" si="1002"/>
        <v>-160762.72359715571</v>
      </c>
      <c r="T713">
        <f t="shared" si="1003"/>
        <v>-160.76272359715571</v>
      </c>
    </row>
    <row r="714" spans="1:20" x14ac:dyDescent="0.25">
      <c r="A714" s="5">
        <v>43879</v>
      </c>
      <c r="B714">
        <v>7.9020000000000002E-4</v>
      </c>
      <c r="C714">
        <v>8.1999999999999998E-4</v>
      </c>
      <c r="D714">
        <v>7.5770000000000004E-4</v>
      </c>
      <c r="E714">
        <v>7.9560000000000004E-4</v>
      </c>
      <c r="F714">
        <v>1351690020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0.21669341894061106</v>
      </c>
      <c r="Q714">
        <f t="shared" si="1000"/>
        <v>292902331.78170294</v>
      </c>
      <c r="R714">
        <f t="shared" si="1001"/>
        <v>-15123358516.15353</v>
      </c>
      <c r="S714">
        <f t="shared" si="1002"/>
        <v>-151233.5851615353</v>
      </c>
      <c r="T714">
        <f t="shared" si="1003"/>
        <v>-151.2335851615353</v>
      </c>
    </row>
    <row r="715" spans="1:20" x14ac:dyDescent="0.25">
      <c r="A715" s="5">
        <v>43878</v>
      </c>
      <c r="B715">
        <v>8.2169999999999997E-4</v>
      </c>
      <c r="C715">
        <v>8.3000000000000001E-4</v>
      </c>
      <c r="D715">
        <v>7.2250000000000005E-4</v>
      </c>
      <c r="E715">
        <v>7.9069999999999997E-4</v>
      </c>
      <c r="F715">
        <v>1905665125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0.26883720930232469</v>
      </c>
      <c r="Q715">
        <f t="shared" si="1000"/>
        <v>512313694.06976575</v>
      </c>
      <c r="R715">
        <f t="shared" si="1001"/>
        <v>-15416260847.935232</v>
      </c>
      <c r="S715">
        <f t="shared" si="1002"/>
        <v>-154162.60847935232</v>
      </c>
      <c r="T715">
        <f t="shared" si="1003"/>
        <v>-154.16260847935231</v>
      </c>
    </row>
    <row r="716" spans="1:20" x14ac:dyDescent="0.25">
      <c r="A716" s="5">
        <v>43877</v>
      </c>
      <c r="B716">
        <v>8.4590000000000002E-4</v>
      </c>
      <c r="C716">
        <v>8.9990000000000003E-4</v>
      </c>
      <c r="D716">
        <v>7.6999999999999996E-4</v>
      </c>
      <c r="E716">
        <v>8.2580000000000001E-4</v>
      </c>
      <c r="F716">
        <v>2179455598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-0.14087759815242454</v>
      </c>
      <c r="Q716">
        <f t="shared" si="1000"/>
        <v>-307036469.92609614</v>
      </c>
      <c r="R716">
        <f t="shared" si="1001"/>
        <v>-15928574542.004997</v>
      </c>
      <c r="S716">
        <f t="shared" si="1002"/>
        <v>-159285.74542004996</v>
      </c>
      <c r="T716">
        <f t="shared" si="1003"/>
        <v>-159.28574542004998</v>
      </c>
    </row>
    <row r="717" spans="1:20" x14ac:dyDescent="0.25">
      <c r="A717" s="5">
        <v>43876</v>
      </c>
      <c r="B717">
        <v>8.9470000000000001E-4</v>
      </c>
      <c r="C717">
        <v>9.4640000000000002E-4</v>
      </c>
      <c r="D717">
        <v>8.0999999999999996E-4</v>
      </c>
      <c r="E717">
        <v>8.4900000000000004E-4</v>
      </c>
      <c r="F717">
        <v>2080573089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-0.42815249266862077</v>
      </c>
      <c r="Q717">
        <f t="shared" si="1000"/>
        <v>-890802554.23460221</v>
      </c>
      <c r="R717">
        <f t="shared" si="1001"/>
        <v>-15621538072.078901</v>
      </c>
      <c r="S717">
        <f t="shared" si="1002"/>
        <v>-156215.38072078902</v>
      </c>
      <c r="T717">
        <f t="shared" si="1003"/>
        <v>-156.21538072078903</v>
      </c>
    </row>
    <row r="718" spans="1:20" x14ac:dyDescent="0.25">
      <c r="A718" s="5">
        <v>43875</v>
      </c>
      <c r="B718">
        <v>8.6930000000000004E-4</v>
      </c>
      <c r="C718">
        <v>9.079E-4</v>
      </c>
      <c r="D718">
        <v>8.4800000000000001E-4</v>
      </c>
      <c r="E718">
        <v>8.9150000000000004E-4</v>
      </c>
      <c r="F718">
        <v>1164689341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0.45242070116861544</v>
      </c>
      <c r="Q718">
        <f t="shared" si="1000"/>
        <v>526929568.29883265</v>
      </c>
      <c r="R718">
        <f t="shared" si="1001"/>
        <v>-14730735517.844299</v>
      </c>
      <c r="S718">
        <f t="shared" si="1002"/>
        <v>-147307.35517844299</v>
      </c>
      <c r="T718">
        <f t="shared" si="1003"/>
        <v>-147.30735517844298</v>
      </c>
    </row>
    <row r="719" spans="1:20" x14ac:dyDescent="0.25">
      <c r="A719" s="5">
        <v>43874</v>
      </c>
      <c r="B719">
        <v>8.4809999999999996E-4</v>
      </c>
      <c r="C719">
        <v>9.1889999999999995E-4</v>
      </c>
      <c r="D719">
        <v>8.3560000000000004E-4</v>
      </c>
      <c r="E719">
        <v>8.7140000000000004E-4</v>
      </c>
      <c r="F719">
        <v>2721434114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-0.14045618247298822</v>
      </c>
      <c r="Q719">
        <f t="shared" si="1000"/>
        <v>-382242246.50419903</v>
      </c>
      <c r="R719">
        <f t="shared" si="1001"/>
        <v>-15257665086.143131</v>
      </c>
      <c r="S719">
        <f t="shared" si="1002"/>
        <v>-152576.65086143132</v>
      </c>
      <c r="T719">
        <f t="shared" si="1003"/>
        <v>-152.57665086143132</v>
      </c>
    </row>
    <row r="720" spans="1:20" x14ac:dyDescent="0.25">
      <c r="A720" s="5">
        <v>43873</v>
      </c>
      <c r="B720">
        <v>7.7280000000000003E-4</v>
      </c>
      <c r="C720">
        <v>8.8730000000000005E-4</v>
      </c>
      <c r="D720">
        <v>7.7079999999999998E-4</v>
      </c>
      <c r="E720">
        <v>8.4979999999999995E-4</v>
      </c>
      <c r="F720">
        <v>3761159936</v>
      </c>
      <c r="G720">
        <v>0</v>
      </c>
      <c r="L720" t="s">
        <v>7</v>
      </c>
      <c r="M720" t="s">
        <v>8</v>
      </c>
      <c r="N720" t="s">
        <v>8</v>
      </c>
      <c r="P720">
        <f t="shared" si="999"/>
        <v>0.35622317596566394</v>
      </c>
      <c r="Q720">
        <f t="shared" si="1000"/>
        <v>1339812337.7167332</v>
      </c>
      <c r="R720">
        <f t="shared" si="1001"/>
        <v>-14875422839.638933</v>
      </c>
      <c r="S720">
        <f t="shared" si="1002"/>
        <v>-148754.22839638934</v>
      </c>
      <c r="T720">
        <f t="shared" si="1003"/>
        <v>-148.75422839638935</v>
      </c>
    </row>
    <row r="721" spans="1:20" x14ac:dyDescent="0.25">
      <c r="A721" s="5">
        <v>43872</v>
      </c>
      <c r="B721">
        <v>7.5949999999999998E-4</v>
      </c>
      <c r="C721">
        <v>7.9449999999999996E-4</v>
      </c>
      <c r="D721">
        <v>7.3050000000000003E-4</v>
      </c>
      <c r="E721">
        <v>7.7099999999999998E-4</v>
      </c>
      <c r="F721">
        <v>1851665758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0.265625</v>
      </c>
      <c r="Q721">
        <f t="shared" si="1000"/>
        <v>491848716.96875</v>
      </c>
      <c r="R721">
        <f t="shared" si="1001"/>
        <v>-16215235177.355667</v>
      </c>
      <c r="S721">
        <f t="shared" si="1002"/>
        <v>-162152.35177355667</v>
      </c>
      <c r="T721">
        <f t="shared" si="1003"/>
        <v>-162.15235177355666</v>
      </c>
    </row>
    <row r="722" spans="1:20" x14ac:dyDescent="0.25">
      <c r="A722" s="5">
        <v>43871</v>
      </c>
      <c r="B722">
        <v>8.0380000000000002E-4</v>
      </c>
      <c r="C722">
        <v>8.1450000000000001E-4</v>
      </c>
      <c r="D722">
        <v>7.5009999999999996E-4</v>
      </c>
      <c r="E722">
        <v>7.5949999999999998E-4</v>
      </c>
      <c r="F722">
        <v>1708434517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-0.70807453416149058</v>
      </c>
      <c r="Q722">
        <f t="shared" si="1000"/>
        <v>-1209698974.7701862</v>
      </c>
      <c r="R722">
        <f t="shared" si="1001"/>
        <v>-16707083894.324417</v>
      </c>
      <c r="S722">
        <f t="shared" si="1002"/>
        <v>-167070.83894324416</v>
      </c>
      <c r="T722">
        <f t="shared" si="1003"/>
        <v>-167.07083894324415</v>
      </c>
    </row>
    <row r="723" spans="1:20" x14ac:dyDescent="0.25">
      <c r="A723" s="5">
        <v>43870</v>
      </c>
      <c r="B723">
        <v>8.0619999999999997E-4</v>
      </c>
      <c r="C723">
        <v>8.5450000000000001E-4</v>
      </c>
      <c r="D723">
        <v>7.9020000000000002E-4</v>
      </c>
      <c r="E723">
        <v>8.0029999999999999E-4</v>
      </c>
      <c r="F723">
        <v>1339703341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-0.68584758942457302</v>
      </c>
      <c r="Q723">
        <f t="shared" si="1000"/>
        <v>-918832306.96889675</v>
      </c>
      <c r="R723">
        <f t="shared" si="1001"/>
        <v>-15497384919.554232</v>
      </c>
      <c r="S723">
        <f t="shared" si="1002"/>
        <v>-154973.84919554231</v>
      </c>
      <c r="T723">
        <f t="shared" si="1003"/>
        <v>-154.9738491955423</v>
      </c>
    </row>
    <row r="724" spans="1:20" x14ac:dyDescent="0.25">
      <c r="A724" s="5">
        <v>43869</v>
      </c>
      <c r="B724">
        <v>7.7439999999999996E-4</v>
      </c>
      <c r="C724">
        <v>8.3180000000000005E-4</v>
      </c>
      <c r="D724">
        <v>7.5009999999999996E-4</v>
      </c>
      <c r="E724">
        <v>8.0800000000000002E-4</v>
      </c>
      <c r="F724">
        <v>1656484543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0.4173806609547121</v>
      </c>
      <c r="Q724">
        <f t="shared" si="1000"/>
        <v>691384613.41860425</v>
      </c>
      <c r="R724">
        <f t="shared" si="1001"/>
        <v>-14578552612.585335</v>
      </c>
      <c r="S724">
        <f t="shared" si="1002"/>
        <v>-145785.52612585336</v>
      </c>
      <c r="T724">
        <f t="shared" si="1003"/>
        <v>-145.78552612585335</v>
      </c>
    </row>
    <row r="725" spans="1:20" x14ac:dyDescent="0.25">
      <c r="A725" s="5">
        <v>43868</v>
      </c>
      <c r="B725">
        <v>7.3999999999999999E-4</v>
      </c>
      <c r="C725">
        <v>7.9529999999999998E-4</v>
      </c>
      <c r="D725">
        <v>7.3729999999999998E-4</v>
      </c>
      <c r="E725">
        <v>7.7439999999999996E-4</v>
      </c>
      <c r="F725">
        <v>1770394730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0.27931034482758554</v>
      </c>
      <c r="Q725">
        <f t="shared" si="1000"/>
        <v>494489562.51724023</v>
      </c>
      <c r="R725">
        <f t="shared" si="1001"/>
        <v>-15269937226.003939</v>
      </c>
      <c r="S725">
        <f t="shared" si="1002"/>
        <v>-152699.37226003938</v>
      </c>
      <c r="T725">
        <f t="shared" si="1003"/>
        <v>-152.69937226003938</v>
      </c>
    </row>
    <row r="726" spans="1:20" x14ac:dyDescent="0.25">
      <c r="A726" s="5">
        <v>43867</v>
      </c>
      <c r="B726">
        <v>6.9589999999999995E-4</v>
      </c>
      <c r="C726">
        <v>7.4649999999999998E-4</v>
      </c>
      <c r="D726">
        <v>6.9209999999999996E-4</v>
      </c>
      <c r="E726">
        <v>7.3999999999999999E-4</v>
      </c>
      <c r="F726">
        <v>1204993778</v>
      </c>
      <c r="G726">
        <v>0</v>
      </c>
      <c r="L726" t="s">
        <v>7</v>
      </c>
      <c r="M726" t="s">
        <v>8</v>
      </c>
      <c r="N726" t="s">
        <v>7</v>
      </c>
      <c r="P726">
        <f t="shared" si="999"/>
        <v>0.76102941176470618</v>
      </c>
      <c r="Q726">
        <f t="shared" si="1000"/>
        <v>917035706.05147099</v>
      </c>
      <c r="R726">
        <f t="shared" si="1001"/>
        <v>-15764426788.521179</v>
      </c>
      <c r="S726">
        <f t="shared" si="1002"/>
        <v>-157644.2678852118</v>
      </c>
      <c r="T726">
        <f t="shared" si="1003"/>
        <v>-157.6442678852118</v>
      </c>
    </row>
    <row r="727" spans="1:20" x14ac:dyDescent="0.25">
      <c r="A727" s="5">
        <v>43866</v>
      </c>
      <c r="B727">
        <v>6.9499999999999998E-4</v>
      </c>
      <c r="C727">
        <v>7.1190000000000001E-4</v>
      </c>
      <c r="D727">
        <v>6.8999999999999997E-4</v>
      </c>
      <c r="E727">
        <v>6.9589999999999995E-4</v>
      </c>
      <c r="F727">
        <v>1076143985</v>
      </c>
      <c r="G727">
        <v>0</v>
      </c>
      <c r="L727" t="s">
        <v>8</v>
      </c>
      <c r="M727" t="s">
        <v>7</v>
      </c>
      <c r="N727" t="s">
        <v>7</v>
      </c>
      <c r="P727">
        <f t="shared" si="999"/>
        <v>-0.46118721461187501</v>
      </c>
      <c r="Q727">
        <f t="shared" si="1000"/>
        <v>-496303846.96347338</v>
      </c>
      <c r="R727">
        <f t="shared" si="1001"/>
        <v>-16681462494.572651</v>
      </c>
      <c r="S727">
        <f t="shared" si="1002"/>
        <v>-166814.62494572651</v>
      </c>
      <c r="T727">
        <f t="shared" si="1003"/>
        <v>-166.81462494572651</v>
      </c>
    </row>
    <row r="728" spans="1:20" x14ac:dyDescent="0.25">
      <c r="A728" s="5">
        <v>43865</v>
      </c>
      <c r="B728">
        <v>6.6410000000000004E-4</v>
      </c>
      <c r="C728">
        <v>6.96E-4</v>
      </c>
      <c r="D728">
        <v>6.5649999999999997E-4</v>
      </c>
      <c r="E728">
        <v>6.9499999999999998E-4</v>
      </c>
      <c r="F728">
        <v>1337919672</v>
      </c>
      <c r="G728">
        <v>0</v>
      </c>
      <c r="L728" t="s">
        <v>7</v>
      </c>
      <c r="M728" t="s">
        <v>7</v>
      </c>
      <c r="N728" t="s">
        <v>7</v>
      </c>
      <c r="P728">
        <f t="shared" si="999"/>
        <v>0.94936708860759378</v>
      </c>
      <c r="Q728">
        <f t="shared" si="1000"/>
        <v>1270176903.7974668</v>
      </c>
      <c r="R728">
        <f t="shared" si="1001"/>
        <v>-16185158647.609177</v>
      </c>
      <c r="S728">
        <f t="shared" si="1002"/>
        <v>-161851.58647609176</v>
      </c>
      <c r="T728">
        <f t="shared" si="1003"/>
        <v>-161.85158647609177</v>
      </c>
    </row>
    <row r="729" spans="1:20" x14ac:dyDescent="0.25">
      <c r="A729" s="5">
        <v>43864</v>
      </c>
      <c r="B729">
        <v>6.7190000000000001E-4</v>
      </c>
      <c r="C729">
        <v>6.8000000000000005E-4</v>
      </c>
      <c r="D729">
        <v>6.5620000000000001E-4</v>
      </c>
      <c r="E729">
        <v>6.6189999999999999E-4</v>
      </c>
      <c r="F729">
        <v>638586509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-0.52100840336134724</v>
      </c>
      <c r="Q729">
        <f t="shared" si="1000"/>
        <v>-332708937.46218657</v>
      </c>
      <c r="R729">
        <f t="shared" si="1001"/>
        <v>-17455335551.406643</v>
      </c>
      <c r="S729">
        <f t="shared" si="1002"/>
        <v>-174553.35551406644</v>
      </c>
      <c r="T729">
        <f t="shared" si="1003"/>
        <v>-174.55335551406645</v>
      </c>
    </row>
    <row r="730" spans="1:20" x14ac:dyDescent="0.25">
      <c r="A730" s="5">
        <v>43863</v>
      </c>
      <c r="B730">
        <v>6.4479999999999995E-4</v>
      </c>
      <c r="C730">
        <v>6.8999999999999997E-4</v>
      </c>
      <c r="D730">
        <v>6.4019999999999995E-4</v>
      </c>
      <c r="E730">
        <v>6.7190000000000001E-4</v>
      </c>
      <c r="F730">
        <v>960119237</v>
      </c>
      <c r="G730">
        <v>0</v>
      </c>
      <c r="L730" t="s">
        <v>7</v>
      </c>
      <c r="M730" t="s">
        <v>7</v>
      </c>
      <c r="N730" t="s">
        <v>7</v>
      </c>
      <c r="P730">
        <f t="shared" si="999"/>
        <v>0.27309236947791382</v>
      </c>
      <c r="Q730">
        <f t="shared" si="1000"/>
        <v>262201237.41365671</v>
      </c>
      <c r="R730">
        <f t="shared" si="1001"/>
        <v>-17122626613.944456</v>
      </c>
      <c r="S730">
        <f t="shared" si="1002"/>
        <v>-171226.26613944457</v>
      </c>
      <c r="T730">
        <f t="shared" si="1003"/>
        <v>-171.22626613944456</v>
      </c>
    </row>
    <row r="731" spans="1:20" x14ac:dyDescent="0.25">
      <c r="A731" s="5">
        <v>43862</v>
      </c>
      <c r="B731">
        <v>6.2890000000000005E-4</v>
      </c>
      <c r="C731">
        <v>6.4999999999999997E-4</v>
      </c>
      <c r="D731">
        <v>6.2839999999999999E-4</v>
      </c>
      <c r="E731">
        <v>6.4479999999999995E-4</v>
      </c>
      <c r="F731">
        <v>578826392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0.51851851851851649</v>
      </c>
      <c r="Q731">
        <f t="shared" si="1000"/>
        <v>300132203.25925809</v>
      </c>
      <c r="R731">
        <f t="shared" si="1001"/>
        <v>-17384827851.358112</v>
      </c>
      <c r="S731">
        <f t="shared" si="1002"/>
        <v>-173848.27851358111</v>
      </c>
      <c r="T731">
        <f t="shared" si="1003"/>
        <v>-173.84827851358111</v>
      </c>
    </row>
    <row r="732" spans="1:20" x14ac:dyDescent="0.25">
      <c r="A732" s="5">
        <v>43861</v>
      </c>
      <c r="B732">
        <v>6.3699999999999998E-4</v>
      </c>
      <c r="C732">
        <v>6.4880000000000005E-4</v>
      </c>
      <c r="D732">
        <v>6.2500000000000001E-4</v>
      </c>
      <c r="E732">
        <v>6.3290000000000004E-4</v>
      </c>
      <c r="F732">
        <v>850332919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-0.33613445378151113</v>
      </c>
      <c r="Q732">
        <f t="shared" si="1000"/>
        <v>-285826191.26050293</v>
      </c>
      <c r="R732">
        <f t="shared" si="1001"/>
        <v>-17684960054.617371</v>
      </c>
      <c r="S732">
        <f t="shared" si="1002"/>
        <v>-176849.60054617369</v>
      </c>
      <c r="T732">
        <f t="shared" si="1003"/>
        <v>-176.84960054617369</v>
      </c>
    </row>
    <row r="733" spans="1:20" x14ac:dyDescent="0.25">
      <c r="A733" s="5">
        <v>43860</v>
      </c>
      <c r="B733">
        <v>6.5220000000000002E-4</v>
      </c>
      <c r="C733">
        <v>6.6169999999999998E-4</v>
      </c>
      <c r="D733">
        <v>6.3299999999999999E-4</v>
      </c>
      <c r="E733">
        <v>6.38E-4</v>
      </c>
      <c r="F733">
        <v>900105492</v>
      </c>
      <c r="G733">
        <v>0</v>
      </c>
      <c r="L733" t="s">
        <v>8</v>
      </c>
      <c r="M733" t="s">
        <v>7</v>
      </c>
      <c r="N733" t="s">
        <v>7</v>
      </c>
      <c r="P733">
        <f t="shared" si="999"/>
        <v>-0.65156794425087006</v>
      </c>
      <c r="Q733">
        <f t="shared" si="1000"/>
        <v>-586479885.031358</v>
      </c>
      <c r="R733">
        <f t="shared" si="1001"/>
        <v>-17399133863.356869</v>
      </c>
      <c r="S733">
        <f t="shared" si="1002"/>
        <v>-173991.3386335687</v>
      </c>
      <c r="T733">
        <f t="shared" si="1003"/>
        <v>-173.99133863356869</v>
      </c>
    </row>
    <row r="734" spans="1:20" x14ac:dyDescent="0.25">
      <c r="A734" s="5">
        <v>43859</v>
      </c>
      <c r="B734">
        <v>6.4999999999999997E-4</v>
      </c>
      <c r="C734">
        <v>6.7469999999999997E-4</v>
      </c>
      <c r="D734">
        <v>6.4820000000000003E-4</v>
      </c>
      <c r="E734">
        <v>6.5309999999999999E-4</v>
      </c>
      <c r="F734">
        <v>712749622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-0.63018867924528543</v>
      </c>
      <c r="Q734">
        <f t="shared" si="1000"/>
        <v>-449166742.92075646</v>
      </c>
      <c r="R734">
        <f t="shared" si="1001"/>
        <v>-16812653978.325512</v>
      </c>
      <c r="S734">
        <f t="shared" si="1002"/>
        <v>-168126.53978325511</v>
      </c>
      <c r="T734">
        <f t="shared" si="1003"/>
        <v>-168.12653978325511</v>
      </c>
    </row>
    <row r="735" spans="1:20" x14ac:dyDescent="0.25">
      <c r="A735" s="5">
        <v>43858</v>
      </c>
      <c r="B735">
        <v>6.5209999999999997E-4</v>
      </c>
      <c r="C735">
        <v>6.5700000000000003E-4</v>
      </c>
      <c r="D735">
        <v>6.2500000000000001E-4</v>
      </c>
      <c r="E735">
        <v>6.4800000000000003E-4</v>
      </c>
      <c r="F735">
        <v>656882661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0.43750000000000022</v>
      </c>
      <c r="Q735">
        <f t="shared" si="1000"/>
        <v>287386164.18750012</v>
      </c>
      <c r="R735">
        <f t="shared" si="1001"/>
        <v>-16363487235.404755</v>
      </c>
      <c r="S735">
        <f t="shared" si="1002"/>
        <v>-163634.87235404755</v>
      </c>
      <c r="T735">
        <f t="shared" si="1003"/>
        <v>-163.63487235404756</v>
      </c>
    </row>
    <row r="736" spans="1:20" x14ac:dyDescent="0.25">
      <c r="A736" s="5">
        <v>43857</v>
      </c>
      <c r="B736">
        <v>6.3500000000000004E-4</v>
      </c>
      <c r="C736">
        <v>6.9999999999999999E-4</v>
      </c>
      <c r="D736">
        <v>6.3299999999999999E-4</v>
      </c>
      <c r="E736">
        <v>6.5209999999999997E-4</v>
      </c>
      <c r="F736">
        <v>671902203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-0.42985074626865744</v>
      </c>
      <c r="Q736">
        <f t="shared" si="1000"/>
        <v>-288817663.37910497</v>
      </c>
      <c r="R736">
        <f t="shared" si="1001"/>
        <v>-16650873399.592255</v>
      </c>
      <c r="S736">
        <f t="shared" si="1002"/>
        <v>-166508.73399592255</v>
      </c>
      <c r="T736">
        <f t="shared" si="1003"/>
        <v>-166.50873399592254</v>
      </c>
    </row>
    <row r="737" spans="1:20" x14ac:dyDescent="0.25">
      <c r="A737" s="5">
        <v>43856</v>
      </c>
      <c r="B737">
        <v>6.2100000000000002E-4</v>
      </c>
      <c r="C737">
        <v>6.3750000000000005E-4</v>
      </c>
      <c r="D737">
        <v>6.1890000000000003E-4</v>
      </c>
      <c r="E737">
        <v>6.3469999999999998E-4</v>
      </c>
      <c r="F737">
        <v>326729624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0.69892473118278864</v>
      </c>
      <c r="Q737">
        <f t="shared" si="1000"/>
        <v>228359414.62365362</v>
      </c>
      <c r="R737">
        <f t="shared" si="1001"/>
        <v>-16362055736.21315</v>
      </c>
      <c r="S737">
        <f t="shared" si="1002"/>
        <v>-163620.55736213151</v>
      </c>
      <c r="T737">
        <f t="shared" si="1003"/>
        <v>-163.62055736213151</v>
      </c>
    </row>
    <row r="738" spans="1:20" x14ac:dyDescent="0.25">
      <c r="A738" s="5">
        <v>43855</v>
      </c>
      <c r="B738">
        <v>6.3449999999999997E-4</v>
      </c>
      <c r="C738">
        <v>6.4039999999999995E-4</v>
      </c>
      <c r="D738">
        <v>6.1309999999999999E-4</v>
      </c>
      <c r="E738">
        <v>6.2100000000000002E-4</v>
      </c>
      <c r="F738">
        <v>661121848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-0.42124542124541819</v>
      </c>
      <c r="Q738">
        <f t="shared" si="1000"/>
        <v>-278494551.35530937</v>
      </c>
      <c r="R738">
        <f t="shared" si="1001"/>
        <v>-16590415150.836803</v>
      </c>
      <c r="S738">
        <f t="shared" si="1002"/>
        <v>-165904.15150836803</v>
      </c>
      <c r="T738">
        <f t="shared" si="1003"/>
        <v>-165.90415150836802</v>
      </c>
    </row>
    <row r="739" spans="1:20" x14ac:dyDescent="0.25">
      <c r="A739" s="5">
        <v>43854</v>
      </c>
      <c r="B739">
        <v>6.378E-4</v>
      </c>
      <c r="C739">
        <v>6.4630000000000004E-4</v>
      </c>
      <c r="D739">
        <v>6.2370000000000004E-4</v>
      </c>
      <c r="E739">
        <v>6.3460000000000003E-4</v>
      </c>
      <c r="F739">
        <v>380752274</v>
      </c>
      <c r="G739">
        <v>0</v>
      </c>
      <c r="L739" t="s">
        <v>8</v>
      </c>
      <c r="M739" t="s">
        <v>8</v>
      </c>
      <c r="N739" t="s">
        <v>7</v>
      </c>
      <c r="P739">
        <f t="shared" si="999"/>
        <v>-3.5398230088496421E-2</v>
      </c>
      <c r="Q739">
        <f t="shared" si="1000"/>
        <v>-13477956.601770233</v>
      </c>
      <c r="R739">
        <f t="shared" si="1001"/>
        <v>-16311920599.481495</v>
      </c>
      <c r="S739">
        <f t="shared" si="1002"/>
        <v>-163119.20599481495</v>
      </c>
      <c r="T739">
        <f t="shared" si="1003"/>
        <v>-163.11920599481496</v>
      </c>
    </row>
    <row r="740" spans="1:20" x14ac:dyDescent="0.25">
      <c r="A740" s="5">
        <v>43853</v>
      </c>
      <c r="B740">
        <v>6.6609999999999998E-4</v>
      </c>
      <c r="C740">
        <v>6.6879999999999999E-4</v>
      </c>
      <c r="D740">
        <v>6.29E-4</v>
      </c>
      <c r="E740">
        <v>6.3330000000000005E-4</v>
      </c>
      <c r="F740">
        <v>441148720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-0.78391959798994715</v>
      </c>
      <c r="Q740">
        <f t="shared" si="1000"/>
        <v>-345825127.23617977</v>
      </c>
      <c r="R740">
        <f t="shared" si="1001"/>
        <v>-16298442642.879725</v>
      </c>
      <c r="S740">
        <f t="shared" si="1002"/>
        <v>-162984.42642879725</v>
      </c>
      <c r="T740">
        <f t="shared" si="1003"/>
        <v>-162.98442642879724</v>
      </c>
    </row>
    <row r="741" spans="1:20" x14ac:dyDescent="0.25">
      <c r="A741" s="5">
        <v>43852</v>
      </c>
      <c r="B741">
        <v>6.6819999999999998E-4</v>
      </c>
      <c r="C741">
        <v>6.7420000000000002E-4</v>
      </c>
      <c r="D741">
        <v>6.6140000000000003E-4</v>
      </c>
      <c r="E741">
        <v>6.6879999999999999E-4</v>
      </c>
      <c r="F741">
        <v>396532488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0.1562499999999955</v>
      </c>
      <c r="Q741">
        <f t="shared" si="1000"/>
        <v>61958201.249998219</v>
      </c>
      <c r="R741">
        <f t="shared" si="1001"/>
        <v>-15952617515.643545</v>
      </c>
      <c r="S741">
        <f t="shared" si="1002"/>
        <v>-159526.17515643546</v>
      </c>
      <c r="T741">
        <f t="shared" si="1003"/>
        <v>-159.52617515643547</v>
      </c>
    </row>
    <row r="742" spans="1:20" x14ac:dyDescent="0.25">
      <c r="A742" s="5">
        <v>43851</v>
      </c>
      <c r="B742">
        <v>6.7670000000000002E-4</v>
      </c>
      <c r="C742">
        <v>6.8320000000000002E-4</v>
      </c>
      <c r="D742">
        <v>6.6140000000000003E-4</v>
      </c>
      <c r="E742">
        <v>6.6509999999999996E-4</v>
      </c>
      <c r="F742">
        <v>474237751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-0.66055045871560281</v>
      </c>
      <c r="Q742">
        <f t="shared" si="1000"/>
        <v>-313257963.96330583</v>
      </c>
      <c r="R742">
        <f t="shared" si="1001"/>
        <v>-16014575716.893543</v>
      </c>
      <c r="S742">
        <f t="shared" si="1002"/>
        <v>-160145.75716893544</v>
      </c>
      <c r="T742">
        <f t="shared" si="1003"/>
        <v>-160.14575716893543</v>
      </c>
    </row>
    <row r="743" spans="1:20" x14ac:dyDescent="0.25">
      <c r="A743" s="5">
        <v>43850</v>
      </c>
      <c r="B743">
        <v>6.7809999999999995E-4</v>
      </c>
      <c r="C743">
        <v>6.8499999999999995E-4</v>
      </c>
      <c r="D743">
        <v>6.5910000000000003E-4</v>
      </c>
      <c r="E743">
        <v>6.7560000000000005E-4</v>
      </c>
      <c r="F743">
        <v>484594488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0.27413127413127952</v>
      </c>
      <c r="Q743">
        <f t="shared" si="1000"/>
        <v>132842504.43243505</v>
      </c>
      <c r="R743">
        <f t="shared" si="1001"/>
        <v>-15701317752.930237</v>
      </c>
      <c r="S743">
        <f t="shared" si="1002"/>
        <v>-157013.17752930237</v>
      </c>
      <c r="T743">
        <f t="shared" si="1003"/>
        <v>-157.01317752930237</v>
      </c>
    </row>
    <row r="744" spans="1:20" x14ac:dyDescent="0.25">
      <c r="A744" s="5">
        <v>43849</v>
      </c>
      <c r="B744">
        <v>7.1500000000000003E-4</v>
      </c>
      <c r="C744">
        <v>7.3430000000000001E-4</v>
      </c>
      <c r="D744">
        <v>6.7159999999999995E-4</v>
      </c>
      <c r="E744">
        <v>6.7520000000000004E-4</v>
      </c>
      <c r="F744">
        <v>1063211403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-0.88516746411482983</v>
      </c>
      <c r="Q744">
        <f t="shared" si="1000"/>
        <v>-941120141.41148043</v>
      </c>
      <c r="R744">
        <f t="shared" si="1001"/>
        <v>-15834160257.362673</v>
      </c>
      <c r="S744">
        <f t="shared" si="1002"/>
        <v>-158341.60257362673</v>
      </c>
      <c r="T744">
        <f t="shared" si="1003"/>
        <v>-158.34160257362674</v>
      </c>
    </row>
    <row r="745" spans="1:20" x14ac:dyDescent="0.25">
      <c r="A745" s="5">
        <v>43848</v>
      </c>
      <c r="B745">
        <v>7.2999999999999996E-4</v>
      </c>
      <c r="C745">
        <v>7.4049999999999995E-4</v>
      </c>
      <c r="D745">
        <v>7.1009999999999997E-4</v>
      </c>
      <c r="E745">
        <v>7.1449999999999997E-4</v>
      </c>
      <c r="F745">
        <v>585552287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-0.71052631578947356</v>
      </c>
      <c r="Q745">
        <f t="shared" si="1000"/>
        <v>-416050309.18421048</v>
      </c>
      <c r="R745">
        <f t="shared" si="1001"/>
        <v>-14893040115.951193</v>
      </c>
      <c r="S745">
        <f t="shared" si="1002"/>
        <v>-148930.40115951194</v>
      </c>
      <c r="T745">
        <f t="shared" si="1003"/>
        <v>-148.93040115951194</v>
      </c>
    </row>
    <row r="746" spans="1:20" x14ac:dyDescent="0.25">
      <c r="A746" s="5">
        <v>43847</v>
      </c>
      <c r="B746">
        <v>6.9620000000000001E-4</v>
      </c>
      <c r="C746">
        <v>7.3800000000000005E-4</v>
      </c>
      <c r="D746">
        <v>6.8289999999999996E-4</v>
      </c>
      <c r="E746">
        <v>7.3039999999999997E-4</v>
      </c>
      <c r="F746">
        <v>1619109672</v>
      </c>
      <c r="G746">
        <v>0</v>
      </c>
      <c r="L746" t="s">
        <v>7</v>
      </c>
      <c r="M746" t="s">
        <v>8</v>
      </c>
      <c r="N746" t="s">
        <v>7</v>
      </c>
      <c r="P746">
        <f t="shared" si="999"/>
        <v>0.72413793103448043</v>
      </c>
      <c r="Q746">
        <f t="shared" si="1000"/>
        <v>1172458727.9999962</v>
      </c>
      <c r="R746">
        <f t="shared" si="1001"/>
        <v>-14476989806.766983</v>
      </c>
      <c r="S746">
        <f t="shared" si="1002"/>
        <v>-144769.89806766983</v>
      </c>
      <c r="T746">
        <f t="shared" si="1003"/>
        <v>-144.76989806766983</v>
      </c>
    </row>
    <row r="747" spans="1:20" x14ac:dyDescent="0.25">
      <c r="A747" s="5">
        <v>43846</v>
      </c>
      <c r="B747">
        <v>7.1400000000000001E-4</v>
      </c>
      <c r="C747">
        <v>7.159E-4</v>
      </c>
      <c r="D747">
        <v>6.8380000000000003E-4</v>
      </c>
      <c r="E747">
        <v>6.9589999999999995E-4</v>
      </c>
      <c r="F747">
        <v>1011851872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-0.24610591900311982</v>
      </c>
      <c r="Q747">
        <f t="shared" si="1000"/>
        <v>-249022734.85358715</v>
      </c>
      <c r="R747">
        <f t="shared" si="1001"/>
        <v>-15649448534.766979</v>
      </c>
      <c r="S747">
        <f t="shared" si="1002"/>
        <v>-156494.4853476698</v>
      </c>
      <c r="T747">
        <f t="shared" si="1003"/>
        <v>-156.49448534766981</v>
      </c>
    </row>
    <row r="748" spans="1:20" x14ac:dyDescent="0.25">
      <c r="A748" s="5">
        <v>43845</v>
      </c>
      <c r="B748">
        <v>7.0549999999999996E-4</v>
      </c>
      <c r="C748">
        <v>7.3499999999999998E-4</v>
      </c>
      <c r="D748">
        <v>6.958E-4</v>
      </c>
      <c r="E748">
        <v>7.1179999999999995E-4</v>
      </c>
      <c r="F748">
        <v>1277867351</v>
      </c>
      <c r="G748">
        <v>0</v>
      </c>
      <c r="L748" t="s">
        <v>7</v>
      </c>
      <c r="M748" t="s">
        <v>8</v>
      </c>
      <c r="N748" t="s">
        <v>7</v>
      </c>
      <c r="P748">
        <f t="shared" si="999"/>
        <v>-0.18367346938775692</v>
      </c>
      <c r="Q748">
        <f t="shared" si="1000"/>
        <v>-234710329.77551252</v>
      </c>
      <c r="R748">
        <f t="shared" si="1001"/>
        <v>-15400425799.913391</v>
      </c>
      <c r="S748">
        <f t="shared" si="1002"/>
        <v>-154004.2579991339</v>
      </c>
      <c r="T748">
        <f t="shared" si="1003"/>
        <v>-154.0042579991339</v>
      </c>
    </row>
    <row r="749" spans="1:20" x14ac:dyDescent="0.25">
      <c r="A749" s="5">
        <v>43844</v>
      </c>
      <c r="B749">
        <v>6.7400000000000001E-4</v>
      </c>
      <c r="C749">
        <v>7.2099999999999996E-4</v>
      </c>
      <c r="D749">
        <v>6.7040000000000003E-4</v>
      </c>
      <c r="E749">
        <v>7.0560000000000002E-4</v>
      </c>
      <c r="F749">
        <v>847494155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0.39130434782608847</v>
      </c>
      <c r="Q749">
        <f t="shared" si="1000"/>
        <v>331628147.60869694</v>
      </c>
      <c r="R749">
        <f t="shared" si="1001"/>
        <v>-15165715470.137878</v>
      </c>
      <c r="S749">
        <f t="shared" si="1002"/>
        <v>-151657.15470137878</v>
      </c>
      <c r="T749">
        <f t="shared" si="1003"/>
        <v>-151.65715470137877</v>
      </c>
    </row>
    <row r="750" spans="1:20" x14ac:dyDescent="0.25">
      <c r="A750" s="5">
        <v>43843</v>
      </c>
      <c r="B750">
        <v>6.8119999999999997E-4</v>
      </c>
      <c r="C750">
        <v>6.9479999999999997E-4</v>
      </c>
      <c r="D750">
        <v>6.69E-4</v>
      </c>
      <c r="E750">
        <v>6.7400000000000001E-4</v>
      </c>
      <c r="F750">
        <v>602191113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-0.61240310077519244</v>
      </c>
      <c r="Q750">
        <f t="shared" si="1000"/>
        <v>-368783704.86046427</v>
      </c>
      <c r="R750">
        <f t="shared" si="1001"/>
        <v>-15497343617.746576</v>
      </c>
      <c r="S750">
        <f t="shared" si="1002"/>
        <v>-154973.43617746577</v>
      </c>
      <c r="T750">
        <f t="shared" si="1003"/>
        <v>-154.97343617746577</v>
      </c>
    </row>
    <row r="751" spans="1:20" x14ac:dyDescent="0.25">
      <c r="A751" s="5">
        <v>43842</v>
      </c>
      <c r="B751">
        <v>6.7000000000000002E-4</v>
      </c>
      <c r="C751">
        <v>7.0989999999999996E-4</v>
      </c>
      <c r="D751">
        <v>6.6379999999999998E-4</v>
      </c>
      <c r="E751">
        <v>6.8130000000000003E-4</v>
      </c>
      <c r="F751">
        <v>709152715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-0.24078091106290445</v>
      </c>
      <c r="Q751">
        <f t="shared" si="1000"/>
        <v>-170750436.80043224</v>
      </c>
      <c r="R751">
        <f t="shared" si="1001"/>
        <v>-15128559912.886112</v>
      </c>
      <c r="S751">
        <f t="shared" si="1002"/>
        <v>-151285.59912886113</v>
      </c>
      <c r="T751">
        <f t="shared" si="1003"/>
        <v>-151.28559912886112</v>
      </c>
    </row>
    <row r="752" spans="1:20" x14ac:dyDescent="0.25">
      <c r="A752" s="5">
        <v>43841</v>
      </c>
      <c r="B752">
        <v>6.8690000000000005E-4</v>
      </c>
      <c r="C752">
        <v>6.8970000000000001E-4</v>
      </c>
      <c r="D752">
        <v>6.7000000000000002E-4</v>
      </c>
      <c r="E752">
        <v>6.7000000000000002E-4</v>
      </c>
      <c r="F752">
        <v>313657259</v>
      </c>
      <c r="G752">
        <v>0</v>
      </c>
      <c r="L752" t="s">
        <v>7</v>
      </c>
      <c r="M752" t="s">
        <v>8</v>
      </c>
      <c r="N752" t="s">
        <v>7</v>
      </c>
      <c r="P752">
        <f t="shared" si="999"/>
        <v>-1</v>
      </c>
      <c r="Q752">
        <f t="shared" si="1000"/>
        <v>-313657259</v>
      </c>
      <c r="R752">
        <f t="shared" si="1001"/>
        <v>-14957809476.08568</v>
      </c>
      <c r="S752">
        <f t="shared" si="1002"/>
        <v>-149578.09476085679</v>
      </c>
      <c r="T752">
        <f t="shared" si="1003"/>
        <v>-149.5780947608568</v>
      </c>
    </row>
    <row r="753" spans="1:20" x14ac:dyDescent="0.25">
      <c r="A753" s="5">
        <v>43840</v>
      </c>
      <c r="B753">
        <v>6.7100000000000005E-4</v>
      </c>
      <c r="C753">
        <v>6.8999999999999997E-4</v>
      </c>
      <c r="D753">
        <v>6.6010000000000005E-4</v>
      </c>
      <c r="E753">
        <v>6.8650000000000004E-4</v>
      </c>
      <c r="F753">
        <v>336507319</v>
      </c>
      <c r="G753">
        <v>0</v>
      </c>
      <c r="L753" t="s">
        <v>8</v>
      </c>
      <c r="M753" t="s">
        <v>8</v>
      </c>
      <c r="N753" t="s">
        <v>7</v>
      </c>
      <c r="P753">
        <f t="shared" si="999"/>
        <v>0.76588628762542255</v>
      </c>
      <c r="Q753">
        <f t="shared" si="1000"/>
        <v>257726341.30769381</v>
      </c>
      <c r="R753">
        <f t="shared" si="1001"/>
        <v>-14644152217.08568</v>
      </c>
      <c r="S753">
        <f t="shared" si="1002"/>
        <v>-146441.5221708568</v>
      </c>
      <c r="T753">
        <f t="shared" si="1003"/>
        <v>-146.44152217085679</v>
      </c>
    </row>
    <row r="754" spans="1:20" x14ac:dyDescent="0.25">
      <c r="A754" s="5">
        <v>43839</v>
      </c>
      <c r="B754">
        <v>6.6850000000000004E-4</v>
      </c>
      <c r="C754">
        <v>7.2499999999999995E-4</v>
      </c>
      <c r="D754">
        <v>6.6600000000000003E-4</v>
      </c>
      <c r="E754">
        <v>6.7100000000000005E-4</v>
      </c>
      <c r="F754">
        <v>570489739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-0.83050847457627053</v>
      </c>
      <c r="Q754">
        <f t="shared" si="1000"/>
        <v>-473796562.8983047</v>
      </c>
      <c r="R754">
        <f t="shared" si="1001"/>
        <v>-14901878558.393373</v>
      </c>
      <c r="S754">
        <f t="shared" si="1002"/>
        <v>-149018.78558393373</v>
      </c>
      <c r="T754">
        <f t="shared" si="1003"/>
        <v>-149.01878558393372</v>
      </c>
    </row>
    <row r="755" spans="1:20" x14ac:dyDescent="0.25">
      <c r="A755" s="5">
        <v>43838</v>
      </c>
      <c r="B755">
        <v>6.8150000000000003E-4</v>
      </c>
      <c r="C755">
        <v>7.0359999999999997E-4</v>
      </c>
      <c r="D755">
        <v>6.6E-4</v>
      </c>
      <c r="E755">
        <v>6.7210000000000002E-4</v>
      </c>
      <c r="F755">
        <v>418212117</v>
      </c>
      <c r="G755">
        <v>0</v>
      </c>
      <c r="L755" t="s">
        <v>8</v>
      </c>
      <c r="M755" t="s">
        <v>8</v>
      </c>
      <c r="N755" t="s">
        <v>7</v>
      </c>
      <c r="P755">
        <f t="shared" si="999"/>
        <v>-0.44495412844036558</v>
      </c>
      <c r="Q755">
        <f t="shared" si="1000"/>
        <v>-186085208.02293521</v>
      </c>
      <c r="R755">
        <f t="shared" si="1001"/>
        <v>-14428081995.49507</v>
      </c>
      <c r="S755">
        <f t="shared" si="1002"/>
        <v>-144280.81995495068</v>
      </c>
      <c r="T755">
        <f t="shared" si="1003"/>
        <v>-144.28081995495069</v>
      </c>
    </row>
    <row r="756" spans="1:20" x14ac:dyDescent="0.25">
      <c r="A756" s="5">
        <v>43837</v>
      </c>
      <c r="B756">
        <v>7.0299999999999996E-4</v>
      </c>
      <c r="C756">
        <v>7.1389999999999995E-4</v>
      </c>
      <c r="D756">
        <v>6.7380000000000001E-4</v>
      </c>
      <c r="E756">
        <v>6.8150000000000003E-4</v>
      </c>
      <c r="F756">
        <v>665363618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-0.61596009975062171</v>
      </c>
      <c r="Q756">
        <f t="shared" si="1000"/>
        <v>-409837440.51371455</v>
      </c>
      <c r="R756">
        <f t="shared" si="1001"/>
        <v>-14241996787.472134</v>
      </c>
      <c r="S756">
        <f t="shared" si="1002"/>
        <v>-142419.96787472133</v>
      </c>
      <c r="T756">
        <f t="shared" si="1003"/>
        <v>-142.41996787472132</v>
      </c>
    </row>
    <row r="757" spans="1:20" x14ac:dyDescent="0.25">
      <c r="A757" s="5">
        <v>43836</v>
      </c>
      <c r="B757">
        <v>6.7190000000000001E-4</v>
      </c>
      <c r="C757">
        <v>7.1400000000000001E-4</v>
      </c>
      <c r="D757">
        <v>6.6839999999999998E-4</v>
      </c>
      <c r="E757">
        <v>7.0299999999999996E-4</v>
      </c>
      <c r="F757">
        <v>496133643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0.51754385964912086</v>
      </c>
      <c r="Q757">
        <f t="shared" si="1000"/>
        <v>256770920.49999905</v>
      </c>
      <c r="R757">
        <f t="shared" si="1001"/>
        <v>-13832159346.95842</v>
      </c>
      <c r="S757">
        <f t="shared" si="1002"/>
        <v>-138321.59346958419</v>
      </c>
      <c r="T757">
        <f t="shared" si="1003"/>
        <v>-138.32159346958417</v>
      </c>
    </row>
    <row r="758" spans="1:20" x14ac:dyDescent="0.25">
      <c r="A758" s="5">
        <v>43835</v>
      </c>
      <c r="B758">
        <v>6.7960000000000004E-4</v>
      </c>
      <c r="C758">
        <v>7.1989999999999999E-4</v>
      </c>
      <c r="D758">
        <v>6.6500000000000001E-4</v>
      </c>
      <c r="E758">
        <v>6.7080000000000004E-4</v>
      </c>
      <c r="F758">
        <v>294531928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-0.78870673952641035</v>
      </c>
      <c r="Q758">
        <f t="shared" si="1000"/>
        <v>-232299316.61930746</v>
      </c>
      <c r="R758">
        <f t="shared" si="1001"/>
        <v>-14088930267.45842</v>
      </c>
      <c r="S758">
        <f t="shared" si="1002"/>
        <v>-140889.30267458421</v>
      </c>
      <c r="T758">
        <f t="shared" si="1003"/>
        <v>-140.8893026745842</v>
      </c>
    </row>
    <row r="759" spans="1:20" x14ac:dyDescent="0.25">
      <c r="A759" s="5">
        <v>43834</v>
      </c>
      <c r="B759">
        <v>6.8230000000000005E-4</v>
      </c>
      <c r="C759">
        <v>7.0859999999999999E-4</v>
      </c>
      <c r="D759">
        <v>6.5850000000000001E-4</v>
      </c>
      <c r="E759">
        <v>6.7960000000000004E-4</v>
      </c>
      <c r="F759">
        <v>580837066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-0.15768463073852146</v>
      </c>
      <c r="Q759">
        <f t="shared" si="1000"/>
        <v>-91589078.271456212</v>
      </c>
      <c r="R759">
        <f t="shared" si="1001"/>
        <v>-13856630950.839113</v>
      </c>
      <c r="S759">
        <f t="shared" si="1002"/>
        <v>-138566.30950839113</v>
      </c>
      <c r="T759">
        <f t="shared" si="1003"/>
        <v>-138.56630950839113</v>
      </c>
    </row>
    <row r="760" spans="1:20" x14ac:dyDescent="0.25">
      <c r="A760" s="5">
        <v>43833</v>
      </c>
      <c r="B760">
        <v>6.0610000000000004E-4</v>
      </c>
      <c r="C760">
        <v>7.1940000000000003E-4</v>
      </c>
      <c r="D760">
        <v>5.9279999999999999E-4</v>
      </c>
      <c r="E760">
        <v>6.7940000000000003E-4</v>
      </c>
      <c r="F760">
        <v>909075936</v>
      </c>
      <c r="G760">
        <v>0</v>
      </c>
      <c r="L760" t="s">
        <v>7</v>
      </c>
      <c r="M760" t="s">
        <v>8</v>
      </c>
      <c r="N760" t="s">
        <v>7</v>
      </c>
      <c r="P760">
        <f t="shared" si="999"/>
        <v>0.36808846761453423</v>
      </c>
      <c r="Q760">
        <f t="shared" si="1000"/>
        <v>334620368.2274884</v>
      </c>
      <c r="R760">
        <f t="shared" si="1001"/>
        <v>-13765041872.567657</v>
      </c>
      <c r="S760">
        <f t="shared" si="1002"/>
        <v>-137650.41872567657</v>
      </c>
      <c r="T760">
        <f t="shared" si="1003"/>
        <v>-137.65041872567656</v>
      </c>
    </row>
    <row r="761" spans="1:20" x14ac:dyDescent="0.25">
      <c r="A761" s="5">
        <v>43832</v>
      </c>
      <c r="B761">
        <v>6.2890000000000005E-4</v>
      </c>
      <c r="C761">
        <v>6.2960000000000002E-4</v>
      </c>
      <c r="D761">
        <v>5.9699999999999998E-4</v>
      </c>
      <c r="E761">
        <v>6.0349999999999998E-4</v>
      </c>
      <c r="F761">
        <v>264541240</v>
      </c>
      <c r="G761">
        <v>0</v>
      </c>
      <c r="L761" t="s">
        <v>8</v>
      </c>
      <c r="M761" t="s">
        <v>7</v>
      </c>
      <c r="N761" t="s">
        <v>7</v>
      </c>
      <c r="P761">
        <f t="shared" si="999"/>
        <v>-0.60122699386503142</v>
      </c>
      <c r="Q761">
        <f t="shared" si="1000"/>
        <v>-159049334.47852781</v>
      </c>
      <c r="R761">
        <f t="shared" si="1001"/>
        <v>-14099662240.795145</v>
      </c>
      <c r="S761">
        <f t="shared" si="1002"/>
        <v>-140996.62240795145</v>
      </c>
      <c r="T761">
        <f t="shared" si="1003"/>
        <v>-140.99662240795146</v>
      </c>
    </row>
    <row r="762" spans="1:20" x14ac:dyDescent="0.25">
      <c r="A762" s="5">
        <v>43831</v>
      </c>
      <c r="B762">
        <v>6.2430000000000005E-4</v>
      </c>
      <c r="C762">
        <v>6.4990000000000002E-4</v>
      </c>
      <c r="D762">
        <v>5.8149999999999999E-4</v>
      </c>
      <c r="E762">
        <v>6.2750000000000002E-4</v>
      </c>
      <c r="F762">
        <v>633376930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0.34502923976608213</v>
      </c>
      <c r="Q762">
        <f t="shared" si="1000"/>
        <v>218533560.64327502</v>
      </c>
      <c r="R762">
        <f t="shared" si="1001"/>
        <v>-13940612906.316618</v>
      </c>
      <c r="S762">
        <f t="shared" si="1002"/>
        <v>-139406.12906316618</v>
      </c>
      <c r="T762">
        <f t="shared" si="1003"/>
        <v>-139.40612906316619</v>
      </c>
    </row>
    <row r="763" spans="1:20" x14ac:dyDescent="0.25">
      <c r="A763" s="5">
        <v>43830</v>
      </c>
      <c r="B763">
        <v>6.38E-4</v>
      </c>
      <c r="C763">
        <v>6.399E-4</v>
      </c>
      <c r="D763">
        <v>6.1939999999999999E-4</v>
      </c>
      <c r="E763">
        <v>6.2569999999999998E-4</v>
      </c>
      <c r="F763">
        <v>247577010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-0.38536585365853782</v>
      </c>
      <c r="Q763">
        <f t="shared" si="1000"/>
        <v>-95407725.804878354</v>
      </c>
      <c r="R763">
        <f t="shared" si="1001"/>
        <v>-14159146466.959892</v>
      </c>
      <c r="S763">
        <f t="shared" si="1002"/>
        <v>-141591.46466959894</v>
      </c>
      <c r="T763">
        <f t="shared" si="1003"/>
        <v>-141.59146466959893</v>
      </c>
    </row>
    <row r="764" spans="1:20" x14ac:dyDescent="0.25">
      <c r="A764" s="5">
        <v>43829</v>
      </c>
      <c r="B764">
        <v>6.4230000000000005E-4</v>
      </c>
      <c r="C764">
        <v>6.4990000000000002E-4</v>
      </c>
      <c r="D764">
        <v>6.3509999999999999E-4</v>
      </c>
      <c r="E764">
        <v>6.38E-4</v>
      </c>
      <c r="F764">
        <v>210586161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-0.60810810810810678</v>
      </c>
      <c r="Q764">
        <f t="shared" si="1000"/>
        <v>-128059151.95945919</v>
      </c>
      <c r="R764">
        <f t="shared" si="1001"/>
        <v>-14063738741.155014</v>
      </c>
      <c r="S764">
        <f t="shared" si="1002"/>
        <v>-140637.38741155015</v>
      </c>
      <c r="T764">
        <f t="shared" si="1003"/>
        <v>-140.63738741155015</v>
      </c>
    </row>
    <row r="765" spans="1:20" x14ac:dyDescent="0.25">
      <c r="A765" s="5">
        <v>43828</v>
      </c>
      <c r="B765">
        <v>6.4269999999999996E-4</v>
      </c>
      <c r="C765">
        <v>6.4999999999999997E-4</v>
      </c>
      <c r="D765">
        <v>6.244E-4</v>
      </c>
      <c r="E765">
        <v>6.4709999999999995E-4</v>
      </c>
      <c r="F765">
        <v>228997427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0.77343749999999845</v>
      </c>
      <c r="Q765">
        <f t="shared" si="1000"/>
        <v>177115197.44531214</v>
      </c>
      <c r="R765">
        <f t="shared" si="1001"/>
        <v>-13935679589.195555</v>
      </c>
      <c r="S765">
        <f t="shared" si="1002"/>
        <v>-139356.79589195555</v>
      </c>
      <c r="T765">
        <f t="shared" si="1003"/>
        <v>-139.35679589195556</v>
      </c>
    </row>
    <row r="766" spans="1:20" x14ac:dyDescent="0.25">
      <c r="A766" s="5">
        <v>43827</v>
      </c>
      <c r="B766">
        <v>6.355E-4</v>
      </c>
      <c r="C766">
        <v>6.5490000000000004E-4</v>
      </c>
      <c r="D766">
        <v>6.3290000000000004E-4</v>
      </c>
      <c r="E766">
        <v>6.4539999999999997E-4</v>
      </c>
      <c r="F766">
        <v>172718029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0.13636363636362986</v>
      </c>
      <c r="Q766">
        <f t="shared" si="1000"/>
        <v>23552458.499998875</v>
      </c>
      <c r="R766">
        <f t="shared" si="1001"/>
        <v>-14112794786.640867</v>
      </c>
      <c r="S766">
        <f t="shared" si="1002"/>
        <v>-141127.94786640868</v>
      </c>
      <c r="T766">
        <f t="shared" si="1003"/>
        <v>-141.12794786640868</v>
      </c>
    </row>
    <row r="767" spans="1:20" x14ac:dyDescent="0.25">
      <c r="A767" s="5">
        <v>43826</v>
      </c>
      <c r="B767">
        <v>6.3489999999999998E-4</v>
      </c>
      <c r="C767">
        <v>6.4130000000000003E-4</v>
      </c>
      <c r="D767">
        <v>6.179E-4</v>
      </c>
      <c r="E767">
        <v>6.3599999999999996E-4</v>
      </c>
      <c r="F767">
        <v>176708473</v>
      </c>
      <c r="G767">
        <v>0</v>
      </c>
      <c r="L767" t="s">
        <v>8</v>
      </c>
      <c r="M767" t="s">
        <v>7</v>
      </c>
      <c r="N767" t="s">
        <v>7</v>
      </c>
      <c r="P767">
        <f t="shared" ref="P767:P830" si="1004">IF(C767=D767,0,((E767-D767)-(C767-E767))/(C767-D767))</f>
        <v>0.54700854700854118</v>
      </c>
      <c r="Q767">
        <f t="shared" ref="Q767:Q830" si="1005">F767*P767</f>
        <v>96661045.059828028</v>
      </c>
      <c r="R767">
        <f t="shared" ref="R767:R830" si="1006">R768+Q767</f>
        <v>-14136347245.140865</v>
      </c>
      <c r="S767">
        <f t="shared" ref="S767:S830" si="1007">R767/100000</f>
        <v>-141363.47245140866</v>
      </c>
      <c r="T767">
        <f t="shared" ref="T767:T830" si="1008">S767/1000</f>
        <v>-141.36347245140865</v>
      </c>
    </row>
    <row r="768" spans="1:20" x14ac:dyDescent="0.25">
      <c r="A768" s="5">
        <v>43825</v>
      </c>
      <c r="B768">
        <v>6.2770000000000002E-4</v>
      </c>
      <c r="C768">
        <v>6.535E-4</v>
      </c>
      <c r="D768">
        <v>6.2469999999999995E-4</v>
      </c>
      <c r="E768">
        <v>6.3489999999999998E-4</v>
      </c>
      <c r="F768">
        <v>295310195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-0.29166666666666574</v>
      </c>
      <c r="Q768">
        <f t="shared" si="1005"/>
        <v>-86132140.20833306</v>
      </c>
      <c r="R768">
        <f t="shared" si="1006"/>
        <v>-14233008290.200693</v>
      </c>
      <c r="S768">
        <f t="shared" si="1007"/>
        <v>-142330.08290200692</v>
      </c>
      <c r="T768">
        <f t="shared" si="1008"/>
        <v>-142.33008290200692</v>
      </c>
    </row>
    <row r="769" spans="1:20" x14ac:dyDescent="0.25">
      <c r="A769" s="5">
        <v>43824</v>
      </c>
      <c r="B769">
        <v>6.4289999999999996E-4</v>
      </c>
      <c r="C769">
        <v>6.558E-4</v>
      </c>
      <c r="D769">
        <v>6.2719999999999996E-4</v>
      </c>
      <c r="E769">
        <v>6.2739999999999996E-4</v>
      </c>
      <c r="F769">
        <v>193126889</v>
      </c>
      <c r="G769">
        <v>0</v>
      </c>
      <c r="L769" t="s">
        <v>8</v>
      </c>
      <c r="M769" t="s">
        <v>7</v>
      </c>
      <c r="N769" t="s">
        <v>7</v>
      </c>
      <c r="P769">
        <f t="shared" si="1004"/>
        <v>-0.98601398601398571</v>
      </c>
      <c r="Q769">
        <f t="shared" si="1005"/>
        <v>-190425813.62937057</v>
      </c>
      <c r="R769">
        <f t="shared" si="1006"/>
        <v>-14146876149.992359</v>
      </c>
      <c r="S769">
        <f t="shared" si="1007"/>
        <v>-141468.7614999236</v>
      </c>
      <c r="T769">
        <f t="shared" si="1008"/>
        <v>-141.4687614999236</v>
      </c>
    </row>
    <row r="770" spans="1:20" x14ac:dyDescent="0.25">
      <c r="A770" s="5">
        <v>43823</v>
      </c>
      <c r="B770">
        <v>6.4070000000000002E-4</v>
      </c>
      <c r="C770">
        <v>6.5589999999999995E-4</v>
      </c>
      <c r="D770">
        <v>6.3219999999999997E-4</v>
      </c>
      <c r="E770">
        <v>6.4289999999999996E-4</v>
      </c>
      <c r="F770">
        <v>139708347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-9.7046413502109866E-2</v>
      </c>
      <c r="Q770">
        <f t="shared" si="1005"/>
        <v>-13558194.01265825</v>
      </c>
      <c r="R770">
        <f t="shared" si="1006"/>
        <v>-13956450336.362989</v>
      </c>
      <c r="S770">
        <f t="shared" si="1007"/>
        <v>-139564.50336362989</v>
      </c>
      <c r="T770">
        <f t="shared" si="1008"/>
        <v>-139.56450336362988</v>
      </c>
    </row>
    <row r="771" spans="1:20" x14ac:dyDescent="0.25">
      <c r="A771" s="5">
        <v>43822</v>
      </c>
      <c r="B771">
        <v>6.6220000000000005E-4</v>
      </c>
      <c r="C771">
        <v>6.7400000000000001E-4</v>
      </c>
      <c r="D771">
        <v>6.3049999999999998E-4</v>
      </c>
      <c r="E771">
        <v>6.4099999999999997E-4</v>
      </c>
      <c r="F771">
        <v>379836400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-0.51724137931034586</v>
      </c>
      <c r="Q771">
        <f t="shared" si="1005"/>
        <v>-196467103.44827625</v>
      </c>
      <c r="R771">
        <f t="shared" si="1006"/>
        <v>-13942892142.35033</v>
      </c>
      <c r="S771">
        <f t="shared" si="1007"/>
        <v>-139428.92142350331</v>
      </c>
      <c r="T771">
        <f t="shared" si="1008"/>
        <v>-139.42892142350331</v>
      </c>
    </row>
    <row r="772" spans="1:20" x14ac:dyDescent="0.25">
      <c r="A772" s="5">
        <v>43821</v>
      </c>
      <c r="B772">
        <v>6.4320000000000002E-4</v>
      </c>
      <c r="C772">
        <v>6.6399999999999999E-4</v>
      </c>
      <c r="D772">
        <v>6.3920000000000003E-4</v>
      </c>
      <c r="E772">
        <v>6.6220000000000005E-4</v>
      </c>
      <c r="F772">
        <v>295617228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0.85483870967742426</v>
      </c>
      <c r="Q772">
        <f t="shared" si="1005"/>
        <v>252705049.74193692</v>
      </c>
      <c r="R772">
        <f t="shared" si="1006"/>
        <v>-13746425038.902054</v>
      </c>
      <c r="S772">
        <f t="shared" si="1007"/>
        <v>-137464.25038902054</v>
      </c>
      <c r="T772">
        <f t="shared" si="1008"/>
        <v>-137.46425038902055</v>
      </c>
    </row>
    <row r="773" spans="1:20" x14ac:dyDescent="0.25">
      <c r="A773" s="5">
        <v>43820</v>
      </c>
      <c r="B773">
        <v>6.4829999999999998E-4</v>
      </c>
      <c r="C773">
        <v>6.5059999999999998E-4</v>
      </c>
      <c r="D773">
        <v>6.3949999999999999E-4</v>
      </c>
      <c r="E773">
        <v>6.4320000000000002E-4</v>
      </c>
      <c r="F773">
        <v>121010719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-0.33333333333332682</v>
      </c>
      <c r="Q773">
        <f t="shared" si="1005"/>
        <v>-40336906.333332546</v>
      </c>
      <c r="R773">
        <f t="shared" si="1006"/>
        <v>-13999130088.643991</v>
      </c>
      <c r="S773">
        <f t="shared" si="1007"/>
        <v>-139991.30088643992</v>
      </c>
      <c r="T773">
        <f t="shared" si="1008"/>
        <v>-139.99130088643992</v>
      </c>
    </row>
    <row r="774" spans="1:20" x14ac:dyDescent="0.25">
      <c r="A774" s="5">
        <v>43819</v>
      </c>
      <c r="B774">
        <v>6.5499999999999998E-4</v>
      </c>
      <c r="C774">
        <v>6.5499999999999998E-4</v>
      </c>
      <c r="D774">
        <v>6.2220000000000005E-4</v>
      </c>
      <c r="E774">
        <v>6.5090000000000005E-4</v>
      </c>
      <c r="F774">
        <v>330644089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0.75000000000000333</v>
      </c>
      <c r="Q774">
        <f t="shared" si="1005"/>
        <v>247983066.7500011</v>
      </c>
      <c r="R774">
        <f t="shared" si="1006"/>
        <v>-13958793182.310659</v>
      </c>
      <c r="S774">
        <f t="shared" si="1007"/>
        <v>-139587.9318231066</v>
      </c>
      <c r="T774">
        <f t="shared" si="1008"/>
        <v>-139.5879318231066</v>
      </c>
    </row>
    <row r="775" spans="1:20" x14ac:dyDescent="0.25">
      <c r="A775" s="5">
        <v>43818</v>
      </c>
      <c r="B775">
        <v>6.6209999999999999E-4</v>
      </c>
      <c r="C775">
        <v>6.7520000000000004E-4</v>
      </c>
      <c r="D775">
        <v>6.3170000000000001E-4</v>
      </c>
      <c r="E775">
        <v>6.5439999999999997E-4</v>
      </c>
      <c r="F775">
        <v>551538203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4.3678160919537523E-2</v>
      </c>
      <c r="Q775">
        <f t="shared" si="1005"/>
        <v>24090174.383906554</v>
      </c>
      <c r="R775">
        <f t="shared" si="1006"/>
        <v>-14206776249.060661</v>
      </c>
      <c r="S775">
        <f t="shared" si="1007"/>
        <v>-142067.7624906066</v>
      </c>
      <c r="T775">
        <f t="shared" si="1008"/>
        <v>-142.06776249060661</v>
      </c>
    </row>
    <row r="776" spans="1:20" x14ac:dyDescent="0.25">
      <c r="A776" s="5">
        <v>43817</v>
      </c>
      <c r="B776">
        <v>5.8379999999999999E-4</v>
      </c>
      <c r="C776">
        <v>6.6980000000000002E-4</v>
      </c>
      <c r="D776">
        <v>5.7510000000000005E-4</v>
      </c>
      <c r="E776">
        <v>6.5919999999999998E-4</v>
      </c>
      <c r="F776">
        <v>892681526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0.77613516367476143</v>
      </c>
      <c r="Q776">
        <f t="shared" si="1005"/>
        <v>692841522.29144585</v>
      </c>
      <c r="R776">
        <f t="shared" si="1006"/>
        <v>-14230866423.444569</v>
      </c>
      <c r="S776">
        <f t="shared" si="1007"/>
        <v>-142308.66423444569</v>
      </c>
      <c r="T776">
        <f t="shared" si="1008"/>
        <v>-142.3086642344457</v>
      </c>
    </row>
    <row r="777" spans="1:20" x14ac:dyDescent="0.25">
      <c r="A777" s="5">
        <v>43816</v>
      </c>
      <c r="B777">
        <v>6.3889999999999997E-4</v>
      </c>
      <c r="C777">
        <v>6.422E-4</v>
      </c>
      <c r="D777">
        <v>5.6499999999999996E-4</v>
      </c>
      <c r="E777">
        <v>5.8250000000000001E-4</v>
      </c>
      <c r="F777">
        <v>615374652</v>
      </c>
      <c r="G777">
        <v>0</v>
      </c>
      <c r="L777" t="s">
        <v>8</v>
      </c>
      <c r="M777" t="s">
        <v>7</v>
      </c>
      <c r="N777" t="s">
        <v>7</v>
      </c>
      <c r="P777">
        <f t="shared" si="1004"/>
        <v>-0.54663212435233066</v>
      </c>
      <c r="Q777">
        <f t="shared" si="1005"/>
        <v>-336383553.29533619</v>
      </c>
      <c r="R777">
        <f t="shared" si="1006"/>
        <v>-14923707945.736015</v>
      </c>
      <c r="S777">
        <f t="shared" si="1007"/>
        <v>-149237.07945736015</v>
      </c>
      <c r="T777">
        <f t="shared" si="1008"/>
        <v>-149.23707945736015</v>
      </c>
    </row>
    <row r="778" spans="1:20" x14ac:dyDescent="0.25">
      <c r="A778" s="5">
        <v>43815</v>
      </c>
      <c r="B778">
        <v>6.6129999999999997E-4</v>
      </c>
      <c r="C778">
        <v>6.8210000000000005E-4</v>
      </c>
      <c r="D778">
        <v>6.2600000000000004E-4</v>
      </c>
      <c r="E778">
        <v>6.3880000000000002E-4</v>
      </c>
      <c r="F778">
        <v>486801934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-0.54367201426025014</v>
      </c>
      <c r="Q778">
        <f t="shared" si="1005"/>
        <v>-264660588.00356534</v>
      </c>
      <c r="R778">
        <f t="shared" si="1006"/>
        <v>-14587324392.44068</v>
      </c>
      <c r="S778">
        <f t="shared" si="1007"/>
        <v>-145873.24392440679</v>
      </c>
      <c r="T778">
        <f t="shared" si="1008"/>
        <v>-145.87324392440681</v>
      </c>
    </row>
    <row r="779" spans="1:20" x14ac:dyDescent="0.25">
      <c r="A779" s="5">
        <v>43814</v>
      </c>
      <c r="B779">
        <v>6.5209999999999997E-4</v>
      </c>
      <c r="C779">
        <v>6.69E-4</v>
      </c>
      <c r="D779">
        <v>6.4829999999999998E-4</v>
      </c>
      <c r="E779">
        <v>6.6129999999999997E-4</v>
      </c>
      <c r="F779">
        <v>230824641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0.25603864734299336</v>
      </c>
      <c r="Q779">
        <f t="shared" si="1005"/>
        <v>59100028.855072044</v>
      </c>
      <c r="R779">
        <f t="shared" si="1006"/>
        <v>-14322663804.437115</v>
      </c>
      <c r="S779">
        <f t="shared" si="1007"/>
        <v>-143226.63804437115</v>
      </c>
      <c r="T779">
        <f t="shared" si="1008"/>
        <v>-143.22663804437116</v>
      </c>
    </row>
    <row r="780" spans="1:20" x14ac:dyDescent="0.25">
      <c r="A780" s="5">
        <v>43813</v>
      </c>
      <c r="B780">
        <v>6.9280000000000003E-4</v>
      </c>
      <c r="C780">
        <v>6.9800000000000005E-4</v>
      </c>
      <c r="D780">
        <v>6.4199999999999999E-4</v>
      </c>
      <c r="E780">
        <v>6.5209999999999997E-4</v>
      </c>
      <c r="F780">
        <v>457617519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-0.63928571428571557</v>
      </c>
      <c r="Q780">
        <f t="shared" si="1005"/>
        <v>-292548342.50357199</v>
      </c>
      <c r="R780">
        <f t="shared" si="1006"/>
        <v>-14381763833.292187</v>
      </c>
      <c r="S780">
        <f t="shared" si="1007"/>
        <v>-143817.63833292187</v>
      </c>
      <c r="T780">
        <f t="shared" si="1008"/>
        <v>-143.81763833292186</v>
      </c>
    </row>
    <row r="781" spans="1:20" x14ac:dyDescent="0.25">
      <c r="A781" s="5">
        <v>43812</v>
      </c>
      <c r="B781">
        <v>6.6379999999999998E-4</v>
      </c>
      <c r="C781">
        <v>7.2999999999999996E-4</v>
      </c>
      <c r="D781">
        <v>6.4959999999999996E-4</v>
      </c>
      <c r="E781">
        <v>6.9289999999999998E-4</v>
      </c>
      <c r="F781">
        <v>458974095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7.7114427860697041E-2</v>
      </c>
      <c r="Q781">
        <f t="shared" si="1005"/>
        <v>35393524.73880621</v>
      </c>
      <c r="R781">
        <f t="shared" si="1006"/>
        <v>-14089215490.788614</v>
      </c>
      <c r="S781">
        <f t="shared" si="1007"/>
        <v>-140892.15490788614</v>
      </c>
      <c r="T781">
        <f t="shared" si="1008"/>
        <v>-140.89215490788615</v>
      </c>
    </row>
    <row r="782" spans="1:20" x14ac:dyDescent="0.25">
      <c r="A782" s="5">
        <v>43811</v>
      </c>
      <c r="B782">
        <v>6.6370000000000003E-4</v>
      </c>
      <c r="C782">
        <v>6.6609999999999998E-4</v>
      </c>
      <c r="D782">
        <v>6.4130000000000003E-4</v>
      </c>
      <c r="E782">
        <v>6.6379999999999998E-4</v>
      </c>
      <c r="F782">
        <v>247769953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0.81451612903225756</v>
      </c>
      <c r="Q782">
        <f t="shared" si="1005"/>
        <v>201812623.00806439</v>
      </c>
      <c r="R782">
        <f t="shared" si="1006"/>
        <v>-14124609015.52742</v>
      </c>
      <c r="S782">
        <f t="shared" si="1007"/>
        <v>-141246.0901552742</v>
      </c>
      <c r="T782">
        <f t="shared" si="1008"/>
        <v>-141.2460901552742</v>
      </c>
    </row>
    <row r="783" spans="1:20" x14ac:dyDescent="0.25">
      <c r="A783" s="5">
        <v>43810</v>
      </c>
      <c r="B783">
        <v>6.6399999999999999E-4</v>
      </c>
      <c r="C783">
        <v>6.9070000000000004E-4</v>
      </c>
      <c r="D783">
        <v>6.5289999999999999E-4</v>
      </c>
      <c r="E783">
        <v>6.6359999999999998E-4</v>
      </c>
      <c r="F783">
        <v>341203615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-0.43386243386243523</v>
      </c>
      <c r="Q783">
        <f t="shared" si="1005"/>
        <v>-148035430.84656131</v>
      </c>
      <c r="R783">
        <f t="shared" si="1006"/>
        <v>-14326421638.535484</v>
      </c>
      <c r="S783">
        <f t="shared" si="1007"/>
        <v>-143264.21638535484</v>
      </c>
      <c r="T783">
        <f t="shared" si="1008"/>
        <v>-143.26421638535484</v>
      </c>
    </row>
    <row r="784" spans="1:20" x14ac:dyDescent="0.25">
      <c r="A784" s="5">
        <v>43809</v>
      </c>
      <c r="B784">
        <v>6.9959999999999998E-4</v>
      </c>
      <c r="C784">
        <v>7.0350000000000002E-4</v>
      </c>
      <c r="D784">
        <v>6.5519999999999999E-4</v>
      </c>
      <c r="E784">
        <v>6.6379999999999998E-4</v>
      </c>
      <c r="F784">
        <v>764616799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-0.64389233954451408</v>
      </c>
      <c r="Q784">
        <f t="shared" si="1005"/>
        <v>-492330899.56314749</v>
      </c>
      <c r="R784">
        <f t="shared" si="1006"/>
        <v>-14178386207.688923</v>
      </c>
      <c r="S784">
        <f t="shared" si="1007"/>
        <v>-141783.86207688923</v>
      </c>
      <c r="T784">
        <f t="shared" si="1008"/>
        <v>-141.78386207688922</v>
      </c>
    </row>
    <row r="785" spans="1:20" x14ac:dyDescent="0.25">
      <c r="A785" s="5">
        <v>43808</v>
      </c>
      <c r="B785">
        <v>7.226E-4</v>
      </c>
      <c r="C785">
        <v>7.3260000000000003E-4</v>
      </c>
      <c r="D785">
        <v>6.8999999999999997E-4</v>
      </c>
      <c r="E785">
        <v>6.9959999999999998E-4</v>
      </c>
      <c r="F785">
        <v>383439938</v>
      </c>
      <c r="G785">
        <v>0</v>
      </c>
      <c r="L785" t="s">
        <v>8</v>
      </c>
      <c r="M785" t="s">
        <v>7</v>
      </c>
      <c r="N785" t="s">
        <v>7</v>
      </c>
      <c r="P785">
        <f t="shared" si="1004"/>
        <v>-0.54929577464788715</v>
      </c>
      <c r="Q785">
        <f t="shared" si="1005"/>
        <v>-210621937.77464783</v>
      </c>
      <c r="R785">
        <f t="shared" si="1006"/>
        <v>-13686055308.125776</v>
      </c>
      <c r="S785">
        <f t="shared" si="1007"/>
        <v>-136860.55308125776</v>
      </c>
      <c r="T785">
        <f t="shared" si="1008"/>
        <v>-136.86055308125776</v>
      </c>
    </row>
    <row r="786" spans="1:20" x14ac:dyDescent="0.25">
      <c r="A786" s="5">
        <v>43807</v>
      </c>
      <c r="B786">
        <v>7.1900000000000002E-4</v>
      </c>
      <c r="C786">
        <v>7.5500000000000003E-4</v>
      </c>
      <c r="D786">
        <v>6.9999999999999999E-4</v>
      </c>
      <c r="E786">
        <v>7.2000000000000005E-4</v>
      </c>
      <c r="F786">
        <v>641072368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-0.27272727272727132</v>
      </c>
      <c r="Q786">
        <f t="shared" si="1005"/>
        <v>-174837918.54545364</v>
      </c>
      <c r="R786">
        <f t="shared" si="1006"/>
        <v>-13475433370.351128</v>
      </c>
      <c r="S786">
        <f t="shared" si="1007"/>
        <v>-134754.33370351128</v>
      </c>
      <c r="T786">
        <f t="shared" si="1008"/>
        <v>-134.75433370351126</v>
      </c>
    </row>
    <row r="787" spans="1:20" x14ac:dyDescent="0.25">
      <c r="A787" s="5">
        <v>43806</v>
      </c>
      <c r="B787">
        <v>7.3010000000000002E-4</v>
      </c>
      <c r="C787">
        <v>7.5989999999999999E-4</v>
      </c>
      <c r="D787">
        <v>7.157E-4</v>
      </c>
      <c r="E787">
        <v>7.1900000000000002E-4</v>
      </c>
      <c r="F787">
        <v>588694979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-0.85067873303167296</v>
      </c>
      <c r="Q787">
        <f t="shared" si="1005"/>
        <v>-500790298.87782735</v>
      </c>
      <c r="R787">
        <f t="shared" si="1006"/>
        <v>-13300595451.805674</v>
      </c>
      <c r="S787">
        <f t="shared" si="1007"/>
        <v>-133005.95451805674</v>
      </c>
      <c r="T787">
        <f t="shared" si="1008"/>
        <v>-133.00595451805674</v>
      </c>
    </row>
    <row r="788" spans="1:20" x14ac:dyDescent="0.25">
      <c r="A788" s="5">
        <v>43805</v>
      </c>
      <c r="B788">
        <v>7.3870000000000001E-4</v>
      </c>
      <c r="C788">
        <v>7.3870000000000001E-4</v>
      </c>
      <c r="D788">
        <v>7.1199999999999996E-4</v>
      </c>
      <c r="E788">
        <v>7.3019999999999997E-4</v>
      </c>
      <c r="F788">
        <v>743050193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0.36329588014981068</v>
      </c>
      <c r="Q788">
        <f t="shared" si="1005"/>
        <v>269947073.8614217</v>
      </c>
      <c r="R788">
        <f t="shared" si="1006"/>
        <v>-12799805152.927847</v>
      </c>
      <c r="S788">
        <f t="shared" si="1007"/>
        <v>-127998.05152927847</v>
      </c>
      <c r="T788">
        <f t="shared" si="1008"/>
        <v>-127.99805152927847</v>
      </c>
    </row>
    <row r="789" spans="1:20" x14ac:dyDescent="0.25">
      <c r="A789" s="5">
        <v>43804</v>
      </c>
      <c r="B789">
        <v>7.4799999999999997E-4</v>
      </c>
      <c r="C789">
        <v>7.6020000000000005E-4</v>
      </c>
      <c r="D789">
        <v>7.3019999999999997E-4</v>
      </c>
      <c r="E789">
        <v>7.3870000000000001E-4</v>
      </c>
      <c r="F789">
        <v>406967376</v>
      </c>
      <c r="G789">
        <v>0</v>
      </c>
      <c r="L789" t="s">
        <v>8</v>
      </c>
      <c r="M789" t="s">
        <v>8</v>
      </c>
      <c r="N789" t="s">
        <v>7</v>
      </c>
      <c r="P789">
        <f t="shared" si="1004"/>
        <v>-0.4333333333333319</v>
      </c>
      <c r="Q789">
        <f t="shared" si="1005"/>
        <v>-176352529.59999943</v>
      </c>
      <c r="R789">
        <f t="shared" si="1006"/>
        <v>-13069752226.789268</v>
      </c>
      <c r="S789">
        <f t="shared" si="1007"/>
        <v>-130697.52226789268</v>
      </c>
      <c r="T789">
        <f t="shared" si="1008"/>
        <v>-130.69752226789268</v>
      </c>
    </row>
    <row r="790" spans="1:20" x14ac:dyDescent="0.25">
      <c r="A790" s="5">
        <v>43803</v>
      </c>
      <c r="B790">
        <v>7.6400000000000003E-4</v>
      </c>
      <c r="C790">
        <v>7.8249999999999999E-4</v>
      </c>
      <c r="D790">
        <v>7.3450000000000002E-4</v>
      </c>
      <c r="E790">
        <v>7.5140000000000005E-4</v>
      </c>
      <c r="F790">
        <v>516280178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-0.29583333333333167</v>
      </c>
      <c r="Q790">
        <f t="shared" si="1005"/>
        <v>-152732885.99166581</v>
      </c>
      <c r="R790">
        <f t="shared" si="1006"/>
        <v>-12893399697.18927</v>
      </c>
      <c r="S790">
        <f t="shared" si="1007"/>
        <v>-128933.9969718927</v>
      </c>
      <c r="T790">
        <f t="shared" si="1008"/>
        <v>-128.9339969718927</v>
      </c>
    </row>
    <row r="791" spans="1:20" x14ac:dyDescent="0.25">
      <c r="A791" s="5">
        <v>43802</v>
      </c>
      <c r="B791">
        <v>7.7450000000000001E-4</v>
      </c>
      <c r="C791">
        <v>7.8310000000000001E-4</v>
      </c>
      <c r="D791">
        <v>7.5509999999999998E-4</v>
      </c>
      <c r="E791">
        <v>7.6400000000000003E-4</v>
      </c>
      <c r="F791">
        <v>313169151</v>
      </c>
      <c r="G791">
        <v>0</v>
      </c>
      <c r="L791" t="s">
        <v>8</v>
      </c>
      <c r="M791" t="s">
        <v>8</v>
      </c>
      <c r="N791" t="s">
        <v>7</v>
      </c>
      <c r="P791">
        <f t="shared" si="1004"/>
        <v>-0.36428571428571116</v>
      </c>
      <c r="Q791">
        <f t="shared" si="1005"/>
        <v>-114083047.86428474</v>
      </c>
      <c r="R791">
        <f t="shared" si="1006"/>
        <v>-12740666811.197605</v>
      </c>
      <c r="S791">
        <f t="shared" si="1007"/>
        <v>-127406.66811197605</v>
      </c>
      <c r="T791">
        <f t="shared" si="1008"/>
        <v>-127.40666811197605</v>
      </c>
    </row>
    <row r="792" spans="1:20" x14ac:dyDescent="0.25">
      <c r="A792" s="5">
        <v>43801</v>
      </c>
      <c r="B792">
        <v>7.8899999999999999E-4</v>
      </c>
      <c r="C792">
        <v>7.8910000000000004E-4</v>
      </c>
      <c r="D792">
        <v>7.6020000000000005E-4</v>
      </c>
      <c r="E792">
        <v>7.7450000000000001E-4</v>
      </c>
      <c r="F792">
        <v>219620634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-1.0380622837372372E-2</v>
      </c>
      <c r="Q792">
        <f t="shared" si="1005"/>
        <v>-2279798.9688585992</v>
      </c>
      <c r="R792">
        <f t="shared" si="1006"/>
        <v>-12626583763.333321</v>
      </c>
      <c r="S792">
        <f t="shared" si="1007"/>
        <v>-126265.83763333321</v>
      </c>
      <c r="T792">
        <f t="shared" si="1008"/>
        <v>-126.26583763333321</v>
      </c>
    </row>
    <row r="793" spans="1:20" x14ac:dyDescent="0.25">
      <c r="A793" s="5">
        <v>43800</v>
      </c>
      <c r="B793">
        <v>7.8799999999999996E-4</v>
      </c>
      <c r="C793">
        <v>7.9440000000000001E-4</v>
      </c>
      <c r="D793">
        <v>7.5000000000000002E-4</v>
      </c>
      <c r="E793">
        <v>7.8910000000000004E-4</v>
      </c>
      <c r="F793">
        <v>326186269</v>
      </c>
      <c r="G793">
        <v>0</v>
      </c>
      <c r="L793" t="s">
        <v>8</v>
      </c>
      <c r="M793" t="s">
        <v>8</v>
      </c>
      <c r="N793" t="s">
        <v>7</v>
      </c>
      <c r="P793">
        <f t="shared" si="1004"/>
        <v>0.76126126126126281</v>
      </c>
      <c r="Q793">
        <f t="shared" si="1005"/>
        <v>248312970.54504555</v>
      </c>
      <c r="R793">
        <f t="shared" si="1006"/>
        <v>-12624303964.364462</v>
      </c>
      <c r="S793">
        <f t="shared" si="1007"/>
        <v>-126243.03964364462</v>
      </c>
      <c r="T793">
        <f t="shared" si="1008"/>
        <v>-126.24303964364462</v>
      </c>
    </row>
    <row r="794" spans="1:20" x14ac:dyDescent="0.25">
      <c r="A794" s="5">
        <v>43799</v>
      </c>
      <c r="B794">
        <v>8.2549999999999995E-4</v>
      </c>
      <c r="C794">
        <v>8.2879999999999998E-4</v>
      </c>
      <c r="D794">
        <v>7.7499999999999997E-4</v>
      </c>
      <c r="E794">
        <v>7.8799999999999996E-4</v>
      </c>
      <c r="F794">
        <v>481612164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-0.51672862453531643</v>
      </c>
      <c r="Q794">
        <f t="shared" si="1005"/>
        <v>-248862791.06319723</v>
      </c>
      <c r="R794">
        <f t="shared" si="1006"/>
        <v>-12872616934.909508</v>
      </c>
      <c r="S794">
        <f t="shared" si="1007"/>
        <v>-128726.16934909507</v>
      </c>
      <c r="T794">
        <f t="shared" si="1008"/>
        <v>-128.72616934909507</v>
      </c>
    </row>
    <row r="795" spans="1:20" x14ac:dyDescent="0.25">
      <c r="A795" s="5">
        <v>43798</v>
      </c>
      <c r="B795">
        <v>8.1150000000000005E-4</v>
      </c>
      <c r="C795">
        <v>8.3949999999999997E-4</v>
      </c>
      <c r="D795">
        <v>8.1150000000000005E-4</v>
      </c>
      <c r="E795">
        <v>8.2879999999999998E-4</v>
      </c>
      <c r="F795">
        <v>269414992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0.23571428571428435</v>
      </c>
      <c r="Q795">
        <f t="shared" si="1005"/>
        <v>63504962.399999633</v>
      </c>
      <c r="R795">
        <f t="shared" si="1006"/>
        <v>-12623754143.84631</v>
      </c>
      <c r="S795">
        <f t="shared" si="1007"/>
        <v>-126237.5414384631</v>
      </c>
      <c r="T795">
        <f t="shared" si="1008"/>
        <v>-126.2375414384631</v>
      </c>
    </row>
    <row r="796" spans="1:20" x14ac:dyDescent="0.25">
      <c r="A796" s="5">
        <v>43797</v>
      </c>
      <c r="B796">
        <v>8.3120000000000004E-4</v>
      </c>
      <c r="C796">
        <v>8.4079999999999995E-4</v>
      </c>
      <c r="D796">
        <v>8.0800000000000002E-4</v>
      </c>
      <c r="E796">
        <v>8.164E-4</v>
      </c>
      <c r="F796">
        <v>310640780</v>
      </c>
      <c r="G796">
        <v>0</v>
      </c>
      <c r="L796" t="s">
        <v>7</v>
      </c>
      <c r="M796" t="s">
        <v>8</v>
      </c>
      <c r="N796" t="s">
        <v>7</v>
      </c>
      <c r="P796">
        <f t="shared" si="1004"/>
        <v>-0.48780487804878014</v>
      </c>
      <c r="Q796">
        <f t="shared" si="1005"/>
        <v>-151532087.80487794</v>
      </c>
      <c r="R796">
        <f t="shared" si="1006"/>
        <v>-12687259106.246309</v>
      </c>
      <c r="S796">
        <f t="shared" si="1007"/>
        <v>-126872.59106246309</v>
      </c>
      <c r="T796">
        <f t="shared" si="1008"/>
        <v>-126.87259106246309</v>
      </c>
    </row>
    <row r="797" spans="1:20" x14ac:dyDescent="0.25">
      <c r="A797" s="5">
        <v>43796</v>
      </c>
      <c r="B797">
        <v>8.1039999999999997E-4</v>
      </c>
      <c r="C797">
        <v>8.5260000000000002E-4</v>
      </c>
      <c r="D797">
        <v>7.5619999999999995E-4</v>
      </c>
      <c r="E797">
        <v>8.3120000000000004E-4</v>
      </c>
      <c r="F797">
        <v>635849144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0.55601659751037424</v>
      </c>
      <c r="Q797">
        <f t="shared" si="1005"/>
        <v>353542677.57676399</v>
      </c>
      <c r="R797">
        <f t="shared" si="1006"/>
        <v>-12535727018.441431</v>
      </c>
      <c r="S797">
        <f t="shared" si="1007"/>
        <v>-125357.27018441432</v>
      </c>
      <c r="T797">
        <f t="shared" si="1008"/>
        <v>-125.35727018441432</v>
      </c>
    </row>
    <row r="798" spans="1:20" x14ac:dyDescent="0.25">
      <c r="A798" s="5">
        <v>43795</v>
      </c>
      <c r="B798">
        <v>7.9449999999999996E-4</v>
      </c>
      <c r="C798">
        <v>8.1990000000000003E-4</v>
      </c>
      <c r="D798">
        <v>7.7859999999999995E-4</v>
      </c>
      <c r="E798">
        <v>8.0769999999999995E-4</v>
      </c>
      <c r="F798">
        <v>467968482</v>
      </c>
      <c r="G798">
        <v>0</v>
      </c>
      <c r="L798" t="s">
        <v>7</v>
      </c>
      <c r="M798" t="s">
        <v>7</v>
      </c>
      <c r="N798" t="s">
        <v>7</v>
      </c>
      <c r="P798">
        <f t="shared" si="1004"/>
        <v>0.40920096852299975</v>
      </c>
      <c r="Q798">
        <f t="shared" si="1005"/>
        <v>191493156.07263798</v>
      </c>
      <c r="R798">
        <f t="shared" si="1006"/>
        <v>-12889269696.018194</v>
      </c>
      <c r="S798">
        <f t="shared" si="1007"/>
        <v>-128892.69696018194</v>
      </c>
      <c r="T798">
        <f t="shared" si="1008"/>
        <v>-128.89269696018195</v>
      </c>
    </row>
    <row r="799" spans="1:20" x14ac:dyDescent="0.25">
      <c r="A799" s="5">
        <v>43794</v>
      </c>
      <c r="B799">
        <v>7.6389999999999997E-4</v>
      </c>
      <c r="C799">
        <v>8.1899999999999996E-4</v>
      </c>
      <c r="D799">
        <v>7.0209999999999999E-4</v>
      </c>
      <c r="E799">
        <v>7.9129999999999999E-4</v>
      </c>
      <c r="F799">
        <v>679163356</v>
      </c>
      <c r="G799">
        <v>0</v>
      </c>
      <c r="L799" t="s">
        <v>8</v>
      </c>
      <c r="M799" t="s">
        <v>7</v>
      </c>
      <c r="N799" t="s">
        <v>7</v>
      </c>
      <c r="P799">
        <f t="shared" si="1004"/>
        <v>0.526090675791275</v>
      </c>
      <c r="Q799">
        <f t="shared" si="1005"/>
        <v>357301508.93071026</v>
      </c>
      <c r="R799">
        <f t="shared" si="1006"/>
        <v>-13080762852.090832</v>
      </c>
      <c r="S799">
        <f t="shared" si="1007"/>
        <v>-130807.62852090831</v>
      </c>
      <c r="T799">
        <f t="shared" si="1008"/>
        <v>-130.80762852090831</v>
      </c>
    </row>
    <row r="800" spans="1:20" x14ac:dyDescent="0.25">
      <c r="A800" s="5">
        <v>43793</v>
      </c>
      <c r="B800">
        <v>8.1680000000000001E-4</v>
      </c>
      <c r="C800">
        <v>8.208E-4</v>
      </c>
      <c r="D800">
        <v>7.5929999999999997E-4</v>
      </c>
      <c r="E800">
        <v>7.6389999999999997E-4</v>
      </c>
      <c r="F800">
        <v>348349360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-0.85040650406504059</v>
      </c>
      <c r="Q800">
        <f t="shared" si="1005"/>
        <v>-296238561.43089432</v>
      </c>
      <c r="R800">
        <f t="shared" si="1006"/>
        <v>-13438064361.021542</v>
      </c>
      <c r="S800">
        <f t="shared" si="1007"/>
        <v>-134380.64361021543</v>
      </c>
      <c r="T800">
        <f t="shared" si="1008"/>
        <v>-134.38064361021543</v>
      </c>
    </row>
    <row r="801" spans="1:20" x14ac:dyDescent="0.25">
      <c r="A801" s="5">
        <v>43792</v>
      </c>
      <c r="B801">
        <v>7.9639999999999995E-4</v>
      </c>
      <c r="C801">
        <v>8.3000000000000001E-4</v>
      </c>
      <c r="D801">
        <v>7.6530000000000001E-4</v>
      </c>
      <c r="E801">
        <v>8.1280000000000002E-4</v>
      </c>
      <c r="F801">
        <v>292599535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0.46831530139103605</v>
      </c>
      <c r="Q801">
        <f t="shared" si="1005"/>
        <v>137028839.42040199</v>
      </c>
      <c r="R801">
        <f t="shared" si="1006"/>
        <v>-13141825799.590647</v>
      </c>
      <c r="S801">
        <f t="shared" si="1007"/>
        <v>-131418.25799590646</v>
      </c>
      <c r="T801">
        <f t="shared" si="1008"/>
        <v>-131.41825799590646</v>
      </c>
    </row>
    <row r="802" spans="1:20" x14ac:dyDescent="0.25">
      <c r="A802" s="5">
        <v>43791</v>
      </c>
      <c r="B802">
        <v>8.3920000000000002E-4</v>
      </c>
      <c r="C802">
        <v>8.6390000000000002E-4</v>
      </c>
      <c r="D802">
        <v>7.5000000000000002E-4</v>
      </c>
      <c r="E802">
        <v>7.8750000000000001E-4</v>
      </c>
      <c r="F802">
        <v>1105381294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-0.34152765583845496</v>
      </c>
      <c r="Q802">
        <f t="shared" si="1005"/>
        <v>-377518282.14749801</v>
      </c>
      <c r="R802">
        <f t="shared" si="1006"/>
        <v>-13278854639.011049</v>
      </c>
      <c r="S802">
        <f t="shared" si="1007"/>
        <v>-132788.54639011048</v>
      </c>
      <c r="T802">
        <f t="shared" si="1008"/>
        <v>-132.78854639011047</v>
      </c>
    </row>
    <row r="803" spans="1:20" x14ac:dyDescent="0.25">
      <c r="A803" s="5">
        <v>43790</v>
      </c>
      <c r="B803">
        <v>8.9599999999999999E-4</v>
      </c>
      <c r="C803">
        <v>9.0779999999999995E-4</v>
      </c>
      <c r="D803">
        <v>8.1519999999999997E-4</v>
      </c>
      <c r="E803">
        <v>8.3759999999999998E-4</v>
      </c>
      <c r="F803">
        <v>515623567</v>
      </c>
      <c r="G803">
        <v>0</v>
      </c>
      <c r="L803" t="s">
        <v>8</v>
      </c>
      <c r="M803" t="s">
        <v>7</v>
      </c>
      <c r="N803" t="s">
        <v>8</v>
      </c>
      <c r="P803">
        <f t="shared" si="1004"/>
        <v>-0.51619870410367152</v>
      </c>
      <c r="Q803">
        <f t="shared" si="1005"/>
        <v>-266164217.09071264</v>
      </c>
      <c r="R803">
        <f t="shared" si="1006"/>
        <v>-12901336356.863552</v>
      </c>
      <c r="S803">
        <f t="shared" si="1007"/>
        <v>-129013.36356863553</v>
      </c>
      <c r="T803">
        <f t="shared" si="1008"/>
        <v>-129.01336356863553</v>
      </c>
    </row>
    <row r="804" spans="1:20" x14ac:dyDescent="0.25">
      <c r="A804" s="5">
        <v>43789</v>
      </c>
      <c r="B804">
        <v>8.765E-4</v>
      </c>
      <c r="C804">
        <v>9.1160000000000004E-4</v>
      </c>
      <c r="D804">
        <v>8.6450000000000003E-4</v>
      </c>
      <c r="E804">
        <v>8.9599999999999999E-4</v>
      </c>
      <c r="F804">
        <v>427404534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0.33757961783439272</v>
      </c>
      <c r="Q804">
        <f t="shared" si="1005"/>
        <v>144283059.24840671</v>
      </c>
      <c r="R804">
        <f t="shared" si="1006"/>
        <v>-12635172139.772839</v>
      </c>
      <c r="S804">
        <f t="shared" si="1007"/>
        <v>-126351.72139772838</v>
      </c>
      <c r="T804">
        <f t="shared" si="1008"/>
        <v>-126.35172139772838</v>
      </c>
    </row>
    <row r="805" spans="1:20" x14ac:dyDescent="0.25">
      <c r="A805" s="5">
        <v>43788</v>
      </c>
      <c r="B805">
        <v>8.8170000000000002E-4</v>
      </c>
      <c r="C805">
        <v>8.8590000000000001E-4</v>
      </c>
      <c r="D805">
        <v>8.4999999999999995E-4</v>
      </c>
      <c r="E805">
        <v>8.7600000000000004E-4</v>
      </c>
      <c r="F805">
        <v>799503670</v>
      </c>
      <c r="G805">
        <v>0</v>
      </c>
      <c r="L805" t="s">
        <v>8</v>
      </c>
      <c r="M805" t="s">
        <v>7</v>
      </c>
      <c r="N805" t="s">
        <v>8</v>
      </c>
      <c r="P805">
        <f t="shared" si="1004"/>
        <v>0.44846796657381877</v>
      </c>
      <c r="Q805">
        <f t="shared" si="1005"/>
        <v>358551785.15320545</v>
      </c>
      <c r="R805">
        <f t="shared" si="1006"/>
        <v>-12779455199.021246</v>
      </c>
      <c r="S805">
        <f t="shared" si="1007"/>
        <v>-127794.55199021247</v>
      </c>
      <c r="T805">
        <f t="shared" si="1008"/>
        <v>-127.79455199021247</v>
      </c>
    </row>
    <row r="806" spans="1:20" x14ac:dyDescent="0.25">
      <c r="A806" s="5">
        <v>43787</v>
      </c>
      <c r="B806">
        <v>9.7249999999999995E-4</v>
      </c>
      <c r="C806">
        <v>9.7989999999999991E-4</v>
      </c>
      <c r="D806">
        <v>8.051E-4</v>
      </c>
      <c r="E806">
        <v>8.8270000000000004E-4</v>
      </c>
      <c r="F806">
        <v>1434687375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-0.1121281464530883</v>
      </c>
      <c r="Q806">
        <f t="shared" si="1005"/>
        <v>-160868836.09839681</v>
      </c>
      <c r="R806">
        <f t="shared" si="1006"/>
        <v>-13138006984.174452</v>
      </c>
      <c r="S806">
        <f t="shared" si="1007"/>
        <v>-131380.06984174452</v>
      </c>
      <c r="T806">
        <f t="shared" si="1008"/>
        <v>-131.38006984174453</v>
      </c>
    </row>
    <row r="807" spans="1:20" x14ac:dyDescent="0.25">
      <c r="A807" s="5">
        <v>43786</v>
      </c>
      <c r="B807">
        <v>9.8010000000000002E-4</v>
      </c>
      <c r="C807">
        <v>1.0081999999999999E-3</v>
      </c>
      <c r="D807">
        <v>9.6880000000000002E-4</v>
      </c>
      <c r="E807">
        <v>9.7249999999999995E-4</v>
      </c>
      <c r="F807">
        <v>248444195</v>
      </c>
      <c r="G807">
        <v>0</v>
      </c>
      <c r="L807" t="s">
        <v>8</v>
      </c>
      <c r="M807" t="s">
        <v>8</v>
      </c>
      <c r="N807" t="s">
        <v>8</v>
      </c>
      <c r="P807">
        <f t="shared" si="1004"/>
        <v>-0.81218274111675437</v>
      </c>
      <c r="Q807">
        <f t="shared" si="1005"/>
        <v>-201782087.30964544</v>
      </c>
      <c r="R807">
        <f t="shared" si="1006"/>
        <v>-12977138148.076056</v>
      </c>
      <c r="S807">
        <f t="shared" si="1007"/>
        <v>-129771.38148076055</v>
      </c>
      <c r="T807">
        <f t="shared" si="1008"/>
        <v>-129.77138148076054</v>
      </c>
    </row>
    <row r="808" spans="1:20" x14ac:dyDescent="0.25">
      <c r="A808" s="5">
        <v>43785</v>
      </c>
      <c r="B808">
        <v>9.8700000000000003E-4</v>
      </c>
      <c r="C808">
        <v>9.9989999999999996E-4</v>
      </c>
      <c r="D808">
        <v>9.7059999999999996E-4</v>
      </c>
      <c r="E808">
        <v>9.8010000000000002E-4</v>
      </c>
      <c r="F808">
        <v>290470181</v>
      </c>
      <c r="G808">
        <v>0</v>
      </c>
      <c r="L808" t="s">
        <v>8</v>
      </c>
      <c r="M808" t="s">
        <v>8</v>
      </c>
      <c r="N808" t="s">
        <v>8</v>
      </c>
      <c r="P808">
        <f t="shared" si="1004"/>
        <v>-0.35153583617746992</v>
      </c>
      <c r="Q808">
        <f t="shared" si="1005"/>
        <v>-102110677.96245603</v>
      </c>
      <c r="R808">
        <f t="shared" si="1006"/>
        <v>-12775356060.766411</v>
      </c>
      <c r="S808">
        <f t="shared" si="1007"/>
        <v>-127753.56060766411</v>
      </c>
      <c r="T808">
        <f t="shared" si="1008"/>
        <v>-127.75356060766411</v>
      </c>
    </row>
    <row r="809" spans="1:20" x14ac:dyDescent="0.25">
      <c r="A809" s="5">
        <v>43784</v>
      </c>
      <c r="B809">
        <v>9.7959999999999996E-4</v>
      </c>
      <c r="C809">
        <v>1.0353000000000001E-3</v>
      </c>
      <c r="D809">
        <v>9.6219999999999997E-4</v>
      </c>
      <c r="E809">
        <v>9.8700000000000003E-4</v>
      </c>
      <c r="F809">
        <v>602540949</v>
      </c>
      <c r="G809">
        <v>0</v>
      </c>
      <c r="L809" t="s">
        <v>8</v>
      </c>
      <c r="M809" t="s">
        <v>8</v>
      </c>
      <c r="N809" t="s">
        <v>8</v>
      </c>
      <c r="P809">
        <f t="shared" si="1004"/>
        <v>-0.32147742818057379</v>
      </c>
      <c r="Q809">
        <f t="shared" si="1005"/>
        <v>-193703314.65800229</v>
      </c>
      <c r="R809">
        <f t="shared" si="1006"/>
        <v>-12673245382.803955</v>
      </c>
      <c r="S809">
        <f t="shared" si="1007"/>
        <v>-126732.45382803955</v>
      </c>
      <c r="T809">
        <f t="shared" si="1008"/>
        <v>-126.73245382803955</v>
      </c>
    </row>
    <row r="810" spans="1:20" x14ac:dyDescent="0.25">
      <c r="A810" s="5">
        <v>43783</v>
      </c>
      <c r="B810">
        <v>1.0114E-3</v>
      </c>
      <c r="C810">
        <v>1.0143000000000001E-3</v>
      </c>
      <c r="D810">
        <v>9.6310000000000005E-4</v>
      </c>
      <c r="E810">
        <v>9.7959999999999996E-4</v>
      </c>
      <c r="F810">
        <v>729700188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-0.35546875000000405</v>
      </c>
      <c r="Q810">
        <f t="shared" si="1005"/>
        <v>-259385613.70312795</v>
      </c>
      <c r="R810">
        <f t="shared" si="1006"/>
        <v>-12479542068.145952</v>
      </c>
      <c r="S810">
        <f t="shared" si="1007"/>
        <v>-124795.42068145952</v>
      </c>
      <c r="T810">
        <f t="shared" si="1008"/>
        <v>-124.79542068145952</v>
      </c>
    </row>
    <row r="811" spans="1:20" x14ac:dyDescent="0.25">
      <c r="A811" s="5">
        <v>43782</v>
      </c>
      <c r="B811">
        <v>1.0314E-3</v>
      </c>
      <c r="C811">
        <v>1.0544E-3</v>
      </c>
      <c r="D811">
        <v>9.9700000000000006E-4</v>
      </c>
      <c r="E811">
        <v>1.0061E-3</v>
      </c>
      <c r="F811">
        <v>733775982</v>
      </c>
      <c r="G811">
        <v>0</v>
      </c>
      <c r="L811" t="s">
        <v>8</v>
      </c>
      <c r="M811" t="s">
        <v>8</v>
      </c>
      <c r="N811" t="s">
        <v>8</v>
      </c>
      <c r="P811">
        <f t="shared" si="1004"/>
        <v>-0.68292682926829429</v>
      </c>
      <c r="Q811">
        <f t="shared" si="1005"/>
        <v>-501115304.78048897</v>
      </c>
      <c r="R811">
        <f t="shared" si="1006"/>
        <v>-12220156454.442823</v>
      </c>
      <c r="S811">
        <f t="shared" si="1007"/>
        <v>-122201.56454442823</v>
      </c>
      <c r="T811">
        <f t="shared" si="1008"/>
        <v>-122.20156454442822</v>
      </c>
    </row>
    <row r="812" spans="1:20" x14ac:dyDescent="0.25">
      <c r="A812" s="5">
        <v>43781</v>
      </c>
      <c r="B812">
        <v>9.6029999999999998E-4</v>
      </c>
      <c r="C812">
        <v>1.0548000000000001E-3</v>
      </c>
      <c r="D812">
        <v>9.2929999999999998E-4</v>
      </c>
      <c r="E812">
        <v>1.0314E-3</v>
      </c>
      <c r="F812">
        <v>1743340329</v>
      </c>
      <c r="G812">
        <v>0</v>
      </c>
      <c r="L812" t="s">
        <v>8</v>
      </c>
      <c r="M812" t="s">
        <v>8</v>
      </c>
      <c r="N812" t="s">
        <v>8</v>
      </c>
      <c r="P812">
        <f t="shared" si="1004"/>
        <v>0.62709163346613528</v>
      </c>
      <c r="Q812">
        <f t="shared" si="1005"/>
        <v>1093234134.5999997</v>
      </c>
      <c r="R812">
        <f t="shared" si="1006"/>
        <v>-11719041149.662334</v>
      </c>
      <c r="S812">
        <f t="shared" si="1007"/>
        <v>-117190.41149662335</v>
      </c>
      <c r="T812">
        <f t="shared" si="1008"/>
        <v>-117.19041149662334</v>
      </c>
    </row>
    <row r="813" spans="1:20" x14ac:dyDescent="0.25">
      <c r="A813" s="5">
        <v>43780</v>
      </c>
      <c r="B813">
        <v>9.7269999999999995E-4</v>
      </c>
      <c r="C813">
        <v>9.8879999999999997E-4</v>
      </c>
      <c r="D813">
        <v>9.4039999999999998E-4</v>
      </c>
      <c r="E813">
        <v>9.6170000000000001E-4</v>
      </c>
      <c r="F813">
        <v>310176087</v>
      </c>
      <c r="G813">
        <v>0</v>
      </c>
      <c r="L813" t="s">
        <v>8</v>
      </c>
      <c r="M813" t="s">
        <v>8</v>
      </c>
      <c r="N813" t="s">
        <v>8</v>
      </c>
      <c r="P813">
        <f t="shared" si="1004"/>
        <v>-0.11983471074380013</v>
      </c>
      <c r="Q813">
        <f t="shared" si="1005"/>
        <v>-37169861.665288784</v>
      </c>
      <c r="R813">
        <f t="shared" si="1006"/>
        <v>-12812275284.262335</v>
      </c>
      <c r="S813">
        <f t="shared" si="1007"/>
        <v>-128122.75284262335</v>
      </c>
      <c r="T813">
        <f t="shared" si="1008"/>
        <v>-128.12275284262336</v>
      </c>
    </row>
    <row r="814" spans="1:20" x14ac:dyDescent="0.25">
      <c r="A814" s="5">
        <v>43779</v>
      </c>
      <c r="B814">
        <v>9.4720000000000004E-4</v>
      </c>
      <c r="C814">
        <v>9.7999999999999997E-4</v>
      </c>
      <c r="D814">
        <v>9.3970000000000002E-4</v>
      </c>
      <c r="E814">
        <v>9.7210000000000005E-4</v>
      </c>
      <c r="F814">
        <v>358095218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0.60794044665012748</v>
      </c>
      <c r="Q814">
        <f t="shared" si="1005"/>
        <v>217700566.77419478</v>
      </c>
      <c r="R814">
        <f t="shared" si="1006"/>
        <v>-12775105422.597046</v>
      </c>
      <c r="S814">
        <f t="shared" si="1007"/>
        <v>-127751.05422597045</v>
      </c>
      <c r="T814">
        <f t="shared" si="1008"/>
        <v>-127.75105422597045</v>
      </c>
    </row>
    <row r="815" spans="1:20" x14ac:dyDescent="0.25">
      <c r="A815" s="5">
        <v>43778</v>
      </c>
      <c r="B815">
        <v>9.4519999999999999E-4</v>
      </c>
      <c r="C815">
        <v>9.6790000000000005E-4</v>
      </c>
      <c r="D815">
        <v>9.3519999999999996E-4</v>
      </c>
      <c r="E815">
        <v>9.4720000000000004E-4</v>
      </c>
      <c r="F815">
        <v>309094370</v>
      </c>
      <c r="G815">
        <v>0</v>
      </c>
      <c r="L815" t="s">
        <v>8</v>
      </c>
      <c r="M815" t="s">
        <v>8</v>
      </c>
      <c r="N815" t="s">
        <v>8</v>
      </c>
      <c r="P815">
        <f t="shared" si="1004"/>
        <v>-0.26605504587155709</v>
      </c>
      <c r="Q815">
        <f t="shared" si="1005"/>
        <v>-82236116.788990036</v>
      </c>
      <c r="R815">
        <f t="shared" si="1006"/>
        <v>-12992805989.371241</v>
      </c>
      <c r="S815">
        <f t="shared" si="1007"/>
        <v>-129928.0598937124</v>
      </c>
      <c r="T815">
        <f t="shared" si="1008"/>
        <v>-129.9280598937124</v>
      </c>
    </row>
    <row r="816" spans="1:20" x14ac:dyDescent="0.25">
      <c r="A816" s="5">
        <v>43777</v>
      </c>
      <c r="B816">
        <v>9.8510000000000004E-4</v>
      </c>
      <c r="C816">
        <v>9.9500000000000001E-4</v>
      </c>
      <c r="D816">
        <v>9.211E-4</v>
      </c>
      <c r="E816">
        <v>9.4760000000000005E-4</v>
      </c>
      <c r="F816">
        <v>749419467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-0.28281461434370647</v>
      </c>
      <c r="Q816">
        <f t="shared" si="1005"/>
        <v>-211946777.54127106</v>
      </c>
      <c r="R816">
        <f t="shared" si="1006"/>
        <v>-12910569872.582251</v>
      </c>
      <c r="S816">
        <f t="shared" si="1007"/>
        <v>-129105.69872582251</v>
      </c>
      <c r="T816">
        <f t="shared" si="1008"/>
        <v>-129.10569872582252</v>
      </c>
    </row>
    <row r="817" spans="1:20" x14ac:dyDescent="0.25">
      <c r="A817" s="5">
        <v>43776</v>
      </c>
      <c r="B817">
        <v>9.41E-4</v>
      </c>
      <c r="C817">
        <v>1.0482E-3</v>
      </c>
      <c r="D817">
        <v>9.41E-4</v>
      </c>
      <c r="E817">
        <v>9.8510000000000004E-4</v>
      </c>
      <c r="F817">
        <v>1209682595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-0.17723880597014849</v>
      </c>
      <c r="Q817">
        <f t="shared" si="1005"/>
        <v>-214402698.74067071</v>
      </c>
      <c r="R817">
        <f t="shared" si="1006"/>
        <v>-12698623095.040979</v>
      </c>
      <c r="S817">
        <f t="shared" si="1007"/>
        <v>-126986.23095040979</v>
      </c>
      <c r="T817">
        <f t="shared" si="1008"/>
        <v>-126.98623095040979</v>
      </c>
    </row>
    <row r="818" spans="1:20" x14ac:dyDescent="0.25">
      <c r="A818" s="5">
        <v>43775</v>
      </c>
      <c r="B818">
        <v>9.4180000000000002E-4</v>
      </c>
      <c r="C818">
        <v>9.5699999999999995E-4</v>
      </c>
      <c r="D818">
        <v>9.3340000000000003E-4</v>
      </c>
      <c r="E818">
        <v>9.4010000000000003E-4</v>
      </c>
      <c r="F818">
        <v>458112253</v>
      </c>
      <c r="G818">
        <v>0</v>
      </c>
      <c r="L818" t="s">
        <v>7</v>
      </c>
      <c r="M818" t="s">
        <v>7</v>
      </c>
      <c r="N818" t="s">
        <v>8</v>
      </c>
      <c r="P818">
        <f t="shared" si="1004"/>
        <v>-0.4322033898305066</v>
      </c>
      <c r="Q818">
        <f t="shared" si="1005"/>
        <v>-197997668.66949067</v>
      </c>
      <c r="R818">
        <f t="shared" si="1006"/>
        <v>-12484220396.300308</v>
      </c>
      <c r="S818">
        <f t="shared" si="1007"/>
        <v>-124842.20396300308</v>
      </c>
      <c r="T818">
        <f t="shared" si="1008"/>
        <v>-124.84220396300307</v>
      </c>
    </row>
    <row r="819" spans="1:20" x14ac:dyDescent="0.25">
      <c r="A819" s="5">
        <v>43774</v>
      </c>
      <c r="B819">
        <v>9.1699999999999995E-4</v>
      </c>
      <c r="C819">
        <v>9.7320000000000002E-4</v>
      </c>
      <c r="D819">
        <v>9.0760000000000005E-4</v>
      </c>
      <c r="E819">
        <v>9.4189999999999996E-4</v>
      </c>
      <c r="F819">
        <v>1165210983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4.5731707317070998E-2</v>
      </c>
      <c r="Q819">
        <f t="shared" si="1005"/>
        <v>53287087.637192592</v>
      </c>
      <c r="R819">
        <f t="shared" si="1006"/>
        <v>-12286222727.630817</v>
      </c>
      <c r="S819">
        <f t="shared" si="1007"/>
        <v>-122862.22727630817</v>
      </c>
      <c r="T819">
        <f t="shared" si="1008"/>
        <v>-122.86222727630818</v>
      </c>
    </row>
    <row r="820" spans="1:20" x14ac:dyDescent="0.25">
      <c r="A820" s="5">
        <v>43773</v>
      </c>
      <c r="B820">
        <v>9.0589999999999996E-4</v>
      </c>
      <c r="C820">
        <v>9.4700000000000003E-4</v>
      </c>
      <c r="D820">
        <v>8.9999999999999998E-4</v>
      </c>
      <c r="E820">
        <v>9.1690000000000001E-4</v>
      </c>
      <c r="F820">
        <v>858492784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-0.28085106382978681</v>
      </c>
      <c r="Q820">
        <f t="shared" si="1005"/>
        <v>-241108611.67659539</v>
      </c>
      <c r="R820">
        <f t="shared" si="1006"/>
        <v>-12339509815.268009</v>
      </c>
      <c r="S820">
        <f t="shared" si="1007"/>
        <v>-123395.09815268009</v>
      </c>
      <c r="T820">
        <f t="shared" si="1008"/>
        <v>-123.39509815268009</v>
      </c>
    </row>
    <row r="821" spans="1:20" x14ac:dyDescent="0.25">
      <c r="A821" s="5">
        <v>43772</v>
      </c>
      <c r="B821">
        <v>9.0499999999999999E-4</v>
      </c>
      <c r="C821">
        <v>9.1290000000000002E-4</v>
      </c>
      <c r="D821">
        <v>8.8999999999999995E-4</v>
      </c>
      <c r="E821">
        <v>9.0499999999999999E-4</v>
      </c>
      <c r="F821">
        <v>344534602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0.31004366812227024</v>
      </c>
      <c r="Q821">
        <f t="shared" si="1005"/>
        <v>106820771.79912646</v>
      </c>
      <c r="R821">
        <f t="shared" si="1006"/>
        <v>-12098401203.591413</v>
      </c>
      <c r="S821">
        <f t="shared" si="1007"/>
        <v>-120984.01203591413</v>
      </c>
      <c r="T821">
        <f t="shared" si="1008"/>
        <v>-120.98401203591413</v>
      </c>
    </row>
    <row r="822" spans="1:20" x14ac:dyDescent="0.25">
      <c r="A822" s="5">
        <v>43771</v>
      </c>
      <c r="B822">
        <v>9.1810000000000004E-4</v>
      </c>
      <c r="C822">
        <v>9.1810000000000004E-4</v>
      </c>
      <c r="D822">
        <v>9.0240000000000003E-4</v>
      </c>
      <c r="E822">
        <v>9.079E-4</v>
      </c>
      <c r="F822">
        <v>277333283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-0.29936305732484453</v>
      </c>
      <c r="Q822">
        <f t="shared" si="1005"/>
        <v>-83023339.496816337</v>
      </c>
      <c r="R822">
        <f t="shared" si="1006"/>
        <v>-12205221975.390539</v>
      </c>
      <c r="S822">
        <f t="shared" si="1007"/>
        <v>-122052.21975390539</v>
      </c>
      <c r="T822">
        <f t="shared" si="1008"/>
        <v>-122.05221975390539</v>
      </c>
    </row>
    <row r="823" spans="1:20" x14ac:dyDescent="0.25">
      <c r="A823" s="5">
        <v>43770</v>
      </c>
      <c r="B823">
        <v>9.1180000000000005E-4</v>
      </c>
      <c r="C823">
        <v>9.2699999999999998E-4</v>
      </c>
      <c r="D823">
        <v>8.9530000000000002E-4</v>
      </c>
      <c r="E823">
        <v>9.1810000000000004E-4</v>
      </c>
      <c r="F823">
        <v>446460903</v>
      </c>
      <c r="G823">
        <v>0</v>
      </c>
      <c r="L823" t="s">
        <v>8</v>
      </c>
      <c r="M823" t="s">
        <v>7</v>
      </c>
      <c r="N823" t="s">
        <v>8</v>
      </c>
      <c r="P823">
        <f t="shared" si="1004"/>
        <v>0.4384858044164065</v>
      </c>
      <c r="Q823">
        <f t="shared" si="1005"/>
        <v>195766768.19243023</v>
      </c>
      <c r="R823">
        <f t="shared" si="1006"/>
        <v>-12122198635.893723</v>
      </c>
      <c r="S823">
        <f t="shared" si="1007"/>
        <v>-121221.98635893723</v>
      </c>
      <c r="T823">
        <f t="shared" si="1008"/>
        <v>-121.22198635893723</v>
      </c>
    </row>
    <row r="824" spans="1:20" x14ac:dyDescent="0.25">
      <c r="A824" s="5">
        <v>43769</v>
      </c>
      <c r="B824">
        <v>9.1600000000000004E-4</v>
      </c>
      <c r="C824">
        <v>9.2389999999999996E-4</v>
      </c>
      <c r="D824">
        <v>8.8060000000000005E-4</v>
      </c>
      <c r="E824">
        <v>9.1189999999999999E-4</v>
      </c>
      <c r="F824">
        <v>377439956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0.44572748267898427</v>
      </c>
      <c r="Q824">
        <f t="shared" si="1005"/>
        <v>168235361.45034659</v>
      </c>
      <c r="R824">
        <f t="shared" si="1006"/>
        <v>-12317965404.086153</v>
      </c>
      <c r="S824">
        <f t="shared" si="1007"/>
        <v>-123179.65404086153</v>
      </c>
      <c r="T824">
        <f t="shared" si="1008"/>
        <v>-123.17965404086152</v>
      </c>
    </row>
    <row r="825" spans="1:20" x14ac:dyDescent="0.25">
      <c r="A825" s="5">
        <v>43768</v>
      </c>
      <c r="B825">
        <v>9.4289999999999999E-4</v>
      </c>
      <c r="C825">
        <v>9.5E-4</v>
      </c>
      <c r="D825">
        <v>8.9300000000000002E-4</v>
      </c>
      <c r="E825">
        <v>9.1279999999999996E-4</v>
      </c>
      <c r="F825">
        <v>543230696</v>
      </c>
      <c r="G825">
        <v>0</v>
      </c>
      <c r="L825" t="s">
        <v>8</v>
      </c>
      <c r="M825" t="s">
        <v>7</v>
      </c>
      <c r="N825" t="s">
        <v>8</v>
      </c>
      <c r="P825">
        <f t="shared" si="1004"/>
        <v>-0.30526315789473868</v>
      </c>
      <c r="Q825">
        <f t="shared" si="1005"/>
        <v>-165828317.72631678</v>
      </c>
      <c r="R825">
        <f t="shared" si="1006"/>
        <v>-12486200765.536499</v>
      </c>
      <c r="S825">
        <f t="shared" si="1007"/>
        <v>-124862.00765536499</v>
      </c>
      <c r="T825">
        <f t="shared" si="1008"/>
        <v>-124.86200765536499</v>
      </c>
    </row>
    <row r="826" spans="1:20" x14ac:dyDescent="0.25">
      <c r="A826" s="5">
        <v>43767</v>
      </c>
      <c r="B826">
        <v>9.1E-4</v>
      </c>
      <c r="C826">
        <v>9.5399999999999999E-4</v>
      </c>
      <c r="D826">
        <v>9.0640000000000002E-4</v>
      </c>
      <c r="E826">
        <v>9.458E-4</v>
      </c>
      <c r="F826">
        <v>659193556</v>
      </c>
      <c r="G826">
        <v>0</v>
      </c>
      <c r="L826" t="s">
        <v>7</v>
      </c>
      <c r="M826" t="s">
        <v>7</v>
      </c>
      <c r="N826" t="s">
        <v>8</v>
      </c>
      <c r="P826">
        <f t="shared" si="1004"/>
        <v>0.65546218487395003</v>
      </c>
      <c r="Q826">
        <f t="shared" si="1005"/>
        <v>432076448.47058851</v>
      </c>
      <c r="R826">
        <f t="shared" si="1006"/>
        <v>-12320372447.810183</v>
      </c>
      <c r="S826">
        <f t="shared" si="1007"/>
        <v>-123203.72447810182</v>
      </c>
      <c r="T826">
        <f t="shared" si="1008"/>
        <v>-123.20372447810182</v>
      </c>
    </row>
    <row r="827" spans="1:20" x14ac:dyDescent="0.25">
      <c r="A827" s="5">
        <v>43766</v>
      </c>
      <c r="B827">
        <v>9.3309999999999997E-4</v>
      </c>
      <c r="C827">
        <v>9.967000000000001E-4</v>
      </c>
      <c r="D827">
        <v>9.0629999999999997E-4</v>
      </c>
      <c r="E827">
        <v>9.1E-4</v>
      </c>
      <c r="F827">
        <v>1020821038</v>
      </c>
      <c r="G827">
        <v>0</v>
      </c>
      <c r="L827" t="s">
        <v>8</v>
      </c>
      <c r="M827" t="s">
        <v>7</v>
      </c>
      <c r="N827" t="s">
        <v>8</v>
      </c>
      <c r="P827">
        <f t="shared" si="1004"/>
        <v>-0.91814159292035336</v>
      </c>
      <c r="Q827">
        <f t="shared" si="1005"/>
        <v>-937258253.9159286</v>
      </c>
      <c r="R827">
        <f t="shared" si="1006"/>
        <v>-12752448896.280771</v>
      </c>
      <c r="S827">
        <f t="shared" si="1007"/>
        <v>-127524.48896280771</v>
      </c>
      <c r="T827">
        <f t="shared" si="1008"/>
        <v>-127.52448896280771</v>
      </c>
    </row>
    <row r="828" spans="1:20" x14ac:dyDescent="0.25">
      <c r="A828" s="5">
        <v>43765</v>
      </c>
      <c r="B828">
        <v>9.2420000000000002E-4</v>
      </c>
      <c r="C828">
        <v>9.4799999999999995E-4</v>
      </c>
      <c r="D828">
        <v>8.7200000000000005E-4</v>
      </c>
      <c r="E828">
        <v>9.3499999999999996E-4</v>
      </c>
      <c r="F828">
        <v>820968073</v>
      </c>
      <c r="G828">
        <v>0</v>
      </c>
      <c r="L828" t="s">
        <v>7</v>
      </c>
      <c r="M828" t="s">
        <v>7</v>
      </c>
      <c r="N828" t="s">
        <v>8</v>
      </c>
      <c r="P828">
        <f t="shared" si="1004"/>
        <v>0.65789473684210509</v>
      </c>
      <c r="Q828">
        <f t="shared" si="1005"/>
        <v>540110574.34210515</v>
      </c>
      <c r="R828">
        <f t="shared" si="1006"/>
        <v>-11815190642.364843</v>
      </c>
      <c r="S828">
        <f t="shared" si="1007"/>
        <v>-118151.90642364843</v>
      </c>
      <c r="T828">
        <f t="shared" si="1008"/>
        <v>-118.15190642364843</v>
      </c>
    </row>
    <row r="829" spans="1:20" x14ac:dyDescent="0.25">
      <c r="A829" s="5">
        <v>43764</v>
      </c>
      <c r="B829">
        <v>9.5390000000000004E-4</v>
      </c>
      <c r="C829">
        <v>1.0399999999999999E-3</v>
      </c>
      <c r="D829">
        <v>8.6589999999999996E-4</v>
      </c>
      <c r="E829">
        <v>9.2650000000000002E-4</v>
      </c>
      <c r="F829">
        <v>1561454007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-0.30384836300976359</v>
      </c>
      <c r="Q829">
        <f t="shared" si="1005"/>
        <v>-474445243.94198596</v>
      </c>
      <c r="R829">
        <f t="shared" si="1006"/>
        <v>-12355301216.706949</v>
      </c>
      <c r="S829">
        <f t="shared" si="1007"/>
        <v>-123553.01216706949</v>
      </c>
      <c r="T829">
        <f t="shared" si="1008"/>
        <v>-123.5530121670695</v>
      </c>
    </row>
    <row r="830" spans="1:20" x14ac:dyDescent="0.25">
      <c r="A830" s="5">
        <v>43763</v>
      </c>
      <c r="B830">
        <v>9.0300000000000005E-4</v>
      </c>
      <c r="C830">
        <v>9.6860000000000002E-4</v>
      </c>
      <c r="D830">
        <v>8.8999999999999995E-4</v>
      </c>
      <c r="E830">
        <v>9.5390000000000004E-4</v>
      </c>
      <c r="F830">
        <v>1230092703</v>
      </c>
      <c r="G830">
        <v>0</v>
      </c>
      <c r="L830" t="s">
        <v>7</v>
      </c>
      <c r="M830" t="s">
        <v>7</v>
      </c>
      <c r="N830" t="s">
        <v>8</v>
      </c>
      <c r="P830">
        <f t="shared" si="1004"/>
        <v>0.62595419847328337</v>
      </c>
      <c r="Q830">
        <f t="shared" si="1005"/>
        <v>769981691.95419967</v>
      </c>
      <c r="R830">
        <f t="shared" si="1006"/>
        <v>-11880855972.764963</v>
      </c>
      <c r="S830">
        <f t="shared" si="1007"/>
        <v>-118808.55972764963</v>
      </c>
      <c r="T830">
        <f t="shared" si="1008"/>
        <v>-118.80855972764962</v>
      </c>
    </row>
    <row r="831" spans="1:20" x14ac:dyDescent="0.25">
      <c r="A831" s="5">
        <v>43762</v>
      </c>
      <c r="B831">
        <v>8.6819999999999996E-4</v>
      </c>
      <c r="C831">
        <v>9.299E-4</v>
      </c>
      <c r="D831">
        <v>8.4999999999999995E-4</v>
      </c>
      <c r="E831">
        <v>9.0320000000000005E-4</v>
      </c>
      <c r="F831">
        <v>817323208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0.33166458072590915</v>
      </c>
      <c r="Q831">
        <f t="shared" ref="Q831:Q894" si="1010">F831*P831</f>
        <v>271077159.09887505</v>
      </c>
      <c r="R831">
        <f t="shared" ref="R831:R894" si="1011">R832+Q831</f>
        <v>-12650837664.719162</v>
      </c>
      <c r="S831">
        <f t="shared" ref="S831:S894" si="1012">R831/100000</f>
        <v>-126508.37664719162</v>
      </c>
      <c r="T831">
        <f t="shared" ref="T831:T894" si="1013">S831/1000</f>
        <v>-126.50837664719161</v>
      </c>
    </row>
    <row r="832" spans="1:20" x14ac:dyDescent="0.25">
      <c r="A832" s="5">
        <v>43761</v>
      </c>
      <c r="B832">
        <v>8.7819999999999999E-4</v>
      </c>
      <c r="C832">
        <v>9.0510000000000005E-4</v>
      </c>
      <c r="D832">
        <v>8.187E-4</v>
      </c>
      <c r="E832">
        <v>8.6989999999999995E-4</v>
      </c>
      <c r="F832">
        <v>1098343366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0.18518518518518332</v>
      </c>
      <c r="Q832">
        <f t="shared" si="1010"/>
        <v>203396919.62962759</v>
      </c>
      <c r="R832">
        <f t="shared" si="1011"/>
        <v>-12921914823.818037</v>
      </c>
      <c r="S832">
        <f t="shared" si="1012"/>
        <v>-129219.14823818037</v>
      </c>
      <c r="T832">
        <f t="shared" si="1013"/>
        <v>-129.21914823818037</v>
      </c>
    </row>
    <row r="833" spans="1:20" x14ac:dyDescent="0.25">
      <c r="A833" s="5">
        <v>43760</v>
      </c>
      <c r="B833">
        <v>9.3130000000000003E-4</v>
      </c>
      <c r="C833">
        <v>9.5350000000000003E-4</v>
      </c>
      <c r="D833">
        <v>8.5729999999999997E-4</v>
      </c>
      <c r="E833">
        <v>8.7819999999999999E-4</v>
      </c>
      <c r="F833">
        <v>982469328</v>
      </c>
      <c r="G833">
        <v>0</v>
      </c>
      <c r="L833" t="s">
        <v>8</v>
      </c>
      <c r="M833" t="s">
        <v>8</v>
      </c>
      <c r="N833" t="s">
        <v>8</v>
      </c>
      <c r="P833">
        <f t="shared" si="1009"/>
        <v>-0.5654885654885653</v>
      </c>
      <c r="Q833">
        <f t="shared" si="1010"/>
        <v>-555575170.92723477</v>
      </c>
      <c r="R833">
        <f t="shared" si="1011"/>
        <v>-13125311743.447664</v>
      </c>
      <c r="S833">
        <f t="shared" si="1012"/>
        <v>-131253.11743447665</v>
      </c>
      <c r="T833">
        <f t="shared" si="1013"/>
        <v>-131.25311743447665</v>
      </c>
    </row>
    <row r="834" spans="1:20" x14ac:dyDescent="0.25">
      <c r="A834" s="5">
        <v>43759</v>
      </c>
      <c r="B834">
        <v>9.0609999999999996E-4</v>
      </c>
      <c r="C834">
        <v>9.7970000000000002E-4</v>
      </c>
      <c r="D834">
        <v>8.9400000000000005E-4</v>
      </c>
      <c r="E834">
        <v>9.3130000000000003E-4</v>
      </c>
      <c r="F834">
        <v>1256341264</v>
      </c>
      <c r="G834">
        <v>0</v>
      </c>
      <c r="L834" t="s">
        <v>7</v>
      </c>
      <c r="M834" t="s">
        <v>8</v>
      </c>
      <c r="N834" t="s">
        <v>8</v>
      </c>
      <c r="P834">
        <f t="shared" si="1009"/>
        <v>-0.12952158693115523</v>
      </c>
      <c r="Q834">
        <f t="shared" si="1010"/>
        <v>-162723314.24037343</v>
      </c>
      <c r="R834">
        <f t="shared" si="1011"/>
        <v>-12569736572.52043</v>
      </c>
      <c r="S834">
        <f t="shared" si="1012"/>
        <v>-125697.36572520429</v>
      </c>
      <c r="T834">
        <f t="shared" si="1013"/>
        <v>-125.69736572520429</v>
      </c>
    </row>
    <row r="835" spans="1:20" x14ac:dyDescent="0.25">
      <c r="A835" s="5">
        <v>43758</v>
      </c>
      <c r="B835">
        <v>9.4519999999999999E-4</v>
      </c>
      <c r="C835">
        <v>1.0238000000000001E-3</v>
      </c>
      <c r="D835">
        <v>8.8619999999999997E-4</v>
      </c>
      <c r="E835">
        <v>9.0600000000000001E-4</v>
      </c>
      <c r="F835">
        <v>2928773071</v>
      </c>
      <c r="G835">
        <v>0</v>
      </c>
      <c r="L835" t="s">
        <v>8</v>
      </c>
      <c r="M835" t="s">
        <v>8</v>
      </c>
      <c r="N835" t="s">
        <v>8</v>
      </c>
      <c r="P835">
        <f t="shared" si="1009"/>
        <v>-0.71220930232558088</v>
      </c>
      <c r="Q835">
        <f t="shared" si="1010"/>
        <v>-2085899425.566859</v>
      </c>
      <c r="R835">
        <f t="shared" si="1011"/>
        <v>-12407013258.280056</v>
      </c>
      <c r="S835">
        <f t="shared" si="1012"/>
        <v>-124070.13258280056</v>
      </c>
      <c r="T835">
        <f t="shared" si="1013"/>
        <v>-124.07013258280057</v>
      </c>
    </row>
    <row r="836" spans="1:20" x14ac:dyDescent="0.25">
      <c r="A836" s="5">
        <v>43757</v>
      </c>
      <c r="B836">
        <v>8.6370000000000001E-4</v>
      </c>
      <c r="C836">
        <v>9.6599999999999995E-4</v>
      </c>
      <c r="D836">
        <v>8.6010000000000004E-4</v>
      </c>
      <c r="E836">
        <v>9.4970000000000005E-4</v>
      </c>
      <c r="F836">
        <v>1960466798</v>
      </c>
      <c r="G836">
        <v>0</v>
      </c>
      <c r="L836" t="s">
        <v>7</v>
      </c>
      <c r="M836" t="s">
        <v>8</v>
      </c>
      <c r="N836" t="s">
        <v>8</v>
      </c>
      <c r="P836">
        <f t="shared" si="1009"/>
        <v>0.69216241737488349</v>
      </c>
      <c r="Q836">
        <f t="shared" si="1010"/>
        <v>1356961438.0868773</v>
      </c>
      <c r="R836">
        <f t="shared" si="1011"/>
        <v>-10321113832.713198</v>
      </c>
      <c r="S836">
        <f t="shared" si="1012"/>
        <v>-103211.13832713198</v>
      </c>
      <c r="T836">
        <f t="shared" si="1013"/>
        <v>-103.21113832713198</v>
      </c>
    </row>
    <row r="837" spans="1:20" x14ac:dyDescent="0.25">
      <c r="A837" s="5">
        <v>43756</v>
      </c>
      <c r="B837">
        <v>8.5950000000000002E-4</v>
      </c>
      <c r="C837">
        <v>8.8099999999999995E-4</v>
      </c>
      <c r="D837">
        <v>8.1380000000000005E-4</v>
      </c>
      <c r="E837">
        <v>8.6379999999999996E-4</v>
      </c>
      <c r="F837">
        <v>1063173665</v>
      </c>
      <c r="G837">
        <v>0</v>
      </c>
      <c r="L837" t="s">
        <v>8</v>
      </c>
      <c r="M837" t="s">
        <v>8</v>
      </c>
      <c r="N837" t="s">
        <v>8</v>
      </c>
      <c r="P837">
        <f t="shared" si="1009"/>
        <v>0.4880952380952378</v>
      </c>
      <c r="Q837">
        <f t="shared" si="1010"/>
        <v>518930003.15476161</v>
      </c>
      <c r="R837">
        <f t="shared" si="1011"/>
        <v>-11678075270.800076</v>
      </c>
      <c r="S837">
        <f t="shared" si="1012"/>
        <v>-116780.75270800076</v>
      </c>
      <c r="T837">
        <f t="shared" si="1013"/>
        <v>-116.78075270800076</v>
      </c>
    </row>
    <row r="838" spans="1:20" x14ac:dyDescent="0.25">
      <c r="A838" s="5">
        <v>43755</v>
      </c>
      <c r="B838">
        <v>7.6059999999999995E-4</v>
      </c>
      <c r="C838">
        <v>8.8559999999999995E-4</v>
      </c>
      <c r="D838">
        <v>7.6000000000000004E-4</v>
      </c>
      <c r="E838">
        <v>8.5910000000000001E-4</v>
      </c>
      <c r="F838">
        <v>889184992</v>
      </c>
      <c r="G838">
        <v>0</v>
      </c>
      <c r="L838" t="s">
        <v>7</v>
      </c>
      <c r="M838" t="s">
        <v>8</v>
      </c>
      <c r="N838" t="s">
        <v>8</v>
      </c>
      <c r="P838">
        <f t="shared" si="1009"/>
        <v>0.57802547770700707</v>
      </c>
      <c r="Q838">
        <f t="shared" si="1010"/>
        <v>513971579.77070129</v>
      </c>
      <c r="R838">
        <f t="shared" si="1011"/>
        <v>-12197005273.954838</v>
      </c>
      <c r="S838">
        <f t="shared" si="1012"/>
        <v>-121970.05273954838</v>
      </c>
      <c r="T838">
        <f t="shared" si="1013"/>
        <v>-121.97005273954838</v>
      </c>
    </row>
    <row r="839" spans="1:20" x14ac:dyDescent="0.25">
      <c r="A839" s="5">
        <v>43754</v>
      </c>
      <c r="B839">
        <v>7.9429999999999995E-4</v>
      </c>
      <c r="C839">
        <v>8.0190000000000003E-4</v>
      </c>
      <c r="D839">
        <v>7.2999999999999996E-4</v>
      </c>
      <c r="E839">
        <v>7.6059999999999995E-4</v>
      </c>
      <c r="F839">
        <v>573183879</v>
      </c>
      <c r="G839">
        <v>0</v>
      </c>
      <c r="L839" t="s">
        <v>8</v>
      </c>
      <c r="M839" t="s">
        <v>7</v>
      </c>
      <c r="N839" t="s">
        <v>8</v>
      </c>
      <c r="P839">
        <f t="shared" si="1009"/>
        <v>-0.14881780250347826</v>
      </c>
      <c r="Q839">
        <f t="shared" si="1010"/>
        <v>-85299965.303199574</v>
      </c>
      <c r="R839">
        <f t="shared" si="1011"/>
        <v>-12710976853.725538</v>
      </c>
      <c r="S839">
        <f t="shared" si="1012"/>
        <v>-127109.76853725538</v>
      </c>
      <c r="T839">
        <f t="shared" si="1013"/>
        <v>-127.10976853725538</v>
      </c>
    </row>
    <row r="840" spans="1:20" x14ac:dyDescent="0.25">
      <c r="A840" s="5">
        <v>43753</v>
      </c>
      <c r="B840">
        <v>8.0579999999999996E-4</v>
      </c>
      <c r="C840">
        <v>8.12E-4</v>
      </c>
      <c r="D840">
        <v>7.8050000000000005E-4</v>
      </c>
      <c r="E840">
        <v>7.9750000000000003E-4</v>
      </c>
      <c r="F840">
        <v>510406316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7.9365079365079694E-2</v>
      </c>
      <c r="Q840">
        <f t="shared" si="1010"/>
        <v>40508437.777777947</v>
      </c>
      <c r="R840">
        <f t="shared" si="1011"/>
        <v>-12625676888.422338</v>
      </c>
      <c r="S840">
        <f t="shared" si="1012"/>
        <v>-126256.76888422339</v>
      </c>
      <c r="T840">
        <f t="shared" si="1013"/>
        <v>-126.25676888422339</v>
      </c>
    </row>
    <row r="841" spans="1:20" x14ac:dyDescent="0.25">
      <c r="A841" s="5">
        <v>43752</v>
      </c>
      <c r="B841">
        <v>7.9989999999999998E-4</v>
      </c>
      <c r="C841">
        <v>8.1800000000000004E-4</v>
      </c>
      <c r="D841">
        <v>7.8609999999999997E-4</v>
      </c>
      <c r="E841">
        <v>8.0409999999999998E-4</v>
      </c>
      <c r="F841">
        <v>352269036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0.12852664576802281</v>
      </c>
      <c r="Q841">
        <f t="shared" si="1010"/>
        <v>45275957.605014876</v>
      </c>
      <c r="R841">
        <f t="shared" si="1011"/>
        <v>-12666185326.200117</v>
      </c>
      <c r="S841">
        <f t="shared" si="1012"/>
        <v>-126661.85326200117</v>
      </c>
      <c r="T841">
        <f t="shared" si="1013"/>
        <v>-126.66185326200117</v>
      </c>
    </row>
    <row r="842" spans="1:20" x14ac:dyDescent="0.25">
      <c r="A842" s="5">
        <v>43751</v>
      </c>
      <c r="B842">
        <v>8.0099999999999995E-4</v>
      </c>
      <c r="C842">
        <v>8.1999999999999998E-4</v>
      </c>
      <c r="D842">
        <v>7.9000000000000001E-4</v>
      </c>
      <c r="E842">
        <v>8.0429999999999998E-4</v>
      </c>
      <c r="F842">
        <v>420022711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-4.6666666666667848E-2</v>
      </c>
      <c r="Q842">
        <f t="shared" si="1010"/>
        <v>-19601059.846667163</v>
      </c>
      <c r="R842">
        <f t="shared" si="1011"/>
        <v>-12711461283.805132</v>
      </c>
      <c r="S842">
        <f t="shared" si="1012"/>
        <v>-127114.61283805133</v>
      </c>
      <c r="T842">
        <f t="shared" si="1013"/>
        <v>-127.11461283805133</v>
      </c>
    </row>
    <row r="843" spans="1:20" x14ac:dyDescent="0.25">
      <c r="A843" s="5">
        <v>43750</v>
      </c>
      <c r="B843">
        <v>7.9460000000000002E-4</v>
      </c>
      <c r="C843">
        <v>8.2649999999999998E-4</v>
      </c>
      <c r="D843">
        <v>7.9020000000000002E-4</v>
      </c>
      <c r="E843">
        <v>8.0099999999999995E-4</v>
      </c>
      <c r="F843">
        <v>393954939</v>
      </c>
      <c r="G843">
        <v>0</v>
      </c>
      <c r="L843" t="s">
        <v>8</v>
      </c>
      <c r="M843" t="s">
        <v>8</v>
      </c>
      <c r="N843" t="s">
        <v>8</v>
      </c>
      <c r="P843">
        <f t="shared" si="1009"/>
        <v>-0.40495867768595323</v>
      </c>
      <c r="Q843">
        <f t="shared" si="1010"/>
        <v>-159535471.16529036</v>
      </c>
      <c r="R843">
        <f t="shared" si="1011"/>
        <v>-12691860223.958466</v>
      </c>
      <c r="S843">
        <f t="shared" si="1012"/>
        <v>-126918.60223958465</v>
      </c>
      <c r="T843">
        <f t="shared" si="1013"/>
        <v>-126.91860223958466</v>
      </c>
    </row>
    <row r="844" spans="1:20" x14ac:dyDescent="0.25">
      <c r="A844" s="5">
        <v>43749</v>
      </c>
      <c r="B844">
        <v>8.0849999999999997E-4</v>
      </c>
      <c r="C844">
        <v>8.3230000000000001E-4</v>
      </c>
      <c r="D844">
        <v>7.7899999999999996E-4</v>
      </c>
      <c r="E844">
        <v>7.9270000000000002E-4</v>
      </c>
      <c r="F844">
        <v>677436314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-0.48592870544089872</v>
      </c>
      <c r="Q844">
        <f t="shared" si="1010"/>
        <v>-329185751.08067417</v>
      </c>
      <c r="R844">
        <f t="shared" si="1011"/>
        <v>-12532324752.793175</v>
      </c>
      <c r="S844">
        <f t="shared" si="1012"/>
        <v>-125323.24752793174</v>
      </c>
      <c r="T844">
        <f t="shared" si="1013"/>
        <v>-125.32324752793174</v>
      </c>
    </row>
    <row r="845" spans="1:20" x14ac:dyDescent="0.25">
      <c r="A845" s="5">
        <v>43748</v>
      </c>
      <c r="B845">
        <v>8.2439999999999998E-4</v>
      </c>
      <c r="C845">
        <v>8.8210000000000003E-4</v>
      </c>
      <c r="D845">
        <v>7.76E-4</v>
      </c>
      <c r="E845">
        <v>8.0849999999999997E-4</v>
      </c>
      <c r="F845">
        <v>1458449508</v>
      </c>
      <c r="G845">
        <v>0</v>
      </c>
      <c r="L845" t="s">
        <v>8</v>
      </c>
      <c r="M845" t="s">
        <v>8</v>
      </c>
      <c r="N845" t="s">
        <v>8</v>
      </c>
      <c r="P845">
        <f t="shared" si="1009"/>
        <v>-0.38737040527804018</v>
      </c>
      <c r="Q845">
        <f t="shared" si="1010"/>
        <v>-564960176.99151826</v>
      </c>
      <c r="R845">
        <f t="shared" si="1011"/>
        <v>-12203139001.712502</v>
      </c>
      <c r="S845">
        <f t="shared" si="1012"/>
        <v>-122031.39001712501</v>
      </c>
      <c r="T845">
        <f t="shared" si="1013"/>
        <v>-122.03139001712502</v>
      </c>
    </row>
    <row r="846" spans="1:20" x14ac:dyDescent="0.25">
      <c r="A846" s="5">
        <v>43747</v>
      </c>
      <c r="B846">
        <v>7.0350000000000002E-4</v>
      </c>
      <c r="C846">
        <v>8.5190000000000005E-4</v>
      </c>
      <c r="D846">
        <v>6.9839999999999995E-4</v>
      </c>
      <c r="E846">
        <v>8.2430000000000003E-4</v>
      </c>
      <c r="F846">
        <v>2183384583</v>
      </c>
      <c r="G846">
        <v>0</v>
      </c>
      <c r="L846" t="s">
        <v>7</v>
      </c>
      <c r="M846" t="s">
        <v>8</v>
      </c>
      <c r="N846" t="s">
        <v>8</v>
      </c>
      <c r="P846">
        <f t="shared" si="1009"/>
        <v>0.64039087947882734</v>
      </c>
      <c r="Q846">
        <f t="shared" si="1010"/>
        <v>1398219573.3478827</v>
      </c>
      <c r="R846">
        <f t="shared" si="1011"/>
        <v>-11638178824.720984</v>
      </c>
      <c r="S846">
        <f t="shared" si="1012"/>
        <v>-116381.78824720983</v>
      </c>
      <c r="T846">
        <f t="shared" si="1013"/>
        <v>-116.38178824720983</v>
      </c>
    </row>
    <row r="847" spans="1:20" x14ac:dyDescent="0.25">
      <c r="A847" s="5">
        <v>43746</v>
      </c>
      <c r="B847">
        <v>7.1440000000000002E-4</v>
      </c>
      <c r="C847">
        <v>7.203E-4</v>
      </c>
      <c r="D847">
        <v>6.847E-4</v>
      </c>
      <c r="E847">
        <v>7.0310000000000001E-4</v>
      </c>
      <c r="F847">
        <v>365488065</v>
      </c>
      <c r="G847">
        <v>0</v>
      </c>
      <c r="L847" t="s">
        <v>8</v>
      </c>
      <c r="M847" t="s">
        <v>7</v>
      </c>
      <c r="N847" t="s">
        <v>8</v>
      </c>
      <c r="P847">
        <f t="shared" si="1009"/>
        <v>3.3707865168540144E-2</v>
      </c>
      <c r="Q847">
        <f t="shared" si="1010"/>
        <v>12319822.415730637</v>
      </c>
      <c r="R847">
        <f t="shared" si="1011"/>
        <v>-13036398398.068867</v>
      </c>
      <c r="S847">
        <f t="shared" si="1012"/>
        <v>-130363.98398068867</v>
      </c>
      <c r="T847">
        <f t="shared" si="1013"/>
        <v>-130.36398398068869</v>
      </c>
    </row>
    <row r="848" spans="1:20" x14ac:dyDescent="0.25">
      <c r="A848" s="5">
        <v>43745</v>
      </c>
      <c r="B848">
        <v>6.8780000000000002E-4</v>
      </c>
      <c r="C848">
        <v>7.203E-4</v>
      </c>
      <c r="D848">
        <v>6.7420000000000002E-4</v>
      </c>
      <c r="E848">
        <v>7.1469999999999997E-4</v>
      </c>
      <c r="F848">
        <v>582041366</v>
      </c>
      <c r="G848">
        <v>0</v>
      </c>
      <c r="L848" t="s">
        <v>7</v>
      </c>
      <c r="M848" t="s">
        <v>7</v>
      </c>
      <c r="N848" t="s">
        <v>8</v>
      </c>
      <c r="P848">
        <f t="shared" si="1009"/>
        <v>0.75704989154012881</v>
      </c>
      <c r="Q848">
        <f t="shared" si="1010"/>
        <v>440634353.00216842</v>
      </c>
      <c r="R848">
        <f t="shared" si="1011"/>
        <v>-13048718220.484598</v>
      </c>
      <c r="S848">
        <f t="shared" si="1012"/>
        <v>-130487.18220484599</v>
      </c>
      <c r="T848">
        <f t="shared" si="1013"/>
        <v>-130.48718220484599</v>
      </c>
    </row>
    <row r="849" spans="1:20" x14ac:dyDescent="0.25">
      <c r="A849" s="5">
        <v>43744</v>
      </c>
      <c r="B849">
        <v>7.1719999999999998E-4</v>
      </c>
      <c r="C849">
        <v>7.1719999999999998E-4</v>
      </c>
      <c r="D849">
        <v>6.7420000000000002E-4</v>
      </c>
      <c r="E849">
        <v>6.9039999999999998E-4</v>
      </c>
      <c r="F849">
        <v>346831705</v>
      </c>
      <c r="G849">
        <v>0</v>
      </c>
      <c r="L849" t="s">
        <v>8</v>
      </c>
      <c r="M849" t="s">
        <v>7</v>
      </c>
      <c r="N849" t="s">
        <v>8</v>
      </c>
      <c r="P849">
        <f t="shared" si="1009"/>
        <v>-0.24651162790697792</v>
      </c>
      <c r="Q849">
        <f t="shared" si="1010"/>
        <v>-85498048.209302738</v>
      </c>
      <c r="R849">
        <f t="shared" si="1011"/>
        <v>-13489352573.486767</v>
      </c>
      <c r="S849">
        <f t="shared" si="1012"/>
        <v>-134893.52573486767</v>
      </c>
      <c r="T849">
        <f t="shared" si="1013"/>
        <v>-134.89352573486767</v>
      </c>
    </row>
    <row r="850" spans="1:20" x14ac:dyDescent="0.25">
      <c r="A850" s="5">
        <v>43743</v>
      </c>
      <c r="B850">
        <v>7.1460000000000002E-4</v>
      </c>
      <c r="C850">
        <v>7.2020000000000005E-4</v>
      </c>
      <c r="D850">
        <v>7.0399999999999998E-4</v>
      </c>
      <c r="E850">
        <v>7.1319999999999999E-4</v>
      </c>
      <c r="F850">
        <v>284838777</v>
      </c>
      <c r="G850">
        <v>0</v>
      </c>
      <c r="L850" t="s">
        <v>7</v>
      </c>
      <c r="M850" t="s">
        <v>8</v>
      </c>
      <c r="N850" t="s">
        <v>8</v>
      </c>
      <c r="P850">
        <f t="shared" si="1009"/>
        <v>0.13580246913579849</v>
      </c>
      <c r="Q850">
        <f t="shared" si="1010"/>
        <v>38681809.222221091</v>
      </c>
      <c r="R850">
        <f t="shared" si="1011"/>
        <v>-13403854525.277464</v>
      </c>
      <c r="S850">
        <f t="shared" si="1012"/>
        <v>-134038.54525277464</v>
      </c>
      <c r="T850">
        <f t="shared" si="1013"/>
        <v>-134.03854525277464</v>
      </c>
    </row>
    <row r="851" spans="1:20" x14ac:dyDescent="0.25">
      <c r="A851" s="5">
        <v>43742</v>
      </c>
      <c r="B851">
        <v>7.2340000000000002E-4</v>
      </c>
      <c r="C851">
        <v>7.2690000000000005E-4</v>
      </c>
      <c r="D851">
        <v>6.9999999999999999E-4</v>
      </c>
      <c r="E851">
        <v>7.1469999999999997E-4</v>
      </c>
      <c r="F851">
        <v>251367020</v>
      </c>
      <c r="G851">
        <v>0</v>
      </c>
      <c r="L851" t="s">
        <v>8</v>
      </c>
      <c r="M851" t="s">
        <v>8</v>
      </c>
      <c r="N851" t="s">
        <v>8</v>
      </c>
      <c r="P851">
        <f t="shared" si="1009"/>
        <v>9.2936802973973706E-2</v>
      </c>
      <c r="Q851">
        <f t="shared" si="1010"/>
        <v>23361247.211894907</v>
      </c>
      <c r="R851">
        <f t="shared" si="1011"/>
        <v>-13442536334.499685</v>
      </c>
      <c r="S851">
        <f t="shared" si="1012"/>
        <v>-134425.36334499685</v>
      </c>
      <c r="T851">
        <f t="shared" si="1013"/>
        <v>-134.42536334499684</v>
      </c>
    </row>
    <row r="852" spans="1:20" x14ac:dyDescent="0.25">
      <c r="A852" s="5">
        <v>43741</v>
      </c>
      <c r="B852">
        <v>7.3800000000000005E-4</v>
      </c>
      <c r="C852">
        <v>7.4080000000000001E-4</v>
      </c>
      <c r="D852">
        <v>7.0439999999999999E-4</v>
      </c>
      <c r="E852">
        <v>7.1869999999999996E-4</v>
      </c>
      <c r="F852">
        <v>354970029</v>
      </c>
      <c r="G852">
        <v>0</v>
      </c>
      <c r="L852" t="s">
        <v>7</v>
      </c>
      <c r="M852" t="s">
        <v>8</v>
      </c>
      <c r="N852" t="s">
        <v>8</v>
      </c>
      <c r="P852">
        <f t="shared" si="1009"/>
        <v>-0.21428571428571641</v>
      </c>
      <c r="Q852">
        <f t="shared" si="1010"/>
        <v>-76065006.214286461</v>
      </c>
      <c r="R852">
        <f t="shared" si="1011"/>
        <v>-13465897581.71158</v>
      </c>
      <c r="S852">
        <f t="shared" si="1012"/>
        <v>-134658.9758171158</v>
      </c>
      <c r="T852">
        <f t="shared" si="1013"/>
        <v>-134.65897581711582</v>
      </c>
    </row>
    <row r="853" spans="1:20" x14ac:dyDescent="0.25">
      <c r="A853" s="5">
        <v>43740</v>
      </c>
      <c r="B853">
        <v>7.3200000000000001E-4</v>
      </c>
      <c r="C853">
        <v>7.4419999999999998E-4</v>
      </c>
      <c r="D853">
        <v>7.0500000000000001E-4</v>
      </c>
      <c r="E853">
        <v>7.3800000000000005E-4</v>
      </c>
      <c r="F853">
        <v>302759083</v>
      </c>
      <c r="G853">
        <v>0</v>
      </c>
      <c r="L853" t="s">
        <v>8</v>
      </c>
      <c r="M853" t="s">
        <v>8</v>
      </c>
      <c r="N853" t="s">
        <v>8</v>
      </c>
      <c r="P853">
        <f t="shared" si="1009"/>
        <v>0.6836734693877583</v>
      </c>
      <c r="Q853">
        <f t="shared" si="1010"/>
        <v>206988352.66326627</v>
      </c>
      <c r="R853">
        <f t="shared" si="1011"/>
        <v>-13389832575.497293</v>
      </c>
      <c r="S853">
        <f t="shared" si="1012"/>
        <v>-133898.32575497293</v>
      </c>
      <c r="T853">
        <f t="shared" si="1013"/>
        <v>-133.89832575497294</v>
      </c>
    </row>
    <row r="854" spans="1:20" x14ac:dyDescent="0.25">
      <c r="A854" s="5">
        <v>43739</v>
      </c>
      <c r="B854">
        <v>6.7480000000000003E-4</v>
      </c>
      <c r="C854">
        <v>8.3000000000000001E-4</v>
      </c>
      <c r="D854">
        <v>6.6560000000000002E-4</v>
      </c>
      <c r="E854">
        <v>7.3200000000000001E-4</v>
      </c>
      <c r="F854">
        <v>1378350751</v>
      </c>
      <c r="G854">
        <v>0</v>
      </c>
      <c r="L854" t="s">
        <v>7</v>
      </c>
      <c r="M854" t="s">
        <v>8</v>
      </c>
      <c r="N854" t="s">
        <v>8</v>
      </c>
      <c r="P854">
        <f t="shared" si="1009"/>
        <v>-0.19221411192214119</v>
      </c>
      <c r="Q854">
        <f t="shared" si="1010"/>
        <v>-264938465.52068135</v>
      </c>
      <c r="R854">
        <f t="shared" si="1011"/>
        <v>-13596820928.160561</v>
      </c>
      <c r="S854">
        <f t="shared" si="1012"/>
        <v>-135968.20928160561</v>
      </c>
      <c r="T854">
        <f t="shared" si="1013"/>
        <v>-135.96820928160562</v>
      </c>
    </row>
    <row r="855" spans="1:20" x14ac:dyDescent="0.25">
      <c r="A855" s="5">
        <v>43738</v>
      </c>
      <c r="B855">
        <v>6.3909999999999998E-4</v>
      </c>
      <c r="C855">
        <v>6.8000000000000005E-4</v>
      </c>
      <c r="D855">
        <v>6.1490000000000004E-4</v>
      </c>
      <c r="E855">
        <v>6.7420000000000002E-4</v>
      </c>
      <c r="F855">
        <v>513858719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0.82181259600614343</v>
      </c>
      <c r="Q855">
        <f t="shared" si="1010"/>
        <v>422295567.84178138</v>
      </c>
      <c r="R855">
        <f t="shared" si="1011"/>
        <v>-13331882462.639879</v>
      </c>
      <c r="S855">
        <f t="shared" si="1012"/>
        <v>-133318.8246263988</v>
      </c>
      <c r="T855">
        <f t="shared" si="1013"/>
        <v>-133.31882462639879</v>
      </c>
    </row>
    <row r="856" spans="1:20" x14ac:dyDescent="0.25">
      <c r="A856" s="5">
        <v>43737</v>
      </c>
      <c r="B856">
        <v>6.6E-4</v>
      </c>
      <c r="C856">
        <v>6.6439999999999999E-4</v>
      </c>
      <c r="D856">
        <v>6.0999999999999997E-4</v>
      </c>
      <c r="E856">
        <v>6.3900000000000003E-4</v>
      </c>
      <c r="F856">
        <v>301677672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6.6176470588236877E-2</v>
      </c>
      <c r="Q856">
        <f t="shared" si="1010"/>
        <v>19963963.588235773</v>
      </c>
      <c r="R856">
        <f t="shared" si="1011"/>
        <v>-13754178030.481661</v>
      </c>
      <c r="S856">
        <f t="shared" si="1012"/>
        <v>-137541.78030481661</v>
      </c>
      <c r="T856">
        <f t="shared" si="1013"/>
        <v>-137.5417803048166</v>
      </c>
    </row>
    <row r="857" spans="1:20" x14ac:dyDescent="0.25">
      <c r="A857" s="5">
        <v>43736</v>
      </c>
      <c r="B857">
        <v>6.6080000000000002E-4</v>
      </c>
      <c r="C857">
        <v>6.8369999999999998E-4</v>
      </c>
      <c r="D857">
        <v>6.3809999999999995E-4</v>
      </c>
      <c r="E857">
        <v>6.5959999999999999E-4</v>
      </c>
      <c r="F857">
        <v>179330837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-5.70175438596481E-2</v>
      </c>
      <c r="Q857">
        <f t="shared" si="1010"/>
        <v>-10225003.864034904</v>
      </c>
      <c r="R857">
        <f t="shared" si="1011"/>
        <v>-13774141994.069897</v>
      </c>
      <c r="S857">
        <f t="shared" si="1012"/>
        <v>-137741.41994069898</v>
      </c>
      <c r="T857">
        <f t="shared" si="1013"/>
        <v>-137.74141994069899</v>
      </c>
    </row>
    <row r="858" spans="1:20" x14ac:dyDescent="0.25">
      <c r="A858" s="5">
        <v>43735</v>
      </c>
      <c r="B858">
        <v>6.5169999999999996E-4</v>
      </c>
      <c r="C858">
        <v>6.6969999999999996E-4</v>
      </c>
      <c r="D858">
        <v>5.2249999999999996E-4</v>
      </c>
      <c r="E858">
        <v>6.6080000000000002E-4</v>
      </c>
      <c r="F858">
        <v>381165474</v>
      </c>
      <c r="G858">
        <v>0</v>
      </c>
      <c r="L858" t="s">
        <v>7</v>
      </c>
      <c r="M858" t="s">
        <v>7</v>
      </c>
      <c r="N858" t="s">
        <v>7</v>
      </c>
      <c r="P858">
        <f t="shared" si="1009"/>
        <v>0.87907608695652251</v>
      </c>
      <c r="Q858">
        <f t="shared" si="1010"/>
        <v>335073453.36684811</v>
      </c>
      <c r="R858">
        <f t="shared" si="1011"/>
        <v>-13763916990.205862</v>
      </c>
      <c r="S858">
        <f t="shared" si="1012"/>
        <v>-137639.16990205861</v>
      </c>
      <c r="T858">
        <f t="shared" si="1013"/>
        <v>-137.6391699020586</v>
      </c>
    </row>
    <row r="859" spans="1:20" x14ac:dyDescent="0.25">
      <c r="A859" s="5">
        <v>43734</v>
      </c>
      <c r="B859">
        <v>6.7440000000000002E-4</v>
      </c>
      <c r="C859">
        <v>6.9300000000000004E-4</v>
      </c>
      <c r="D859">
        <v>6.1490000000000004E-4</v>
      </c>
      <c r="E859">
        <v>6.5729999999999998E-4</v>
      </c>
      <c r="F859">
        <v>395394952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8.5787451984633695E-2</v>
      </c>
      <c r="Q859">
        <f t="shared" si="1010"/>
        <v>33919925.459666543</v>
      </c>
      <c r="R859">
        <f t="shared" si="1011"/>
        <v>-14098990443.57271</v>
      </c>
      <c r="S859">
        <f t="shared" si="1012"/>
        <v>-140989.90443572711</v>
      </c>
      <c r="T859">
        <f t="shared" si="1013"/>
        <v>-140.98990443572711</v>
      </c>
    </row>
    <row r="860" spans="1:20" x14ac:dyDescent="0.25">
      <c r="A860" s="5">
        <v>43733</v>
      </c>
      <c r="B860">
        <v>6.8639999999999999E-4</v>
      </c>
      <c r="C860">
        <v>6.9700000000000003E-4</v>
      </c>
      <c r="D860">
        <v>6.1140000000000001E-4</v>
      </c>
      <c r="E860">
        <v>6.7659999999999997E-4</v>
      </c>
      <c r="F860">
        <v>618001719</v>
      </c>
      <c r="G860">
        <v>0</v>
      </c>
      <c r="L860" t="s">
        <v>7</v>
      </c>
      <c r="M860" t="s">
        <v>8</v>
      </c>
      <c r="N860" t="s">
        <v>7</v>
      </c>
      <c r="P860">
        <f t="shared" si="1009"/>
        <v>0.52336448598130703</v>
      </c>
      <c r="Q860">
        <f t="shared" si="1010"/>
        <v>323440151.99999917</v>
      </c>
      <c r="R860">
        <f t="shared" si="1011"/>
        <v>-14132910369.032377</v>
      </c>
      <c r="S860">
        <f t="shared" si="1012"/>
        <v>-141329.10369032377</v>
      </c>
      <c r="T860">
        <f t="shared" si="1013"/>
        <v>-141.32910369032376</v>
      </c>
    </row>
    <row r="861" spans="1:20" x14ac:dyDescent="0.25">
      <c r="A861" s="5">
        <v>43732</v>
      </c>
      <c r="B861">
        <v>7.8220000000000004E-4</v>
      </c>
      <c r="C861">
        <v>8.0690000000000004E-4</v>
      </c>
      <c r="D861">
        <v>5.6030000000000001E-4</v>
      </c>
      <c r="E861">
        <v>6.87E-4</v>
      </c>
      <c r="F861">
        <v>931242546</v>
      </c>
      <c r="G861">
        <v>0</v>
      </c>
      <c r="L861" t="s">
        <v>8</v>
      </c>
      <c r="M861" t="s">
        <v>7</v>
      </c>
      <c r="N861" t="s">
        <v>7</v>
      </c>
      <c r="P861">
        <f t="shared" si="1009"/>
        <v>2.7575020275749991E-2</v>
      </c>
      <c r="Q861">
        <f t="shared" si="1010"/>
        <v>25679032.087591045</v>
      </c>
      <c r="R861">
        <f t="shared" si="1011"/>
        <v>-14456350521.032377</v>
      </c>
      <c r="S861">
        <f t="shared" si="1012"/>
        <v>-144563.50521032378</v>
      </c>
      <c r="T861">
        <f t="shared" si="1013"/>
        <v>-144.5635052103238</v>
      </c>
    </row>
    <row r="862" spans="1:20" x14ac:dyDescent="0.25">
      <c r="A862" s="5">
        <v>43731</v>
      </c>
      <c r="B862">
        <v>8.2479999999999999E-4</v>
      </c>
      <c r="C862">
        <v>8.3149999999999999E-4</v>
      </c>
      <c r="D862">
        <v>7.7800000000000005E-4</v>
      </c>
      <c r="E862">
        <v>7.7959999999999998E-4</v>
      </c>
      <c r="F862">
        <v>773560339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-0.94018691588785297</v>
      </c>
      <c r="Q862">
        <f t="shared" si="1010"/>
        <v>-727291309.37757206</v>
      </c>
      <c r="R862">
        <f t="shared" si="1011"/>
        <v>-14482029553.119968</v>
      </c>
      <c r="S862">
        <f t="shared" si="1012"/>
        <v>-144820.29553119969</v>
      </c>
      <c r="T862">
        <f t="shared" si="1013"/>
        <v>-144.82029553119969</v>
      </c>
    </row>
    <row r="863" spans="1:20" x14ac:dyDescent="0.25">
      <c r="A863" s="5">
        <v>43730</v>
      </c>
      <c r="B863">
        <v>8.6180000000000002E-4</v>
      </c>
      <c r="C863">
        <v>8.6580000000000001E-4</v>
      </c>
      <c r="D863">
        <v>8.183E-4</v>
      </c>
      <c r="E863">
        <v>8.2019999999999999E-4</v>
      </c>
      <c r="F863">
        <v>323949400</v>
      </c>
      <c r="G863">
        <v>0</v>
      </c>
      <c r="L863" t="s">
        <v>8</v>
      </c>
      <c r="M863" t="s">
        <v>8</v>
      </c>
      <c r="N863" t="s">
        <v>7</v>
      </c>
      <c r="P863">
        <f t="shared" si="1009"/>
        <v>-0.92000000000000037</v>
      </c>
      <c r="Q863">
        <f t="shared" si="1010"/>
        <v>-298033448.00000012</v>
      </c>
      <c r="R863">
        <f t="shared" si="1011"/>
        <v>-13754738243.742395</v>
      </c>
      <c r="S863">
        <f t="shared" si="1012"/>
        <v>-137547.38243742395</v>
      </c>
      <c r="T863">
        <f t="shared" si="1013"/>
        <v>-137.54738243742395</v>
      </c>
    </row>
    <row r="864" spans="1:20" x14ac:dyDescent="0.25">
      <c r="A864" s="5">
        <v>43729</v>
      </c>
      <c r="B864">
        <v>8.8099999999999995E-4</v>
      </c>
      <c r="C864">
        <v>8.8540000000000005E-4</v>
      </c>
      <c r="D864">
        <v>8.5309999999999997E-4</v>
      </c>
      <c r="E864">
        <v>8.6269999999999999E-4</v>
      </c>
      <c r="F864">
        <v>241782297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-0.40557275541795712</v>
      </c>
      <c r="Q864">
        <f t="shared" si="1010"/>
        <v>-98060312.405572861</v>
      </c>
      <c r="R864">
        <f t="shared" si="1011"/>
        <v>-13456704795.742395</v>
      </c>
      <c r="S864">
        <f t="shared" si="1012"/>
        <v>-134567.04795742396</v>
      </c>
      <c r="T864">
        <f t="shared" si="1013"/>
        <v>-134.56704795742397</v>
      </c>
    </row>
    <row r="865" spans="1:20" x14ac:dyDescent="0.25">
      <c r="A865" s="5">
        <v>43728</v>
      </c>
      <c r="B865">
        <v>8.6039999999999999E-4</v>
      </c>
      <c r="C865">
        <v>9.2199999999999997E-4</v>
      </c>
      <c r="D865">
        <v>8.4820000000000002E-4</v>
      </c>
      <c r="E865">
        <v>8.8099999999999995E-4</v>
      </c>
      <c r="F865">
        <v>602360872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-0.11111111111111242</v>
      </c>
      <c r="Q865">
        <f t="shared" si="1010"/>
        <v>-66928985.777778566</v>
      </c>
      <c r="R865">
        <f t="shared" si="1011"/>
        <v>-13358644483.336823</v>
      </c>
      <c r="S865">
        <f t="shared" si="1012"/>
        <v>-133586.44483336824</v>
      </c>
      <c r="T865">
        <f t="shared" si="1013"/>
        <v>-133.58644483336823</v>
      </c>
    </row>
    <row r="866" spans="1:20" x14ac:dyDescent="0.25">
      <c r="A866" s="5">
        <v>43727</v>
      </c>
      <c r="B866">
        <v>8.8849999999999997E-4</v>
      </c>
      <c r="C866">
        <v>8.92E-4</v>
      </c>
      <c r="D866">
        <v>8.25E-4</v>
      </c>
      <c r="E866">
        <v>8.5610000000000005E-4</v>
      </c>
      <c r="F866">
        <v>658435596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-7.1641791044774625E-2</v>
      </c>
      <c r="Q866">
        <f t="shared" si="1010"/>
        <v>-47171505.385073639</v>
      </c>
      <c r="R866">
        <f t="shared" si="1011"/>
        <v>-13291715497.559044</v>
      </c>
      <c r="S866">
        <f t="shared" si="1012"/>
        <v>-132917.15497559044</v>
      </c>
      <c r="T866">
        <f t="shared" si="1013"/>
        <v>-132.91715497559045</v>
      </c>
    </row>
    <row r="867" spans="1:20" x14ac:dyDescent="0.25">
      <c r="A867" s="5">
        <v>43726</v>
      </c>
      <c r="B867">
        <v>8.4130000000000001E-4</v>
      </c>
      <c r="C867">
        <v>9.3979999999999997E-4</v>
      </c>
      <c r="D867">
        <v>8.3569999999999998E-4</v>
      </c>
      <c r="E867">
        <v>8.8849999999999997E-4</v>
      </c>
      <c r="F867">
        <v>1394966126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1.4409221902017122E-2</v>
      </c>
      <c r="Q867">
        <f t="shared" si="1010"/>
        <v>20100376.455331177</v>
      </c>
      <c r="R867">
        <f t="shared" si="1011"/>
        <v>-13244543992.173971</v>
      </c>
      <c r="S867">
        <f t="shared" si="1012"/>
        <v>-132445.43992173971</v>
      </c>
      <c r="T867">
        <f t="shared" si="1013"/>
        <v>-132.44543992173971</v>
      </c>
    </row>
    <row r="868" spans="1:20" x14ac:dyDescent="0.25">
      <c r="A868" s="5">
        <v>43725</v>
      </c>
      <c r="B868">
        <v>8.0599999999999997E-4</v>
      </c>
      <c r="C868">
        <v>8.5990000000000003E-4</v>
      </c>
      <c r="D868">
        <v>7.9750000000000003E-4</v>
      </c>
      <c r="E868">
        <v>8.3609999999999999E-4</v>
      </c>
      <c r="F868">
        <v>644095509</v>
      </c>
      <c r="G868">
        <v>0</v>
      </c>
      <c r="L868" t="s">
        <v>7</v>
      </c>
      <c r="M868" t="s">
        <v>8</v>
      </c>
      <c r="N868" t="s">
        <v>7</v>
      </c>
      <c r="P868">
        <f t="shared" si="1009"/>
        <v>0.237179487179486</v>
      </c>
      <c r="Q868">
        <f t="shared" si="1010"/>
        <v>152766242.51923001</v>
      </c>
      <c r="R868">
        <f t="shared" si="1011"/>
        <v>-13264644368.629303</v>
      </c>
      <c r="S868">
        <f t="shared" si="1012"/>
        <v>-132646.44368629303</v>
      </c>
      <c r="T868">
        <f t="shared" si="1013"/>
        <v>-132.64644368629303</v>
      </c>
    </row>
    <row r="869" spans="1:20" x14ac:dyDescent="0.25">
      <c r="A869" s="5">
        <v>43724</v>
      </c>
      <c r="B869">
        <v>7.9989999999999998E-4</v>
      </c>
      <c r="C869">
        <v>8.1499999999999997E-4</v>
      </c>
      <c r="D869">
        <v>7.9120000000000004E-4</v>
      </c>
      <c r="E869">
        <v>8.0489999999999999E-4</v>
      </c>
      <c r="F869">
        <v>345189338</v>
      </c>
      <c r="G869">
        <v>0</v>
      </c>
      <c r="L869" t="s">
        <v>8</v>
      </c>
      <c r="M869" t="s">
        <v>8</v>
      </c>
      <c r="N869" t="s">
        <v>7</v>
      </c>
      <c r="P869">
        <f t="shared" si="1009"/>
        <v>0.15126050420168025</v>
      </c>
      <c r="Q869">
        <f t="shared" si="1010"/>
        <v>52213513.310924225</v>
      </c>
      <c r="R869">
        <f t="shared" si="1011"/>
        <v>-13417410611.148533</v>
      </c>
      <c r="S869">
        <f t="shared" si="1012"/>
        <v>-134174.10611148534</v>
      </c>
      <c r="T869">
        <f t="shared" si="1013"/>
        <v>-134.17410611148534</v>
      </c>
    </row>
    <row r="870" spans="1:20" x14ac:dyDescent="0.25">
      <c r="A870" s="5">
        <v>43723</v>
      </c>
      <c r="B870">
        <v>8.0020000000000004E-4</v>
      </c>
      <c r="C870">
        <v>8.1130000000000004E-4</v>
      </c>
      <c r="D870">
        <v>7.963E-4</v>
      </c>
      <c r="E870">
        <v>7.9719999999999997E-4</v>
      </c>
      <c r="F870">
        <v>200430703</v>
      </c>
      <c r="G870">
        <v>0</v>
      </c>
      <c r="L870" t="s">
        <v>7</v>
      </c>
      <c r="M870" t="s">
        <v>8</v>
      </c>
      <c r="N870" t="s">
        <v>7</v>
      </c>
      <c r="P870">
        <f t="shared" si="1009"/>
        <v>-0.88000000000000467</v>
      </c>
      <c r="Q870">
        <f t="shared" si="1010"/>
        <v>-176379018.64000094</v>
      </c>
      <c r="R870">
        <f t="shared" si="1011"/>
        <v>-13469624124.459457</v>
      </c>
      <c r="S870">
        <f t="shared" si="1012"/>
        <v>-134696.24124459457</v>
      </c>
      <c r="T870">
        <f t="shared" si="1013"/>
        <v>-134.69624124459457</v>
      </c>
    </row>
    <row r="871" spans="1:20" x14ac:dyDescent="0.25">
      <c r="A871" s="5">
        <v>43722</v>
      </c>
      <c r="B871">
        <v>7.9299999999999998E-4</v>
      </c>
      <c r="C871">
        <v>8.0999999999999996E-4</v>
      </c>
      <c r="D871">
        <v>7.8430000000000004E-4</v>
      </c>
      <c r="E871">
        <v>7.9560000000000004E-4</v>
      </c>
      <c r="F871">
        <v>346302356</v>
      </c>
      <c r="G871">
        <v>0</v>
      </c>
      <c r="L871" t="s">
        <v>8</v>
      </c>
      <c r="M871" t="s">
        <v>8</v>
      </c>
      <c r="N871" t="s">
        <v>7</v>
      </c>
      <c r="P871">
        <f t="shared" si="1009"/>
        <v>-0.12062256809338219</v>
      </c>
      <c r="Q871">
        <f t="shared" si="1010"/>
        <v>-41771879.517508678</v>
      </c>
      <c r="R871">
        <f t="shared" si="1011"/>
        <v>-13293245105.819456</v>
      </c>
      <c r="S871">
        <f t="shared" si="1012"/>
        <v>-132932.45105819457</v>
      </c>
      <c r="T871">
        <f t="shared" si="1013"/>
        <v>-132.93245105819457</v>
      </c>
    </row>
    <row r="872" spans="1:20" x14ac:dyDescent="0.25">
      <c r="A872" s="5">
        <v>43721</v>
      </c>
      <c r="B872">
        <v>8.1800000000000004E-4</v>
      </c>
      <c r="C872">
        <v>8.3000000000000001E-4</v>
      </c>
      <c r="D872">
        <v>7.7999999999999999E-4</v>
      </c>
      <c r="E872">
        <v>7.9319999999999998E-4</v>
      </c>
      <c r="F872">
        <v>309362949</v>
      </c>
      <c r="G872">
        <v>0</v>
      </c>
      <c r="L872" t="s">
        <v>7</v>
      </c>
      <c r="M872" t="s">
        <v>8</v>
      </c>
      <c r="N872" t="s">
        <v>7</v>
      </c>
      <c r="P872">
        <f t="shared" si="1009"/>
        <v>-0.47200000000000042</v>
      </c>
      <c r="Q872">
        <f t="shared" si="1010"/>
        <v>-146019311.92800012</v>
      </c>
      <c r="R872">
        <f t="shared" si="1011"/>
        <v>-13251473226.301947</v>
      </c>
      <c r="S872">
        <f t="shared" si="1012"/>
        <v>-132514.73226301945</v>
      </c>
      <c r="T872">
        <f t="shared" si="1013"/>
        <v>-132.51473226301945</v>
      </c>
    </row>
    <row r="873" spans="1:20" x14ac:dyDescent="0.25">
      <c r="A873" s="5">
        <v>43720</v>
      </c>
      <c r="B873">
        <v>8.1749999999999998E-4</v>
      </c>
      <c r="C873">
        <v>8.3000000000000001E-4</v>
      </c>
      <c r="D873">
        <v>7.9000000000000001E-4</v>
      </c>
      <c r="E873">
        <v>8.1800000000000004E-4</v>
      </c>
      <c r="F873">
        <v>326251952</v>
      </c>
      <c r="G873">
        <v>0</v>
      </c>
      <c r="L873" t="s">
        <v>8</v>
      </c>
      <c r="M873" t="s">
        <v>8</v>
      </c>
      <c r="N873" t="s">
        <v>7</v>
      </c>
      <c r="P873">
        <f t="shared" si="1009"/>
        <v>0.40000000000000163</v>
      </c>
      <c r="Q873">
        <f t="shared" si="1010"/>
        <v>130500780.80000053</v>
      </c>
      <c r="R873">
        <f t="shared" si="1011"/>
        <v>-13105453914.373947</v>
      </c>
      <c r="S873">
        <f t="shared" si="1012"/>
        <v>-131054.53914373947</v>
      </c>
      <c r="T873">
        <f t="shared" si="1013"/>
        <v>-131.05453914373948</v>
      </c>
    </row>
    <row r="874" spans="1:20" x14ac:dyDescent="0.25">
      <c r="A874" s="5">
        <v>43719</v>
      </c>
      <c r="B874">
        <v>8.6010000000000004E-4</v>
      </c>
      <c r="C874">
        <v>8.6249999999999999E-4</v>
      </c>
      <c r="D874">
        <v>8.0999999999999996E-4</v>
      </c>
      <c r="E874">
        <v>8.1590000000000005E-4</v>
      </c>
      <c r="F874">
        <v>466912567</v>
      </c>
      <c r="G874">
        <v>0</v>
      </c>
      <c r="L874" t="s">
        <v>7</v>
      </c>
      <c r="M874" t="s">
        <v>8</v>
      </c>
      <c r="N874" t="s">
        <v>7</v>
      </c>
      <c r="P874">
        <f t="shared" si="1009"/>
        <v>-0.77523809523809195</v>
      </c>
      <c r="Q874">
        <f t="shared" si="1010"/>
        <v>-361968409.083808</v>
      </c>
      <c r="R874">
        <f t="shared" si="1011"/>
        <v>-13235954695.173948</v>
      </c>
      <c r="S874">
        <f t="shared" si="1012"/>
        <v>-132359.5469517395</v>
      </c>
      <c r="T874">
        <f t="shared" si="1013"/>
        <v>-132.3595469517395</v>
      </c>
    </row>
    <row r="875" spans="1:20" x14ac:dyDescent="0.25">
      <c r="A875" s="5">
        <v>43718</v>
      </c>
      <c r="B875">
        <v>8.4409999999999997E-4</v>
      </c>
      <c r="C875">
        <v>8.7889999999999995E-4</v>
      </c>
      <c r="D875">
        <v>8.2649999999999998E-4</v>
      </c>
      <c r="E875">
        <v>8.6030000000000004E-4</v>
      </c>
      <c r="F875">
        <v>732018559</v>
      </c>
      <c r="G875">
        <v>0</v>
      </c>
      <c r="L875" t="s">
        <v>8</v>
      </c>
      <c r="M875" t="s">
        <v>8</v>
      </c>
      <c r="N875" t="s">
        <v>7</v>
      </c>
      <c r="P875">
        <f t="shared" si="1009"/>
        <v>0.29007633587786563</v>
      </c>
      <c r="Q875">
        <f t="shared" si="1010"/>
        <v>212341261.38931519</v>
      </c>
      <c r="R875">
        <f t="shared" si="1011"/>
        <v>-12873986286.090139</v>
      </c>
      <c r="S875">
        <f t="shared" si="1012"/>
        <v>-128739.8628609014</v>
      </c>
      <c r="T875">
        <f t="shared" si="1013"/>
        <v>-128.73986286090141</v>
      </c>
    </row>
    <row r="876" spans="1:20" x14ac:dyDescent="0.25">
      <c r="A876" s="5">
        <v>43717</v>
      </c>
      <c r="B876">
        <v>8.1369999999999999E-4</v>
      </c>
      <c r="C876">
        <v>8.7889999999999995E-4</v>
      </c>
      <c r="D876">
        <v>7.8890000000000004E-4</v>
      </c>
      <c r="E876">
        <v>8.4409999999999997E-4</v>
      </c>
      <c r="F876">
        <v>864348092</v>
      </c>
      <c r="G876">
        <v>0</v>
      </c>
      <c r="L876" t="s">
        <v>7</v>
      </c>
      <c r="M876" t="s">
        <v>8</v>
      </c>
      <c r="N876" t="s">
        <v>7</v>
      </c>
      <c r="P876">
        <f t="shared" si="1009"/>
        <v>0.22666666666666638</v>
      </c>
      <c r="Q876">
        <f t="shared" si="1010"/>
        <v>195918900.85333309</v>
      </c>
      <c r="R876">
        <f t="shared" si="1011"/>
        <v>-13086327547.479454</v>
      </c>
      <c r="S876">
        <f t="shared" si="1012"/>
        <v>-130863.27547479454</v>
      </c>
      <c r="T876">
        <f t="shared" si="1013"/>
        <v>-130.86327547479453</v>
      </c>
    </row>
    <row r="877" spans="1:20" x14ac:dyDescent="0.25">
      <c r="A877" s="5">
        <v>43716</v>
      </c>
      <c r="B877">
        <v>7.9460000000000002E-4</v>
      </c>
      <c r="C877">
        <v>8.2180000000000003E-4</v>
      </c>
      <c r="D877">
        <v>7.8669999999999999E-4</v>
      </c>
      <c r="E877">
        <v>8.1490000000000002E-4</v>
      </c>
      <c r="F877">
        <v>281159740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0.60683760683760701</v>
      </c>
      <c r="Q877">
        <f t="shared" si="1010"/>
        <v>170618303.7606838</v>
      </c>
      <c r="R877">
        <f t="shared" si="1011"/>
        <v>-13282246448.332787</v>
      </c>
      <c r="S877">
        <f t="shared" si="1012"/>
        <v>-132822.46448332787</v>
      </c>
      <c r="T877">
        <f t="shared" si="1013"/>
        <v>-132.82246448332788</v>
      </c>
    </row>
    <row r="878" spans="1:20" x14ac:dyDescent="0.25">
      <c r="A878" s="5">
        <v>43715</v>
      </c>
      <c r="B878">
        <v>7.8450000000000004E-4</v>
      </c>
      <c r="C878">
        <v>8.095E-4</v>
      </c>
      <c r="D878">
        <v>7.7360000000000005E-4</v>
      </c>
      <c r="E878">
        <v>7.9949999999999997E-4</v>
      </c>
      <c r="F878">
        <v>279029925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0.44289693593314539</v>
      </c>
      <c r="Q878">
        <f t="shared" si="1010"/>
        <v>123581498.81615536</v>
      </c>
      <c r="R878">
        <f t="shared" si="1011"/>
        <v>-13452864752.09347</v>
      </c>
      <c r="S878">
        <f t="shared" si="1012"/>
        <v>-134528.6475209347</v>
      </c>
      <c r="T878">
        <f t="shared" si="1013"/>
        <v>-134.5286475209347</v>
      </c>
    </row>
    <row r="879" spans="1:20" x14ac:dyDescent="0.25">
      <c r="A879" s="5">
        <v>43714</v>
      </c>
      <c r="B879">
        <v>8.1780000000000004E-4</v>
      </c>
      <c r="C879">
        <v>8.4000000000000003E-4</v>
      </c>
      <c r="D879">
        <v>7.7300000000000003E-4</v>
      </c>
      <c r="E879">
        <v>7.8839999999999997E-4</v>
      </c>
      <c r="F879">
        <v>649725693</v>
      </c>
      <c r="G879">
        <v>0</v>
      </c>
      <c r="L879" t="s">
        <v>8</v>
      </c>
      <c r="M879" t="s">
        <v>7</v>
      </c>
      <c r="N879" t="s">
        <v>7</v>
      </c>
      <c r="P879">
        <f t="shared" si="1009"/>
        <v>-0.54029850746268837</v>
      </c>
      <c r="Q879">
        <f t="shared" si="1010"/>
        <v>-351045822.18806088</v>
      </c>
      <c r="R879">
        <f t="shared" si="1011"/>
        <v>-13576446250.909624</v>
      </c>
      <c r="S879">
        <f t="shared" si="1012"/>
        <v>-135764.46250909625</v>
      </c>
      <c r="T879">
        <f t="shared" si="1013"/>
        <v>-135.76446250909626</v>
      </c>
    </row>
    <row r="880" spans="1:20" x14ac:dyDescent="0.25">
      <c r="A880" s="5">
        <v>43713</v>
      </c>
      <c r="B880">
        <v>8.0309999999999995E-4</v>
      </c>
      <c r="C880">
        <v>8.1999999999999998E-4</v>
      </c>
      <c r="D880">
        <v>7.9000000000000001E-4</v>
      </c>
      <c r="E880">
        <v>8.1780000000000004E-4</v>
      </c>
      <c r="F880">
        <v>453643412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0.85333333333333683</v>
      </c>
      <c r="Q880">
        <f t="shared" si="1010"/>
        <v>387109044.90666825</v>
      </c>
      <c r="R880">
        <f t="shared" si="1011"/>
        <v>-13225400428.721563</v>
      </c>
      <c r="S880">
        <f t="shared" si="1012"/>
        <v>-132254.00428721562</v>
      </c>
      <c r="T880">
        <f t="shared" si="1013"/>
        <v>-132.25400428721562</v>
      </c>
    </row>
    <row r="881" spans="1:20" x14ac:dyDescent="0.25">
      <c r="A881" s="5">
        <v>43712</v>
      </c>
      <c r="B881">
        <v>7.9520000000000003E-4</v>
      </c>
      <c r="C881">
        <v>8.2319999999999995E-4</v>
      </c>
      <c r="D881">
        <v>7.8770000000000001E-4</v>
      </c>
      <c r="E881">
        <v>8.0480000000000005E-4</v>
      </c>
      <c r="F881">
        <v>405806416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-3.6619718309855526E-2</v>
      </c>
      <c r="Q881">
        <f t="shared" si="1010"/>
        <v>-14860516.642252048</v>
      </c>
      <c r="R881">
        <f t="shared" si="1011"/>
        <v>-13612509473.628231</v>
      </c>
      <c r="S881">
        <f t="shared" si="1012"/>
        <v>-136125.09473628231</v>
      </c>
      <c r="T881">
        <f t="shared" si="1013"/>
        <v>-136.12509473628231</v>
      </c>
    </row>
    <row r="882" spans="1:20" x14ac:dyDescent="0.25">
      <c r="A882" s="5">
        <v>43711</v>
      </c>
      <c r="B882">
        <v>7.9739999999999998E-4</v>
      </c>
      <c r="C882">
        <v>8.0590000000000002E-4</v>
      </c>
      <c r="D882">
        <v>7.8359999999999996E-4</v>
      </c>
      <c r="E882">
        <v>7.9100000000000004E-4</v>
      </c>
      <c r="F882">
        <v>354391777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-0.33632286995515215</v>
      </c>
      <c r="Q882">
        <f t="shared" si="1010"/>
        <v>-119190059.52914628</v>
      </c>
      <c r="R882">
        <f t="shared" si="1011"/>
        <v>-13597648956.985979</v>
      </c>
      <c r="S882">
        <f t="shared" si="1012"/>
        <v>-135976.48956985978</v>
      </c>
      <c r="T882">
        <f t="shared" si="1013"/>
        <v>-135.97648956985978</v>
      </c>
    </row>
    <row r="883" spans="1:20" x14ac:dyDescent="0.25">
      <c r="A883" s="5">
        <v>43710</v>
      </c>
      <c r="B883">
        <v>7.9060000000000003E-4</v>
      </c>
      <c r="C883">
        <v>7.9830000000000005E-4</v>
      </c>
      <c r="D883">
        <v>7.7349999999999999E-4</v>
      </c>
      <c r="E883">
        <v>7.9739999999999998E-4</v>
      </c>
      <c r="F883">
        <v>346325998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0.92741935483870375</v>
      </c>
      <c r="Q883">
        <f t="shared" si="1010"/>
        <v>321189433.62903023</v>
      </c>
      <c r="R883">
        <f t="shared" si="1011"/>
        <v>-13478458897.456833</v>
      </c>
      <c r="S883">
        <f t="shared" si="1012"/>
        <v>-134784.58897456832</v>
      </c>
      <c r="T883">
        <f t="shared" si="1013"/>
        <v>-134.78458897456832</v>
      </c>
    </row>
    <row r="884" spans="1:20" x14ac:dyDescent="0.25">
      <c r="A884" s="5">
        <v>43709</v>
      </c>
      <c r="B884">
        <v>7.9639999999999995E-4</v>
      </c>
      <c r="C884">
        <v>7.9920000000000002E-4</v>
      </c>
      <c r="D884">
        <v>7.7399999999999995E-4</v>
      </c>
      <c r="E884">
        <v>7.9120000000000004E-4</v>
      </c>
      <c r="F884">
        <v>235090208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0.36507936507936861</v>
      </c>
      <c r="Q884">
        <f t="shared" si="1010"/>
        <v>85826583.8730167</v>
      </c>
      <c r="R884">
        <f t="shared" si="1011"/>
        <v>-13799648331.085863</v>
      </c>
      <c r="S884">
        <f t="shared" si="1012"/>
        <v>-137996.48331085863</v>
      </c>
      <c r="T884">
        <f t="shared" si="1013"/>
        <v>-137.99648331085862</v>
      </c>
    </row>
    <row r="885" spans="1:20" x14ac:dyDescent="0.25">
      <c r="A885" s="5">
        <v>43708</v>
      </c>
      <c r="B885">
        <v>8.0000000000000004E-4</v>
      </c>
      <c r="C885">
        <v>8.229E-4</v>
      </c>
      <c r="D885">
        <v>7.6599999999999997E-4</v>
      </c>
      <c r="E885">
        <v>7.9279999999999997E-4</v>
      </c>
      <c r="F885">
        <v>374757872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-5.7996485061511852E-2</v>
      </c>
      <c r="Q885">
        <f t="shared" si="1010"/>
        <v>-21734639.325131971</v>
      </c>
      <c r="R885">
        <f t="shared" si="1011"/>
        <v>-13885474914.958879</v>
      </c>
      <c r="S885">
        <f t="shared" si="1012"/>
        <v>-138854.74914958878</v>
      </c>
      <c r="T885">
        <f t="shared" si="1013"/>
        <v>-138.85474914958877</v>
      </c>
    </row>
    <row r="886" spans="1:20" x14ac:dyDescent="0.25">
      <c r="A886" s="5">
        <v>43707</v>
      </c>
      <c r="B886">
        <v>7.8450000000000004E-4</v>
      </c>
      <c r="C886">
        <v>8.2969999999999995E-4</v>
      </c>
      <c r="D886">
        <v>7.7010000000000002E-4</v>
      </c>
      <c r="E886">
        <v>8.0250000000000004E-4</v>
      </c>
      <c r="F886">
        <v>458650851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8.7248322147653226E-2</v>
      </c>
      <c r="Q886">
        <f t="shared" si="1010"/>
        <v>40016517.201343298</v>
      </c>
      <c r="R886">
        <f t="shared" si="1011"/>
        <v>-13863740275.633747</v>
      </c>
      <c r="S886">
        <f t="shared" si="1012"/>
        <v>-138637.40275633748</v>
      </c>
      <c r="T886">
        <f t="shared" si="1013"/>
        <v>-138.63740275633748</v>
      </c>
    </row>
    <row r="887" spans="1:20" x14ac:dyDescent="0.25">
      <c r="A887" s="5">
        <v>43706</v>
      </c>
      <c r="B887">
        <v>7.9940000000000002E-4</v>
      </c>
      <c r="C887">
        <v>7.9969999999999998E-4</v>
      </c>
      <c r="D887">
        <v>7.5129999999999999E-4</v>
      </c>
      <c r="E887">
        <v>7.8010000000000004E-4</v>
      </c>
      <c r="F887">
        <v>646387308</v>
      </c>
      <c r="G887">
        <v>0</v>
      </c>
      <c r="L887" t="s">
        <v>8</v>
      </c>
      <c r="M887" t="s">
        <v>7</v>
      </c>
      <c r="N887" t="s">
        <v>7</v>
      </c>
      <c r="P887">
        <f t="shared" si="1009"/>
        <v>0.19008264462810162</v>
      </c>
      <c r="Q887">
        <f t="shared" si="1010"/>
        <v>122867008.95867927</v>
      </c>
      <c r="R887">
        <f t="shared" si="1011"/>
        <v>-13903756792.835091</v>
      </c>
      <c r="S887">
        <f t="shared" si="1012"/>
        <v>-139037.56792835091</v>
      </c>
      <c r="T887">
        <f t="shared" si="1013"/>
        <v>-139.03756792835091</v>
      </c>
    </row>
    <row r="888" spans="1:20" x14ac:dyDescent="0.25">
      <c r="A888" s="5">
        <v>43705</v>
      </c>
      <c r="B888">
        <v>8.5119999999999998E-4</v>
      </c>
      <c r="C888">
        <v>9.59E-4</v>
      </c>
      <c r="D888">
        <v>7.9080000000000003E-4</v>
      </c>
      <c r="E888">
        <v>7.9819999999999999E-4</v>
      </c>
      <c r="F888">
        <v>2198823854</v>
      </c>
      <c r="G888">
        <v>0</v>
      </c>
      <c r="L888" t="s">
        <v>7</v>
      </c>
      <c r="M888" t="s">
        <v>8</v>
      </c>
      <c r="N888" t="s">
        <v>7</v>
      </c>
      <c r="P888">
        <f t="shared" si="1009"/>
        <v>-0.91200951248513717</v>
      </c>
      <c r="Q888">
        <f t="shared" si="1010"/>
        <v>-2005348271.1272304</v>
      </c>
      <c r="R888">
        <f t="shared" si="1011"/>
        <v>-14026623801.79377</v>
      </c>
      <c r="S888">
        <f t="shared" si="1012"/>
        <v>-140266.23801793769</v>
      </c>
      <c r="T888">
        <f t="shared" si="1013"/>
        <v>-140.2662380179377</v>
      </c>
    </row>
    <row r="889" spans="1:20" x14ac:dyDescent="0.25">
      <c r="A889" s="5">
        <v>43704</v>
      </c>
      <c r="B889">
        <v>8.5309999999999997E-4</v>
      </c>
      <c r="C889">
        <v>8.7299999999999997E-4</v>
      </c>
      <c r="D889">
        <v>8.1999999999999998E-4</v>
      </c>
      <c r="E889">
        <v>8.499E-4</v>
      </c>
      <c r="F889">
        <v>493951132</v>
      </c>
      <c r="G889">
        <v>0</v>
      </c>
      <c r="L889" t="s">
        <v>8</v>
      </c>
      <c r="M889" t="s">
        <v>8</v>
      </c>
      <c r="N889" t="s">
        <v>7</v>
      </c>
      <c r="P889">
        <f t="shared" si="1009"/>
        <v>0.12830188679245394</v>
      </c>
      <c r="Q889">
        <f t="shared" si="1010"/>
        <v>63374862.218868472</v>
      </c>
      <c r="R889">
        <f t="shared" si="1011"/>
        <v>-12021275530.66654</v>
      </c>
      <c r="S889">
        <f t="shared" si="1012"/>
        <v>-120212.75530666541</v>
      </c>
      <c r="T889">
        <f t="shared" si="1013"/>
        <v>-120.2127553066654</v>
      </c>
    </row>
    <row r="890" spans="1:20" x14ac:dyDescent="0.25">
      <c r="A890" s="5">
        <v>43703</v>
      </c>
      <c r="B890">
        <v>8.2339999999999996E-4</v>
      </c>
      <c r="C890">
        <v>8.5899999999999995E-4</v>
      </c>
      <c r="D890">
        <v>8.1019999999999996E-4</v>
      </c>
      <c r="E890">
        <v>8.5499999999999997E-4</v>
      </c>
      <c r="F890">
        <v>571219134</v>
      </c>
      <c r="G890">
        <v>0</v>
      </c>
      <c r="L890" t="s">
        <v>7</v>
      </c>
      <c r="M890" t="s">
        <v>8</v>
      </c>
      <c r="N890" t="s">
        <v>7</v>
      </c>
      <c r="P890">
        <f t="shared" si="1009"/>
        <v>0.83606557377049229</v>
      </c>
      <c r="Q890">
        <f t="shared" si="1010"/>
        <v>477576653.01639372</v>
      </c>
      <c r="R890">
        <f t="shared" si="1011"/>
        <v>-12084650392.885408</v>
      </c>
      <c r="S890">
        <f t="shared" si="1012"/>
        <v>-120846.50392885409</v>
      </c>
      <c r="T890">
        <f t="shared" si="1013"/>
        <v>-120.84650392885409</v>
      </c>
    </row>
    <row r="891" spans="1:20" x14ac:dyDescent="0.25">
      <c r="A891" s="5">
        <v>43702</v>
      </c>
      <c r="B891">
        <v>8.5610000000000005E-4</v>
      </c>
      <c r="C891">
        <v>8.7980000000000003E-4</v>
      </c>
      <c r="D891">
        <v>8.0900000000000004E-4</v>
      </c>
      <c r="E891">
        <v>8.2109999999999995E-4</v>
      </c>
      <c r="F891">
        <v>595798048</v>
      </c>
      <c r="G891">
        <v>0</v>
      </c>
      <c r="L891" t="s">
        <v>8</v>
      </c>
      <c r="M891" t="s">
        <v>8</v>
      </c>
      <c r="N891" t="s">
        <v>7</v>
      </c>
      <c r="P891">
        <f t="shared" si="1009"/>
        <v>-0.65819209039548254</v>
      </c>
      <c r="Q891">
        <f t="shared" si="1010"/>
        <v>-392149562.66666806</v>
      </c>
      <c r="R891">
        <f t="shared" si="1011"/>
        <v>-12562227045.901802</v>
      </c>
      <c r="S891">
        <f t="shared" si="1012"/>
        <v>-125622.27045901802</v>
      </c>
      <c r="T891">
        <f t="shared" si="1013"/>
        <v>-125.62227045901803</v>
      </c>
    </row>
    <row r="892" spans="1:20" x14ac:dyDescent="0.25">
      <c r="A892" s="5">
        <v>43701</v>
      </c>
      <c r="B892">
        <v>8.1400000000000005E-4</v>
      </c>
      <c r="C892">
        <v>8.8599999999999996E-4</v>
      </c>
      <c r="D892">
        <v>7.8299999999999995E-4</v>
      </c>
      <c r="E892">
        <v>8.5550000000000003E-4</v>
      </c>
      <c r="F892">
        <v>858814407</v>
      </c>
      <c r="G892">
        <v>0</v>
      </c>
      <c r="L892" t="s">
        <v>7</v>
      </c>
      <c r="M892" t="s">
        <v>8</v>
      </c>
      <c r="N892" t="s">
        <v>7</v>
      </c>
      <c r="P892">
        <f t="shared" si="1009"/>
        <v>0.40776699029126356</v>
      </c>
      <c r="Q892">
        <f t="shared" si="1010"/>
        <v>350196165.96116626</v>
      </c>
      <c r="R892">
        <f t="shared" si="1011"/>
        <v>-12170077483.235134</v>
      </c>
      <c r="S892">
        <f t="shared" si="1012"/>
        <v>-121700.77483235134</v>
      </c>
      <c r="T892">
        <f t="shared" si="1013"/>
        <v>-121.70077483235134</v>
      </c>
    </row>
    <row r="893" spans="1:20" x14ac:dyDescent="0.25">
      <c r="A893" s="5">
        <v>43700</v>
      </c>
      <c r="B893">
        <v>8.0020000000000004E-4</v>
      </c>
      <c r="C893">
        <v>8.3489999999999997E-4</v>
      </c>
      <c r="D893">
        <v>7.9420000000000001E-4</v>
      </c>
      <c r="E893">
        <v>8.1490000000000002E-4</v>
      </c>
      <c r="F893">
        <v>425941727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1.7199017199018965E-2</v>
      </c>
      <c r="Q893">
        <f t="shared" si="1010"/>
        <v>7325779.0884528402</v>
      </c>
      <c r="R893">
        <f t="shared" si="1011"/>
        <v>-12520273649.196301</v>
      </c>
      <c r="S893">
        <f t="shared" si="1012"/>
        <v>-125202.73649196301</v>
      </c>
      <c r="T893">
        <f t="shared" si="1013"/>
        <v>-125.20273649196301</v>
      </c>
    </row>
    <row r="894" spans="1:20" x14ac:dyDescent="0.25">
      <c r="A894" s="5">
        <v>43699</v>
      </c>
      <c r="B894">
        <v>7.7939999999999997E-4</v>
      </c>
      <c r="C894">
        <v>8.3000000000000001E-4</v>
      </c>
      <c r="D894">
        <v>7.5129999999999999E-4</v>
      </c>
      <c r="E894">
        <v>8.0159999999999997E-4</v>
      </c>
      <c r="F894">
        <v>475108256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0.27827191867852519</v>
      </c>
      <c r="Q894">
        <f t="shared" si="1010"/>
        <v>132209285.97712792</v>
      </c>
      <c r="R894">
        <f t="shared" si="1011"/>
        <v>-12527599428.284754</v>
      </c>
      <c r="S894">
        <f t="shared" si="1012"/>
        <v>-125275.99428284753</v>
      </c>
      <c r="T894">
        <f t="shared" si="1013"/>
        <v>-125.27599428284753</v>
      </c>
    </row>
    <row r="895" spans="1:20" x14ac:dyDescent="0.25">
      <c r="A895" s="5">
        <v>43698</v>
      </c>
      <c r="B895">
        <v>8.2830000000000002E-4</v>
      </c>
      <c r="C895">
        <v>8.2830000000000002E-4</v>
      </c>
      <c r="D895">
        <v>7.5829999999999995E-4</v>
      </c>
      <c r="E895">
        <v>7.7629999999999995E-4</v>
      </c>
      <c r="F895">
        <v>570171172</v>
      </c>
      <c r="G895">
        <v>0</v>
      </c>
      <c r="L895" t="s">
        <v>8</v>
      </c>
      <c r="M895" t="s">
        <v>7</v>
      </c>
      <c r="N895" t="s">
        <v>7</v>
      </c>
      <c r="P895">
        <f t="shared" ref="P895:P958" si="1014">IF(C895=D895,0,((E895-D895)-(C895-E895))/(C895-D895))</f>
        <v>-0.48571428571428615</v>
      </c>
      <c r="Q895">
        <f t="shared" ref="Q895:Q958" si="1015">F895*P895</f>
        <v>-276940283.54285741</v>
      </c>
      <c r="R895">
        <f t="shared" ref="R895:R958" si="1016">R896+Q895</f>
        <v>-12659808714.261881</v>
      </c>
      <c r="S895">
        <f t="shared" ref="S895:S958" si="1017">R895/100000</f>
        <v>-126598.08714261881</v>
      </c>
      <c r="T895">
        <f t="shared" ref="T895:T958" si="1018">S895/1000</f>
        <v>-126.59808714261881</v>
      </c>
    </row>
    <row r="896" spans="1:20" x14ac:dyDescent="0.25">
      <c r="A896" s="5">
        <v>43697</v>
      </c>
      <c r="B896">
        <v>8.4400000000000002E-4</v>
      </c>
      <c r="C896">
        <v>8.4489999999999999E-4</v>
      </c>
      <c r="D896">
        <v>8.1240000000000001E-4</v>
      </c>
      <c r="E896">
        <v>8.2839999999999997E-4</v>
      </c>
      <c r="F896">
        <v>325998065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-1.5384615384617438E-2</v>
      </c>
      <c r="Q896">
        <f t="shared" si="1015"/>
        <v>-5015354.8461545156</v>
      </c>
      <c r="R896">
        <f t="shared" si="1016"/>
        <v>-12382868430.719023</v>
      </c>
      <c r="S896">
        <f t="shared" si="1017"/>
        <v>-123828.68430719023</v>
      </c>
      <c r="T896">
        <f t="shared" si="1018"/>
        <v>-123.82868430719023</v>
      </c>
    </row>
    <row r="897" spans="1:20" x14ac:dyDescent="0.25">
      <c r="A897" s="5">
        <v>43696</v>
      </c>
      <c r="B897">
        <v>8.1599999999999999E-4</v>
      </c>
      <c r="C897">
        <v>8.5720000000000002E-4</v>
      </c>
      <c r="D897">
        <v>8.0610000000000002E-4</v>
      </c>
      <c r="E897">
        <v>8.4489999999999999E-4</v>
      </c>
      <c r="F897">
        <v>599864085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0.51859099804305175</v>
      </c>
      <c r="Q897">
        <f t="shared" si="1015"/>
        <v>311084114.53033203</v>
      </c>
      <c r="R897">
        <f t="shared" si="1016"/>
        <v>-12377853075.872868</v>
      </c>
      <c r="S897">
        <f t="shared" si="1017"/>
        <v>-123778.53075872868</v>
      </c>
      <c r="T897">
        <f t="shared" si="1018"/>
        <v>-123.77853075872868</v>
      </c>
    </row>
    <row r="898" spans="1:20" x14ac:dyDescent="0.25">
      <c r="A898" s="5">
        <v>43695</v>
      </c>
      <c r="B898">
        <v>7.8680000000000004E-4</v>
      </c>
      <c r="C898">
        <v>8.4329999999999995E-4</v>
      </c>
      <c r="D898">
        <v>7.7499999999999997E-4</v>
      </c>
      <c r="E898">
        <v>8.1800000000000004E-4</v>
      </c>
      <c r="F898">
        <v>640629901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0.25915080527086626</v>
      </c>
      <c r="Q898">
        <f t="shared" si="1015"/>
        <v>166019754.72474533</v>
      </c>
      <c r="R898">
        <f t="shared" si="1016"/>
        <v>-12688937190.4032</v>
      </c>
      <c r="S898">
        <f t="shared" si="1017"/>
        <v>-126889.371904032</v>
      </c>
      <c r="T898">
        <f t="shared" si="1018"/>
        <v>-126.889371904032</v>
      </c>
    </row>
    <row r="899" spans="1:20" x14ac:dyDescent="0.25">
      <c r="A899" s="5">
        <v>43694</v>
      </c>
      <c r="B899">
        <v>8.1780000000000004E-4</v>
      </c>
      <c r="C899">
        <v>8.2930000000000005E-4</v>
      </c>
      <c r="D899">
        <v>7.7890000000000001E-4</v>
      </c>
      <c r="E899">
        <v>7.8680000000000004E-4</v>
      </c>
      <c r="F899">
        <v>481499893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-0.68650793650793551</v>
      </c>
      <c r="Q899">
        <f t="shared" si="1015"/>
        <v>-330553497.97222173</v>
      </c>
      <c r="R899">
        <f t="shared" si="1016"/>
        <v>-12854956945.127945</v>
      </c>
      <c r="S899">
        <f t="shared" si="1017"/>
        <v>-128549.56945127944</v>
      </c>
      <c r="T899">
        <f t="shared" si="1018"/>
        <v>-128.54956945127944</v>
      </c>
    </row>
    <row r="900" spans="1:20" x14ac:dyDescent="0.25">
      <c r="A900" s="5">
        <v>43693</v>
      </c>
      <c r="B900">
        <v>8.3520000000000003E-4</v>
      </c>
      <c r="C900">
        <v>8.4860000000000003E-4</v>
      </c>
      <c r="D900">
        <v>8.0599999999999997E-4</v>
      </c>
      <c r="E900">
        <v>8.1959999999999997E-4</v>
      </c>
      <c r="F900">
        <v>543886343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-0.36150234741784104</v>
      </c>
      <c r="Q900">
        <f t="shared" si="1015"/>
        <v>-196616189.72300506</v>
      </c>
      <c r="R900">
        <f t="shared" si="1016"/>
        <v>-12524403447.155724</v>
      </c>
      <c r="S900">
        <f t="shared" si="1017"/>
        <v>-125244.03447155724</v>
      </c>
      <c r="T900">
        <f t="shared" si="1018"/>
        <v>-125.24403447155724</v>
      </c>
    </row>
    <row r="901" spans="1:20" x14ac:dyDescent="0.25">
      <c r="A901" s="5">
        <v>43692</v>
      </c>
      <c r="B901">
        <v>8.3940000000000002E-4</v>
      </c>
      <c r="C901">
        <v>8.4800000000000001E-4</v>
      </c>
      <c r="D901">
        <v>8.1340000000000004E-4</v>
      </c>
      <c r="E901">
        <v>8.4520000000000005E-4</v>
      </c>
      <c r="F901">
        <v>374098519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0.83815028901734323</v>
      </c>
      <c r="Q901">
        <f t="shared" si="1015"/>
        <v>313550781.82081008</v>
      </c>
      <c r="R901">
        <f t="shared" si="1016"/>
        <v>-12327787257.432718</v>
      </c>
      <c r="S901">
        <f t="shared" si="1017"/>
        <v>-123277.87257432718</v>
      </c>
      <c r="T901">
        <f t="shared" si="1018"/>
        <v>-123.27787257432718</v>
      </c>
    </row>
    <row r="902" spans="1:20" x14ac:dyDescent="0.25">
      <c r="A902" s="5">
        <v>43691</v>
      </c>
      <c r="B902">
        <v>9.5699999999999995E-4</v>
      </c>
      <c r="C902">
        <v>9.6690000000000003E-4</v>
      </c>
      <c r="D902">
        <v>8.0000000000000004E-4</v>
      </c>
      <c r="E902">
        <v>8.3710000000000002E-4</v>
      </c>
      <c r="F902">
        <v>981523307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-0.55542240862792114</v>
      </c>
      <c r="Q902">
        <f t="shared" si="1015"/>
        <v>-545160039.29838252</v>
      </c>
      <c r="R902">
        <f t="shared" si="1016"/>
        <v>-12641338039.253529</v>
      </c>
      <c r="S902">
        <f t="shared" si="1017"/>
        <v>-126413.38039253528</v>
      </c>
      <c r="T902">
        <f t="shared" si="1018"/>
        <v>-126.41338039253529</v>
      </c>
    </row>
    <row r="903" spans="1:20" x14ac:dyDescent="0.25">
      <c r="A903" s="5">
        <v>43690</v>
      </c>
      <c r="B903">
        <v>9.5799999999999998E-4</v>
      </c>
      <c r="C903">
        <v>9.9010000000000005E-4</v>
      </c>
      <c r="D903">
        <v>9.3630000000000004E-4</v>
      </c>
      <c r="E903">
        <v>9.5629999999999999E-4</v>
      </c>
      <c r="F903">
        <v>532768435</v>
      </c>
      <c r="G903">
        <v>0</v>
      </c>
      <c r="L903" t="s">
        <v>8</v>
      </c>
      <c r="M903" t="s">
        <v>8</v>
      </c>
      <c r="N903" t="s">
        <v>7</v>
      </c>
      <c r="P903">
        <f t="shared" si="1014"/>
        <v>-0.2565055762081806</v>
      </c>
      <c r="Q903">
        <f t="shared" si="1015"/>
        <v>-136658074.40520561</v>
      </c>
      <c r="R903">
        <f t="shared" si="1016"/>
        <v>-12096177999.955147</v>
      </c>
      <c r="S903">
        <f t="shared" si="1017"/>
        <v>-120961.77999955147</v>
      </c>
      <c r="T903">
        <f t="shared" si="1018"/>
        <v>-120.96177999955147</v>
      </c>
    </row>
    <row r="904" spans="1:20" x14ac:dyDescent="0.25">
      <c r="A904" s="5">
        <v>43689</v>
      </c>
      <c r="B904">
        <v>9.5660000000000005E-4</v>
      </c>
      <c r="C904">
        <v>1.0073E-3</v>
      </c>
      <c r="D904">
        <v>9.3499999999999996E-4</v>
      </c>
      <c r="E904">
        <v>9.5399999999999999E-4</v>
      </c>
      <c r="F904">
        <v>480256183</v>
      </c>
      <c r="G904">
        <v>0</v>
      </c>
      <c r="L904" t="s">
        <v>7</v>
      </c>
      <c r="M904" t="s">
        <v>8</v>
      </c>
      <c r="N904" t="s">
        <v>7</v>
      </c>
      <c r="P904">
        <f t="shared" si="1014"/>
        <v>-0.47441217150760695</v>
      </c>
      <c r="Q904">
        <f t="shared" si="1015"/>
        <v>-227839378.65698466</v>
      </c>
      <c r="R904">
        <f t="shared" si="1016"/>
        <v>-11959519925.549942</v>
      </c>
      <c r="S904">
        <f t="shared" si="1017"/>
        <v>-119595.19925549942</v>
      </c>
      <c r="T904">
        <f t="shared" si="1018"/>
        <v>-119.59519925549942</v>
      </c>
    </row>
    <row r="905" spans="1:20" x14ac:dyDescent="0.25">
      <c r="A905" s="5">
        <v>43688</v>
      </c>
      <c r="B905">
        <v>9.4209999999999997E-4</v>
      </c>
      <c r="C905">
        <v>9.6500000000000004E-4</v>
      </c>
      <c r="D905">
        <v>9.3050000000000001E-4</v>
      </c>
      <c r="E905">
        <v>9.5660000000000005E-4</v>
      </c>
      <c r="F905">
        <v>601675002</v>
      </c>
      <c r="G905">
        <v>0</v>
      </c>
      <c r="L905" t="s">
        <v>8</v>
      </c>
      <c r="M905" t="s">
        <v>8</v>
      </c>
      <c r="N905" t="s">
        <v>7</v>
      </c>
      <c r="P905">
        <f t="shared" si="1014"/>
        <v>0.51304347826087071</v>
      </c>
      <c r="Q905">
        <f t="shared" si="1015"/>
        <v>308685435.80869633</v>
      </c>
      <c r="R905">
        <f t="shared" si="1016"/>
        <v>-11731680546.892958</v>
      </c>
      <c r="S905">
        <f t="shared" si="1017"/>
        <v>-117316.80546892958</v>
      </c>
      <c r="T905">
        <f t="shared" si="1018"/>
        <v>-117.31680546892959</v>
      </c>
    </row>
    <row r="906" spans="1:20" x14ac:dyDescent="0.25">
      <c r="A906" s="5">
        <v>43687</v>
      </c>
      <c r="B906">
        <v>9.9879999999999999E-4</v>
      </c>
      <c r="C906">
        <v>1.0200000000000001E-3</v>
      </c>
      <c r="D906">
        <v>9.0799999999999995E-4</v>
      </c>
      <c r="E906">
        <v>9.4569999999999995E-4</v>
      </c>
      <c r="F906">
        <v>1345871125</v>
      </c>
      <c r="G906">
        <v>0</v>
      </c>
      <c r="L906" t="s">
        <v>7</v>
      </c>
      <c r="M906" t="s">
        <v>8</v>
      </c>
      <c r="N906" t="s">
        <v>7</v>
      </c>
      <c r="P906">
        <f t="shared" si="1014"/>
        <v>-0.32678571428571512</v>
      </c>
      <c r="Q906">
        <f t="shared" si="1015"/>
        <v>-439811456.919644</v>
      </c>
      <c r="R906">
        <f t="shared" si="1016"/>
        <v>-12040365982.701654</v>
      </c>
      <c r="S906">
        <f t="shared" si="1017"/>
        <v>-120403.65982701654</v>
      </c>
      <c r="T906">
        <f t="shared" si="1018"/>
        <v>-120.40365982701654</v>
      </c>
    </row>
    <row r="907" spans="1:20" x14ac:dyDescent="0.25">
      <c r="A907" s="5">
        <v>43686</v>
      </c>
      <c r="B907">
        <v>9.0019999999999998E-4</v>
      </c>
      <c r="C907">
        <v>1.0494E-3</v>
      </c>
      <c r="D907">
        <v>8.4909999999999998E-4</v>
      </c>
      <c r="E907">
        <v>9.921000000000001E-4</v>
      </c>
      <c r="F907">
        <v>2888655936</v>
      </c>
      <c r="G907">
        <v>0</v>
      </c>
      <c r="L907" t="s">
        <v>8</v>
      </c>
      <c r="M907" t="s">
        <v>8</v>
      </c>
      <c r="N907" t="s">
        <v>7</v>
      </c>
      <c r="P907">
        <f t="shared" si="1014"/>
        <v>0.42785821268097934</v>
      </c>
      <c r="Q907">
        <f t="shared" si="1015"/>
        <v>1235935165.8272614</v>
      </c>
      <c r="R907">
        <f t="shared" si="1016"/>
        <v>-11600554525.782011</v>
      </c>
      <c r="S907">
        <f t="shared" si="1017"/>
        <v>-116005.54525782011</v>
      </c>
      <c r="T907">
        <f t="shared" si="1018"/>
        <v>-116.0055452578201</v>
      </c>
    </row>
    <row r="908" spans="1:20" x14ac:dyDescent="0.25">
      <c r="A908" s="5">
        <v>43685</v>
      </c>
      <c r="B908">
        <v>9.7000000000000005E-4</v>
      </c>
      <c r="C908">
        <v>9.7000000000000005E-4</v>
      </c>
      <c r="D908">
        <v>8.7710000000000002E-4</v>
      </c>
      <c r="E908">
        <v>9.0019999999999998E-4</v>
      </c>
      <c r="F908">
        <v>1071592617</v>
      </c>
      <c r="G908">
        <v>0</v>
      </c>
      <c r="L908" t="s">
        <v>8</v>
      </c>
      <c r="M908" t="s">
        <v>7</v>
      </c>
      <c r="N908" t="s">
        <v>7</v>
      </c>
      <c r="P908">
        <f t="shared" si="1014"/>
        <v>-0.50269106566200306</v>
      </c>
      <c r="Q908">
        <f t="shared" si="1015"/>
        <v>-538680034.59526467</v>
      </c>
      <c r="R908">
        <f t="shared" si="1016"/>
        <v>-12836489691.609272</v>
      </c>
      <c r="S908">
        <f t="shared" si="1017"/>
        <v>-128364.89691609272</v>
      </c>
      <c r="T908">
        <f t="shared" si="1018"/>
        <v>-128.36489691609273</v>
      </c>
    </row>
    <row r="909" spans="1:20" x14ac:dyDescent="0.25">
      <c r="A909" s="5">
        <v>43684</v>
      </c>
      <c r="B909">
        <v>9.6400000000000001E-4</v>
      </c>
      <c r="C909">
        <v>9.812E-4</v>
      </c>
      <c r="D909">
        <v>9.4010000000000003E-4</v>
      </c>
      <c r="E909">
        <v>9.6790000000000005E-4</v>
      </c>
      <c r="F909">
        <v>953269264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0.35279805352798277</v>
      </c>
      <c r="Q909">
        <f t="shared" si="1015"/>
        <v>336311540.82725275</v>
      </c>
      <c r="R909">
        <f t="shared" si="1016"/>
        <v>-12297809657.014008</v>
      </c>
      <c r="S909">
        <f t="shared" si="1017"/>
        <v>-122978.09657014007</v>
      </c>
      <c r="T909">
        <f t="shared" si="1018"/>
        <v>-122.97809657014007</v>
      </c>
    </row>
    <row r="910" spans="1:20" x14ac:dyDescent="0.25">
      <c r="A910" s="5">
        <v>43683</v>
      </c>
      <c r="B910">
        <v>9.8869999999999991E-4</v>
      </c>
      <c r="C910">
        <v>1.0348E-3</v>
      </c>
      <c r="D910">
        <v>9.456E-4</v>
      </c>
      <c r="E910">
        <v>9.6400000000000001E-4</v>
      </c>
      <c r="F910">
        <v>1250497428</v>
      </c>
      <c r="G910">
        <v>0</v>
      </c>
      <c r="L910" t="s">
        <v>8</v>
      </c>
      <c r="M910" t="s">
        <v>7</v>
      </c>
      <c r="N910" t="s">
        <v>7</v>
      </c>
      <c r="P910">
        <f t="shared" si="1014"/>
        <v>-0.5874439461883405</v>
      </c>
      <c r="Q910">
        <f t="shared" si="1015"/>
        <v>-734597143.80269015</v>
      </c>
      <c r="R910">
        <f t="shared" si="1016"/>
        <v>-12634121197.841261</v>
      </c>
      <c r="S910">
        <f t="shared" si="1017"/>
        <v>-126341.21197841261</v>
      </c>
      <c r="T910">
        <f t="shared" si="1018"/>
        <v>-126.34121197841262</v>
      </c>
    </row>
    <row r="911" spans="1:20" x14ac:dyDescent="0.25">
      <c r="A911" s="5">
        <v>43682</v>
      </c>
      <c r="B911">
        <v>1.0199E-3</v>
      </c>
      <c r="C911">
        <v>1.0349999999999999E-3</v>
      </c>
      <c r="D911">
        <v>9.6739999999999999E-4</v>
      </c>
      <c r="E911">
        <v>9.9069999999999996E-4</v>
      </c>
      <c r="F911">
        <v>1467594884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-0.31065088757396447</v>
      </c>
      <c r="Q911">
        <f t="shared" si="1015"/>
        <v>-455909653.31360942</v>
      </c>
      <c r="R911">
        <f t="shared" si="1016"/>
        <v>-11899524054.03857</v>
      </c>
      <c r="S911">
        <f t="shared" si="1017"/>
        <v>-118995.2405403857</v>
      </c>
      <c r="T911">
        <f t="shared" si="1018"/>
        <v>-118.99524054038569</v>
      </c>
    </row>
    <row r="912" spans="1:20" x14ac:dyDescent="0.25">
      <c r="A912" s="5">
        <v>43681</v>
      </c>
      <c r="B912">
        <v>1.0935000000000001E-3</v>
      </c>
      <c r="C912">
        <v>1.0950000000000001E-3</v>
      </c>
      <c r="D912">
        <v>1.0150000000000001E-3</v>
      </c>
      <c r="E912">
        <v>1.0177000000000001E-3</v>
      </c>
      <c r="F912">
        <v>607656652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-0.93249999999999966</v>
      </c>
      <c r="Q912">
        <f t="shared" si="1015"/>
        <v>-566639827.98999977</v>
      </c>
      <c r="R912">
        <f t="shared" si="1016"/>
        <v>-11443614400.72496</v>
      </c>
      <c r="S912">
        <f t="shared" si="1017"/>
        <v>-114436.1440072496</v>
      </c>
      <c r="T912">
        <f t="shared" si="1018"/>
        <v>-114.43614400724961</v>
      </c>
    </row>
    <row r="913" spans="1:20" x14ac:dyDescent="0.25">
      <c r="A913" s="5">
        <v>43680</v>
      </c>
      <c r="B913">
        <v>1.0747E-3</v>
      </c>
      <c r="C913">
        <v>1.0953E-3</v>
      </c>
      <c r="D913">
        <v>1.0675000000000001E-3</v>
      </c>
      <c r="E913">
        <v>1.0935000000000001E-3</v>
      </c>
      <c r="F913">
        <v>300674871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0.87050359712230641</v>
      </c>
      <c r="Q913">
        <f t="shared" si="1015"/>
        <v>261738556.76978546</v>
      </c>
      <c r="R913">
        <f t="shared" si="1016"/>
        <v>-10876974572.734961</v>
      </c>
      <c r="S913">
        <f t="shared" si="1017"/>
        <v>-108769.74572734961</v>
      </c>
      <c r="T913">
        <f t="shared" si="1018"/>
        <v>-108.76974572734962</v>
      </c>
    </row>
    <row r="914" spans="1:20" x14ac:dyDescent="0.25">
      <c r="A914" s="5">
        <v>43679</v>
      </c>
      <c r="B914">
        <v>1.1007E-3</v>
      </c>
      <c r="C914">
        <v>1.1077000000000001E-3</v>
      </c>
      <c r="D914">
        <v>1.0508E-3</v>
      </c>
      <c r="E914">
        <v>1.0747E-3</v>
      </c>
      <c r="F914">
        <v>742647288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-0.15992970123022721</v>
      </c>
      <c r="Q914">
        <f t="shared" si="1015"/>
        <v>-118771358.8892785</v>
      </c>
      <c r="R914">
        <f t="shared" si="1016"/>
        <v>-11138713129.504745</v>
      </c>
      <c r="S914">
        <f t="shared" si="1017"/>
        <v>-111387.13129504745</v>
      </c>
      <c r="T914">
        <f t="shared" si="1018"/>
        <v>-111.38713129504745</v>
      </c>
    </row>
    <row r="915" spans="1:20" x14ac:dyDescent="0.25">
      <c r="A915" s="5">
        <v>43678</v>
      </c>
      <c r="B915">
        <v>1.1569E-3</v>
      </c>
      <c r="C915">
        <v>1.1720000000000001E-3</v>
      </c>
      <c r="D915">
        <v>1.0954999999999999E-3</v>
      </c>
      <c r="E915">
        <v>1.1007E-3</v>
      </c>
      <c r="F915">
        <v>543073858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-0.86405228758169639</v>
      </c>
      <c r="Q915">
        <f t="shared" si="1015"/>
        <v>-469244209.33071733</v>
      </c>
      <c r="R915">
        <f t="shared" si="1016"/>
        <v>-11019941770.615467</v>
      </c>
      <c r="S915">
        <f t="shared" si="1017"/>
        <v>-110199.41770615467</v>
      </c>
      <c r="T915">
        <f t="shared" si="1018"/>
        <v>-110.19941770615466</v>
      </c>
    </row>
    <row r="916" spans="1:20" x14ac:dyDescent="0.25">
      <c r="A916" s="5">
        <v>43677</v>
      </c>
      <c r="B916">
        <v>1.1095E-3</v>
      </c>
      <c r="C916">
        <v>1.2099999999999999E-3</v>
      </c>
      <c r="D916">
        <v>1.1091E-3</v>
      </c>
      <c r="E916">
        <v>1.1517999999999999E-3</v>
      </c>
      <c r="F916">
        <v>381316970</v>
      </c>
      <c r="G916">
        <v>0</v>
      </c>
      <c r="L916" t="s">
        <v>8</v>
      </c>
      <c r="M916" t="s">
        <v>7</v>
      </c>
      <c r="N916" t="s">
        <v>7</v>
      </c>
      <c r="P916">
        <f t="shared" si="1014"/>
        <v>-0.15361744301288524</v>
      </c>
      <c r="Q916">
        <f t="shared" si="1015"/>
        <v>-58576937.908821069</v>
      </c>
      <c r="R916">
        <f t="shared" si="1016"/>
        <v>-10550697561.28475</v>
      </c>
      <c r="S916">
        <f t="shared" si="1017"/>
        <v>-105506.9756128475</v>
      </c>
      <c r="T916">
        <f t="shared" si="1018"/>
        <v>-105.5069756128475</v>
      </c>
    </row>
    <row r="917" spans="1:20" x14ac:dyDescent="0.25">
      <c r="A917" s="5">
        <v>43676</v>
      </c>
      <c r="B917">
        <v>1.1249999999999999E-3</v>
      </c>
      <c r="C917">
        <v>1.1284999999999999E-3</v>
      </c>
      <c r="D917">
        <v>1.0888E-3</v>
      </c>
      <c r="E917">
        <v>1.1077999999999999E-3</v>
      </c>
      <c r="F917">
        <v>220819369</v>
      </c>
      <c r="G917">
        <v>0</v>
      </c>
      <c r="L917" t="s">
        <v>8</v>
      </c>
      <c r="M917" t="s">
        <v>7</v>
      </c>
      <c r="N917" t="s">
        <v>7</v>
      </c>
      <c r="P917">
        <f t="shared" si="1014"/>
        <v>-4.2821158690178801E-2</v>
      </c>
      <c r="Q917">
        <f t="shared" si="1015"/>
        <v>-9455741.2418141495</v>
      </c>
      <c r="R917">
        <f t="shared" si="1016"/>
        <v>-10492120623.375929</v>
      </c>
      <c r="S917">
        <f t="shared" si="1017"/>
        <v>-104921.20623375929</v>
      </c>
      <c r="T917">
        <f t="shared" si="1018"/>
        <v>-104.92120623375929</v>
      </c>
    </row>
    <row r="918" spans="1:20" x14ac:dyDescent="0.25">
      <c r="A918" s="5">
        <v>43675</v>
      </c>
      <c r="B918">
        <v>1.1042999999999999E-3</v>
      </c>
      <c r="C918">
        <v>1.1355E-3</v>
      </c>
      <c r="D918">
        <v>1.083E-3</v>
      </c>
      <c r="E918">
        <v>1.1253000000000001E-3</v>
      </c>
      <c r="F918">
        <v>334913303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0.61142857142857454</v>
      </c>
      <c r="Q918">
        <f t="shared" si="1015"/>
        <v>204775562.40571532</v>
      </c>
      <c r="R918">
        <f t="shared" si="1016"/>
        <v>-10482664882.134115</v>
      </c>
      <c r="S918">
        <f t="shared" si="1017"/>
        <v>-104826.64882134115</v>
      </c>
      <c r="T918">
        <f t="shared" si="1018"/>
        <v>-104.82664882134115</v>
      </c>
    </row>
    <row r="919" spans="1:20" x14ac:dyDescent="0.25">
      <c r="A919" s="5">
        <v>43674</v>
      </c>
      <c r="B919">
        <v>1.1100999999999999E-3</v>
      </c>
      <c r="C919">
        <v>1.1205E-3</v>
      </c>
      <c r="D919">
        <v>1.0502E-3</v>
      </c>
      <c r="E919">
        <v>1.1062999999999999E-3</v>
      </c>
      <c r="F919">
        <v>352378444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0.59601706970127921</v>
      </c>
      <c r="Q919">
        <f t="shared" si="1015"/>
        <v>210023567.61877632</v>
      </c>
      <c r="R919">
        <f t="shared" si="1016"/>
        <v>-10687440444.539831</v>
      </c>
      <c r="S919">
        <f t="shared" si="1017"/>
        <v>-106874.40444539831</v>
      </c>
      <c r="T919">
        <f t="shared" si="1018"/>
        <v>-106.87440444539831</v>
      </c>
    </row>
    <row r="920" spans="1:20" x14ac:dyDescent="0.25">
      <c r="A920" s="5">
        <v>43673</v>
      </c>
      <c r="B920">
        <v>1.1843999999999999E-3</v>
      </c>
      <c r="C920">
        <v>1.2279999999999999E-3</v>
      </c>
      <c r="D920">
        <v>1.0758E-3</v>
      </c>
      <c r="E920">
        <v>1.1104999999999999E-3</v>
      </c>
      <c r="F920">
        <v>680191167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-0.54402102496714921</v>
      </c>
      <c r="Q920">
        <f t="shared" si="1015"/>
        <v>-370038295.84494138</v>
      </c>
      <c r="R920">
        <f t="shared" si="1016"/>
        <v>-10897464012.158607</v>
      </c>
      <c r="S920">
        <f t="shared" si="1017"/>
        <v>-108974.64012158607</v>
      </c>
      <c r="T920">
        <f t="shared" si="1018"/>
        <v>-108.97464012158606</v>
      </c>
    </row>
    <row r="921" spans="1:20" x14ac:dyDescent="0.25">
      <c r="A921" s="5">
        <v>43672</v>
      </c>
      <c r="B921">
        <v>1.2126000000000001E-3</v>
      </c>
      <c r="C921">
        <v>1.2149000000000001E-3</v>
      </c>
      <c r="D921">
        <v>1.1456000000000001E-3</v>
      </c>
      <c r="E921">
        <v>1.1854999999999999E-3</v>
      </c>
      <c r="F921">
        <v>593272280</v>
      </c>
      <c r="G921">
        <v>0</v>
      </c>
      <c r="L921" t="s">
        <v>7</v>
      </c>
      <c r="M921" t="s">
        <v>8</v>
      </c>
      <c r="N921" t="s">
        <v>7</v>
      </c>
      <c r="P921">
        <f t="shared" si="1014"/>
        <v>0.15151515151514658</v>
      </c>
      <c r="Q921">
        <f t="shared" si="1015"/>
        <v>89889739.39393647</v>
      </c>
      <c r="R921">
        <f t="shared" si="1016"/>
        <v>-10527425716.313665</v>
      </c>
      <c r="S921">
        <f t="shared" si="1017"/>
        <v>-105274.25716313666</v>
      </c>
      <c r="T921">
        <f t="shared" si="1018"/>
        <v>-105.27425716313665</v>
      </c>
    </row>
    <row r="922" spans="1:20" x14ac:dyDescent="0.25">
      <c r="A922" s="5">
        <v>43671</v>
      </c>
      <c r="B922">
        <v>1.2102E-3</v>
      </c>
      <c r="C922">
        <v>1.2557E-3</v>
      </c>
      <c r="D922">
        <v>1.2005E-3</v>
      </c>
      <c r="E922">
        <v>1.2124E-3</v>
      </c>
      <c r="F922">
        <v>396989017</v>
      </c>
      <c r="G922">
        <v>0</v>
      </c>
      <c r="L922" t="s">
        <v>7</v>
      </c>
      <c r="M922" t="s">
        <v>8</v>
      </c>
      <c r="N922" t="s">
        <v>7</v>
      </c>
      <c r="P922">
        <f t="shared" si="1014"/>
        <v>-0.56884057971014457</v>
      </c>
      <c r="Q922">
        <f t="shared" si="1015"/>
        <v>-225823462.56884044</v>
      </c>
      <c r="R922">
        <f t="shared" si="1016"/>
        <v>-10617315455.707602</v>
      </c>
      <c r="S922">
        <f t="shared" si="1017"/>
        <v>-106173.15455707602</v>
      </c>
      <c r="T922">
        <f t="shared" si="1018"/>
        <v>-106.17315455707602</v>
      </c>
    </row>
    <row r="923" spans="1:20" x14ac:dyDescent="0.25">
      <c r="A923" s="5">
        <v>43670</v>
      </c>
      <c r="B923">
        <v>1.2199999999999999E-3</v>
      </c>
      <c r="C923">
        <v>1.2421000000000001E-3</v>
      </c>
      <c r="D923">
        <v>1.1837E-3</v>
      </c>
      <c r="E923">
        <v>1.2102E-3</v>
      </c>
      <c r="F923">
        <v>646496183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-9.2465753424657737E-2</v>
      </c>
      <c r="Q923">
        <f t="shared" si="1015"/>
        <v>-59778756.647260405</v>
      </c>
      <c r="R923">
        <f t="shared" si="1016"/>
        <v>-10391491993.138762</v>
      </c>
      <c r="S923">
        <f t="shared" si="1017"/>
        <v>-103914.91993138762</v>
      </c>
      <c r="T923">
        <f t="shared" si="1018"/>
        <v>-103.91491993138762</v>
      </c>
    </row>
    <row r="924" spans="1:20" x14ac:dyDescent="0.25">
      <c r="A924" s="5">
        <v>43669</v>
      </c>
      <c r="B924">
        <v>1.224E-3</v>
      </c>
      <c r="C924">
        <v>1.3347999999999999E-3</v>
      </c>
      <c r="D924">
        <v>1.1934999999999999E-3</v>
      </c>
      <c r="E924">
        <v>1.2214999999999999E-3</v>
      </c>
      <c r="F924">
        <v>959244833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-0.60368011323425297</v>
      </c>
      <c r="Q924">
        <f t="shared" si="1015"/>
        <v>-579077029.4048121</v>
      </c>
      <c r="R924">
        <f t="shared" si="1016"/>
        <v>-10331713236.491501</v>
      </c>
      <c r="S924">
        <f t="shared" si="1017"/>
        <v>-103317.13236491501</v>
      </c>
      <c r="T924">
        <f t="shared" si="1018"/>
        <v>-103.31713236491501</v>
      </c>
    </row>
    <row r="925" spans="1:20" x14ac:dyDescent="0.25">
      <c r="A925" s="5">
        <v>43668</v>
      </c>
      <c r="B925">
        <v>1.3039E-3</v>
      </c>
      <c r="C925">
        <v>1.3198999999999999E-3</v>
      </c>
      <c r="D925">
        <v>1.2159E-3</v>
      </c>
      <c r="E925">
        <v>1.224E-3</v>
      </c>
      <c r="F925">
        <v>668838172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-0.84423076923076845</v>
      </c>
      <c r="Q925">
        <f t="shared" si="1015"/>
        <v>-564653764.43846107</v>
      </c>
      <c r="R925">
        <f t="shared" si="1016"/>
        <v>-9752636207.086689</v>
      </c>
      <c r="S925">
        <f t="shared" si="1017"/>
        <v>-97526.36207086689</v>
      </c>
      <c r="T925">
        <f t="shared" si="1018"/>
        <v>-97.526362070866895</v>
      </c>
    </row>
    <row r="926" spans="1:20" x14ac:dyDescent="0.25">
      <c r="A926" s="5">
        <v>43667</v>
      </c>
      <c r="B926">
        <v>1.3024E-3</v>
      </c>
      <c r="C926">
        <v>1.3169E-3</v>
      </c>
      <c r="D926">
        <v>1.2622E-3</v>
      </c>
      <c r="E926">
        <v>1.3024E-3</v>
      </c>
      <c r="F926">
        <v>342852149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0.46983546617915978</v>
      </c>
      <c r="Q926">
        <f t="shared" si="1015"/>
        <v>161084099.25594175</v>
      </c>
      <c r="R926">
        <f t="shared" si="1016"/>
        <v>-9187982442.6482277</v>
      </c>
      <c r="S926">
        <f t="shared" si="1017"/>
        <v>-91879.824426482272</v>
      </c>
      <c r="T926">
        <f t="shared" si="1018"/>
        <v>-91.879824426482273</v>
      </c>
    </row>
    <row r="927" spans="1:20" x14ac:dyDescent="0.25">
      <c r="A927" s="5">
        <v>43666</v>
      </c>
      <c r="B927">
        <v>1.2698E-3</v>
      </c>
      <c r="C927">
        <v>1.3619000000000001E-3</v>
      </c>
      <c r="D927">
        <v>1.25E-3</v>
      </c>
      <c r="E927">
        <v>1.3024E-3</v>
      </c>
      <c r="F927">
        <v>819089220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-6.3449508489723985E-2</v>
      </c>
      <c r="Q927">
        <f t="shared" si="1015"/>
        <v>-51970808.418231398</v>
      </c>
      <c r="R927">
        <f t="shared" si="1016"/>
        <v>-9349066541.9041691</v>
      </c>
      <c r="S927">
        <f t="shared" si="1017"/>
        <v>-93490.665419041688</v>
      </c>
      <c r="T927">
        <f t="shared" si="1018"/>
        <v>-93.49066541904169</v>
      </c>
    </row>
    <row r="928" spans="1:20" x14ac:dyDescent="0.25">
      <c r="A928" s="5">
        <v>43665</v>
      </c>
      <c r="B928">
        <v>1.2608999999999999E-3</v>
      </c>
      <c r="C928">
        <v>1.2788999999999999E-3</v>
      </c>
      <c r="D928">
        <v>1.2107000000000001E-3</v>
      </c>
      <c r="E928">
        <v>1.2698E-3</v>
      </c>
      <c r="F928">
        <v>504112629</v>
      </c>
      <c r="G928">
        <v>0</v>
      </c>
      <c r="L928" t="s">
        <v>8</v>
      </c>
      <c r="M928" t="s">
        <v>7</v>
      </c>
      <c r="N928" t="s">
        <v>7</v>
      </c>
      <c r="P928">
        <f t="shared" si="1014"/>
        <v>0.73313782991202414</v>
      </c>
      <c r="Q928">
        <f t="shared" si="1015"/>
        <v>369584038.8563053</v>
      </c>
      <c r="R928">
        <f t="shared" si="1016"/>
        <v>-9297095733.4859371</v>
      </c>
      <c r="S928">
        <f t="shared" si="1017"/>
        <v>-92970.957334859369</v>
      </c>
      <c r="T928">
        <f t="shared" si="1018"/>
        <v>-92.970957334859364</v>
      </c>
    </row>
    <row r="929" spans="1:20" x14ac:dyDescent="0.25">
      <c r="A929" s="5">
        <v>43664</v>
      </c>
      <c r="B929">
        <v>1.1927999999999999E-3</v>
      </c>
      <c r="C929">
        <v>1.2744E-3</v>
      </c>
      <c r="D929">
        <v>1.163E-3</v>
      </c>
      <c r="E929">
        <v>1.2641E-3</v>
      </c>
      <c r="F929">
        <v>718185292</v>
      </c>
      <c r="G929">
        <v>0</v>
      </c>
      <c r="L929" t="s">
        <v>8</v>
      </c>
      <c r="M929" t="s">
        <v>7</v>
      </c>
      <c r="N929" t="s">
        <v>7</v>
      </c>
      <c r="P929">
        <f t="shared" si="1014"/>
        <v>0.81508078994614042</v>
      </c>
      <c r="Q929">
        <f t="shared" si="1015"/>
        <v>585379035.13105953</v>
      </c>
      <c r="R929">
        <f t="shared" si="1016"/>
        <v>-9666679772.3422432</v>
      </c>
      <c r="S929">
        <f t="shared" si="1017"/>
        <v>-96666.797723422438</v>
      </c>
      <c r="T929">
        <f t="shared" si="1018"/>
        <v>-96.666797723422434</v>
      </c>
    </row>
    <row r="930" spans="1:20" x14ac:dyDescent="0.25">
      <c r="A930" s="5">
        <v>43663</v>
      </c>
      <c r="B930">
        <v>1.1451E-3</v>
      </c>
      <c r="C930">
        <v>1.2516000000000001E-3</v>
      </c>
      <c r="D930">
        <v>1.1284999999999999E-3</v>
      </c>
      <c r="E930">
        <v>1.1952E-3</v>
      </c>
      <c r="F930">
        <v>675192041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8.3671811535336871E-2</v>
      </c>
      <c r="Q930">
        <f t="shared" si="1015"/>
        <v>56494541.204711445</v>
      </c>
      <c r="R930">
        <f t="shared" si="1016"/>
        <v>-10252058807.473303</v>
      </c>
      <c r="S930">
        <f t="shared" si="1017"/>
        <v>-102520.58807473302</v>
      </c>
      <c r="T930">
        <f t="shared" si="1018"/>
        <v>-102.52058807473303</v>
      </c>
    </row>
    <row r="931" spans="1:20" x14ac:dyDescent="0.25">
      <c r="A931" s="5">
        <v>43662</v>
      </c>
      <c r="B931">
        <v>1.3032E-3</v>
      </c>
      <c r="C931">
        <v>1.3393999999999999E-3</v>
      </c>
      <c r="D931">
        <v>1.1118E-3</v>
      </c>
      <c r="E931">
        <v>1.1410000000000001E-3</v>
      </c>
      <c r="F931">
        <v>1097012264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-0.74340949033391857</v>
      </c>
      <c r="Q931">
        <f t="shared" si="1015"/>
        <v>-815529328.07029808</v>
      </c>
      <c r="R931">
        <f t="shared" si="1016"/>
        <v>-10308553348.678015</v>
      </c>
      <c r="S931">
        <f t="shared" si="1017"/>
        <v>-103085.53348678014</v>
      </c>
      <c r="T931">
        <f t="shared" si="1018"/>
        <v>-103.08553348678014</v>
      </c>
    </row>
    <row r="932" spans="1:20" x14ac:dyDescent="0.25">
      <c r="A932" s="5">
        <v>43661</v>
      </c>
      <c r="B932">
        <v>1.335E-3</v>
      </c>
      <c r="C932">
        <v>1.3699000000000001E-3</v>
      </c>
      <c r="D932">
        <v>1.2099999999999999E-3</v>
      </c>
      <c r="E932">
        <v>1.3035E-3</v>
      </c>
      <c r="F932">
        <v>882227254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0.16948092557848612</v>
      </c>
      <c r="Q932">
        <f t="shared" si="1015"/>
        <v>149520691.57848617</v>
      </c>
      <c r="R932">
        <f t="shared" si="1016"/>
        <v>-9493024020.6077175</v>
      </c>
      <c r="S932">
        <f t="shared" si="1017"/>
        <v>-94930.240206077171</v>
      </c>
      <c r="T932">
        <f t="shared" si="1018"/>
        <v>-94.930240206077173</v>
      </c>
    </row>
    <row r="933" spans="1:20" x14ac:dyDescent="0.25">
      <c r="A933" s="5">
        <v>43660</v>
      </c>
      <c r="B933">
        <v>1.4331000000000001E-3</v>
      </c>
      <c r="C933">
        <v>1.4391E-3</v>
      </c>
      <c r="D933">
        <v>1.2937000000000001E-3</v>
      </c>
      <c r="E933">
        <v>1.3324000000000001E-3</v>
      </c>
      <c r="F933">
        <v>988704171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-0.46767537826684963</v>
      </c>
      <c r="Q933">
        <f t="shared" si="1015"/>
        <v>-462392597.16643697</v>
      </c>
      <c r="R933">
        <f t="shared" si="1016"/>
        <v>-9642544712.186203</v>
      </c>
      <c r="S933">
        <f t="shared" si="1017"/>
        <v>-96425.447121862031</v>
      </c>
      <c r="T933">
        <f t="shared" si="1018"/>
        <v>-96.425447121862035</v>
      </c>
    </row>
    <row r="934" spans="1:20" x14ac:dyDescent="0.25">
      <c r="A934" s="5">
        <v>43659</v>
      </c>
      <c r="B934">
        <v>1.5096E-3</v>
      </c>
      <c r="C934">
        <v>1.5380999999999999E-3</v>
      </c>
      <c r="D934">
        <v>1.3951E-3</v>
      </c>
      <c r="E934">
        <v>1.4331000000000001E-3</v>
      </c>
      <c r="F934">
        <v>638439978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-0.46853146853146738</v>
      </c>
      <c r="Q934">
        <f t="shared" si="1015"/>
        <v>-299129220.46153772</v>
      </c>
      <c r="R934">
        <f t="shared" si="1016"/>
        <v>-9180152115.0197659</v>
      </c>
      <c r="S934">
        <f t="shared" si="1017"/>
        <v>-91801.521150197659</v>
      </c>
      <c r="T934">
        <f t="shared" si="1018"/>
        <v>-91.801521150197658</v>
      </c>
    </row>
    <row r="935" spans="1:20" x14ac:dyDescent="0.25">
      <c r="A935" s="5">
        <v>43658</v>
      </c>
      <c r="B935">
        <v>1.4181E-3</v>
      </c>
      <c r="C935">
        <v>1.5455E-3</v>
      </c>
      <c r="D935">
        <v>1.3906999999999999E-3</v>
      </c>
      <c r="E935">
        <v>1.5135000000000001E-3</v>
      </c>
      <c r="F935">
        <v>830835893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0.58656330749354146</v>
      </c>
      <c r="Q935">
        <f t="shared" si="1015"/>
        <v>487337849.38243014</v>
      </c>
      <c r="R935">
        <f t="shared" si="1016"/>
        <v>-8881022894.5582275</v>
      </c>
      <c r="S935">
        <f t="shared" si="1017"/>
        <v>-88810.228945582276</v>
      </c>
      <c r="T935">
        <f t="shared" si="1018"/>
        <v>-88.810228945582281</v>
      </c>
    </row>
    <row r="936" spans="1:20" x14ac:dyDescent="0.25">
      <c r="A936" s="5">
        <v>43657</v>
      </c>
      <c r="B936">
        <v>1.5847000000000001E-3</v>
      </c>
      <c r="C936">
        <v>1.5914E-3</v>
      </c>
      <c r="D936">
        <v>1.3826999999999999E-3</v>
      </c>
      <c r="E936">
        <v>1.4189999999999999E-3</v>
      </c>
      <c r="F936">
        <v>835394012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-0.65213224724484953</v>
      </c>
      <c r="Q936">
        <f t="shared" si="1015"/>
        <v>-544787374.38045084</v>
      </c>
      <c r="R936">
        <f t="shared" si="1016"/>
        <v>-9368360743.9406586</v>
      </c>
      <c r="S936">
        <f t="shared" si="1017"/>
        <v>-93683.60743940658</v>
      </c>
      <c r="T936">
        <f t="shared" si="1018"/>
        <v>-93.683607439406586</v>
      </c>
    </row>
    <row r="937" spans="1:20" x14ac:dyDescent="0.25">
      <c r="A937" s="5">
        <v>43656</v>
      </c>
      <c r="B937">
        <v>1.6322000000000001E-3</v>
      </c>
      <c r="C937">
        <v>1.6525999999999999E-3</v>
      </c>
      <c r="D937">
        <v>1.5083E-3</v>
      </c>
      <c r="E937">
        <v>1.5901000000000001E-3</v>
      </c>
      <c r="F937">
        <v>1099324916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0.13374913374913588</v>
      </c>
      <c r="Q937">
        <f t="shared" si="1015"/>
        <v>147033755.22384158</v>
      </c>
      <c r="R937">
        <f t="shared" si="1016"/>
        <v>-8823573369.5602074</v>
      </c>
      <c r="S937">
        <f t="shared" si="1017"/>
        <v>-88235.733695602074</v>
      </c>
      <c r="T937">
        <f t="shared" si="1018"/>
        <v>-88.235733695602079</v>
      </c>
    </row>
    <row r="938" spans="1:20" x14ac:dyDescent="0.25">
      <c r="A938" s="5">
        <v>43655</v>
      </c>
      <c r="B938">
        <v>1.6799E-3</v>
      </c>
      <c r="C938">
        <v>1.6900000000000001E-3</v>
      </c>
      <c r="D938">
        <v>1.6167E-3</v>
      </c>
      <c r="E938">
        <v>1.6230999999999999E-3</v>
      </c>
      <c r="F938">
        <v>696205047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-0.82537517053206189</v>
      </c>
      <c r="Q938">
        <f t="shared" si="1015"/>
        <v>-574630359.39290714</v>
      </c>
      <c r="R938">
        <f t="shared" si="1016"/>
        <v>-8970607124.7840481</v>
      </c>
      <c r="S938">
        <f t="shared" si="1017"/>
        <v>-89706.071247840475</v>
      </c>
      <c r="T938">
        <f t="shared" si="1018"/>
        <v>-89.70607124784047</v>
      </c>
    </row>
    <row r="939" spans="1:20" x14ac:dyDescent="0.25">
      <c r="A939" s="5">
        <v>43654</v>
      </c>
      <c r="B939">
        <v>1.7098E-3</v>
      </c>
      <c r="C939">
        <v>1.74E-3</v>
      </c>
      <c r="D939">
        <v>1.665E-3</v>
      </c>
      <c r="E939">
        <v>1.6799E-3</v>
      </c>
      <c r="F939">
        <v>787085660</v>
      </c>
      <c r="G939">
        <v>0</v>
      </c>
      <c r="L939" t="s">
        <v>8</v>
      </c>
      <c r="M939" t="s">
        <v>7</v>
      </c>
      <c r="N939" t="s">
        <v>7</v>
      </c>
      <c r="P939">
        <f t="shared" si="1014"/>
        <v>-0.60266666666666702</v>
      </c>
      <c r="Q939">
        <f t="shared" si="1015"/>
        <v>-474350291.0933336</v>
      </c>
      <c r="R939">
        <f t="shared" si="1016"/>
        <v>-8395976765.3911409</v>
      </c>
      <c r="S939">
        <f t="shared" si="1017"/>
        <v>-83959.767653911404</v>
      </c>
      <c r="T939">
        <f t="shared" si="1018"/>
        <v>-83.959767653911399</v>
      </c>
    </row>
    <row r="940" spans="1:20" x14ac:dyDescent="0.25">
      <c r="A940" s="5">
        <v>43653</v>
      </c>
      <c r="B940">
        <v>1.6720000000000001E-3</v>
      </c>
      <c r="C940">
        <v>1.7473E-3</v>
      </c>
      <c r="D940">
        <v>1.6501E-3</v>
      </c>
      <c r="E940">
        <v>1.7098E-3</v>
      </c>
      <c r="F940">
        <v>874492506</v>
      </c>
      <c r="G940">
        <v>0</v>
      </c>
      <c r="L940" t="s">
        <v>8</v>
      </c>
      <c r="M940" t="s">
        <v>7</v>
      </c>
      <c r="N940" t="s">
        <v>7</v>
      </c>
      <c r="P940">
        <f t="shared" si="1014"/>
        <v>0.22839506172839508</v>
      </c>
      <c r="Q940">
        <f t="shared" si="1015"/>
        <v>199729769.8888889</v>
      </c>
      <c r="R940">
        <f t="shared" si="1016"/>
        <v>-7921626474.2978077</v>
      </c>
      <c r="S940">
        <f t="shared" si="1017"/>
        <v>-79216.264742978077</v>
      </c>
      <c r="T940">
        <f t="shared" si="1018"/>
        <v>-79.216264742978083</v>
      </c>
    </row>
    <row r="941" spans="1:20" x14ac:dyDescent="0.25">
      <c r="A941" s="5">
        <v>43652</v>
      </c>
      <c r="B941">
        <v>1.6599E-3</v>
      </c>
      <c r="C941">
        <v>1.73E-3</v>
      </c>
      <c r="D941">
        <v>1.6573E-3</v>
      </c>
      <c r="E941">
        <v>1.6758000000000001E-3</v>
      </c>
      <c r="F941">
        <v>798237081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-0.4910591471801905</v>
      </c>
      <c r="Q941">
        <f t="shared" si="1015"/>
        <v>-391981620.24346465</v>
      </c>
      <c r="R941">
        <f t="shared" si="1016"/>
        <v>-8121356244.186697</v>
      </c>
      <c r="S941">
        <f t="shared" si="1017"/>
        <v>-81213.562441866976</v>
      </c>
      <c r="T941">
        <f t="shared" si="1018"/>
        <v>-81.213562441866969</v>
      </c>
    </row>
    <row r="942" spans="1:20" x14ac:dyDescent="0.25">
      <c r="A942" s="5">
        <v>43651</v>
      </c>
      <c r="B942">
        <v>1.6377E-3</v>
      </c>
      <c r="C942">
        <v>1.7248999999999999E-3</v>
      </c>
      <c r="D942">
        <v>1.6299999999999999E-3</v>
      </c>
      <c r="E942">
        <v>1.6599E-3</v>
      </c>
      <c r="F942">
        <v>1014242499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-0.36986301369862951</v>
      </c>
      <c r="Q942">
        <f t="shared" si="1015"/>
        <v>-375130787.30136925</v>
      </c>
      <c r="R942">
        <f t="shared" si="1016"/>
        <v>-7729374623.9432325</v>
      </c>
      <c r="S942">
        <f t="shared" si="1017"/>
        <v>-77293.746239432323</v>
      </c>
      <c r="T942">
        <f t="shared" si="1018"/>
        <v>-77.293746239432323</v>
      </c>
    </row>
    <row r="943" spans="1:20" x14ac:dyDescent="0.25">
      <c r="A943" s="5">
        <v>43650</v>
      </c>
      <c r="B943">
        <v>1.7976999999999999E-3</v>
      </c>
      <c r="C943">
        <v>1.8274999999999999E-3</v>
      </c>
      <c r="D943">
        <v>1.6301E-3</v>
      </c>
      <c r="E943">
        <v>1.6413000000000001E-3</v>
      </c>
      <c r="F943">
        <v>2006550101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-0.88652482269503485</v>
      </c>
      <c r="Q943">
        <f t="shared" si="1015"/>
        <v>-1778856472.5177293</v>
      </c>
      <c r="R943">
        <f t="shared" si="1016"/>
        <v>-7354243836.6418629</v>
      </c>
      <c r="S943">
        <f t="shared" si="1017"/>
        <v>-73542.438366418632</v>
      </c>
      <c r="T943">
        <f t="shared" si="1018"/>
        <v>-73.542438366418637</v>
      </c>
    </row>
    <row r="944" spans="1:20" x14ac:dyDescent="0.25">
      <c r="A944" s="5">
        <v>43649</v>
      </c>
      <c r="B944">
        <v>1.768E-3</v>
      </c>
      <c r="C944">
        <v>1.8399E-3</v>
      </c>
      <c r="D944">
        <v>1.6999999999999999E-3</v>
      </c>
      <c r="E944">
        <v>1.7976999999999999E-3</v>
      </c>
      <c r="F944">
        <v>1973716678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0.39671193709792679</v>
      </c>
      <c r="Q944">
        <f t="shared" si="1015"/>
        <v>782996966.61186504</v>
      </c>
      <c r="R944">
        <f t="shared" si="1016"/>
        <v>-5575387364.1241331</v>
      </c>
      <c r="S944">
        <f t="shared" si="1017"/>
        <v>-55753.873641241335</v>
      </c>
      <c r="T944">
        <f t="shared" si="1018"/>
        <v>-55.753873641241334</v>
      </c>
    </row>
    <row r="945" spans="1:20" x14ac:dyDescent="0.25">
      <c r="A945" s="5">
        <v>43648</v>
      </c>
      <c r="B945">
        <v>1.8284E-3</v>
      </c>
      <c r="C945">
        <v>1.8990999999999999E-3</v>
      </c>
      <c r="D945">
        <v>1.7003000000000001E-3</v>
      </c>
      <c r="E945">
        <v>1.768E-3</v>
      </c>
      <c r="F945">
        <v>2260105922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-0.31891348088531168</v>
      </c>
      <c r="Q945">
        <f t="shared" si="1015"/>
        <v>-720778246.75452673</v>
      </c>
      <c r="R945">
        <f t="shared" si="1016"/>
        <v>-6358384330.7359982</v>
      </c>
      <c r="S945">
        <f t="shared" si="1017"/>
        <v>-63583.843307359981</v>
      </c>
      <c r="T945">
        <f t="shared" si="1018"/>
        <v>-63.583843307359977</v>
      </c>
    </row>
    <row r="946" spans="1:20" x14ac:dyDescent="0.25">
      <c r="A946" s="5">
        <v>43647</v>
      </c>
      <c r="B946">
        <v>1.9499999999999999E-3</v>
      </c>
      <c r="C946">
        <v>2.0899999999999998E-3</v>
      </c>
      <c r="D946">
        <v>1.7084999999999999E-3</v>
      </c>
      <c r="E946">
        <v>1.8284E-3</v>
      </c>
      <c r="F946">
        <v>5770255906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-0.37142857142857105</v>
      </c>
      <c r="Q946">
        <f t="shared" si="1015"/>
        <v>-2143237907.9428549</v>
      </c>
      <c r="R946">
        <f t="shared" si="1016"/>
        <v>-5637606083.9814711</v>
      </c>
      <c r="S946">
        <f t="shared" si="1017"/>
        <v>-56376.060839814709</v>
      </c>
      <c r="T946">
        <f t="shared" si="1018"/>
        <v>-56.376060839814706</v>
      </c>
    </row>
    <row r="947" spans="1:20" x14ac:dyDescent="0.25">
      <c r="A947" s="5">
        <v>43646</v>
      </c>
      <c r="B947">
        <v>1.719E-3</v>
      </c>
      <c r="C947">
        <v>2.2000000000000001E-3</v>
      </c>
      <c r="D947">
        <v>1.6057999999999999E-3</v>
      </c>
      <c r="E947">
        <v>1.9499999999999999E-3</v>
      </c>
      <c r="F947">
        <v>5263924315</v>
      </c>
      <c r="G947">
        <v>0</v>
      </c>
      <c r="L947" t="s">
        <v>8</v>
      </c>
      <c r="M947" t="s">
        <v>8</v>
      </c>
      <c r="N947" t="s">
        <v>7</v>
      </c>
      <c r="P947">
        <f t="shared" si="1014"/>
        <v>0.15853248064624664</v>
      </c>
      <c r="Q947">
        <f t="shared" si="1015"/>
        <v>834502979.59104466</v>
      </c>
      <c r="R947">
        <f t="shared" si="1016"/>
        <v>-3494368176.0386162</v>
      </c>
      <c r="S947">
        <f t="shared" si="1017"/>
        <v>-34943.681760386164</v>
      </c>
      <c r="T947">
        <f t="shared" si="1018"/>
        <v>-34.943681760386163</v>
      </c>
    </row>
    <row r="948" spans="1:20" x14ac:dyDescent="0.25">
      <c r="A948" s="5">
        <v>43645</v>
      </c>
      <c r="B948">
        <v>1.7143E-3</v>
      </c>
      <c r="C948">
        <v>1.7851E-3</v>
      </c>
      <c r="D948">
        <v>1.629E-3</v>
      </c>
      <c r="E948">
        <v>1.7159E-3</v>
      </c>
      <c r="F948">
        <v>1618292442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0.11338885329916756</v>
      </c>
      <c r="Q948">
        <f t="shared" si="1015"/>
        <v>183496324.30108964</v>
      </c>
      <c r="R948">
        <f t="shared" si="1016"/>
        <v>-4328871155.6296606</v>
      </c>
      <c r="S948">
        <f t="shared" si="1017"/>
        <v>-43288.711556296606</v>
      </c>
      <c r="T948">
        <f t="shared" si="1018"/>
        <v>-43.288711556296604</v>
      </c>
    </row>
    <row r="949" spans="1:20" x14ac:dyDescent="0.25">
      <c r="A949" s="5">
        <v>43644</v>
      </c>
      <c r="B949">
        <v>1.72E-3</v>
      </c>
      <c r="C949">
        <v>1.7409999999999999E-3</v>
      </c>
      <c r="D949">
        <v>1.6329000000000001E-3</v>
      </c>
      <c r="E949">
        <v>1.7145000000000001E-3</v>
      </c>
      <c r="F949">
        <v>999389192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0.5097132284921394</v>
      </c>
      <c r="Q949">
        <f t="shared" si="1015"/>
        <v>509401891.57447058</v>
      </c>
      <c r="R949">
        <f t="shared" si="1016"/>
        <v>-4512367479.9307499</v>
      </c>
      <c r="S949">
        <f t="shared" si="1017"/>
        <v>-45123.674799307497</v>
      </c>
      <c r="T949">
        <f t="shared" si="1018"/>
        <v>-45.123674799307494</v>
      </c>
    </row>
    <row r="950" spans="1:20" x14ac:dyDescent="0.25">
      <c r="A950" s="5">
        <v>43643</v>
      </c>
      <c r="B950">
        <v>1.7722E-3</v>
      </c>
      <c r="C950">
        <v>1.7981E-3</v>
      </c>
      <c r="D950">
        <v>1.6019999999999999E-3</v>
      </c>
      <c r="E950">
        <v>1.7178E-3</v>
      </c>
      <c r="F950">
        <v>2198325818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0.1810300866904648</v>
      </c>
      <c r="Q950">
        <f t="shared" si="1015"/>
        <v>397963113.40642697</v>
      </c>
      <c r="R950">
        <f t="shared" si="1016"/>
        <v>-5021769371.5052204</v>
      </c>
      <c r="S950">
        <f t="shared" si="1017"/>
        <v>-50217.693715052206</v>
      </c>
      <c r="T950">
        <f t="shared" si="1018"/>
        <v>-50.217693715052206</v>
      </c>
    </row>
    <row r="951" spans="1:20" x14ac:dyDescent="0.25">
      <c r="A951" s="5">
        <v>43642</v>
      </c>
      <c r="B951">
        <v>1.8645999999999999E-3</v>
      </c>
      <c r="C951">
        <v>1.9499999999999999E-3</v>
      </c>
      <c r="D951">
        <v>1.6685999999999999E-3</v>
      </c>
      <c r="E951">
        <v>1.7722E-3</v>
      </c>
      <c r="F951">
        <v>2974727708</v>
      </c>
      <c r="G951">
        <v>0</v>
      </c>
      <c r="L951" t="s">
        <v>8</v>
      </c>
      <c r="M951" t="s">
        <v>8</v>
      </c>
      <c r="N951" t="s">
        <v>7</v>
      </c>
      <c r="P951">
        <f t="shared" si="1014"/>
        <v>-0.26368159203980007</v>
      </c>
      <c r="Q951">
        <f t="shared" si="1015"/>
        <v>-784380937.93034554</v>
      </c>
      <c r="R951">
        <f t="shared" si="1016"/>
        <v>-5419732484.9116478</v>
      </c>
      <c r="S951">
        <f t="shared" si="1017"/>
        <v>-54197.324849116478</v>
      </c>
      <c r="T951">
        <f t="shared" si="1018"/>
        <v>-54.197324849116477</v>
      </c>
    </row>
    <row r="952" spans="1:20" x14ac:dyDescent="0.25">
      <c r="A952" s="5">
        <v>43641</v>
      </c>
      <c r="B952">
        <v>1.8641E-3</v>
      </c>
      <c r="C952">
        <v>1.8783000000000001E-3</v>
      </c>
      <c r="D952">
        <v>1.8051E-3</v>
      </c>
      <c r="E952">
        <v>1.8588999999999999E-3</v>
      </c>
      <c r="F952">
        <v>1243243836</v>
      </c>
      <c r="G952">
        <v>0</v>
      </c>
      <c r="L952" t="s">
        <v>8</v>
      </c>
      <c r="M952" t="s">
        <v>7</v>
      </c>
      <c r="N952" t="s">
        <v>7</v>
      </c>
      <c r="P952">
        <f t="shared" si="1014"/>
        <v>0.46994535519125313</v>
      </c>
      <c r="Q952">
        <f t="shared" si="1015"/>
        <v>584256666.09835601</v>
      </c>
      <c r="R952">
        <f t="shared" si="1016"/>
        <v>-4635351546.9813023</v>
      </c>
      <c r="S952">
        <f t="shared" si="1017"/>
        <v>-46353.515469813021</v>
      </c>
      <c r="T952">
        <f t="shared" si="1018"/>
        <v>-46.353515469813019</v>
      </c>
    </row>
    <row r="953" spans="1:20" x14ac:dyDescent="0.25">
      <c r="A953" s="5">
        <v>43640</v>
      </c>
      <c r="B953">
        <v>1.8085E-3</v>
      </c>
      <c r="C953">
        <v>1.9288E-3</v>
      </c>
      <c r="D953">
        <v>1.7600000000000001E-3</v>
      </c>
      <c r="E953">
        <v>1.8615000000000001E-3</v>
      </c>
      <c r="F953">
        <v>1040982256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0.2026066350710905</v>
      </c>
      <c r="Q953">
        <f t="shared" si="1015"/>
        <v>210909912.05687252</v>
      </c>
      <c r="R953">
        <f t="shared" si="1016"/>
        <v>-5219608213.0796585</v>
      </c>
      <c r="S953">
        <f t="shared" si="1017"/>
        <v>-52196.082130796582</v>
      </c>
      <c r="T953">
        <f t="shared" si="1018"/>
        <v>-52.196082130796583</v>
      </c>
    </row>
    <row r="954" spans="1:20" x14ac:dyDescent="0.25">
      <c r="A954" s="5">
        <v>43639</v>
      </c>
      <c r="B954">
        <v>1.8365E-3</v>
      </c>
      <c r="C954">
        <v>1.895E-3</v>
      </c>
      <c r="D954">
        <v>1.7750000000000001E-3</v>
      </c>
      <c r="E954">
        <v>1.8083000000000001E-3</v>
      </c>
      <c r="F954">
        <v>1144148739</v>
      </c>
      <c r="G954">
        <v>0</v>
      </c>
      <c r="L954" t="s">
        <v>7</v>
      </c>
      <c r="M954" t="s">
        <v>7</v>
      </c>
      <c r="N954" t="s">
        <v>7</v>
      </c>
      <c r="P954">
        <f t="shared" si="1014"/>
        <v>-0.44499999999999951</v>
      </c>
      <c r="Q954">
        <f t="shared" si="1015"/>
        <v>-509146188.85499942</v>
      </c>
      <c r="R954">
        <f t="shared" si="1016"/>
        <v>-5430518125.1365309</v>
      </c>
      <c r="S954">
        <f t="shared" si="1017"/>
        <v>-54305.181251365306</v>
      </c>
      <c r="T954">
        <f t="shared" si="1018"/>
        <v>-54.305181251365305</v>
      </c>
    </row>
    <row r="955" spans="1:20" x14ac:dyDescent="0.25">
      <c r="A955" s="5">
        <v>43638</v>
      </c>
      <c r="B955">
        <v>1.6569E-3</v>
      </c>
      <c r="C955">
        <v>1.9333E-3</v>
      </c>
      <c r="D955">
        <v>1.6291999999999999E-3</v>
      </c>
      <c r="E955">
        <v>1.8366000000000001E-3</v>
      </c>
      <c r="F955">
        <v>2458553901</v>
      </c>
      <c r="G955">
        <v>0</v>
      </c>
      <c r="L955" t="s">
        <v>8</v>
      </c>
      <c r="M955" t="s">
        <v>7</v>
      </c>
      <c r="N955" t="s">
        <v>7</v>
      </c>
      <c r="P955">
        <f t="shared" si="1014"/>
        <v>0.36402499177902081</v>
      </c>
      <c r="Q955">
        <f t="shared" si="1015"/>
        <v>894975063.59980452</v>
      </c>
      <c r="R955">
        <f t="shared" si="1016"/>
        <v>-4921371936.2815313</v>
      </c>
      <c r="S955">
        <f t="shared" si="1017"/>
        <v>-49213.719362815311</v>
      </c>
      <c r="T955">
        <f t="shared" si="1018"/>
        <v>-49.213719362815311</v>
      </c>
    </row>
    <row r="956" spans="1:20" x14ac:dyDescent="0.25">
      <c r="A956" s="5">
        <v>43637</v>
      </c>
      <c r="B956">
        <v>1.6251E-3</v>
      </c>
      <c r="C956">
        <v>1.7149999999999999E-3</v>
      </c>
      <c r="D956">
        <v>1.6142000000000001E-3</v>
      </c>
      <c r="E956">
        <v>1.66E-3</v>
      </c>
      <c r="F956">
        <v>1040833583</v>
      </c>
      <c r="G956">
        <v>0</v>
      </c>
      <c r="L956" t="s">
        <v>8</v>
      </c>
      <c r="M956" t="s">
        <v>7</v>
      </c>
      <c r="N956" t="s">
        <v>7</v>
      </c>
      <c r="P956">
        <f t="shared" si="1014"/>
        <v>-9.1269841269841473E-2</v>
      </c>
      <c r="Q956">
        <f t="shared" si="1015"/>
        <v>-94996715.908730373</v>
      </c>
      <c r="R956">
        <f t="shared" si="1016"/>
        <v>-5816346999.8813362</v>
      </c>
      <c r="S956">
        <f t="shared" si="1017"/>
        <v>-58163.469998813365</v>
      </c>
      <c r="T956">
        <f t="shared" si="1018"/>
        <v>-58.163469998813362</v>
      </c>
    </row>
    <row r="957" spans="1:20" x14ac:dyDescent="0.25">
      <c r="A957" s="5">
        <v>43636</v>
      </c>
      <c r="B957">
        <v>1.7198999999999999E-3</v>
      </c>
      <c r="C957">
        <v>1.7382000000000001E-3</v>
      </c>
      <c r="D957">
        <v>1.6000000000000001E-3</v>
      </c>
      <c r="E957">
        <v>1.6214999999999999E-3</v>
      </c>
      <c r="F957">
        <v>943636476</v>
      </c>
      <c r="G957">
        <v>0</v>
      </c>
      <c r="L957" t="s">
        <v>7</v>
      </c>
      <c r="M957" t="s">
        <v>7</v>
      </c>
      <c r="N957" t="s">
        <v>7</v>
      </c>
      <c r="P957">
        <f t="shared" si="1014"/>
        <v>-0.68885672937771614</v>
      </c>
      <c r="Q957">
        <f t="shared" si="1015"/>
        <v>-650030336.57887375</v>
      </c>
      <c r="R957">
        <f t="shared" si="1016"/>
        <v>-5721350283.9726057</v>
      </c>
      <c r="S957">
        <f t="shared" si="1017"/>
        <v>-57213.502839726054</v>
      </c>
      <c r="T957">
        <f t="shared" si="1018"/>
        <v>-57.213502839726054</v>
      </c>
    </row>
    <row r="958" spans="1:20" x14ac:dyDescent="0.25">
      <c r="A958" s="5">
        <v>43635</v>
      </c>
      <c r="B958">
        <v>1.6796000000000001E-3</v>
      </c>
      <c r="C958">
        <v>1.7288E-3</v>
      </c>
      <c r="D958">
        <v>1.6689999999999999E-3</v>
      </c>
      <c r="E958">
        <v>1.7198999999999999E-3</v>
      </c>
      <c r="F958">
        <v>627749711</v>
      </c>
      <c r="G958">
        <v>0</v>
      </c>
      <c r="L958" t="s">
        <v>7</v>
      </c>
      <c r="M958" t="s">
        <v>7</v>
      </c>
      <c r="N958" t="s">
        <v>7</v>
      </c>
      <c r="P958">
        <f t="shared" si="1014"/>
        <v>0.70234113712374424</v>
      </c>
      <c r="Q958">
        <f t="shared" si="1015"/>
        <v>440894445.85284179</v>
      </c>
      <c r="R958">
        <f t="shared" si="1016"/>
        <v>-5071319947.3937321</v>
      </c>
      <c r="S958">
        <f t="shared" si="1017"/>
        <v>-50713.199473937319</v>
      </c>
      <c r="T958">
        <f t="shared" si="1018"/>
        <v>-50.713199473937316</v>
      </c>
    </row>
    <row r="959" spans="1:20" x14ac:dyDescent="0.25">
      <c r="A959" s="5">
        <v>43634</v>
      </c>
      <c r="B959">
        <v>1.701E-3</v>
      </c>
      <c r="C959">
        <v>1.7539999999999999E-3</v>
      </c>
      <c r="D959">
        <v>1.6551999999999999E-3</v>
      </c>
      <c r="E959">
        <v>1.6796000000000001E-3</v>
      </c>
      <c r="F959">
        <v>787843586</v>
      </c>
      <c r="G959">
        <v>0</v>
      </c>
      <c r="L959" t="s">
        <v>7</v>
      </c>
      <c r="M959" t="s">
        <v>7</v>
      </c>
      <c r="N959" t="s">
        <v>7</v>
      </c>
      <c r="P959">
        <f t="shared" ref="P959:P1022" si="1019">IF(C959=D959,0,((E959-D959)-(C959-E959))/(C959-D959))</f>
        <v>-0.50607287449392402</v>
      </c>
      <c r="Q959">
        <f t="shared" ref="Q959:Q1022" si="1020">F959*P959</f>
        <v>-398706268.21862102</v>
      </c>
      <c r="R959">
        <f t="shared" ref="R959:R1022" si="1021">R960+Q959</f>
        <v>-5512214393.2465734</v>
      </c>
      <c r="S959">
        <f t="shared" ref="S959:S1022" si="1022">R959/100000</f>
        <v>-55122.143932465733</v>
      </c>
      <c r="T959">
        <f t="shared" ref="T959:T1022" si="1023">S959/1000</f>
        <v>-55.122143932465733</v>
      </c>
    </row>
    <row r="960" spans="1:20" x14ac:dyDescent="0.25">
      <c r="A960" s="5">
        <v>43633</v>
      </c>
      <c r="B960">
        <v>1.714E-3</v>
      </c>
      <c r="C960">
        <v>1.825E-3</v>
      </c>
      <c r="D960">
        <v>1.688E-3</v>
      </c>
      <c r="E960">
        <v>1.7017E-3</v>
      </c>
      <c r="F960">
        <v>1376568302</v>
      </c>
      <c r="G960">
        <v>0</v>
      </c>
      <c r="L960" t="s">
        <v>8</v>
      </c>
      <c r="M960" t="s">
        <v>7</v>
      </c>
      <c r="N960" t="s">
        <v>7</v>
      </c>
      <c r="P960">
        <f t="shared" si="1019"/>
        <v>-0.8000000000000006</v>
      </c>
      <c r="Q960">
        <f t="shared" si="1020"/>
        <v>-1101254641.6000009</v>
      </c>
      <c r="R960">
        <f t="shared" si="1021"/>
        <v>-5113508125.0279522</v>
      </c>
      <c r="S960">
        <f t="shared" si="1022"/>
        <v>-51135.081250279523</v>
      </c>
      <c r="T960">
        <f t="shared" si="1023"/>
        <v>-51.135081250279526</v>
      </c>
    </row>
    <row r="961" spans="1:20" x14ac:dyDescent="0.25">
      <c r="A961" s="5">
        <v>43632</v>
      </c>
      <c r="B961">
        <v>1.7278E-3</v>
      </c>
      <c r="C961">
        <v>1.735E-3</v>
      </c>
      <c r="D961">
        <v>1.6230000000000001E-3</v>
      </c>
      <c r="E961">
        <v>1.7151E-3</v>
      </c>
      <c r="F961">
        <v>2127975696</v>
      </c>
      <c r="G961">
        <v>0</v>
      </c>
      <c r="L961" t="s">
        <v>7</v>
      </c>
      <c r="M961" t="s">
        <v>7</v>
      </c>
      <c r="N961" t="s">
        <v>7</v>
      </c>
      <c r="P961">
        <f t="shared" si="1019"/>
        <v>0.64464285714285696</v>
      </c>
      <c r="Q961">
        <f t="shared" si="1020"/>
        <v>1371784332.5999997</v>
      </c>
      <c r="R961">
        <f t="shared" si="1021"/>
        <v>-4012253483.4279518</v>
      </c>
      <c r="S961">
        <f t="shared" si="1022"/>
        <v>-40122.534834279519</v>
      </c>
      <c r="T961">
        <f t="shared" si="1023"/>
        <v>-40.12253483427952</v>
      </c>
    </row>
    <row r="962" spans="1:20" x14ac:dyDescent="0.25">
      <c r="A962" s="5">
        <v>43631</v>
      </c>
      <c r="B962">
        <v>1.7604999999999999E-3</v>
      </c>
      <c r="C962">
        <v>1.7799999999999999E-3</v>
      </c>
      <c r="D962">
        <v>1.7149999999999999E-3</v>
      </c>
      <c r="E962">
        <v>1.7221000000000001E-3</v>
      </c>
      <c r="F962">
        <v>1022721359</v>
      </c>
      <c r="G962">
        <v>0</v>
      </c>
      <c r="L962" t="s">
        <v>7</v>
      </c>
      <c r="M962" t="s">
        <v>7</v>
      </c>
      <c r="N962" t="s">
        <v>7</v>
      </c>
      <c r="P962">
        <f t="shared" si="1019"/>
        <v>-0.78153846153845774</v>
      </c>
      <c r="Q962">
        <f t="shared" si="1020"/>
        <v>-799296077.49538076</v>
      </c>
      <c r="R962">
        <f t="shared" si="1021"/>
        <v>-5384037816.0279512</v>
      </c>
      <c r="S962">
        <f t="shared" si="1022"/>
        <v>-53840.378160279513</v>
      </c>
      <c r="T962">
        <f t="shared" si="1023"/>
        <v>-53.840378160279514</v>
      </c>
    </row>
    <row r="963" spans="1:20" x14ac:dyDescent="0.25">
      <c r="A963" s="5">
        <v>43630</v>
      </c>
      <c r="B963">
        <v>1.8586E-3</v>
      </c>
      <c r="C963">
        <v>1.89E-3</v>
      </c>
      <c r="D963">
        <v>1.689E-3</v>
      </c>
      <c r="E963">
        <v>1.758E-3</v>
      </c>
      <c r="F963">
        <v>1772161020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-0.31343283582089504</v>
      </c>
      <c r="Q963">
        <f t="shared" si="1020"/>
        <v>-555453454.02984989</v>
      </c>
      <c r="R963">
        <f t="shared" si="1021"/>
        <v>-4584741738.5325708</v>
      </c>
      <c r="S963">
        <f t="shared" si="1022"/>
        <v>-45847.417385325709</v>
      </c>
      <c r="T963">
        <f t="shared" si="1023"/>
        <v>-45.847417385325706</v>
      </c>
    </row>
    <row r="964" spans="1:20" x14ac:dyDescent="0.25">
      <c r="A964" s="5">
        <v>43629</v>
      </c>
      <c r="B964">
        <v>1.8334E-3</v>
      </c>
      <c r="C964">
        <v>1.9550000000000001E-3</v>
      </c>
      <c r="D964">
        <v>1.802E-3</v>
      </c>
      <c r="E964">
        <v>1.8653000000000001E-3</v>
      </c>
      <c r="F964">
        <v>1396852594</v>
      </c>
      <c r="G964">
        <v>0</v>
      </c>
      <c r="L964" t="s">
        <v>8</v>
      </c>
      <c r="M964" t="s">
        <v>7</v>
      </c>
      <c r="N964" t="s">
        <v>7</v>
      </c>
      <c r="P964">
        <f t="shared" si="1019"/>
        <v>-0.17254901960784291</v>
      </c>
      <c r="Q964">
        <f t="shared" si="1020"/>
        <v>-241025545.63137224</v>
      </c>
      <c r="R964">
        <f t="shared" si="1021"/>
        <v>-4029288284.5027213</v>
      </c>
      <c r="S964">
        <f t="shared" si="1022"/>
        <v>-40292.882845027212</v>
      </c>
      <c r="T964">
        <f t="shared" si="1023"/>
        <v>-40.292882845027215</v>
      </c>
    </row>
    <row r="965" spans="1:20" x14ac:dyDescent="0.25">
      <c r="A965" s="5">
        <v>43628</v>
      </c>
      <c r="B965">
        <v>1.7864999999999999E-3</v>
      </c>
      <c r="C965">
        <v>1.8534999999999999E-3</v>
      </c>
      <c r="D965">
        <v>1.73E-3</v>
      </c>
      <c r="E965">
        <v>1.83E-3</v>
      </c>
      <c r="F965">
        <v>1053202849</v>
      </c>
      <c r="G965">
        <v>0</v>
      </c>
      <c r="L965" t="s">
        <v>7</v>
      </c>
      <c r="M965" t="s">
        <v>7</v>
      </c>
      <c r="N965" t="s">
        <v>7</v>
      </c>
      <c r="P965">
        <f t="shared" si="1019"/>
        <v>0.61943319838056865</v>
      </c>
      <c r="Q965">
        <f t="shared" si="1020"/>
        <v>652388809.29959714</v>
      </c>
      <c r="R965">
        <f t="shared" si="1021"/>
        <v>-3788262738.8713489</v>
      </c>
      <c r="S965">
        <f t="shared" si="1022"/>
        <v>-37882.627388713488</v>
      </c>
      <c r="T965">
        <f t="shared" si="1023"/>
        <v>-37.882627388713487</v>
      </c>
    </row>
    <row r="966" spans="1:20" x14ac:dyDescent="0.25">
      <c r="A966" s="5">
        <v>43627</v>
      </c>
      <c r="B966">
        <v>1.8443999999999999E-3</v>
      </c>
      <c r="C966">
        <v>1.8559E-3</v>
      </c>
      <c r="D966">
        <v>1.7533E-3</v>
      </c>
      <c r="E966">
        <v>1.7791E-3</v>
      </c>
      <c r="F966">
        <v>879269669</v>
      </c>
      <c r="G966">
        <v>0</v>
      </c>
      <c r="L966" t="s">
        <v>7</v>
      </c>
      <c r="M966" t="s">
        <v>7</v>
      </c>
      <c r="N966" t="s">
        <v>7</v>
      </c>
      <c r="P966">
        <f t="shared" si="1019"/>
        <v>-0.49707602339181123</v>
      </c>
      <c r="Q966">
        <f t="shared" si="1020"/>
        <v>-437063870.55555409</v>
      </c>
      <c r="R966">
        <f t="shared" si="1021"/>
        <v>-4440651548.1709461</v>
      </c>
      <c r="S966">
        <f t="shared" si="1022"/>
        <v>-44406.515481709459</v>
      </c>
      <c r="T966">
        <f t="shared" si="1023"/>
        <v>-44.406515481709462</v>
      </c>
    </row>
    <row r="967" spans="1:20" x14ac:dyDescent="0.25">
      <c r="A967" s="5">
        <v>43626</v>
      </c>
      <c r="B967">
        <v>1.7409999999999999E-3</v>
      </c>
      <c r="C967">
        <v>1.8802000000000001E-3</v>
      </c>
      <c r="D967">
        <v>1.701E-3</v>
      </c>
      <c r="E967">
        <v>1.8545E-3</v>
      </c>
      <c r="F967">
        <v>1015080963</v>
      </c>
      <c r="G967">
        <v>0</v>
      </c>
      <c r="L967" t="s">
        <v>8</v>
      </c>
      <c r="M967" t="s">
        <v>7</v>
      </c>
      <c r="N967" t="s">
        <v>7</v>
      </c>
      <c r="P967">
        <f t="shared" si="1019"/>
        <v>0.71316964285714257</v>
      </c>
      <c r="Q967">
        <f t="shared" si="1020"/>
        <v>723924927.85379434</v>
      </c>
      <c r="R967">
        <f t="shared" si="1021"/>
        <v>-4003587677.6153917</v>
      </c>
      <c r="S967">
        <f t="shared" si="1022"/>
        <v>-40035.87677615392</v>
      </c>
      <c r="T967">
        <f t="shared" si="1023"/>
        <v>-40.03587677615392</v>
      </c>
    </row>
    <row r="968" spans="1:20" x14ac:dyDescent="0.25">
      <c r="A968" s="5">
        <v>43625</v>
      </c>
      <c r="B968">
        <v>1.8933000000000001E-3</v>
      </c>
      <c r="C968">
        <v>1.8933000000000001E-3</v>
      </c>
      <c r="D968">
        <v>1.6848E-3</v>
      </c>
      <c r="E968">
        <v>1.7409999999999999E-3</v>
      </c>
      <c r="F968">
        <v>1198593587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-0.46091127098321422</v>
      </c>
      <c r="Q968">
        <f t="shared" si="1020"/>
        <v>-552445293.5764997</v>
      </c>
      <c r="R968">
        <f t="shared" si="1021"/>
        <v>-4727512605.4691858</v>
      </c>
      <c r="S968">
        <f t="shared" si="1022"/>
        <v>-47275.126054691857</v>
      </c>
      <c r="T968">
        <f t="shared" si="1023"/>
        <v>-47.275126054691853</v>
      </c>
    </row>
    <row r="969" spans="1:20" x14ac:dyDescent="0.25">
      <c r="A969" s="5">
        <v>43624</v>
      </c>
      <c r="B969">
        <v>1.9335999999999999E-3</v>
      </c>
      <c r="C969">
        <v>1.9580000000000001E-3</v>
      </c>
      <c r="D969">
        <v>1.8426E-3</v>
      </c>
      <c r="E969">
        <v>1.8933000000000001E-3</v>
      </c>
      <c r="F969">
        <v>549132975</v>
      </c>
      <c r="G969">
        <v>0</v>
      </c>
      <c r="L969" t="s">
        <v>8</v>
      </c>
      <c r="M969" t="s">
        <v>7</v>
      </c>
      <c r="N969" t="s">
        <v>7</v>
      </c>
      <c r="P969">
        <f t="shared" si="1019"/>
        <v>-0.12131715771230411</v>
      </c>
      <c r="Q969">
        <f t="shared" si="1020"/>
        <v>-66619251.733101755</v>
      </c>
      <c r="R969">
        <f t="shared" si="1021"/>
        <v>-4175067311.8926859</v>
      </c>
      <c r="S969">
        <f t="shared" si="1022"/>
        <v>-41750.673118926861</v>
      </c>
      <c r="T969">
        <f t="shared" si="1023"/>
        <v>-41.750673118926862</v>
      </c>
    </row>
    <row r="970" spans="1:20" x14ac:dyDescent="0.25">
      <c r="A970" s="5">
        <v>43623</v>
      </c>
      <c r="B970">
        <v>1.8730000000000001E-3</v>
      </c>
      <c r="C970">
        <v>1.9746999999999998E-3</v>
      </c>
      <c r="D970">
        <v>1.853E-3</v>
      </c>
      <c r="E970">
        <v>1.9335999999999999E-3</v>
      </c>
      <c r="F970">
        <v>985657405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0.32456861133936005</v>
      </c>
      <c r="Q970">
        <f t="shared" si="1020"/>
        <v>319913455.19720721</v>
      </c>
      <c r="R970">
        <f t="shared" si="1021"/>
        <v>-4108448060.159584</v>
      </c>
      <c r="S970">
        <f t="shared" si="1022"/>
        <v>-41084.480601595838</v>
      </c>
      <c r="T970">
        <f t="shared" si="1023"/>
        <v>-41.084480601595835</v>
      </c>
    </row>
    <row r="971" spans="1:20" x14ac:dyDescent="0.25">
      <c r="A971" s="5">
        <v>43622</v>
      </c>
      <c r="B971">
        <v>1.9417E-3</v>
      </c>
      <c r="C971">
        <v>1.9647000000000002E-3</v>
      </c>
      <c r="D971">
        <v>1.7880000000000001E-3</v>
      </c>
      <c r="E971">
        <v>1.8729E-3</v>
      </c>
      <c r="F971">
        <v>1172293099</v>
      </c>
      <c r="G971">
        <v>0</v>
      </c>
      <c r="L971" t="s">
        <v>7</v>
      </c>
      <c r="M971" t="s">
        <v>7</v>
      </c>
      <c r="N971" t="s">
        <v>7</v>
      </c>
      <c r="P971">
        <f t="shared" si="1019"/>
        <v>-3.9049235993210057E-2</v>
      </c>
      <c r="Q971">
        <f t="shared" si="1020"/>
        <v>-45777149.876062565</v>
      </c>
      <c r="R971">
        <f t="shared" si="1021"/>
        <v>-4428361515.3567915</v>
      </c>
      <c r="S971">
        <f t="shared" si="1022"/>
        <v>-44283.615153567916</v>
      </c>
      <c r="T971">
        <f t="shared" si="1023"/>
        <v>-44.283615153567915</v>
      </c>
    </row>
    <row r="972" spans="1:20" x14ac:dyDescent="0.25">
      <c r="A972" s="5">
        <v>43621</v>
      </c>
      <c r="B972">
        <v>1.8369E-3</v>
      </c>
      <c r="C972">
        <v>1.9999000000000002E-3</v>
      </c>
      <c r="D972">
        <v>1.786E-3</v>
      </c>
      <c r="E972">
        <v>1.9483E-3</v>
      </c>
      <c r="F972">
        <v>1414963841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0.51753155680224283</v>
      </c>
      <c r="Q972">
        <f t="shared" si="1020"/>
        <v>732288439.45161116</v>
      </c>
      <c r="R972">
        <f t="shared" si="1021"/>
        <v>-4382584365.4807291</v>
      </c>
      <c r="S972">
        <f t="shared" si="1022"/>
        <v>-43825.843654807293</v>
      </c>
      <c r="T972">
        <f t="shared" si="1023"/>
        <v>-43.825843654807294</v>
      </c>
    </row>
    <row r="973" spans="1:20" x14ac:dyDescent="0.25">
      <c r="A973" s="5">
        <v>43620</v>
      </c>
      <c r="B973">
        <v>1.9585000000000002E-3</v>
      </c>
      <c r="C973">
        <v>1.9949999999999998E-3</v>
      </c>
      <c r="D973">
        <v>1.745E-3</v>
      </c>
      <c r="E973">
        <v>1.8301999999999999E-3</v>
      </c>
      <c r="F973">
        <v>2071942934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-0.31840000000000018</v>
      </c>
      <c r="Q973">
        <f t="shared" si="1020"/>
        <v>-659706630.1856004</v>
      </c>
      <c r="R973">
        <f t="shared" si="1021"/>
        <v>-5114872804.9323406</v>
      </c>
      <c r="S973">
        <f t="shared" si="1022"/>
        <v>-51148.728049323407</v>
      </c>
      <c r="T973">
        <f t="shared" si="1023"/>
        <v>-51.14872804932341</v>
      </c>
    </row>
    <row r="974" spans="1:20" x14ac:dyDescent="0.25">
      <c r="A974" s="5">
        <v>43619</v>
      </c>
      <c r="B974">
        <v>2.2398000000000001E-3</v>
      </c>
      <c r="C974">
        <v>2.2398000000000001E-3</v>
      </c>
      <c r="D974">
        <v>1.9499999999999999E-3</v>
      </c>
      <c r="E974">
        <v>1.9585000000000002E-3</v>
      </c>
      <c r="F974">
        <v>1697795482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-0.94133885438233089</v>
      </c>
      <c r="Q974">
        <f t="shared" si="1020"/>
        <v>-1598200854.0013773</v>
      </c>
      <c r="R974">
        <f t="shared" si="1021"/>
        <v>-4455166174.7467403</v>
      </c>
      <c r="S974">
        <f t="shared" si="1022"/>
        <v>-44551.661747467406</v>
      </c>
      <c r="T974">
        <f t="shared" si="1023"/>
        <v>-44.551661747467406</v>
      </c>
    </row>
    <row r="975" spans="1:20" x14ac:dyDescent="0.25">
      <c r="A975" s="5">
        <v>43618</v>
      </c>
      <c r="B975">
        <v>2.2455999999999999E-3</v>
      </c>
      <c r="C975">
        <v>2.3138E-3</v>
      </c>
      <c r="D975">
        <v>2.2101E-3</v>
      </c>
      <c r="E975">
        <v>2.2398000000000001E-3</v>
      </c>
      <c r="F975">
        <v>822645041</v>
      </c>
      <c r="G975">
        <v>0</v>
      </c>
      <c r="L975" t="s">
        <v>7</v>
      </c>
      <c r="M975" t="s">
        <v>7</v>
      </c>
      <c r="N975" t="s">
        <v>8</v>
      </c>
      <c r="P975">
        <f t="shared" si="1019"/>
        <v>-0.42719382835100994</v>
      </c>
      <c r="Q975">
        <f t="shared" si="1020"/>
        <v>-351428884.43876356</v>
      </c>
      <c r="R975">
        <f t="shared" si="1021"/>
        <v>-2856965320.7453632</v>
      </c>
      <c r="S975">
        <f t="shared" si="1022"/>
        <v>-28569.653207453634</v>
      </c>
      <c r="T975">
        <f t="shared" si="1023"/>
        <v>-28.569653207453634</v>
      </c>
    </row>
    <row r="976" spans="1:20" x14ac:dyDescent="0.25">
      <c r="A976" s="5">
        <v>43617</v>
      </c>
      <c r="B976">
        <v>2.2786999999999998E-3</v>
      </c>
      <c r="C976">
        <v>2.3402000000000002E-3</v>
      </c>
      <c r="D976">
        <v>2.1930000000000001E-3</v>
      </c>
      <c r="E976">
        <v>2.2488E-3</v>
      </c>
      <c r="F976">
        <v>1578098839</v>
      </c>
      <c r="G976">
        <v>0</v>
      </c>
      <c r="L976" t="s">
        <v>7</v>
      </c>
      <c r="M976" t="s">
        <v>7</v>
      </c>
      <c r="N976" t="s">
        <v>8</v>
      </c>
      <c r="P976">
        <f t="shared" si="1019"/>
        <v>-0.24184782608695779</v>
      </c>
      <c r="Q976">
        <f t="shared" si="1020"/>
        <v>-381659773.56250203</v>
      </c>
      <c r="R976">
        <f t="shared" si="1021"/>
        <v>-2505536436.3065996</v>
      </c>
      <c r="S976">
        <f t="shared" si="1022"/>
        <v>-25055.364363065997</v>
      </c>
      <c r="T976">
        <f t="shared" si="1023"/>
        <v>-25.055364363065998</v>
      </c>
    </row>
    <row r="977" spans="1:20" x14ac:dyDescent="0.25">
      <c r="A977" s="5">
        <v>43616</v>
      </c>
      <c r="B977">
        <v>2.1147000000000002E-3</v>
      </c>
      <c r="C977">
        <v>2.3574999999999998E-3</v>
      </c>
      <c r="D977">
        <v>2.0279999999999999E-3</v>
      </c>
      <c r="E977">
        <v>2.2777000000000001E-3</v>
      </c>
      <c r="F977">
        <v>2096650942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0.51562974203338585</v>
      </c>
      <c r="Q977">
        <f t="shared" si="1020"/>
        <v>1081095584.3575153</v>
      </c>
      <c r="R977">
        <f t="shared" si="1021"/>
        <v>-2123876662.7440977</v>
      </c>
      <c r="S977">
        <f t="shared" si="1022"/>
        <v>-21238.766627440978</v>
      </c>
      <c r="T977">
        <f t="shared" si="1023"/>
        <v>-21.238766627440977</v>
      </c>
    </row>
    <row r="978" spans="1:20" x14ac:dyDescent="0.25">
      <c r="A978" s="5">
        <v>43615</v>
      </c>
      <c r="B978">
        <v>2.4057000000000002E-3</v>
      </c>
      <c r="C978">
        <v>2.4350999999999999E-3</v>
      </c>
      <c r="D978">
        <v>1.9430000000000001E-3</v>
      </c>
      <c r="E978">
        <v>2.1090000000000002E-3</v>
      </c>
      <c r="F978">
        <v>3349865313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-0.3253403779719562</v>
      </c>
      <c r="Q978">
        <f t="shared" si="1020"/>
        <v>-1089846447.0865653</v>
      </c>
      <c r="R978">
        <f t="shared" si="1021"/>
        <v>-3204972247.101613</v>
      </c>
      <c r="S978">
        <f t="shared" si="1022"/>
        <v>-32049.722471016132</v>
      </c>
      <c r="T978">
        <f t="shared" si="1023"/>
        <v>-32.049722471016132</v>
      </c>
    </row>
    <row r="979" spans="1:20" x14ac:dyDescent="0.25">
      <c r="A979" s="5">
        <v>43614</v>
      </c>
      <c r="B979">
        <v>2.4091E-3</v>
      </c>
      <c r="C979">
        <v>2.6226000000000001E-3</v>
      </c>
      <c r="D979">
        <v>2.2935999999999998E-3</v>
      </c>
      <c r="E979">
        <v>2.4126E-3</v>
      </c>
      <c r="F979">
        <v>4303265488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-0.27659574468085063</v>
      </c>
      <c r="Q979">
        <f t="shared" si="1020"/>
        <v>-1190264922.212764</v>
      </c>
      <c r="R979">
        <f t="shared" si="1021"/>
        <v>-2115125800.0150478</v>
      </c>
      <c r="S979">
        <f t="shared" si="1022"/>
        <v>-21151.258000150479</v>
      </c>
      <c r="T979">
        <f t="shared" si="1023"/>
        <v>-21.151258000150481</v>
      </c>
    </row>
    <row r="980" spans="1:20" x14ac:dyDescent="0.25">
      <c r="A980" s="5">
        <v>43613</v>
      </c>
      <c r="B980">
        <v>2.1240999999999999E-3</v>
      </c>
      <c r="C980">
        <v>2.4949999999999998E-3</v>
      </c>
      <c r="D980">
        <v>2.091E-3</v>
      </c>
      <c r="E980">
        <v>2.4099999999999998E-3</v>
      </c>
      <c r="F980">
        <v>4461032313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0.57920792079207906</v>
      </c>
      <c r="Q980">
        <f t="shared" si="1020"/>
        <v>2583865250.599009</v>
      </c>
      <c r="R980">
        <f t="shared" si="1021"/>
        <v>-924860877.80228376</v>
      </c>
      <c r="S980">
        <f t="shared" si="1022"/>
        <v>-9248.6087780228372</v>
      </c>
      <c r="T980">
        <f t="shared" si="1023"/>
        <v>-9.2486087780228381</v>
      </c>
    </row>
    <row r="981" spans="1:20" x14ac:dyDescent="0.25">
      <c r="A981" s="5">
        <v>43612</v>
      </c>
      <c r="B981">
        <v>2.0438000000000001E-3</v>
      </c>
      <c r="C981">
        <v>2.2301999999999999E-3</v>
      </c>
      <c r="D981">
        <v>2.0200000000000001E-3</v>
      </c>
      <c r="E981">
        <v>2.124E-3</v>
      </c>
      <c r="F981">
        <v>2751129669</v>
      </c>
      <c r="G981">
        <v>0</v>
      </c>
      <c r="L981" t="s">
        <v>8</v>
      </c>
      <c r="M981" t="s">
        <v>8</v>
      </c>
      <c r="N981" t="s">
        <v>7</v>
      </c>
      <c r="P981">
        <f t="shared" si="1019"/>
        <v>-1.0466222645099653E-2</v>
      </c>
      <c r="Q981">
        <f t="shared" si="1020"/>
        <v>-28793935.641293313</v>
      </c>
      <c r="R981">
        <f t="shared" si="1021"/>
        <v>-3508726128.4012928</v>
      </c>
      <c r="S981">
        <f t="shared" si="1022"/>
        <v>-35087.26128401293</v>
      </c>
      <c r="T981">
        <f t="shared" si="1023"/>
        <v>-35.087261284012932</v>
      </c>
    </row>
    <row r="982" spans="1:20" x14ac:dyDescent="0.25">
      <c r="A982" s="5">
        <v>43611</v>
      </c>
      <c r="B982">
        <v>1.9214E-3</v>
      </c>
      <c r="C982">
        <v>2.0999999999999999E-3</v>
      </c>
      <c r="D982">
        <v>1.8569000000000001E-3</v>
      </c>
      <c r="E982">
        <v>2.0525999999999999E-3</v>
      </c>
      <c r="F982">
        <v>1912436964</v>
      </c>
      <c r="G982">
        <v>0</v>
      </c>
      <c r="L982" t="s">
        <v>8</v>
      </c>
      <c r="M982" t="s">
        <v>8</v>
      </c>
      <c r="N982" t="s">
        <v>7</v>
      </c>
      <c r="P982">
        <f t="shared" si="1019"/>
        <v>0.6100370218017277</v>
      </c>
      <c r="Q982">
        <f t="shared" si="1020"/>
        <v>1166657349.9020979</v>
      </c>
      <c r="R982">
        <f t="shared" si="1021"/>
        <v>-3479932192.7599993</v>
      </c>
      <c r="S982">
        <f t="shared" si="1022"/>
        <v>-34799.321927599995</v>
      </c>
      <c r="T982">
        <f t="shared" si="1023"/>
        <v>-34.799321927599998</v>
      </c>
    </row>
    <row r="983" spans="1:20" x14ac:dyDescent="0.25">
      <c r="A983" s="5">
        <v>43610</v>
      </c>
      <c r="B983">
        <v>1.9675000000000001E-3</v>
      </c>
      <c r="C983">
        <v>2.0041E-3</v>
      </c>
      <c r="D983">
        <v>1.83E-3</v>
      </c>
      <c r="E983">
        <v>1.9174000000000001E-3</v>
      </c>
      <c r="F983">
        <v>1252792530</v>
      </c>
      <c r="G983">
        <v>0</v>
      </c>
      <c r="L983" t="s">
        <v>7</v>
      </c>
      <c r="M983" t="s">
        <v>8</v>
      </c>
      <c r="N983" t="s">
        <v>7</v>
      </c>
      <c r="P983">
        <f t="shared" si="1019"/>
        <v>4.0206777713967827E-3</v>
      </c>
      <c r="Q983">
        <f t="shared" si="1020"/>
        <v>5037075.0775429374</v>
      </c>
      <c r="R983">
        <f t="shared" si="1021"/>
        <v>-4646589542.662097</v>
      </c>
      <c r="S983">
        <f t="shared" si="1022"/>
        <v>-46465.895426620969</v>
      </c>
      <c r="T983">
        <f t="shared" si="1023"/>
        <v>-46.465895426620968</v>
      </c>
    </row>
    <row r="984" spans="1:20" x14ac:dyDescent="0.25">
      <c r="A984" s="5">
        <v>43609</v>
      </c>
      <c r="B984">
        <v>2.0531999999999998E-3</v>
      </c>
      <c r="C984">
        <v>2.1296000000000002E-3</v>
      </c>
      <c r="D984">
        <v>1.915E-3</v>
      </c>
      <c r="E984">
        <v>1.9746E-3</v>
      </c>
      <c r="F984">
        <v>2143850819</v>
      </c>
      <c r="G984">
        <v>0</v>
      </c>
      <c r="L984" t="s">
        <v>7</v>
      </c>
      <c r="M984" t="s">
        <v>8</v>
      </c>
      <c r="N984" t="s">
        <v>7</v>
      </c>
      <c r="P984">
        <f t="shared" si="1019"/>
        <v>-0.44454799627213515</v>
      </c>
      <c r="Q984">
        <f t="shared" si="1020"/>
        <v>-953044585.89282584</v>
      </c>
      <c r="R984">
        <f t="shared" si="1021"/>
        <v>-4651626617.7396402</v>
      </c>
      <c r="S984">
        <f t="shared" si="1022"/>
        <v>-46516.266177396399</v>
      </c>
      <c r="T984">
        <f t="shared" si="1023"/>
        <v>-46.516266177396396</v>
      </c>
    </row>
    <row r="985" spans="1:20" x14ac:dyDescent="0.25">
      <c r="A985" s="5">
        <v>43608</v>
      </c>
      <c r="B985">
        <v>1.7277E-3</v>
      </c>
      <c r="C985">
        <v>2.1795999999999999E-3</v>
      </c>
      <c r="D985">
        <v>1.6749E-3</v>
      </c>
      <c r="E985">
        <v>2.0533000000000001E-3</v>
      </c>
      <c r="F985">
        <v>4397155422</v>
      </c>
      <c r="G985">
        <v>0</v>
      </c>
      <c r="L985" t="s">
        <v>8</v>
      </c>
      <c r="M985" t="s">
        <v>7</v>
      </c>
      <c r="N985" t="s">
        <v>7</v>
      </c>
      <c r="P985">
        <f t="shared" si="1019"/>
        <v>0.49950465623142543</v>
      </c>
      <c r="Q985">
        <f t="shared" si="1020"/>
        <v>2196399607.4622583</v>
      </c>
      <c r="R985">
        <f t="shared" si="1021"/>
        <v>-3698582031.8468142</v>
      </c>
      <c r="S985">
        <f t="shared" si="1022"/>
        <v>-36985.820318468141</v>
      </c>
      <c r="T985">
        <f t="shared" si="1023"/>
        <v>-36.985820318468143</v>
      </c>
    </row>
    <row r="986" spans="1:20" x14ac:dyDescent="0.25">
      <c r="A986" s="5">
        <v>43607</v>
      </c>
      <c r="B986">
        <v>1.8397000000000001E-3</v>
      </c>
      <c r="C986">
        <v>1.967E-3</v>
      </c>
      <c r="D986">
        <v>1.6949999999999999E-3</v>
      </c>
      <c r="E986">
        <v>1.7298999999999999E-3</v>
      </c>
      <c r="F986">
        <v>2483570961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-0.74338235294117627</v>
      </c>
      <c r="Q986">
        <f t="shared" si="1020"/>
        <v>-1846242824.6845584</v>
      </c>
      <c r="R986">
        <f t="shared" si="1021"/>
        <v>-5894981639.3090725</v>
      </c>
      <c r="S986">
        <f t="shared" si="1022"/>
        <v>-58949.816393090725</v>
      </c>
      <c r="T986">
        <f t="shared" si="1023"/>
        <v>-58.949816393090728</v>
      </c>
    </row>
    <row r="987" spans="1:20" x14ac:dyDescent="0.25">
      <c r="A987" s="5">
        <v>43606</v>
      </c>
      <c r="B987">
        <v>1.7228E-3</v>
      </c>
      <c r="C987">
        <v>2.2845999999999999E-3</v>
      </c>
      <c r="D987">
        <v>1.7175000000000001E-3</v>
      </c>
      <c r="E987">
        <v>1.8391E-3</v>
      </c>
      <c r="F987">
        <v>8986582003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-0.57115147240345632</v>
      </c>
      <c r="Q987">
        <f t="shared" si="1020"/>
        <v>-5132699542.8878517</v>
      </c>
      <c r="R987">
        <f t="shared" si="1021"/>
        <v>-4048738814.6245146</v>
      </c>
      <c r="S987">
        <f t="shared" si="1022"/>
        <v>-40487.388146245146</v>
      </c>
      <c r="T987">
        <f t="shared" si="1023"/>
        <v>-40.487388146245145</v>
      </c>
    </row>
    <row r="988" spans="1:20" x14ac:dyDescent="0.25">
      <c r="A988" s="5">
        <v>43605</v>
      </c>
      <c r="B988">
        <v>1.519E-3</v>
      </c>
      <c r="C988">
        <v>1.7485000000000001E-3</v>
      </c>
      <c r="D988">
        <v>1.4747E-3</v>
      </c>
      <c r="E988">
        <v>1.7227E-3</v>
      </c>
      <c r="F988">
        <v>4262215362</v>
      </c>
      <c r="G988">
        <v>0</v>
      </c>
      <c r="L988" t="s">
        <v>8</v>
      </c>
      <c r="M988" t="s">
        <v>8</v>
      </c>
      <c r="N988" t="s">
        <v>8</v>
      </c>
      <c r="P988">
        <f t="shared" si="1019"/>
        <v>0.81154127100072981</v>
      </c>
      <c r="Q988">
        <f t="shared" si="1020"/>
        <v>3458963672.1563158</v>
      </c>
      <c r="R988">
        <f t="shared" si="1021"/>
        <v>1083960728.2633371</v>
      </c>
      <c r="S988">
        <f t="shared" si="1022"/>
        <v>10839.607282633371</v>
      </c>
      <c r="T988">
        <f t="shared" si="1023"/>
        <v>10.839607282633372</v>
      </c>
    </row>
    <row r="989" spans="1:20" x14ac:dyDescent="0.25">
      <c r="A989" s="5">
        <v>43604</v>
      </c>
      <c r="B989">
        <v>1.4920000000000001E-3</v>
      </c>
      <c r="C989">
        <v>1.5857E-3</v>
      </c>
      <c r="D989">
        <v>1.4649999999999999E-3</v>
      </c>
      <c r="E989">
        <v>1.5162000000000001E-3</v>
      </c>
      <c r="F989">
        <v>1808387839</v>
      </c>
      <c r="G989">
        <v>0</v>
      </c>
      <c r="L989" t="s">
        <v>7</v>
      </c>
      <c r="M989" t="s">
        <v>8</v>
      </c>
      <c r="N989" t="s">
        <v>8</v>
      </c>
      <c r="P989">
        <f t="shared" si="1019"/>
        <v>-0.15161557580778567</v>
      </c>
      <c r="Q989">
        <f t="shared" si="1020"/>
        <v>-274179763.49378222</v>
      </c>
      <c r="R989">
        <f t="shared" si="1021"/>
        <v>-2375002943.8929787</v>
      </c>
      <c r="S989">
        <f t="shared" si="1022"/>
        <v>-23750.029438929785</v>
      </c>
      <c r="T989">
        <f t="shared" si="1023"/>
        <v>-23.750029438929786</v>
      </c>
    </row>
    <row r="990" spans="1:20" x14ac:dyDescent="0.25">
      <c r="A990" s="5">
        <v>43603</v>
      </c>
      <c r="B990">
        <v>1.5146000000000001E-3</v>
      </c>
      <c r="C990">
        <v>1.6398999999999999E-3</v>
      </c>
      <c r="D990">
        <v>1.4599999999999999E-3</v>
      </c>
      <c r="E990">
        <v>1.4970999999999999E-3</v>
      </c>
      <c r="F990">
        <v>2940465448</v>
      </c>
      <c r="G990">
        <v>0</v>
      </c>
      <c r="L990" t="s">
        <v>8</v>
      </c>
      <c r="M990" t="s">
        <v>8</v>
      </c>
      <c r="N990" t="s">
        <v>8</v>
      </c>
      <c r="P990">
        <f t="shared" si="1019"/>
        <v>-0.58754863813229585</v>
      </c>
      <c r="Q990">
        <f t="shared" si="1020"/>
        <v>-1727666469.4474711</v>
      </c>
      <c r="R990">
        <f t="shared" si="1021"/>
        <v>-2100823180.3991966</v>
      </c>
      <c r="S990">
        <f t="shared" si="1022"/>
        <v>-21008.231803991966</v>
      </c>
      <c r="T990">
        <f t="shared" si="1023"/>
        <v>-21.008231803991965</v>
      </c>
    </row>
    <row r="991" spans="1:20" x14ac:dyDescent="0.25">
      <c r="A991" s="5">
        <v>43602</v>
      </c>
      <c r="B991">
        <v>1.4223E-3</v>
      </c>
      <c r="C991">
        <v>1.6000000000000001E-3</v>
      </c>
      <c r="D991">
        <v>1.2800000000000001E-3</v>
      </c>
      <c r="E991">
        <v>1.5095E-3</v>
      </c>
      <c r="F991">
        <v>3158198976</v>
      </c>
      <c r="G991">
        <v>0</v>
      </c>
      <c r="L991" t="s">
        <v>7</v>
      </c>
      <c r="M991" t="s">
        <v>8</v>
      </c>
      <c r="N991" t="s">
        <v>8</v>
      </c>
      <c r="P991">
        <f t="shared" si="1019"/>
        <v>0.4343749999999994</v>
      </c>
      <c r="Q991">
        <f t="shared" si="1020"/>
        <v>1371842680.1999981</v>
      </c>
      <c r="R991">
        <f t="shared" si="1021"/>
        <v>-373156710.95172548</v>
      </c>
      <c r="S991">
        <f t="shared" si="1022"/>
        <v>-3731.5671095172547</v>
      </c>
      <c r="T991">
        <f t="shared" si="1023"/>
        <v>-3.7315671095172549</v>
      </c>
    </row>
    <row r="992" spans="1:20" x14ac:dyDescent="0.25">
      <c r="A992" s="5">
        <v>43601</v>
      </c>
      <c r="B992">
        <v>1.4974999999999999E-3</v>
      </c>
      <c r="C992">
        <v>1.5214E-3</v>
      </c>
      <c r="D992">
        <v>1.32E-3</v>
      </c>
      <c r="E992">
        <v>1.4281999999999999E-3</v>
      </c>
      <c r="F992">
        <v>1985760113</v>
      </c>
      <c r="G992">
        <v>0</v>
      </c>
      <c r="L992" t="s">
        <v>7</v>
      </c>
      <c r="M992" t="s">
        <v>8</v>
      </c>
      <c r="N992" t="s">
        <v>8</v>
      </c>
      <c r="P992">
        <f t="shared" si="1019"/>
        <v>7.4478649453822349E-2</v>
      </c>
      <c r="Q992">
        <f t="shared" si="1020"/>
        <v>147896731.35550967</v>
      </c>
      <c r="R992">
        <f t="shared" si="1021"/>
        <v>-1744999391.1517236</v>
      </c>
      <c r="S992">
        <f t="shared" si="1022"/>
        <v>-17449.993911517235</v>
      </c>
      <c r="T992">
        <f t="shared" si="1023"/>
        <v>-17.449993911517236</v>
      </c>
    </row>
    <row r="993" spans="1:20" x14ac:dyDescent="0.25">
      <c r="A993" s="5">
        <v>43600</v>
      </c>
      <c r="B993">
        <v>1.2742999999999999E-3</v>
      </c>
      <c r="C993">
        <v>1.5499999999999999E-3</v>
      </c>
      <c r="D993">
        <v>1.2700999999999999E-3</v>
      </c>
      <c r="E993">
        <v>1.4920999999999999E-3</v>
      </c>
      <c r="F993">
        <v>2437250155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0.58628081457663417</v>
      </c>
      <c r="Q993">
        <f t="shared" si="1020"/>
        <v>1428913006.2004278</v>
      </c>
      <c r="R993">
        <f t="shared" si="1021"/>
        <v>-1892896122.5072334</v>
      </c>
      <c r="S993">
        <f t="shared" si="1022"/>
        <v>-18928.961225072333</v>
      </c>
      <c r="T993">
        <f t="shared" si="1023"/>
        <v>-18.928961225072332</v>
      </c>
    </row>
    <row r="994" spans="1:20" x14ac:dyDescent="0.25">
      <c r="A994" s="5">
        <v>43599</v>
      </c>
      <c r="B994">
        <v>1.214E-3</v>
      </c>
      <c r="C994">
        <v>1.3079000000000001E-3</v>
      </c>
      <c r="D994">
        <v>1.2110000000000001E-3</v>
      </c>
      <c r="E994">
        <v>1.2848E-3</v>
      </c>
      <c r="F994">
        <v>1197745232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0.52321981424148467</v>
      </c>
      <c r="Q994">
        <f t="shared" si="1020"/>
        <v>626684037.79566395</v>
      </c>
      <c r="R994">
        <f t="shared" si="1021"/>
        <v>-3321809128.7076612</v>
      </c>
      <c r="S994">
        <f t="shared" si="1022"/>
        <v>-33218.091287076611</v>
      </c>
      <c r="T994">
        <f t="shared" si="1023"/>
        <v>-33.218091287076611</v>
      </c>
    </row>
    <row r="995" spans="1:20" x14ac:dyDescent="0.25">
      <c r="A995" s="5">
        <v>43598</v>
      </c>
      <c r="B995">
        <v>1.1999999999999999E-3</v>
      </c>
      <c r="C995">
        <v>1.2899999999999999E-3</v>
      </c>
      <c r="D995">
        <v>1.1666000000000001E-3</v>
      </c>
      <c r="E995">
        <v>1.2130000000000001E-3</v>
      </c>
      <c r="F995">
        <v>1082587566</v>
      </c>
      <c r="G995">
        <v>0</v>
      </c>
      <c r="L995" t="s">
        <v>7</v>
      </c>
      <c r="M995" t="s">
        <v>8</v>
      </c>
      <c r="N995" t="s">
        <v>7</v>
      </c>
      <c r="P995">
        <f t="shared" si="1019"/>
        <v>-0.24797406807131123</v>
      </c>
      <c r="Q995">
        <f t="shared" si="1020"/>
        <v>-268453642.78443915</v>
      </c>
      <c r="R995">
        <f t="shared" si="1021"/>
        <v>-3948493166.503325</v>
      </c>
      <c r="S995">
        <f t="shared" si="1022"/>
        <v>-39484.931665033248</v>
      </c>
      <c r="T995">
        <f t="shared" si="1023"/>
        <v>-39.484931665033244</v>
      </c>
    </row>
    <row r="996" spans="1:20" x14ac:dyDescent="0.25">
      <c r="A996" s="5">
        <v>43597</v>
      </c>
      <c r="B996">
        <v>1.2754000000000001E-3</v>
      </c>
      <c r="C996">
        <v>1.3071000000000001E-3</v>
      </c>
      <c r="D996">
        <v>1.1800000000000001E-3</v>
      </c>
      <c r="E996">
        <v>1.2063E-3</v>
      </c>
      <c r="F996">
        <v>612989962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-0.58615263571990661</v>
      </c>
      <c r="Q996">
        <f t="shared" si="1020"/>
        <v>-359305681.8961454</v>
      </c>
      <c r="R996">
        <f t="shared" si="1021"/>
        <v>-3680039523.7188859</v>
      </c>
      <c r="S996">
        <f t="shared" si="1022"/>
        <v>-36800.395237188859</v>
      </c>
      <c r="T996">
        <f t="shared" si="1023"/>
        <v>-36.800395237188859</v>
      </c>
    </row>
    <row r="997" spans="1:20" x14ac:dyDescent="0.25">
      <c r="A997" s="5">
        <v>43596</v>
      </c>
      <c r="B997">
        <v>1.1593E-3</v>
      </c>
      <c r="C997">
        <v>1.325E-3</v>
      </c>
      <c r="D997">
        <v>1.1406000000000001E-3</v>
      </c>
      <c r="E997">
        <v>1.2768E-3</v>
      </c>
      <c r="F997">
        <v>1120990979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0.47722342733188722</v>
      </c>
      <c r="Q997">
        <f t="shared" si="1020"/>
        <v>534963157.00650764</v>
      </c>
      <c r="R997">
        <f t="shared" si="1021"/>
        <v>-3320733841.8227406</v>
      </c>
      <c r="S997">
        <f t="shared" si="1022"/>
        <v>-33207.338418227402</v>
      </c>
      <c r="T997">
        <f t="shared" si="1023"/>
        <v>-33.207338418227401</v>
      </c>
    </row>
    <row r="998" spans="1:20" x14ac:dyDescent="0.25">
      <c r="A998" s="5">
        <v>43595</v>
      </c>
      <c r="B998">
        <v>1.1149E-3</v>
      </c>
      <c r="C998">
        <v>1.1789999999999999E-3</v>
      </c>
      <c r="D998">
        <v>1.09E-3</v>
      </c>
      <c r="E998">
        <v>1.1593E-3</v>
      </c>
      <c r="F998">
        <v>601439840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0.55730337078651893</v>
      </c>
      <c r="Q998">
        <f t="shared" si="1020"/>
        <v>335184450.15730464</v>
      </c>
      <c r="R998">
        <f t="shared" si="1021"/>
        <v>-3855696998.829248</v>
      </c>
      <c r="S998">
        <f t="shared" si="1022"/>
        <v>-38556.969988292476</v>
      </c>
      <c r="T998">
        <f t="shared" si="1023"/>
        <v>-38.556969988292479</v>
      </c>
    </row>
    <row r="999" spans="1:20" x14ac:dyDescent="0.25">
      <c r="A999" s="5">
        <v>43594</v>
      </c>
      <c r="B999">
        <v>1.219E-3</v>
      </c>
      <c r="C999">
        <v>1.2237999999999999E-3</v>
      </c>
      <c r="D999">
        <v>1.1021E-3</v>
      </c>
      <c r="E999">
        <v>1.1149E-3</v>
      </c>
      <c r="F999">
        <v>505598885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-0.78964667214461637</v>
      </c>
      <c r="Q999">
        <f t="shared" si="1020"/>
        <v>-399244476.98027861</v>
      </c>
      <c r="R999">
        <f t="shared" si="1021"/>
        <v>-4190881448.9865527</v>
      </c>
      <c r="S999">
        <f t="shared" si="1022"/>
        <v>-41908.81448986553</v>
      </c>
      <c r="T999">
        <f t="shared" si="1023"/>
        <v>-41.908814489865527</v>
      </c>
    </row>
    <row r="1000" spans="1:20" x14ac:dyDescent="0.25">
      <c r="A1000" s="5">
        <v>43593</v>
      </c>
      <c r="B1000">
        <v>1.2262E-3</v>
      </c>
      <c r="C1000">
        <v>1.2371999999999999E-3</v>
      </c>
      <c r="D1000">
        <v>1.1869999999999999E-3</v>
      </c>
      <c r="E1000">
        <v>1.2179999999999999E-3</v>
      </c>
      <c r="F1000">
        <v>294671788</v>
      </c>
      <c r="G1000">
        <v>0</v>
      </c>
      <c r="L1000" t="s">
        <v>7</v>
      </c>
      <c r="M1000" t="s">
        <v>7</v>
      </c>
      <c r="N1000" t="s">
        <v>8</v>
      </c>
      <c r="P1000">
        <f t="shared" si="1019"/>
        <v>0.2350597609561744</v>
      </c>
      <c r="Q1000">
        <f t="shared" si="1020"/>
        <v>69265480.047808498</v>
      </c>
      <c r="R1000">
        <f t="shared" si="1021"/>
        <v>-3791636972.0062742</v>
      </c>
      <c r="S1000">
        <f t="shared" si="1022"/>
        <v>-37916.369720062743</v>
      </c>
      <c r="T1000">
        <f t="shared" si="1023"/>
        <v>-37.91636972006274</v>
      </c>
    </row>
    <row r="1001" spans="1:20" x14ac:dyDescent="0.25">
      <c r="A1001" s="5">
        <v>43592</v>
      </c>
      <c r="B1001">
        <v>1.2661E-3</v>
      </c>
      <c r="C1001">
        <v>1.2979000000000001E-3</v>
      </c>
      <c r="D1001">
        <v>1.2199999999999999E-3</v>
      </c>
      <c r="E1001">
        <v>1.2202000000000001E-3</v>
      </c>
      <c r="F1001">
        <v>543190006</v>
      </c>
      <c r="G1001">
        <v>0</v>
      </c>
      <c r="L1001" t="s">
        <v>7</v>
      </c>
      <c r="M1001" t="s">
        <v>7</v>
      </c>
      <c r="N1001" t="s">
        <v>8</v>
      </c>
      <c r="P1001">
        <f t="shared" si="1019"/>
        <v>-0.99486521181000998</v>
      </c>
      <c r="Q1001">
        <f t="shared" si="1020"/>
        <v>-540400840.37227058</v>
      </c>
      <c r="R1001">
        <f t="shared" si="1021"/>
        <v>-3860902452.0540829</v>
      </c>
      <c r="S1001">
        <f t="shared" si="1022"/>
        <v>-38609.024520540828</v>
      </c>
      <c r="T1001">
        <f t="shared" si="1023"/>
        <v>-38.609024520540828</v>
      </c>
    </row>
    <row r="1002" spans="1:20" x14ac:dyDescent="0.25">
      <c r="A1002" s="5">
        <v>43591</v>
      </c>
      <c r="B1002">
        <v>1.281E-3</v>
      </c>
      <c r="C1002">
        <v>1.2828E-3</v>
      </c>
      <c r="D1002">
        <v>1.2254E-3</v>
      </c>
      <c r="E1002">
        <v>1.2642E-3</v>
      </c>
      <c r="F1002">
        <v>252721758</v>
      </c>
      <c r="G1002">
        <v>0</v>
      </c>
      <c r="L1002" t="s">
        <v>7</v>
      </c>
      <c r="M1002" t="s">
        <v>7</v>
      </c>
      <c r="N1002" t="s">
        <v>8</v>
      </c>
      <c r="P1002">
        <f t="shared" si="1019"/>
        <v>0.3519163763066232</v>
      </c>
      <c r="Q1002">
        <f t="shared" si="1020"/>
        <v>88936925.289199367</v>
      </c>
      <c r="R1002">
        <f t="shared" si="1021"/>
        <v>-3320501611.6818123</v>
      </c>
      <c r="S1002">
        <f t="shared" si="1022"/>
        <v>-33205.016116818122</v>
      </c>
      <c r="T1002">
        <f t="shared" si="1023"/>
        <v>-33.205016116818122</v>
      </c>
    </row>
    <row r="1003" spans="1:20" x14ac:dyDescent="0.25">
      <c r="A1003" s="5">
        <v>43590</v>
      </c>
      <c r="B1003">
        <v>1.2848E-3</v>
      </c>
      <c r="C1003">
        <v>1.3025000000000001E-3</v>
      </c>
      <c r="D1003">
        <v>1.2603E-3</v>
      </c>
      <c r="E1003">
        <v>1.2819999999999999E-3</v>
      </c>
      <c r="F1003">
        <v>203375966</v>
      </c>
      <c r="G1003">
        <v>0</v>
      </c>
      <c r="L1003" t="s">
        <v>8</v>
      </c>
      <c r="M1003" t="s">
        <v>7</v>
      </c>
      <c r="N1003" t="s">
        <v>8</v>
      </c>
      <c r="P1003">
        <f t="shared" si="1019"/>
        <v>2.8436018957341491E-2</v>
      </c>
      <c r="Q1003">
        <f t="shared" si="1020"/>
        <v>5783202.8246436389</v>
      </c>
      <c r="R1003">
        <f t="shared" si="1021"/>
        <v>-3409438536.9710116</v>
      </c>
      <c r="S1003">
        <f t="shared" si="1022"/>
        <v>-34094.385369710115</v>
      </c>
      <c r="T1003">
        <f t="shared" si="1023"/>
        <v>-34.094385369710118</v>
      </c>
    </row>
    <row r="1004" spans="1:20" x14ac:dyDescent="0.25">
      <c r="A1004" s="5">
        <v>43589</v>
      </c>
      <c r="B1004">
        <v>1.3063E-3</v>
      </c>
      <c r="C1004">
        <v>1.3143E-3</v>
      </c>
      <c r="D1004">
        <v>1.2444000000000001E-3</v>
      </c>
      <c r="E1004">
        <v>1.2848E-3</v>
      </c>
      <c r="F1004">
        <v>449491265</v>
      </c>
      <c r="G1004">
        <v>0</v>
      </c>
      <c r="L1004" t="s">
        <v>8</v>
      </c>
      <c r="M1004" t="s">
        <v>7</v>
      </c>
      <c r="N1004" t="s">
        <v>8</v>
      </c>
      <c r="P1004">
        <f t="shared" si="1019"/>
        <v>0.15593705293275964</v>
      </c>
      <c r="Q1004">
        <f t="shared" si="1020"/>
        <v>70092343.18311809</v>
      </c>
      <c r="R1004">
        <f t="shared" si="1021"/>
        <v>-3415221739.7956553</v>
      </c>
      <c r="S1004">
        <f t="shared" si="1022"/>
        <v>-34152.217397956556</v>
      </c>
      <c r="T1004">
        <f t="shared" si="1023"/>
        <v>-34.152217397956555</v>
      </c>
    </row>
    <row r="1005" spans="1:20" x14ac:dyDescent="0.25">
      <c r="A1005" s="5">
        <v>43588</v>
      </c>
      <c r="B1005">
        <v>1.2918000000000001E-3</v>
      </c>
      <c r="C1005">
        <v>1.3332999999999999E-3</v>
      </c>
      <c r="D1005">
        <v>1.2841E-3</v>
      </c>
      <c r="E1005">
        <v>1.3014999999999999E-3</v>
      </c>
      <c r="F1005">
        <v>498143544</v>
      </c>
      <c r="G1005">
        <v>0</v>
      </c>
      <c r="L1005" t="s">
        <v>8</v>
      </c>
      <c r="M1005" t="s">
        <v>7</v>
      </c>
      <c r="N1005" t="s">
        <v>8</v>
      </c>
      <c r="P1005">
        <f t="shared" si="1019"/>
        <v>-0.29268292682927161</v>
      </c>
      <c r="Q1005">
        <f t="shared" si="1020"/>
        <v>-145798110.43902603</v>
      </c>
      <c r="R1005">
        <f t="shared" si="1021"/>
        <v>-3485314082.9787731</v>
      </c>
      <c r="S1005">
        <f t="shared" si="1022"/>
        <v>-34853.140829787728</v>
      </c>
      <c r="T1005">
        <f t="shared" si="1023"/>
        <v>-34.853140829787726</v>
      </c>
    </row>
    <row r="1006" spans="1:20" x14ac:dyDescent="0.25">
      <c r="A1006" s="5">
        <v>43587</v>
      </c>
      <c r="B1006">
        <v>1.2899999999999999E-3</v>
      </c>
      <c r="C1006">
        <v>1.3045999999999999E-3</v>
      </c>
      <c r="D1006">
        <v>1.2727000000000001E-3</v>
      </c>
      <c r="E1006">
        <v>1.2979999999999999E-3</v>
      </c>
      <c r="F1006">
        <v>191102790</v>
      </c>
      <c r="G1006">
        <v>0</v>
      </c>
      <c r="L1006" t="s">
        <v>7</v>
      </c>
      <c r="M1006" t="s">
        <v>7</v>
      </c>
      <c r="N1006" t="s">
        <v>8</v>
      </c>
      <c r="P1006">
        <f t="shared" si="1019"/>
        <v>0.58620689655171898</v>
      </c>
      <c r="Q1006">
        <f t="shared" si="1020"/>
        <v>112025773.44827488</v>
      </c>
      <c r="R1006">
        <f t="shared" si="1021"/>
        <v>-3339515972.5397472</v>
      </c>
      <c r="S1006">
        <f t="shared" si="1022"/>
        <v>-33395.159725397476</v>
      </c>
      <c r="T1006">
        <f t="shared" si="1023"/>
        <v>-33.395159725397477</v>
      </c>
    </row>
    <row r="1007" spans="1:20" x14ac:dyDescent="0.25">
      <c r="A1007" s="5">
        <v>43586</v>
      </c>
      <c r="B1007">
        <v>1.2937999999999999E-3</v>
      </c>
      <c r="C1007">
        <v>1.2999999999999999E-3</v>
      </c>
      <c r="D1007">
        <v>1.2777000000000001E-3</v>
      </c>
      <c r="E1007">
        <v>1.2899999999999999E-3</v>
      </c>
      <c r="F1007">
        <v>221385828</v>
      </c>
      <c r="G1007">
        <v>0</v>
      </c>
      <c r="L1007" t="s">
        <v>7</v>
      </c>
      <c r="M1007" t="s">
        <v>7</v>
      </c>
      <c r="N1007" t="s">
        <v>8</v>
      </c>
      <c r="P1007">
        <f t="shared" si="1019"/>
        <v>0.10313901345290591</v>
      </c>
      <c r="Q1007">
        <f t="shared" si="1020"/>
        <v>22833515.892374713</v>
      </c>
      <c r="R1007">
        <f t="shared" si="1021"/>
        <v>-3451541745.9880223</v>
      </c>
      <c r="S1007">
        <f t="shared" si="1022"/>
        <v>-34515.41745988022</v>
      </c>
      <c r="T1007">
        <f t="shared" si="1023"/>
        <v>-34.515417459880219</v>
      </c>
    </row>
    <row r="1008" spans="1:20" x14ac:dyDescent="0.25">
      <c r="A1008" s="5">
        <v>43585</v>
      </c>
      <c r="B1008">
        <v>1.2282E-3</v>
      </c>
      <c r="C1008">
        <v>1.3009E-3</v>
      </c>
      <c r="D1008">
        <v>1.2205E-3</v>
      </c>
      <c r="E1008">
        <v>1.2918999999999999E-3</v>
      </c>
      <c r="F1008">
        <v>341494173</v>
      </c>
      <c r="G1008">
        <v>0</v>
      </c>
      <c r="L1008" t="s">
        <v>7</v>
      </c>
      <c r="M1008" t="s">
        <v>7</v>
      </c>
      <c r="N1008" t="s">
        <v>8</v>
      </c>
      <c r="P1008">
        <f t="shared" si="1019"/>
        <v>0.77611940298507187</v>
      </c>
      <c r="Q1008">
        <f t="shared" si="1020"/>
        <v>265040253.67164084</v>
      </c>
      <c r="R1008">
        <f t="shared" si="1021"/>
        <v>-3474375261.8803968</v>
      </c>
      <c r="S1008">
        <f t="shared" si="1022"/>
        <v>-34743.75261880397</v>
      </c>
      <c r="T1008">
        <f t="shared" si="1023"/>
        <v>-34.743752618803967</v>
      </c>
    </row>
    <row r="1009" spans="1:20" x14ac:dyDescent="0.25">
      <c r="A1009" s="5">
        <v>43584</v>
      </c>
      <c r="B1009">
        <v>1.2750000000000001E-3</v>
      </c>
      <c r="C1009">
        <v>1.2829E-3</v>
      </c>
      <c r="D1009">
        <v>1.2208E-3</v>
      </c>
      <c r="E1009">
        <v>1.2336999999999999E-3</v>
      </c>
      <c r="F1009">
        <v>292579839</v>
      </c>
      <c r="G1009">
        <v>0</v>
      </c>
      <c r="L1009" t="s">
        <v>7</v>
      </c>
      <c r="M1009" t="s">
        <v>7</v>
      </c>
      <c r="N1009" t="s">
        <v>8</v>
      </c>
      <c r="P1009">
        <f t="shared" si="1019"/>
        <v>-0.58454106280193474</v>
      </c>
      <c r="Q1009">
        <f t="shared" si="1020"/>
        <v>-171024930.04347897</v>
      </c>
      <c r="R1009">
        <f t="shared" si="1021"/>
        <v>-3739415515.5520377</v>
      </c>
      <c r="S1009">
        <f t="shared" si="1022"/>
        <v>-37394.155155520377</v>
      </c>
      <c r="T1009">
        <f t="shared" si="1023"/>
        <v>-37.39415515552038</v>
      </c>
    </row>
    <row r="1010" spans="1:20" x14ac:dyDescent="0.25">
      <c r="A1010" s="5">
        <v>43583</v>
      </c>
      <c r="B1010">
        <v>1.2991000000000001E-3</v>
      </c>
      <c r="C1010">
        <v>1.31E-3</v>
      </c>
      <c r="D1010">
        <v>1.2700000000000001E-3</v>
      </c>
      <c r="E1010">
        <v>1.2750000000000001E-3</v>
      </c>
      <c r="F1010">
        <v>355532395</v>
      </c>
      <c r="G1010">
        <v>0</v>
      </c>
      <c r="L1010" t="s">
        <v>7</v>
      </c>
      <c r="M1010" t="s">
        <v>7</v>
      </c>
      <c r="N1010" t="s">
        <v>8</v>
      </c>
      <c r="P1010">
        <f t="shared" si="1019"/>
        <v>-0.74999999999999867</v>
      </c>
      <c r="Q1010">
        <f t="shared" si="1020"/>
        <v>-266649296.24999952</v>
      </c>
      <c r="R1010">
        <f t="shared" si="1021"/>
        <v>-3568390585.5085588</v>
      </c>
      <c r="S1010">
        <f t="shared" si="1022"/>
        <v>-35683.905855085584</v>
      </c>
      <c r="T1010">
        <f t="shared" si="1023"/>
        <v>-35.683905855085584</v>
      </c>
    </row>
    <row r="1011" spans="1:20" x14ac:dyDescent="0.25">
      <c r="A1011" s="5">
        <v>43582</v>
      </c>
      <c r="B1011">
        <v>1.2786E-3</v>
      </c>
      <c r="C1011">
        <v>1.31E-3</v>
      </c>
      <c r="D1011">
        <v>1.2599E-3</v>
      </c>
      <c r="E1011">
        <v>1.2979999999999999E-3</v>
      </c>
      <c r="F1011">
        <v>330813341</v>
      </c>
      <c r="G1011">
        <v>0</v>
      </c>
      <c r="L1011" t="s">
        <v>7</v>
      </c>
      <c r="M1011" t="s">
        <v>7</v>
      </c>
      <c r="N1011" t="s">
        <v>8</v>
      </c>
      <c r="P1011">
        <f t="shared" si="1019"/>
        <v>0.52095808383233211</v>
      </c>
      <c r="Q1011">
        <f t="shared" si="1020"/>
        <v>172339884.23353186</v>
      </c>
      <c r="R1011">
        <f t="shared" si="1021"/>
        <v>-3301741289.2585592</v>
      </c>
      <c r="S1011">
        <f t="shared" si="1022"/>
        <v>-33017.412892585591</v>
      </c>
      <c r="T1011">
        <f t="shared" si="1023"/>
        <v>-33.01741289258559</v>
      </c>
    </row>
    <row r="1012" spans="1:20" x14ac:dyDescent="0.25">
      <c r="A1012" s="5">
        <v>43581</v>
      </c>
      <c r="B1012">
        <v>1.2470000000000001E-3</v>
      </c>
      <c r="C1012">
        <v>1.2999999999999999E-3</v>
      </c>
      <c r="D1012">
        <v>1.2199999999999999E-3</v>
      </c>
      <c r="E1012">
        <v>1.276E-3</v>
      </c>
      <c r="F1012">
        <v>357308133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0.40000000000000163</v>
      </c>
      <c r="Q1012">
        <f t="shared" si="1020"/>
        <v>142923253.20000058</v>
      </c>
      <c r="R1012">
        <f t="shared" si="1021"/>
        <v>-3474081173.4920912</v>
      </c>
      <c r="S1012">
        <f t="shared" si="1022"/>
        <v>-34740.811734920913</v>
      </c>
      <c r="T1012">
        <f t="shared" si="1023"/>
        <v>-34.740811734920911</v>
      </c>
    </row>
    <row r="1013" spans="1:20" x14ac:dyDescent="0.25">
      <c r="A1013" s="5">
        <v>43580</v>
      </c>
      <c r="B1013">
        <v>1.2734999999999999E-3</v>
      </c>
      <c r="C1013">
        <v>1.34E-3</v>
      </c>
      <c r="D1013">
        <v>1.2199999999999999E-3</v>
      </c>
      <c r="E1013">
        <v>1.2489999999999999E-3</v>
      </c>
      <c r="F1013">
        <v>653504857</v>
      </c>
      <c r="G1013">
        <v>0</v>
      </c>
      <c r="L1013" t="s">
        <v>8</v>
      </c>
      <c r="M1013" t="s">
        <v>7</v>
      </c>
      <c r="N1013" t="s">
        <v>8</v>
      </c>
      <c r="P1013">
        <f t="shared" si="1019"/>
        <v>-0.51666666666666794</v>
      </c>
      <c r="Q1013">
        <f t="shared" si="1020"/>
        <v>-337644176.11666751</v>
      </c>
      <c r="R1013">
        <f t="shared" si="1021"/>
        <v>-3617004426.6920919</v>
      </c>
      <c r="S1013">
        <f t="shared" si="1022"/>
        <v>-36170.044266920922</v>
      </c>
      <c r="T1013">
        <f t="shared" si="1023"/>
        <v>-36.170044266920925</v>
      </c>
    </row>
    <row r="1014" spans="1:20" x14ac:dyDescent="0.25">
      <c r="A1014" s="5">
        <v>43579</v>
      </c>
      <c r="B1014">
        <v>1.3270000000000001E-3</v>
      </c>
      <c r="C1014">
        <v>1.3435000000000001E-3</v>
      </c>
      <c r="D1014">
        <v>1.23E-3</v>
      </c>
      <c r="E1014">
        <v>1.2783E-3</v>
      </c>
      <c r="F1014">
        <v>843091867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-0.14889867841409707</v>
      </c>
      <c r="Q1014">
        <f t="shared" si="1020"/>
        <v>-125535264.7779737</v>
      </c>
      <c r="R1014">
        <f t="shared" si="1021"/>
        <v>-3279360250.5754247</v>
      </c>
      <c r="S1014">
        <f t="shared" si="1022"/>
        <v>-32793.60250575425</v>
      </c>
      <c r="T1014">
        <f t="shared" si="1023"/>
        <v>-32.793602505754251</v>
      </c>
    </row>
    <row r="1015" spans="1:20" x14ac:dyDescent="0.25">
      <c r="A1015" s="5">
        <v>43578</v>
      </c>
      <c r="B1015">
        <v>1.3764000000000001E-3</v>
      </c>
      <c r="C1015">
        <v>1.4166000000000001E-3</v>
      </c>
      <c r="D1015">
        <v>1.3205999999999999E-3</v>
      </c>
      <c r="E1015">
        <v>1.3270000000000001E-3</v>
      </c>
      <c r="F1015">
        <v>609219067</v>
      </c>
      <c r="G1015">
        <v>0</v>
      </c>
      <c r="L1015" t="s">
        <v>7</v>
      </c>
      <c r="M1015" t="s">
        <v>8</v>
      </c>
      <c r="N1015" t="s">
        <v>8</v>
      </c>
      <c r="P1015">
        <f t="shared" si="1019"/>
        <v>-0.8666666666666637</v>
      </c>
      <c r="Q1015">
        <f t="shared" si="1020"/>
        <v>-527989858.06666487</v>
      </c>
      <c r="R1015">
        <f t="shared" si="1021"/>
        <v>-3153824985.797451</v>
      </c>
      <c r="S1015">
        <f t="shared" si="1022"/>
        <v>-31538.249857974512</v>
      </c>
      <c r="T1015">
        <f t="shared" si="1023"/>
        <v>-31.538249857974513</v>
      </c>
    </row>
    <row r="1016" spans="1:20" x14ac:dyDescent="0.25">
      <c r="A1016" s="5">
        <v>43577</v>
      </c>
      <c r="B1016">
        <v>1.3734000000000001E-3</v>
      </c>
      <c r="C1016">
        <v>1.4170000000000001E-3</v>
      </c>
      <c r="D1016">
        <v>1.3496000000000001E-3</v>
      </c>
      <c r="E1016">
        <v>1.3753999999999999E-3</v>
      </c>
      <c r="F1016">
        <v>455039485</v>
      </c>
      <c r="G1016">
        <v>0</v>
      </c>
      <c r="L1016" t="s">
        <v>7</v>
      </c>
      <c r="M1016" t="s">
        <v>8</v>
      </c>
      <c r="N1016" t="s">
        <v>8</v>
      </c>
      <c r="P1016">
        <f t="shared" si="1019"/>
        <v>-0.23442136498516725</v>
      </c>
      <c r="Q1016">
        <f t="shared" si="1020"/>
        <v>-106670977.19584754</v>
      </c>
      <c r="R1016">
        <f t="shared" si="1021"/>
        <v>-2625835127.7307863</v>
      </c>
      <c r="S1016">
        <f t="shared" si="1022"/>
        <v>-26258.351277307862</v>
      </c>
      <c r="T1016">
        <f t="shared" si="1023"/>
        <v>-26.258351277307863</v>
      </c>
    </row>
    <row r="1017" spans="1:20" x14ac:dyDescent="0.25">
      <c r="A1017" s="5">
        <v>43576</v>
      </c>
      <c r="B1017">
        <v>1.4599000000000001E-3</v>
      </c>
      <c r="C1017">
        <v>1.4835E-3</v>
      </c>
      <c r="D1017">
        <v>1.3346E-3</v>
      </c>
      <c r="E1017">
        <v>1.3734000000000001E-3</v>
      </c>
      <c r="F1017">
        <v>910671051</v>
      </c>
      <c r="G1017">
        <v>0</v>
      </c>
      <c r="L1017" t="s">
        <v>8</v>
      </c>
      <c r="M1017" t="s">
        <v>8</v>
      </c>
      <c r="N1017" t="s">
        <v>8</v>
      </c>
      <c r="P1017">
        <f t="shared" si="1019"/>
        <v>-0.4788448623237061</v>
      </c>
      <c r="Q1017">
        <f t="shared" si="1020"/>
        <v>-436070154.03827971</v>
      </c>
      <c r="R1017">
        <f t="shared" si="1021"/>
        <v>-2519164150.5349388</v>
      </c>
      <c r="S1017">
        <f t="shared" si="1022"/>
        <v>-25191.641505349387</v>
      </c>
      <c r="T1017">
        <f t="shared" si="1023"/>
        <v>-25.191641505349388</v>
      </c>
    </row>
    <row r="1018" spans="1:20" x14ac:dyDescent="0.25">
      <c r="A1018" s="5">
        <v>43575</v>
      </c>
      <c r="B1018">
        <v>1.4065E-3</v>
      </c>
      <c r="C1018">
        <v>1.4679999999999999E-3</v>
      </c>
      <c r="D1018">
        <v>1.4E-3</v>
      </c>
      <c r="E1018">
        <v>1.4633000000000001E-3</v>
      </c>
      <c r="F1018">
        <v>654992179</v>
      </c>
      <c r="G1018">
        <v>0</v>
      </c>
      <c r="L1018" t="s">
        <v>8</v>
      </c>
      <c r="M1018" t="s">
        <v>8</v>
      </c>
      <c r="N1018" t="s">
        <v>8</v>
      </c>
      <c r="P1018">
        <f t="shared" si="1019"/>
        <v>0.86176470588235743</v>
      </c>
      <c r="Q1018">
        <f t="shared" si="1020"/>
        <v>564449142.49117947</v>
      </c>
      <c r="R1018">
        <f t="shared" si="1021"/>
        <v>-2083093996.4966593</v>
      </c>
      <c r="S1018">
        <f t="shared" si="1022"/>
        <v>-20830.939964966594</v>
      </c>
      <c r="T1018">
        <f t="shared" si="1023"/>
        <v>-20.830939964966593</v>
      </c>
    </row>
    <row r="1019" spans="1:20" x14ac:dyDescent="0.25">
      <c r="A1019" s="5">
        <v>43574</v>
      </c>
      <c r="B1019">
        <v>1.4319000000000001E-3</v>
      </c>
      <c r="C1019">
        <v>1.438E-3</v>
      </c>
      <c r="D1019">
        <v>1.3649999999999999E-3</v>
      </c>
      <c r="E1019">
        <v>1.4019E-3</v>
      </c>
      <c r="F1019">
        <v>951368076</v>
      </c>
      <c r="G1019">
        <v>0</v>
      </c>
      <c r="L1019" t="s">
        <v>7</v>
      </c>
      <c r="M1019" t="s">
        <v>8</v>
      </c>
      <c r="N1019" t="s">
        <v>8</v>
      </c>
      <c r="P1019">
        <f t="shared" si="1019"/>
        <v>1.0958904109589286E-2</v>
      </c>
      <c r="Q1019">
        <f t="shared" si="1020"/>
        <v>10425951.517808452</v>
      </c>
      <c r="R1019">
        <f t="shared" si="1021"/>
        <v>-2647543138.9878387</v>
      </c>
      <c r="S1019">
        <f t="shared" si="1022"/>
        <v>-26475.431389878388</v>
      </c>
      <c r="T1019">
        <f t="shared" si="1023"/>
        <v>-26.475431389878388</v>
      </c>
    </row>
    <row r="1020" spans="1:20" x14ac:dyDescent="0.25">
      <c r="A1020" s="5">
        <v>43573</v>
      </c>
      <c r="B1020">
        <v>1.4789E-3</v>
      </c>
      <c r="C1020">
        <v>1.5150000000000001E-3</v>
      </c>
      <c r="D1020">
        <v>1.4E-3</v>
      </c>
      <c r="E1020">
        <v>1.4265E-3</v>
      </c>
      <c r="F1020">
        <v>2007959719</v>
      </c>
      <c r="G1020">
        <v>0</v>
      </c>
      <c r="L1020" t="s">
        <v>7</v>
      </c>
      <c r="M1020" t="s">
        <v>8</v>
      </c>
      <c r="N1020" t="s">
        <v>8</v>
      </c>
      <c r="P1020">
        <f t="shared" si="1019"/>
        <v>-0.53913043478260825</v>
      </c>
      <c r="Q1020">
        <f t="shared" si="1020"/>
        <v>-1082552196.3304338</v>
      </c>
      <c r="R1020">
        <f t="shared" si="1021"/>
        <v>-2657969090.5056472</v>
      </c>
      <c r="S1020">
        <f t="shared" si="1022"/>
        <v>-26579.690905056472</v>
      </c>
      <c r="T1020">
        <f t="shared" si="1023"/>
        <v>-26.579690905056474</v>
      </c>
    </row>
    <row r="1021" spans="1:20" x14ac:dyDescent="0.25">
      <c r="A1021" s="5">
        <v>43572</v>
      </c>
      <c r="B1021">
        <v>1.3242E-3</v>
      </c>
      <c r="C1021">
        <v>1.5384999999999999E-3</v>
      </c>
      <c r="D1021">
        <v>1.317E-3</v>
      </c>
      <c r="E1021">
        <v>1.4789E-3</v>
      </c>
      <c r="F1021">
        <v>3746404531</v>
      </c>
      <c r="G1021">
        <v>0</v>
      </c>
      <c r="L1021" t="s">
        <v>8</v>
      </c>
      <c r="M1021" t="s">
        <v>8</v>
      </c>
      <c r="N1021" t="s">
        <v>8</v>
      </c>
      <c r="P1021">
        <f t="shared" si="1019"/>
        <v>0.46185101580135479</v>
      </c>
      <c r="Q1021">
        <f t="shared" si="1020"/>
        <v>1730280738.2451482</v>
      </c>
      <c r="R1021">
        <f t="shared" si="1021"/>
        <v>-1575416894.1752133</v>
      </c>
      <c r="S1021">
        <f t="shared" si="1022"/>
        <v>-15754.168941752134</v>
      </c>
      <c r="T1021">
        <f t="shared" si="1023"/>
        <v>-15.754168941752134</v>
      </c>
    </row>
    <row r="1022" spans="1:20" x14ac:dyDescent="0.25">
      <c r="A1022" s="5">
        <v>43571</v>
      </c>
      <c r="B1022">
        <v>1.2409999999999999E-3</v>
      </c>
      <c r="C1022">
        <v>1.3248999999999999E-3</v>
      </c>
      <c r="D1022">
        <v>1.2409000000000001E-3</v>
      </c>
      <c r="E1022">
        <v>1.3242E-3</v>
      </c>
      <c r="F1022">
        <v>802456575</v>
      </c>
      <c r="G1022">
        <v>0</v>
      </c>
      <c r="L1022" t="s">
        <v>8</v>
      </c>
      <c r="M1022" t="s">
        <v>8</v>
      </c>
      <c r="N1022" t="s">
        <v>7</v>
      </c>
      <c r="P1022">
        <f t="shared" si="1019"/>
        <v>0.98333333333333417</v>
      </c>
      <c r="Q1022">
        <f t="shared" si="1020"/>
        <v>789082298.75000072</v>
      </c>
      <c r="R1022">
        <f t="shared" si="1021"/>
        <v>-3305697632.4203615</v>
      </c>
      <c r="S1022">
        <f t="shared" si="1022"/>
        <v>-33056.976324203613</v>
      </c>
      <c r="T1022">
        <f t="shared" si="1023"/>
        <v>-33.05697632420361</v>
      </c>
    </row>
    <row r="1023" spans="1:20" x14ac:dyDescent="0.25">
      <c r="A1023" s="5">
        <v>43570</v>
      </c>
      <c r="B1023">
        <v>1.2451000000000001E-3</v>
      </c>
      <c r="C1023">
        <v>1.3193E-3</v>
      </c>
      <c r="D1023">
        <v>1.2251E-3</v>
      </c>
      <c r="E1023">
        <v>1.2442E-3</v>
      </c>
      <c r="F1023">
        <v>1208022669</v>
      </c>
      <c r="G1023">
        <v>0</v>
      </c>
      <c r="L1023" t="s">
        <v>8</v>
      </c>
      <c r="M1023" t="s">
        <v>8</v>
      </c>
      <c r="N1023" t="s">
        <v>7</v>
      </c>
      <c r="P1023">
        <f t="shared" ref="P1023:P1079" si="1024">IF(C1023=D1023,0,((E1023-D1023)-(C1023-E1023))/(C1023-D1023))</f>
        <v>-0.59447983014862049</v>
      </c>
      <c r="Q1023">
        <f t="shared" ref="Q1023:Q1079" si="1025">F1023*P1023</f>
        <v>-718145111.08280325</v>
      </c>
      <c r="R1023">
        <f t="shared" ref="R1023:R1079" si="1026">R1024+Q1023</f>
        <v>-4094779931.1703625</v>
      </c>
      <c r="S1023">
        <f t="shared" ref="S1023:S1079" si="1027">R1023/100000</f>
        <v>-40947.799311703624</v>
      </c>
      <c r="T1023">
        <f t="shared" ref="T1023:T1079" si="1028">S1023/1000</f>
        <v>-40.947799311703626</v>
      </c>
    </row>
    <row r="1024" spans="1:20" x14ac:dyDescent="0.25">
      <c r="A1024" s="5">
        <v>43569</v>
      </c>
      <c r="B1024">
        <v>1.2266E-3</v>
      </c>
      <c r="C1024">
        <v>1.2478999999999999E-3</v>
      </c>
      <c r="D1024">
        <v>1.2095000000000001E-3</v>
      </c>
      <c r="E1024">
        <v>1.245E-3</v>
      </c>
      <c r="F1024">
        <v>307686106</v>
      </c>
      <c r="G1024">
        <v>0</v>
      </c>
      <c r="L1024" t="s">
        <v>8</v>
      </c>
      <c r="M1024" t="s">
        <v>8</v>
      </c>
      <c r="N1024" t="s">
        <v>7</v>
      </c>
      <c r="P1024">
        <f t="shared" si="1024"/>
        <v>0.84895833333333759</v>
      </c>
      <c r="Q1024">
        <f t="shared" si="1025"/>
        <v>261212683.73958465</v>
      </c>
      <c r="R1024">
        <f t="shared" si="1026"/>
        <v>-3376634820.0875592</v>
      </c>
      <c r="S1024">
        <f t="shared" si="1027"/>
        <v>-33766.348200875589</v>
      </c>
      <c r="T1024">
        <f t="shared" si="1028"/>
        <v>-33.766348200875591</v>
      </c>
    </row>
    <row r="1025" spans="1:20" x14ac:dyDescent="0.25">
      <c r="A1025" s="5">
        <v>43568</v>
      </c>
      <c r="B1025">
        <v>1.2099000000000001E-3</v>
      </c>
      <c r="C1025">
        <v>1.2398999999999999E-3</v>
      </c>
      <c r="D1025">
        <v>1.1982E-3</v>
      </c>
      <c r="E1025">
        <v>1.2269E-3</v>
      </c>
      <c r="F1025">
        <v>265274321</v>
      </c>
      <c r="G1025">
        <v>0</v>
      </c>
      <c r="L1025" t="s">
        <v>8</v>
      </c>
      <c r="M1025" t="s">
        <v>8</v>
      </c>
      <c r="N1025" t="s">
        <v>7</v>
      </c>
      <c r="P1025">
        <f t="shared" si="1024"/>
        <v>0.37649880095923283</v>
      </c>
      <c r="Q1025">
        <f t="shared" si="1025"/>
        <v>99875463.78177464</v>
      </c>
      <c r="R1025">
        <f t="shared" si="1026"/>
        <v>-3637847503.8271437</v>
      </c>
      <c r="S1025">
        <f t="shared" si="1027"/>
        <v>-36378.475038271434</v>
      </c>
      <c r="T1025">
        <f t="shared" si="1028"/>
        <v>-36.378475038271432</v>
      </c>
    </row>
    <row r="1026" spans="1:20" x14ac:dyDescent="0.25">
      <c r="A1026" s="5">
        <v>43567</v>
      </c>
      <c r="B1026">
        <v>1.238E-3</v>
      </c>
      <c r="C1026">
        <v>1.2451000000000001E-3</v>
      </c>
      <c r="D1026">
        <v>1.1850999999999999E-3</v>
      </c>
      <c r="E1026">
        <v>1.2099999999999999E-3</v>
      </c>
      <c r="F1026">
        <v>468030341</v>
      </c>
      <c r="G1026">
        <v>0</v>
      </c>
      <c r="L1026" t="s">
        <v>8</v>
      </c>
      <c r="M1026" t="s">
        <v>8</v>
      </c>
      <c r="N1026" t="s">
        <v>7</v>
      </c>
      <c r="P1026">
        <f t="shared" si="1024"/>
        <v>-0.17000000000000187</v>
      </c>
      <c r="Q1026">
        <f t="shared" si="1025"/>
        <v>-79565157.970000878</v>
      </c>
      <c r="R1026">
        <f t="shared" si="1026"/>
        <v>-3737722967.6089182</v>
      </c>
      <c r="S1026">
        <f t="shared" si="1027"/>
        <v>-37377.229676089184</v>
      </c>
      <c r="T1026">
        <f t="shared" si="1028"/>
        <v>-37.377229676089186</v>
      </c>
    </row>
    <row r="1027" spans="1:20" x14ac:dyDescent="0.25">
      <c r="A1027" s="5">
        <v>43566</v>
      </c>
      <c r="B1027">
        <v>1.3082E-3</v>
      </c>
      <c r="C1027">
        <v>1.31E-3</v>
      </c>
      <c r="D1027">
        <v>1.1590000000000001E-3</v>
      </c>
      <c r="E1027">
        <v>1.2404E-3</v>
      </c>
      <c r="F1027">
        <v>1094274400</v>
      </c>
      <c r="G1027">
        <v>0</v>
      </c>
      <c r="L1027" t="s">
        <v>7</v>
      </c>
      <c r="M1027" t="s">
        <v>8</v>
      </c>
      <c r="N1027" t="s">
        <v>7</v>
      </c>
      <c r="P1027">
        <f t="shared" si="1024"/>
        <v>7.8145695364238224E-2</v>
      </c>
      <c r="Q1027">
        <f t="shared" si="1025"/>
        <v>85512833.907284558</v>
      </c>
      <c r="R1027">
        <f t="shared" si="1026"/>
        <v>-3658157809.6389174</v>
      </c>
      <c r="S1027">
        <f t="shared" si="1027"/>
        <v>-36581.578096389174</v>
      </c>
      <c r="T1027">
        <f t="shared" si="1028"/>
        <v>-36.581578096389173</v>
      </c>
    </row>
    <row r="1028" spans="1:20" x14ac:dyDescent="0.25">
      <c r="A1028" s="5">
        <v>43565</v>
      </c>
      <c r="B1028">
        <v>1.2943E-3</v>
      </c>
      <c r="C1028">
        <v>1.3197E-3</v>
      </c>
      <c r="D1028">
        <v>1.266E-3</v>
      </c>
      <c r="E1028">
        <v>1.3079000000000001E-3</v>
      </c>
      <c r="F1028">
        <v>692916822</v>
      </c>
      <c r="G1028">
        <v>0</v>
      </c>
      <c r="L1028" t="s">
        <v>7</v>
      </c>
      <c r="M1028" t="s">
        <v>8</v>
      </c>
      <c r="N1028" t="s">
        <v>7</v>
      </c>
      <c r="P1028">
        <f t="shared" si="1024"/>
        <v>0.56052141527002053</v>
      </c>
      <c r="Q1028">
        <f t="shared" si="1025"/>
        <v>388394717.7318449</v>
      </c>
      <c r="R1028">
        <f t="shared" si="1026"/>
        <v>-3743670643.5462022</v>
      </c>
      <c r="S1028">
        <f t="shared" si="1027"/>
        <v>-37436.706435462023</v>
      </c>
      <c r="T1028">
        <f t="shared" si="1028"/>
        <v>-37.436706435462021</v>
      </c>
    </row>
    <row r="1029" spans="1:20" x14ac:dyDescent="0.25">
      <c r="A1029" s="5">
        <v>43564</v>
      </c>
      <c r="B1029">
        <v>1.3001E-3</v>
      </c>
      <c r="C1029">
        <v>1.31E-3</v>
      </c>
      <c r="D1029">
        <v>1.2600999999999999E-3</v>
      </c>
      <c r="E1029">
        <v>1.2884000000000001E-3</v>
      </c>
      <c r="F1029">
        <v>477611839</v>
      </c>
      <c r="G1029">
        <v>0</v>
      </c>
      <c r="L1029" t="s">
        <v>7</v>
      </c>
      <c r="M1029" t="s">
        <v>8</v>
      </c>
      <c r="N1029" t="s">
        <v>7</v>
      </c>
      <c r="P1029">
        <f t="shared" si="1024"/>
        <v>0.13426853707415462</v>
      </c>
      <c r="Q1029">
        <f t="shared" si="1025"/>
        <v>64128242.91182667</v>
      </c>
      <c r="R1029">
        <f t="shared" si="1026"/>
        <v>-4132065361.2780471</v>
      </c>
      <c r="S1029">
        <f t="shared" si="1027"/>
        <v>-41320.653612780472</v>
      </c>
      <c r="T1029">
        <f t="shared" si="1028"/>
        <v>-41.320653612780475</v>
      </c>
    </row>
    <row r="1030" spans="1:20" x14ac:dyDescent="0.25">
      <c r="A1030" s="5">
        <v>43563</v>
      </c>
      <c r="B1030">
        <v>1.3171999999999999E-3</v>
      </c>
      <c r="C1030">
        <v>1.3514E-3</v>
      </c>
      <c r="D1030">
        <v>1.2600000000000001E-3</v>
      </c>
      <c r="E1030">
        <v>1.3060999999999999E-3</v>
      </c>
      <c r="F1030">
        <v>1113988530</v>
      </c>
      <c r="G1030">
        <v>0</v>
      </c>
      <c r="L1030" t="s">
        <v>7</v>
      </c>
      <c r="M1030" t="s">
        <v>8</v>
      </c>
      <c r="N1030" t="s">
        <v>7</v>
      </c>
      <c r="P1030">
        <f t="shared" si="1024"/>
        <v>8.7527352297571449E-3</v>
      </c>
      <c r="Q1030">
        <f t="shared" si="1025"/>
        <v>9750446.6520763747</v>
      </c>
      <c r="R1030">
        <f t="shared" si="1026"/>
        <v>-4196193604.1898737</v>
      </c>
      <c r="S1030">
        <f t="shared" si="1027"/>
        <v>-41961.936041898734</v>
      </c>
      <c r="T1030">
        <f t="shared" si="1028"/>
        <v>-41.961936041898731</v>
      </c>
    </row>
    <row r="1031" spans="1:20" x14ac:dyDescent="0.25">
      <c r="A1031" s="5">
        <v>43562</v>
      </c>
      <c r="B1031">
        <v>1.3190000000000001E-3</v>
      </c>
      <c r="C1031">
        <v>1.3391E-3</v>
      </c>
      <c r="D1031">
        <v>1.2875E-3</v>
      </c>
      <c r="E1031">
        <v>1.32E-3</v>
      </c>
      <c r="F1031">
        <v>691608573</v>
      </c>
      <c r="G1031">
        <v>0</v>
      </c>
      <c r="L1031" t="s">
        <v>8</v>
      </c>
      <c r="M1031" t="s">
        <v>8</v>
      </c>
      <c r="N1031" t="s">
        <v>7</v>
      </c>
      <c r="P1031">
        <f t="shared" si="1024"/>
        <v>0.25968992248062039</v>
      </c>
      <c r="Q1031">
        <f t="shared" si="1025"/>
        <v>179603776.70930248</v>
      </c>
      <c r="R1031">
        <f t="shared" si="1026"/>
        <v>-4205944050.8419499</v>
      </c>
      <c r="S1031">
        <f t="shared" si="1027"/>
        <v>-42059.440508419502</v>
      </c>
      <c r="T1031">
        <f t="shared" si="1028"/>
        <v>-42.059440508419499</v>
      </c>
    </row>
    <row r="1032" spans="1:20" x14ac:dyDescent="0.25">
      <c r="A1032" s="5">
        <v>43561</v>
      </c>
      <c r="B1032">
        <v>1.3184E-3</v>
      </c>
      <c r="C1032">
        <v>1.3575E-3</v>
      </c>
      <c r="D1032">
        <v>1.2616999999999999E-3</v>
      </c>
      <c r="E1032">
        <v>1.3174E-3</v>
      </c>
      <c r="F1032">
        <v>1757615688</v>
      </c>
      <c r="G1032">
        <v>0</v>
      </c>
      <c r="L1032" t="s">
        <v>8</v>
      </c>
      <c r="M1032" t="s">
        <v>8</v>
      </c>
      <c r="N1032" t="s">
        <v>7</v>
      </c>
      <c r="P1032">
        <f t="shared" si="1024"/>
        <v>0.16283924843423961</v>
      </c>
      <c r="Q1032">
        <f t="shared" si="1025"/>
        <v>286208817.67014897</v>
      </c>
      <c r="R1032">
        <f t="shared" si="1026"/>
        <v>-4385547827.5512524</v>
      </c>
      <c r="S1032">
        <f t="shared" si="1027"/>
        <v>-43855.478275512527</v>
      </c>
      <c r="T1032">
        <f t="shared" si="1028"/>
        <v>-43.855478275512525</v>
      </c>
    </row>
    <row r="1033" spans="1:20" x14ac:dyDescent="0.25">
      <c r="A1033" s="5">
        <v>43560</v>
      </c>
      <c r="B1033">
        <v>1.2263E-3</v>
      </c>
      <c r="C1033">
        <v>1.3184E-3</v>
      </c>
      <c r="D1033">
        <v>1.2084000000000001E-3</v>
      </c>
      <c r="E1033">
        <v>1.3184E-3</v>
      </c>
      <c r="F1033">
        <v>1366496178</v>
      </c>
      <c r="G1033">
        <v>0</v>
      </c>
      <c r="L1033" t="s">
        <v>8</v>
      </c>
      <c r="M1033" t="s">
        <v>8</v>
      </c>
      <c r="N1033" t="s">
        <v>7</v>
      </c>
      <c r="P1033">
        <f t="shared" si="1024"/>
        <v>1</v>
      </c>
      <c r="Q1033">
        <f t="shared" si="1025"/>
        <v>1366496178</v>
      </c>
      <c r="R1033">
        <f t="shared" si="1026"/>
        <v>-4671756645.2214012</v>
      </c>
      <c r="S1033">
        <f t="shared" si="1027"/>
        <v>-46717.566452214014</v>
      </c>
      <c r="T1033">
        <f t="shared" si="1028"/>
        <v>-46.717566452214015</v>
      </c>
    </row>
    <row r="1034" spans="1:20" x14ac:dyDescent="0.25">
      <c r="A1034" s="5">
        <v>43559</v>
      </c>
      <c r="B1034">
        <v>1.2393E-3</v>
      </c>
      <c r="C1034">
        <v>1.3037000000000001E-3</v>
      </c>
      <c r="D1034">
        <v>1.1971E-3</v>
      </c>
      <c r="E1034">
        <v>1.2263E-3</v>
      </c>
      <c r="F1034">
        <v>734330345</v>
      </c>
      <c r="G1034">
        <v>0</v>
      </c>
      <c r="L1034" t="s">
        <v>7</v>
      </c>
      <c r="M1034" t="s">
        <v>8</v>
      </c>
      <c r="N1034" t="s">
        <v>7</v>
      </c>
      <c r="P1034">
        <f t="shared" si="1024"/>
        <v>-0.45215759849906129</v>
      </c>
      <c r="Q1034">
        <f t="shared" si="1025"/>
        <v>-332033045.30018717</v>
      </c>
      <c r="R1034">
        <f t="shared" si="1026"/>
        <v>-6038252823.2214012</v>
      </c>
      <c r="S1034">
        <f t="shared" si="1027"/>
        <v>-60382.528232214012</v>
      </c>
      <c r="T1034">
        <f t="shared" si="1028"/>
        <v>-60.382528232214014</v>
      </c>
    </row>
    <row r="1035" spans="1:20" x14ac:dyDescent="0.25">
      <c r="A1035" s="5">
        <v>43558</v>
      </c>
      <c r="B1035">
        <v>1.2459000000000001E-3</v>
      </c>
      <c r="C1035">
        <v>1.3265E-3</v>
      </c>
      <c r="D1035">
        <v>1.1938999999999999E-3</v>
      </c>
      <c r="E1035">
        <v>1.2301E-3</v>
      </c>
      <c r="F1035">
        <v>2339757491</v>
      </c>
      <c r="G1035">
        <v>0</v>
      </c>
      <c r="L1035" t="s">
        <v>8</v>
      </c>
      <c r="M1035" t="s">
        <v>8</v>
      </c>
      <c r="N1035" t="s">
        <v>7</v>
      </c>
      <c r="P1035">
        <f t="shared" si="1024"/>
        <v>-0.45399698340874661</v>
      </c>
      <c r="Q1035">
        <f t="shared" si="1025"/>
        <v>-1062242842.8220176</v>
      </c>
      <c r="R1035">
        <f t="shared" si="1026"/>
        <v>-5706219777.9212141</v>
      </c>
      <c r="S1035">
        <f t="shared" si="1027"/>
        <v>-57062.19777921214</v>
      </c>
      <c r="T1035">
        <f t="shared" si="1028"/>
        <v>-57.062197779212141</v>
      </c>
    </row>
    <row r="1036" spans="1:20" x14ac:dyDescent="0.25">
      <c r="A1036" s="5">
        <v>43557</v>
      </c>
      <c r="B1036">
        <v>1.1563999999999999E-3</v>
      </c>
      <c r="C1036">
        <v>1.2600000000000001E-3</v>
      </c>
      <c r="D1036">
        <v>1.1444000000000001E-3</v>
      </c>
      <c r="E1036">
        <v>1.245E-3</v>
      </c>
      <c r="F1036">
        <v>1774356102</v>
      </c>
      <c r="G1036">
        <v>0</v>
      </c>
      <c r="L1036" t="s">
        <v>8</v>
      </c>
      <c r="M1036" t="s">
        <v>8</v>
      </c>
      <c r="N1036" t="s">
        <v>7</v>
      </c>
      <c r="P1036">
        <f t="shared" si="1024"/>
        <v>0.74048442906574319</v>
      </c>
      <c r="Q1036">
        <f t="shared" si="1025"/>
        <v>1313883065.1487875</v>
      </c>
      <c r="R1036">
        <f t="shared" si="1026"/>
        <v>-4643976935.0991964</v>
      </c>
      <c r="S1036">
        <f t="shared" si="1027"/>
        <v>-46439.769350991963</v>
      </c>
      <c r="T1036">
        <f t="shared" si="1028"/>
        <v>-46.439769350991966</v>
      </c>
    </row>
    <row r="1037" spans="1:20" x14ac:dyDescent="0.25">
      <c r="A1037" s="5">
        <v>43556</v>
      </c>
      <c r="B1037">
        <v>1.1538E-3</v>
      </c>
      <c r="C1037">
        <v>1.1751000000000001E-3</v>
      </c>
      <c r="D1037">
        <v>1.1402999999999999E-3</v>
      </c>
      <c r="E1037">
        <v>1.1506000000000001E-3</v>
      </c>
      <c r="F1037">
        <v>560346902</v>
      </c>
      <c r="G1037">
        <v>0</v>
      </c>
      <c r="L1037" t="s">
        <v>8</v>
      </c>
      <c r="M1037" t="s">
        <v>7</v>
      </c>
      <c r="N1037" t="s">
        <v>7</v>
      </c>
      <c r="P1037">
        <f t="shared" si="1024"/>
        <v>-0.40804597701148632</v>
      </c>
      <c r="Q1037">
        <f t="shared" si="1025"/>
        <v>-228647299.09194958</v>
      </c>
      <c r="R1037">
        <f t="shared" si="1026"/>
        <v>-5957860000.2479839</v>
      </c>
      <c r="S1037">
        <f t="shared" si="1027"/>
        <v>-59578.600002479841</v>
      </c>
      <c r="T1037">
        <f t="shared" si="1028"/>
        <v>-59.578600002479838</v>
      </c>
    </row>
    <row r="1038" spans="1:20" x14ac:dyDescent="0.25">
      <c r="A1038" s="5">
        <v>43555</v>
      </c>
      <c r="B1038">
        <v>1.1482E-3</v>
      </c>
      <c r="C1038">
        <v>1.1609000000000001E-3</v>
      </c>
      <c r="D1038">
        <v>1.1404E-3</v>
      </c>
      <c r="E1038">
        <v>1.1532999999999999E-3</v>
      </c>
      <c r="F1038">
        <v>324186729</v>
      </c>
      <c r="G1038">
        <v>0</v>
      </c>
      <c r="L1038" t="s">
        <v>8</v>
      </c>
      <c r="M1038" t="s">
        <v>7</v>
      </c>
      <c r="N1038" t="s">
        <v>7</v>
      </c>
      <c r="P1038">
        <f t="shared" si="1024"/>
        <v>0.25853658536583995</v>
      </c>
      <c r="Q1038">
        <f t="shared" si="1025"/>
        <v>83814129.936580926</v>
      </c>
      <c r="R1038">
        <f t="shared" si="1026"/>
        <v>-5729212701.1560345</v>
      </c>
      <c r="S1038">
        <f t="shared" si="1027"/>
        <v>-57292.127011560347</v>
      </c>
      <c r="T1038">
        <f t="shared" si="1028"/>
        <v>-57.292127011560346</v>
      </c>
    </row>
    <row r="1039" spans="1:20" x14ac:dyDescent="0.25">
      <c r="A1039" s="5">
        <v>43554</v>
      </c>
      <c r="B1039">
        <v>1.1529999999999999E-3</v>
      </c>
      <c r="C1039">
        <v>1.1669E-3</v>
      </c>
      <c r="D1039">
        <v>1.1302E-3</v>
      </c>
      <c r="E1039">
        <v>1.1475999999999999E-3</v>
      </c>
      <c r="F1039">
        <v>492135895</v>
      </c>
      <c r="G1039">
        <v>0</v>
      </c>
      <c r="L1039" t="s">
        <v>8</v>
      </c>
      <c r="M1039" t="s">
        <v>7</v>
      </c>
      <c r="N1039" t="s">
        <v>7</v>
      </c>
      <c r="P1039">
        <f t="shared" si="1024"/>
        <v>-5.1771117166218267E-2</v>
      </c>
      <c r="Q1039">
        <f t="shared" si="1025"/>
        <v>-25478425.08174669</v>
      </c>
      <c r="R1039">
        <f t="shared" si="1026"/>
        <v>-5813026831.0926151</v>
      </c>
      <c r="S1039">
        <f t="shared" si="1027"/>
        <v>-58130.268310926149</v>
      </c>
      <c r="T1039">
        <f t="shared" si="1028"/>
        <v>-58.130268310926148</v>
      </c>
    </row>
    <row r="1040" spans="1:20" x14ac:dyDescent="0.25">
      <c r="A1040" s="5">
        <v>43553</v>
      </c>
      <c r="B1040">
        <v>1.1406000000000001E-3</v>
      </c>
      <c r="C1040">
        <v>1.1615E-3</v>
      </c>
      <c r="D1040">
        <v>1.1314999999999999E-3</v>
      </c>
      <c r="E1040">
        <v>1.1542E-3</v>
      </c>
      <c r="F1040">
        <v>468071254</v>
      </c>
      <c r="G1040">
        <v>0</v>
      </c>
      <c r="L1040" t="s">
        <v>8</v>
      </c>
      <c r="M1040" t="s">
        <v>7</v>
      </c>
      <c r="N1040" t="s">
        <v>7</v>
      </c>
      <c r="P1040">
        <f t="shared" si="1024"/>
        <v>0.51333333333333364</v>
      </c>
      <c r="Q1040">
        <f t="shared" si="1025"/>
        <v>240276577.05333349</v>
      </c>
      <c r="R1040">
        <f t="shared" si="1026"/>
        <v>-5787548406.0108681</v>
      </c>
      <c r="S1040">
        <f t="shared" si="1027"/>
        <v>-57875.484060108683</v>
      </c>
      <c r="T1040">
        <f t="shared" si="1028"/>
        <v>-57.875484060108683</v>
      </c>
    </row>
    <row r="1041" spans="1:20" x14ac:dyDescent="0.25">
      <c r="A1041" s="5">
        <v>43552</v>
      </c>
      <c r="B1041">
        <v>1.1072E-3</v>
      </c>
      <c r="C1041">
        <v>1.1885000000000001E-3</v>
      </c>
      <c r="D1041">
        <v>1.1019999999999999E-3</v>
      </c>
      <c r="E1041">
        <v>1.1425000000000001E-3</v>
      </c>
      <c r="F1041">
        <v>955612846</v>
      </c>
      <c r="G1041">
        <v>0</v>
      </c>
      <c r="L1041" t="s">
        <v>8</v>
      </c>
      <c r="M1041" t="s">
        <v>7</v>
      </c>
      <c r="N1041" t="s">
        <v>7</v>
      </c>
      <c r="P1041">
        <f t="shared" si="1024"/>
        <v>-6.3583815028899995E-2</v>
      </c>
      <c r="Q1041">
        <f t="shared" si="1025"/>
        <v>-60761510.439304695</v>
      </c>
      <c r="R1041">
        <f t="shared" si="1026"/>
        <v>-6027824983.0642014</v>
      </c>
      <c r="S1041">
        <f t="shared" si="1027"/>
        <v>-60278.249830642017</v>
      </c>
      <c r="T1041">
        <f t="shared" si="1028"/>
        <v>-60.278249830642018</v>
      </c>
    </row>
    <row r="1042" spans="1:20" x14ac:dyDescent="0.25">
      <c r="A1042" s="5">
        <v>43551</v>
      </c>
      <c r="B1042">
        <v>1.0866999999999999E-3</v>
      </c>
      <c r="C1042">
        <v>1.1145E-3</v>
      </c>
      <c r="D1042">
        <v>1.0774999999999999E-3</v>
      </c>
      <c r="E1042">
        <v>1.1103E-3</v>
      </c>
      <c r="F1042">
        <v>726608516</v>
      </c>
      <c r="G1042">
        <v>0</v>
      </c>
      <c r="L1042" t="s">
        <v>7</v>
      </c>
      <c r="M1042" t="s">
        <v>7</v>
      </c>
      <c r="N1042" t="s">
        <v>7</v>
      </c>
      <c r="P1042">
        <f t="shared" si="1024"/>
        <v>0.77297297297297418</v>
      </c>
      <c r="Q1042">
        <f t="shared" si="1025"/>
        <v>561648744.80000091</v>
      </c>
      <c r="R1042">
        <f t="shared" si="1026"/>
        <v>-5967063472.624897</v>
      </c>
      <c r="S1042">
        <f t="shared" si="1027"/>
        <v>-59670.634726248973</v>
      </c>
      <c r="T1042">
        <f t="shared" si="1028"/>
        <v>-59.67063472624897</v>
      </c>
    </row>
    <row r="1043" spans="1:20" x14ac:dyDescent="0.25">
      <c r="A1043" s="5">
        <v>43550</v>
      </c>
      <c r="B1043">
        <v>1.1012000000000001E-3</v>
      </c>
      <c r="C1043">
        <v>1.1195000000000001E-3</v>
      </c>
      <c r="D1043">
        <v>1.0614999999999999E-3</v>
      </c>
      <c r="E1043">
        <v>1.0893999999999999E-3</v>
      </c>
      <c r="F1043">
        <v>576232965</v>
      </c>
      <c r="G1043">
        <v>0</v>
      </c>
      <c r="L1043" t="s">
        <v>7</v>
      </c>
      <c r="M1043" t="s">
        <v>7</v>
      </c>
      <c r="N1043" t="s">
        <v>7</v>
      </c>
      <c r="P1043">
        <f t="shared" si="1024"/>
        <v>-3.793103448276134E-2</v>
      </c>
      <c r="Q1043">
        <f t="shared" si="1025"/>
        <v>-21857112.46551881</v>
      </c>
      <c r="R1043">
        <f t="shared" si="1026"/>
        <v>-6528712217.4248981</v>
      </c>
      <c r="S1043">
        <f t="shared" si="1027"/>
        <v>-65287.12217424898</v>
      </c>
      <c r="T1043">
        <f t="shared" si="1028"/>
        <v>-65.287122174248978</v>
      </c>
    </row>
    <row r="1044" spans="1:20" x14ac:dyDescent="0.25">
      <c r="A1044" s="5">
        <v>43549</v>
      </c>
      <c r="B1044">
        <v>1.1540000000000001E-3</v>
      </c>
      <c r="C1044">
        <v>1.1593E-3</v>
      </c>
      <c r="D1044">
        <v>1.0928999999999999E-3</v>
      </c>
      <c r="E1044">
        <v>1.1012000000000001E-3</v>
      </c>
      <c r="F1044">
        <v>801516466</v>
      </c>
      <c r="G1044">
        <v>0</v>
      </c>
      <c r="L1044" t="s">
        <v>7</v>
      </c>
      <c r="M1044" t="s">
        <v>7</v>
      </c>
      <c r="N1044" t="s">
        <v>7</v>
      </c>
      <c r="P1044">
        <f t="shared" si="1024"/>
        <v>-0.74999999999999589</v>
      </c>
      <c r="Q1044">
        <f t="shared" si="1025"/>
        <v>-601137349.49999666</v>
      </c>
      <c r="R1044">
        <f t="shared" si="1026"/>
        <v>-6506855104.9593792</v>
      </c>
      <c r="S1044">
        <f t="shared" si="1027"/>
        <v>-65068.551049593792</v>
      </c>
      <c r="T1044">
        <f t="shared" si="1028"/>
        <v>-65.068551049593793</v>
      </c>
    </row>
    <row r="1045" spans="1:20" x14ac:dyDescent="0.25">
      <c r="A1045" s="5">
        <v>43548</v>
      </c>
      <c r="B1045">
        <v>1.168E-3</v>
      </c>
      <c r="C1045">
        <v>1.1739999999999999E-3</v>
      </c>
      <c r="D1045">
        <v>1.1295999999999999E-3</v>
      </c>
      <c r="E1045">
        <v>1.1555000000000001E-3</v>
      </c>
      <c r="F1045">
        <v>795220308</v>
      </c>
      <c r="G1045">
        <v>0</v>
      </c>
      <c r="L1045" t="s">
        <v>7</v>
      </c>
      <c r="M1045" t="s">
        <v>7</v>
      </c>
      <c r="N1045" t="s">
        <v>7</v>
      </c>
      <c r="P1045">
        <f t="shared" si="1024"/>
        <v>0.16666666666667318</v>
      </c>
      <c r="Q1045">
        <f t="shared" si="1025"/>
        <v>132536718.00000519</v>
      </c>
      <c r="R1045">
        <f t="shared" si="1026"/>
        <v>-5905717755.4593821</v>
      </c>
      <c r="S1045">
        <f t="shared" si="1027"/>
        <v>-59057.177554593822</v>
      </c>
      <c r="T1045">
        <f t="shared" si="1028"/>
        <v>-59.057177554593821</v>
      </c>
    </row>
    <row r="1046" spans="1:20" x14ac:dyDescent="0.25">
      <c r="A1046" s="5">
        <v>43547</v>
      </c>
      <c r="B1046">
        <v>1.1976000000000001E-3</v>
      </c>
      <c r="C1046">
        <v>1.1999999999999999E-3</v>
      </c>
      <c r="D1046">
        <v>1.16E-3</v>
      </c>
      <c r="E1046">
        <v>1.1678999999999999E-3</v>
      </c>
      <c r="F1046">
        <v>549160566</v>
      </c>
      <c r="G1046">
        <v>0</v>
      </c>
      <c r="L1046" t="s">
        <v>8</v>
      </c>
      <c r="M1046" t="s">
        <v>7</v>
      </c>
      <c r="N1046" t="s">
        <v>7</v>
      </c>
      <c r="P1046">
        <f t="shared" si="1024"/>
        <v>-0.60500000000000287</v>
      </c>
      <c r="Q1046">
        <f t="shared" si="1025"/>
        <v>-332242142.43000156</v>
      </c>
      <c r="R1046">
        <f t="shared" si="1026"/>
        <v>-6038254473.4593868</v>
      </c>
      <c r="S1046">
        <f t="shared" si="1027"/>
        <v>-60382.544734593866</v>
      </c>
      <c r="T1046">
        <f t="shared" si="1028"/>
        <v>-60.382544734593864</v>
      </c>
    </row>
    <row r="1047" spans="1:20" x14ac:dyDescent="0.25">
      <c r="A1047" s="5">
        <v>43546</v>
      </c>
      <c r="B1047">
        <v>1.1685000000000001E-3</v>
      </c>
      <c r="C1047">
        <v>1.2151E-3</v>
      </c>
      <c r="D1047">
        <v>1.1590999999999999E-3</v>
      </c>
      <c r="E1047">
        <v>1.1977999999999999E-3</v>
      </c>
      <c r="F1047">
        <v>454113952</v>
      </c>
      <c r="G1047">
        <v>0</v>
      </c>
      <c r="L1047" t="s">
        <v>8</v>
      </c>
      <c r="M1047" t="s">
        <v>7</v>
      </c>
      <c r="N1047" t="s">
        <v>7</v>
      </c>
      <c r="P1047">
        <f t="shared" si="1024"/>
        <v>0.38214285714285634</v>
      </c>
      <c r="Q1047">
        <f t="shared" si="1025"/>
        <v>173536403.08571392</v>
      </c>
      <c r="R1047">
        <f t="shared" si="1026"/>
        <v>-5706012331.0293856</v>
      </c>
      <c r="S1047">
        <f t="shared" si="1027"/>
        <v>-57060.123310293857</v>
      </c>
      <c r="T1047">
        <f t="shared" si="1028"/>
        <v>-57.060123310293854</v>
      </c>
    </row>
    <row r="1048" spans="1:20" x14ac:dyDescent="0.25">
      <c r="A1048" s="5">
        <v>43545</v>
      </c>
      <c r="B1048">
        <v>1.2121E-3</v>
      </c>
      <c r="C1048">
        <v>1.2359000000000001E-3</v>
      </c>
      <c r="D1048">
        <v>1.1130999999999999E-3</v>
      </c>
      <c r="E1048">
        <v>1.1657E-3</v>
      </c>
      <c r="F1048">
        <v>886789561</v>
      </c>
      <c r="G1048">
        <v>0</v>
      </c>
      <c r="L1048" t="s">
        <v>7</v>
      </c>
      <c r="M1048" t="s">
        <v>7</v>
      </c>
      <c r="N1048" t="s">
        <v>7</v>
      </c>
      <c r="P1048">
        <f t="shared" si="1024"/>
        <v>-0.14332247557003233</v>
      </c>
      <c r="Q1048">
        <f t="shared" si="1025"/>
        <v>-127096875.1921822</v>
      </c>
      <c r="R1048">
        <f t="shared" si="1026"/>
        <v>-5879548734.1150999</v>
      </c>
      <c r="S1048">
        <f t="shared" si="1027"/>
        <v>-58795.487341150998</v>
      </c>
      <c r="T1048">
        <f t="shared" si="1028"/>
        <v>-58.795487341150995</v>
      </c>
    </row>
    <row r="1049" spans="1:20" x14ac:dyDescent="0.25">
      <c r="A1049" s="5">
        <v>43544</v>
      </c>
      <c r="B1049">
        <v>1.1632999999999999E-3</v>
      </c>
      <c r="C1049">
        <v>1.2256999999999999E-3</v>
      </c>
      <c r="D1049">
        <v>1.1585E-3</v>
      </c>
      <c r="E1049">
        <v>1.2186E-3</v>
      </c>
      <c r="F1049">
        <v>968227601</v>
      </c>
      <c r="G1049">
        <v>0</v>
      </c>
      <c r="L1049" t="s">
        <v>8</v>
      </c>
      <c r="M1049" t="s">
        <v>7</v>
      </c>
      <c r="N1049" t="s">
        <v>7</v>
      </c>
      <c r="P1049">
        <f t="shared" si="1024"/>
        <v>0.78869047619047883</v>
      </c>
      <c r="Q1049">
        <f t="shared" si="1025"/>
        <v>763631887.69345498</v>
      </c>
      <c r="R1049">
        <f t="shared" si="1026"/>
        <v>-5752451858.9229174</v>
      </c>
      <c r="S1049">
        <f t="shared" si="1027"/>
        <v>-57524.51858922917</v>
      </c>
      <c r="T1049">
        <f t="shared" si="1028"/>
        <v>-57.524518589229167</v>
      </c>
    </row>
    <row r="1050" spans="1:20" x14ac:dyDescent="0.25">
      <c r="A1050" s="5">
        <v>43543</v>
      </c>
      <c r="B1050">
        <v>1.1536999999999999E-3</v>
      </c>
      <c r="C1050">
        <v>1.1800000000000001E-3</v>
      </c>
      <c r="D1050">
        <v>1.139E-3</v>
      </c>
      <c r="E1050">
        <v>1.1647999999999999E-3</v>
      </c>
      <c r="F1050">
        <v>497998566</v>
      </c>
      <c r="G1050">
        <v>0</v>
      </c>
      <c r="L1050" t="s">
        <v>7</v>
      </c>
      <c r="M1050" t="s">
        <v>7</v>
      </c>
      <c r="N1050" t="s">
        <v>7</v>
      </c>
      <c r="P1050">
        <f t="shared" si="1024"/>
        <v>0.25853658536584662</v>
      </c>
      <c r="Q1050">
        <f t="shared" si="1025"/>
        <v>128750848.7707282</v>
      </c>
      <c r="R1050">
        <f t="shared" si="1026"/>
        <v>-6516083746.6163721</v>
      </c>
      <c r="S1050">
        <f t="shared" si="1027"/>
        <v>-65160.837466163721</v>
      </c>
      <c r="T1050">
        <f t="shared" si="1028"/>
        <v>-65.160837466163727</v>
      </c>
    </row>
    <row r="1051" spans="1:20" x14ac:dyDescent="0.25">
      <c r="A1051" s="5">
        <v>43542</v>
      </c>
      <c r="B1051">
        <v>1.1712999999999999E-3</v>
      </c>
      <c r="C1051">
        <v>1.206E-3</v>
      </c>
      <c r="D1051">
        <v>1.1253000000000001E-3</v>
      </c>
      <c r="E1051">
        <v>1.1511E-3</v>
      </c>
      <c r="F1051">
        <v>918483781</v>
      </c>
      <c r="G1051">
        <v>0</v>
      </c>
      <c r="L1051" t="s">
        <v>7</v>
      </c>
      <c r="M1051" t="s">
        <v>7</v>
      </c>
      <c r="N1051" t="s">
        <v>7</v>
      </c>
      <c r="P1051">
        <f t="shared" si="1024"/>
        <v>-0.36059479553903639</v>
      </c>
      <c r="Q1051">
        <f t="shared" si="1025"/>
        <v>-331200471.21561611</v>
      </c>
      <c r="R1051">
        <f t="shared" si="1026"/>
        <v>-6644834595.3871002</v>
      </c>
      <c r="S1051">
        <f t="shared" si="1027"/>
        <v>-66448.345953871001</v>
      </c>
      <c r="T1051">
        <f t="shared" si="1028"/>
        <v>-66.448345953870998</v>
      </c>
    </row>
    <row r="1052" spans="1:20" x14ac:dyDescent="0.25">
      <c r="A1052" s="5">
        <v>43541</v>
      </c>
      <c r="B1052">
        <v>1.2547999999999999E-3</v>
      </c>
      <c r="C1052">
        <v>1.2547999999999999E-3</v>
      </c>
      <c r="D1052">
        <v>1.1464999999999999E-3</v>
      </c>
      <c r="E1052">
        <v>1.173E-3</v>
      </c>
      <c r="F1052">
        <v>1432269776</v>
      </c>
      <c r="G1052">
        <v>0</v>
      </c>
      <c r="L1052" t="s">
        <v>7</v>
      </c>
      <c r="M1052" t="s">
        <v>8</v>
      </c>
      <c r="N1052" t="s">
        <v>7</v>
      </c>
      <c r="P1052">
        <f t="shared" si="1024"/>
        <v>-0.51061865189288913</v>
      </c>
      <c r="Q1052">
        <f t="shared" si="1025"/>
        <v>-731343662.16805029</v>
      </c>
      <c r="R1052">
        <f t="shared" si="1026"/>
        <v>-6313634124.171484</v>
      </c>
      <c r="S1052">
        <f t="shared" si="1027"/>
        <v>-63136.341241714843</v>
      </c>
      <c r="T1052">
        <f t="shared" si="1028"/>
        <v>-63.136341241714845</v>
      </c>
    </row>
    <row r="1053" spans="1:20" x14ac:dyDescent="0.25">
      <c r="A1053" s="5">
        <v>43540</v>
      </c>
      <c r="B1053">
        <v>1.1672E-3</v>
      </c>
      <c r="C1053">
        <v>1.3489999999999999E-3</v>
      </c>
      <c r="D1053">
        <v>1.1429999999999999E-3</v>
      </c>
      <c r="E1053">
        <v>1.255E-3</v>
      </c>
      <c r="F1053">
        <v>3930560093</v>
      </c>
      <c r="G1053">
        <v>0</v>
      </c>
      <c r="L1053" t="s">
        <v>8</v>
      </c>
      <c r="M1053" t="s">
        <v>8</v>
      </c>
      <c r="N1053" t="s">
        <v>7</v>
      </c>
      <c r="P1053">
        <f t="shared" si="1024"/>
        <v>8.7378640776700087E-2</v>
      </c>
      <c r="Q1053">
        <f t="shared" si="1025"/>
        <v>343446998.41747987</v>
      </c>
      <c r="R1053">
        <f t="shared" si="1026"/>
        <v>-5582290462.0034342</v>
      </c>
      <c r="S1053">
        <f t="shared" si="1027"/>
        <v>-55822.904620034344</v>
      </c>
      <c r="T1053">
        <f t="shared" si="1028"/>
        <v>-55.822904620034343</v>
      </c>
    </row>
    <row r="1054" spans="1:20" x14ac:dyDescent="0.25">
      <c r="A1054" s="5">
        <v>43539</v>
      </c>
      <c r="B1054">
        <v>1.047E-3</v>
      </c>
      <c r="C1054">
        <v>1.1673E-3</v>
      </c>
      <c r="D1054">
        <v>1.0460999999999999E-3</v>
      </c>
      <c r="E1054">
        <v>1.1582999999999999E-3</v>
      </c>
      <c r="F1054">
        <v>918822856</v>
      </c>
      <c r="G1054">
        <v>0</v>
      </c>
      <c r="L1054" t="s">
        <v>8</v>
      </c>
      <c r="M1054" t="s">
        <v>7</v>
      </c>
      <c r="N1054" t="s">
        <v>7</v>
      </c>
      <c r="P1054">
        <f t="shared" si="1024"/>
        <v>0.8514851485148498</v>
      </c>
      <c r="Q1054">
        <f t="shared" si="1025"/>
        <v>782364015.99999845</v>
      </c>
      <c r="R1054">
        <f t="shared" si="1026"/>
        <v>-5925737460.4209137</v>
      </c>
      <c r="S1054">
        <f t="shared" si="1027"/>
        <v>-59257.374604209137</v>
      </c>
      <c r="T1054">
        <f t="shared" si="1028"/>
        <v>-59.25737460420914</v>
      </c>
    </row>
    <row r="1055" spans="1:20" x14ac:dyDescent="0.25">
      <c r="A1055" s="5">
        <v>43538</v>
      </c>
      <c r="B1055">
        <v>1.0468999999999999E-3</v>
      </c>
      <c r="C1055">
        <v>1.0617999999999999E-3</v>
      </c>
      <c r="D1055">
        <v>1.0261999999999999E-3</v>
      </c>
      <c r="E1055">
        <v>1.0462E-3</v>
      </c>
      <c r="F1055">
        <v>566887112</v>
      </c>
      <c r="G1055">
        <v>0</v>
      </c>
      <c r="L1055" t="s">
        <v>7</v>
      </c>
      <c r="M1055" t="s">
        <v>7</v>
      </c>
      <c r="N1055" t="s">
        <v>7</v>
      </c>
      <c r="P1055">
        <f t="shared" si="1024"/>
        <v>0.12359550561798054</v>
      </c>
      <c r="Q1055">
        <f t="shared" si="1025"/>
        <v>70064699.235956758</v>
      </c>
      <c r="R1055">
        <f t="shared" si="1026"/>
        <v>-6708101476.4209118</v>
      </c>
      <c r="S1055">
        <f t="shared" si="1027"/>
        <v>-67081.014764209118</v>
      </c>
      <c r="T1055">
        <f t="shared" si="1028"/>
        <v>-67.081014764209115</v>
      </c>
    </row>
    <row r="1056" spans="1:20" x14ac:dyDescent="0.25">
      <c r="A1056" s="5">
        <v>43537</v>
      </c>
      <c r="B1056">
        <v>1.0526000000000001E-3</v>
      </c>
      <c r="C1056">
        <v>1.0807E-3</v>
      </c>
      <c r="D1056">
        <v>1.0399999999999999E-3</v>
      </c>
      <c r="E1056">
        <v>1.0464999999999999E-3</v>
      </c>
      <c r="F1056">
        <v>648906239</v>
      </c>
      <c r="G1056">
        <v>0</v>
      </c>
      <c r="L1056" t="s">
        <v>7</v>
      </c>
      <c r="M1056" t="s">
        <v>7</v>
      </c>
      <c r="N1056" t="s">
        <v>7</v>
      </c>
      <c r="P1056">
        <f t="shared" si="1024"/>
        <v>-0.68058968058968139</v>
      </c>
      <c r="Q1056">
        <f t="shared" si="1025"/>
        <v>-441638889.93366146</v>
      </c>
      <c r="R1056">
        <f t="shared" si="1026"/>
        <v>-6778166175.6568689</v>
      </c>
      <c r="S1056">
        <f t="shared" si="1027"/>
        <v>-67781.66175656869</v>
      </c>
      <c r="T1056">
        <f t="shared" si="1028"/>
        <v>-67.781661756568695</v>
      </c>
    </row>
    <row r="1057" spans="1:20" x14ac:dyDescent="0.25">
      <c r="A1057" s="5">
        <v>43536</v>
      </c>
      <c r="B1057">
        <v>1.0501E-3</v>
      </c>
      <c r="C1057">
        <v>1.0709999999999999E-3</v>
      </c>
      <c r="D1057">
        <v>1.0261000000000001E-3</v>
      </c>
      <c r="E1057">
        <v>1.0526000000000001E-3</v>
      </c>
      <c r="F1057">
        <v>819032544</v>
      </c>
      <c r="G1057">
        <v>0</v>
      </c>
      <c r="L1057" t="s">
        <v>7</v>
      </c>
      <c r="M1057" t="s">
        <v>7</v>
      </c>
      <c r="N1057" t="s">
        <v>7</v>
      </c>
      <c r="P1057">
        <f t="shared" si="1024"/>
        <v>0.18040089086860309</v>
      </c>
      <c r="Q1057">
        <f t="shared" si="1025"/>
        <v>147754200.58797836</v>
      </c>
      <c r="R1057">
        <f t="shared" si="1026"/>
        <v>-6336527285.7232075</v>
      </c>
      <c r="S1057">
        <f t="shared" si="1027"/>
        <v>-63365.272857232078</v>
      </c>
      <c r="T1057">
        <f t="shared" si="1028"/>
        <v>-63.365272857232078</v>
      </c>
    </row>
    <row r="1058" spans="1:20" x14ac:dyDescent="0.25">
      <c r="A1058" s="5">
        <v>43535</v>
      </c>
      <c r="B1058">
        <v>1.0950000000000001E-3</v>
      </c>
      <c r="C1058">
        <v>1.1130000000000001E-3</v>
      </c>
      <c r="D1058">
        <v>1.0321E-3</v>
      </c>
      <c r="E1058">
        <v>1.0513E-3</v>
      </c>
      <c r="F1058">
        <v>869328625</v>
      </c>
      <c r="G1058">
        <v>0</v>
      </c>
      <c r="L1058" t="s">
        <v>7</v>
      </c>
      <c r="M1058" t="s">
        <v>7</v>
      </c>
      <c r="N1058" t="s">
        <v>7</v>
      </c>
      <c r="P1058">
        <f t="shared" si="1024"/>
        <v>-0.52533992583436295</v>
      </c>
      <c r="Q1058">
        <f t="shared" si="1025"/>
        <v>-456693035.38318872</v>
      </c>
      <c r="R1058">
        <f t="shared" si="1026"/>
        <v>-6484281486.3111858</v>
      </c>
      <c r="S1058">
        <f t="shared" si="1027"/>
        <v>-64842.81486311186</v>
      </c>
      <c r="T1058">
        <f t="shared" si="1028"/>
        <v>-64.842814863111855</v>
      </c>
    </row>
    <row r="1059" spans="1:20" x14ac:dyDescent="0.25">
      <c r="A1059" s="5">
        <v>43534</v>
      </c>
      <c r="B1059">
        <v>1.0951999999999999E-3</v>
      </c>
      <c r="C1059">
        <v>1.1130000000000001E-3</v>
      </c>
      <c r="D1059">
        <v>1.0548000000000001E-3</v>
      </c>
      <c r="E1059">
        <v>1.0939999999999999E-3</v>
      </c>
      <c r="F1059">
        <v>697312202</v>
      </c>
      <c r="G1059">
        <v>0</v>
      </c>
      <c r="L1059" t="s">
        <v>7</v>
      </c>
      <c r="M1059" t="s">
        <v>7</v>
      </c>
      <c r="N1059" t="s">
        <v>7</v>
      </c>
      <c r="P1059">
        <f t="shared" si="1024"/>
        <v>0.34707903780068267</v>
      </c>
      <c r="Q1059">
        <f t="shared" si="1025"/>
        <v>242022448.11683527</v>
      </c>
      <c r="R1059">
        <f t="shared" si="1026"/>
        <v>-6027588450.9279976</v>
      </c>
      <c r="S1059">
        <f t="shared" si="1027"/>
        <v>-60275.884509279975</v>
      </c>
      <c r="T1059">
        <f t="shared" si="1028"/>
        <v>-60.275884509279976</v>
      </c>
    </row>
    <row r="1060" spans="1:20" x14ac:dyDescent="0.25">
      <c r="A1060" s="5">
        <v>43533</v>
      </c>
      <c r="B1060">
        <v>1.0721000000000001E-3</v>
      </c>
      <c r="C1060">
        <v>1.1295000000000001E-3</v>
      </c>
      <c r="D1060">
        <v>1.0506000000000001E-3</v>
      </c>
      <c r="E1060">
        <v>1.0988E-3</v>
      </c>
      <c r="F1060">
        <v>1023041849</v>
      </c>
      <c r="G1060">
        <v>0</v>
      </c>
      <c r="L1060" t="s">
        <v>7</v>
      </c>
      <c r="M1060" t="s">
        <v>7</v>
      </c>
      <c r="N1060" t="s">
        <v>7</v>
      </c>
      <c r="P1060">
        <f t="shared" si="1024"/>
        <v>0.22179974651457457</v>
      </c>
      <c r="Q1060">
        <f t="shared" si="1025"/>
        <v>226910422.78200167</v>
      </c>
      <c r="R1060">
        <f t="shared" si="1026"/>
        <v>-6269610899.0448332</v>
      </c>
      <c r="S1060">
        <f t="shared" si="1027"/>
        <v>-62696.108990448331</v>
      </c>
      <c r="T1060">
        <f t="shared" si="1028"/>
        <v>-62.69610899044833</v>
      </c>
    </row>
    <row r="1061" spans="1:20" x14ac:dyDescent="0.25">
      <c r="A1061" s="5">
        <v>43532</v>
      </c>
      <c r="B1061">
        <v>1.0314E-3</v>
      </c>
      <c r="C1061">
        <v>1.1769E-3</v>
      </c>
      <c r="D1061">
        <v>1.0222E-3</v>
      </c>
      <c r="E1061">
        <v>1.0690999999999999E-3</v>
      </c>
      <c r="F1061">
        <v>2266359141</v>
      </c>
      <c r="G1061">
        <v>0</v>
      </c>
      <c r="L1061" t="s">
        <v>8</v>
      </c>
      <c r="M1061" t="s">
        <v>7</v>
      </c>
      <c r="N1061" t="s">
        <v>7</v>
      </c>
      <c r="P1061">
        <f t="shared" si="1024"/>
        <v>-0.39366515837104216</v>
      </c>
      <c r="Q1061">
        <f t="shared" si="1025"/>
        <v>-892186630.16742408</v>
      </c>
      <c r="R1061">
        <f t="shared" si="1026"/>
        <v>-6496521321.8268347</v>
      </c>
      <c r="S1061">
        <f t="shared" si="1027"/>
        <v>-64965.213218268349</v>
      </c>
      <c r="T1061">
        <f t="shared" si="1028"/>
        <v>-64.965213218268346</v>
      </c>
    </row>
    <row r="1062" spans="1:20" x14ac:dyDescent="0.25">
      <c r="A1062" s="5">
        <v>43531</v>
      </c>
      <c r="B1062">
        <v>1.0411999999999999E-3</v>
      </c>
      <c r="C1062">
        <v>1.0582E-3</v>
      </c>
      <c r="D1062">
        <v>1E-3</v>
      </c>
      <c r="E1062">
        <v>1.0300000000000001E-3</v>
      </c>
      <c r="F1062">
        <v>1098079249</v>
      </c>
      <c r="G1062">
        <v>0</v>
      </c>
      <c r="L1062" t="s">
        <v>7</v>
      </c>
      <c r="M1062" t="s">
        <v>7</v>
      </c>
      <c r="N1062" t="s">
        <v>7</v>
      </c>
      <c r="P1062">
        <f t="shared" si="1024"/>
        <v>3.0927835051549002E-2</v>
      </c>
      <c r="Q1062">
        <f t="shared" si="1025"/>
        <v>33961213.886600807</v>
      </c>
      <c r="R1062">
        <f t="shared" si="1026"/>
        <v>-5604334691.6594105</v>
      </c>
      <c r="S1062">
        <f t="shared" si="1027"/>
        <v>-56043.346916594106</v>
      </c>
      <c r="T1062">
        <f t="shared" si="1028"/>
        <v>-56.043346916594103</v>
      </c>
    </row>
    <row r="1063" spans="1:20" x14ac:dyDescent="0.25">
      <c r="A1063" s="5">
        <v>43530</v>
      </c>
      <c r="B1063">
        <v>1.0836000000000001E-3</v>
      </c>
      <c r="C1063">
        <v>1.0993999999999999E-3</v>
      </c>
      <c r="D1063">
        <v>1.0333E-3</v>
      </c>
      <c r="E1063">
        <v>1.0411999999999999E-3</v>
      </c>
      <c r="F1063">
        <v>629156433</v>
      </c>
      <c r="G1063">
        <v>0</v>
      </c>
      <c r="L1063" t="s">
        <v>7</v>
      </c>
      <c r="M1063" t="s">
        <v>7</v>
      </c>
      <c r="N1063" t="s">
        <v>7</v>
      </c>
      <c r="P1063">
        <f t="shared" si="1024"/>
        <v>-0.76096822995461633</v>
      </c>
      <c r="Q1063">
        <f t="shared" si="1025"/>
        <v>-478768057.18457013</v>
      </c>
      <c r="R1063">
        <f t="shared" si="1026"/>
        <v>-5638295905.546011</v>
      </c>
      <c r="S1063">
        <f t="shared" si="1027"/>
        <v>-56382.959055460109</v>
      </c>
      <c r="T1063">
        <f t="shared" si="1028"/>
        <v>-56.382959055460113</v>
      </c>
    </row>
    <row r="1064" spans="1:20" x14ac:dyDescent="0.25">
      <c r="A1064" s="5">
        <v>43529</v>
      </c>
      <c r="B1064">
        <v>1.0166000000000001E-3</v>
      </c>
      <c r="C1064">
        <v>1.1138000000000001E-3</v>
      </c>
      <c r="D1064">
        <v>9.9010000000000005E-4</v>
      </c>
      <c r="E1064">
        <v>1.0836000000000001E-3</v>
      </c>
      <c r="F1064">
        <v>1138143208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0.51172190784155269</v>
      </c>
      <c r="Q1064">
        <f t="shared" si="1025"/>
        <v>582412813.7946651</v>
      </c>
      <c r="R1064">
        <f t="shared" si="1026"/>
        <v>-5159527848.3614407</v>
      </c>
      <c r="S1064">
        <f t="shared" si="1027"/>
        <v>-51595.278483614406</v>
      </c>
      <c r="T1064">
        <f t="shared" si="1028"/>
        <v>-51.595278483614408</v>
      </c>
    </row>
    <row r="1065" spans="1:20" x14ac:dyDescent="0.25">
      <c r="A1065" s="5">
        <v>43528</v>
      </c>
      <c r="B1065">
        <v>1.0778999999999999E-3</v>
      </c>
      <c r="C1065">
        <v>1.088E-3</v>
      </c>
      <c r="D1065">
        <v>9.8999999999999999E-4</v>
      </c>
      <c r="E1065">
        <v>1.011E-3</v>
      </c>
      <c r="F1065">
        <v>875081377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-0.57142857142857206</v>
      </c>
      <c r="Q1065">
        <f t="shared" si="1025"/>
        <v>-500046501.14285767</v>
      </c>
      <c r="R1065">
        <f t="shared" si="1026"/>
        <v>-5741940662.156106</v>
      </c>
      <c r="S1065">
        <f t="shared" si="1027"/>
        <v>-57419.406621561058</v>
      </c>
      <c r="T1065">
        <f t="shared" si="1028"/>
        <v>-57.419406621561059</v>
      </c>
    </row>
    <row r="1066" spans="1:20" x14ac:dyDescent="0.25">
      <c r="A1066" s="5">
        <v>43527</v>
      </c>
      <c r="B1066">
        <v>1.1444999999999999E-3</v>
      </c>
      <c r="C1066">
        <v>1.15E-3</v>
      </c>
      <c r="D1066">
        <v>1.0640000000000001E-3</v>
      </c>
      <c r="E1066">
        <v>1.0766E-3</v>
      </c>
      <c r="F1066">
        <v>757766312</v>
      </c>
      <c r="G1066">
        <v>0</v>
      </c>
      <c r="L1066" t="s">
        <v>7</v>
      </c>
      <c r="M1066" t="s">
        <v>7</v>
      </c>
      <c r="N1066" t="s">
        <v>7</v>
      </c>
      <c r="P1066">
        <f t="shared" si="1024"/>
        <v>-0.70697674418604672</v>
      </c>
      <c r="Q1066">
        <f t="shared" si="1025"/>
        <v>-535723160.11162806</v>
      </c>
      <c r="R1066">
        <f t="shared" si="1026"/>
        <v>-5241894161.0132484</v>
      </c>
      <c r="S1066">
        <f t="shared" si="1027"/>
        <v>-52418.941610132482</v>
      </c>
      <c r="T1066">
        <f t="shared" si="1028"/>
        <v>-52.418941610132485</v>
      </c>
    </row>
    <row r="1067" spans="1:20" x14ac:dyDescent="0.25">
      <c r="A1067" s="5">
        <v>43526</v>
      </c>
      <c r="B1067">
        <v>1.0847999999999999E-3</v>
      </c>
      <c r="C1067">
        <v>1.2130000000000001E-3</v>
      </c>
      <c r="D1067">
        <v>1.0816000000000001E-3</v>
      </c>
      <c r="E1067">
        <v>1.1446E-3</v>
      </c>
      <c r="F1067">
        <v>1984948139</v>
      </c>
      <c r="G1067">
        <v>0</v>
      </c>
      <c r="L1067" t="s">
        <v>8</v>
      </c>
      <c r="M1067" t="s">
        <v>7</v>
      </c>
      <c r="N1067" t="s">
        <v>7</v>
      </c>
      <c r="P1067">
        <f t="shared" si="1024"/>
        <v>-4.1095890410960713E-2</v>
      </c>
      <c r="Q1067">
        <f t="shared" si="1025"/>
        <v>-81573211.191784412</v>
      </c>
      <c r="R1067">
        <f t="shared" si="1026"/>
        <v>-4706171000.9016199</v>
      </c>
      <c r="S1067">
        <f t="shared" si="1027"/>
        <v>-47061.710009016198</v>
      </c>
      <c r="T1067">
        <f t="shared" si="1028"/>
        <v>-47.061710009016195</v>
      </c>
    </row>
    <row r="1068" spans="1:20" x14ac:dyDescent="0.25">
      <c r="A1068" s="5">
        <v>43525</v>
      </c>
      <c r="B1068">
        <v>1.0771999999999999E-3</v>
      </c>
      <c r="C1068">
        <v>1.1100000000000001E-3</v>
      </c>
      <c r="D1068">
        <v>1.06E-3</v>
      </c>
      <c r="E1068">
        <v>1.0847999999999999E-3</v>
      </c>
      <c r="F1068">
        <v>685186804</v>
      </c>
      <c r="G1068">
        <v>0</v>
      </c>
      <c r="L1068" t="s">
        <v>8</v>
      </c>
      <c r="M1068" t="s">
        <v>7</v>
      </c>
      <c r="N1068" t="s">
        <v>7</v>
      </c>
      <c r="P1068">
        <f t="shared" si="1024"/>
        <v>-8.0000000000045104E-3</v>
      </c>
      <c r="Q1068">
        <f t="shared" si="1025"/>
        <v>-5481494.4320030902</v>
      </c>
      <c r="R1068">
        <f t="shared" si="1026"/>
        <v>-4624597789.7098351</v>
      </c>
      <c r="S1068">
        <f t="shared" si="1027"/>
        <v>-46245.977897098353</v>
      </c>
      <c r="T1068">
        <f t="shared" si="1028"/>
        <v>-46.245977897098356</v>
      </c>
    </row>
    <row r="1069" spans="1:20" x14ac:dyDescent="0.25">
      <c r="A1069" s="5">
        <v>43524</v>
      </c>
      <c r="B1069">
        <v>1.0935999999999999E-3</v>
      </c>
      <c r="C1069">
        <v>1.1211000000000001E-3</v>
      </c>
      <c r="D1069">
        <v>1.054E-3</v>
      </c>
      <c r="E1069">
        <v>1.0725999999999999E-3</v>
      </c>
      <c r="F1069">
        <v>881374321</v>
      </c>
      <c r="G1069">
        <v>0</v>
      </c>
      <c r="L1069" t="s">
        <v>8</v>
      </c>
      <c r="M1069" t="s">
        <v>7</v>
      </c>
      <c r="N1069" t="s">
        <v>7</v>
      </c>
      <c r="P1069">
        <f t="shared" si="1024"/>
        <v>-0.44560357675112089</v>
      </c>
      <c r="Q1069">
        <f t="shared" si="1025"/>
        <v>-392743549.89419055</v>
      </c>
      <c r="R1069">
        <f t="shared" si="1026"/>
        <v>-4619116295.277832</v>
      </c>
      <c r="S1069">
        <f t="shared" si="1027"/>
        <v>-46191.162952778323</v>
      </c>
      <c r="T1069">
        <f t="shared" si="1028"/>
        <v>-46.191162952778321</v>
      </c>
    </row>
    <row r="1070" spans="1:20" x14ac:dyDescent="0.25">
      <c r="A1070" s="5">
        <v>43523</v>
      </c>
      <c r="B1070">
        <v>1.1608E-3</v>
      </c>
      <c r="C1070">
        <v>1.1839999999999999E-3</v>
      </c>
      <c r="D1070">
        <v>1.0315999999999999E-3</v>
      </c>
      <c r="E1070">
        <v>1.0878000000000001E-3</v>
      </c>
      <c r="F1070">
        <v>1362081959</v>
      </c>
      <c r="G1070">
        <v>0</v>
      </c>
      <c r="L1070" t="s">
        <v>7</v>
      </c>
      <c r="M1070" t="s">
        <v>7</v>
      </c>
      <c r="N1070" t="s">
        <v>7</v>
      </c>
      <c r="P1070">
        <f t="shared" si="1024"/>
        <v>-0.2624671916010477</v>
      </c>
      <c r="Q1070">
        <f t="shared" si="1025"/>
        <v>-357501826.50918341</v>
      </c>
      <c r="R1070">
        <f t="shared" si="1026"/>
        <v>-4226372745.3836412</v>
      </c>
      <c r="S1070">
        <f t="shared" si="1027"/>
        <v>-42263.727453836414</v>
      </c>
      <c r="T1070">
        <f t="shared" si="1028"/>
        <v>-42.263727453836417</v>
      </c>
    </row>
    <row r="1071" spans="1:20" x14ac:dyDescent="0.25">
      <c r="A1071" s="5">
        <v>43522</v>
      </c>
      <c r="B1071">
        <v>1.1942000000000001E-3</v>
      </c>
      <c r="C1071">
        <v>1.23E-3</v>
      </c>
      <c r="D1071">
        <v>1.1284000000000001E-3</v>
      </c>
      <c r="E1071">
        <v>1.1609999999999999E-3</v>
      </c>
      <c r="F1071">
        <v>620031488</v>
      </c>
      <c r="G1071">
        <v>0</v>
      </c>
      <c r="L1071" t="s">
        <v>8</v>
      </c>
      <c r="M1071" t="s">
        <v>7</v>
      </c>
      <c r="N1071" t="s">
        <v>7</v>
      </c>
      <c r="P1071">
        <f t="shared" si="1024"/>
        <v>-0.35826771653543582</v>
      </c>
      <c r="Q1071">
        <f t="shared" si="1025"/>
        <v>-222137265.38582847</v>
      </c>
      <c r="R1071">
        <f t="shared" si="1026"/>
        <v>-3868870918.8744578</v>
      </c>
      <c r="S1071">
        <f t="shared" si="1027"/>
        <v>-38688.709188744579</v>
      </c>
      <c r="T1071">
        <f t="shared" si="1028"/>
        <v>-38.688709188744582</v>
      </c>
    </row>
    <row r="1072" spans="1:20" x14ac:dyDescent="0.25">
      <c r="A1072" s="5">
        <v>43521</v>
      </c>
      <c r="B1072">
        <v>1.1278E-3</v>
      </c>
      <c r="C1072">
        <v>1.2899999999999999E-3</v>
      </c>
      <c r="D1072">
        <v>1.1188999999999999E-3</v>
      </c>
      <c r="E1072">
        <v>1.1936E-3</v>
      </c>
      <c r="F1072">
        <v>1040588284</v>
      </c>
      <c r="G1072">
        <v>0</v>
      </c>
      <c r="L1072" t="s">
        <v>7</v>
      </c>
      <c r="M1072" t="s">
        <v>7</v>
      </c>
      <c r="N1072" t="s">
        <v>7</v>
      </c>
      <c r="P1072">
        <f t="shared" si="1024"/>
        <v>-0.12682641729982427</v>
      </c>
      <c r="Q1072">
        <f t="shared" si="1025"/>
        <v>-131974083.94389205</v>
      </c>
      <c r="R1072">
        <f t="shared" si="1026"/>
        <v>-3646733653.4886293</v>
      </c>
      <c r="S1072">
        <f t="shared" si="1027"/>
        <v>-36467.336534886294</v>
      </c>
      <c r="T1072">
        <f t="shared" si="1028"/>
        <v>-36.467336534886293</v>
      </c>
    </row>
    <row r="1073" spans="1:20" x14ac:dyDescent="0.25">
      <c r="A1073" s="5">
        <v>43520</v>
      </c>
      <c r="B1073">
        <v>1.3576E-3</v>
      </c>
      <c r="C1073">
        <v>1.4109999999999999E-3</v>
      </c>
      <c r="D1073">
        <v>1.1276999999999999E-3</v>
      </c>
      <c r="E1073">
        <v>1.1278E-3</v>
      </c>
      <c r="F1073">
        <v>1814003244</v>
      </c>
      <c r="G1073">
        <v>0</v>
      </c>
      <c r="L1073" t="s">
        <v>7</v>
      </c>
      <c r="M1073" t="s">
        <v>7</v>
      </c>
      <c r="N1073" t="s">
        <v>7</v>
      </c>
      <c r="P1073">
        <f t="shared" si="1024"/>
        <v>-0.99929403459230459</v>
      </c>
      <c r="Q1073">
        <f t="shared" si="1025"/>
        <v>-1812722620.4602888</v>
      </c>
      <c r="R1073">
        <f t="shared" si="1026"/>
        <v>-3514759569.5447373</v>
      </c>
      <c r="S1073">
        <f t="shared" si="1027"/>
        <v>-35147.595695447373</v>
      </c>
      <c r="T1073">
        <f t="shared" si="1028"/>
        <v>-35.147595695447372</v>
      </c>
    </row>
    <row r="1074" spans="1:20" x14ac:dyDescent="0.25">
      <c r="A1074" s="5">
        <v>43519</v>
      </c>
      <c r="B1074">
        <v>1.3669999999999999E-3</v>
      </c>
      <c r="C1074">
        <v>1.4109999999999999E-3</v>
      </c>
      <c r="D1074">
        <v>1.3110000000000001E-3</v>
      </c>
      <c r="E1074">
        <v>1.3545E-3</v>
      </c>
      <c r="F1074">
        <v>869102237</v>
      </c>
      <c r="G1074">
        <v>0</v>
      </c>
      <c r="L1074" t="s">
        <v>7</v>
      </c>
      <c r="M1074" t="s">
        <v>7</v>
      </c>
      <c r="N1074" t="s">
        <v>7</v>
      </c>
      <c r="P1074">
        <f t="shared" si="1024"/>
        <v>-0.13000000000000014</v>
      </c>
      <c r="Q1074">
        <f t="shared" si="1025"/>
        <v>-112983290.81000012</v>
      </c>
      <c r="R1074">
        <f t="shared" si="1026"/>
        <v>-1702036949.0844486</v>
      </c>
      <c r="S1074">
        <f t="shared" si="1027"/>
        <v>-17020.369490844485</v>
      </c>
      <c r="T1074">
        <f t="shared" si="1028"/>
        <v>-17.020369490844484</v>
      </c>
    </row>
    <row r="1075" spans="1:20" x14ac:dyDescent="0.25">
      <c r="A1075" s="5">
        <v>43518</v>
      </c>
      <c r="B1075">
        <v>1.3527000000000001E-3</v>
      </c>
      <c r="C1075">
        <v>1.3895999999999999E-3</v>
      </c>
      <c r="D1075">
        <v>1.3205999999999999E-3</v>
      </c>
      <c r="E1075">
        <v>1.3699999999999999E-3</v>
      </c>
      <c r="F1075">
        <v>538426465</v>
      </c>
      <c r="G1075">
        <v>0</v>
      </c>
      <c r="L1075" t="s">
        <v>7</v>
      </c>
      <c r="M1075" t="s">
        <v>7</v>
      </c>
      <c r="N1075" t="s">
        <v>7</v>
      </c>
      <c r="P1075">
        <f t="shared" si="1024"/>
        <v>0.43188405797101365</v>
      </c>
      <c r="Q1075">
        <f t="shared" si="1025"/>
        <v>232537806.62318796</v>
      </c>
      <c r="R1075">
        <f t="shared" si="1026"/>
        <v>-1589053658.2744484</v>
      </c>
      <c r="S1075">
        <f t="shared" si="1027"/>
        <v>-15890.536582744484</v>
      </c>
      <c r="T1075">
        <f t="shared" si="1028"/>
        <v>-15.890536582744485</v>
      </c>
    </row>
    <row r="1076" spans="1:20" x14ac:dyDescent="0.25">
      <c r="A1076" s="5">
        <v>43517</v>
      </c>
      <c r="B1076">
        <v>1.4016E-3</v>
      </c>
      <c r="C1076">
        <v>1.4170000000000001E-3</v>
      </c>
      <c r="D1076">
        <v>1.32E-3</v>
      </c>
      <c r="E1076">
        <v>1.3452E-3</v>
      </c>
      <c r="F1076">
        <v>808662706</v>
      </c>
      <c r="G1076">
        <v>0</v>
      </c>
      <c r="L1076" t="s">
        <v>7</v>
      </c>
      <c r="M1076" t="s">
        <v>7</v>
      </c>
      <c r="N1076" t="s">
        <v>7</v>
      </c>
      <c r="P1076">
        <f t="shared" si="1024"/>
        <v>-0.48041237113402185</v>
      </c>
      <c r="Q1076">
        <f t="shared" si="1025"/>
        <v>-388491568.03711438</v>
      </c>
      <c r="R1076">
        <f t="shared" si="1026"/>
        <v>-1821591464.8976364</v>
      </c>
      <c r="S1076">
        <f t="shared" si="1027"/>
        <v>-18215.914648976363</v>
      </c>
      <c r="T1076">
        <f t="shared" si="1028"/>
        <v>-18.215914648976362</v>
      </c>
    </row>
    <row r="1077" spans="1:20" x14ac:dyDescent="0.25">
      <c r="A1077" s="5">
        <v>43516</v>
      </c>
      <c r="B1077">
        <v>1.413E-3</v>
      </c>
      <c r="C1077">
        <v>1.4659E-3</v>
      </c>
      <c r="D1077">
        <v>1.3809E-3</v>
      </c>
      <c r="E1077">
        <v>1.4015E-3</v>
      </c>
      <c r="F1077">
        <v>498650681</v>
      </c>
      <c r="G1077">
        <v>0</v>
      </c>
      <c r="L1077" t="s">
        <v>8</v>
      </c>
      <c r="M1077" t="s">
        <v>7</v>
      </c>
      <c r="N1077" t="s">
        <v>7</v>
      </c>
      <c r="P1077">
        <f t="shared" si="1024"/>
        <v>-0.51529411764705979</v>
      </c>
      <c r="Q1077">
        <f t="shared" si="1025"/>
        <v>-256951762.68000048</v>
      </c>
      <c r="R1077">
        <f t="shared" si="1026"/>
        <v>-1433099896.860522</v>
      </c>
      <c r="S1077">
        <f t="shared" si="1027"/>
        <v>-14330.998968605219</v>
      </c>
      <c r="T1077">
        <f t="shared" si="1028"/>
        <v>-14.33099896860522</v>
      </c>
    </row>
    <row r="1078" spans="1:20" x14ac:dyDescent="0.25">
      <c r="A1078" s="5">
        <v>43515</v>
      </c>
      <c r="B1078">
        <v>1.4587999999999999E-3</v>
      </c>
      <c r="C1078">
        <v>1.5468000000000001E-3</v>
      </c>
      <c r="D1078">
        <v>1.3519999999999999E-3</v>
      </c>
      <c r="E1078">
        <v>1.413E-3</v>
      </c>
      <c r="F1078">
        <v>1140360780</v>
      </c>
      <c r="G1078">
        <v>0</v>
      </c>
      <c r="L1078" t="s">
        <v>7</v>
      </c>
      <c r="M1078" t="s">
        <v>7</v>
      </c>
      <c r="N1078" t="s">
        <v>7</v>
      </c>
      <c r="P1078">
        <f t="shared" si="1024"/>
        <v>-0.37371663244353165</v>
      </c>
      <c r="Q1078">
        <f t="shared" si="1025"/>
        <v>-426171790.47227907</v>
      </c>
      <c r="R1078">
        <f t="shared" si="1026"/>
        <v>-1176148134.1805215</v>
      </c>
      <c r="S1078">
        <f t="shared" si="1027"/>
        <v>-11761.481341805214</v>
      </c>
      <c r="T1078">
        <f t="shared" si="1028"/>
        <v>-11.761481341805215</v>
      </c>
    </row>
    <row r="1079" spans="1:20" x14ac:dyDescent="0.25">
      <c r="A1079" s="5">
        <v>43514</v>
      </c>
      <c r="B1079">
        <v>1.5269000000000001E-3</v>
      </c>
      <c r="C1079">
        <v>1.66E-3</v>
      </c>
      <c r="D1079">
        <v>1.3906000000000001E-3</v>
      </c>
      <c r="E1079">
        <v>1.4587999999999999E-3</v>
      </c>
      <c r="F1079">
        <v>1519125015</v>
      </c>
      <c r="G1079">
        <v>0</v>
      </c>
      <c r="P1079">
        <f t="shared" si="1024"/>
        <v>-0.49368968077208736</v>
      </c>
      <c r="Q1079">
        <f t="shared" si="1025"/>
        <v>-749976343.70824242</v>
      </c>
      <c r="R1079">
        <f t="shared" si="1026"/>
        <v>-749976343.70824242</v>
      </c>
      <c r="S1079">
        <f t="shared" si="1027"/>
        <v>-7499.7634370824244</v>
      </c>
      <c r="T1079">
        <f t="shared" si="1028"/>
        <v>-7.4997634370824242</v>
      </c>
    </row>
    <row r="1080" spans="1:20" x14ac:dyDescent="0.25">
      <c r="A1080" s="5"/>
      <c r="C1080"/>
      <c r="D1080"/>
    </row>
    <row r="1081" spans="1:20" x14ac:dyDescent="0.25">
      <c r="A1081" s="5"/>
      <c r="C1081"/>
      <c r="D1081"/>
    </row>
    <row r="1082" spans="1:20" x14ac:dyDescent="0.25">
      <c r="A1082" s="5"/>
      <c r="C1082"/>
      <c r="D1082"/>
    </row>
    <row r="1083" spans="1:20" x14ac:dyDescent="0.25">
      <c r="A1083" s="5"/>
      <c r="C1083"/>
      <c r="D1083"/>
    </row>
    <row r="1084" spans="1:20" x14ac:dyDescent="0.25">
      <c r="A1084" s="5"/>
      <c r="C1084"/>
      <c r="D1084"/>
    </row>
    <row r="1085" spans="1:20" x14ac:dyDescent="0.25">
      <c r="A1085" s="5"/>
      <c r="C1085"/>
      <c r="D1085"/>
    </row>
    <row r="1086" spans="1:20" x14ac:dyDescent="0.25">
      <c r="A1086" s="5"/>
      <c r="C1086"/>
      <c r="D1086"/>
    </row>
    <row r="1087" spans="1:20" x14ac:dyDescent="0.25">
      <c r="A1087" s="5"/>
      <c r="C1087"/>
      <c r="D1087"/>
    </row>
    <row r="1088" spans="1:20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8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AEH862" sqref="AEH86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6" hidden="1" customWidth="1"/>
    <col min="7" max="1378" width="3" style="26" customWidth="1"/>
  </cols>
  <sheetData>
    <row r="1" spans="1:21" x14ac:dyDescent="0.25">
      <c r="A1" s="15"/>
      <c r="B1"/>
      <c r="C1"/>
      <c r="D1" s="16"/>
      <c r="E1" s="16"/>
      <c r="S1" s="26" t="s">
        <v>7</v>
      </c>
      <c r="U1" s="26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$A$861</v>
      </c>
      <c r="D111" s="1" t="str">
        <f>ADDRESS(C121-1,D121,1,1)</f>
        <v>$AEH$861</v>
      </c>
      <c r="E111"/>
    </row>
    <row r="112" spans="1:5" x14ac:dyDescent="0.25">
      <c r="A112" s="7">
        <v>12164.144957890772</v>
      </c>
      <c r="C112" s="1" t="str">
        <f>ADDRESS(C121,1,1,1)</f>
        <v>$A$862</v>
      </c>
      <c r="D112" s="1" t="str">
        <f>ADDRESS(C121,D121-1,1,1)</f>
        <v>$AEG$862</v>
      </c>
      <c r="E112"/>
    </row>
    <row r="113" spans="1:5" x14ac:dyDescent="0.25">
      <c r="A113" s="7">
        <v>11925.63231165762</v>
      </c>
      <c r="C113" s="1" t="str">
        <f>ADDRESS(C121+1,1,1,1)</f>
        <v>$A$863</v>
      </c>
      <c r="D113" s="1" t="str">
        <f>ADDRESS(C121-1,D121+1,1,1)</f>
        <v>$AEI$861</v>
      </c>
    </row>
    <row r="114" spans="1:5" x14ac:dyDescent="0.25">
      <c r="A114" s="7">
        <v>11691.796383978059</v>
      </c>
      <c r="C114" s="1" t="str">
        <f>ADDRESS(C121,D121,1,1)</f>
        <v>$AEH$862</v>
      </c>
      <c r="D114" s="1" t="str">
        <f>ADDRESS(C121+1,D121+1,1,1)</f>
        <v>$AEI$863</v>
      </c>
    </row>
    <row r="115" spans="1:5" x14ac:dyDescent="0.25">
      <c r="A115" s="7">
        <v>11462.545474488292</v>
      </c>
      <c r="C115" s="1" t="str">
        <f>ADDRESS(C121+1,D121,1,1)</f>
        <v>$AEH$863</v>
      </c>
    </row>
    <row r="116" spans="1:5" x14ac:dyDescent="0.25">
      <c r="A116" s="7">
        <v>11237.789680870874</v>
      </c>
      <c r="C116" s="1">
        <f>C117-1</f>
        <v>861</v>
      </c>
    </row>
    <row r="117" spans="1:5" x14ac:dyDescent="0.25">
      <c r="A117" s="7">
        <v>11017.440863598895</v>
      </c>
      <c r="C117" s="1">
        <f>C121</f>
        <v>862</v>
      </c>
      <c r="D117" s="1">
        <f>D121</f>
        <v>814</v>
      </c>
    </row>
    <row r="118" spans="1:5" x14ac:dyDescent="0.25">
      <c r="A118" s="7">
        <v>10801.412611371465</v>
      </c>
      <c r="C118" s="1">
        <f>C117+1</f>
        <v>863</v>
      </c>
      <c r="D118" s="1">
        <f>D117+1</f>
        <v>815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862</v>
      </c>
      <c r="D121" s="19">
        <v>814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R862</v>
      </c>
      <c r="D123" s="1" t="str">
        <f>"C"&amp;D121</f>
        <v>C814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4.314721467098488E-3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8" t="s">
        <v>8</v>
      </c>
    </row>
    <row r="588" spans="1:6" x14ac:dyDescent="0.25">
      <c r="A588" s="7">
        <v>0.98039215686274506</v>
      </c>
      <c r="B588"/>
      <c r="C588"/>
      <c r="D588"/>
      <c r="E588"/>
      <c r="F588" s="26" t="s">
        <v>7</v>
      </c>
    </row>
    <row r="589" spans="1:6" x14ac:dyDescent="0.25">
      <c r="A589" s="7">
        <v>0.96116878123798544</v>
      </c>
      <c r="B589"/>
      <c r="C589"/>
      <c r="D589"/>
      <c r="E589"/>
      <c r="F589" s="26" t="s">
        <v>7</v>
      </c>
    </row>
    <row r="590" spans="1:6" x14ac:dyDescent="0.25">
      <c r="A590" s="7">
        <v>0.94232233454704462</v>
      </c>
      <c r="B590"/>
      <c r="C590"/>
      <c r="D590"/>
      <c r="E590"/>
      <c r="F590" s="26" t="s">
        <v>7</v>
      </c>
    </row>
    <row r="591" spans="1:6" x14ac:dyDescent="0.25">
      <c r="A591" s="7">
        <v>0.92384542602651432</v>
      </c>
      <c r="B591"/>
      <c r="C591"/>
      <c r="D591"/>
      <c r="E591"/>
      <c r="F591" s="26" t="s">
        <v>7</v>
      </c>
    </row>
    <row r="592" spans="1:6" x14ac:dyDescent="0.25">
      <c r="A592" s="7">
        <v>0.90573080982991594</v>
      </c>
      <c r="B592"/>
      <c r="C592"/>
      <c r="D592"/>
      <c r="E592"/>
      <c r="F592" s="26" t="s">
        <v>7</v>
      </c>
    </row>
    <row r="593" spans="1:6" x14ac:dyDescent="0.25">
      <c r="A593" s="7">
        <v>0.8879713821861922</v>
      </c>
      <c r="B593"/>
      <c r="C593"/>
      <c r="D593"/>
      <c r="E593"/>
      <c r="F593" s="26" t="s">
        <v>7</v>
      </c>
    </row>
    <row r="594" spans="1:6" x14ac:dyDescent="0.25">
      <c r="A594" s="7">
        <v>0.87056017861391399</v>
      </c>
      <c r="B594"/>
      <c r="C594"/>
      <c r="D594"/>
      <c r="E594"/>
      <c r="F594" s="26" t="s">
        <v>7</v>
      </c>
    </row>
    <row r="595" spans="1:6" x14ac:dyDescent="0.25">
      <c r="A595" s="7">
        <v>0.85349037119011173</v>
      </c>
      <c r="B595"/>
      <c r="C595"/>
      <c r="D595"/>
      <c r="E595"/>
      <c r="F595" s="26" t="s">
        <v>7</v>
      </c>
    </row>
    <row r="596" spans="1:6" x14ac:dyDescent="0.25">
      <c r="A596" s="7">
        <v>0.83675526587265858</v>
      </c>
      <c r="B596"/>
      <c r="C596"/>
      <c r="D596"/>
      <c r="E596"/>
      <c r="F596" s="26" t="s">
        <v>7</v>
      </c>
    </row>
    <row r="597" spans="1:6" x14ac:dyDescent="0.25">
      <c r="A597" s="7">
        <v>0.82034829987515545</v>
      </c>
      <c r="B597"/>
      <c r="C597"/>
      <c r="D597"/>
      <c r="E597"/>
      <c r="F597" s="26" t="s">
        <v>7</v>
      </c>
    </row>
    <row r="598" spans="1:6" x14ac:dyDescent="0.25">
      <c r="A598" s="7">
        <v>0.80426303909328967</v>
      </c>
      <c r="B598"/>
      <c r="C598"/>
      <c r="D598"/>
      <c r="E598"/>
      <c r="F598" s="26" t="s">
        <v>7</v>
      </c>
    </row>
    <row r="599" spans="1:6" x14ac:dyDescent="0.25">
      <c r="A599" s="7">
        <v>0.78849317558165644</v>
      </c>
      <c r="B599"/>
      <c r="C599"/>
      <c r="D599"/>
      <c r="E599"/>
      <c r="F599" s="26" t="s">
        <v>7</v>
      </c>
    </row>
    <row r="600" spans="1:6" x14ac:dyDescent="0.25">
      <c r="A600" s="7">
        <v>0.77303252508005538</v>
      </c>
      <c r="B600"/>
      <c r="C600"/>
      <c r="D600"/>
      <c r="E600"/>
      <c r="F600" s="26" t="s">
        <v>7</v>
      </c>
    </row>
    <row r="601" spans="1:6" x14ac:dyDescent="0.25">
      <c r="A601" s="7">
        <v>0.75787502458828959</v>
      </c>
      <c r="B601"/>
      <c r="C601"/>
      <c r="D601"/>
      <c r="E601"/>
      <c r="F601" s="26" t="s">
        <v>7</v>
      </c>
    </row>
    <row r="602" spans="1:6" x14ac:dyDescent="0.25">
      <c r="A602" s="7">
        <v>0.74301472998851925</v>
      </c>
      <c r="B602"/>
      <c r="C602"/>
      <c r="D602"/>
      <c r="E602"/>
      <c r="F602" s="26" t="s">
        <v>7</v>
      </c>
    </row>
    <row r="603" spans="1:6" x14ac:dyDescent="0.25">
      <c r="A603" s="7">
        <v>0.72844581371423456</v>
      </c>
      <c r="B603"/>
      <c r="C603"/>
      <c r="D603"/>
      <c r="E603"/>
      <c r="F603" s="26" t="s">
        <v>7</v>
      </c>
    </row>
    <row r="604" spans="1:6" x14ac:dyDescent="0.25">
      <c r="A604" s="7">
        <v>0.71416256246493581</v>
      </c>
      <c r="B604"/>
      <c r="C604"/>
      <c r="D604"/>
      <c r="E604"/>
      <c r="F604" s="26" t="s">
        <v>7</v>
      </c>
    </row>
    <row r="605" spans="1:6" x14ac:dyDescent="0.25">
      <c r="A605" s="7">
        <v>0.7001593749656233</v>
      </c>
      <c r="B605"/>
      <c r="C605"/>
      <c r="D605"/>
      <c r="E605"/>
      <c r="F605" s="26" t="s">
        <v>7</v>
      </c>
    </row>
    <row r="606" spans="1:6" x14ac:dyDescent="0.25">
      <c r="A606" s="7">
        <v>0.68643075977021883</v>
      </c>
      <c r="B606"/>
      <c r="C606"/>
      <c r="D606"/>
      <c r="E606"/>
      <c r="F606" s="26" t="s">
        <v>7</v>
      </c>
    </row>
    <row r="607" spans="1:6" x14ac:dyDescent="0.25">
      <c r="A607" s="7">
        <v>0.67297133310805768</v>
      </c>
      <c r="B607"/>
      <c r="C607"/>
      <c r="D607"/>
      <c r="E607"/>
      <c r="F607" s="26" t="s">
        <v>7</v>
      </c>
    </row>
    <row r="608" spans="1:6" x14ac:dyDescent="0.25">
      <c r="A608" s="7">
        <v>0.65977581677260566</v>
      </c>
      <c r="B608"/>
      <c r="C608"/>
      <c r="D608"/>
      <c r="E608"/>
      <c r="F608" s="26" t="s">
        <v>7</v>
      </c>
    </row>
    <row r="609" spans="1:6" x14ac:dyDescent="0.25">
      <c r="A609" s="7">
        <v>0.64683903605157422</v>
      </c>
      <c r="B609"/>
      <c r="C609"/>
      <c r="D609"/>
      <c r="E609"/>
      <c r="F609" s="26" t="s">
        <v>7</v>
      </c>
    </row>
    <row r="610" spans="1:6" x14ac:dyDescent="0.25">
      <c r="A610" s="7">
        <v>0.63415591769762181</v>
      </c>
      <c r="B610"/>
      <c r="C610"/>
      <c r="D610"/>
      <c r="E610"/>
      <c r="F610" s="26" t="s">
        <v>7</v>
      </c>
    </row>
    <row r="611" spans="1:6" x14ac:dyDescent="0.25">
      <c r="A611" s="7">
        <v>0.62172148793884496</v>
      </c>
      <c r="B611"/>
      <c r="C611"/>
      <c r="D611"/>
      <c r="E611"/>
      <c r="F611" s="26" t="s">
        <v>7</v>
      </c>
    </row>
    <row r="612" spans="1:6" x14ac:dyDescent="0.25">
      <c r="A612" s="7">
        <v>0.60953087052827937</v>
      </c>
      <c r="B612"/>
      <c r="C612"/>
      <c r="D612"/>
      <c r="E612"/>
      <c r="F612" s="26" t="s">
        <v>7</v>
      </c>
    </row>
    <row r="613" spans="1:6" x14ac:dyDescent="0.25">
      <c r="A613" s="7">
        <v>0.59757928483164646</v>
      </c>
      <c r="B613"/>
      <c r="C613"/>
      <c r="D613"/>
      <c r="E613"/>
      <c r="F613" s="26" t="s">
        <v>7</v>
      </c>
    </row>
    <row r="614" spans="1:6" x14ac:dyDescent="0.25">
      <c r="A614" s="7">
        <v>0.58586204395259456</v>
      </c>
      <c r="B614"/>
      <c r="C614"/>
      <c r="D614"/>
      <c r="E614"/>
      <c r="F614" s="26" t="s">
        <v>7</v>
      </c>
    </row>
    <row r="615" spans="1:6" x14ac:dyDescent="0.25">
      <c r="A615" s="7">
        <v>0.57437455289470052</v>
      </c>
      <c r="B615"/>
      <c r="C615"/>
      <c r="D615"/>
      <c r="E615"/>
      <c r="F615" s="26" t="s">
        <v>7</v>
      </c>
    </row>
    <row r="616" spans="1:6" x14ac:dyDescent="0.25">
      <c r="A616" s="7">
        <v>0.56311230675951029</v>
      </c>
      <c r="B616"/>
      <c r="C616"/>
      <c r="D616"/>
      <c r="E616"/>
      <c r="F616" s="26" t="s">
        <v>7</v>
      </c>
    </row>
    <row r="617" spans="1:6" x14ac:dyDescent="0.25">
      <c r="A617" s="7">
        <v>0.55207088897991208</v>
      </c>
      <c r="B617"/>
      <c r="C617"/>
      <c r="D617"/>
      <c r="E617"/>
      <c r="F617" s="26" t="s">
        <v>7</v>
      </c>
    </row>
    <row r="618" spans="1:6" x14ac:dyDescent="0.25">
      <c r="A618" s="7">
        <v>0.54124596958814908</v>
      </c>
      <c r="B618"/>
      <c r="C618"/>
      <c r="D618"/>
      <c r="E618"/>
      <c r="F618" s="26" t="s">
        <v>7</v>
      </c>
    </row>
    <row r="619" spans="1:6" x14ac:dyDescent="0.25">
      <c r="A619" s="7">
        <v>0.53063330351779314</v>
      </c>
      <c r="B619"/>
      <c r="C619"/>
      <c r="D619"/>
      <c r="E619"/>
      <c r="F619" s="26" t="s">
        <v>7</v>
      </c>
    </row>
    <row r="620" spans="1:6" x14ac:dyDescent="0.25">
      <c r="A620" s="7">
        <v>0.52022872893901284</v>
      </c>
      <c r="B620"/>
      <c r="C620"/>
      <c r="D620"/>
      <c r="E620"/>
      <c r="F620" s="26" t="s">
        <v>7</v>
      </c>
    </row>
    <row r="621" spans="1:6" x14ac:dyDescent="0.25">
      <c r="A621" s="7">
        <v>0.51002816562648323</v>
      </c>
      <c r="B621"/>
      <c r="C621"/>
      <c r="D621"/>
      <c r="E621"/>
      <c r="F621" s="26" t="s">
        <v>7</v>
      </c>
    </row>
    <row r="622" spans="1:6" x14ac:dyDescent="0.25">
      <c r="A622" s="7">
        <v>0.50002761335929735</v>
      </c>
      <c r="B622"/>
      <c r="C622"/>
      <c r="D622"/>
      <c r="E622"/>
      <c r="F622" s="26" t="s">
        <v>7</v>
      </c>
    </row>
    <row r="623" spans="1:6" x14ac:dyDescent="0.25">
      <c r="A623" s="7">
        <v>0.49022315035225228</v>
      </c>
      <c r="B623"/>
      <c r="C623"/>
      <c r="D623"/>
      <c r="E623"/>
      <c r="F623" s="26" t="s">
        <v>7</v>
      </c>
    </row>
    <row r="624" spans="1:6" x14ac:dyDescent="0.25">
      <c r="A624" s="7">
        <v>0.48061093171789437</v>
      </c>
      <c r="B624"/>
      <c r="C624"/>
      <c r="D624"/>
      <c r="E624"/>
      <c r="F624" s="26" t="s">
        <v>7</v>
      </c>
    </row>
    <row r="625" spans="1:6" x14ac:dyDescent="0.25">
      <c r="A625" s="7">
        <v>0.47118718795871994</v>
      </c>
      <c r="B625"/>
      <c r="C625"/>
      <c r="D625"/>
      <c r="E625"/>
      <c r="F625" s="26" t="s">
        <v>7</v>
      </c>
    </row>
    <row r="626" spans="1:6" x14ac:dyDescent="0.25">
      <c r="A626" s="7">
        <v>0.46194822348894116</v>
      </c>
      <c r="B626"/>
      <c r="C626"/>
      <c r="D626"/>
      <c r="E626"/>
      <c r="F626" s="26" t="s">
        <v>7</v>
      </c>
    </row>
    <row r="627" spans="1:6" x14ac:dyDescent="0.25">
      <c r="A627" s="7">
        <v>0.45289041518523643</v>
      </c>
      <c r="B627"/>
      <c r="C627"/>
      <c r="D627"/>
      <c r="E627"/>
      <c r="F627" s="26" t="s">
        <v>7</v>
      </c>
    </row>
    <row r="628" spans="1:6" x14ac:dyDescent="0.25">
      <c r="A628" s="7">
        <v>0.44401021096591808</v>
      </c>
      <c r="B628"/>
      <c r="C628"/>
      <c r="D628"/>
      <c r="E628"/>
      <c r="F628" s="26" t="s">
        <v>7</v>
      </c>
    </row>
    <row r="629" spans="1:6" x14ac:dyDescent="0.25">
      <c r="A629" s="7">
        <v>0.4353041283979589</v>
      </c>
      <c r="B629"/>
      <c r="C629"/>
      <c r="D629"/>
      <c r="E629"/>
      <c r="F629" s="26" t="s">
        <v>7</v>
      </c>
    </row>
    <row r="630" spans="1:6" x14ac:dyDescent="0.25">
      <c r="A630" s="7">
        <v>0.4267687533313323</v>
      </c>
      <c r="B630"/>
      <c r="C630"/>
      <c r="D630"/>
      <c r="E630"/>
      <c r="F630" s="26" t="s">
        <v>7</v>
      </c>
    </row>
    <row r="631" spans="1:6" x14ac:dyDescent="0.25">
      <c r="A631" s="7">
        <v>0.41840073856012971</v>
      </c>
      <c r="B631"/>
      <c r="C631"/>
      <c r="D631"/>
      <c r="E631"/>
      <c r="F631" s="26" t="s">
        <v>7</v>
      </c>
    </row>
    <row r="632" spans="1:6" x14ac:dyDescent="0.25">
      <c r="A632" s="7">
        <v>0.41019680250993112</v>
      </c>
      <c r="B632"/>
      <c r="C632"/>
      <c r="D632"/>
      <c r="E632"/>
      <c r="F632" s="26" t="s">
        <v>7</v>
      </c>
    </row>
    <row r="633" spans="1:6" x14ac:dyDescent="0.25">
      <c r="A633" s="7">
        <v>0.40215372795091286</v>
      </c>
      <c r="B633"/>
      <c r="C633"/>
      <c r="D633"/>
      <c r="E633"/>
      <c r="F633" s="26" t="s">
        <v>7</v>
      </c>
    </row>
    <row r="634" spans="1:6" x14ac:dyDescent="0.25">
      <c r="A634" s="7">
        <v>0.39426836073618904</v>
      </c>
      <c r="B634"/>
      <c r="C634"/>
      <c r="D634"/>
      <c r="E634"/>
      <c r="F634" s="26" t="s">
        <v>7</v>
      </c>
    </row>
    <row r="635" spans="1:6" x14ac:dyDescent="0.25">
      <c r="A635" s="7">
        <v>0.38653760856489122</v>
      </c>
      <c r="B635"/>
      <c r="C635"/>
      <c r="D635"/>
      <c r="E635"/>
      <c r="F635" s="26" t="s">
        <v>7</v>
      </c>
    </row>
    <row r="636" spans="1:6" x14ac:dyDescent="0.25">
      <c r="A636" s="7">
        <v>0.37895843976950117</v>
      </c>
      <c r="B636"/>
      <c r="C636"/>
      <c r="D636"/>
      <c r="E636"/>
      <c r="F636" s="26" t="s">
        <v>7</v>
      </c>
    </row>
    <row r="637" spans="1:6" x14ac:dyDescent="0.25">
      <c r="A637" s="7">
        <v>0.37152788212696197</v>
      </c>
      <c r="B637"/>
      <c r="C637"/>
      <c r="D637"/>
      <c r="E637"/>
      <c r="F637" s="26" t="s">
        <v>7</v>
      </c>
    </row>
    <row r="638" spans="1:6" x14ac:dyDescent="0.25">
      <c r="A638" s="7">
        <v>0.36424302169310002</v>
      </c>
      <c r="B638"/>
      <c r="C638"/>
      <c r="D638"/>
      <c r="E638"/>
      <c r="F638" s="26" t="s">
        <v>7</v>
      </c>
    </row>
    <row r="639" spans="1:6" x14ac:dyDescent="0.25">
      <c r="A639" s="7">
        <v>0.35710100165990194</v>
      </c>
      <c r="B639"/>
      <c r="C639"/>
      <c r="D639"/>
      <c r="E639"/>
      <c r="F639" s="26" t="s">
        <v>7</v>
      </c>
    </row>
    <row r="640" spans="1:6" x14ac:dyDescent="0.25">
      <c r="A640" s="7">
        <v>0.35009902123519804</v>
      </c>
      <c r="B640"/>
      <c r="C640"/>
      <c r="D640"/>
      <c r="E640"/>
      <c r="F640" s="26" t="s">
        <v>7</v>
      </c>
    </row>
    <row r="641" spans="1:6" x14ac:dyDescent="0.25">
      <c r="A641" s="7">
        <v>0.34323433454431179</v>
      </c>
      <c r="B641"/>
      <c r="C641"/>
      <c r="D641"/>
      <c r="E641"/>
      <c r="F641" s="26" t="s">
        <v>7</v>
      </c>
    </row>
    <row r="642" spans="1:6" x14ac:dyDescent="0.25">
      <c r="A642" s="7">
        <v>0.33650424955324681</v>
      </c>
      <c r="B642"/>
      <c r="C642"/>
      <c r="D642"/>
      <c r="E642"/>
      <c r="F642" s="26" t="s">
        <v>7</v>
      </c>
    </row>
    <row r="643" spans="1:6" x14ac:dyDescent="0.25">
      <c r="A643" s="7">
        <v>0.3299061270129871</v>
      </c>
      <c r="B643"/>
      <c r="C643"/>
      <c r="D643"/>
      <c r="E643"/>
      <c r="F643" s="26" t="s">
        <v>7</v>
      </c>
    </row>
    <row r="644" spans="1:6" x14ac:dyDescent="0.25">
      <c r="A644" s="7">
        <v>0.32343737942449713</v>
      </c>
      <c r="B644"/>
      <c r="C644"/>
      <c r="D644"/>
      <c r="E644"/>
      <c r="F644" s="26" t="s">
        <v>7</v>
      </c>
    </row>
    <row r="645" spans="1:6" x14ac:dyDescent="0.25">
      <c r="A645" s="7">
        <v>0.31709547002401678</v>
      </c>
      <c r="B645"/>
      <c r="C645"/>
      <c r="D645"/>
      <c r="E645"/>
      <c r="F645" s="26" t="s">
        <v>7</v>
      </c>
    </row>
    <row r="646" spans="1:6" x14ac:dyDescent="0.25">
      <c r="A646" s="7">
        <v>0.31087791178825175</v>
      </c>
      <c r="B646"/>
      <c r="C646"/>
      <c r="D646"/>
      <c r="E646"/>
      <c r="F646" s="26" t="s">
        <v>7</v>
      </c>
    </row>
    <row r="647" spans="1:6" x14ac:dyDescent="0.25">
      <c r="A647" s="7">
        <v>0.30478226645907036</v>
      </c>
      <c r="B647"/>
      <c r="C647"/>
      <c r="D647"/>
      <c r="E647"/>
      <c r="F647" s="26" t="s">
        <v>7</v>
      </c>
    </row>
    <row r="648" spans="1:6" x14ac:dyDescent="0.25">
      <c r="A648" s="7">
        <v>0.29880614358732388</v>
      </c>
      <c r="B648"/>
      <c r="C648"/>
      <c r="D648"/>
      <c r="E648"/>
      <c r="F648" s="26" t="s">
        <v>7</v>
      </c>
    </row>
    <row r="649" spans="1:6" x14ac:dyDescent="0.25">
      <c r="A649" s="7">
        <v>0.2929471995954156</v>
      </c>
      <c r="B649"/>
      <c r="C649"/>
      <c r="D649"/>
      <c r="E649"/>
      <c r="F649" s="26" t="s">
        <v>7</v>
      </c>
    </row>
    <row r="650" spans="1:6" x14ac:dyDescent="0.25">
      <c r="A650" s="7">
        <v>0.28720313685825055</v>
      </c>
      <c r="B650"/>
      <c r="C650"/>
      <c r="D650"/>
      <c r="E650"/>
      <c r="F650" s="26" t="s">
        <v>7</v>
      </c>
    </row>
    <row r="651" spans="1:6" x14ac:dyDescent="0.25">
      <c r="A651" s="7">
        <v>0.28157170280220645</v>
      </c>
      <c r="B651"/>
      <c r="C651"/>
      <c r="D651"/>
      <c r="E651"/>
      <c r="F651" s="26" t="s">
        <v>7</v>
      </c>
    </row>
    <row r="652" spans="1:6" x14ac:dyDescent="0.25">
      <c r="A652" s="7">
        <v>0.27605068902177105</v>
      </c>
      <c r="B652"/>
      <c r="C652"/>
      <c r="D652"/>
      <c r="E652"/>
      <c r="F652" s="26" t="s">
        <v>7</v>
      </c>
    </row>
    <row r="653" spans="1:6" x14ac:dyDescent="0.25">
      <c r="A653" s="7">
        <v>0.27063793041350104</v>
      </c>
      <c r="B653"/>
      <c r="C653"/>
      <c r="D653"/>
      <c r="E653"/>
      <c r="F653" s="26" t="s">
        <v>7</v>
      </c>
    </row>
    <row r="654" spans="1:6" x14ac:dyDescent="0.25">
      <c r="A654" s="7">
        <v>0.26533130432696184</v>
      </c>
      <c r="B654"/>
      <c r="C654"/>
      <c r="D654"/>
      <c r="E654"/>
      <c r="F654" s="26" t="s">
        <v>7</v>
      </c>
    </row>
    <row r="655" spans="1:6" x14ac:dyDescent="0.25">
      <c r="A655" s="7">
        <v>0.26012872973231554</v>
      </c>
      <c r="B655"/>
      <c r="C655"/>
      <c r="D655"/>
      <c r="E655"/>
      <c r="F655" s="26" t="s">
        <v>7</v>
      </c>
    </row>
    <row r="656" spans="1:6" x14ac:dyDescent="0.25">
      <c r="A656" s="7">
        <v>0.25502816640423093</v>
      </c>
      <c r="B656"/>
      <c r="C656"/>
      <c r="D656"/>
      <c r="E656"/>
      <c r="F656" s="26" t="s">
        <v>7</v>
      </c>
    </row>
    <row r="657" spans="1:6" x14ac:dyDescent="0.25">
      <c r="A657" s="7">
        <v>0.25002761412179503</v>
      </c>
      <c r="B657"/>
      <c r="C657"/>
      <c r="D657"/>
      <c r="E657"/>
      <c r="F657" s="26" t="s">
        <v>7</v>
      </c>
    </row>
    <row r="658" spans="1:6" x14ac:dyDescent="0.25">
      <c r="A658" s="7">
        <v>0.24512511188411276</v>
      </c>
      <c r="B658"/>
      <c r="C658"/>
      <c r="D658"/>
      <c r="E658"/>
      <c r="F658" s="26" t="s">
        <v>7</v>
      </c>
    </row>
    <row r="659" spans="1:6" x14ac:dyDescent="0.25">
      <c r="A659" s="7">
        <v>0.24031873714128701</v>
      </c>
      <c r="B659"/>
      <c r="C659"/>
      <c r="D659"/>
      <c r="E659"/>
      <c r="F659" s="26" t="s">
        <v>7</v>
      </c>
    </row>
    <row r="660" spans="1:6" x14ac:dyDescent="0.25">
      <c r="A660" s="7">
        <v>0.23560660504047748</v>
      </c>
      <c r="B660"/>
      <c r="C660"/>
      <c r="D660"/>
      <c r="E660"/>
      <c r="F660" s="26" t="s">
        <v>7</v>
      </c>
    </row>
    <row r="661" spans="1:6" x14ac:dyDescent="0.25">
      <c r="A661" s="7">
        <v>0.23098686768674265</v>
      </c>
      <c r="B661"/>
      <c r="C661"/>
      <c r="D661"/>
      <c r="E661"/>
      <c r="F661" s="26" t="s">
        <v>7</v>
      </c>
    </row>
    <row r="662" spans="1:6" x14ac:dyDescent="0.25">
      <c r="A662" s="7">
        <v>0.22645771341837515</v>
      </c>
      <c r="B662"/>
      <c r="C662"/>
      <c r="D662"/>
      <c r="E662"/>
      <c r="F662" s="26" t="s">
        <v>7</v>
      </c>
    </row>
    <row r="663" spans="1:6" x14ac:dyDescent="0.25">
      <c r="A663" s="7">
        <v>0.22201736609644623</v>
      </c>
      <c r="B663"/>
      <c r="C663"/>
      <c r="D663"/>
      <c r="E663"/>
      <c r="F663" s="26" t="s">
        <v>7</v>
      </c>
    </row>
    <row r="664" spans="1:6" x14ac:dyDescent="0.25">
      <c r="A664" s="7">
        <v>0.21766408440828061</v>
      </c>
      <c r="B664"/>
      <c r="C664"/>
      <c r="D664"/>
      <c r="E664"/>
      <c r="F664" s="26" t="s">
        <v>7</v>
      </c>
    </row>
    <row r="665" spans="1:6" x14ac:dyDescent="0.25">
      <c r="A665" s="7">
        <v>0.21339616118458882</v>
      </c>
      <c r="B665"/>
      <c r="C665"/>
      <c r="D665"/>
      <c r="E665"/>
      <c r="F665" s="26" t="s">
        <v>7</v>
      </c>
    </row>
    <row r="666" spans="1:6" x14ac:dyDescent="0.25">
      <c r="A666" s="7">
        <v>0.20921192272998904</v>
      </c>
      <c r="B666"/>
      <c r="C666"/>
      <c r="D666"/>
      <c r="E666"/>
      <c r="F666" s="26" t="s">
        <v>7</v>
      </c>
    </row>
    <row r="667" spans="1:6" x14ac:dyDescent="0.25">
      <c r="A667" s="7">
        <v>0.20510972816665593</v>
      </c>
      <c r="B667"/>
      <c r="C667"/>
      <c r="D667"/>
      <c r="E667"/>
      <c r="F667" s="26" t="s">
        <v>7</v>
      </c>
    </row>
    <row r="668" spans="1:6" x14ac:dyDescent="0.25">
      <c r="A668" s="7">
        <v>0.20108796879083912</v>
      </c>
      <c r="B668"/>
      <c r="C668"/>
      <c r="D668"/>
      <c r="E668"/>
      <c r="F668" s="26" t="s">
        <v>7</v>
      </c>
    </row>
    <row r="669" spans="1:6" x14ac:dyDescent="0.25">
      <c r="A669" s="7">
        <v>0.19714506744199917</v>
      </c>
      <c r="B669"/>
      <c r="C669"/>
      <c r="D669"/>
      <c r="E669"/>
      <c r="F669" s="26" t="s">
        <v>7</v>
      </c>
    </row>
    <row r="670" spans="1:6" x14ac:dyDescent="0.25">
      <c r="A670" s="7">
        <v>0.19327947788431293</v>
      </c>
      <c r="B670"/>
      <c r="C670"/>
      <c r="D670"/>
      <c r="E670"/>
      <c r="F670" s="26" t="s">
        <v>7</v>
      </c>
    </row>
    <row r="671" spans="1:6" x14ac:dyDescent="0.25">
      <c r="A671" s="7">
        <v>0.18948968420030682</v>
      </c>
      <c r="B671"/>
      <c r="C671"/>
      <c r="D671"/>
      <c r="E671"/>
      <c r="F671" s="26" t="s">
        <v>7</v>
      </c>
    </row>
    <row r="672" spans="1:6" x14ac:dyDescent="0.25">
      <c r="A672" s="7">
        <v>0.18577420019637925</v>
      </c>
      <c r="B672"/>
      <c r="C672"/>
      <c r="D672"/>
      <c r="E672"/>
      <c r="F672" s="26" t="s">
        <v>7</v>
      </c>
    </row>
    <row r="673" spans="1:6" x14ac:dyDescent="0.25">
      <c r="A673" s="7">
        <v>0.18213156881997963</v>
      </c>
      <c r="B673"/>
      <c r="C673"/>
      <c r="D673"/>
      <c r="E673"/>
      <c r="F673" s="26" t="s">
        <v>7</v>
      </c>
    </row>
    <row r="674" spans="1:6" x14ac:dyDescent="0.25">
      <c r="A674" s="7">
        <v>0.17856036158821534</v>
      </c>
      <c r="B674"/>
      <c r="C674"/>
      <c r="D674"/>
      <c r="E674"/>
      <c r="F674" s="26" t="s">
        <v>7</v>
      </c>
    </row>
    <row r="675" spans="1:6" x14ac:dyDescent="0.25">
      <c r="A675" s="7">
        <v>0.17505917802766208</v>
      </c>
      <c r="B675"/>
      <c r="C675"/>
      <c r="D675"/>
      <c r="E675"/>
      <c r="F675" s="26" t="s">
        <v>7</v>
      </c>
    </row>
    <row r="676" spans="1:6" x14ac:dyDescent="0.25">
      <c r="A676" s="7">
        <v>0.17162664512515888</v>
      </c>
      <c r="B676"/>
      <c r="C676"/>
      <c r="D676"/>
      <c r="E676"/>
      <c r="F676" s="26" t="s">
        <v>7</v>
      </c>
    </row>
    <row r="677" spans="1:6" x14ac:dyDescent="0.25">
      <c r="A677" s="7">
        <v>0.16826141678937145</v>
      </c>
      <c r="B677"/>
      <c r="C677"/>
      <c r="D677"/>
      <c r="E677"/>
      <c r="F677" s="26" t="s">
        <v>7</v>
      </c>
    </row>
    <row r="678" spans="1:6" x14ac:dyDescent="0.25">
      <c r="A678" s="7">
        <v>0.16496217332291319</v>
      </c>
      <c r="B678"/>
      <c r="C678"/>
      <c r="D678"/>
      <c r="E678"/>
      <c r="F678" s="26" t="s">
        <v>7</v>
      </c>
    </row>
    <row r="679" spans="1:6" x14ac:dyDescent="0.25">
      <c r="A679" s="7">
        <v>0.16172762090481685</v>
      </c>
      <c r="B679"/>
      <c r="C679"/>
      <c r="D679"/>
      <c r="E679"/>
      <c r="F679" s="26" t="s">
        <v>7</v>
      </c>
    </row>
    <row r="680" spans="1:6" x14ac:dyDescent="0.25">
      <c r="A680" s="7">
        <v>0.15855649108315376</v>
      </c>
      <c r="B680"/>
      <c r="C680"/>
      <c r="D680"/>
      <c r="E680"/>
      <c r="F680" s="26" t="s">
        <v>7</v>
      </c>
    </row>
    <row r="681" spans="1:6" x14ac:dyDescent="0.25">
      <c r="A681" s="7">
        <v>0.15544754027760171</v>
      </c>
      <c r="B681"/>
      <c r="C681"/>
      <c r="D681"/>
      <c r="E681"/>
      <c r="F681" s="26" t="s">
        <v>7</v>
      </c>
    </row>
    <row r="682" spans="1:6" x14ac:dyDescent="0.25">
      <c r="A682" s="7">
        <v>0.15239954929176638</v>
      </c>
      <c r="B682"/>
      <c r="C682"/>
      <c r="D682"/>
      <c r="E682"/>
      <c r="F682" s="26" t="s">
        <v>7</v>
      </c>
    </row>
    <row r="683" spans="1:6" x14ac:dyDescent="0.25">
      <c r="A683" s="7">
        <v>0.14941132283506509</v>
      </c>
      <c r="B683"/>
      <c r="C683"/>
      <c r="D683"/>
      <c r="E683"/>
      <c r="F683" s="26" t="s">
        <v>7</v>
      </c>
    </row>
    <row r="684" spans="1:6" x14ac:dyDescent="0.25">
      <c r="A684" s="7">
        <v>0.14648168905398537</v>
      </c>
      <c r="B684"/>
      <c r="C684"/>
      <c r="D684"/>
      <c r="E684"/>
      <c r="F684" s="26" t="s">
        <v>7</v>
      </c>
    </row>
    <row r="685" spans="1:6" x14ac:dyDescent="0.25">
      <c r="A685" s="7">
        <v>0.14360949907253467</v>
      </c>
      <c r="B685"/>
      <c r="C685"/>
      <c r="D685"/>
      <c r="E685"/>
      <c r="F685" s="26" t="s">
        <v>7</v>
      </c>
    </row>
    <row r="686" spans="1:6" x14ac:dyDescent="0.25">
      <c r="A686" s="7">
        <v>0.14079362654170066</v>
      </c>
      <c r="B686"/>
      <c r="C686"/>
      <c r="D686"/>
      <c r="E686"/>
      <c r="F686" s="26" t="s">
        <v>7</v>
      </c>
    </row>
    <row r="687" spans="1:6" x14ac:dyDescent="0.25">
      <c r="A687" s="7">
        <v>0.13803296719774574</v>
      </c>
      <c r="B687"/>
      <c r="C687"/>
      <c r="D687"/>
      <c r="E687"/>
      <c r="F687" s="26" t="s">
        <v>7</v>
      </c>
    </row>
    <row r="688" spans="1:6" x14ac:dyDescent="0.25">
      <c r="A688" s="7">
        <v>0.1353264384291625</v>
      </c>
      <c r="B688"/>
      <c r="C688"/>
      <c r="D688"/>
      <c r="E688"/>
      <c r="F688" s="26" t="s">
        <v>7</v>
      </c>
    </row>
    <row r="689" spans="1:6" x14ac:dyDescent="0.25">
      <c r="A689" s="7">
        <v>0.13267297885212009</v>
      </c>
      <c r="B689"/>
      <c r="C689"/>
      <c r="D689"/>
      <c r="E689"/>
      <c r="F689" s="26" t="s">
        <v>7</v>
      </c>
    </row>
    <row r="690" spans="1:6" x14ac:dyDescent="0.25">
      <c r="A690" s="7">
        <v>0.13007154789423539</v>
      </c>
      <c r="B690"/>
      <c r="C690"/>
      <c r="D690"/>
      <c r="E690"/>
      <c r="F690" s="26" t="s">
        <v>7</v>
      </c>
    </row>
    <row r="691" spans="1:6" x14ac:dyDescent="0.25">
      <c r="A691" s="7">
        <v>0.12752112538650529</v>
      </c>
      <c r="B691"/>
      <c r="C691"/>
      <c r="D691"/>
      <c r="E691"/>
      <c r="F691" s="26" t="s">
        <v>7</v>
      </c>
    </row>
    <row r="692" spans="1:6" x14ac:dyDescent="0.25">
      <c r="A692" s="7">
        <v>0.12502071116324048</v>
      </c>
      <c r="B692"/>
      <c r="C692"/>
      <c r="D692"/>
      <c r="E692"/>
      <c r="F692" s="26" t="s">
        <v>7</v>
      </c>
    </row>
    <row r="693" spans="1:6" x14ac:dyDescent="0.25">
      <c r="A693" s="7">
        <v>0.1225693246698436</v>
      </c>
      <c r="B693"/>
      <c r="C693"/>
      <c r="D693"/>
      <c r="E693"/>
      <c r="F693" s="26" t="s">
        <v>7</v>
      </c>
    </row>
    <row r="694" spans="1:6" x14ac:dyDescent="0.25">
      <c r="A694" s="7">
        <v>0.12016600457827803</v>
      </c>
      <c r="B694"/>
      <c r="C694"/>
      <c r="D694"/>
      <c r="E694"/>
      <c r="F694" s="26" t="s">
        <v>7</v>
      </c>
    </row>
    <row r="695" spans="1:6" x14ac:dyDescent="0.25">
      <c r="A695" s="7">
        <v>0.1178098084100765</v>
      </c>
      <c r="B695"/>
      <c r="C695"/>
      <c r="D695"/>
      <c r="E695"/>
      <c r="F695" s="26" t="s">
        <v>7</v>
      </c>
    </row>
    <row r="696" spans="1:6" x14ac:dyDescent="0.25">
      <c r="A696" s="7">
        <v>0.11549981216674166</v>
      </c>
      <c r="B696"/>
      <c r="C696"/>
      <c r="D696"/>
      <c r="E696"/>
      <c r="F696" s="26" t="s">
        <v>7</v>
      </c>
    </row>
    <row r="697" spans="1:6" x14ac:dyDescent="0.25">
      <c r="A697" s="7">
        <v>0.11323510996739378</v>
      </c>
      <c r="B697"/>
      <c r="C697"/>
      <c r="D697"/>
      <c r="E697"/>
      <c r="F697" s="26" t="s">
        <v>7</v>
      </c>
    </row>
    <row r="698" spans="1:6" x14ac:dyDescent="0.25">
      <c r="A698" s="7">
        <v>0.11101481369352331</v>
      </c>
      <c r="B698"/>
      <c r="C698"/>
      <c r="D698"/>
      <c r="E698"/>
      <c r="F698" s="26" t="s">
        <v>7</v>
      </c>
    </row>
    <row r="699" spans="1:6" x14ac:dyDescent="0.25">
      <c r="A699" s="7">
        <v>0.10883805264070913</v>
      </c>
      <c r="B699"/>
      <c r="C699"/>
      <c r="D699"/>
      <c r="E699"/>
      <c r="F699" s="26" t="s">
        <v>7</v>
      </c>
    </row>
    <row r="700" spans="1:6" x14ac:dyDescent="0.25">
      <c r="A700" s="7">
        <v>0.10670397317716582</v>
      </c>
      <c r="B700"/>
      <c r="C700"/>
      <c r="D700"/>
      <c r="E700"/>
      <c r="F700" s="26" t="s">
        <v>7</v>
      </c>
    </row>
    <row r="701" spans="1:6" x14ac:dyDescent="0.25">
      <c r="A701" s="7">
        <v>0.1046117384089861</v>
      </c>
      <c r="B701"/>
      <c r="C701"/>
      <c r="D701"/>
      <c r="E701"/>
      <c r="F701" s="26" t="s">
        <v>7</v>
      </c>
    </row>
    <row r="702" spans="1:6" x14ac:dyDescent="0.25">
      <c r="A702" s="7">
        <v>0.10256052785194716</v>
      </c>
      <c r="B702"/>
      <c r="C702"/>
      <c r="D702"/>
      <c r="E702"/>
      <c r="F702" s="26" t="s">
        <v>7</v>
      </c>
    </row>
    <row r="703" spans="1:6" x14ac:dyDescent="0.25">
      <c r="A703" s="7">
        <v>0.10054953710975212</v>
      </c>
      <c r="B703"/>
      <c r="C703"/>
      <c r="D703"/>
      <c r="E703"/>
      <c r="F703" s="26" t="s">
        <v>7</v>
      </c>
    </row>
    <row r="704" spans="1:6" x14ac:dyDescent="0.25">
      <c r="A704" s="7">
        <v>9.8577977558580512E-2</v>
      </c>
      <c r="B704"/>
      <c r="C704"/>
      <c r="D704"/>
      <c r="E704"/>
      <c r="F704" s="26" t="s">
        <v>7</v>
      </c>
    </row>
    <row r="705" spans="1:6" x14ac:dyDescent="0.25">
      <c r="A705" s="7">
        <v>9.6645076037824032E-2</v>
      </c>
      <c r="B705"/>
      <c r="C705"/>
      <c r="D705"/>
      <c r="E705"/>
      <c r="F705" s="26" t="s">
        <v>7</v>
      </c>
    </row>
    <row r="706" spans="1:6" x14ac:dyDescent="0.25">
      <c r="A706" s="7">
        <v>9.4750074546886304E-2</v>
      </c>
      <c r="B706"/>
      <c r="C706"/>
      <c r="D706"/>
      <c r="E706"/>
      <c r="F706" s="26" t="s">
        <v>7</v>
      </c>
    </row>
    <row r="707" spans="1:6" x14ac:dyDescent="0.25">
      <c r="A707" s="7">
        <v>9.2892229947927743E-2</v>
      </c>
      <c r="B707"/>
      <c r="C707"/>
      <c r="D707"/>
      <c r="E707"/>
      <c r="F707" s="26" t="s">
        <v>7</v>
      </c>
    </row>
    <row r="708" spans="1:6" x14ac:dyDescent="0.25">
      <c r="A708" s="7">
        <v>9.1070813674438963E-2</v>
      </c>
      <c r="B708"/>
      <c r="C708"/>
      <c r="D708"/>
      <c r="E708"/>
      <c r="F708" s="26" t="s">
        <v>7</v>
      </c>
    </row>
    <row r="709" spans="1:6" x14ac:dyDescent="0.25">
      <c r="A709" s="7">
        <v>8.9285111445528392E-2</v>
      </c>
      <c r="B709"/>
      <c r="C709"/>
      <c r="D709"/>
      <c r="E709"/>
      <c r="F709" s="26" t="s">
        <v>7</v>
      </c>
    </row>
    <row r="710" spans="1:6" x14ac:dyDescent="0.25">
      <c r="A710" s="7">
        <v>8.7534422985812155E-2</v>
      </c>
      <c r="B710"/>
      <c r="C710"/>
      <c r="D710"/>
      <c r="E710"/>
      <c r="F710" s="26" t="s">
        <v>7</v>
      </c>
    </row>
    <row r="711" spans="1:6" x14ac:dyDescent="0.25">
      <c r="A711" s="7">
        <v>8.5818061750796232E-2</v>
      </c>
      <c r="B711"/>
      <c r="C711"/>
      <c r="D711"/>
      <c r="E711"/>
      <c r="F711" s="26" t="s">
        <v>7</v>
      </c>
    </row>
    <row r="712" spans="1:6" x14ac:dyDescent="0.25">
      <c r="A712" s="7">
        <v>8.4135354657643366E-2</v>
      </c>
      <c r="B712"/>
      <c r="C712"/>
      <c r="D712"/>
      <c r="E712"/>
      <c r="F712" s="26" t="s">
        <v>7</v>
      </c>
    </row>
    <row r="713" spans="1:6" x14ac:dyDescent="0.25">
      <c r="A713" s="7">
        <v>8.248564182121898E-2</v>
      </c>
      <c r="B713"/>
      <c r="C713"/>
      <c r="D713"/>
      <c r="E713"/>
      <c r="F713" s="26" t="s">
        <v>7</v>
      </c>
    </row>
    <row r="714" spans="1:6" x14ac:dyDescent="0.25">
      <c r="A714" s="7">
        <v>8.0868276295312735E-2</v>
      </c>
      <c r="B714"/>
      <c r="C714"/>
      <c r="D714"/>
      <c r="E714"/>
      <c r="F714" s="26" t="s">
        <v>7</v>
      </c>
    </row>
    <row r="715" spans="1:6" x14ac:dyDescent="0.25">
      <c r="A715" s="7">
        <v>7.9282623818934056E-2</v>
      </c>
      <c r="B715"/>
      <c r="C715"/>
      <c r="D715"/>
      <c r="E715"/>
      <c r="F715" s="26" t="s">
        <v>7</v>
      </c>
    </row>
    <row r="716" spans="1:6" x14ac:dyDescent="0.25">
      <c r="A716" s="7">
        <v>7.7728062567582412E-2</v>
      </c>
      <c r="B716"/>
      <c r="C716"/>
      <c r="D716"/>
      <c r="E716"/>
      <c r="F716" s="26" t="s">
        <v>7</v>
      </c>
    </row>
    <row r="717" spans="1:6" x14ac:dyDescent="0.25">
      <c r="A717" s="7">
        <v>7.6203982909394521E-2</v>
      </c>
      <c r="B717"/>
      <c r="C717"/>
      <c r="D717"/>
      <c r="E717"/>
      <c r="F717" s="26" t="s">
        <v>7</v>
      </c>
    </row>
    <row r="718" spans="1:6" x14ac:dyDescent="0.25">
      <c r="A718" s="7">
        <v>7.4709787166073058E-2</v>
      </c>
      <c r="B718"/>
      <c r="C718"/>
      <c r="D718"/>
      <c r="E718"/>
      <c r="F718" s="26" t="s">
        <v>7</v>
      </c>
    </row>
    <row r="719" spans="1:6" x14ac:dyDescent="0.25">
      <c r="A719" s="7">
        <v>7.3244889378503E-2</v>
      </c>
      <c r="B719"/>
      <c r="C719"/>
      <c r="D719"/>
      <c r="E719"/>
      <c r="F719" s="26" t="s">
        <v>7</v>
      </c>
    </row>
    <row r="720" spans="1:6" x14ac:dyDescent="0.25">
      <c r="A720" s="7">
        <v>7.1808715076963722E-2</v>
      </c>
      <c r="B720"/>
      <c r="C720"/>
      <c r="D720"/>
      <c r="E720"/>
      <c r="F720" s="26" t="s">
        <v>7</v>
      </c>
    </row>
    <row r="721" spans="1:6" x14ac:dyDescent="0.25">
      <c r="A721" s="7">
        <v>7.0400701055846782E-2</v>
      </c>
      <c r="B721"/>
      <c r="C721"/>
      <c r="D721"/>
      <c r="E721"/>
      <c r="F721" s="26" t="s">
        <v>7</v>
      </c>
    </row>
    <row r="722" spans="1:6" x14ac:dyDescent="0.25">
      <c r="A722" s="7">
        <v>6.9020295152790956E-2</v>
      </c>
      <c r="B722"/>
      <c r="C722"/>
      <c r="D722"/>
      <c r="E722"/>
      <c r="F722" s="26" t="s">
        <v>7</v>
      </c>
    </row>
    <row r="723" spans="1:6" x14ac:dyDescent="0.25">
      <c r="A723" s="7">
        <v>6.7666956032147993E-2</v>
      </c>
      <c r="B723"/>
      <c r="C723"/>
      <c r="D723"/>
      <c r="E723"/>
      <c r="F723" s="26" t="s">
        <v>7</v>
      </c>
    </row>
    <row r="724" spans="1:6" x14ac:dyDescent="0.25">
      <c r="A724" s="7">
        <v>6.6340152972694105E-2</v>
      </c>
      <c r="B724"/>
      <c r="C724"/>
      <c r="D724"/>
      <c r="E724"/>
      <c r="F724" s="26" t="s">
        <v>7</v>
      </c>
    </row>
    <row r="725" spans="1:6" x14ac:dyDescent="0.25">
      <c r="A725" s="7">
        <v>6.5039365659504023E-2</v>
      </c>
      <c r="B725"/>
      <c r="C725"/>
      <c r="D725"/>
      <c r="E725"/>
      <c r="F725" s="26" t="s">
        <v>7</v>
      </c>
    </row>
    <row r="726" spans="1:6" x14ac:dyDescent="0.25">
      <c r="A726" s="7">
        <v>6.3764083979905906E-2</v>
      </c>
      <c r="B726"/>
      <c r="C726"/>
      <c r="D726"/>
      <c r="E726"/>
      <c r="F726" s="26" t="s">
        <v>7</v>
      </c>
    </row>
    <row r="727" spans="1:6" x14ac:dyDescent="0.25">
      <c r="A727" s="7">
        <v>6.251380782343717E-2</v>
      </c>
      <c r="B727"/>
      <c r="C727"/>
      <c r="D727"/>
      <c r="E727"/>
      <c r="F727" s="26" t="s">
        <v>7</v>
      </c>
    </row>
    <row r="728" spans="1:6" x14ac:dyDescent="0.25">
      <c r="A728" s="7">
        <v>6.1288046885722716E-2</v>
      </c>
      <c r="B728"/>
      <c r="C728"/>
      <c r="D728"/>
      <c r="E728"/>
      <c r="F728" s="26" t="s">
        <v>7</v>
      </c>
    </row>
    <row r="729" spans="1:6" x14ac:dyDescent="0.25">
      <c r="A729" s="7">
        <v>6.0086320476198739E-2</v>
      </c>
      <c r="B729"/>
      <c r="C729"/>
      <c r="D729"/>
      <c r="E729"/>
      <c r="F729" s="26" t="s">
        <v>7</v>
      </c>
    </row>
    <row r="730" spans="1:6" x14ac:dyDescent="0.25">
      <c r="A730" s="7">
        <v>5.8908157329606609E-2</v>
      </c>
      <c r="B730"/>
      <c r="C730"/>
      <c r="D730"/>
      <c r="E730"/>
      <c r="F730" s="26" t="s">
        <v>7</v>
      </c>
    </row>
    <row r="731" spans="1:6" x14ac:dyDescent="0.25">
      <c r="A731" s="7">
        <v>5.7753095421182947E-2</v>
      </c>
      <c r="B731"/>
      <c r="C731"/>
      <c r="D731"/>
      <c r="E731"/>
      <c r="F731" s="26" t="s">
        <v>7</v>
      </c>
    </row>
    <row r="732" spans="1:6" x14ac:dyDescent="0.25">
      <c r="A732" s="7">
        <v>5.6620681785473484E-2</v>
      </c>
      <c r="B732"/>
      <c r="C732"/>
      <c r="D732"/>
      <c r="E732"/>
      <c r="F732" s="26" t="s">
        <v>7</v>
      </c>
    </row>
    <row r="733" spans="1:6" x14ac:dyDescent="0.25">
      <c r="A733" s="7">
        <v>5.5510472338699497E-2</v>
      </c>
      <c r="B733"/>
      <c r="C733"/>
      <c r="D733"/>
      <c r="E733"/>
      <c r="F733" s="26" t="s">
        <v>7</v>
      </c>
    </row>
    <row r="734" spans="1:6" x14ac:dyDescent="0.25">
      <c r="A734" s="7">
        <v>5.4422031704607354E-2</v>
      </c>
      <c r="B734"/>
      <c r="C734"/>
      <c r="D734"/>
      <c r="E734"/>
      <c r="F734" s="26" t="s">
        <v>7</v>
      </c>
    </row>
    <row r="735" spans="1:6" x14ac:dyDescent="0.25">
      <c r="A735" s="7">
        <v>5.3354933043732705E-2</v>
      </c>
      <c r="B735"/>
      <c r="C735"/>
      <c r="D735"/>
      <c r="E735"/>
      <c r="F735" s="26" t="s">
        <v>7</v>
      </c>
    </row>
    <row r="736" spans="1:6" x14ac:dyDescent="0.25">
      <c r="A736" s="7">
        <v>5.2308757886012455E-2</v>
      </c>
      <c r="B736"/>
      <c r="C736"/>
      <c r="D736"/>
      <c r="E736"/>
      <c r="F736" s="26" t="s">
        <v>7</v>
      </c>
    </row>
    <row r="737" spans="1:6" x14ac:dyDescent="0.25">
      <c r="A737" s="7">
        <v>5.1283095966678877E-2</v>
      </c>
      <c r="B737"/>
      <c r="C737"/>
      <c r="D737"/>
      <c r="E737"/>
      <c r="F737" s="26" t="s">
        <v>7</v>
      </c>
    </row>
    <row r="738" spans="1:6" x14ac:dyDescent="0.25">
      <c r="A738" s="7">
        <v>5.0277545065371444E-2</v>
      </c>
      <c r="B738"/>
      <c r="C738"/>
      <c r="D738"/>
      <c r="E738"/>
      <c r="F738" s="26" t="s">
        <v>7</v>
      </c>
    </row>
    <row r="739" spans="1:6" x14ac:dyDescent="0.25">
      <c r="A739" s="7">
        <v>4.9291710848403378E-2</v>
      </c>
      <c r="B739"/>
      <c r="C739"/>
      <c r="D739"/>
      <c r="E739"/>
      <c r="F739" s="26" t="s">
        <v>7</v>
      </c>
    </row>
    <row r="740" spans="1:6" x14ac:dyDescent="0.25">
      <c r="A740" s="7">
        <v>4.8325206714120959E-2</v>
      </c>
      <c r="B740"/>
      <c r="C740"/>
      <c r="D740"/>
      <c r="E740"/>
      <c r="F740" s="26" t="s">
        <v>7</v>
      </c>
    </row>
    <row r="741" spans="1:6" x14ac:dyDescent="0.25">
      <c r="A741" s="7">
        <v>4.7377653641295057E-2</v>
      </c>
      <c r="B741"/>
      <c r="C741"/>
      <c r="D741"/>
      <c r="E741"/>
      <c r="F741" s="26" t="s">
        <v>7</v>
      </c>
    </row>
    <row r="742" spans="1:6" x14ac:dyDescent="0.25">
      <c r="A742" s="7">
        <v>4.644868004048535E-2</v>
      </c>
      <c r="B742"/>
      <c r="C742"/>
      <c r="D742"/>
      <c r="E742"/>
      <c r="F742" s="26" t="s">
        <v>7</v>
      </c>
    </row>
    <row r="743" spans="1:6" x14ac:dyDescent="0.25">
      <c r="A743" s="7">
        <v>4.5537921608318974E-2</v>
      </c>
      <c r="B743"/>
      <c r="C743"/>
      <c r="D743"/>
      <c r="E743"/>
      <c r="F743" s="26" t="s">
        <v>7</v>
      </c>
    </row>
    <row r="744" spans="1:6" x14ac:dyDescent="0.25">
      <c r="A744" s="7">
        <v>4.4645021184626446E-2</v>
      </c>
      <c r="B744"/>
      <c r="C744"/>
      <c r="D744"/>
      <c r="E744"/>
      <c r="F744" s="26" t="s">
        <v>7</v>
      </c>
    </row>
    <row r="745" spans="1:6" x14ac:dyDescent="0.25">
      <c r="A745" s="7">
        <v>4.3769628612378868E-2</v>
      </c>
      <c r="B745"/>
      <c r="C745"/>
      <c r="D745"/>
      <c r="E745"/>
      <c r="F745" s="26" t="s">
        <v>7</v>
      </c>
    </row>
    <row r="746" spans="1:6" x14ac:dyDescent="0.25">
      <c r="A746" s="7">
        <v>4.2911400600371442E-2</v>
      </c>
      <c r="B746"/>
      <c r="C746"/>
      <c r="D746"/>
      <c r="E746"/>
      <c r="F746" s="26" t="s">
        <v>7</v>
      </c>
    </row>
    <row r="747" spans="1:6" x14ac:dyDescent="0.25">
      <c r="A747" s="7">
        <v>4.2070000588599457E-2</v>
      </c>
      <c r="B747"/>
      <c r="C747"/>
      <c r="D747"/>
      <c r="E747"/>
      <c r="F747" s="26" t="s">
        <v>7</v>
      </c>
    </row>
    <row r="748" spans="1:6" x14ac:dyDescent="0.25">
      <c r="A748" s="7">
        <v>4.1245098616273977E-2</v>
      </c>
      <c r="B748"/>
      <c r="C748"/>
      <c r="D748"/>
      <c r="E748"/>
      <c r="F748" s="26" t="s">
        <v>7</v>
      </c>
    </row>
    <row r="749" spans="1:6" x14ac:dyDescent="0.25">
      <c r="A749" s="7">
        <v>4.043637119242547E-2</v>
      </c>
      <c r="B749"/>
      <c r="C749"/>
      <c r="D749"/>
      <c r="E749"/>
      <c r="F749" s="26" t="s">
        <v>7</v>
      </c>
    </row>
    <row r="750" spans="1:6" x14ac:dyDescent="0.25">
      <c r="A750" s="7">
        <v>3.9643501169044582E-2</v>
      </c>
      <c r="B750"/>
      <c r="C750"/>
      <c r="D750"/>
      <c r="E750"/>
      <c r="F750" s="26" t="s">
        <v>7</v>
      </c>
    </row>
    <row r="751" spans="1:6" x14ac:dyDescent="0.25">
      <c r="A751" s="7">
        <v>3.8866177616710372E-2</v>
      </c>
      <c r="B751"/>
      <c r="C751"/>
      <c r="D751"/>
      <c r="E751"/>
      <c r="F751" s="26" t="s">
        <v>7</v>
      </c>
    </row>
    <row r="752" spans="1:6" x14ac:dyDescent="0.25">
      <c r="A752" s="7">
        <v>3.8104095702657229E-2</v>
      </c>
      <c r="B752"/>
      <c r="C752"/>
      <c r="D752"/>
      <c r="E752"/>
      <c r="F752" s="26" t="s">
        <v>7</v>
      </c>
    </row>
    <row r="753" spans="1:650" x14ac:dyDescent="0.25">
      <c r="A753" s="7">
        <v>3.7356956571232579E-2</v>
      </c>
      <c r="B753"/>
      <c r="C753"/>
      <c r="D753"/>
      <c r="E753"/>
      <c r="F753" s="26" t="s">
        <v>7</v>
      </c>
    </row>
    <row r="754" spans="1:650" x14ac:dyDescent="0.25">
      <c r="A754" s="7">
        <v>3.6624467226698605E-2</v>
      </c>
      <c r="B754"/>
      <c r="C754"/>
      <c r="D754"/>
      <c r="E754"/>
      <c r="F754" s="26" t="s">
        <v>7</v>
      </c>
    </row>
    <row r="755" spans="1:650" x14ac:dyDescent="0.25">
      <c r="A755" s="7">
        <v>3.5906340418331961E-2</v>
      </c>
      <c r="B755"/>
      <c r="C755"/>
      <c r="D755"/>
      <c r="E755"/>
      <c r="F755" s="26" t="s">
        <v>7</v>
      </c>
    </row>
    <row r="756" spans="1:650" x14ac:dyDescent="0.25">
      <c r="A756" s="7">
        <v>3.5202294527776436E-2</v>
      </c>
      <c r="B756"/>
      <c r="C756"/>
      <c r="D756"/>
      <c r="E756"/>
      <c r="F756" s="26" t="s">
        <v>7</v>
      </c>
    </row>
    <row r="757" spans="1:650" x14ac:dyDescent="0.25">
      <c r="A757" s="7">
        <v>3.451205345860435E-2</v>
      </c>
      <c r="B757"/>
      <c r="C757"/>
      <c r="D757"/>
      <c r="E757"/>
      <c r="F757" s="26" t="s">
        <v>7</v>
      </c>
    </row>
    <row r="758" spans="1:650" x14ac:dyDescent="0.25">
      <c r="A758" s="7">
        <v>3.3835346528043479E-2</v>
      </c>
      <c r="B758"/>
      <c r="C758"/>
      <c r="D758"/>
      <c r="E758"/>
      <c r="F758" s="26" t="s">
        <v>7</v>
      </c>
    </row>
    <row r="759" spans="1:650" x14ac:dyDescent="0.25">
      <c r="A759" s="7">
        <v>3.3171908360826938E-2</v>
      </c>
      <c r="B759"/>
      <c r="C759"/>
      <c r="D759"/>
      <c r="E759"/>
      <c r="F759" s="26" t="s">
        <v>7</v>
      </c>
    </row>
    <row r="760" spans="1:650" x14ac:dyDescent="0.25">
      <c r="A760" s="7">
        <v>3.2521478785124451E-2</v>
      </c>
      <c r="B760"/>
      <c r="C760"/>
      <c r="D760"/>
      <c r="E760"/>
      <c r="F760" s="26" t="s">
        <v>7</v>
      </c>
    </row>
    <row r="761" spans="1:650" x14ac:dyDescent="0.25">
      <c r="A761" s="7">
        <v>3.1883802730514173E-2</v>
      </c>
      <c r="B761"/>
      <c r="C761"/>
      <c r="D761"/>
      <c r="E761"/>
      <c r="F761" s="26" t="s">
        <v>7</v>
      </c>
    </row>
    <row r="762" spans="1:650" x14ac:dyDescent="0.25">
      <c r="A762" s="7">
        <v>3.1258630127955073E-2</v>
      </c>
      <c r="B762"/>
      <c r="C762"/>
      <c r="D762"/>
      <c r="E762"/>
      <c r="F762" s="26" t="s">
        <v>7</v>
      </c>
      <c r="XY762" s="26" t="s">
        <v>8</v>
      </c>
    </row>
    <row r="763" spans="1:650" x14ac:dyDescent="0.25">
      <c r="A763" s="7">
        <v>3.064571581172066E-2</v>
      </c>
      <c r="B763"/>
      <c r="C763"/>
      <c r="D763"/>
      <c r="E763"/>
      <c r="F763" s="26" t="s">
        <v>7</v>
      </c>
      <c r="XY763" s="26" t="s">
        <v>8</v>
      </c>
      <c r="XZ763" s="26" t="s">
        <v>7</v>
      </c>
    </row>
    <row r="764" spans="1:650" x14ac:dyDescent="0.25">
      <c r="A764" s="7">
        <v>3.0044819423255549E-2</v>
      </c>
      <c r="B764"/>
      <c r="C764"/>
      <c r="D764"/>
      <c r="E764"/>
      <c r="F764" s="26" t="s">
        <v>7</v>
      </c>
      <c r="XY764" s="26" t="s">
        <v>8</v>
      </c>
      <c r="XZ764" s="26" t="s">
        <v>7</v>
      </c>
    </row>
    <row r="765" spans="1:650" x14ac:dyDescent="0.25">
      <c r="A765" s="7">
        <v>2.9455705316917203E-2</v>
      </c>
      <c r="B765"/>
      <c r="C765"/>
      <c r="D765"/>
      <c r="E765"/>
      <c r="F765" s="26" t="s">
        <v>7</v>
      </c>
      <c r="XY765" s="26" t="s">
        <v>8</v>
      </c>
      <c r="XZ765" s="26" t="s">
        <v>7</v>
      </c>
    </row>
    <row r="766" spans="1:650" x14ac:dyDescent="0.25">
      <c r="A766" s="7">
        <v>2.8878142467565884E-2</v>
      </c>
      <c r="B766"/>
      <c r="C766"/>
      <c r="D766"/>
      <c r="E766"/>
      <c r="F766" s="26" t="s">
        <v>7</v>
      </c>
      <c r="XY766" s="26" t="s">
        <v>8</v>
      </c>
      <c r="XZ766" s="26" t="s">
        <v>7</v>
      </c>
    </row>
    <row r="767" spans="1:650" x14ac:dyDescent="0.25">
      <c r="A767" s="7">
        <v>2.8311904379966554E-2</v>
      </c>
      <c r="B767"/>
      <c r="C767"/>
      <c r="D767"/>
      <c r="E767"/>
      <c r="F767" s="26" t="s">
        <v>7</v>
      </c>
      <c r="XY767" s="26" t="s">
        <v>8</v>
      </c>
      <c r="XZ767" s="26" t="s">
        <v>7</v>
      </c>
    </row>
    <row r="768" spans="1:650" x14ac:dyDescent="0.25">
      <c r="A768" s="7">
        <v>2.7756768999967207E-2</v>
      </c>
      <c r="B768"/>
      <c r="C768"/>
      <c r="D768"/>
      <c r="E768"/>
      <c r="F768" s="26" t="s">
        <v>7</v>
      </c>
      <c r="XY768" s="26" t="s">
        <v>8</v>
      </c>
      <c r="XZ768" s="26" t="s">
        <v>7</v>
      </c>
    </row>
    <row r="769" spans="1:658" x14ac:dyDescent="0.25">
      <c r="A769" s="7">
        <v>2.7212518627418834E-2</v>
      </c>
      <c r="B769"/>
      <c r="C769"/>
      <c r="D769"/>
      <c r="E769"/>
      <c r="F769" s="26" t="s">
        <v>7</v>
      </c>
      <c r="XY769" s="26" t="s">
        <v>8</v>
      </c>
      <c r="XZ769" s="26" t="s">
        <v>7</v>
      </c>
    </row>
    <row r="770" spans="1:658" x14ac:dyDescent="0.25">
      <c r="A770" s="7">
        <v>2.6678939830802779E-2</v>
      </c>
      <c r="B770"/>
      <c r="C770"/>
      <c r="D770"/>
      <c r="E770"/>
      <c r="F770" s="26" t="s">
        <v>7</v>
      </c>
      <c r="XY770" s="26" t="s">
        <v>8</v>
      </c>
      <c r="XZ770" s="26" t="s">
        <v>7</v>
      </c>
    </row>
    <row r="771" spans="1:658" x14ac:dyDescent="0.25">
      <c r="A771" s="7">
        <v>2.615582336353214E-2</v>
      </c>
      <c r="B771"/>
      <c r="C771"/>
      <c r="D771"/>
      <c r="E771"/>
      <c r="F771" s="26" t="s">
        <v>7</v>
      </c>
      <c r="XY771" s="26" t="s">
        <v>8</v>
      </c>
      <c r="XZ771" s="26" t="s">
        <v>7</v>
      </c>
    </row>
    <row r="772" spans="1:658" x14ac:dyDescent="0.25">
      <c r="A772" s="7">
        <v>2.5642964081894253E-2</v>
      </c>
      <c r="B772"/>
      <c r="C772"/>
      <c r="D772"/>
      <c r="E772"/>
      <c r="F772" s="26" t="s">
        <v>7</v>
      </c>
      <c r="XY772" s="26" t="s">
        <v>8</v>
      </c>
      <c r="XZ772" s="26" t="s">
        <v>7</v>
      </c>
    </row>
    <row r="773" spans="1:658" x14ac:dyDescent="0.25">
      <c r="A773" s="7">
        <v>2.5140160864602207E-2</v>
      </c>
      <c r="B773"/>
      <c r="C773"/>
      <c r="D773"/>
      <c r="E773"/>
      <c r="F773" s="26" t="s">
        <v>7</v>
      </c>
      <c r="XY773" s="26" t="s">
        <v>8</v>
      </c>
      <c r="XZ773" s="26" t="s">
        <v>7</v>
      </c>
    </row>
    <row r="774" spans="1:658" x14ac:dyDescent="0.25">
      <c r="A774" s="7">
        <v>2.4647216533923735E-2</v>
      </c>
      <c r="B774"/>
      <c r="C774"/>
      <c r="D774"/>
      <c r="E774"/>
      <c r="F774" s="26" t="s">
        <v>7</v>
      </c>
      <c r="XY774" s="26" t="s">
        <v>8</v>
      </c>
      <c r="XZ774" s="26" t="s">
        <v>7</v>
      </c>
      <c r="YA774" s="26" t="s">
        <v>8</v>
      </c>
    </row>
    <row r="775" spans="1:658" x14ac:dyDescent="0.25">
      <c r="A775" s="7">
        <v>2.4163937778356601E-2</v>
      </c>
      <c r="B775"/>
      <c r="C775"/>
      <c r="D775"/>
      <c r="E775"/>
      <c r="F775" s="26" t="s">
        <v>7</v>
      </c>
      <c r="XY775" s="26" t="s">
        <v>8</v>
      </c>
      <c r="XZ775" s="26" t="s">
        <v>7</v>
      </c>
      <c r="YA775" s="26" t="s">
        <v>8</v>
      </c>
      <c r="YB775" s="26" t="s">
        <v>7</v>
      </c>
    </row>
    <row r="776" spans="1:658" x14ac:dyDescent="0.25">
      <c r="A776" s="7">
        <v>2.3690135076820197E-2</v>
      </c>
      <c r="B776"/>
      <c r="C776"/>
      <c r="D776"/>
      <c r="E776"/>
      <c r="F776" s="26" t="s">
        <v>7</v>
      </c>
      <c r="XY776" s="26" t="s">
        <v>8</v>
      </c>
      <c r="XZ776" s="26" t="s">
        <v>7</v>
      </c>
      <c r="YA776" s="26" t="s">
        <v>8</v>
      </c>
      <c r="YB776" s="26" t="s">
        <v>7</v>
      </c>
    </row>
    <row r="777" spans="1:658" x14ac:dyDescent="0.25">
      <c r="A777" s="7">
        <v>2.3225622624333527E-2</v>
      </c>
      <c r="B777"/>
      <c r="C777"/>
      <c r="D777"/>
      <c r="E777"/>
      <c r="F777" s="26" t="s">
        <v>7</v>
      </c>
      <c r="XY777" s="26" t="s">
        <v>8</v>
      </c>
      <c r="XZ777" s="26" t="s">
        <v>7</v>
      </c>
      <c r="YA777" s="26" t="s">
        <v>8</v>
      </c>
      <c r="YB777" s="26" t="s">
        <v>7</v>
      </c>
    </row>
    <row r="778" spans="1:658" x14ac:dyDescent="0.25">
      <c r="A778" s="7">
        <v>2.2770218259150519E-2</v>
      </c>
      <c r="B778"/>
      <c r="C778"/>
      <c r="D778"/>
      <c r="E778"/>
      <c r="F778" s="26" t="s">
        <v>7</v>
      </c>
      <c r="XY778" s="26" t="s">
        <v>8</v>
      </c>
      <c r="XZ778" s="26" t="s">
        <v>7</v>
      </c>
      <c r="YA778" s="26" t="s">
        <v>8</v>
      </c>
      <c r="YB778" s="26" t="s">
        <v>7</v>
      </c>
    </row>
    <row r="779" spans="1:658" x14ac:dyDescent="0.25">
      <c r="A779" s="7">
        <v>2.2323743391324039E-2</v>
      </c>
      <c r="B779"/>
      <c r="C779"/>
      <c r="D779"/>
      <c r="E779"/>
      <c r="F779" s="26" t="s">
        <v>7</v>
      </c>
      <c r="XY779" s="26" t="s">
        <v>8</v>
      </c>
      <c r="XZ779" s="26" t="s">
        <v>7</v>
      </c>
      <c r="YA779" s="26" t="s">
        <v>8</v>
      </c>
      <c r="YB779" s="26" t="s">
        <v>7</v>
      </c>
    </row>
    <row r="780" spans="1:658" x14ac:dyDescent="0.25">
      <c r="A780" s="7">
        <v>2.188602293267063E-2</v>
      </c>
      <c r="B780"/>
      <c r="C780"/>
      <c r="D780"/>
      <c r="E780"/>
      <c r="F780" s="26" t="s">
        <v>7</v>
      </c>
      <c r="XY780" s="26" t="s">
        <v>8</v>
      </c>
      <c r="XZ780" s="26" t="s">
        <v>7</v>
      </c>
      <c r="YA780" s="26" t="s">
        <v>8</v>
      </c>
      <c r="YB780" s="26" t="s">
        <v>7</v>
      </c>
      <c r="YC780" s="26" t="s">
        <v>8</v>
      </c>
    </row>
    <row r="781" spans="1:658" x14ac:dyDescent="0.25">
      <c r="A781" s="7">
        <v>2.1456885228108461E-2</v>
      </c>
      <c r="B781"/>
      <c r="C781"/>
      <c r="D781"/>
      <c r="E781"/>
      <c r="F781" s="26" t="s">
        <v>7</v>
      </c>
      <c r="XY781" s="26" t="s">
        <v>8</v>
      </c>
      <c r="XZ781" s="26" t="s">
        <v>7</v>
      </c>
      <c r="YA781" s="26" t="s">
        <v>8</v>
      </c>
      <c r="YB781" s="26" t="s">
        <v>7</v>
      </c>
      <c r="YC781" s="26" t="s">
        <v>8</v>
      </c>
      <c r="YD781" s="26" t="s">
        <v>7</v>
      </c>
      <c r="YG781" s="26" t="s">
        <v>8</v>
      </c>
    </row>
    <row r="782" spans="1:658" x14ac:dyDescent="0.25">
      <c r="A782" s="7">
        <v>2.1036161988341632E-2</v>
      </c>
      <c r="B782"/>
      <c r="C782"/>
      <c r="D782"/>
      <c r="E782"/>
      <c r="F782" s="26" t="s">
        <v>7</v>
      </c>
      <c r="XY782" s="26" t="s">
        <v>8</v>
      </c>
      <c r="XZ782" s="26" t="s">
        <v>7</v>
      </c>
      <c r="YA782" s="26" t="s">
        <v>8</v>
      </c>
      <c r="YB782" s="26" t="s">
        <v>7</v>
      </c>
      <c r="YC782" s="26" t="s">
        <v>8</v>
      </c>
      <c r="YD782" s="26" t="s">
        <v>7</v>
      </c>
      <c r="YE782" s="26" t="s">
        <v>8</v>
      </c>
      <c r="YG782" s="26" t="s">
        <v>8</v>
      </c>
      <c r="YH782" s="26" t="s">
        <v>7</v>
      </c>
    </row>
    <row r="783" spans="1:658" x14ac:dyDescent="0.25">
      <c r="A783" s="7">
        <v>2.0623688223864345E-2</v>
      </c>
      <c r="B783"/>
      <c r="C783"/>
      <c r="D783"/>
      <c r="E783"/>
      <c r="F783" s="26" t="s">
        <v>7</v>
      </c>
      <c r="XY783" s="26" t="s">
        <v>8</v>
      </c>
      <c r="XZ783" s="26" t="s">
        <v>7</v>
      </c>
      <c r="YA783" s="26" t="s">
        <v>8</v>
      </c>
      <c r="YB783" s="26" t="s">
        <v>7</v>
      </c>
      <c r="YC783" s="26" t="s">
        <v>8</v>
      </c>
      <c r="YD783" s="26" t="s">
        <v>7</v>
      </c>
      <c r="YE783" s="26" t="s">
        <v>8</v>
      </c>
      <c r="YF783" s="26" t="s">
        <v>7</v>
      </c>
      <c r="YG783" s="26" t="s">
        <v>8</v>
      </c>
      <c r="YH783" s="26" t="s">
        <v>7</v>
      </c>
    </row>
    <row r="784" spans="1:658" x14ac:dyDescent="0.25">
      <c r="A784" s="7">
        <v>2.021930218025916E-2</v>
      </c>
      <c r="B784"/>
      <c r="C784"/>
      <c r="D784"/>
      <c r="E784"/>
      <c r="F784" s="26" t="s">
        <v>7</v>
      </c>
      <c r="XW784" s="26" t="s">
        <v>8</v>
      </c>
      <c r="XY784" s="26" t="s">
        <v>8</v>
      </c>
      <c r="XZ784" s="26" t="s">
        <v>7</v>
      </c>
      <c r="YA784" s="26" t="s">
        <v>8</v>
      </c>
      <c r="YB784" s="26" t="s">
        <v>7</v>
      </c>
      <c r="YC784" s="26" t="s">
        <v>8</v>
      </c>
      <c r="YD784" s="26" t="s">
        <v>7</v>
      </c>
      <c r="YE784" s="26" t="s">
        <v>8</v>
      </c>
      <c r="YF784" s="26" t="s">
        <v>7</v>
      </c>
      <c r="YG784" s="26" t="s">
        <v>8</v>
      </c>
      <c r="YH784" s="26" t="s">
        <v>7</v>
      </c>
    </row>
    <row r="785" spans="1:776" x14ac:dyDescent="0.25">
      <c r="A785" s="7">
        <v>1.9822845274763884E-2</v>
      </c>
      <c r="B785"/>
      <c r="C785"/>
      <c r="D785"/>
      <c r="E785"/>
      <c r="F785" s="26" t="s">
        <v>7</v>
      </c>
      <c r="XW785" s="26" t="s">
        <v>8</v>
      </c>
      <c r="XX785" s="26" t="s">
        <v>7</v>
      </c>
      <c r="XY785" s="26" t="s">
        <v>8</v>
      </c>
      <c r="XZ785" s="26" t="s">
        <v>7</v>
      </c>
      <c r="YA785" s="26" t="s">
        <v>8</v>
      </c>
      <c r="YB785" s="26" t="s">
        <v>7</v>
      </c>
      <c r="YC785" s="26" t="s">
        <v>8</v>
      </c>
      <c r="YD785" s="26" t="s">
        <v>7</v>
      </c>
      <c r="YE785" s="26" t="s">
        <v>8</v>
      </c>
      <c r="YF785" s="26" t="s">
        <v>7</v>
      </c>
      <c r="YG785" s="26" t="s">
        <v>8</v>
      </c>
      <c r="YH785" s="26" t="s">
        <v>7</v>
      </c>
    </row>
    <row r="786" spans="1:776" x14ac:dyDescent="0.25">
      <c r="A786" s="7">
        <v>1.9434162034082238E-2</v>
      </c>
      <c r="B786"/>
      <c r="C786"/>
      <c r="D786"/>
      <c r="E786"/>
      <c r="F786" s="26" t="s">
        <v>7</v>
      </c>
      <c r="XW786" s="26" t="s">
        <v>8</v>
      </c>
      <c r="XX786" s="26" t="s">
        <v>7</v>
      </c>
      <c r="XY786" s="26" t="s">
        <v>8</v>
      </c>
      <c r="XZ786" s="26" t="s">
        <v>7</v>
      </c>
      <c r="YB786" s="26" t="s">
        <v>7</v>
      </c>
      <c r="YC786" s="26" t="s">
        <v>8</v>
      </c>
      <c r="YD786" s="26" t="s">
        <v>7</v>
      </c>
      <c r="YE786" s="26" t="s">
        <v>8</v>
      </c>
      <c r="YF786" s="26" t="s">
        <v>7</v>
      </c>
      <c r="YG786" s="26" t="s">
        <v>8</v>
      </c>
      <c r="YH786" s="26" t="s">
        <v>7</v>
      </c>
    </row>
    <row r="787" spans="1:776" x14ac:dyDescent="0.25">
      <c r="A787" s="7">
        <v>1.9053100033413959E-2</v>
      </c>
      <c r="B787"/>
      <c r="C787"/>
      <c r="D787"/>
      <c r="E787"/>
      <c r="F787" s="26" t="s">
        <v>7</v>
      </c>
      <c r="XW787" s="26" t="s">
        <v>8</v>
      </c>
      <c r="XX787" s="26" t="s">
        <v>7</v>
      </c>
      <c r="XY787" s="26" t="s">
        <v>8</v>
      </c>
      <c r="YB787" s="26" t="s">
        <v>7</v>
      </c>
      <c r="YC787" s="26" t="s">
        <v>8</v>
      </c>
      <c r="YD787" s="26" t="s">
        <v>7</v>
      </c>
      <c r="YE787" s="26" t="s">
        <v>8</v>
      </c>
      <c r="YF787" s="26" t="s">
        <v>7</v>
      </c>
      <c r="YG787" s="26" t="s">
        <v>8</v>
      </c>
      <c r="YH787" s="26" t="s">
        <v>7</v>
      </c>
    </row>
    <row r="788" spans="1:776" x14ac:dyDescent="0.25">
      <c r="A788" s="7">
        <v>1.867950983668035E-2</v>
      </c>
      <c r="B788"/>
      <c r="C788"/>
      <c r="D788"/>
      <c r="E788"/>
      <c r="F788" s="26" t="s">
        <v>7</v>
      </c>
      <c r="XW788" s="26" t="s">
        <v>8</v>
      </c>
      <c r="XX788" s="26" t="s">
        <v>7</v>
      </c>
      <c r="XY788" s="26" t="s">
        <v>8</v>
      </c>
      <c r="YB788" s="26" t="s">
        <v>7</v>
      </c>
      <c r="YC788" s="26" t="s">
        <v>8</v>
      </c>
      <c r="YD788" s="26" t="s">
        <v>7</v>
      </c>
      <c r="YE788" s="26" t="s">
        <v>8</v>
      </c>
      <c r="YF788" s="26" t="s">
        <v>7</v>
      </c>
      <c r="YG788" s="26" t="s">
        <v>8</v>
      </c>
      <c r="YH788" s="26" t="s">
        <v>7</v>
      </c>
    </row>
    <row r="789" spans="1:776" x14ac:dyDescent="0.25">
      <c r="A789" s="7">
        <v>1.8313244937921913E-2</v>
      </c>
      <c r="B789"/>
      <c r="C789"/>
      <c r="D789"/>
      <c r="E789"/>
      <c r="F789" s="26" t="s">
        <v>7</v>
      </c>
      <c r="XW789" s="26" t="s">
        <v>8</v>
      </c>
      <c r="XX789" s="26" t="s">
        <v>7</v>
      </c>
      <c r="XY789" s="26" t="s">
        <v>8</v>
      </c>
      <c r="YB789" s="26" t="s">
        <v>7</v>
      </c>
      <c r="YC789" s="26" t="s">
        <v>8</v>
      </c>
      <c r="YD789" s="26" t="s">
        <v>7</v>
      </c>
      <c r="YE789" s="26" t="s">
        <v>8</v>
      </c>
      <c r="YF789" s="26" t="s">
        <v>7</v>
      </c>
      <c r="YG789" s="26" t="s">
        <v>8</v>
      </c>
      <c r="YH789" s="26" t="s">
        <v>7</v>
      </c>
      <c r="YI789" s="26" t="s">
        <v>8</v>
      </c>
    </row>
    <row r="790" spans="1:776" x14ac:dyDescent="0.25">
      <c r="A790" s="7">
        <v>1.7954161703845013E-2</v>
      </c>
      <c r="B790"/>
      <c r="C790"/>
      <c r="D790"/>
      <c r="E790"/>
      <c r="F790" s="26" t="s">
        <v>7</v>
      </c>
      <c r="XW790" s="26" t="s">
        <v>8</v>
      </c>
      <c r="XX790" s="26" t="s">
        <v>7</v>
      </c>
      <c r="XY790" s="26" t="s">
        <v>8</v>
      </c>
      <c r="YB790" s="26" t="s">
        <v>7</v>
      </c>
      <c r="YC790" s="26" t="s">
        <v>8</v>
      </c>
      <c r="YD790" s="26" t="s">
        <v>7</v>
      </c>
      <c r="YE790" s="26" t="s">
        <v>8</v>
      </c>
      <c r="YF790" s="26" t="s">
        <v>7</v>
      </c>
      <c r="YG790" s="26" t="s">
        <v>8</v>
      </c>
      <c r="YH790" s="26" t="s">
        <v>7</v>
      </c>
      <c r="YI790" s="26" t="s">
        <v>8</v>
      </c>
      <c r="YJ790" s="26" t="s">
        <v>7</v>
      </c>
    </row>
    <row r="791" spans="1:776" x14ac:dyDescent="0.25">
      <c r="A791" s="7">
        <v>1.7602119317495109E-2</v>
      </c>
      <c r="B791"/>
      <c r="C791"/>
      <c r="D791"/>
      <c r="E791"/>
      <c r="F791" s="26" t="s">
        <v>7</v>
      </c>
      <c r="XW791" s="26" t="s">
        <v>8</v>
      </c>
      <c r="XX791" s="26" t="s">
        <v>7</v>
      </c>
      <c r="XY791" s="26" t="s">
        <v>8</v>
      </c>
      <c r="YB791" s="26" t="s">
        <v>7</v>
      </c>
      <c r="YD791" s="26" t="s">
        <v>7</v>
      </c>
      <c r="YE791" s="26" t="s">
        <v>8</v>
      </c>
      <c r="YF791" s="26" t="s">
        <v>7</v>
      </c>
      <c r="YG791" s="26" t="s">
        <v>8</v>
      </c>
      <c r="YH791" s="26" t="s">
        <v>7</v>
      </c>
      <c r="YI791" s="26" t="s">
        <v>8</v>
      </c>
      <c r="YJ791" s="26" t="s">
        <v>7</v>
      </c>
      <c r="YO791" s="26" t="s">
        <v>8</v>
      </c>
    </row>
    <row r="792" spans="1:776" x14ac:dyDescent="0.25">
      <c r="A792" s="7">
        <v>1.7256979723034419E-2</v>
      </c>
      <c r="B792"/>
      <c r="C792"/>
      <c r="D792"/>
      <c r="E792"/>
      <c r="F792" s="26" t="s">
        <v>7</v>
      </c>
      <c r="XW792" s="26" t="s">
        <v>8</v>
      </c>
      <c r="XX792" s="26" t="s">
        <v>7</v>
      </c>
      <c r="XY792" s="26" t="s">
        <v>8</v>
      </c>
      <c r="YD792" s="26" t="s">
        <v>7</v>
      </c>
      <c r="YE792" s="26" t="s">
        <v>8</v>
      </c>
      <c r="YF792" s="26" t="s">
        <v>7</v>
      </c>
      <c r="YH792" s="26" t="s">
        <v>7</v>
      </c>
      <c r="YI792" s="26" t="s">
        <v>8</v>
      </c>
      <c r="YJ792" s="26" t="s">
        <v>7</v>
      </c>
      <c r="YO792" s="26" t="s">
        <v>8</v>
      </c>
      <c r="YP792" s="26" t="s">
        <v>7</v>
      </c>
    </row>
    <row r="793" spans="1:776" x14ac:dyDescent="0.25">
      <c r="A793" s="7">
        <v>1.6918607571602372E-2</v>
      </c>
      <c r="B793"/>
      <c r="C793"/>
      <c r="D793"/>
      <c r="E793"/>
      <c r="F793" s="26" t="s">
        <v>7</v>
      </c>
      <c r="XW793" s="26" t="s">
        <v>8</v>
      </c>
      <c r="XX793" s="26" t="s">
        <v>7</v>
      </c>
      <c r="XY793" s="26" t="s">
        <v>8</v>
      </c>
      <c r="YD793" s="26" t="s">
        <v>7</v>
      </c>
      <c r="YE793" s="26" t="s">
        <v>8</v>
      </c>
      <c r="YH793" s="26" t="s">
        <v>7</v>
      </c>
      <c r="YI793" s="26" t="s">
        <v>8</v>
      </c>
      <c r="YJ793" s="26" t="s">
        <v>7</v>
      </c>
      <c r="YK793" s="26" t="s">
        <v>8</v>
      </c>
      <c r="YO793" s="26" t="s">
        <v>8</v>
      </c>
      <c r="YP793" s="26" t="s">
        <v>7</v>
      </c>
      <c r="YS793" s="26" t="s">
        <v>8</v>
      </c>
    </row>
    <row r="794" spans="1:776" x14ac:dyDescent="0.25">
      <c r="A794" s="7">
        <v>1.6586870168237622E-2</v>
      </c>
      <c r="B794"/>
      <c r="C794"/>
      <c r="D794"/>
      <c r="E794"/>
      <c r="F794" s="26" t="s">
        <v>7</v>
      </c>
      <c r="XW794" s="26" t="s">
        <v>8</v>
      </c>
      <c r="XX794" s="26" t="s">
        <v>7</v>
      </c>
      <c r="XY794" s="26" t="s">
        <v>8</v>
      </c>
      <c r="YD794" s="26" t="s">
        <v>7</v>
      </c>
      <c r="YE794" s="26" t="s">
        <v>8</v>
      </c>
      <c r="YH794" s="26" t="s">
        <v>7</v>
      </c>
      <c r="YI794" s="26" t="s">
        <v>8</v>
      </c>
      <c r="YJ794" s="26" t="s">
        <v>7</v>
      </c>
      <c r="YK794" s="26" t="s">
        <v>8</v>
      </c>
      <c r="YL794" s="26" t="s">
        <v>7</v>
      </c>
      <c r="YO794" s="26" t="s">
        <v>8</v>
      </c>
      <c r="YP794" s="26" t="s">
        <v>7</v>
      </c>
      <c r="YS794" s="26" t="s">
        <v>8</v>
      </c>
      <c r="YT794" s="26" t="s">
        <v>7</v>
      </c>
      <c r="YW794" s="26" t="s">
        <v>8</v>
      </c>
      <c r="ACQ794" s="26" t="s">
        <v>8</v>
      </c>
    </row>
    <row r="795" spans="1:776" x14ac:dyDescent="0.25">
      <c r="A795" s="7">
        <v>1.6261637419840807E-2</v>
      </c>
      <c r="B795"/>
      <c r="C795"/>
      <c r="D795"/>
      <c r="E795"/>
      <c r="F795" s="26" t="s">
        <v>7</v>
      </c>
      <c r="XW795" s="26" t="s">
        <v>8</v>
      </c>
      <c r="XX795" s="26" t="s">
        <v>7</v>
      </c>
      <c r="XY795" s="26" t="s">
        <v>8</v>
      </c>
      <c r="YD795" s="26" t="s">
        <v>7</v>
      </c>
      <c r="YH795" s="26" t="s">
        <v>7</v>
      </c>
      <c r="YI795" s="26" t="s">
        <v>8</v>
      </c>
      <c r="YJ795" s="26" t="s">
        <v>7</v>
      </c>
      <c r="YK795" s="26" t="s">
        <v>8</v>
      </c>
      <c r="YL795" s="26" t="s">
        <v>7</v>
      </c>
      <c r="YO795" s="26" t="s">
        <v>8</v>
      </c>
      <c r="YP795" s="26" t="s">
        <v>7</v>
      </c>
      <c r="YQ795" s="26" t="s">
        <v>8</v>
      </c>
      <c r="YS795" s="26" t="s">
        <v>8</v>
      </c>
      <c r="YT795" s="26" t="s">
        <v>7</v>
      </c>
      <c r="YW795" s="26" t="s">
        <v>8</v>
      </c>
      <c r="YX795" s="26" t="s">
        <v>7</v>
      </c>
      <c r="ACQ795" s="26" t="s">
        <v>8</v>
      </c>
      <c r="ACR795" s="26" t="s">
        <v>7</v>
      </c>
    </row>
    <row r="796" spans="1:776" x14ac:dyDescent="0.25">
      <c r="A796" s="7">
        <v>1.5942781784157655E-2</v>
      </c>
      <c r="B796"/>
      <c r="C796"/>
      <c r="D796"/>
      <c r="E796"/>
      <c r="F796" s="26" t="s">
        <v>7</v>
      </c>
      <c r="XW796" s="26" t="s">
        <v>8</v>
      </c>
      <c r="XX796" s="26" t="s">
        <v>7</v>
      </c>
      <c r="XY796" s="26" t="s">
        <v>8</v>
      </c>
      <c r="YH796" s="26" t="s">
        <v>7</v>
      </c>
      <c r="YI796" s="26" t="s">
        <v>8</v>
      </c>
      <c r="YJ796" s="26" t="s">
        <v>7</v>
      </c>
      <c r="YK796" s="26" t="s">
        <v>8</v>
      </c>
      <c r="YL796" s="26" t="s">
        <v>7</v>
      </c>
      <c r="YO796" s="26" t="s">
        <v>8</v>
      </c>
      <c r="YP796" s="26" t="s">
        <v>7</v>
      </c>
      <c r="YQ796" s="26" t="s">
        <v>8</v>
      </c>
      <c r="YR796" s="26" t="s">
        <v>7</v>
      </c>
      <c r="YS796" s="26" t="s">
        <v>8</v>
      </c>
      <c r="YT796" s="26" t="s">
        <v>7</v>
      </c>
      <c r="YU796" s="26" t="s">
        <v>8</v>
      </c>
      <c r="YW796" s="26" t="s">
        <v>8</v>
      </c>
      <c r="YX796" s="26" t="s">
        <v>7</v>
      </c>
      <c r="ACQ796" s="26" t="s">
        <v>8</v>
      </c>
      <c r="ACR796" s="26" t="s">
        <v>7</v>
      </c>
    </row>
    <row r="797" spans="1:776" x14ac:dyDescent="0.25">
      <c r="A797" s="7">
        <v>1.5630178219762408E-2</v>
      </c>
      <c r="B797"/>
      <c r="C797"/>
      <c r="D797"/>
      <c r="E797"/>
      <c r="F797" s="26" t="s">
        <v>7</v>
      </c>
      <c r="XW797" s="26" t="s">
        <v>8</v>
      </c>
      <c r="XX797" s="26" t="s">
        <v>7</v>
      </c>
      <c r="XY797" s="26" t="s">
        <v>8</v>
      </c>
      <c r="YH797" s="26" t="s">
        <v>7</v>
      </c>
      <c r="YI797" s="26" t="s">
        <v>8</v>
      </c>
      <c r="YJ797" s="26" t="s">
        <v>7</v>
      </c>
      <c r="YK797" s="26" t="s">
        <v>8</v>
      </c>
      <c r="YL797" s="26" t="s">
        <v>7</v>
      </c>
      <c r="YO797" s="26" t="s">
        <v>8</v>
      </c>
      <c r="YP797" s="26" t="s">
        <v>7</v>
      </c>
      <c r="YQ797" s="26" t="s">
        <v>8</v>
      </c>
      <c r="YR797" s="26" t="s">
        <v>7</v>
      </c>
      <c r="YS797" s="26" t="s">
        <v>8</v>
      </c>
      <c r="YT797" s="26" t="s">
        <v>7</v>
      </c>
      <c r="YU797" s="26" t="s">
        <v>8</v>
      </c>
      <c r="YV797" s="26" t="s">
        <v>7</v>
      </c>
      <c r="YW797" s="26" t="s">
        <v>8</v>
      </c>
      <c r="YX797" s="26" t="s">
        <v>7</v>
      </c>
      <c r="ACO797" s="26" t="s">
        <v>8</v>
      </c>
      <c r="ACQ797" s="26" t="s">
        <v>8</v>
      </c>
      <c r="ACR797" s="26" t="s">
        <v>7</v>
      </c>
      <c r="ACU797" s="26" t="s">
        <v>8</v>
      </c>
    </row>
    <row r="798" spans="1:776" x14ac:dyDescent="0.25">
      <c r="A798" s="7">
        <v>1.5323704137021967E-2</v>
      </c>
      <c r="B798"/>
      <c r="C798"/>
      <c r="D798"/>
      <c r="E798"/>
      <c r="F798" s="26" t="s">
        <v>7</v>
      </c>
      <c r="XW798" s="26" t="s">
        <v>8</v>
      </c>
      <c r="XX798" s="26" t="s">
        <v>7</v>
      </c>
      <c r="YH798" s="26" t="s">
        <v>7</v>
      </c>
      <c r="YI798" s="26" t="s">
        <v>8</v>
      </c>
      <c r="YJ798" s="26" t="s">
        <v>7</v>
      </c>
      <c r="YK798" s="26" t="s">
        <v>8</v>
      </c>
      <c r="YL798" s="26" t="s">
        <v>7</v>
      </c>
      <c r="YM798" s="26" t="s">
        <v>8</v>
      </c>
      <c r="YO798" s="26" t="s">
        <v>8</v>
      </c>
      <c r="YP798" s="26" t="s">
        <v>7</v>
      </c>
      <c r="YQ798" s="26" t="s">
        <v>8</v>
      </c>
      <c r="YR798" s="26" t="s">
        <v>7</v>
      </c>
      <c r="YT798" s="26" t="s">
        <v>7</v>
      </c>
      <c r="YU798" s="26" t="s">
        <v>8</v>
      </c>
      <c r="YV798" s="26" t="s">
        <v>7</v>
      </c>
      <c r="YW798" s="26" t="s">
        <v>8</v>
      </c>
      <c r="YX798" s="26" t="s">
        <v>7</v>
      </c>
      <c r="ACO798" s="26" t="s">
        <v>8</v>
      </c>
      <c r="ACP798" s="26" t="s">
        <v>7</v>
      </c>
      <c r="ACQ798" s="26" t="s">
        <v>8</v>
      </c>
      <c r="ACR798" s="26" t="s">
        <v>7</v>
      </c>
      <c r="ACS798" s="26" t="s">
        <v>8</v>
      </c>
      <c r="ACU798" s="26" t="s">
        <v>8</v>
      </c>
      <c r="ACV798" s="26" t="s">
        <v>7</v>
      </c>
    </row>
    <row r="799" spans="1:776" x14ac:dyDescent="0.25">
      <c r="A799" s="7">
        <v>1.5023239350021535E-2</v>
      </c>
      <c r="B799"/>
      <c r="C799"/>
      <c r="D799"/>
      <c r="E799"/>
      <c r="F799" s="26" t="s">
        <v>7</v>
      </c>
      <c r="XW799" s="26" t="s">
        <v>8</v>
      </c>
      <c r="YH799" s="26" t="s">
        <v>7</v>
      </c>
      <c r="YI799" s="26" t="s">
        <v>8</v>
      </c>
      <c r="YJ799" s="26" t="s">
        <v>7</v>
      </c>
      <c r="YK799" s="26" t="s">
        <v>8</v>
      </c>
      <c r="YL799" s="26" t="s">
        <v>7</v>
      </c>
      <c r="YM799" s="26" t="s">
        <v>8</v>
      </c>
      <c r="YN799" s="26" t="s">
        <v>7</v>
      </c>
      <c r="YO799" s="26" t="s">
        <v>8</v>
      </c>
      <c r="YP799" s="26" t="s">
        <v>7</v>
      </c>
      <c r="YQ799" s="26" t="s">
        <v>8</v>
      </c>
      <c r="YT799" s="26" t="s">
        <v>7</v>
      </c>
      <c r="YU799" s="26" t="s">
        <v>8</v>
      </c>
      <c r="YV799" s="26" t="s">
        <v>7</v>
      </c>
      <c r="YW799" s="26" t="s">
        <v>8</v>
      </c>
      <c r="YX799" s="26" t="s">
        <v>7</v>
      </c>
      <c r="ACO799" s="26" t="s">
        <v>8</v>
      </c>
      <c r="ACP799" s="26" t="s">
        <v>7</v>
      </c>
      <c r="ACQ799" s="26" t="s">
        <v>8</v>
      </c>
      <c r="ACR799" s="26" t="s">
        <v>7</v>
      </c>
      <c r="ACS799" s="26" t="s">
        <v>8</v>
      </c>
      <c r="ACT799" s="26" t="s">
        <v>7</v>
      </c>
      <c r="ACU799" s="26" t="s">
        <v>8</v>
      </c>
      <c r="ACV799" s="26" t="s">
        <v>7</v>
      </c>
    </row>
    <row r="800" spans="1:776" x14ac:dyDescent="0.25">
      <c r="A800" s="7">
        <v>1.4728666029432878E-2</v>
      </c>
      <c r="B800"/>
      <c r="C800"/>
      <c r="D800"/>
      <c r="E800"/>
      <c r="F800" s="26" t="s">
        <v>7</v>
      </c>
      <c r="XW800" s="26" t="s">
        <v>8</v>
      </c>
      <c r="YH800" s="26" t="s">
        <v>7</v>
      </c>
      <c r="YI800" s="26" t="s">
        <v>8</v>
      </c>
      <c r="YJ800" s="26" t="s">
        <v>7</v>
      </c>
      <c r="YK800" s="26" t="s">
        <v>8</v>
      </c>
      <c r="YL800" s="26" t="s">
        <v>7</v>
      </c>
      <c r="YM800" s="26" t="s">
        <v>8</v>
      </c>
      <c r="YN800" s="26" t="s">
        <v>7</v>
      </c>
      <c r="YO800" s="26" t="s">
        <v>8</v>
      </c>
      <c r="YP800" s="26" t="s">
        <v>7</v>
      </c>
      <c r="YQ800" s="26" t="s">
        <v>8</v>
      </c>
      <c r="YT800" s="26" t="s">
        <v>7</v>
      </c>
      <c r="YU800" s="26" t="s">
        <v>8</v>
      </c>
      <c r="YV800" s="26" t="s">
        <v>7</v>
      </c>
      <c r="YW800" s="26" t="s">
        <v>8</v>
      </c>
      <c r="YX800" s="26" t="s">
        <v>7</v>
      </c>
      <c r="ACO800" s="26" t="s">
        <v>8</v>
      </c>
      <c r="ACP800" s="26" t="s">
        <v>7</v>
      </c>
      <c r="ACQ800" s="26" t="s">
        <v>8</v>
      </c>
      <c r="ACR800" s="26" t="s">
        <v>7</v>
      </c>
      <c r="ACS800" s="26" t="s">
        <v>8</v>
      </c>
      <c r="ACT800" s="26" t="s">
        <v>7</v>
      </c>
      <c r="ACU800" s="26" t="s">
        <v>8</v>
      </c>
      <c r="ACV800" s="26" t="s">
        <v>7</v>
      </c>
    </row>
    <row r="801" spans="1:788" x14ac:dyDescent="0.25">
      <c r="A801" s="7">
        <v>1.4439868656306743E-2</v>
      </c>
      <c r="B801"/>
      <c r="C801"/>
      <c r="D801"/>
      <c r="E801"/>
      <c r="F801" s="26" t="s">
        <v>7</v>
      </c>
      <c r="XW801" s="26" t="s">
        <v>8</v>
      </c>
      <c r="YH801" s="26" t="s">
        <v>7</v>
      </c>
      <c r="YI801" s="26" t="s">
        <v>8</v>
      </c>
      <c r="YJ801" s="26" t="s">
        <v>7</v>
      </c>
      <c r="YK801" s="26" t="s">
        <v>8</v>
      </c>
      <c r="YL801" s="26" t="s">
        <v>7</v>
      </c>
      <c r="YM801" s="26" t="s">
        <v>8</v>
      </c>
      <c r="YN801" s="26" t="s">
        <v>7</v>
      </c>
      <c r="YO801" s="26" t="s">
        <v>8</v>
      </c>
      <c r="YP801" s="26" t="s">
        <v>7</v>
      </c>
      <c r="YT801" s="26" t="s">
        <v>7</v>
      </c>
      <c r="YU801" s="26" t="s">
        <v>8</v>
      </c>
      <c r="YV801" s="26" t="s">
        <v>7</v>
      </c>
      <c r="YX801" s="26" t="s">
        <v>7</v>
      </c>
      <c r="ACO801" s="26" t="s">
        <v>8</v>
      </c>
      <c r="ACP801" s="26" t="s">
        <v>7</v>
      </c>
      <c r="ACQ801" s="26" t="s">
        <v>8</v>
      </c>
      <c r="ACR801" s="26" t="s">
        <v>7</v>
      </c>
      <c r="ACS801" s="26" t="s">
        <v>8</v>
      </c>
      <c r="ACT801" s="26" t="s">
        <v>7</v>
      </c>
      <c r="ACU801" s="26" t="s">
        <v>8</v>
      </c>
      <c r="ACV801" s="26" t="s">
        <v>7</v>
      </c>
      <c r="ACW801" s="26" t="s">
        <v>8</v>
      </c>
      <c r="ADA801" s="26" t="s">
        <v>8</v>
      </c>
    </row>
    <row r="802" spans="1:788" x14ac:dyDescent="0.25">
      <c r="A802" s="7">
        <v>1.4156733976771318E-2</v>
      </c>
      <c r="B802"/>
      <c r="C802"/>
      <c r="D802"/>
      <c r="E802"/>
      <c r="F802" s="26" t="s">
        <v>7</v>
      </c>
      <c r="XW802" s="26" t="s">
        <v>8</v>
      </c>
      <c r="YH802" s="26" t="s">
        <v>7</v>
      </c>
      <c r="YI802" s="26" t="s">
        <v>8</v>
      </c>
      <c r="YJ802" s="26" t="s">
        <v>7</v>
      </c>
      <c r="YK802" s="26" t="s">
        <v>8</v>
      </c>
      <c r="YL802" s="26" t="s">
        <v>7</v>
      </c>
      <c r="YM802" s="26" t="s">
        <v>8</v>
      </c>
      <c r="YN802" s="26" t="s">
        <v>7</v>
      </c>
      <c r="YO802" s="26" t="s">
        <v>8</v>
      </c>
      <c r="YT802" s="26" t="s">
        <v>7</v>
      </c>
      <c r="YU802" s="26" t="s">
        <v>8</v>
      </c>
      <c r="YX802" s="26" t="s">
        <v>7</v>
      </c>
      <c r="ACO802" s="26" t="s">
        <v>8</v>
      </c>
      <c r="ACP802" s="26" t="s">
        <v>7</v>
      </c>
      <c r="ACQ802" s="26" t="s">
        <v>8</v>
      </c>
      <c r="ACR802" s="26" t="s">
        <v>7</v>
      </c>
      <c r="ACS802" s="26" t="s">
        <v>8</v>
      </c>
      <c r="ACT802" s="26" t="s">
        <v>7</v>
      </c>
      <c r="ACU802" s="26" t="s">
        <v>8</v>
      </c>
      <c r="ACV802" s="26" t="s">
        <v>7</v>
      </c>
      <c r="ACW802" s="26" t="s">
        <v>8</v>
      </c>
      <c r="ACX802" s="26" t="s">
        <v>7</v>
      </c>
      <c r="ADA802" s="26" t="s">
        <v>8</v>
      </c>
      <c r="ADB802" s="26" t="s">
        <v>7</v>
      </c>
      <c r="ADC802" s="26" t="s">
        <v>8</v>
      </c>
    </row>
    <row r="803" spans="1:788" x14ac:dyDescent="0.25">
      <c r="A803" s="7">
        <v>1.3879150957618939E-2</v>
      </c>
      <c r="B803"/>
      <c r="C803"/>
      <c r="D803"/>
      <c r="E803"/>
      <c r="F803" s="26" t="s">
        <v>7</v>
      </c>
      <c r="XW803" s="26" t="s">
        <v>8</v>
      </c>
      <c r="YH803" s="26" t="s">
        <v>7</v>
      </c>
      <c r="YI803" s="26" t="s">
        <v>8</v>
      </c>
      <c r="YJ803" s="26" t="s">
        <v>7</v>
      </c>
      <c r="YL803" s="26" t="s">
        <v>7</v>
      </c>
      <c r="YM803" s="26" t="s">
        <v>8</v>
      </c>
      <c r="YN803" s="26" t="s">
        <v>7</v>
      </c>
      <c r="YO803" s="26" t="s">
        <v>8</v>
      </c>
      <c r="YT803" s="26" t="s">
        <v>7</v>
      </c>
      <c r="YU803" s="26" t="s">
        <v>8</v>
      </c>
      <c r="YX803" s="26" t="s">
        <v>7</v>
      </c>
      <c r="ACO803" s="26" t="s">
        <v>8</v>
      </c>
      <c r="ACP803" s="26" t="s">
        <v>7</v>
      </c>
      <c r="ACQ803" s="26" t="s">
        <v>8</v>
      </c>
      <c r="ACR803" s="26" t="s">
        <v>7</v>
      </c>
      <c r="ACS803" s="26" t="s">
        <v>8</v>
      </c>
      <c r="ACT803" s="26" t="s">
        <v>7</v>
      </c>
      <c r="ACV803" s="26" t="s">
        <v>7</v>
      </c>
      <c r="ACW803" s="26" t="s">
        <v>8</v>
      </c>
      <c r="ACX803" s="26" t="s">
        <v>7</v>
      </c>
      <c r="ADA803" s="26" t="s">
        <v>8</v>
      </c>
      <c r="ADB803" s="26" t="s">
        <v>7</v>
      </c>
      <c r="ADC803" s="26" t="s">
        <v>8</v>
      </c>
      <c r="ADD803" s="26" t="s">
        <v>7</v>
      </c>
    </row>
    <row r="804" spans="1:788" x14ac:dyDescent="0.25">
      <c r="A804" s="7">
        <v>1.3607010742763666E-2</v>
      </c>
      <c r="B804"/>
      <c r="C804"/>
      <c r="D804"/>
      <c r="E804"/>
      <c r="F804" s="26" t="s">
        <v>7</v>
      </c>
      <c r="XW804" s="26" t="s">
        <v>8</v>
      </c>
      <c r="YH804" s="26" t="s">
        <v>7</v>
      </c>
      <c r="YL804" s="26" t="s">
        <v>7</v>
      </c>
      <c r="YM804" s="26" t="s">
        <v>8</v>
      </c>
      <c r="YN804" s="26" t="s">
        <v>7</v>
      </c>
      <c r="YO804" s="26" t="s">
        <v>8</v>
      </c>
      <c r="YT804" s="26" t="s">
        <v>7</v>
      </c>
      <c r="YU804" s="26" t="s">
        <v>8</v>
      </c>
      <c r="YX804" s="26" t="s">
        <v>7</v>
      </c>
      <c r="ACO804" s="26" t="s">
        <v>8</v>
      </c>
      <c r="ACP804" s="26" t="s">
        <v>7</v>
      </c>
      <c r="ACQ804" s="26" t="s">
        <v>8</v>
      </c>
      <c r="ACR804" s="26" t="s">
        <v>7</v>
      </c>
      <c r="ACV804" s="26" t="s">
        <v>7</v>
      </c>
      <c r="ACW804" s="26" t="s">
        <v>8</v>
      </c>
      <c r="ACX804" s="26" t="s">
        <v>7</v>
      </c>
      <c r="ADA804" s="26" t="s">
        <v>8</v>
      </c>
      <c r="ADB804" s="26" t="s">
        <v>7</v>
      </c>
      <c r="ADC804" s="26" t="s">
        <v>8</v>
      </c>
      <c r="ADD804" s="26" t="s">
        <v>7</v>
      </c>
    </row>
    <row r="805" spans="1:788" x14ac:dyDescent="0.25">
      <c r="A805" s="7">
        <v>1.3340206610552614E-2</v>
      </c>
      <c r="B805"/>
      <c r="C805"/>
      <c r="D805"/>
      <c r="E805"/>
      <c r="F805" s="26" t="s">
        <v>7</v>
      </c>
      <c r="XW805" s="26" t="s">
        <v>8</v>
      </c>
      <c r="YL805" s="26" t="s">
        <v>7</v>
      </c>
      <c r="YM805" s="26" t="s">
        <v>8</v>
      </c>
      <c r="YN805" s="26" t="s">
        <v>7</v>
      </c>
      <c r="YO805" s="26" t="s">
        <v>8</v>
      </c>
      <c r="YT805" s="26" t="s">
        <v>7</v>
      </c>
      <c r="YX805" s="26" t="s">
        <v>7</v>
      </c>
      <c r="YY805" s="26" t="s">
        <v>8</v>
      </c>
      <c r="ABG805" s="26" t="s">
        <v>8</v>
      </c>
      <c r="ABI805" s="26" t="s">
        <v>8</v>
      </c>
      <c r="ACO805" s="26" t="s">
        <v>8</v>
      </c>
      <c r="ACP805" s="26" t="s">
        <v>7</v>
      </c>
      <c r="ACQ805" s="26" t="s">
        <v>8</v>
      </c>
      <c r="ACV805" s="26" t="s">
        <v>7</v>
      </c>
      <c r="ACW805" s="26" t="s">
        <v>8</v>
      </c>
      <c r="ACX805" s="26" t="s">
        <v>7</v>
      </c>
      <c r="ADA805" s="26" t="s">
        <v>8</v>
      </c>
      <c r="ADB805" s="26" t="s">
        <v>7</v>
      </c>
      <c r="ADC805" s="26" t="s">
        <v>8</v>
      </c>
      <c r="ADD805" s="26" t="s">
        <v>7</v>
      </c>
    </row>
    <row r="806" spans="1:788" x14ac:dyDescent="0.25">
      <c r="A806" s="7">
        <v>1.3078633931914328E-2</v>
      </c>
      <c r="B806"/>
      <c r="C806"/>
      <c r="D806"/>
      <c r="E806"/>
      <c r="F806" s="26" t="s">
        <v>7</v>
      </c>
      <c r="XW806" s="26" t="s">
        <v>8</v>
      </c>
      <c r="YL806" s="26" t="s">
        <v>7</v>
      </c>
      <c r="YM806" s="26" t="s">
        <v>8</v>
      </c>
      <c r="YN806" s="26" t="s">
        <v>7</v>
      </c>
      <c r="YO806" s="26" t="s">
        <v>8</v>
      </c>
      <c r="YX806" s="26" t="s">
        <v>7</v>
      </c>
      <c r="YY806" s="26" t="s">
        <v>8</v>
      </c>
      <c r="YZ806" s="26" t="s">
        <v>7</v>
      </c>
      <c r="ABG806" s="26" t="s">
        <v>8</v>
      </c>
      <c r="ABH806" s="26" t="s">
        <v>7</v>
      </c>
      <c r="ABI806" s="26" t="s">
        <v>8</v>
      </c>
      <c r="ABJ806" s="26" t="s">
        <v>7</v>
      </c>
      <c r="ACO806" s="26" t="s">
        <v>8</v>
      </c>
      <c r="ACP806" s="26" t="s">
        <v>7</v>
      </c>
      <c r="ACQ806" s="26" t="s">
        <v>8</v>
      </c>
      <c r="ACV806" s="26" t="s">
        <v>7</v>
      </c>
      <c r="ACW806" s="26" t="s">
        <v>8</v>
      </c>
      <c r="ACX806" s="26" t="s">
        <v>7</v>
      </c>
      <c r="ADA806" s="26" t="s">
        <v>8</v>
      </c>
      <c r="ADB806" s="26" t="s">
        <v>7</v>
      </c>
      <c r="ADC806" s="26" t="s">
        <v>8</v>
      </c>
      <c r="ADD806" s="26" t="s">
        <v>7</v>
      </c>
    </row>
    <row r="807" spans="1:788" x14ac:dyDescent="0.25">
      <c r="A807" s="7">
        <v>1.2822190129327771E-2</v>
      </c>
      <c r="B807"/>
      <c r="C807"/>
      <c r="D807"/>
      <c r="E807"/>
      <c r="F807" s="26" t="s">
        <v>7</v>
      </c>
      <c r="XW807" s="26" t="s">
        <v>8</v>
      </c>
      <c r="YL807" s="26" t="s">
        <v>7</v>
      </c>
      <c r="YM807" s="26" t="s">
        <v>8</v>
      </c>
      <c r="YN807" s="26" t="s">
        <v>7</v>
      </c>
      <c r="YO807" s="26" t="s">
        <v>8</v>
      </c>
      <c r="YX807" s="26" t="s">
        <v>7</v>
      </c>
      <c r="YY807" s="26" t="s">
        <v>8</v>
      </c>
      <c r="YZ807" s="26" t="s">
        <v>7</v>
      </c>
      <c r="ZC807" s="26" t="s">
        <v>8</v>
      </c>
      <c r="ABG807" s="26" t="s">
        <v>8</v>
      </c>
      <c r="ABH807" s="26" t="s">
        <v>7</v>
      </c>
      <c r="ABI807" s="26" t="s">
        <v>8</v>
      </c>
      <c r="ABJ807" s="26" t="s">
        <v>7</v>
      </c>
      <c r="ACO807" s="26" t="s">
        <v>8</v>
      </c>
      <c r="ACP807" s="26" t="s">
        <v>7</v>
      </c>
      <c r="ACQ807" s="26" t="s">
        <v>8</v>
      </c>
      <c r="ACV807" s="26" t="s">
        <v>7</v>
      </c>
      <c r="ACX807" s="26" t="s">
        <v>7</v>
      </c>
      <c r="ACY807" s="26" t="s">
        <v>8</v>
      </c>
      <c r="ADA807" s="26" t="s">
        <v>8</v>
      </c>
      <c r="ADB807" s="26" t="s">
        <v>7</v>
      </c>
      <c r="ADC807" s="26" t="s">
        <v>8</v>
      </c>
      <c r="ADD807" s="26" t="s">
        <v>7</v>
      </c>
      <c r="ADG807" s="26" t="s">
        <v>8</v>
      </c>
    </row>
    <row r="808" spans="1:788" x14ac:dyDescent="0.25">
      <c r="A808" s="7">
        <v>1.2570774636595854E-2</v>
      </c>
      <c r="B808"/>
      <c r="C808"/>
      <c r="D808"/>
      <c r="E808"/>
      <c r="F808" s="26" t="s">
        <v>7</v>
      </c>
      <c r="XW808" s="26" t="s">
        <v>8</v>
      </c>
      <c r="YL808" s="26" t="s">
        <v>7</v>
      </c>
      <c r="YM808" s="26" t="s">
        <v>8</v>
      </c>
      <c r="YN808" s="26" t="s">
        <v>7</v>
      </c>
      <c r="YO808" s="26" t="s">
        <v>8</v>
      </c>
      <c r="YX808" s="26" t="s">
        <v>7</v>
      </c>
      <c r="YY808" s="26" t="s">
        <v>8</v>
      </c>
      <c r="YZ808" s="26" t="s">
        <v>7</v>
      </c>
      <c r="ZC808" s="26" t="s">
        <v>8</v>
      </c>
      <c r="ZD808" s="26" t="s">
        <v>7</v>
      </c>
      <c r="ABG808" s="26" t="s">
        <v>8</v>
      </c>
      <c r="ABH808" s="26" t="s">
        <v>7</v>
      </c>
      <c r="ABI808" s="26" t="s">
        <v>8</v>
      </c>
      <c r="ABJ808" s="26" t="s">
        <v>7</v>
      </c>
      <c r="ACO808" s="26" t="s">
        <v>8</v>
      </c>
      <c r="ACP808" s="26" t="s">
        <v>7</v>
      </c>
      <c r="ACX808" s="26" t="s">
        <v>7</v>
      </c>
      <c r="ACY808" s="26" t="s">
        <v>8</v>
      </c>
      <c r="ACZ808" s="26" t="s">
        <v>7</v>
      </c>
      <c r="ADA808" s="26" t="s">
        <v>8</v>
      </c>
      <c r="ADB808" s="26" t="s">
        <v>7</v>
      </c>
      <c r="ADD808" s="26" t="s">
        <v>7</v>
      </c>
      <c r="ADE808" s="26" t="s">
        <v>8</v>
      </c>
      <c r="ADG808" s="26" t="s">
        <v>8</v>
      </c>
      <c r="ADH808" s="26" t="s">
        <v>7</v>
      </c>
    </row>
    <row r="809" spans="1:788" x14ac:dyDescent="0.25">
      <c r="A809" s="7">
        <v>1.23242888594077E-2</v>
      </c>
      <c r="B809"/>
      <c r="C809"/>
      <c r="D809"/>
      <c r="E809"/>
      <c r="F809" s="26" t="s">
        <v>7</v>
      </c>
      <c r="XW809" s="26" t="s">
        <v>8</v>
      </c>
      <c r="YL809" s="26" t="s">
        <v>7</v>
      </c>
      <c r="YM809" s="26" t="s">
        <v>8</v>
      </c>
      <c r="YN809" s="26" t="s">
        <v>7</v>
      </c>
      <c r="YO809" s="26" t="s">
        <v>8</v>
      </c>
      <c r="YX809" s="26" t="s">
        <v>7</v>
      </c>
      <c r="YY809" s="26" t="s">
        <v>8</v>
      </c>
      <c r="YZ809" s="26" t="s">
        <v>7</v>
      </c>
      <c r="ZA809" s="26" t="s">
        <v>8</v>
      </c>
      <c r="ZC809" s="26" t="s">
        <v>8</v>
      </c>
      <c r="ZD809" s="26" t="s">
        <v>7</v>
      </c>
      <c r="AAY809" s="26" t="s">
        <v>8</v>
      </c>
      <c r="ABG809" s="26" t="s">
        <v>8</v>
      </c>
      <c r="ABH809" s="26" t="s">
        <v>7</v>
      </c>
      <c r="ABI809" s="26" t="s">
        <v>8</v>
      </c>
      <c r="ABJ809" s="26" t="s">
        <v>7</v>
      </c>
      <c r="ACO809" s="26" t="s">
        <v>8</v>
      </c>
      <c r="ACX809" s="26" t="s">
        <v>7</v>
      </c>
      <c r="ACY809" s="26" t="s">
        <v>8</v>
      </c>
      <c r="ACZ809" s="26" t="s">
        <v>7</v>
      </c>
      <c r="ADA809" s="26" t="s">
        <v>8</v>
      </c>
      <c r="ADD809" s="26" t="s">
        <v>7</v>
      </c>
      <c r="ADE809" s="26" t="s">
        <v>8</v>
      </c>
      <c r="ADF809" s="26" t="s">
        <v>7</v>
      </c>
      <c r="ADG809" s="26" t="s">
        <v>8</v>
      </c>
      <c r="ADH809" s="26" t="s">
        <v>7</v>
      </c>
    </row>
    <row r="810" spans="1:788" x14ac:dyDescent="0.25">
      <c r="A810" s="7">
        <v>1.2082636136674216E-2</v>
      </c>
      <c r="B810"/>
      <c r="C810"/>
      <c r="D810"/>
      <c r="E810"/>
      <c r="F810" s="26" t="s">
        <v>7</v>
      </c>
      <c r="XW810" s="26" t="s">
        <v>8</v>
      </c>
      <c r="YL810" s="26" t="s">
        <v>7</v>
      </c>
      <c r="YM810" s="26" t="s">
        <v>8</v>
      </c>
      <c r="YN810" s="26" t="s">
        <v>7</v>
      </c>
      <c r="YO810" s="26" t="s">
        <v>8</v>
      </c>
      <c r="YX810" s="26" t="s">
        <v>7</v>
      </c>
      <c r="YY810" s="26" t="s">
        <v>8</v>
      </c>
      <c r="YZ810" s="26" t="s">
        <v>7</v>
      </c>
      <c r="ZA810" s="26" t="s">
        <v>8</v>
      </c>
      <c r="ZB810" s="26" t="s">
        <v>7</v>
      </c>
      <c r="ZC810" s="26" t="s">
        <v>8</v>
      </c>
      <c r="ZD810" s="26" t="s">
        <v>7</v>
      </c>
      <c r="AAW810" s="26" t="s">
        <v>8</v>
      </c>
      <c r="AAY810" s="26" t="s">
        <v>8</v>
      </c>
      <c r="AAZ810" s="26" t="s">
        <v>7</v>
      </c>
      <c r="ABG810" s="26" t="s">
        <v>8</v>
      </c>
      <c r="ABH810" s="26" t="s">
        <v>7</v>
      </c>
      <c r="ABI810" s="26" t="s">
        <v>8</v>
      </c>
      <c r="ABJ810" s="26" t="s">
        <v>7</v>
      </c>
      <c r="ACO810" s="26" t="s">
        <v>8</v>
      </c>
      <c r="ACX810" s="26" t="s">
        <v>7</v>
      </c>
      <c r="ACY810" s="26" t="s">
        <v>8</v>
      </c>
      <c r="ACZ810" s="26" t="s">
        <v>7</v>
      </c>
      <c r="ADA810" s="26" t="s">
        <v>8</v>
      </c>
      <c r="ADD810" s="26" t="s">
        <v>7</v>
      </c>
      <c r="ADE810" s="26" t="s">
        <v>8</v>
      </c>
      <c r="ADF810" s="26" t="s">
        <v>7</v>
      </c>
      <c r="ADG810" s="26" t="s">
        <v>8</v>
      </c>
      <c r="ADH810" s="26" t="s">
        <v>7</v>
      </c>
    </row>
    <row r="811" spans="1:788" x14ac:dyDescent="0.25">
      <c r="A811" s="7">
        <v>1.184572170262178E-2</v>
      </c>
      <c r="B811"/>
      <c r="C811"/>
      <c r="D811"/>
      <c r="E811"/>
      <c r="F811" s="26" t="s">
        <v>7</v>
      </c>
      <c r="XW811" s="26" t="s">
        <v>8</v>
      </c>
      <c r="YL811" s="26" t="s">
        <v>7</v>
      </c>
      <c r="YM811" s="26" t="s">
        <v>8</v>
      </c>
      <c r="YN811" s="26" t="s">
        <v>7</v>
      </c>
      <c r="YO811" s="26" t="s">
        <v>8</v>
      </c>
      <c r="YX811" s="26" t="s">
        <v>7</v>
      </c>
      <c r="YY811" s="26" t="s">
        <v>8</v>
      </c>
      <c r="YZ811" s="26" t="s">
        <v>7</v>
      </c>
      <c r="ZA811" s="26" t="s">
        <v>8</v>
      </c>
      <c r="ZB811" s="26" t="s">
        <v>7</v>
      </c>
      <c r="ZC811" s="26" t="s">
        <v>8</v>
      </c>
      <c r="ZD811" s="26" t="s">
        <v>7</v>
      </c>
      <c r="AAW811" s="26" t="s">
        <v>8</v>
      </c>
      <c r="AAX811" s="26" t="s">
        <v>7</v>
      </c>
      <c r="AAY811" s="26" t="s">
        <v>8</v>
      </c>
      <c r="AAZ811" s="26" t="s">
        <v>7</v>
      </c>
      <c r="ABC811" s="26" t="s">
        <v>8</v>
      </c>
      <c r="ABG811" s="26" t="s">
        <v>8</v>
      </c>
      <c r="ABH811" s="26" t="s">
        <v>7</v>
      </c>
      <c r="ABJ811" s="26" t="s">
        <v>7</v>
      </c>
      <c r="ACK811" s="26" t="s">
        <v>8</v>
      </c>
      <c r="ACO811" s="26" t="s">
        <v>8</v>
      </c>
      <c r="ACX811" s="26" t="s">
        <v>7</v>
      </c>
      <c r="ACY811" s="26" t="s">
        <v>8</v>
      </c>
      <c r="ACZ811" s="26" t="s">
        <v>7</v>
      </c>
      <c r="ADA811" s="26" t="s">
        <v>8</v>
      </c>
      <c r="ADD811" s="26" t="s">
        <v>7</v>
      </c>
      <c r="ADF811" s="26" t="s">
        <v>7</v>
      </c>
      <c r="ADG811" s="26" t="s">
        <v>8</v>
      </c>
      <c r="ADH811" s="26" t="s">
        <v>7</v>
      </c>
    </row>
    <row r="812" spans="1:788" x14ac:dyDescent="0.25">
      <c r="A812" s="7">
        <v>1.1613452649629196E-2</v>
      </c>
      <c r="B812"/>
      <c r="C812"/>
      <c r="D812"/>
      <c r="E812"/>
      <c r="F812" s="26" t="s">
        <v>7</v>
      </c>
      <c r="XW812" s="26" t="s">
        <v>8</v>
      </c>
      <c r="YL812" s="26" t="s">
        <v>7</v>
      </c>
      <c r="YM812" s="26" t="s">
        <v>8</v>
      </c>
      <c r="YN812" s="26" t="s">
        <v>7</v>
      </c>
      <c r="YO812" s="26" t="s">
        <v>8</v>
      </c>
      <c r="YX812" s="26" t="s">
        <v>7</v>
      </c>
      <c r="YY812" s="26" t="s">
        <v>8</v>
      </c>
      <c r="YZ812" s="26" t="s">
        <v>7</v>
      </c>
      <c r="ZA812" s="26" t="s">
        <v>8</v>
      </c>
      <c r="ZB812" s="26" t="s">
        <v>7</v>
      </c>
      <c r="ZC812" s="26" t="s">
        <v>8</v>
      </c>
      <c r="ZD812" s="26" t="s">
        <v>7</v>
      </c>
      <c r="AAW812" s="26" t="s">
        <v>8</v>
      </c>
      <c r="AAX812" s="26" t="s">
        <v>7</v>
      </c>
      <c r="AAY812" s="26" t="s">
        <v>8</v>
      </c>
      <c r="AAZ812" s="26" t="s">
        <v>7</v>
      </c>
      <c r="ABA812" s="26" t="s">
        <v>8</v>
      </c>
      <c r="ABC812" s="26" t="s">
        <v>8</v>
      </c>
      <c r="ABD812" s="26" t="s">
        <v>7</v>
      </c>
      <c r="ABG812" s="26" t="s">
        <v>8</v>
      </c>
      <c r="ABJ812" s="26" t="s">
        <v>7</v>
      </c>
      <c r="ACK812" s="26" t="s">
        <v>8</v>
      </c>
      <c r="ACL812" s="26" t="s">
        <v>7</v>
      </c>
      <c r="ACO812" s="26" t="s">
        <v>8</v>
      </c>
      <c r="ACX812" s="26" t="s">
        <v>7</v>
      </c>
      <c r="ACZ812" s="26" t="s">
        <v>7</v>
      </c>
      <c r="ADA812" s="26" t="s">
        <v>8</v>
      </c>
      <c r="ADF812" s="26" t="s">
        <v>7</v>
      </c>
      <c r="ADG812" s="26" t="s">
        <v>8</v>
      </c>
      <c r="ADH812" s="26" t="s">
        <v>7</v>
      </c>
    </row>
    <row r="813" spans="1:788" x14ac:dyDescent="0.25">
      <c r="A813" s="7">
        <v>1.138573789179333E-2</v>
      </c>
      <c r="B813"/>
      <c r="C813"/>
      <c r="D813"/>
      <c r="E813"/>
      <c r="F813" s="26" t="s">
        <v>7</v>
      </c>
      <c r="XU813" s="26" t="s">
        <v>8</v>
      </c>
      <c r="XW813" s="26" t="s">
        <v>8</v>
      </c>
      <c r="YL813" s="26" t="s">
        <v>7</v>
      </c>
      <c r="YM813" s="26" t="s">
        <v>8</v>
      </c>
      <c r="YN813" s="26" t="s">
        <v>7</v>
      </c>
      <c r="YO813" s="26" t="s">
        <v>8</v>
      </c>
      <c r="YX813" s="26" t="s">
        <v>7</v>
      </c>
      <c r="YY813" s="26" t="s">
        <v>8</v>
      </c>
      <c r="YZ813" s="26" t="s">
        <v>7</v>
      </c>
      <c r="ZA813" s="26" t="s">
        <v>8</v>
      </c>
      <c r="ZB813" s="26" t="s">
        <v>7</v>
      </c>
      <c r="ZC813" s="26" t="s">
        <v>8</v>
      </c>
      <c r="ZD813" s="26" t="s">
        <v>7</v>
      </c>
      <c r="ZE813" s="26" t="s">
        <v>8</v>
      </c>
      <c r="ZK813" s="26" t="s">
        <v>8</v>
      </c>
      <c r="AAW813" s="26" t="s">
        <v>8</v>
      </c>
      <c r="AAX813" s="26" t="s">
        <v>7</v>
      </c>
      <c r="AAY813" s="26" t="s">
        <v>8</v>
      </c>
      <c r="AAZ813" s="26" t="s">
        <v>7</v>
      </c>
      <c r="ABA813" s="26" t="s">
        <v>8</v>
      </c>
      <c r="ABB813" s="26" t="s">
        <v>7</v>
      </c>
      <c r="ABC813" s="26" t="s">
        <v>8</v>
      </c>
      <c r="ABD813" s="26" t="s">
        <v>7</v>
      </c>
      <c r="ABE813" s="26" t="s">
        <v>8</v>
      </c>
      <c r="ABG813" s="26" t="s">
        <v>8</v>
      </c>
      <c r="ABJ813" s="26" t="s">
        <v>7</v>
      </c>
      <c r="ACK813" s="26" t="s">
        <v>8</v>
      </c>
      <c r="ACL813" s="26" t="s">
        <v>7</v>
      </c>
      <c r="ACO813" s="26" t="s">
        <v>8</v>
      </c>
      <c r="ACZ813" s="26" t="s">
        <v>7</v>
      </c>
      <c r="ADA813" s="26" t="s">
        <v>8</v>
      </c>
      <c r="ADF813" s="26" t="s">
        <v>7</v>
      </c>
      <c r="ADG813" s="26" t="s">
        <v>8</v>
      </c>
      <c r="ADH813" s="26" t="s">
        <v>7</v>
      </c>
    </row>
    <row r="814" spans="1:788" x14ac:dyDescent="0.25">
      <c r="A814" s="7">
        <v>1.1162488129209149E-2</v>
      </c>
      <c r="B814"/>
      <c r="C814"/>
      <c r="D814"/>
      <c r="E814"/>
      <c r="F814" s="26" t="s">
        <v>7</v>
      </c>
      <c r="XU814" s="26" t="s">
        <v>8</v>
      </c>
      <c r="XV814" s="26" t="s">
        <v>7</v>
      </c>
      <c r="XW814" s="26" t="s">
        <v>8</v>
      </c>
      <c r="YL814" s="26" t="s">
        <v>7</v>
      </c>
      <c r="YM814" s="26" t="s">
        <v>8</v>
      </c>
      <c r="YN814" s="26" t="s">
        <v>7</v>
      </c>
      <c r="YO814" s="26" t="s">
        <v>8</v>
      </c>
      <c r="YX814" s="26" t="s">
        <v>7</v>
      </c>
      <c r="YZ814" s="26" t="s">
        <v>7</v>
      </c>
      <c r="ZA814" s="26" t="s">
        <v>8</v>
      </c>
      <c r="ZB814" s="26" t="s">
        <v>7</v>
      </c>
      <c r="ZC814" s="26" t="s">
        <v>8</v>
      </c>
      <c r="ZD814" s="26" t="s">
        <v>7</v>
      </c>
      <c r="ZE814" s="26" t="s">
        <v>8</v>
      </c>
      <c r="ZF814" s="26" t="s">
        <v>7</v>
      </c>
      <c r="ZK814" s="26" t="s">
        <v>8</v>
      </c>
      <c r="ZL814" s="26" t="s">
        <v>7</v>
      </c>
      <c r="AAW814" s="26" t="s">
        <v>8</v>
      </c>
      <c r="AAX814" s="26" t="s">
        <v>7</v>
      </c>
      <c r="AAY814" s="26" t="s">
        <v>8</v>
      </c>
      <c r="AAZ814" s="26" t="s">
        <v>7</v>
      </c>
      <c r="ABA814" s="26" t="s">
        <v>8</v>
      </c>
      <c r="ABB814" s="26" t="s">
        <v>7</v>
      </c>
      <c r="ABC814" s="26" t="s">
        <v>8</v>
      </c>
      <c r="ABD814" s="26" t="s">
        <v>7</v>
      </c>
      <c r="ABE814" s="26" t="s">
        <v>8</v>
      </c>
      <c r="ABF814" s="26" t="s">
        <v>7</v>
      </c>
      <c r="ABG814" s="26" t="s">
        <v>8</v>
      </c>
      <c r="ABJ814" s="26" t="s">
        <v>7</v>
      </c>
      <c r="ACK814" s="26" t="s">
        <v>8</v>
      </c>
      <c r="ACL814" s="26" t="s">
        <v>7</v>
      </c>
      <c r="ACO814" s="26" t="s">
        <v>8</v>
      </c>
      <c r="ACZ814" s="26" t="s">
        <v>7</v>
      </c>
      <c r="ADA814" s="26" t="s">
        <v>8</v>
      </c>
      <c r="ADF814" s="26" t="s">
        <v>7</v>
      </c>
      <c r="ADH814" s="26" t="s">
        <v>7</v>
      </c>
    </row>
    <row r="815" spans="1:788" x14ac:dyDescent="0.25">
      <c r="A815" s="7">
        <v>1.0943615812950145E-2</v>
      </c>
      <c r="B815"/>
      <c r="C815"/>
      <c r="D815"/>
      <c r="E815"/>
      <c r="F815" s="26" t="s">
        <v>7</v>
      </c>
      <c r="XU815" s="26" t="s">
        <v>8</v>
      </c>
      <c r="XV815" s="26" t="s">
        <v>7</v>
      </c>
      <c r="XW815" s="26" t="s">
        <v>8</v>
      </c>
      <c r="YL815" s="26" t="s">
        <v>7</v>
      </c>
      <c r="YM815" s="26" t="s">
        <v>8</v>
      </c>
      <c r="YN815" s="26" t="s">
        <v>7</v>
      </c>
      <c r="YO815" s="26" t="s">
        <v>8</v>
      </c>
      <c r="YZ815" s="26" t="s">
        <v>7</v>
      </c>
      <c r="ZA815" s="26" t="s">
        <v>8</v>
      </c>
      <c r="ZB815" s="26" t="s">
        <v>7</v>
      </c>
      <c r="ZC815" s="26" t="s">
        <v>8</v>
      </c>
      <c r="ZD815" s="26" t="s">
        <v>7</v>
      </c>
      <c r="ZE815" s="26" t="s">
        <v>8</v>
      </c>
      <c r="ZF815" s="26" t="s">
        <v>7</v>
      </c>
      <c r="ZK815" s="26" t="s">
        <v>8</v>
      </c>
      <c r="ZL815" s="26" t="s">
        <v>7</v>
      </c>
      <c r="AAW815" s="26" t="s">
        <v>8</v>
      </c>
      <c r="AAX815" s="26" t="s">
        <v>7</v>
      </c>
      <c r="AAY815" s="26" t="s">
        <v>8</v>
      </c>
      <c r="AAZ815" s="26" t="s">
        <v>7</v>
      </c>
      <c r="ABA815" s="26" t="s">
        <v>8</v>
      </c>
      <c r="ABB815" s="26" t="s">
        <v>7</v>
      </c>
      <c r="ABC815" s="26" t="s">
        <v>8</v>
      </c>
      <c r="ABD815" s="26" t="s">
        <v>7</v>
      </c>
      <c r="ABE815" s="26" t="s">
        <v>8</v>
      </c>
      <c r="ABF815" s="26" t="s">
        <v>7</v>
      </c>
      <c r="ABG815" s="26" t="s">
        <v>8</v>
      </c>
      <c r="ABJ815" s="26" t="s">
        <v>7</v>
      </c>
      <c r="ACK815" s="26" t="s">
        <v>8</v>
      </c>
      <c r="ACL815" s="26" t="s">
        <v>7</v>
      </c>
      <c r="ACM815" s="26" t="s">
        <v>8</v>
      </c>
      <c r="ACO815" s="26" t="s">
        <v>8</v>
      </c>
      <c r="ACZ815" s="26" t="s">
        <v>7</v>
      </c>
      <c r="ADA815" s="26" t="s">
        <v>8</v>
      </c>
      <c r="ADH815" s="26" t="s">
        <v>7</v>
      </c>
    </row>
    <row r="816" spans="1:788" x14ac:dyDescent="0.25">
      <c r="A816" s="7">
        <v>1.0729035110735436E-2</v>
      </c>
      <c r="B816"/>
      <c r="C816"/>
      <c r="D816"/>
      <c r="E816"/>
      <c r="F816" s="26" t="s">
        <v>7</v>
      </c>
      <c r="XU816" s="26" t="s">
        <v>8</v>
      </c>
      <c r="XV816" s="26" t="s">
        <v>7</v>
      </c>
      <c r="XW816" s="26" t="s">
        <v>8</v>
      </c>
      <c r="YL816" s="26" t="s">
        <v>7</v>
      </c>
      <c r="YM816" s="26" t="s">
        <v>8</v>
      </c>
      <c r="YN816" s="26" t="s">
        <v>7</v>
      </c>
      <c r="YO816" s="26" t="s">
        <v>8</v>
      </c>
      <c r="YZ816" s="26" t="s">
        <v>7</v>
      </c>
      <c r="ZA816" s="26" t="s">
        <v>8</v>
      </c>
      <c r="ZB816" s="26" t="s">
        <v>7</v>
      </c>
      <c r="ZD816" s="26" t="s">
        <v>7</v>
      </c>
      <c r="ZF816" s="26" t="s">
        <v>7</v>
      </c>
      <c r="ZK816" s="26" t="s">
        <v>8</v>
      </c>
      <c r="ZL816" s="26" t="s">
        <v>7</v>
      </c>
      <c r="AAW816" s="26" t="s">
        <v>8</v>
      </c>
      <c r="AAX816" s="26" t="s">
        <v>7</v>
      </c>
      <c r="AAY816" s="26" t="s">
        <v>8</v>
      </c>
      <c r="AAZ816" s="26" t="s">
        <v>7</v>
      </c>
      <c r="ABA816" s="26" t="s">
        <v>8</v>
      </c>
      <c r="ABB816" s="26" t="s">
        <v>7</v>
      </c>
      <c r="ABD816" s="26" t="s">
        <v>7</v>
      </c>
      <c r="ABE816" s="26" t="s">
        <v>8</v>
      </c>
      <c r="ABF816" s="26" t="s">
        <v>7</v>
      </c>
      <c r="ABG816" s="26" t="s">
        <v>8</v>
      </c>
      <c r="ABJ816" s="26" t="s">
        <v>7</v>
      </c>
      <c r="ACK816" s="26" t="s">
        <v>8</v>
      </c>
      <c r="ACL816" s="26" t="s">
        <v>7</v>
      </c>
      <c r="ACM816" s="26" t="s">
        <v>8</v>
      </c>
      <c r="ACN816" s="26" t="s">
        <v>7</v>
      </c>
      <c r="ACO816" s="26" t="s">
        <v>8</v>
      </c>
      <c r="ACZ816" s="26" t="s">
        <v>7</v>
      </c>
      <c r="ADH816" s="26" t="s">
        <v>7</v>
      </c>
    </row>
    <row r="817" spans="1:800" x14ac:dyDescent="0.25">
      <c r="A817" s="7">
        <v>1.0518661873270036E-2</v>
      </c>
      <c r="B817"/>
      <c r="C817"/>
      <c r="D817"/>
      <c r="E817"/>
      <c r="F817" s="26" t="s">
        <v>7</v>
      </c>
      <c r="XU817" s="26" t="s">
        <v>8</v>
      </c>
      <c r="XV817" s="26" t="s">
        <v>7</v>
      </c>
      <c r="XW817" s="26" t="s">
        <v>8</v>
      </c>
      <c r="YL817" s="26" t="s">
        <v>7</v>
      </c>
      <c r="YM817" s="26" t="s">
        <v>8</v>
      </c>
      <c r="YN817" s="26" t="s">
        <v>7</v>
      </c>
      <c r="YZ817" s="26" t="s">
        <v>7</v>
      </c>
      <c r="ZA817" s="26" t="s">
        <v>8</v>
      </c>
      <c r="ZF817" s="26" t="s">
        <v>7</v>
      </c>
      <c r="ZK817" s="26" t="s">
        <v>8</v>
      </c>
      <c r="ZL817" s="26" t="s">
        <v>7</v>
      </c>
      <c r="AAW817" s="26" t="s">
        <v>8</v>
      </c>
      <c r="AAX817" s="26" t="s">
        <v>7</v>
      </c>
      <c r="AAY817" s="26" t="s">
        <v>8</v>
      </c>
      <c r="AAZ817" s="26" t="s">
        <v>7</v>
      </c>
      <c r="ABA817" s="26" t="s">
        <v>8</v>
      </c>
      <c r="ABD817" s="26" t="s">
        <v>7</v>
      </c>
      <c r="ABE817" s="26" t="s">
        <v>8</v>
      </c>
      <c r="ABF817" s="26" t="s">
        <v>7</v>
      </c>
      <c r="ABG817" s="26" t="s">
        <v>8</v>
      </c>
      <c r="ABJ817" s="26" t="s">
        <v>7</v>
      </c>
      <c r="ABK817" s="26" t="s">
        <v>8</v>
      </c>
      <c r="ACA817" s="26" t="s">
        <v>8</v>
      </c>
      <c r="ACK817" s="26" t="s">
        <v>8</v>
      </c>
      <c r="ACL817" s="26" t="s">
        <v>7</v>
      </c>
      <c r="ACM817" s="26" t="s">
        <v>8</v>
      </c>
      <c r="ACN817" s="26" t="s">
        <v>7</v>
      </c>
      <c r="ACO817" s="26" t="s">
        <v>8</v>
      </c>
      <c r="ADH817" s="26" t="s">
        <v>7</v>
      </c>
      <c r="ADI817" s="26" t="s">
        <v>8</v>
      </c>
      <c r="ADK817" s="26" t="s">
        <v>8</v>
      </c>
    </row>
    <row r="818" spans="1:800" x14ac:dyDescent="0.25">
      <c r="A818" s="7">
        <v>1.0312413601245135E-2</v>
      </c>
      <c r="B818"/>
      <c r="C818"/>
      <c r="D818"/>
      <c r="E818"/>
      <c r="F818" s="26" t="s">
        <v>7</v>
      </c>
      <c r="XU818" s="26" t="s">
        <v>8</v>
      </c>
      <c r="XV818" s="26" t="s">
        <v>7</v>
      </c>
      <c r="XW818" s="26" t="s">
        <v>8</v>
      </c>
      <c r="YL818" s="26" t="s">
        <v>7</v>
      </c>
      <c r="YM818" s="26" t="s">
        <v>8</v>
      </c>
      <c r="YZ818" s="26" t="s">
        <v>7</v>
      </c>
      <c r="ZA818" s="26" t="s">
        <v>8</v>
      </c>
      <c r="ZF818" s="26" t="s">
        <v>7</v>
      </c>
      <c r="ZK818" s="26" t="s">
        <v>8</v>
      </c>
      <c r="ZL818" s="26" t="s">
        <v>7</v>
      </c>
      <c r="AAW818" s="26" t="s">
        <v>8</v>
      </c>
      <c r="AAX818" s="26" t="s">
        <v>7</v>
      </c>
      <c r="AAZ818" s="26" t="s">
        <v>7</v>
      </c>
      <c r="ABA818" s="26" t="s">
        <v>8</v>
      </c>
      <c r="ABD818" s="26" t="s">
        <v>7</v>
      </c>
      <c r="ABE818" s="26" t="s">
        <v>8</v>
      </c>
      <c r="ABF818" s="26" t="s">
        <v>7</v>
      </c>
      <c r="ABJ818" s="26" t="s">
        <v>7</v>
      </c>
      <c r="ABK818" s="26" t="s">
        <v>8</v>
      </c>
      <c r="ABL818" s="26" t="s">
        <v>7</v>
      </c>
      <c r="ABM818" s="26" t="s">
        <v>8</v>
      </c>
      <c r="ACA818" s="26" t="s">
        <v>8</v>
      </c>
      <c r="ACB818" s="26" t="s">
        <v>7</v>
      </c>
      <c r="ACK818" s="26" t="s">
        <v>8</v>
      </c>
      <c r="ACL818" s="26" t="s">
        <v>7</v>
      </c>
      <c r="ACM818" s="26" t="s">
        <v>8</v>
      </c>
      <c r="ACN818" s="26" t="s">
        <v>7</v>
      </c>
      <c r="ADH818" s="26" t="s">
        <v>7</v>
      </c>
      <c r="ADI818" s="26" t="s">
        <v>8</v>
      </c>
      <c r="ADJ818" s="26" t="s">
        <v>7</v>
      </c>
      <c r="ADK818" s="26" t="s">
        <v>8</v>
      </c>
      <c r="ADL818" s="26" t="s">
        <v>7</v>
      </c>
    </row>
    <row r="819" spans="1:800" x14ac:dyDescent="0.25">
      <c r="A819" s="7">
        <v>1.0110209412985426E-2</v>
      </c>
      <c r="B819"/>
      <c r="C819"/>
      <c r="D819"/>
      <c r="E819"/>
      <c r="F819" s="26" t="s">
        <v>7</v>
      </c>
      <c r="XU819" s="26" t="s">
        <v>8</v>
      </c>
      <c r="XV819" s="26" t="s">
        <v>7</v>
      </c>
      <c r="XW819" s="26" t="s">
        <v>8</v>
      </c>
      <c r="YL819" s="26" t="s">
        <v>7</v>
      </c>
      <c r="YM819" s="26" t="s">
        <v>8</v>
      </c>
      <c r="YZ819" s="26" t="s">
        <v>7</v>
      </c>
      <c r="ZF819" s="26" t="s">
        <v>7</v>
      </c>
      <c r="ZK819" s="26" t="s">
        <v>8</v>
      </c>
      <c r="ZL819" s="26" t="s">
        <v>7</v>
      </c>
      <c r="AAW819" s="26" t="s">
        <v>8</v>
      </c>
      <c r="AAZ819" s="26" t="s">
        <v>7</v>
      </c>
      <c r="ABA819" s="26" t="s">
        <v>8</v>
      </c>
      <c r="ABD819" s="26" t="s">
        <v>7</v>
      </c>
      <c r="ABE819" s="26" t="s">
        <v>8</v>
      </c>
      <c r="ABJ819" s="26" t="s">
        <v>7</v>
      </c>
      <c r="ABK819" s="26" t="s">
        <v>8</v>
      </c>
      <c r="ABL819" s="26" t="s">
        <v>7</v>
      </c>
      <c r="ABM819" s="26" t="s">
        <v>8</v>
      </c>
      <c r="ABN819" s="26" t="s">
        <v>7</v>
      </c>
      <c r="ABO819" s="26" t="s">
        <v>8</v>
      </c>
      <c r="ABQ819" s="26" t="s">
        <v>8</v>
      </c>
      <c r="ACA819" s="26" t="s">
        <v>8</v>
      </c>
      <c r="ACB819" s="26" t="s">
        <v>7</v>
      </c>
      <c r="ACC819" s="26" t="s">
        <v>8</v>
      </c>
      <c r="ACI819" s="26" t="s">
        <v>8</v>
      </c>
      <c r="ACK819" s="26" t="s">
        <v>8</v>
      </c>
      <c r="ACL819" s="26" t="s">
        <v>7</v>
      </c>
      <c r="ACM819" s="26" t="s">
        <v>8</v>
      </c>
      <c r="ADH819" s="26" t="s">
        <v>7</v>
      </c>
      <c r="ADI819" s="26" t="s">
        <v>8</v>
      </c>
      <c r="ADJ819" s="26" t="s">
        <v>7</v>
      </c>
      <c r="ADK819" s="26" t="s">
        <v>8</v>
      </c>
      <c r="ADL819" s="26" t="s">
        <v>7</v>
      </c>
    </row>
    <row r="820" spans="1:800" x14ac:dyDescent="0.25">
      <c r="A820" s="7">
        <v>9.9119700127308103E-3</v>
      </c>
      <c r="B820"/>
      <c r="C820"/>
      <c r="D820"/>
      <c r="E820"/>
      <c r="F820" s="26" t="s">
        <v>7</v>
      </c>
      <c r="XU820" s="26" t="s">
        <v>8</v>
      </c>
      <c r="XV820" s="26" t="s">
        <v>7</v>
      </c>
      <c r="YL820" s="26" t="s">
        <v>7</v>
      </c>
      <c r="YM820" s="26" t="s">
        <v>8</v>
      </c>
      <c r="ZF820" s="26" t="s">
        <v>7</v>
      </c>
      <c r="ZK820" s="26" t="s">
        <v>8</v>
      </c>
      <c r="ZL820" s="26" t="s">
        <v>7</v>
      </c>
      <c r="AAW820" s="26" t="s">
        <v>8</v>
      </c>
      <c r="AAZ820" s="26" t="s">
        <v>7</v>
      </c>
      <c r="ABA820" s="26" t="s">
        <v>8</v>
      </c>
      <c r="ABD820" s="26" t="s">
        <v>7</v>
      </c>
      <c r="ABE820" s="26" t="s">
        <v>8</v>
      </c>
      <c r="ABJ820" s="26" t="s">
        <v>7</v>
      </c>
      <c r="ABK820" s="26" t="s">
        <v>8</v>
      </c>
      <c r="ABL820" s="26" t="s">
        <v>7</v>
      </c>
      <c r="ABM820" s="26" t="s">
        <v>8</v>
      </c>
      <c r="ABN820" s="26" t="s">
        <v>7</v>
      </c>
      <c r="ABO820" s="26" t="s">
        <v>8</v>
      </c>
      <c r="ABP820" s="26" t="s">
        <v>7</v>
      </c>
      <c r="ABQ820" s="26" t="s">
        <v>8</v>
      </c>
      <c r="ABR820" s="26" t="s">
        <v>7</v>
      </c>
      <c r="ACA820" s="26" t="s">
        <v>8</v>
      </c>
      <c r="ACB820" s="26" t="s">
        <v>7</v>
      </c>
      <c r="ACC820" s="26" t="s">
        <v>8</v>
      </c>
      <c r="ACD820" s="26" t="s">
        <v>7</v>
      </c>
      <c r="ACG820" s="26" t="s">
        <v>8</v>
      </c>
      <c r="ACI820" s="26" t="s">
        <v>8</v>
      </c>
      <c r="ACJ820" s="26" t="s">
        <v>7</v>
      </c>
      <c r="ACK820" s="26" t="s">
        <v>8</v>
      </c>
      <c r="ACL820" s="26" t="s">
        <v>7</v>
      </c>
      <c r="ACM820" s="26" t="s">
        <v>8</v>
      </c>
      <c r="ADH820" s="26" t="s">
        <v>7</v>
      </c>
      <c r="ADI820" s="26" t="s">
        <v>8</v>
      </c>
      <c r="ADJ820" s="26" t="s">
        <v>7</v>
      </c>
      <c r="ADK820" s="26" t="s">
        <v>8</v>
      </c>
      <c r="ADL820" s="26" t="s">
        <v>7</v>
      </c>
    </row>
    <row r="821" spans="1:800" x14ac:dyDescent="0.25">
      <c r="A821" s="7">
        <v>9.717617659540009E-3</v>
      </c>
      <c r="B821"/>
      <c r="C821"/>
      <c r="D821"/>
      <c r="E821"/>
      <c r="F821" s="26" t="s">
        <v>7</v>
      </c>
      <c r="XU821" s="26" t="s">
        <v>8</v>
      </c>
      <c r="YL821" s="26" t="s">
        <v>7</v>
      </c>
      <c r="YM821" s="26" t="s">
        <v>8</v>
      </c>
      <c r="ZF821" s="26" t="s">
        <v>7</v>
      </c>
      <c r="ZK821" s="26" t="s">
        <v>8</v>
      </c>
      <c r="ZL821" s="26" t="s">
        <v>7</v>
      </c>
      <c r="ZO821" s="26" t="s">
        <v>8</v>
      </c>
      <c r="AAW821" s="26" t="s">
        <v>8</v>
      </c>
      <c r="AAZ821" s="26" t="s">
        <v>7</v>
      </c>
      <c r="ABD821" s="26" t="s">
        <v>7</v>
      </c>
      <c r="ABE821" s="26" t="s">
        <v>8</v>
      </c>
      <c r="ABJ821" s="26" t="s">
        <v>7</v>
      </c>
      <c r="ABK821" s="26" t="s">
        <v>8</v>
      </c>
      <c r="ABL821" s="26" t="s">
        <v>7</v>
      </c>
      <c r="ABM821" s="26" t="s">
        <v>8</v>
      </c>
      <c r="ABN821" s="26" t="s">
        <v>7</v>
      </c>
      <c r="ABO821" s="26" t="s">
        <v>8</v>
      </c>
      <c r="ABP821" s="26" t="s">
        <v>7</v>
      </c>
      <c r="ABQ821" s="26" t="s">
        <v>8</v>
      </c>
      <c r="ABR821" s="26" t="s">
        <v>7</v>
      </c>
      <c r="ABY821" s="26" t="s">
        <v>8</v>
      </c>
      <c r="ACA821" s="26" t="s">
        <v>8</v>
      </c>
      <c r="ACB821" s="26" t="s">
        <v>7</v>
      </c>
      <c r="ACC821" s="26" t="s">
        <v>8</v>
      </c>
      <c r="ACD821" s="26" t="s">
        <v>7</v>
      </c>
      <c r="ACG821" s="26" t="s">
        <v>8</v>
      </c>
      <c r="ACH821" s="26" t="s">
        <v>7</v>
      </c>
      <c r="ACI821" s="26" t="s">
        <v>8</v>
      </c>
      <c r="ACJ821" s="26" t="s">
        <v>7</v>
      </c>
      <c r="ACK821" s="26" t="s">
        <v>8</v>
      </c>
      <c r="ACL821" s="26" t="s">
        <v>7</v>
      </c>
      <c r="ACM821" s="26" t="s">
        <v>8</v>
      </c>
      <c r="ADH821" s="26" t="s">
        <v>7</v>
      </c>
      <c r="ADI821" s="26" t="s">
        <v>8</v>
      </c>
      <c r="ADJ821" s="26" t="s">
        <v>7</v>
      </c>
      <c r="ADK821" s="26" t="s">
        <v>8</v>
      </c>
      <c r="ADL821" s="26" t="s">
        <v>7</v>
      </c>
    </row>
    <row r="822" spans="1:800" x14ac:dyDescent="0.25">
      <c r="A822" s="7">
        <v>9.5270761368039299E-3</v>
      </c>
      <c r="B822"/>
      <c r="C822"/>
      <c r="D822"/>
      <c r="E822"/>
      <c r="F822" s="26" t="s">
        <v>7</v>
      </c>
      <c r="XO822" s="26" t="s">
        <v>8</v>
      </c>
      <c r="XU822" s="26" t="s">
        <v>8</v>
      </c>
      <c r="YL822" s="26" t="s">
        <v>7</v>
      </c>
      <c r="YM822" s="26" t="s">
        <v>8</v>
      </c>
      <c r="ZF822" s="26" t="s">
        <v>7</v>
      </c>
      <c r="ZG822" s="26" t="s">
        <v>8</v>
      </c>
      <c r="ZK822" s="26" t="s">
        <v>8</v>
      </c>
      <c r="ZL822" s="26" t="s">
        <v>7</v>
      </c>
      <c r="ZO822" s="26" t="s">
        <v>8</v>
      </c>
      <c r="ZP822" s="26" t="s">
        <v>7</v>
      </c>
      <c r="AAW822" s="26" t="s">
        <v>8</v>
      </c>
      <c r="ABD822" s="26" t="s">
        <v>7</v>
      </c>
      <c r="ABJ822" s="26" t="s">
        <v>7</v>
      </c>
      <c r="ABK822" s="26" t="s">
        <v>8</v>
      </c>
      <c r="ABL822" s="26" t="s">
        <v>7</v>
      </c>
      <c r="ABN822" s="26" t="s">
        <v>7</v>
      </c>
      <c r="ABO822" s="26" t="s">
        <v>8</v>
      </c>
      <c r="ABP822" s="26" t="s">
        <v>7</v>
      </c>
      <c r="ABQ822" s="26" t="s">
        <v>8</v>
      </c>
      <c r="ABR822" s="26" t="s">
        <v>7</v>
      </c>
      <c r="ABY822" s="26" t="s">
        <v>8</v>
      </c>
      <c r="ABZ822" s="26" t="s">
        <v>7</v>
      </c>
      <c r="ACA822" s="26" t="s">
        <v>8</v>
      </c>
      <c r="ACB822" s="26" t="s">
        <v>7</v>
      </c>
      <c r="ACC822" s="26" t="s">
        <v>8</v>
      </c>
      <c r="ACD822" s="26" t="s">
        <v>7</v>
      </c>
      <c r="ACE822" s="26" t="s">
        <v>8</v>
      </c>
      <c r="ACG822" s="26" t="s">
        <v>8</v>
      </c>
      <c r="ACH822" s="26" t="s">
        <v>7</v>
      </c>
      <c r="ACI822" s="26" t="s">
        <v>8</v>
      </c>
      <c r="ACJ822" s="26" t="s">
        <v>7</v>
      </c>
      <c r="ACK822" s="26" t="s">
        <v>8</v>
      </c>
      <c r="ACL822" s="26" t="s">
        <v>7</v>
      </c>
      <c r="ACM822" s="26" t="s">
        <v>8</v>
      </c>
      <c r="ADH822" s="26" t="s">
        <v>7</v>
      </c>
      <c r="ADI822" s="26" t="s">
        <v>8</v>
      </c>
      <c r="ADJ822" s="26" t="s">
        <v>7</v>
      </c>
      <c r="ADK822" s="26" t="s">
        <v>8</v>
      </c>
      <c r="ADL822" s="26" t="s">
        <v>7</v>
      </c>
    </row>
    <row r="823" spans="1:800" x14ac:dyDescent="0.25">
      <c r="A823" s="7">
        <v>9.3402707223567936E-3</v>
      </c>
      <c r="B823"/>
      <c r="C823"/>
      <c r="D823"/>
      <c r="E823"/>
      <c r="F823" s="26" t="s">
        <v>7</v>
      </c>
      <c r="XO823" s="26" t="s">
        <v>8</v>
      </c>
      <c r="XP823" s="26" t="s">
        <v>7</v>
      </c>
      <c r="XU823" s="26" t="s">
        <v>8</v>
      </c>
      <c r="YL823" s="26" t="s">
        <v>7</v>
      </c>
      <c r="YM823" s="26" t="s">
        <v>8</v>
      </c>
      <c r="ZF823" s="26" t="s">
        <v>7</v>
      </c>
      <c r="ZG823" s="26" t="s">
        <v>8</v>
      </c>
      <c r="ZH823" s="26" t="s">
        <v>7</v>
      </c>
      <c r="ZK823" s="26" t="s">
        <v>8</v>
      </c>
      <c r="ZL823" s="26" t="s">
        <v>7</v>
      </c>
      <c r="ZO823" s="26" t="s">
        <v>8</v>
      </c>
      <c r="ZP823" s="26" t="s">
        <v>7</v>
      </c>
      <c r="AAW823" s="26" t="s">
        <v>8</v>
      </c>
      <c r="ABJ823" s="26" t="s">
        <v>7</v>
      </c>
      <c r="ABK823" s="26" t="s">
        <v>8</v>
      </c>
      <c r="ABN823" s="26" t="s">
        <v>7</v>
      </c>
      <c r="ABP823" s="26" t="s">
        <v>7</v>
      </c>
      <c r="ABR823" s="26" t="s">
        <v>7</v>
      </c>
      <c r="ABY823" s="26" t="s">
        <v>8</v>
      </c>
      <c r="ABZ823" s="26" t="s">
        <v>7</v>
      </c>
      <c r="ACA823" s="26" t="s">
        <v>8</v>
      </c>
      <c r="ACB823" s="26" t="s">
        <v>7</v>
      </c>
      <c r="ACD823" s="26" t="s">
        <v>7</v>
      </c>
      <c r="ACE823" s="26" t="s">
        <v>8</v>
      </c>
      <c r="ACF823" s="26" t="s">
        <v>7</v>
      </c>
      <c r="ACG823" s="26" t="s">
        <v>8</v>
      </c>
      <c r="ACH823" s="26" t="s">
        <v>7</v>
      </c>
      <c r="ACI823" s="26" t="s">
        <v>8</v>
      </c>
      <c r="ACJ823" s="26" t="s">
        <v>7</v>
      </c>
      <c r="ACK823" s="26" t="s">
        <v>8</v>
      </c>
      <c r="ACL823" s="26" t="s">
        <v>7</v>
      </c>
      <c r="ADH823" s="26" t="s">
        <v>7</v>
      </c>
      <c r="ADI823" s="26" t="s">
        <v>8</v>
      </c>
      <c r="ADJ823" s="26" t="s">
        <v>7</v>
      </c>
      <c r="ADK823" s="26" t="s">
        <v>8</v>
      </c>
      <c r="ADL823" s="26" t="s">
        <v>7</v>
      </c>
    </row>
    <row r="824" spans="1:800" x14ac:dyDescent="0.25">
      <c r="A824" s="7">
        <v>9.1571281591733261E-3</v>
      </c>
      <c r="B824"/>
      <c r="C824"/>
      <c r="D824"/>
      <c r="E824"/>
      <c r="F824" s="26" t="s">
        <v>7</v>
      </c>
      <c r="XO824" s="26" t="s">
        <v>8</v>
      </c>
      <c r="XP824" s="26" t="s">
        <v>7</v>
      </c>
      <c r="XU824" s="26" t="s">
        <v>8</v>
      </c>
      <c r="YL824" s="26" t="s">
        <v>7</v>
      </c>
      <c r="YM824" s="26" t="s">
        <v>8</v>
      </c>
      <c r="ZF824" s="26" t="s">
        <v>7</v>
      </c>
      <c r="ZG824" s="26" t="s">
        <v>8</v>
      </c>
      <c r="ZH824" s="26" t="s">
        <v>7</v>
      </c>
      <c r="ZK824" s="26" t="s">
        <v>8</v>
      </c>
      <c r="ZL824" s="26" t="s">
        <v>7</v>
      </c>
      <c r="ZM824" s="26" t="s">
        <v>8</v>
      </c>
      <c r="ZO824" s="26" t="s">
        <v>8</v>
      </c>
      <c r="ZP824" s="26" t="s">
        <v>7</v>
      </c>
      <c r="AAW824" s="26" t="s">
        <v>8</v>
      </c>
      <c r="ABJ824" s="26" t="s">
        <v>7</v>
      </c>
      <c r="ABK824" s="26" t="s">
        <v>8</v>
      </c>
      <c r="ABR824" s="26" t="s">
        <v>7</v>
      </c>
      <c r="ABY824" s="26" t="s">
        <v>8</v>
      </c>
      <c r="ABZ824" s="26" t="s">
        <v>7</v>
      </c>
      <c r="ACA824" s="26" t="s">
        <v>8</v>
      </c>
      <c r="ACD824" s="26" t="s">
        <v>7</v>
      </c>
      <c r="ACE824" s="26" t="s">
        <v>8</v>
      </c>
      <c r="ACF824" s="26" t="s">
        <v>7</v>
      </c>
      <c r="ACG824" s="26" t="s">
        <v>8</v>
      </c>
      <c r="ACH824" s="26" t="s">
        <v>7</v>
      </c>
      <c r="ACJ824" s="26" t="s">
        <v>7</v>
      </c>
      <c r="ADH824" s="26" t="s">
        <v>7</v>
      </c>
      <c r="ADI824" s="26" t="s">
        <v>8</v>
      </c>
      <c r="ADJ824" s="26" t="s">
        <v>7</v>
      </c>
      <c r="ADK824" s="26" t="s">
        <v>8</v>
      </c>
      <c r="ADL824" s="26" t="s">
        <v>7</v>
      </c>
      <c r="ADS824" s="26" t="s">
        <v>8</v>
      </c>
    </row>
    <row r="825" spans="1:800" x14ac:dyDescent="0.25">
      <c r="A825" s="7">
        <v>8.9775766266405148E-3</v>
      </c>
      <c r="B825"/>
      <c r="C825"/>
      <c r="D825"/>
      <c r="E825"/>
      <c r="F825" s="26" t="s">
        <v>7</v>
      </c>
      <c r="XO825" s="26" t="s">
        <v>8</v>
      </c>
      <c r="XP825" s="26" t="s">
        <v>7</v>
      </c>
      <c r="XS825" s="26" t="s">
        <v>8</v>
      </c>
      <c r="XU825" s="26" t="s">
        <v>8</v>
      </c>
      <c r="YL825" s="26" t="s">
        <v>7</v>
      </c>
      <c r="YM825" s="26" t="s">
        <v>8</v>
      </c>
      <c r="ZF825" s="26" t="s">
        <v>7</v>
      </c>
      <c r="ZG825" s="26" t="s">
        <v>8</v>
      </c>
      <c r="ZH825" s="26" t="s">
        <v>7</v>
      </c>
      <c r="ZK825" s="26" t="s">
        <v>8</v>
      </c>
      <c r="ZL825" s="26" t="s">
        <v>7</v>
      </c>
      <c r="ZM825" s="26" t="s">
        <v>8</v>
      </c>
      <c r="ZN825" s="26" t="s">
        <v>7</v>
      </c>
      <c r="ZO825" s="26" t="s">
        <v>8</v>
      </c>
      <c r="ZP825" s="26" t="s">
        <v>7</v>
      </c>
      <c r="ZQ825" s="26" t="s">
        <v>8</v>
      </c>
      <c r="AAW825" s="26" t="s">
        <v>8</v>
      </c>
      <c r="ABJ825" s="26" t="s">
        <v>7</v>
      </c>
      <c r="ABK825" s="26" t="s">
        <v>8</v>
      </c>
      <c r="ABR825" s="26" t="s">
        <v>7</v>
      </c>
      <c r="ABS825" s="26" t="s">
        <v>8</v>
      </c>
      <c r="ABY825" s="26" t="s">
        <v>8</v>
      </c>
      <c r="ABZ825" s="26" t="s">
        <v>7</v>
      </c>
      <c r="ACA825" s="26" t="s">
        <v>8</v>
      </c>
      <c r="ACD825" s="26" t="s">
        <v>7</v>
      </c>
      <c r="ACE825" s="26" t="s">
        <v>8</v>
      </c>
      <c r="ACF825" s="26" t="s">
        <v>7</v>
      </c>
      <c r="ADH825" s="26" t="s">
        <v>7</v>
      </c>
      <c r="ADI825" s="26" t="s">
        <v>8</v>
      </c>
      <c r="ADJ825" s="26" t="s">
        <v>7</v>
      </c>
      <c r="ADK825" s="26" t="s">
        <v>8</v>
      </c>
      <c r="ADL825" s="26" t="s">
        <v>7</v>
      </c>
      <c r="ADS825" s="26" t="s">
        <v>8</v>
      </c>
      <c r="ADT825" s="26" t="s">
        <v>7</v>
      </c>
    </row>
    <row r="826" spans="1:800" x14ac:dyDescent="0.25">
      <c r="A826" s="7">
        <v>8.8015457123926614E-3</v>
      </c>
      <c r="B826"/>
      <c r="C826"/>
      <c r="D826"/>
      <c r="E826"/>
      <c r="F826" s="26" t="s">
        <v>7</v>
      </c>
      <c r="XO826" s="26" t="s">
        <v>8</v>
      </c>
      <c r="XP826" s="26" t="s">
        <v>7</v>
      </c>
      <c r="XS826" s="26" t="s">
        <v>8</v>
      </c>
      <c r="XT826" s="26" t="s">
        <v>7</v>
      </c>
      <c r="XU826" s="26" t="s">
        <v>8</v>
      </c>
      <c r="YL826" s="26" t="s">
        <v>7</v>
      </c>
      <c r="ZF826" s="26" t="s">
        <v>7</v>
      </c>
      <c r="ZG826" s="26" t="s">
        <v>8</v>
      </c>
      <c r="ZH826" s="26" t="s">
        <v>7</v>
      </c>
      <c r="ZK826" s="26" t="s">
        <v>8</v>
      </c>
      <c r="ZL826" s="26" t="s">
        <v>7</v>
      </c>
      <c r="ZM826" s="26" t="s">
        <v>8</v>
      </c>
      <c r="ZN826" s="26" t="s">
        <v>7</v>
      </c>
      <c r="ZO826" s="26" t="s">
        <v>8</v>
      </c>
      <c r="ZP826" s="26" t="s">
        <v>7</v>
      </c>
      <c r="ZQ826" s="26" t="s">
        <v>8</v>
      </c>
      <c r="ZR826" s="26" t="s">
        <v>7</v>
      </c>
      <c r="AAU826" s="26" t="s">
        <v>8</v>
      </c>
      <c r="AAW826" s="26" t="s">
        <v>8</v>
      </c>
      <c r="ABJ826" s="26" t="s">
        <v>7</v>
      </c>
      <c r="ABK826" s="26" t="s">
        <v>8</v>
      </c>
      <c r="ABR826" s="26" t="s">
        <v>7</v>
      </c>
      <c r="ABS826" s="26" t="s">
        <v>8</v>
      </c>
      <c r="ABT826" s="26" t="s">
        <v>7</v>
      </c>
      <c r="ABY826" s="26" t="s">
        <v>8</v>
      </c>
      <c r="ABZ826" s="26" t="s">
        <v>7</v>
      </c>
      <c r="ACD826" s="26" t="s">
        <v>7</v>
      </c>
      <c r="ACE826" s="26" t="s">
        <v>8</v>
      </c>
      <c r="ADH826" s="26" t="s">
        <v>7</v>
      </c>
      <c r="ADI826" s="26" t="s">
        <v>8</v>
      </c>
      <c r="ADJ826" s="26" t="s">
        <v>7</v>
      </c>
      <c r="ADK826" s="26" t="s">
        <v>8</v>
      </c>
      <c r="ADL826" s="26" t="s">
        <v>7</v>
      </c>
      <c r="ADM826" s="26" t="s">
        <v>8</v>
      </c>
      <c r="ADS826" s="26" t="s">
        <v>8</v>
      </c>
      <c r="ADT826" s="26" t="s">
        <v>7</v>
      </c>
    </row>
    <row r="827" spans="1:800" x14ac:dyDescent="0.25">
      <c r="A827" s="7">
        <v>8.6289663846986879E-3</v>
      </c>
      <c r="B827"/>
      <c r="C827"/>
      <c r="D827"/>
      <c r="E827"/>
      <c r="F827" s="26" t="s">
        <v>7</v>
      </c>
      <c r="XO827" s="26" t="s">
        <v>8</v>
      </c>
      <c r="XP827" s="26" t="s">
        <v>7</v>
      </c>
      <c r="XS827" s="26" t="s">
        <v>8</v>
      </c>
      <c r="XT827" s="26" t="s">
        <v>7</v>
      </c>
      <c r="XU827" s="26" t="s">
        <v>8</v>
      </c>
      <c r="ZF827" s="26" t="s">
        <v>7</v>
      </c>
      <c r="ZG827" s="26" t="s">
        <v>8</v>
      </c>
      <c r="ZH827" s="26" t="s">
        <v>7</v>
      </c>
      <c r="ZK827" s="26" t="s">
        <v>8</v>
      </c>
      <c r="ZL827" s="26" t="s">
        <v>7</v>
      </c>
      <c r="ZM827" s="26" t="s">
        <v>8</v>
      </c>
      <c r="ZN827" s="26" t="s">
        <v>7</v>
      </c>
      <c r="ZO827" s="26" t="s">
        <v>8</v>
      </c>
      <c r="ZP827" s="26" t="s">
        <v>7</v>
      </c>
      <c r="ZQ827" s="26" t="s">
        <v>8</v>
      </c>
      <c r="ZR827" s="26" t="s">
        <v>7</v>
      </c>
      <c r="ZU827" s="26" t="s">
        <v>8</v>
      </c>
      <c r="AAU827" s="26" t="s">
        <v>8</v>
      </c>
      <c r="AAV827" s="26" t="s">
        <v>7</v>
      </c>
      <c r="AAW827" s="26" t="s">
        <v>8</v>
      </c>
      <c r="ABJ827" s="26" t="s">
        <v>7</v>
      </c>
      <c r="ABK827" s="26" t="s">
        <v>8</v>
      </c>
      <c r="ABR827" s="26" t="s">
        <v>7</v>
      </c>
      <c r="ABS827" s="26" t="s">
        <v>8</v>
      </c>
      <c r="ABT827" s="26" t="s">
        <v>7</v>
      </c>
      <c r="ABY827" s="26" t="s">
        <v>8</v>
      </c>
      <c r="ACD827" s="26" t="s">
        <v>7</v>
      </c>
      <c r="ADH827" s="26" t="s">
        <v>7</v>
      </c>
      <c r="ADI827" s="26" t="s">
        <v>8</v>
      </c>
      <c r="ADJ827" s="26" t="s">
        <v>7</v>
      </c>
      <c r="ADK827" s="26" t="s">
        <v>8</v>
      </c>
      <c r="ADL827" s="26" t="s">
        <v>7</v>
      </c>
      <c r="ADM827" s="26" t="s">
        <v>8</v>
      </c>
      <c r="ADN827" s="26" t="s">
        <v>7</v>
      </c>
      <c r="ADO827" s="26" t="s">
        <v>8</v>
      </c>
      <c r="ADS827" s="26" t="s">
        <v>8</v>
      </c>
      <c r="ADT827" s="26" t="s">
        <v>7</v>
      </c>
    </row>
    <row r="828" spans="1:800" x14ac:dyDescent="0.25">
      <c r="A828" s="7">
        <v>8.4597709653908715E-3</v>
      </c>
      <c r="B828"/>
      <c r="C828"/>
      <c r="D828"/>
      <c r="E828"/>
      <c r="F828" s="26" t="s">
        <v>7</v>
      </c>
      <c r="XO828" s="26" t="s">
        <v>8</v>
      </c>
      <c r="XP828" s="26" t="s">
        <v>7</v>
      </c>
      <c r="XQ828" s="26" t="s">
        <v>8</v>
      </c>
      <c r="XS828" s="26" t="s">
        <v>8</v>
      </c>
      <c r="XT828" s="26" t="s">
        <v>7</v>
      </c>
      <c r="XU828" s="26" t="s">
        <v>8</v>
      </c>
      <c r="ZF828" s="26" t="s">
        <v>7</v>
      </c>
      <c r="ZG828" s="26" t="s">
        <v>8</v>
      </c>
      <c r="ZH828" s="26" t="s">
        <v>7</v>
      </c>
      <c r="ZK828" s="26" t="s">
        <v>8</v>
      </c>
      <c r="ZL828" s="26" t="s">
        <v>7</v>
      </c>
      <c r="ZM828" s="26" t="s">
        <v>8</v>
      </c>
      <c r="ZN828" s="26" t="s">
        <v>7</v>
      </c>
      <c r="ZP828" s="26" t="s">
        <v>7</v>
      </c>
      <c r="ZQ828" s="26" t="s">
        <v>8</v>
      </c>
      <c r="ZR828" s="26" t="s">
        <v>7</v>
      </c>
      <c r="ZU828" s="26" t="s">
        <v>8</v>
      </c>
      <c r="ZV828" s="26" t="s">
        <v>7</v>
      </c>
      <c r="ZW828" s="26" t="s">
        <v>8</v>
      </c>
      <c r="AAS828" s="26" t="s">
        <v>8</v>
      </c>
      <c r="AAU828" s="26" t="s">
        <v>8</v>
      </c>
      <c r="AAV828" s="26" t="s">
        <v>7</v>
      </c>
      <c r="AAW828" s="26" t="s">
        <v>8</v>
      </c>
      <c r="ABJ828" s="26" t="s">
        <v>7</v>
      </c>
      <c r="ABR828" s="26" t="s">
        <v>7</v>
      </c>
      <c r="ABS828" s="26" t="s">
        <v>8</v>
      </c>
      <c r="ABT828" s="26" t="s">
        <v>7</v>
      </c>
      <c r="ABY828" s="26" t="s">
        <v>8</v>
      </c>
      <c r="ADH828" s="26" t="s">
        <v>7</v>
      </c>
      <c r="ADI828" s="26" t="s">
        <v>8</v>
      </c>
      <c r="ADJ828" s="26" t="s">
        <v>7</v>
      </c>
      <c r="ADL828" s="26" t="s">
        <v>7</v>
      </c>
      <c r="ADM828" s="26" t="s">
        <v>8</v>
      </c>
      <c r="ADN828" s="26" t="s">
        <v>7</v>
      </c>
      <c r="ADO828" s="26" t="s">
        <v>8</v>
      </c>
      <c r="ADP828" s="26" t="s">
        <v>7</v>
      </c>
      <c r="ADS828" s="26" t="s">
        <v>8</v>
      </c>
      <c r="ADT828" s="26" t="s">
        <v>7</v>
      </c>
    </row>
    <row r="829" spans="1:800" x14ac:dyDescent="0.25">
      <c r="A829" s="7">
        <v>8.2938931033243839E-3</v>
      </c>
      <c r="B829"/>
      <c r="C829"/>
      <c r="D829"/>
      <c r="E829"/>
      <c r="F829" s="26" t="s">
        <v>7</v>
      </c>
      <c r="XO829" s="26" t="s">
        <v>8</v>
      </c>
      <c r="XP829" s="26" t="s">
        <v>7</v>
      </c>
      <c r="XQ829" s="26" t="s">
        <v>8</v>
      </c>
      <c r="XR829" s="26" t="s">
        <v>7</v>
      </c>
      <c r="XS829" s="26" t="s">
        <v>8</v>
      </c>
      <c r="XT829" s="26" t="s">
        <v>7</v>
      </c>
      <c r="XU829" s="26" t="s">
        <v>8</v>
      </c>
      <c r="ZF829" s="26" t="s">
        <v>7</v>
      </c>
      <c r="ZG829" s="26" t="s">
        <v>8</v>
      </c>
      <c r="ZH829" s="26" t="s">
        <v>7</v>
      </c>
      <c r="ZK829" s="26" t="s">
        <v>8</v>
      </c>
      <c r="ZL829" s="26" t="s">
        <v>7</v>
      </c>
      <c r="ZM829" s="26" t="s">
        <v>8</v>
      </c>
      <c r="ZP829" s="26" t="s">
        <v>7</v>
      </c>
      <c r="ZQ829" s="26" t="s">
        <v>8</v>
      </c>
      <c r="ZR829" s="26" t="s">
        <v>7</v>
      </c>
      <c r="ZS829" s="26" t="s">
        <v>8</v>
      </c>
      <c r="ZU829" s="26" t="s">
        <v>8</v>
      </c>
      <c r="ZV829" s="26" t="s">
        <v>7</v>
      </c>
      <c r="ZW829" s="26" t="s">
        <v>8</v>
      </c>
      <c r="ZX829" s="26" t="s">
        <v>7</v>
      </c>
      <c r="AAS829" s="26" t="s">
        <v>8</v>
      </c>
      <c r="AAT829" s="26" t="s">
        <v>7</v>
      </c>
      <c r="AAU829" s="26" t="s">
        <v>8</v>
      </c>
      <c r="AAV829" s="26" t="s">
        <v>7</v>
      </c>
      <c r="AAW829" s="26" t="s">
        <v>8</v>
      </c>
      <c r="ABR829" s="26" t="s">
        <v>7</v>
      </c>
      <c r="ABS829" s="26" t="s">
        <v>8</v>
      </c>
      <c r="ABT829" s="26" t="s">
        <v>7</v>
      </c>
      <c r="ABU829" s="26" t="s">
        <v>8</v>
      </c>
      <c r="ABY829" s="26" t="s">
        <v>8</v>
      </c>
      <c r="ADH829" s="26" t="s">
        <v>7</v>
      </c>
      <c r="ADI829" s="26" t="s">
        <v>8</v>
      </c>
      <c r="ADL829" s="26" t="s">
        <v>7</v>
      </c>
      <c r="ADN829" s="26" t="s">
        <v>7</v>
      </c>
      <c r="ADO829" s="26" t="s">
        <v>8</v>
      </c>
      <c r="ADP829" s="26" t="s">
        <v>7</v>
      </c>
      <c r="ADS829" s="26" t="s">
        <v>8</v>
      </c>
      <c r="ADT829" s="26" t="s">
        <v>7</v>
      </c>
    </row>
    <row r="830" spans="1:800" x14ac:dyDescent="0.25">
      <c r="A830" s="7">
        <v>8.1312677483572383E-3</v>
      </c>
      <c r="B830"/>
      <c r="C830"/>
      <c r="D830"/>
      <c r="E830"/>
      <c r="F830" s="26" t="s">
        <v>7</v>
      </c>
      <c r="XO830" s="26" t="s">
        <v>8</v>
      </c>
      <c r="XP830" s="26" t="s">
        <v>7</v>
      </c>
      <c r="XQ830" s="26" t="s">
        <v>8</v>
      </c>
      <c r="XR830" s="26" t="s">
        <v>7</v>
      </c>
      <c r="XS830" s="26" t="s">
        <v>8</v>
      </c>
      <c r="XT830" s="26" t="s">
        <v>7</v>
      </c>
      <c r="XU830" s="26" t="s">
        <v>8</v>
      </c>
      <c r="ZF830" s="26" t="s">
        <v>7</v>
      </c>
      <c r="ZG830" s="26" t="s">
        <v>8</v>
      </c>
      <c r="ZH830" s="26" t="s">
        <v>7</v>
      </c>
      <c r="ZK830" s="26" t="s">
        <v>8</v>
      </c>
      <c r="ZL830" s="26" t="s">
        <v>7</v>
      </c>
      <c r="ZM830" s="26" t="s">
        <v>8</v>
      </c>
      <c r="ZP830" s="26" t="s">
        <v>7</v>
      </c>
      <c r="ZR830" s="26" t="s">
        <v>7</v>
      </c>
      <c r="ZS830" s="26" t="s">
        <v>8</v>
      </c>
      <c r="ZT830" s="26" t="s">
        <v>7</v>
      </c>
      <c r="ZU830" s="26" t="s">
        <v>8</v>
      </c>
      <c r="ZV830" s="26" t="s">
        <v>7</v>
      </c>
      <c r="ZW830" s="26" t="s">
        <v>8</v>
      </c>
      <c r="ZX830" s="26" t="s">
        <v>7</v>
      </c>
      <c r="AAS830" s="26" t="s">
        <v>8</v>
      </c>
      <c r="AAT830" s="26" t="s">
        <v>7</v>
      </c>
      <c r="AAU830" s="26" t="s">
        <v>8</v>
      </c>
      <c r="AAV830" s="26" t="s">
        <v>7</v>
      </c>
      <c r="AAW830" s="26" t="s">
        <v>8</v>
      </c>
      <c r="ABR830" s="26" t="s">
        <v>7</v>
      </c>
      <c r="ABS830" s="26" t="s">
        <v>8</v>
      </c>
      <c r="ABT830" s="26" t="s">
        <v>7</v>
      </c>
      <c r="ABU830" s="26" t="s">
        <v>8</v>
      </c>
      <c r="ABV830" s="26" t="s">
        <v>7</v>
      </c>
      <c r="ABW830" s="26" t="s">
        <v>8</v>
      </c>
      <c r="ABY830" s="26" t="s">
        <v>8</v>
      </c>
      <c r="ADH830" s="26" t="s">
        <v>7</v>
      </c>
      <c r="ADI830" s="26" t="s">
        <v>8</v>
      </c>
      <c r="ADN830" s="26" t="s">
        <v>7</v>
      </c>
      <c r="ADO830" s="26" t="s">
        <v>8</v>
      </c>
      <c r="ADP830" s="26" t="s">
        <v>7</v>
      </c>
      <c r="ADS830" s="26" t="s">
        <v>8</v>
      </c>
      <c r="ADT830" s="26" t="s">
        <v>7</v>
      </c>
    </row>
    <row r="831" spans="1:800" x14ac:dyDescent="0.25">
      <c r="A831" s="7">
        <v>7.9718311258404305E-3</v>
      </c>
      <c r="B831"/>
      <c r="C831"/>
      <c r="D831"/>
      <c r="E831"/>
      <c r="F831" s="26" t="s">
        <v>7</v>
      </c>
      <c r="XO831" s="26" t="s">
        <v>8</v>
      </c>
      <c r="XP831" s="26" t="s">
        <v>7</v>
      </c>
      <c r="XQ831" s="26" t="s">
        <v>8</v>
      </c>
      <c r="XR831" s="26" t="s">
        <v>7</v>
      </c>
      <c r="XS831" s="26" t="s">
        <v>8</v>
      </c>
      <c r="XT831" s="26" t="s">
        <v>7</v>
      </c>
      <c r="XU831" s="26" t="s">
        <v>8</v>
      </c>
      <c r="ZF831" s="26" t="s">
        <v>7</v>
      </c>
      <c r="ZG831" s="26" t="s">
        <v>8</v>
      </c>
      <c r="ZH831" s="26" t="s">
        <v>7</v>
      </c>
      <c r="ZK831" s="26" t="s">
        <v>8</v>
      </c>
      <c r="ZL831" s="26" t="s">
        <v>7</v>
      </c>
      <c r="ZM831" s="26" t="s">
        <v>8</v>
      </c>
      <c r="ZR831" s="26" t="s">
        <v>7</v>
      </c>
      <c r="ZS831" s="26" t="s">
        <v>8</v>
      </c>
      <c r="ZT831" s="26" t="s">
        <v>7</v>
      </c>
      <c r="ZU831" s="26" t="s">
        <v>8</v>
      </c>
      <c r="ZV831" s="26" t="s">
        <v>7</v>
      </c>
      <c r="ZX831" s="26" t="s">
        <v>7</v>
      </c>
      <c r="AAS831" s="26" t="s">
        <v>8</v>
      </c>
      <c r="AAT831" s="26" t="s">
        <v>7</v>
      </c>
      <c r="AAU831" s="26" t="s">
        <v>8</v>
      </c>
      <c r="AAV831" s="26" t="s">
        <v>7</v>
      </c>
      <c r="ABR831" s="26" t="s">
        <v>7</v>
      </c>
      <c r="ABS831" s="26" t="s">
        <v>8</v>
      </c>
      <c r="ABT831" s="26" t="s">
        <v>7</v>
      </c>
      <c r="ABU831" s="26" t="s">
        <v>8</v>
      </c>
      <c r="ABV831" s="26" t="s">
        <v>7</v>
      </c>
      <c r="ABW831" s="26" t="s">
        <v>8</v>
      </c>
      <c r="ABX831" s="26" t="s">
        <v>7</v>
      </c>
      <c r="ABY831" s="26" t="s">
        <v>8</v>
      </c>
      <c r="ADH831" s="26" t="s">
        <v>7</v>
      </c>
      <c r="ADI831" s="26" t="s">
        <v>8</v>
      </c>
      <c r="ADN831" s="26" t="s">
        <v>7</v>
      </c>
      <c r="ADO831" s="26" t="s">
        <v>8</v>
      </c>
      <c r="ADP831" s="26" t="s">
        <v>7</v>
      </c>
      <c r="ADS831" s="26" t="s">
        <v>8</v>
      </c>
      <c r="ADT831" s="26" t="s">
        <v>7</v>
      </c>
    </row>
    <row r="832" spans="1:800" x14ac:dyDescent="0.25">
      <c r="A832" s="7">
        <v>7.8155207116082648E-3</v>
      </c>
      <c r="B832"/>
      <c r="C832"/>
      <c r="D832"/>
      <c r="E832"/>
      <c r="F832" s="26" t="s">
        <v>7</v>
      </c>
      <c r="XO832" s="26" t="s">
        <v>8</v>
      </c>
      <c r="XP832" s="26" t="s">
        <v>7</v>
      </c>
      <c r="XQ832" s="26" t="s">
        <v>8</v>
      </c>
      <c r="XR832" s="26" t="s">
        <v>7</v>
      </c>
      <c r="XS832" s="26" t="s">
        <v>8</v>
      </c>
      <c r="XT832" s="26" t="s">
        <v>7</v>
      </c>
      <c r="XU832" s="26" t="s">
        <v>8</v>
      </c>
      <c r="ZF832" s="26" t="s">
        <v>7</v>
      </c>
      <c r="ZG832" s="26" t="s">
        <v>8</v>
      </c>
      <c r="ZH832" s="26" t="s">
        <v>7</v>
      </c>
      <c r="ZK832" s="26" t="s">
        <v>8</v>
      </c>
      <c r="ZL832" s="26" t="s">
        <v>7</v>
      </c>
      <c r="ZM832" s="26" t="s">
        <v>8</v>
      </c>
      <c r="ZR832" s="26" t="s">
        <v>7</v>
      </c>
      <c r="ZS832" s="26" t="s">
        <v>8</v>
      </c>
      <c r="ZT832" s="26" t="s">
        <v>7</v>
      </c>
      <c r="ZU832" s="26" t="s">
        <v>8</v>
      </c>
      <c r="ZX832" s="26" t="s">
        <v>7</v>
      </c>
      <c r="AAS832" s="26" t="s">
        <v>8</v>
      </c>
      <c r="AAT832" s="26" t="s">
        <v>7</v>
      </c>
      <c r="AAU832" s="26" t="s">
        <v>8</v>
      </c>
      <c r="ABR832" s="26" t="s">
        <v>7</v>
      </c>
      <c r="ABS832" s="26" t="s">
        <v>8</v>
      </c>
      <c r="ABT832" s="26" t="s">
        <v>7</v>
      </c>
      <c r="ABU832" s="26" t="s">
        <v>8</v>
      </c>
      <c r="ABV832" s="26" t="s">
        <v>7</v>
      </c>
      <c r="ABW832" s="26" t="s">
        <v>8</v>
      </c>
      <c r="ABX832" s="26" t="s">
        <v>7</v>
      </c>
      <c r="ABY832" s="26" t="s">
        <v>8</v>
      </c>
      <c r="ADH832" s="26" t="s">
        <v>7</v>
      </c>
      <c r="ADI832" s="26" t="s">
        <v>8</v>
      </c>
      <c r="ADN832" s="26" t="s">
        <v>7</v>
      </c>
      <c r="ADO832" s="26" t="s">
        <v>8</v>
      </c>
      <c r="ADP832" s="26" t="s">
        <v>7</v>
      </c>
      <c r="ADQ832" s="26" t="s">
        <v>8</v>
      </c>
      <c r="ADS832" s="26" t="s">
        <v>8</v>
      </c>
      <c r="ADT832" s="26" t="s">
        <v>7</v>
      </c>
    </row>
    <row r="833" spans="1:810" x14ac:dyDescent="0.25">
      <c r="A833" s="7">
        <v>7.6622752074590825E-3</v>
      </c>
      <c r="B833"/>
      <c r="C833"/>
      <c r="D833"/>
      <c r="E833"/>
      <c r="F833" s="26" t="s">
        <v>7</v>
      </c>
      <c r="XO833" s="26" t="s">
        <v>8</v>
      </c>
      <c r="XP833" s="26" t="s">
        <v>7</v>
      </c>
      <c r="XQ833" s="26" t="s">
        <v>8</v>
      </c>
      <c r="XR833" s="26" t="s">
        <v>7</v>
      </c>
      <c r="XS833" s="26" t="s">
        <v>8</v>
      </c>
      <c r="XT833" s="26" t="s">
        <v>7</v>
      </c>
      <c r="XU833" s="26" t="s">
        <v>8</v>
      </c>
      <c r="ZF833" s="26" t="s">
        <v>7</v>
      </c>
      <c r="ZG833" s="26" t="s">
        <v>8</v>
      </c>
      <c r="ZH833" s="26" t="s">
        <v>7</v>
      </c>
      <c r="ZI833" s="26" t="s">
        <v>8</v>
      </c>
      <c r="ZK833" s="26" t="s">
        <v>8</v>
      </c>
      <c r="ZL833" s="26" t="s">
        <v>7</v>
      </c>
      <c r="ZR833" s="26" t="s">
        <v>7</v>
      </c>
      <c r="ZS833" s="26" t="s">
        <v>8</v>
      </c>
      <c r="ZT833" s="26" t="s">
        <v>7</v>
      </c>
      <c r="ZU833" s="26" t="s">
        <v>8</v>
      </c>
      <c r="ZX833" s="26" t="s">
        <v>7</v>
      </c>
      <c r="AAS833" s="26" t="s">
        <v>8</v>
      </c>
      <c r="AAT833" s="26" t="s">
        <v>7</v>
      </c>
      <c r="AAU833" s="26" t="s">
        <v>8</v>
      </c>
      <c r="ABR833" s="26" t="s">
        <v>7</v>
      </c>
      <c r="ABS833" s="26" t="s">
        <v>8</v>
      </c>
      <c r="ABT833" s="26" t="s">
        <v>7</v>
      </c>
      <c r="ABV833" s="26" t="s">
        <v>7</v>
      </c>
      <c r="ABW833" s="26" t="s">
        <v>8</v>
      </c>
      <c r="ABX833" s="26" t="s">
        <v>7</v>
      </c>
      <c r="ABY833" s="26" t="s">
        <v>8</v>
      </c>
      <c r="ADH833" s="26" t="s">
        <v>7</v>
      </c>
      <c r="ADI833" s="26" t="s">
        <v>8</v>
      </c>
      <c r="ADN833" s="26" t="s">
        <v>7</v>
      </c>
      <c r="ADP833" s="26" t="s">
        <v>7</v>
      </c>
      <c r="ADQ833" s="26" t="s">
        <v>8</v>
      </c>
      <c r="ADR833" s="26" t="s">
        <v>7</v>
      </c>
      <c r="ADS833" s="26" t="s">
        <v>8</v>
      </c>
      <c r="ADT833" s="26" t="s">
        <v>7</v>
      </c>
      <c r="ADU833" s="26" t="s">
        <v>8</v>
      </c>
    </row>
    <row r="834" spans="1:810" x14ac:dyDescent="0.25">
      <c r="A834" s="7">
        <v>7.5120345171167469E-3</v>
      </c>
      <c r="B834"/>
      <c r="C834"/>
      <c r="D834"/>
      <c r="E834"/>
      <c r="F834" s="26" t="s">
        <v>7</v>
      </c>
      <c r="XO834" s="26" t="s">
        <v>8</v>
      </c>
      <c r="XP834" s="26" t="s">
        <v>7</v>
      </c>
      <c r="XQ834" s="26" t="s">
        <v>8</v>
      </c>
      <c r="XR834" s="26" t="s">
        <v>7</v>
      </c>
      <c r="XS834" s="26" t="s">
        <v>8</v>
      </c>
      <c r="XT834" s="26" t="s">
        <v>7</v>
      </c>
      <c r="XU834" s="26" t="s">
        <v>8</v>
      </c>
      <c r="ZF834" s="26" t="s">
        <v>7</v>
      </c>
      <c r="ZG834" s="26" t="s">
        <v>8</v>
      </c>
      <c r="ZH834" s="26" t="s">
        <v>7</v>
      </c>
      <c r="ZI834" s="26" t="s">
        <v>8</v>
      </c>
      <c r="ZJ834" s="26" t="s">
        <v>7</v>
      </c>
      <c r="ZK834" s="26" t="s">
        <v>8</v>
      </c>
      <c r="ZR834" s="26" t="s">
        <v>7</v>
      </c>
      <c r="ZS834" s="26" t="s">
        <v>8</v>
      </c>
      <c r="ZT834" s="26" t="s">
        <v>7</v>
      </c>
      <c r="ZU834" s="26" t="s">
        <v>8</v>
      </c>
      <c r="ZX834" s="26" t="s">
        <v>7</v>
      </c>
      <c r="AAS834" s="26" t="s">
        <v>8</v>
      </c>
      <c r="AAT834" s="26" t="s">
        <v>7</v>
      </c>
      <c r="AAU834" s="26" t="s">
        <v>8</v>
      </c>
      <c r="ABR834" s="26" t="s">
        <v>7</v>
      </c>
      <c r="ABV834" s="26" t="s">
        <v>7</v>
      </c>
      <c r="ABW834" s="26" t="s">
        <v>8</v>
      </c>
      <c r="ABX834" s="26" t="s">
        <v>7</v>
      </c>
      <c r="ADH834" s="26" t="s">
        <v>7</v>
      </c>
      <c r="ADI834" s="26" t="s">
        <v>8</v>
      </c>
      <c r="ADP834" s="26" t="s">
        <v>7</v>
      </c>
      <c r="ADQ834" s="26" t="s">
        <v>8</v>
      </c>
      <c r="ADR834" s="26" t="s">
        <v>7</v>
      </c>
      <c r="ADS834" s="26" t="s">
        <v>8</v>
      </c>
      <c r="ADT834" s="26" t="s">
        <v>7</v>
      </c>
      <c r="ADU834" s="26" t="s">
        <v>8</v>
      </c>
      <c r="ADV834" s="26" t="s">
        <v>7</v>
      </c>
    </row>
    <row r="835" spans="1:810" x14ac:dyDescent="0.25">
      <c r="A835" s="7">
        <v>7.3647397226634772E-3</v>
      </c>
      <c r="B835"/>
      <c r="C835"/>
      <c r="D835"/>
      <c r="E835"/>
      <c r="F835" s="26" t="s">
        <v>7</v>
      </c>
      <c r="XO835" s="26" t="s">
        <v>8</v>
      </c>
      <c r="XP835" s="26" t="s">
        <v>7</v>
      </c>
      <c r="XQ835" s="26" t="s">
        <v>8</v>
      </c>
      <c r="XR835" s="26" t="s">
        <v>7</v>
      </c>
      <c r="XS835" s="26" t="s">
        <v>8</v>
      </c>
      <c r="XT835" s="26" t="s">
        <v>7</v>
      </c>
      <c r="XU835" s="26" t="s">
        <v>8</v>
      </c>
      <c r="ZF835" s="26" t="s">
        <v>7</v>
      </c>
      <c r="ZG835" s="26" t="s">
        <v>8</v>
      </c>
      <c r="ZH835" s="26" t="s">
        <v>7</v>
      </c>
      <c r="ZI835" s="26" t="s">
        <v>8</v>
      </c>
      <c r="ZJ835" s="26" t="s">
        <v>7</v>
      </c>
      <c r="ZK835" s="26" t="s">
        <v>8</v>
      </c>
      <c r="ZR835" s="26" t="s">
        <v>7</v>
      </c>
      <c r="ZS835" s="26" t="s">
        <v>8</v>
      </c>
      <c r="ZT835" s="26" t="s">
        <v>7</v>
      </c>
      <c r="ZU835" s="26" t="s">
        <v>8</v>
      </c>
      <c r="ZX835" s="26" t="s">
        <v>7</v>
      </c>
      <c r="AAS835" s="26" t="s">
        <v>8</v>
      </c>
      <c r="AAT835" s="26" t="s">
        <v>7</v>
      </c>
      <c r="ABV835" s="26" t="s">
        <v>7</v>
      </c>
      <c r="ADH835" s="26" t="s">
        <v>7</v>
      </c>
      <c r="ADI835" s="26" t="s">
        <v>8</v>
      </c>
      <c r="ADP835" s="26" t="s">
        <v>7</v>
      </c>
      <c r="ADQ835" s="26" t="s">
        <v>8</v>
      </c>
      <c r="ADR835" s="26" t="s">
        <v>7</v>
      </c>
      <c r="ADS835" s="26" t="s">
        <v>8</v>
      </c>
      <c r="ADT835" s="26" t="s">
        <v>7</v>
      </c>
      <c r="ADU835" s="26" t="s">
        <v>8</v>
      </c>
      <c r="ADV835" s="26" t="s">
        <v>7</v>
      </c>
    </row>
    <row r="836" spans="1:810" x14ac:dyDescent="0.25">
      <c r="A836" s="7">
        <v>7.2203330614347815E-3</v>
      </c>
      <c r="B836"/>
      <c r="C836"/>
      <c r="D836"/>
      <c r="E836"/>
      <c r="F836" s="26" t="s">
        <v>7</v>
      </c>
      <c r="XO836" s="26" t="s">
        <v>8</v>
      </c>
      <c r="XP836" s="26" t="s">
        <v>7</v>
      </c>
      <c r="XQ836" s="26" t="s">
        <v>8</v>
      </c>
      <c r="XR836" s="26" t="s">
        <v>7</v>
      </c>
      <c r="XS836" s="26" t="s">
        <v>8</v>
      </c>
      <c r="XT836" s="26" t="s">
        <v>7</v>
      </c>
      <c r="XU836" s="26" t="s">
        <v>8</v>
      </c>
      <c r="ZF836" s="26" t="s">
        <v>7</v>
      </c>
      <c r="ZG836" s="26" t="s">
        <v>8</v>
      </c>
      <c r="ZH836" s="26" t="s">
        <v>7</v>
      </c>
      <c r="ZI836" s="26" t="s">
        <v>8</v>
      </c>
      <c r="ZJ836" s="26" t="s">
        <v>7</v>
      </c>
      <c r="ZK836" s="26" t="s">
        <v>8</v>
      </c>
      <c r="ZR836" s="26" t="s">
        <v>7</v>
      </c>
      <c r="ZS836" s="26" t="s">
        <v>8</v>
      </c>
      <c r="ZT836" s="26" t="s">
        <v>7</v>
      </c>
      <c r="ZX836" s="26" t="s">
        <v>7</v>
      </c>
      <c r="AAS836" s="26" t="s">
        <v>8</v>
      </c>
      <c r="ADH836" s="26" t="s">
        <v>7</v>
      </c>
      <c r="ADI836" s="26" t="s">
        <v>8</v>
      </c>
      <c r="ADP836" s="26" t="s">
        <v>7</v>
      </c>
      <c r="ADR836" s="26" t="s">
        <v>7</v>
      </c>
      <c r="ADS836" s="26" t="s">
        <v>8</v>
      </c>
      <c r="ADT836" s="26" t="s">
        <v>7</v>
      </c>
      <c r="ADV836" s="26" t="s">
        <v>7</v>
      </c>
    </row>
    <row r="837" spans="1:810" x14ac:dyDescent="0.25">
      <c r="A837" s="7">
        <v>7.0787579033674327E-3</v>
      </c>
      <c r="B837"/>
      <c r="C837"/>
      <c r="D837"/>
      <c r="E837"/>
      <c r="F837" s="26" t="s">
        <v>7</v>
      </c>
      <c r="XO837" s="26" t="s">
        <v>8</v>
      </c>
      <c r="XP837" s="26" t="s">
        <v>7</v>
      </c>
      <c r="XQ837" s="26" t="s">
        <v>8</v>
      </c>
      <c r="XR837" s="26" t="s">
        <v>7</v>
      </c>
      <c r="XT837" s="26" t="s">
        <v>7</v>
      </c>
      <c r="XU837" s="26" t="s">
        <v>8</v>
      </c>
      <c r="ZF837" s="26" t="s">
        <v>7</v>
      </c>
      <c r="ZG837" s="26" t="s">
        <v>8</v>
      </c>
      <c r="ZH837" s="26" t="s">
        <v>7</v>
      </c>
      <c r="ZI837" s="26" t="s">
        <v>8</v>
      </c>
      <c r="ZJ837" s="26" t="s">
        <v>7</v>
      </c>
      <c r="ZK837" s="26" t="s">
        <v>8</v>
      </c>
      <c r="ZR837" s="26" t="s">
        <v>7</v>
      </c>
      <c r="ZX837" s="26" t="s">
        <v>7</v>
      </c>
      <c r="AAS837" s="26" t="s">
        <v>8</v>
      </c>
      <c r="ADH837" s="26" t="s">
        <v>7</v>
      </c>
      <c r="ADI837" s="26" t="s">
        <v>8</v>
      </c>
      <c r="ADR837" s="26" t="s">
        <v>7</v>
      </c>
      <c r="ADS837" s="26" t="s">
        <v>8</v>
      </c>
      <c r="ADV837" s="26" t="s">
        <v>7</v>
      </c>
    </row>
    <row r="838" spans="1:810" x14ac:dyDescent="0.25">
      <c r="A838" s="7">
        <v>6.9399587287916013E-3</v>
      </c>
      <c r="B838"/>
      <c r="C838"/>
      <c r="D838"/>
      <c r="E838"/>
      <c r="F838" s="26" t="s">
        <v>7</v>
      </c>
      <c r="XO838" s="26" t="s">
        <v>8</v>
      </c>
      <c r="XP838" s="26" t="s">
        <v>7</v>
      </c>
      <c r="XQ838" s="26" t="s">
        <v>8</v>
      </c>
      <c r="XT838" s="26" t="s">
        <v>7</v>
      </c>
      <c r="ZF838" s="26" t="s">
        <v>7</v>
      </c>
      <c r="ZG838" s="26" t="s">
        <v>8</v>
      </c>
      <c r="ZH838" s="26" t="s">
        <v>7</v>
      </c>
      <c r="ZI838" s="26" t="s">
        <v>8</v>
      </c>
      <c r="ZJ838" s="26" t="s">
        <v>7</v>
      </c>
      <c r="ZK838" s="26" t="s">
        <v>8</v>
      </c>
      <c r="ZX838" s="26" t="s">
        <v>7</v>
      </c>
      <c r="AAS838" s="26" t="s">
        <v>8</v>
      </c>
      <c r="ADH838" s="26" t="s">
        <v>7</v>
      </c>
      <c r="ADI838" s="26" t="s">
        <v>8</v>
      </c>
      <c r="ADR838" s="26" t="s">
        <v>7</v>
      </c>
      <c r="ADS838" s="26" t="s">
        <v>8</v>
      </c>
      <c r="ADV838" s="26" t="s">
        <v>7</v>
      </c>
    </row>
    <row r="839" spans="1:810" x14ac:dyDescent="0.25">
      <c r="A839" s="7">
        <v>6.8038811066584333E-3</v>
      </c>
      <c r="B839"/>
      <c r="C839"/>
      <c r="D839"/>
      <c r="E839"/>
      <c r="F839" s="26" t="s">
        <v>7</v>
      </c>
      <c r="XO839" s="26" t="s">
        <v>8</v>
      </c>
      <c r="XP839" s="26" t="s">
        <v>7</v>
      </c>
      <c r="XQ839" s="26" t="s">
        <v>8</v>
      </c>
      <c r="ZF839" s="26" t="s">
        <v>7</v>
      </c>
      <c r="ZG839" s="26" t="s">
        <v>8</v>
      </c>
      <c r="ZH839" s="26" t="s">
        <v>7</v>
      </c>
      <c r="ZI839" s="26" t="s">
        <v>8</v>
      </c>
      <c r="ZJ839" s="26" t="s">
        <v>7</v>
      </c>
      <c r="ZK839" s="26" t="s">
        <v>8</v>
      </c>
      <c r="ZX839" s="26" t="s">
        <v>7</v>
      </c>
      <c r="AAS839" s="26" t="s">
        <v>8</v>
      </c>
      <c r="ADH839" s="26" t="s">
        <v>7</v>
      </c>
      <c r="ADI839" s="26" t="s">
        <v>8</v>
      </c>
      <c r="ADR839" s="26" t="s">
        <v>7</v>
      </c>
      <c r="ADV839" s="26" t="s">
        <v>7</v>
      </c>
    </row>
    <row r="840" spans="1:810" x14ac:dyDescent="0.25">
      <c r="A840" s="7">
        <v>6.6704716731945425E-3</v>
      </c>
      <c r="B840"/>
      <c r="C840"/>
      <c r="D840"/>
      <c r="E840"/>
      <c r="F840" s="26" t="s">
        <v>7</v>
      </c>
      <c r="XO840" s="26" t="s">
        <v>8</v>
      </c>
      <c r="XP840" s="26" t="s">
        <v>7</v>
      </c>
      <c r="XQ840" s="26" t="s">
        <v>8</v>
      </c>
      <c r="ZF840" s="26" t="s">
        <v>7</v>
      </c>
      <c r="ZG840" s="26" t="s">
        <v>8</v>
      </c>
      <c r="ZH840" s="26" t="s">
        <v>7</v>
      </c>
      <c r="ZI840" s="26" t="s">
        <v>8</v>
      </c>
      <c r="ZJ840" s="26" t="s">
        <v>7</v>
      </c>
      <c r="ZK840" s="26" t="s">
        <v>8</v>
      </c>
      <c r="ZX840" s="26" t="s">
        <v>7</v>
      </c>
      <c r="AAM840" s="26" t="s">
        <v>8</v>
      </c>
      <c r="AAS840" s="26" t="s">
        <v>8</v>
      </c>
      <c r="ADH840" s="26" t="s">
        <v>7</v>
      </c>
      <c r="ADI840" s="26" t="s">
        <v>8</v>
      </c>
      <c r="ADV840" s="26" t="s">
        <v>7</v>
      </c>
      <c r="ADW840" s="26" t="s">
        <v>8</v>
      </c>
    </row>
    <row r="841" spans="1:810" x14ac:dyDescent="0.25">
      <c r="A841" s="7">
        <v>6.5396781109750427E-3</v>
      </c>
      <c r="B841"/>
      <c r="C841"/>
      <c r="D841"/>
      <c r="E841"/>
      <c r="F841" s="26" t="s">
        <v>7</v>
      </c>
      <c r="XO841" s="26" t="s">
        <v>8</v>
      </c>
      <c r="XP841" s="26" t="s">
        <v>7</v>
      </c>
      <c r="XQ841" s="26" t="s">
        <v>8</v>
      </c>
      <c r="ZF841" s="26" t="s">
        <v>7</v>
      </c>
      <c r="ZG841" s="26" t="s">
        <v>8</v>
      </c>
      <c r="ZH841" s="26" t="s">
        <v>7</v>
      </c>
      <c r="ZJ841" s="26" t="s">
        <v>7</v>
      </c>
      <c r="ZK841" s="26" t="s">
        <v>8</v>
      </c>
      <c r="ZX841" s="26" t="s">
        <v>7</v>
      </c>
      <c r="AAA841" s="26" t="s">
        <v>8</v>
      </c>
      <c r="AAM841" s="26" t="s">
        <v>8</v>
      </c>
      <c r="AAN841" s="26" t="s">
        <v>7</v>
      </c>
      <c r="AAQ841" s="26" t="s">
        <v>8</v>
      </c>
      <c r="AAS841" s="26" t="s">
        <v>8</v>
      </c>
      <c r="ADH841" s="26" t="s">
        <v>7</v>
      </c>
      <c r="ADI841" s="26" t="s">
        <v>8</v>
      </c>
      <c r="ADV841" s="26" t="s">
        <v>7</v>
      </c>
      <c r="ADW841" s="26" t="s">
        <v>8</v>
      </c>
      <c r="ADX841" s="26" t="s">
        <v>7</v>
      </c>
      <c r="AEA841" s="26" t="s">
        <v>8</v>
      </c>
    </row>
    <row r="842" spans="1:810" x14ac:dyDescent="0.25">
      <c r="A842" s="7">
        <v>6.4114491284069045E-3</v>
      </c>
      <c r="B842"/>
      <c r="C842"/>
      <c r="D842"/>
      <c r="E842"/>
      <c r="F842" s="26" t="s">
        <v>7</v>
      </c>
      <c r="XO842" s="26" t="s">
        <v>8</v>
      </c>
      <c r="XP842" s="26" t="s">
        <v>7</v>
      </c>
      <c r="XQ842" s="26" t="s">
        <v>8</v>
      </c>
      <c r="ZF842" s="26" t="s">
        <v>7</v>
      </c>
      <c r="ZG842" s="26" t="s">
        <v>8</v>
      </c>
      <c r="ZJ842" s="26" t="s">
        <v>7</v>
      </c>
      <c r="ZK842" s="26" t="s">
        <v>8</v>
      </c>
      <c r="ZX842" s="26" t="s">
        <v>7</v>
      </c>
      <c r="AAA842" s="26" t="s">
        <v>8</v>
      </c>
      <c r="AAB842" s="26" t="s">
        <v>7</v>
      </c>
      <c r="AAM842" s="26" t="s">
        <v>8</v>
      </c>
      <c r="AAN842" s="26" t="s">
        <v>7</v>
      </c>
      <c r="AAO842" s="26" t="s">
        <v>8</v>
      </c>
      <c r="AAQ842" s="26" t="s">
        <v>8</v>
      </c>
      <c r="AAR842" s="26" t="s">
        <v>7</v>
      </c>
      <c r="AAS842" s="26" t="s">
        <v>8</v>
      </c>
      <c r="ADH842" s="26" t="s">
        <v>7</v>
      </c>
      <c r="ADI842" s="26" t="s">
        <v>8</v>
      </c>
      <c r="ADV842" s="26" t="s">
        <v>7</v>
      </c>
      <c r="ADW842" s="26" t="s">
        <v>8</v>
      </c>
      <c r="ADX842" s="26" t="s">
        <v>7</v>
      </c>
      <c r="AEA842" s="26" t="s">
        <v>8</v>
      </c>
      <c r="AEB842" s="26" t="s">
        <v>7</v>
      </c>
      <c r="AEC842" s="26" t="s">
        <v>8</v>
      </c>
    </row>
    <row r="843" spans="1:810" x14ac:dyDescent="0.25">
      <c r="A843" s="7">
        <v>6.2857344396146115E-3</v>
      </c>
      <c r="B843"/>
      <c r="C843"/>
      <c r="D843"/>
      <c r="E843"/>
      <c r="F843" s="26" t="s">
        <v>7</v>
      </c>
      <c r="XO843" s="26" t="s">
        <v>8</v>
      </c>
      <c r="XP843" s="26" t="s">
        <v>7</v>
      </c>
      <c r="XQ843" s="26" t="s">
        <v>8</v>
      </c>
      <c r="ZF843" s="26" t="s">
        <v>7</v>
      </c>
      <c r="ZG843" s="26" t="s">
        <v>8</v>
      </c>
      <c r="ZJ843" s="26" t="s">
        <v>7</v>
      </c>
      <c r="ZK843" s="26" t="s">
        <v>8</v>
      </c>
      <c r="ZX843" s="26" t="s">
        <v>7</v>
      </c>
      <c r="AAA843" s="26" t="s">
        <v>8</v>
      </c>
      <c r="AAB843" s="26" t="s">
        <v>7</v>
      </c>
      <c r="AAC843" s="26" t="s">
        <v>8</v>
      </c>
      <c r="AAM843" s="26" t="s">
        <v>8</v>
      </c>
      <c r="AAN843" s="26" t="s">
        <v>7</v>
      </c>
      <c r="AAO843" s="26" t="s">
        <v>8</v>
      </c>
      <c r="AAP843" s="26" t="s">
        <v>7</v>
      </c>
      <c r="AAQ843" s="26" t="s">
        <v>8</v>
      </c>
      <c r="AAR843" s="26" t="s">
        <v>7</v>
      </c>
      <c r="AAS843" s="26" t="s">
        <v>8</v>
      </c>
      <c r="ADH843" s="26" t="s">
        <v>7</v>
      </c>
      <c r="ADI843" s="26" t="s">
        <v>8</v>
      </c>
      <c r="ADV843" s="26" t="s">
        <v>7</v>
      </c>
      <c r="ADX843" s="26" t="s">
        <v>7</v>
      </c>
      <c r="AEA843" s="26" t="s">
        <v>8</v>
      </c>
      <c r="AEB843" s="26" t="s">
        <v>7</v>
      </c>
      <c r="AEC843" s="26" t="s">
        <v>8</v>
      </c>
      <c r="AED843" s="26" t="s">
        <v>7</v>
      </c>
    </row>
    <row r="844" spans="1:810" x14ac:dyDescent="0.25">
      <c r="A844" s="7">
        <v>6.1624847447202076E-3</v>
      </c>
      <c r="B844"/>
      <c r="C844"/>
      <c r="D844"/>
      <c r="E844"/>
      <c r="F844" s="26" t="s">
        <v>7</v>
      </c>
      <c r="XO844" s="26" t="s">
        <v>8</v>
      </c>
      <c r="XP844" s="26" t="s">
        <v>7</v>
      </c>
      <c r="XQ844" s="26" t="s">
        <v>8</v>
      </c>
      <c r="ZF844" s="26" t="s">
        <v>7</v>
      </c>
      <c r="ZG844" s="26" t="s">
        <v>8</v>
      </c>
      <c r="ZJ844" s="26" t="s">
        <v>7</v>
      </c>
      <c r="ZK844" s="26" t="s">
        <v>8</v>
      </c>
      <c r="ZX844" s="26" t="s">
        <v>7</v>
      </c>
      <c r="ZY844" s="26" t="s">
        <v>8</v>
      </c>
      <c r="AAA844" s="26" t="s">
        <v>8</v>
      </c>
      <c r="AAB844" s="26" t="s">
        <v>7</v>
      </c>
      <c r="AAC844" s="26" t="s">
        <v>8</v>
      </c>
      <c r="AAD844" s="26" t="s">
        <v>7</v>
      </c>
      <c r="AAM844" s="26" t="s">
        <v>8</v>
      </c>
      <c r="AAN844" s="26" t="s">
        <v>7</v>
      </c>
      <c r="AAO844" s="26" t="s">
        <v>8</v>
      </c>
      <c r="AAP844" s="26" t="s">
        <v>7</v>
      </c>
      <c r="AAQ844" s="26" t="s">
        <v>8</v>
      </c>
      <c r="AAR844" s="26" t="s">
        <v>7</v>
      </c>
      <c r="AAS844" s="26" t="s">
        <v>8</v>
      </c>
      <c r="ADH844" s="26" t="s">
        <v>7</v>
      </c>
      <c r="ADI844" s="26" t="s">
        <v>8</v>
      </c>
      <c r="ADX844" s="26" t="s">
        <v>7</v>
      </c>
      <c r="ADY844" s="26" t="s">
        <v>8</v>
      </c>
      <c r="AEA844" s="26" t="s">
        <v>8</v>
      </c>
      <c r="AEB844" s="26" t="s">
        <v>7</v>
      </c>
      <c r="AEC844" s="26" t="s">
        <v>8</v>
      </c>
      <c r="AED844" s="26" t="s">
        <v>7</v>
      </c>
    </row>
    <row r="845" spans="1:810" x14ac:dyDescent="0.25">
      <c r="A845" s="7">
        <v>6.0416517105100079E-3</v>
      </c>
      <c r="B845"/>
      <c r="C845"/>
      <c r="D845"/>
      <c r="E845"/>
      <c r="F845" s="26" t="s">
        <v>7</v>
      </c>
      <c r="XO845" s="26" t="s">
        <v>8</v>
      </c>
      <c r="XP845" s="26" t="s">
        <v>7</v>
      </c>
      <c r="XQ845" s="26" t="s">
        <v>8</v>
      </c>
      <c r="ZF845" s="26" t="s">
        <v>7</v>
      </c>
      <c r="ZG845" s="26" t="s">
        <v>8</v>
      </c>
      <c r="ZJ845" s="26" t="s">
        <v>7</v>
      </c>
      <c r="ZK845" s="26" t="s">
        <v>8</v>
      </c>
      <c r="ZX845" s="26" t="s">
        <v>7</v>
      </c>
      <c r="ZY845" s="26" t="s">
        <v>8</v>
      </c>
      <c r="ZZ845" s="26" t="s">
        <v>7</v>
      </c>
      <c r="AAA845" s="26" t="s">
        <v>8</v>
      </c>
      <c r="AAB845" s="26" t="s">
        <v>7</v>
      </c>
      <c r="AAC845" s="26" t="s">
        <v>8</v>
      </c>
      <c r="AAD845" s="26" t="s">
        <v>7</v>
      </c>
      <c r="AAM845" s="26" t="s">
        <v>8</v>
      </c>
      <c r="AAN845" s="26" t="s">
        <v>7</v>
      </c>
      <c r="AAO845" s="26" t="s">
        <v>8</v>
      </c>
      <c r="AAP845" s="26" t="s">
        <v>7</v>
      </c>
      <c r="AAR845" s="26" t="s">
        <v>7</v>
      </c>
      <c r="ADH845" s="26" t="s">
        <v>7</v>
      </c>
      <c r="ADI845" s="26" t="s">
        <v>8</v>
      </c>
      <c r="ADX845" s="26" t="s">
        <v>7</v>
      </c>
      <c r="ADY845" s="26" t="s">
        <v>8</v>
      </c>
      <c r="ADZ845" s="26" t="s">
        <v>7</v>
      </c>
      <c r="AEA845" s="26" t="s">
        <v>8</v>
      </c>
      <c r="AEB845" s="26" t="s">
        <v>7</v>
      </c>
      <c r="AED845" s="26" t="s">
        <v>7</v>
      </c>
    </row>
    <row r="846" spans="1:810" x14ac:dyDescent="0.25">
      <c r="A846" s="7">
        <v>5.9231879514803996E-3</v>
      </c>
      <c r="B846"/>
      <c r="C846"/>
      <c r="D846"/>
      <c r="E846"/>
      <c r="F846" s="26" t="s">
        <v>7</v>
      </c>
      <c r="XO846" s="26" t="s">
        <v>8</v>
      </c>
      <c r="XP846" s="26" t="s">
        <v>7</v>
      </c>
      <c r="XQ846" s="26" t="s">
        <v>8</v>
      </c>
      <c r="ZF846" s="26" t="s">
        <v>7</v>
      </c>
      <c r="ZG846" s="26" t="s">
        <v>8</v>
      </c>
      <c r="ZJ846" s="26" t="s">
        <v>7</v>
      </c>
      <c r="ZK846" s="26" t="s">
        <v>8</v>
      </c>
      <c r="ZX846" s="26" t="s">
        <v>7</v>
      </c>
      <c r="ZY846" s="26" t="s">
        <v>8</v>
      </c>
      <c r="ZZ846" s="26" t="s">
        <v>7</v>
      </c>
      <c r="AAA846" s="26" t="s">
        <v>8</v>
      </c>
      <c r="AAB846" s="26" t="s">
        <v>7</v>
      </c>
      <c r="AAC846" s="26" t="s">
        <v>8</v>
      </c>
      <c r="AAD846" s="26" t="s">
        <v>7</v>
      </c>
      <c r="AAM846" s="26" t="s">
        <v>8</v>
      </c>
      <c r="AAN846" s="26" t="s">
        <v>7</v>
      </c>
      <c r="AAO846" s="26" t="s">
        <v>8</v>
      </c>
      <c r="ADH846" s="26" t="s">
        <v>7</v>
      </c>
      <c r="ADI846" s="26" t="s">
        <v>8</v>
      </c>
      <c r="ADX846" s="26" t="s">
        <v>7</v>
      </c>
      <c r="ADY846" s="26" t="s">
        <v>8</v>
      </c>
      <c r="ADZ846" s="26" t="s">
        <v>7</v>
      </c>
      <c r="AEA846" s="26" t="s">
        <v>8</v>
      </c>
      <c r="AED846" s="26" t="s">
        <v>7</v>
      </c>
    </row>
    <row r="847" spans="1:810" x14ac:dyDescent="0.25">
      <c r="A847" s="7">
        <v>5.8070470112552936E-3</v>
      </c>
      <c r="B847"/>
      <c r="C847"/>
      <c r="D847"/>
      <c r="E847"/>
      <c r="F847" s="26" t="s">
        <v>7</v>
      </c>
      <c r="XO847" s="26" t="s">
        <v>8</v>
      </c>
      <c r="XP847" s="26" t="s">
        <v>7</v>
      </c>
      <c r="XQ847" s="26" t="s">
        <v>8</v>
      </c>
      <c r="ZF847" s="26" t="s">
        <v>7</v>
      </c>
      <c r="ZG847" s="26" t="s">
        <v>8</v>
      </c>
      <c r="ZJ847" s="26" t="s">
        <v>7</v>
      </c>
      <c r="ZK847" s="26" t="s">
        <v>8</v>
      </c>
      <c r="ZX847" s="26" t="s">
        <v>7</v>
      </c>
      <c r="ZY847" s="26" t="s">
        <v>8</v>
      </c>
      <c r="ZZ847" s="26" t="s">
        <v>7</v>
      </c>
      <c r="AAA847" s="26" t="s">
        <v>8</v>
      </c>
      <c r="AAB847" s="26" t="s">
        <v>7</v>
      </c>
      <c r="AAC847" s="26" t="s">
        <v>8</v>
      </c>
      <c r="AAD847" s="26" t="s">
        <v>7</v>
      </c>
      <c r="AAE847" s="26" t="s">
        <v>8</v>
      </c>
      <c r="AAM847" s="26" t="s">
        <v>8</v>
      </c>
      <c r="AAN847" s="26" t="s">
        <v>7</v>
      </c>
      <c r="AAO847" s="26" t="s">
        <v>8</v>
      </c>
      <c r="ADH847" s="26" t="s">
        <v>7</v>
      </c>
      <c r="ADI847" s="26" t="s">
        <v>8</v>
      </c>
      <c r="ADX847" s="26" t="s">
        <v>7</v>
      </c>
      <c r="ADZ847" s="26" t="s">
        <v>7</v>
      </c>
      <c r="AEA847" s="26" t="s">
        <v>8</v>
      </c>
      <c r="AED847" s="26" t="s">
        <v>7</v>
      </c>
    </row>
    <row r="848" spans="1:810" x14ac:dyDescent="0.25">
      <c r="A848" s="7">
        <v>5.6931833443679353E-3</v>
      </c>
      <c r="B848"/>
      <c r="C848"/>
      <c r="D848"/>
      <c r="E848"/>
      <c r="F848" s="26" t="s">
        <v>7</v>
      </c>
      <c r="XO848" s="26" t="s">
        <v>8</v>
      </c>
      <c r="XP848" s="26" t="s">
        <v>7</v>
      </c>
      <c r="ZF848" s="26" t="s">
        <v>7</v>
      </c>
      <c r="ZG848" s="26" t="s">
        <v>8</v>
      </c>
      <c r="ZJ848" s="26" t="s">
        <v>7</v>
      </c>
      <c r="ZK848" s="26" t="s">
        <v>8</v>
      </c>
      <c r="ZX848" s="26" t="s">
        <v>7</v>
      </c>
      <c r="ZY848" s="26" t="s">
        <v>8</v>
      </c>
      <c r="ZZ848" s="26" t="s">
        <v>7</v>
      </c>
      <c r="AAA848" s="26" t="s">
        <v>8</v>
      </c>
      <c r="AAB848" s="26" t="s">
        <v>7</v>
      </c>
      <c r="AAD848" s="26" t="s">
        <v>7</v>
      </c>
      <c r="AAE848" s="26" t="s">
        <v>8</v>
      </c>
      <c r="AAF848" s="26" t="s">
        <v>7</v>
      </c>
      <c r="AAM848" s="26" t="s">
        <v>8</v>
      </c>
      <c r="AAN848" s="26" t="s">
        <v>7</v>
      </c>
      <c r="ADH848" s="26" t="s">
        <v>7</v>
      </c>
      <c r="ADI848" s="26" t="s">
        <v>8</v>
      </c>
      <c r="ADZ848" s="26" t="s">
        <v>7</v>
      </c>
      <c r="AEA848" s="26" t="s">
        <v>8</v>
      </c>
      <c r="AED848" s="26" t="s">
        <v>7</v>
      </c>
    </row>
    <row r="849" spans="1:814" x14ac:dyDescent="0.25">
      <c r="A849" s="7">
        <v>5.5815522983999367E-3</v>
      </c>
      <c r="B849"/>
      <c r="C849"/>
      <c r="D849"/>
      <c r="E849"/>
      <c r="F849" s="26" t="s">
        <v>7</v>
      </c>
      <c r="XO849" s="26" t="s">
        <v>8</v>
      </c>
      <c r="ZF849" s="26" t="s">
        <v>7</v>
      </c>
      <c r="ZG849" s="26" t="s">
        <v>8</v>
      </c>
      <c r="ZJ849" s="26" t="s">
        <v>7</v>
      </c>
      <c r="ZK849" s="26" t="s">
        <v>8</v>
      </c>
      <c r="ZX849" s="26" t="s">
        <v>7</v>
      </c>
      <c r="ZY849" s="26" t="s">
        <v>8</v>
      </c>
      <c r="ZZ849" s="26" t="s">
        <v>7</v>
      </c>
      <c r="AAA849" s="26" t="s">
        <v>8</v>
      </c>
      <c r="AAD849" s="26" t="s">
        <v>7</v>
      </c>
      <c r="AAE849" s="26" t="s">
        <v>8</v>
      </c>
      <c r="AAF849" s="26" t="s">
        <v>7</v>
      </c>
      <c r="AAM849" s="26" t="s">
        <v>8</v>
      </c>
      <c r="ADH849" s="26" t="s">
        <v>7</v>
      </c>
      <c r="ADI849" s="26" t="s">
        <v>8</v>
      </c>
      <c r="ADZ849" s="26" t="s">
        <v>7</v>
      </c>
      <c r="AED849" s="26" t="s">
        <v>7</v>
      </c>
    </row>
    <row r="850" spans="1:814" x14ac:dyDescent="0.25">
      <c r="A850" s="7">
        <v>5.4721100964705257E-3</v>
      </c>
      <c r="B850"/>
      <c r="C850"/>
      <c r="D850"/>
      <c r="E850"/>
      <c r="F850" s="26" t="s">
        <v>7</v>
      </c>
      <c r="XO850" s="26" t="s">
        <v>8</v>
      </c>
      <c r="ZF850" s="26" t="s">
        <v>7</v>
      </c>
      <c r="ZG850" s="26" t="s">
        <v>8</v>
      </c>
      <c r="ZJ850" s="26" t="s">
        <v>7</v>
      </c>
      <c r="ZK850" s="26" t="s">
        <v>8</v>
      </c>
      <c r="ZX850" s="26" t="s">
        <v>7</v>
      </c>
      <c r="ZY850" s="26" t="s">
        <v>8</v>
      </c>
      <c r="ZZ850" s="26" t="s">
        <v>7</v>
      </c>
      <c r="AAA850" s="26" t="s">
        <v>8</v>
      </c>
      <c r="AAD850" s="26" t="s">
        <v>7</v>
      </c>
      <c r="AAF850" s="26" t="s">
        <v>7</v>
      </c>
      <c r="AAG850" s="26" t="s">
        <v>8</v>
      </c>
      <c r="AAM850" s="26" t="s">
        <v>8</v>
      </c>
      <c r="ADH850" s="26" t="s">
        <v>7</v>
      </c>
      <c r="ADI850" s="26" t="s">
        <v>8</v>
      </c>
      <c r="AED850" s="26" t="s">
        <v>7</v>
      </c>
    </row>
    <row r="851" spans="1:814" x14ac:dyDescent="0.25">
      <c r="A851" s="7">
        <v>5.3648138200691423E-3</v>
      </c>
      <c r="B851"/>
      <c r="C851"/>
      <c r="D851"/>
      <c r="E851"/>
      <c r="F851" s="26" t="s">
        <v>7</v>
      </c>
      <c r="XO851" s="26" t="s">
        <v>8</v>
      </c>
      <c r="ZF851" s="26" t="s">
        <v>7</v>
      </c>
      <c r="ZG851" s="26" t="s">
        <v>8</v>
      </c>
      <c r="ZJ851" s="26" t="s">
        <v>7</v>
      </c>
      <c r="ZK851" s="26" t="s">
        <v>8</v>
      </c>
      <c r="ZX851" s="26" t="s">
        <v>7</v>
      </c>
      <c r="ZY851" s="26" t="s">
        <v>8</v>
      </c>
      <c r="ZZ851" s="26" t="s">
        <v>7</v>
      </c>
      <c r="AAF851" s="26" t="s">
        <v>7</v>
      </c>
      <c r="AAG851" s="26" t="s">
        <v>8</v>
      </c>
      <c r="AAH851" s="26" t="s">
        <v>7</v>
      </c>
      <c r="AAK851" s="26" t="s">
        <v>8</v>
      </c>
      <c r="AAM851" s="26" t="s">
        <v>8</v>
      </c>
      <c r="ADH851" s="26" t="s">
        <v>7</v>
      </c>
      <c r="ADI851" s="26" t="s">
        <v>8</v>
      </c>
      <c r="AED851" s="26" t="s">
        <v>7</v>
      </c>
    </row>
    <row r="852" spans="1:814" x14ac:dyDescent="0.25">
      <c r="A852" s="7">
        <v>5.2596213922246494E-3</v>
      </c>
      <c r="B852"/>
      <c r="C852"/>
      <c r="D852"/>
      <c r="E852"/>
      <c r="F852" s="26" t="s">
        <v>7</v>
      </c>
      <c r="XO852" s="26" t="s">
        <v>8</v>
      </c>
      <c r="ZF852" s="26" t="s">
        <v>7</v>
      </c>
      <c r="ZG852" s="26" t="s">
        <v>8</v>
      </c>
      <c r="ZJ852" s="26" t="s">
        <v>7</v>
      </c>
      <c r="ZK852" s="26" t="s">
        <v>8</v>
      </c>
      <c r="ZX852" s="26" t="s">
        <v>7</v>
      </c>
      <c r="ZY852" s="26" t="s">
        <v>8</v>
      </c>
      <c r="AAF852" s="26" t="s">
        <v>7</v>
      </c>
      <c r="AAG852" s="26" t="s">
        <v>8</v>
      </c>
      <c r="AAH852" s="26" t="s">
        <v>7</v>
      </c>
      <c r="AAI852" s="26" t="s">
        <v>8</v>
      </c>
      <c r="AAK852" s="26" t="s">
        <v>8</v>
      </c>
      <c r="AAL852" s="26" t="s">
        <v>7</v>
      </c>
      <c r="AAM852" s="26" t="s">
        <v>8</v>
      </c>
      <c r="ADH852" s="26" t="s">
        <v>7</v>
      </c>
      <c r="ADI852" s="26" t="s">
        <v>8</v>
      </c>
      <c r="AED852" s="26" t="s">
        <v>7</v>
      </c>
    </row>
    <row r="853" spans="1:814" x14ac:dyDescent="0.25">
      <c r="A853" s="7">
        <v>5.1564915610045588E-3</v>
      </c>
      <c r="B853"/>
      <c r="C853"/>
      <c r="D853"/>
      <c r="E853"/>
      <c r="F853" s="26" t="s">
        <v>7</v>
      </c>
      <c r="XO853" s="26" t="s">
        <v>8</v>
      </c>
      <c r="ZF853" s="26" t="s">
        <v>7</v>
      </c>
      <c r="ZG853" s="26" t="s">
        <v>8</v>
      </c>
      <c r="ZJ853" s="26" t="s">
        <v>7</v>
      </c>
      <c r="ZK853" s="26" t="s">
        <v>8</v>
      </c>
      <c r="ZX853" s="26" t="s">
        <v>7</v>
      </c>
      <c r="ZY853" s="26" t="s">
        <v>8</v>
      </c>
      <c r="AAF853" s="26" t="s">
        <v>7</v>
      </c>
      <c r="AAH853" s="26" t="s">
        <v>7</v>
      </c>
      <c r="AAI853" s="26" t="s">
        <v>8</v>
      </c>
      <c r="AAJ853" s="26" t="s">
        <v>7</v>
      </c>
      <c r="AAK853" s="26" t="s">
        <v>8</v>
      </c>
      <c r="AAL853" s="26" t="s">
        <v>7</v>
      </c>
      <c r="AAM853" s="26" t="s">
        <v>8</v>
      </c>
      <c r="ADH853" s="26" t="s">
        <v>7</v>
      </c>
      <c r="ADI853" s="26" t="s">
        <v>8</v>
      </c>
      <c r="AED853" s="26" t="s">
        <v>7</v>
      </c>
    </row>
    <row r="854" spans="1:814" x14ac:dyDescent="0.25">
      <c r="A854" s="7">
        <v>5.0553838833378023E-3</v>
      </c>
      <c r="B854"/>
      <c r="C854"/>
      <c r="D854"/>
      <c r="E854"/>
      <c r="F854" s="26" t="s">
        <v>7</v>
      </c>
      <c r="XO854" s="26" t="s">
        <v>8</v>
      </c>
      <c r="ZF854" s="26" t="s">
        <v>7</v>
      </c>
      <c r="ZG854" s="26" t="s">
        <v>8</v>
      </c>
      <c r="ZJ854" s="26" t="s">
        <v>7</v>
      </c>
      <c r="ZX854" s="26" t="s">
        <v>7</v>
      </c>
      <c r="ZY854" s="26" t="s">
        <v>8</v>
      </c>
      <c r="AAH854" s="26" t="s">
        <v>7</v>
      </c>
      <c r="AAI854" s="26" t="s">
        <v>8</v>
      </c>
      <c r="AAJ854" s="26" t="s">
        <v>7</v>
      </c>
      <c r="AAK854" s="26" t="s">
        <v>8</v>
      </c>
      <c r="AAL854" s="26" t="s">
        <v>7</v>
      </c>
      <c r="ADH854" s="26" t="s">
        <v>7</v>
      </c>
      <c r="ADI854" s="26" t="s">
        <v>8</v>
      </c>
      <c r="AED854" s="26" t="s">
        <v>7</v>
      </c>
    </row>
    <row r="855" spans="1:814" x14ac:dyDescent="0.25">
      <c r="A855" s="7">
        <v>4.9562587091547079E-3</v>
      </c>
      <c r="B855"/>
      <c r="C855"/>
      <c r="D855"/>
      <c r="E855"/>
      <c r="F855" s="26" t="s">
        <v>7</v>
      </c>
      <c r="XO855" s="26" t="s">
        <v>8</v>
      </c>
      <c r="ZF855" s="26" t="s">
        <v>7</v>
      </c>
      <c r="ZG855" s="26" t="s">
        <v>8</v>
      </c>
      <c r="ZX855" s="26" t="s">
        <v>7</v>
      </c>
      <c r="ZY855" s="26" t="s">
        <v>8</v>
      </c>
      <c r="AAH855" s="26" t="s">
        <v>7</v>
      </c>
      <c r="AAJ855" s="26" t="s">
        <v>7</v>
      </c>
      <c r="AAK855" s="26" t="s">
        <v>8</v>
      </c>
      <c r="ADH855" s="26" t="s">
        <v>7</v>
      </c>
      <c r="ADI855" s="26" t="s">
        <v>8</v>
      </c>
      <c r="AED855" s="26" t="s">
        <v>7</v>
      </c>
    </row>
    <row r="856" spans="1:814" x14ac:dyDescent="0.25">
      <c r="A856" s="7">
        <v>4.8590771658379491E-3</v>
      </c>
      <c r="B856"/>
      <c r="C856"/>
      <c r="D856"/>
      <c r="E856"/>
      <c r="F856" s="26" t="s">
        <v>7</v>
      </c>
      <c r="XO856" s="26" t="s">
        <v>8</v>
      </c>
      <c r="ZF856" s="26" t="s">
        <v>7</v>
      </c>
      <c r="ZG856" s="26" t="s">
        <v>8</v>
      </c>
      <c r="ZX856" s="26" t="s">
        <v>7</v>
      </c>
      <c r="AAJ856" s="26" t="s">
        <v>7</v>
      </c>
      <c r="AAK856" s="26" t="s">
        <v>8</v>
      </c>
      <c r="ADH856" s="26" t="s">
        <v>7</v>
      </c>
      <c r="ADI856" s="26" t="s">
        <v>8</v>
      </c>
      <c r="AED856" s="26" t="s">
        <v>7</v>
      </c>
      <c r="AEG856" s="26" t="s">
        <v>8</v>
      </c>
    </row>
    <row r="857" spans="1:814" x14ac:dyDescent="0.25">
      <c r="A857" s="7">
        <v>4.7638011429783815E-3</v>
      </c>
      <c r="B857"/>
      <c r="C857"/>
      <c r="D857"/>
      <c r="E857"/>
      <c r="F857" s="26" t="s">
        <v>7</v>
      </c>
      <c r="XO857" s="26" t="s">
        <v>8</v>
      </c>
      <c r="ZF857" s="26" t="s">
        <v>7</v>
      </c>
      <c r="AAJ857" s="18" t="s">
        <v>7</v>
      </c>
      <c r="AAK857" s="26" t="s">
        <v>8</v>
      </c>
      <c r="ADH857" s="26" t="s">
        <v>7</v>
      </c>
      <c r="ADI857" s="26" t="s">
        <v>8</v>
      </c>
      <c r="AED857" s="26" t="s">
        <v>7</v>
      </c>
      <c r="AEG857" s="26" t="s">
        <v>8</v>
      </c>
      <c r="AEH857" s="26" t="s">
        <v>7</v>
      </c>
    </row>
    <row r="858" spans="1:814" x14ac:dyDescent="0.25">
      <c r="A858" s="7">
        <v>4.6703932774297859E-3</v>
      </c>
      <c r="B858"/>
      <c r="C858"/>
      <c r="D858"/>
      <c r="E858"/>
      <c r="F858" s="26" t="s">
        <v>7</v>
      </c>
      <c r="XO858" s="26" t="s">
        <v>8</v>
      </c>
      <c r="AAJ858" s="26" t="s">
        <v>7</v>
      </c>
      <c r="AAK858" s="26" t="s">
        <v>8</v>
      </c>
      <c r="ADH858" s="26" t="s">
        <v>7</v>
      </c>
      <c r="ADI858" s="26" t="s">
        <v>8</v>
      </c>
      <c r="AED858" s="26" t="s">
        <v>7</v>
      </c>
      <c r="AEE858" s="26" t="s">
        <v>8</v>
      </c>
      <c r="AEG858" s="26" t="s">
        <v>8</v>
      </c>
      <c r="AEH858" s="26" t="s">
        <v>7</v>
      </c>
    </row>
    <row r="859" spans="1:814" x14ac:dyDescent="0.25">
      <c r="A859" s="7">
        <v>4.5788169386566527E-3</v>
      </c>
      <c r="B859"/>
      <c r="C859"/>
      <c r="D859"/>
      <c r="E859"/>
      <c r="F859" s="26" t="s">
        <v>7</v>
      </c>
      <c r="XO859" s="26" t="s">
        <v>8</v>
      </c>
      <c r="AAJ859" s="26" t="s">
        <v>7</v>
      </c>
      <c r="AAK859" s="26" t="s">
        <v>8</v>
      </c>
      <c r="ADH859" s="26" t="s">
        <v>7</v>
      </c>
      <c r="ADI859" s="26" t="s">
        <v>8</v>
      </c>
      <c r="AED859" s="26" t="s">
        <v>7</v>
      </c>
      <c r="AEE859" s="26" t="s">
        <v>8</v>
      </c>
      <c r="AEF859" s="26" t="s">
        <v>7</v>
      </c>
      <c r="AEG859" s="26" t="s">
        <v>8</v>
      </c>
      <c r="AEH859" s="26" t="s">
        <v>7</v>
      </c>
    </row>
    <row r="860" spans="1:814" x14ac:dyDescent="0.25">
      <c r="A860" s="7">
        <v>4.4890362143692672E-3</v>
      </c>
      <c r="B860"/>
      <c r="C860"/>
      <c r="D860"/>
      <c r="E860"/>
      <c r="F860" s="26" t="s">
        <v>7</v>
      </c>
      <c r="XO860" s="26" t="s">
        <v>8</v>
      </c>
      <c r="AAJ860" s="26" t="s">
        <v>7</v>
      </c>
      <c r="AAK860" s="26" t="s">
        <v>8</v>
      </c>
      <c r="ADH860" s="26" t="s">
        <v>7</v>
      </c>
      <c r="ADI860" s="26" t="s">
        <v>8</v>
      </c>
      <c r="AED860" s="26" t="s">
        <v>7</v>
      </c>
      <c r="AEE860" s="26" t="s">
        <v>8</v>
      </c>
      <c r="AEF860" s="26" t="s">
        <v>7</v>
      </c>
      <c r="AEG860" s="26" t="s">
        <v>8</v>
      </c>
      <c r="AEH860" s="26" t="s">
        <v>7</v>
      </c>
    </row>
    <row r="861" spans="1:814" x14ac:dyDescent="0.25">
      <c r="A861" s="7">
        <v>4.4010158964404578E-3</v>
      </c>
      <c r="B861"/>
      <c r="C861"/>
      <c r="D861"/>
      <c r="E861"/>
      <c r="F861" s="26" t="s">
        <v>7</v>
      </c>
      <c r="XO861" s="26" t="s">
        <v>8</v>
      </c>
      <c r="AAJ861" s="26" t="s">
        <v>7</v>
      </c>
      <c r="ADH861" s="26" t="s">
        <v>7</v>
      </c>
      <c r="ADI861" s="26" t="s">
        <v>8</v>
      </c>
      <c r="AED861" s="26" t="s">
        <v>7</v>
      </c>
      <c r="AEE861" s="26" t="s">
        <v>8</v>
      </c>
      <c r="AEF861" s="26" t="s">
        <v>7</v>
      </c>
      <c r="AEG861" s="26" t="s">
        <v>8</v>
      </c>
      <c r="AEH861" s="26" t="s">
        <v>7</v>
      </c>
    </row>
    <row r="862" spans="1:814" x14ac:dyDescent="0.25">
      <c r="A862" s="7">
        <v>4.314721467098488E-3</v>
      </c>
      <c r="B862"/>
      <c r="C862"/>
      <c r="D862"/>
      <c r="E862"/>
      <c r="F862" s="26" t="s">
        <v>7</v>
      </c>
      <c r="XO862" s="26" t="s">
        <v>8</v>
      </c>
      <c r="ADH862" s="26" t="s">
        <v>7</v>
      </c>
      <c r="ADI862" s="26" t="s">
        <v>8</v>
      </c>
      <c r="AED862" s="26" t="s">
        <v>7</v>
      </c>
      <c r="AEE862" s="26" t="s">
        <v>8</v>
      </c>
      <c r="AEF862" s="26" t="s">
        <v>7</v>
      </c>
      <c r="AEG862" s="26" t="s">
        <v>8</v>
      </c>
      <c r="AEH862" s="26" t="s">
        <v>7</v>
      </c>
    </row>
    <row r="863" spans="1:814" x14ac:dyDescent="0.25">
      <c r="A863" s="7">
        <v>4.2301190853906746E-3</v>
      </c>
      <c r="B863"/>
      <c r="C863"/>
      <c r="D863"/>
      <c r="E863"/>
      <c r="F863" s="26" t="s">
        <v>7</v>
      </c>
      <c r="WY863" s="26" t="s">
        <v>8</v>
      </c>
      <c r="XO863" s="26" t="s">
        <v>8</v>
      </c>
      <c r="ADH863" s="26" t="s">
        <v>7</v>
      </c>
      <c r="ADI863" s="26" t="s">
        <v>8</v>
      </c>
      <c r="AED863" s="26" t="s">
        <v>7</v>
      </c>
      <c r="AEE863" s="26" t="s">
        <v>8</v>
      </c>
      <c r="AEF863" s="26" t="s">
        <v>7</v>
      </c>
      <c r="AEG863" s="26" t="s">
        <v>8</v>
      </c>
    </row>
    <row r="864" spans="1:814" x14ac:dyDescent="0.25">
      <c r="A864" s="7">
        <v>4.1471755739124266E-3</v>
      </c>
      <c r="B864"/>
      <c r="C864"/>
      <c r="D864"/>
      <c r="E864"/>
      <c r="F864" s="26" t="s">
        <v>7</v>
      </c>
      <c r="WY864" s="26" t="s">
        <v>8</v>
      </c>
      <c r="WZ864" s="26" t="s">
        <v>7</v>
      </c>
      <c r="XO864" s="26" t="s">
        <v>8</v>
      </c>
      <c r="ADH864" s="26" t="s">
        <v>7</v>
      </c>
      <c r="ADI864" s="26" t="s">
        <v>8</v>
      </c>
      <c r="AED864" s="26" t="s">
        <v>7</v>
      </c>
      <c r="AEE864" s="26" t="s">
        <v>8</v>
      </c>
      <c r="AEF864" s="26" t="s">
        <v>7</v>
      </c>
      <c r="AEG864" s="26" t="s">
        <v>8</v>
      </c>
    </row>
    <row r="865" spans="1:812" x14ac:dyDescent="0.25">
      <c r="A865" s="7">
        <v>4.0658584057964966E-3</v>
      </c>
      <c r="B865"/>
      <c r="C865"/>
      <c r="D865"/>
      <c r="E865"/>
      <c r="F865" s="26" t="s">
        <v>7</v>
      </c>
      <c r="WY865" s="26" t="s">
        <v>8</v>
      </c>
      <c r="WZ865" s="26" t="s">
        <v>7</v>
      </c>
      <c r="XO865" s="26" t="s">
        <v>8</v>
      </c>
      <c r="ADH865" s="26" t="s">
        <v>7</v>
      </c>
      <c r="ADI865" s="26" t="s">
        <v>8</v>
      </c>
      <c r="AED865" s="26" t="s">
        <v>7</v>
      </c>
      <c r="AEE865" s="26" t="s">
        <v>8</v>
      </c>
      <c r="AEF865" s="26" t="s">
        <v>7</v>
      </c>
    </row>
    <row r="866" spans="1:812" x14ac:dyDescent="0.25">
      <c r="A866" s="7">
        <v>3.9861356919573491E-3</v>
      </c>
      <c r="B866"/>
      <c r="C866"/>
      <c r="D866"/>
      <c r="E866"/>
      <c r="F866" s="26" t="s">
        <v>7</v>
      </c>
      <c r="WY866" s="26" t="s">
        <v>8</v>
      </c>
      <c r="WZ866" s="26" t="s">
        <v>7</v>
      </c>
      <c r="XO866" s="26" t="s">
        <v>8</v>
      </c>
      <c r="ADH866" s="26" t="s">
        <v>7</v>
      </c>
      <c r="ADI866" s="26" t="s">
        <v>8</v>
      </c>
      <c r="AED866" s="26" t="s">
        <v>7</v>
      </c>
      <c r="AEE866" s="26" t="s">
        <v>8</v>
      </c>
    </row>
    <row r="867" spans="1:812" x14ac:dyDescent="0.25">
      <c r="A867" s="7">
        <v>3.9079761685856364E-3</v>
      </c>
      <c r="B867"/>
      <c r="C867"/>
      <c r="D867"/>
      <c r="E867"/>
      <c r="F867" s="26" t="s">
        <v>7</v>
      </c>
      <c r="WY867" s="26" t="s">
        <v>8</v>
      </c>
      <c r="WZ867" s="26" t="s">
        <v>7</v>
      </c>
      <c r="XO867" s="26" t="s">
        <v>8</v>
      </c>
      <c r="ADH867" s="26" t="s">
        <v>7</v>
      </c>
      <c r="ADI867" s="26" t="s">
        <v>8</v>
      </c>
      <c r="AED867" s="26" t="s">
        <v>7</v>
      </c>
    </row>
    <row r="868" spans="1:812" x14ac:dyDescent="0.25">
      <c r="A868" s="7">
        <v>3.8313491848878793E-3</v>
      </c>
      <c r="B868"/>
      <c r="C868"/>
      <c r="D868"/>
      <c r="E868"/>
      <c r="F868" s="26" t="s">
        <v>7</v>
      </c>
      <c r="WY868" s="26" t="s">
        <v>8</v>
      </c>
      <c r="WZ868" s="26" t="s">
        <v>7</v>
      </c>
      <c r="XO868" s="26" t="s">
        <v>8</v>
      </c>
      <c r="ADH868" s="26" t="s">
        <v>7</v>
      </c>
      <c r="ADI868" s="26" t="s">
        <v>8</v>
      </c>
    </row>
    <row r="869" spans="1:812" x14ac:dyDescent="0.25">
      <c r="A869" s="7">
        <v>3.7562246910665485E-3</v>
      </c>
      <c r="B869"/>
      <c r="C869"/>
      <c r="D869"/>
      <c r="E869"/>
      <c r="F869" s="26" t="s">
        <v>7</v>
      </c>
      <c r="WY869" s="26" t="s">
        <v>8</v>
      </c>
      <c r="WZ869" s="26" t="s">
        <v>7</v>
      </c>
      <c r="XO869" s="26" t="s">
        <v>8</v>
      </c>
      <c r="ADH869" s="26" t="s">
        <v>7</v>
      </c>
      <c r="ADI869" s="26" t="s">
        <v>8</v>
      </c>
    </row>
    <row r="870" spans="1:812" x14ac:dyDescent="0.25">
      <c r="A870" s="7">
        <v>3.6825732265358315E-3</v>
      </c>
      <c r="B870"/>
      <c r="C870"/>
      <c r="D870"/>
      <c r="E870"/>
      <c r="F870" s="26" t="s">
        <v>7</v>
      </c>
      <c r="WY870" s="26" t="s">
        <v>8</v>
      </c>
      <c r="WZ870" s="26" t="s">
        <v>7</v>
      </c>
      <c r="XO870" s="26" t="s">
        <v>8</v>
      </c>
      <c r="ADH870" s="26" t="s">
        <v>7</v>
      </c>
      <c r="ADI870" s="26" t="s">
        <v>8</v>
      </c>
    </row>
    <row r="871" spans="1:812" x14ac:dyDescent="0.25">
      <c r="A871" s="7">
        <v>3.6103659083684624E-3</v>
      </c>
      <c r="B871"/>
      <c r="C871"/>
      <c r="D871"/>
      <c r="E871"/>
      <c r="F871" s="26" t="s">
        <v>7</v>
      </c>
      <c r="WY871" s="26" t="s">
        <v>8</v>
      </c>
      <c r="WZ871" s="26" t="s">
        <v>7</v>
      </c>
      <c r="XA871" s="26" t="s">
        <v>8</v>
      </c>
      <c r="XO871" s="26" t="s">
        <v>8</v>
      </c>
      <c r="ADH871" s="26" t="s">
        <v>7</v>
      </c>
      <c r="ADI871" s="26" t="s">
        <v>8</v>
      </c>
    </row>
    <row r="872" spans="1:812" x14ac:dyDescent="0.25">
      <c r="A872" s="7">
        <v>3.539574419969081E-3</v>
      </c>
      <c r="B872"/>
      <c r="C872"/>
      <c r="D872"/>
      <c r="E872"/>
      <c r="F872" s="26" t="s">
        <v>7</v>
      </c>
      <c r="WY872" s="26" t="s">
        <v>8</v>
      </c>
      <c r="WZ872" s="26" t="s">
        <v>7</v>
      </c>
      <c r="XA872" s="26" t="s">
        <v>8</v>
      </c>
      <c r="XB872" s="26" t="s">
        <v>7</v>
      </c>
      <c r="XO872" s="26" t="s">
        <v>8</v>
      </c>
      <c r="ADH872" s="26" t="s">
        <v>7</v>
      </c>
      <c r="ADI872" s="26" t="s">
        <v>8</v>
      </c>
    </row>
    <row r="873" spans="1:812" x14ac:dyDescent="0.25">
      <c r="A873" s="7">
        <v>3.4701709999696872E-3</v>
      </c>
      <c r="B873"/>
      <c r="C873"/>
      <c r="D873"/>
      <c r="E873"/>
      <c r="F873" s="26" t="s">
        <v>7</v>
      </c>
      <c r="WY873" s="26" t="s">
        <v>8</v>
      </c>
      <c r="WZ873" s="26" t="s">
        <v>7</v>
      </c>
      <c r="XA873" s="26" t="s">
        <v>8</v>
      </c>
      <c r="XB873" s="26" t="s">
        <v>7</v>
      </c>
      <c r="XG873" s="26" t="s">
        <v>8</v>
      </c>
      <c r="XK873" s="26" t="s">
        <v>8</v>
      </c>
      <c r="XO873" s="26" t="s">
        <v>8</v>
      </c>
      <c r="ADH873" s="26" t="s">
        <v>7</v>
      </c>
      <c r="ADI873" s="26" t="s">
        <v>8</v>
      </c>
    </row>
    <row r="874" spans="1:812" x14ac:dyDescent="0.25">
      <c r="A874" s="7">
        <v>3.4021284313428307E-3</v>
      </c>
      <c r="B874"/>
      <c r="C874"/>
      <c r="D874"/>
      <c r="E874"/>
      <c r="F874" s="26" t="s">
        <v>7</v>
      </c>
      <c r="WY874" s="26" t="s">
        <v>8</v>
      </c>
      <c r="WZ874" s="26" t="s">
        <v>7</v>
      </c>
      <c r="XA874" s="26" t="s">
        <v>8</v>
      </c>
      <c r="XB874" s="26" t="s">
        <v>7</v>
      </c>
      <c r="XG874" s="26" t="s">
        <v>8</v>
      </c>
      <c r="XH874" s="26" t="s">
        <v>7</v>
      </c>
      <c r="XK874" s="26" t="s">
        <v>8</v>
      </c>
      <c r="XL874" s="26" t="s">
        <v>7</v>
      </c>
      <c r="XO874" s="26" t="s">
        <v>8</v>
      </c>
      <c r="ADH874" s="26" t="s">
        <v>7</v>
      </c>
      <c r="ADI874" s="26" t="s">
        <v>8</v>
      </c>
    </row>
    <row r="875" spans="1:812" x14ac:dyDescent="0.25">
      <c r="A875" s="7">
        <v>3.3354200307282654E-3</v>
      </c>
      <c r="B875"/>
      <c r="C875"/>
      <c r="D875"/>
      <c r="E875"/>
      <c r="F875" s="26" t="s">
        <v>7</v>
      </c>
      <c r="WY875" s="26" t="s">
        <v>8</v>
      </c>
      <c r="WZ875" s="26" t="s">
        <v>7</v>
      </c>
      <c r="XA875" s="26" t="s">
        <v>8</v>
      </c>
      <c r="XB875" s="26" t="s">
        <v>7</v>
      </c>
      <c r="XG875" s="26" t="s">
        <v>8</v>
      </c>
      <c r="XH875" s="26" t="s">
        <v>7</v>
      </c>
      <c r="XK875" s="26" t="s">
        <v>8</v>
      </c>
      <c r="XL875" s="26" t="s">
        <v>7</v>
      </c>
      <c r="XO875" s="26" t="s">
        <v>8</v>
      </c>
      <c r="ADH875" s="26" t="s">
        <v>7</v>
      </c>
      <c r="ADI875" s="26" t="s">
        <v>8</v>
      </c>
    </row>
    <row r="876" spans="1:812" x14ac:dyDescent="0.25">
      <c r="A876" s="7">
        <v>3.2700196379688881E-3</v>
      </c>
      <c r="B876"/>
      <c r="C876"/>
      <c r="D876"/>
      <c r="E876"/>
      <c r="F876" s="26" t="s">
        <v>7</v>
      </c>
      <c r="WY876" s="26" t="s">
        <v>8</v>
      </c>
      <c r="WZ876" s="26" t="s">
        <v>7</v>
      </c>
      <c r="XA876" s="26" t="s">
        <v>8</v>
      </c>
      <c r="XB876" s="26" t="s">
        <v>7</v>
      </c>
      <c r="XG876" s="26" t="s">
        <v>8</v>
      </c>
      <c r="XH876" s="26" t="s">
        <v>7</v>
      </c>
      <c r="XI876" s="26" t="s">
        <v>8</v>
      </c>
      <c r="XK876" s="26" t="s">
        <v>8</v>
      </c>
      <c r="XL876" s="26" t="s">
        <v>7</v>
      </c>
      <c r="XM876" s="26" t="s">
        <v>8</v>
      </c>
      <c r="XO876" s="26" t="s">
        <v>8</v>
      </c>
      <c r="ADH876" s="26" t="s">
        <v>7</v>
      </c>
      <c r="ADI876" s="26" t="s">
        <v>8</v>
      </c>
    </row>
    <row r="877" spans="1:812" x14ac:dyDescent="0.25">
      <c r="A877" s="7">
        <v>3.205901605851851E-3</v>
      </c>
      <c r="B877"/>
      <c r="C877"/>
      <c r="D877"/>
      <c r="E877"/>
      <c r="F877" s="26" t="s">
        <v>7</v>
      </c>
      <c r="WY877" s="26" t="s">
        <v>8</v>
      </c>
      <c r="WZ877" s="26" t="s">
        <v>7</v>
      </c>
      <c r="XA877" s="26" t="s">
        <v>8</v>
      </c>
      <c r="XB877" s="26" t="s">
        <v>7</v>
      </c>
      <c r="XG877" s="26" t="s">
        <v>8</v>
      </c>
      <c r="XH877" s="26" t="s">
        <v>7</v>
      </c>
      <c r="XI877" s="26" t="s">
        <v>8</v>
      </c>
      <c r="XJ877" s="26" t="s">
        <v>7</v>
      </c>
      <c r="XK877" s="26" t="s">
        <v>8</v>
      </c>
      <c r="XL877" s="26" t="s">
        <v>7</v>
      </c>
      <c r="XM877" s="26" t="s">
        <v>8</v>
      </c>
      <c r="XN877" s="26" t="s">
        <v>7</v>
      </c>
      <c r="XO877" s="26" t="s">
        <v>8</v>
      </c>
      <c r="ADH877" s="26" t="s">
        <v>7</v>
      </c>
      <c r="ADI877" s="26" t="s">
        <v>8</v>
      </c>
    </row>
    <row r="878" spans="1:812" x14ac:dyDescent="0.25">
      <c r="A878" s="7">
        <v>3.1430407900508344E-3</v>
      </c>
      <c r="B878"/>
      <c r="C878"/>
      <c r="D878"/>
      <c r="E878"/>
      <c r="F878" s="26" t="s">
        <v>7</v>
      </c>
      <c r="WY878" s="26" t="s">
        <v>8</v>
      </c>
      <c r="WZ878" s="26" t="s">
        <v>7</v>
      </c>
      <c r="XA878" s="26" t="s">
        <v>8</v>
      </c>
      <c r="XB878" s="26" t="s">
        <v>7</v>
      </c>
      <c r="XG878" s="26" t="s">
        <v>8</v>
      </c>
      <c r="XH878" s="26" t="s">
        <v>7</v>
      </c>
      <c r="XI878" s="26" t="s">
        <v>8</v>
      </c>
      <c r="XJ878" s="26" t="s">
        <v>7</v>
      </c>
      <c r="XK878" s="26" t="s">
        <v>8</v>
      </c>
      <c r="XL878" s="26" t="s">
        <v>7</v>
      </c>
      <c r="XM878" s="26" t="s">
        <v>8</v>
      </c>
      <c r="XN878" s="26" t="s">
        <v>7</v>
      </c>
      <c r="XO878" s="26" t="s">
        <v>8</v>
      </c>
      <c r="ADH878" s="26" t="s">
        <v>7</v>
      </c>
      <c r="ADI878" s="26" t="s">
        <v>8</v>
      </c>
    </row>
    <row r="879" spans="1:812" x14ac:dyDescent="0.25">
      <c r="A879" s="7">
        <v>3.0814125392655241E-3</v>
      </c>
      <c r="B879"/>
      <c r="C879"/>
      <c r="D879"/>
      <c r="E879"/>
      <c r="F879" s="26" t="s">
        <v>7</v>
      </c>
      <c r="WY879" s="26" t="s">
        <v>8</v>
      </c>
      <c r="WZ879" s="26" t="s">
        <v>7</v>
      </c>
      <c r="XA879" s="26" t="s">
        <v>8</v>
      </c>
      <c r="XB879" s="26" t="s">
        <v>7</v>
      </c>
      <c r="XG879" s="26" t="s">
        <v>8</v>
      </c>
      <c r="XH879" s="26" t="s">
        <v>7</v>
      </c>
      <c r="XI879" s="26" t="s">
        <v>8</v>
      </c>
      <c r="XJ879" s="26" t="s">
        <v>7</v>
      </c>
      <c r="XK879" s="26" t="s">
        <v>8</v>
      </c>
      <c r="XL879" s="26" t="s">
        <v>7</v>
      </c>
      <c r="XM879" s="26" t="s">
        <v>8</v>
      </c>
      <c r="XN879" s="26" t="s">
        <v>7</v>
      </c>
      <c r="XO879" s="26" t="s">
        <v>8</v>
      </c>
      <c r="ADH879" s="26" t="s">
        <v>7</v>
      </c>
      <c r="ADI879" s="26" t="s">
        <v>8</v>
      </c>
    </row>
    <row r="880" spans="1:812" x14ac:dyDescent="0.25">
      <c r="A880" s="7">
        <v>3.0209926855544354E-3</v>
      </c>
      <c r="B880"/>
      <c r="C880"/>
      <c r="D880"/>
      <c r="E880"/>
      <c r="F880" s="26" t="s">
        <v>7</v>
      </c>
      <c r="WY880" s="26" t="s">
        <v>8</v>
      </c>
      <c r="WZ880" s="26" t="s">
        <v>7</v>
      </c>
      <c r="XA880" s="26" t="s">
        <v>8</v>
      </c>
      <c r="XB880" s="26" t="s">
        <v>7</v>
      </c>
      <c r="XG880" s="26" t="s">
        <v>8</v>
      </c>
      <c r="XH880" s="26" t="s">
        <v>7</v>
      </c>
      <c r="XI880" s="26" t="s">
        <v>8</v>
      </c>
      <c r="XJ880" s="26" t="s">
        <v>7</v>
      </c>
      <c r="XK880" s="26" t="s">
        <v>8</v>
      </c>
      <c r="XL880" s="26" t="s">
        <v>7</v>
      </c>
      <c r="XN880" s="26" t="s">
        <v>7</v>
      </c>
      <c r="XO880" s="26" t="s">
        <v>8</v>
      </c>
      <c r="ADH880" s="26" t="s">
        <v>7</v>
      </c>
      <c r="ADI880" s="26" t="s">
        <v>8</v>
      </c>
    </row>
    <row r="881" spans="1:789" x14ac:dyDescent="0.25">
      <c r="A881" s="7">
        <v>2.9617575348572897E-3</v>
      </c>
      <c r="B881"/>
      <c r="C881"/>
      <c r="D881"/>
      <c r="E881"/>
      <c r="F881" s="26" t="s">
        <v>7</v>
      </c>
      <c r="WY881" s="26" t="s">
        <v>8</v>
      </c>
      <c r="WZ881" s="26" t="s">
        <v>7</v>
      </c>
      <c r="XA881" s="26" t="s">
        <v>8</v>
      </c>
      <c r="XB881" s="26" t="s">
        <v>7</v>
      </c>
      <c r="XC881" s="26" t="s">
        <v>8</v>
      </c>
      <c r="XG881" s="26" t="s">
        <v>8</v>
      </c>
      <c r="XH881" s="26" t="s">
        <v>7</v>
      </c>
      <c r="XI881" s="26" t="s">
        <v>8</v>
      </c>
      <c r="XJ881" s="26" t="s">
        <v>7</v>
      </c>
      <c r="XN881" s="26" t="s">
        <v>7</v>
      </c>
      <c r="XO881" s="26" t="s">
        <v>8</v>
      </c>
      <c r="ADH881" s="26" t="s">
        <v>7</v>
      </c>
      <c r="ADI881" s="26" t="s">
        <v>8</v>
      </c>
    </row>
    <row r="882" spans="1:789" x14ac:dyDescent="0.25">
      <c r="A882" s="7">
        <v>2.9036838577032251E-3</v>
      </c>
      <c r="B882"/>
      <c r="C882"/>
      <c r="D882"/>
      <c r="E882"/>
      <c r="F882" s="26" t="s">
        <v>7</v>
      </c>
      <c r="WY882" s="26" t="s">
        <v>8</v>
      </c>
      <c r="WZ882" s="26" t="s">
        <v>7</v>
      </c>
      <c r="XA882" s="26" t="s">
        <v>8</v>
      </c>
      <c r="XB882" s="26" t="s">
        <v>7</v>
      </c>
      <c r="XC882" s="26" t="s">
        <v>8</v>
      </c>
      <c r="XD882" s="26" t="s">
        <v>7</v>
      </c>
      <c r="XE882" s="26" t="s">
        <v>8</v>
      </c>
      <c r="XG882" s="26" t="s">
        <v>8</v>
      </c>
      <c r="XH882" s="26" t="s">
        <v>7</v>
      </c>
      <c r="XN882" s="26" t="s">
        <v>7</v>
      </c>
      <c r="XO882" s="26" t="s">
        <v>8</v>
      </c>
      <c r="ADH882" s="26" t="s">
        <v>7</v>
      </c>
      <c r="ADI882" s="26" t="s">
        <v>8</v>
      </c>
    </row>
    <row r="883" spans="1:789" x14ac:dyDescent="0.25">
      <c r="A883" s="7">
        <v>2.8467488801012012E-3</v>
      </c>
      <c r="B883"/>
      <c r="C883"/>
      <c r="D883"/>
      <c r="E883"/>
      <c r="F883" s="26" t="s">
        <v>7</v>
      </c>
      <c r="WY883" s="26" t="s">
        <v>8</v>
      </c>
      <c r="WZ883" s="26" t="s">
        <v>7</v>
      </c>
      <c r="XA883" s="26" t="s">
        <v>8</v>
      </c>
      <c r="XB883" s="26" t="s">
        <v>7</v>
      </c>
      <c r="XC883" s="26" t="s">
        <v>8</v>
      </c>
      <c r="XD883" s="26" t="s">
        <v>7</v>
      </c>
      <c r="XE883" s="26" t="s">
        <v>8</v>
      </c>
      <c r="XF883" s="26" t="s">
        <v>7</v>
      </c>
      <c r="XG883" s="26" t="s">
        <v>8</v>
      </c>
      <c r="XN883" s="26" t="s">
        <v>7</v>
      </c>
      <c r="XO883" s="26" t="s">
        <v>8</v>
      </c>
      <c r="ADH883" s="26" t="s">
        <v>7</v>
      </c>
      <c r="ADI883" s="26" t="s">
        <v>8</v>
      </c>
    </row>
    <row r="884" spans="1:789" x14ac:dyDescent="0.25">
      <c r="A884" s="7">
        <v>2.7909302746090209E-3</v>
      </c>
      <c r="B884"/>
      <c r="C884"/>
      <c r="D884"/>
      <c r="E884"/>
      <c r="F884" s="26" t="s">
        <v>7</v>
      </c>
      <c r="WY884" s="26" t="s">
        <v>8</v>
      </c>
      <c r="WZ884" s="26" t="s">
        <v>7</v>
      </c>
      <c r="XA884" s="26" t="s">
        <v>8</v>
      </c>
      <c r="XB884" s="26" t="s">
        <v>7</v>
      </c>
      <c r="XC884" s="26" t="s">
        <v>8</v>
      </c>
      <c r="XD884" s="26" t="s">
        <v>7</v>
      </c>
      <c r="XE884" s="26" t="s">
        <v>8</v>
      </c>
      <c r="XF884" s="26" t="s">
        <v>7</v>
      </c>
      <c r="XG884" s="26" t="s">
        <v>8</v>
      </c>
      <c r="XN884" s="26" t="s">
        <v>7</v>
      </c>
      <c r="ADH884" s="26" t="s">
        <v>7</v>
      </c>
      <c r="ADI884" s="26" t="s">
        <v>8</v>
      </c>
    </row>
    <row r="885" spans="1:789" x14ac:dyDescent="0.25">
      <c r="A885" s="7">
        <v>2.7362061515774716E-3</v>
      </c>
      <c r="B885"/>
      <c r="C885"/>
      <c r="D885"/>
      <c r="E885"/>
      <c r="F885" s="26" t="s">
        <v>7</v>
      </c>
      <c r="WY885" s="26" t="s">
        <v>8</v>
      </c>
      <c r="WZ885" s="26" t="s">
        <v>7</v>
      </c>
      <c r="XA885" s="26" t="s">
        <v>8</v>
      </c>
      <c r="XB885" s="26" t="s">
        <v>7</v>
      </c>
      <c r="XC885" s="26" t="s">
        <v>8</v>
      </c>
      <c r="XD885" s="26" t="s">
        <v>7</v>
      </c>
      <c r="XE885" s="26" t="s">
        <v>8</v>
      </c>
      <c r="XF885" s="26" t="s">
        <v>7</v>
      </c>
      <c r="XG885" s="26" t="s">
        <v>8</v>
      </c>
      <c r="ADH885" s="26" t="s">
        <v>7</v>
      </c>
      <c r="ADI885" s="26" t="s">
        <v>8</v>
      </c>
    </row>
    <row r="886" spans="1:789" x14ac:dyDescent="0.25">
      <c r="A886" s="7">
        <v>2.6825550505661486E-3</v>
      </c>
      <c r="B886"/>
      <c r="C886"/>
      <c r="D886"/>
      <c r="E886"/>
      <c r="F886" s="26" t="s">
        <v>7</v>
      </c>
      <c r="WY886" s="26" t="s">
        <v>8</v>
      </c>
      <c r="WZ886" s="26" t="s">
        <v>7</v>
      </c>
      <c r="XA886" s="26" t="s">
        <v>8</v>
      </c>
      <c r="XB886" s="26" t="s">
        <v>7</v>
      </c>
      <c r="XC886" s="26" t="s">
        <v>8</v>
      </c>
      <c r="XD886" s="26" t="s">
        <v>7</v>
      </c>
      <c r="XE886" s="26" t="s">
        <v>8</v>
      </c>
      <c r="XF886" s="26" t="s">
        <v>7</v>
      </c>
      <c r="XG886" s="26" t="s">
        <v>8</v>
      </c>
      <c r="ADH886" s="26" t="s">
        <v>7</v>
      </c>
      <c r="ADI886" s="26" t="s">
        <v>8</v>
      </c>
    </row>
    <row r="887" spans="1:789" x14ac:dyDescent="0.25">
      <c r="A887" s="7">
        <v>2.6299559319275965E-3</v>
      </c>
      <c r="B887"/>
      <c r="C887"/>
      <c r="D887"/>
      <c r="E887"/>
      <c r="F887" s="26" t="s">
        <v>7</v>
      </c>
      <c r="WY887" s="26" t="s">
        <v>8</v>
      </c>
      <c r="WZ887" s="26" t="s">
        <v>7</v>
      </c>
      <c r="XA887" s="26" t="s">
        <v>8</v>
      </c>
      <c r="XB887" s="26" t="s">
        <v>7</v>
      </c>
      <c r="XC887" s="26" t="s">
        <v>8</v>
      </c>
      <c r="XD887" s="26" t="s">
        <v>7</v>
      </c>
      <c r="XE887" s="26" t="s">
        <v>8</v>
      </c>
      <c r="XF887" s="26" t="s">
        <v>7</v>
      </c>
      <c r="XG887" s="26" t="s">
        <v>8</v>
      </c>
      <c r="ADH887" s="26" t="s">
        <v>7</v>
      </c>
      <c r="ADI887" s="26" t="s">
        <v>8</v>
      </c>
    </row>
    <row r="888" spans="1:789" x14ac:dyDescent="0.25">
      <c r="A888" s="7">
        <v>2.578388168556467E-3</v>
      </c>
      <c r="B888"/>
      <c r="C888"/>
      <c r="D888"/>
      <c r="E888"/>
      <c r="F888" s="26" t="s">
        <v>7</v>
      </c>
      <c r="AS888" s="26" t="s">
        <v>8</v>
      </c>
      <c r="WY888" s="26" t="s">
        <v>8</v>
      </c>
      <c r="WZ888" s="26" t="s">
        <v>7</v>
      </c>
      <c r="XA888" s="26" t="s">
        <v>8</v>
      </c>
      <c r="XB888" s="26" t="s">
        <v>7</v>
      </c>
      <c r="XC888" s="26" t="s">
        <v>8</v>
      </c>
      <c r="XD888" s="26" t="s">
        <v>7</v>
      </c>
      <c r="XE888" s="26" t="s">
        <v>8</v>
      </c>
      <c r="XF888" s="26" t="s">
        <v>7</v>
      </c>
      <c r="XG888" s="26" t="s">
        <v>8</v>
      </c>
      <c r="ADH888" s="26" t="s">
        <v>7</v>
      </c>
      <c r="ADI888" s="26" t="s">
        <v>8</v>
      </c>
    </row>
    <row r="889" spans="1:789" x14ac:dyDescent="0.25">
      <c r="A889" s="7">
        <v>2.5278315378004577E-3</v>
      </c>
      <c r="B889"/>
      <c r="C889"/>
      <c r="D889"/>
      <c r="E889"/>
      <c r="F889" s="26" t="s">
        <v>7</v>
      </c>
      <c r="AS889" s="26" t="s">
        <v>8</v>
      </c>
      <c r="AT889" s="26" t="s">
        <v>7</v>
      </c>
      <c r="WY889" s="26" t="s">
        <v>8</v>
      </c>
      <c r="WZ889" s="26" t="s">
        <v>7</v>
      </c>
      <c r="XA889" s="26" t="s">
        <v>8</v>
      </c>
      <c r="XB889" s="26" t="s">
        <v>7</v>
      </c>
      <c r="XC889" s="26" t="s">
        <v>8</v>
      </c>
      <c r="XD889" s="26" t="s">
        <v>7</v>
      </c>
      <c r="XF889" s="26" t="s">
        <v>7</v>
      </c>
      <c r="XG889" s="26" t="s">
        <v>8</v>
      </c>
      <c r="ADH889" s="26" t="s">
        <v>7</v>
      </c>
    </row>
    <row r="890" spans="1:789" x14ac:dyDescent="0.25">
      <c r="A890" s="7">
        <v>2.4782662135298603E-3</v>
      </c>
      <c r="B890"/>
      <c r="C890"/>
      <c r="D890"/>
      <c r="E890"/>
      <c r="F890" s="26" t="s">
        <v>7</v>
      </c>
      <c r="AS890" s="26" t="s">
        <v>8</v>
      </c>
      <c r="AT890" s="26" t="s">
        <v>7</v>
      </c>
      <c r="WY890" s="26" t="s">
        <v>8</v>
      </c>
      <c r="WZ890" s="26" t="s">
        <v>7</v>
      </c>
      <c r="XA890" s="26" t="s">
        <v>8</v>
      </c>
      <c r="XB890" s="26" t="s">
        <v>7</v>
      </c>
      <c r="XC890" s="26" t="s">
        <v>8</v>
      </c>
      <c r="XF890" s="26" t="s">
        <v>7</v>
      </c>
      <c r="XG890" s="26" t="s">
        <v>8</v>
      </c>
    </row>
    <row r="891" spans="1:789" x14ac:dyDescent="0.25">
      <c r="A891" s="7">
        <v>2.4296727583626083E-3</v>
      </c>
      <c r="B891"/>
      <c r="C891"/>
      <c r="D891"/>
      <c r="E891"/>
      <c r="F891" s="26" t="s">
        <v>7</v>
      </c>
      <c r="AS891" s="26" t="s">
        <v>8</v>
      </c>
      <c r="AT891" s="26" t="s">
        <v>7</v>
      </c>
      <c r="WY891" s="26" t="s">
        <v>8</v>
      </c>
      <c r="WZ891" s="26" t="s">
        <v>7</v>
      </c>
      <c r="XA891" s="26" t="s">
        <v>8</v>
      </c>
      <c r="XB891" s="26" t="s">
        <v>7</v>
      </c>
      <c r="XC891" s="26" t="s">
        <v>8</v>
      </c>
      <c r="XF891" s="26" t="s">
        <v>7</v>
      </c>
      <c r="XG891" s="26" t="s">
        <v>8</v>
      </c>
    </row>
    <row r="892" spans="1:789" x14ac:dyDescent="0.25">
      <c r="A892" s="7">
        <v>2.3820321160417726E-3</v>
      </c>
      <c r="B892"/>
      <c r="C892"/>
      <c r="D892"/>
      <c r="E892"/>
      <c r="F892" s="26" t="s">
        <v>7</v>
      </c>
      <c r="AS892" s="26" t="s">
        <v>8</v>
      </c>
      <c r="AT892" s="26" t="s">
        <v>7</v>
      </c>
      <c r="WY892" s="26" t="s">
        <v>8</v>
      </c>
      <c r="WZ892" s="26" t="s">
        <v>7</v>
      </c>
      <c r="XA892" s="26" t="s">
        <v>8</v>
      </c>
      <c r="XB892" s="26" t="s">
        <v>7</v>
      </c>
      <c r="XC892" s="26" t="s">
        <v>8</v>
      </c>
      <c r="XF892" s="26" t="s">
        <v>7</v>
      </c>
      <c r="XG892" s="26" t="s">
        <v>8</v>
      </c>
    </row>
    <row r="893" spans="1:789" x14ac:dyDescent="0.25">
      <c r="A893" s="7">
        <v>2.3353256039625224E-3</v>
      </c>
      <c r="B893"/>
      <c r="C893"/>
      <c r="D893"/>
      <c r="E893"/>
      <c r="F893" s="26" t="s">
        <v>7</v>
      </c>
      <c r="AS893" s="26" t="s">
        <v>8</v>
      </c>
      <c r="AT893" s="26" t="s">
        <v>7</v>
      </c>
      <c r="AU893" s="26" t="s">
        <v>8</v>
      </c>
      <c r="WY893" s="26" t="s">
        <v>8</v>
      </c>
      <c r="WZ893" s="26" t="s">
        <v>7</v>
      </c>
      <c r="XA893" s="26" t="s">
        <v>8</v>
      </c>
      <c r="XB893" s="26" t="s">
        <v>7</v>
      </c>
      <c r="XC893" s="26" t="s">
        <v>8</v>
      </c>
      <c r="XF893" s="26" t="s">
        <v>7</v>
      </c>
      <c r="XG893" s="26" t="s">
        <v>8</v>
      </c>
    </row>
    <row r="894" spans="1:789" x14ac:dyDescent="0.25">
      <c r="A894" s="7">
        <v>2.2895349058456101E-3</v>
      </c>
      <c r="B894"/>
      <c r="C894"/>
      <c r="D894"/>
      <c r="E894"/>
      <c r="F894" s="26" t="s">
        <v>7</v>
      </c>
      <c r="AS894" s="26" t="s">
        <v>8</v>
      </c>
      <c r="AT894" s="26" t="s">
        <v>7</v>
      </c>
      <c r="AU894" s="26" t="s">
        <v>8</v>
      </c>
      <c r="AV894" s="26" t="s">
        <v>7</v>
      </c>
      <c r="WY894" s="26" t="s">
        <v>8</v>
      </c>
      <c r="WZ894" s="26" t="s">
        <v>7</v>
      </c>
      <c r="XA894" s="26" t="s">
        <v>8</v>
      </c>
      <c r="XB894" s="26" t="s">
        <v>7</v>
      </c>
      <c r="XC894" s="26" t="s">
        <v>8</v>
      </c>
      <c r="XF894" s="26" t="s">
        <v>7</v>
      </c>
    </row>
    <row r="895" spans="1:789" x14ac:dyDescent="0.25">
      <c r="A895" s="7">
        <v>2.24464206455452E-3</v>
      </c>
      <c r="B895"/>
      <c r="C895"/>
      <c r="D895"/>
      <c r="E895"/>
      <c r="F895" s="26" t="s">
        <v>7</v>
      </c>
      <c r="AO895" s="26" t="s">
        <v>8</v>
      </c>
      <c r="AS895" s="26" t="s">
        <v>8</v>
      </c>
      <c r="AT895" s="26" t="s">
        <v>7</v>
      </c>
      <c r="AU895" s="26" t="s">
        <v>8</v>
      </c>
      <c r="AV895" s="26" t="s">
        <v>7</v>
      </c>
      <c r="WY895" s="26" t="s">
        <v>8</v>
      </c>
      <c r="WZ895" s="26" t="s">
        <v>7</v>
      </c>
      <c r="XA895" s="26" t="s">
        <v>8</v>
      </c>
      <c r="XB895" s="26" t="s">
        <v>7</v>
      </c>
      <c r="XC895" s="26" t="s">
        <v>8</v>
      </c>
    </row>
    <row r="896" spans="1:789" x14ac:dyDescent="0.25">
      <c r="A896" s="7">
        <v>2.200629475053451E-3</v>
      </c>
      <c r="B896"/>
      <c r="C896"/>
      <c r="D896"/>
      <c r="E896"/>
      <c r="F896" s="26" t="s">
        <v>7</v>
      </c>
      <c r="AO896" s="26" t="s">
        <v>8</v>
      </c>
      <c r="AP896" s="26" t="s">
        <v>7</v>
      </c>
      <c r="AS896" s="26" t="s">
        <v>8</v>
      </c>
      <c r="AT896" s="26" t="s">
        <v>7</v>
      </c>
      <c r="AU896" s="26" t="s">
        <v>8</v>
      </c>
      <c r="AV896" s="26" t="s">
        <v>7</v>
      </c>
      <c r="WY896" s="26" t="s">
        <v>8</v>
      </c>
      <c r="WZ896" s="26" t="s">
        <v>7</v>
      </c>
      <c r="XA896" s="26" t="s">
        <v>8</v>
      </c>
      <c r="XB896" s="26" t="s">
        <v>7</v>
      </c>
    </row>
    <row r="897" spans="1:625" x14ac:dyDescent="0.25">
      <c r="A897" s="7">
        <v>2.1574798775033832E-3</v>
      </c>
      <c r="B897"/>
      <c r="C897"/>
      <c r="D897"/>
      <c r="E897"/>
      <c r="F897" s="26" t="s">
        <v>7</v>
      </c>
      <c r="AO897" s="26" t="s">
        <v>8</v>
      </c>
      <c r="AP897" s="26" t="s">
        <v>7</v>
      </c>
      <c r="AQ897" s="26" t="s">
        <v>8</v>
      </c>
      <c r="AS897" s="26" t="s">
        <v>8</v>
      </c>
      <c r="AT897" s="26" t="s">
        <v>7</v>
      </c>
      <c r="AU897" s="26" t="s">
        <v>8</v>
      </c>
      <c r="AV897" s="26" t="s">
        <v>7</v>
      </c>
      <c r="BK897" s="26" t="s">
        <v>8</v>
      </c>
      <c r="WY897" s="26" t="s">
        <v>8</v>
      </c>
      <c r="WZ897" s="26" t="s">
        <v>7</v>
      </c>
      <c r="XA897" s="26" t="s">
        <v>8</v>
      </c>
    </row>
    <row r="898" spans="1:625" x14ac:dyDescent="0.25">
      <c r="A898" s="7">
        <v>2.115176350493513E-3</v>
      </c>
      <c r="B898"/>
      <c r="C898"/>
      <c r="D898"/>
      <c r="E898"/>
      <c r="F898" s="26" t="s">
        <v>7</v>
      </c>
      <c r="AO898" s="26" t="s">
        <v>8</v>
      </c>
      <c r="AP898" s="26" t="s">
        <v>7</v>
      </c>
      <c r="AQ898" s="26" t="s">
        <v>8</v>
      </c>
      <c r="AR898" s="26" t="s">
        <v>7</v>
      </c>
      <c r="AS898" s="26" t="s">
        <v>8</v>
      </c>
      <c r="AT898" s="26" t="s">
        <v>7</v>
      </c>
      <c r="AU898" s="26" t="s">
        <v>8</v>
      </c>
      <c r="AV898" s="26" t="s">
        <v>7</v>
      </c>
      <c r="BK898" s="26" t="s">
        <v>8</v>
      </c>
      <c r="BL898" s="26" t="s">
        <v>7</v>
      </c>
      <c r="WY898" s="26" t="s">
        <v>8</v>
      </c>
      <c r="WZ898" s="26" t="s">
        <v>7</v>
      </c>
    </row>
    <row r="899" spans="1:625" x14ac:dyDescent="0.25">
      <c r="A899" s="7">
        <v>2.0737023044054047E-3</v>
      </c>
      <c r="B899"/>
      <c r="C899"/>
      <c r="D899"/>
      <c r="E899"/>
      <c r="F899" s="26" t="s">
        <v>7</v>
      </c>
      <c r="AO899" s="26" t="s">
        <v>8</v>
      </c>
      <c r="AP899" s="26" t="s">
        <v>7</v>
      </c>
      <c r="AQ899" s="26" t="s">
        <v>8</v>
      </c>
      <c r="AR899" s="26" t="s">
        <v>7</v>
      </c>
      <c r="AS899" s="26" t="s">
        <v>8</v>
      </c>
      <c r="AT899" s="26" t="s">
        <v>7</v>
      </c>
      <c r="AU899" s="26" t="s">
        <v>8</v>
      </c>
      <c r="AV899" s="26" t="s">
        <v>7</v>
      </c>
      <c r="BK899" s="26" t="s">
        <v>8</v>
      </c>
      <c r="BL899" s="26" t="s">
        <v>7</v>
      </c>
      <c r="WY899" s="26" t="s">
        <v>8</v>
      </c>
    </row>
    <row r="900" spans="1:625" x14ac:dyDescent="0.25">
      <c r="A900" s="7">
        <v>2.0330414749072595E-3</v>
      </c>
      <c r="B900"/>
      <c r="C900"/>
      <c r="D900"/>
      <c r="E900"/>
      <c r="F900" s="26" t="s">
        <v>7</v>
      </c>
      <c r="AO900" s="26" t="s">
        <v>8</v>
      </c>
      <c r="AP900" s="26" t="s">
        <v>7</v>
      </c>
      <c r="AQ900" s="26" t="s">
        <v>8</v>
      </c>
      <c r="AR900" s="26" t="s">
        <v>7</v>
      </c>
      <c r="AS900" s="26" t="s">
        <v>8</v>
      </c>
      <c r="AT900" s="26" t="s">
        <v>7</v>
      </c>
      <c r="AU900" s="26" t="s">
        <v>8</v>
      </c>
      <c r="AV900" s="26" t="s">
        <v>7</v>
      </c>
      <c r="BK900" s="26" t="s">
        <v>8</v>
      </c>
      <c r="BL900" s="26" t="s">
        <v>7</v>
      </c>
      <c r="WY900" s="26" t="s">
        <v>8</v>
      </c>
    </row>
    <row r="901" spans="1:625" x14ac:dyDescent="0.25">
      <c r="A901" s="7">
        <v>1.9931779165757446E-3</v>
      </c>
      <c r="B901"/>
      <c r="C901"/>
      <c r="D901"/>
      <c r="E901"/>
      <c r="F901" s="26" t="s">
        <v>7</v>
      </c>
      <c r="AO901" s="26" t="s">
        <v>8</v>
      </c>
      <c r="AP901" s="26" t="s">
        <v>7</v>
      </c>
      <c r="AQ901" s="26" t="s">
        <v>8</v>
      </c>
      <c r="AR901" s="26" t="s">
        <v>7</v>
      </c>
      <c r="AS901" s="26" t="s">
        <v>8</v>
      </c>
      <c r="AT901" s="26" t="s">
        <v>7</v>
      </c>
      <c r="AU901" s="26" t="s">
        <v>8</v>
      </c>
      <c r="AV901" s="26" t="s">
        <v>7</v>
      </c>
      <c r="AW901" s="26" t="s">
        <v>8</v>
      </c>
      <c r="BK901" s="26" t="s">
        <v>8</v>
      </c>
      <c r="BL901" s="26" t="s">
        <v>7</v>
      </c>
      <c r="WY901" s="26" t="s">
        <v>8</v>
      </c>
    </row>
    <row r="902" spans="1:625" x14ac:dyDescent="0.25">
      <c r="A902" s="7">
        <v>1.954095996642887E-3</v>
      </c>
      <c r="B902"/>
      <c r="C902"/>
      <c r="D902"/>
      <c r="E902"/>
      <c r="F902" s="26" t="s">
        <v>7</v>
      </c>
      <c r="AO902" s="26" t="s">
        <v>8</v>
      </c>
      <c r="AP902" s="26" t="s">
        <v>7</v>
      </c>
      <c r="AQ902" s="26" t="s">
        <v>8</v>
      </c>
      <c r="AR902" s="26" t="s">
        <v>7</v>
      </c>
      <c r="AS902" s="26" t="s">
        <v>8</v>
      </c>
      <c r="AT902" s="26" t="s">
        <v>7</v>
      </c>
      <c r="AV902" s="26" t="s">
        <v>7</v>
      </c>
      <c r="AW902" s="26" t="s">
        <v>8</v>
      </c>
      <c r="AX902" s="26" t="s">
        <v>7</v>
      </c>
      <c r="AY902" s="26" t="s">
        <v>8</v>
      </c>
      <c r="BC902" s="26" t="s">
        <v>8</v>
      </c>
      <c r="BK902" s="26" t="s">
        <v>8</v>
      </c>
      <c r="BL902" s="26" t="s">
        <v>7</v>
      </c>
      <c r="WY902" s="26" t="s">
        <v>8</v>
      </c>
    </row>
    <row r="903" spans="1:625" x14ac:dyDescent="0.25">
      <c r="A903" s="7">
        <v>1.9157803888655755E-3</v>
      </c>
      <c r="B903"/>
      <c r="C903"/>
      <c r="D903"/>
      <c r="E903"/>
      <c r="F903" s="26" t="s">
        <v>7</v>
      </c>
      <c r="AO903" s="26" t="s">
        <v>8</v>
      </c>
      <c r="AP903" s="26" t="s">
        <v>7</v>
      </c>
      <c r="AQ903" s="26" t="s">
        <v>8</v>
      </c>
      <c r="AR903" s="26" t="s">
        <v>7</v>
      </c>
      <c r="AS903" s="26" t="s">
        <v>8</v>
      </c>
      <c r="AV903" s="26" t="s">
        <v>7</v>
      </c>
      <c r="AW903" s="26" t="s">
        <v>8</v>
      </c>
      <c r="AX903" s="26" t="s">
        <v>7</v>
      </c>
      <c r="AY903" s="26" t="s">
        <v>8</v>
      </c>
      <c r="AZ903" s="26" t="s">
        <v>7</v>
      </c>
      <c r="BC903" s="26" t="s">
        <v>8</v>
      </c>
      <c r="BD903" s="26" t="s">
        <v>7</v>
      </c>
      <c r="BG903" s="26" t="s">
        <v>8</v>
      </c>
      <c r="BI903" s="26" t="s">
        <v>8</v>
      </c>
      <c r="BK903" s="26" t="s">
        <v>8</v>
      </c>
      <c r="BL903" s="26" t="s">
        <v>7</v>
      </c>
      <c r="WY903" s="26" t="s">
        <v>8</v>
      </c>
    </row>
    <row r="904" spans="1:625" x14ac:dyDescent="0.25">
      <c r="A904" s="7">
        <v>1.8782160675152703E-3</v>
      </c>
      <c r="B904"/>
      <c r="C904"/>
      <c r="D904"/>
      <c r="E904"/>
      <c r="F904" s="26" t="s">
        <v>7</v>
      </c>
      <c r="AO904" s="26" t="s">
        <v>8</v>
      </c>
      <c r="AP904" s="26" t="s">
        <v>7</v>
      </c>
      <c r="AQ904" s="26" t="s">
        <v>8</v>
      </c>
      <c r="AR904" s="26" t="s">
        <v>7</v>
      </c>
      <c r="AS904" s="26" t="s">
        <v>8</v>
      </c>
      <c r="AV904" s="26" t="s">
        <v>7</v>
      </c>
      <c r="AW904" s="26" t="s">
        <v>8</v>
      </c>
      <c r="AX904" s="26" t="s">
        <v>7</v>
      </c>
      <c r="AY904" s="26" t="s">
        <v>8</v>
      </c>
      <c r="AZ904" s="26" t="s">
        <v>7</v>
      </c>
      <c r="BA904" s="26" t="s">
        <v>8</v>
      </c>
      <c r="BC904" s="26" t="s">
        <v>8</v>
      </c>
      <c r="BD904" s="26" t="s">
        <v>7</v>
      </c>
      <c r="BG904" s="26" t="s">
        <v>8</v>
      </c>
      <c r="BH904" s="26" t="s">
        <v>7</v>
      </c>
      <c r="BI904" s="26" t="s">
        <v>8</v>
      </c>
      <c r="BJ904" s="26" t="s">
        <v>7</v>
      </c>
      <c r="BK904" s="26" t="s">
        <v>8</v>
      </c>
      <c r="BL904" s="26" t="s">
        <v>7</v>
      </c>
      <c r="WY904" s="26" t="s">
        <v>8</v>
      </c>
    </row>
    <row r="905" spans="1:625" x14ac:dyDescent="0.25">
      <c r="A905" s="7">
        <v>1.8413883014855592E-3</v>
      </c>
      <c r="B905"/>
      <c r="C905"/>
      <c r="D905"/>
      <c r="E905"/>
      <c r="F905" s="26" t="s">
        <v>7</v>
      </c>
      <c r="AO905" s="26" t="s">
        <v>8</v>
      </c>
      <c r="AP905" s="26" t="s">
        <v>7</v>
      </c>
      <c r="AQ905" s="26" t="s">
        <v>8</v>
      </c>
      <c r="AR905" s="26" t="s">
        <v>7</v>
      </c>
      <c r="AV905" s="26" t="s">
        <v>7</v>
      </c>
      <c r="AW905" s="26" t="s">
        <v>8</v>
      </c>
      <c r="AX905" s="26" t="s">
        <v>7</v>
      </c>
      <c r="AY905" s="26" t="s">
        <v>8</v>
      </c>
      <c r="AZ905" s="26" t="s">
        <v>7</v>
      </c>
      <c r="BA905" s="26" t="s">
        <v>8</v>
      </c>
      <c r="BB905" s="26" t="s">
        <v>7</v>
      </c>
      <c r="BC905" s="26" t="s">
        <v>8</v>
      </c>
      <c r="BD905" s="26" t="s">
        <v>7</v>
      </c>
      <c r="BG905" s="26" t="s">
        <v>8</v>
      </c>
      <c r="BH905" s="26" t="s">
        <v>7</v>
      </c>
      <c r="BI905" s="26" t="s">
        <v>8</v>
      </c>
      <c r="BJ905" s="26" t="s">
        <v>7</v>
      </c>
      <c r="BK905" s="26" t="s">
        <v>8</v>
      </c>
      <c r="BL905" s="26" t="s">
        <v>7</v>
      </c>
      <c r="WY905" s="26" t="s">
        <v>8</v>
      </c>
    </row>
    <row r="906" spans="1:625" x14ac:dyDescent="0.25">
      <c r="A906" s="7">
        <v>1.8052826485152542E-3</v>
      </c>
      <c r="B906"/>
      <c r="C906"/>
      <c r="D906"/>
      <c r="E906"/>
      <c r="F906" s="26" t="s">
        <v>7</v>
      </c>
      <c r="AO906" s="26" t="s">
        <v>8</v>
      </c>
      <c r="AP906" s="26" t="s">
        <v>7</v>
      </c>
      <c r="AQ906" s="26" t="s">
        <v>8</v>
      </c>
      <c r="AV906" s="26" t="s">
        <v>7</v>
      </c>
      <c r="AW906" s="26" t="s">
        <v>8</v>
      </c>
      <c r="AX906" s="26" t="s">
        <v>7</v>
      </c>
      <c r="AZ906" s="26" t="s">
        <v>7</v>
      </c>
      <c r="BA906" s="26" t="s">
        <v>8</v>
      </c>
      <c r="BB906" s="26" t="s">
        <v>7</v>
      </c>
      <c r="BC906" s="26" t="s">
        <v>8</v>
      </c>
      <c r="BD906" s="26" t="s">
        <v>7</v>
      </c>
      <c r="BE906" s="26" t="s">
        <v>8</v>
      </c>
      <c r="BG906" s="26" t="s">
        <v>8</v>
      </c>
      <c r="BH906" s="26" t="s">
        <v>7</v>
      </c>
      <c r="BI906" s="26" t="s">
        <v>8</v>
      </c>
      <c r="BJ906" s="26" t="s">
        <v>7</v>
      </c>
      <c r="BK906" s="26" t="s">
        <v>8</v>
      </c>
      <c r="BL906" s="26" t="s">
        <v>7</v>
      </c>
      <c r="BM906" s="26" t="s">
        <v>8</v>
      </c>
      <c r="WY906" s="26" t="s">
        <v>8</v>
      </c>
    </row>
    <row r="907" spans="1:625" x14ac:dyDescent="0.25">
      <c r="A907" s="7">
        <v>1.7698849495247592E-3</v>
      </c>
      <c r="B907"/>
      <c r="C907"/>
      <c r="D907"/>
      <c r="E907"/>
      <c r="F907" s="26" t="s">
        <v>7</v>
      </c>
      <c r="AO907" s="26" t="s">
        <v>8</v>
      </c>
      <c r="AP907" s="26" t="s">
        <v>7</v>
      </c>
      <c r="AQ907" s="26" t="s">
        <v>8</v>
      </c>
      <c r="AV907" s="26" t="s">
        <v>7</v>
      </c>
      <c r="AZ907" s="26" t="s">
        <v>7</v>
      </c>
      <c r="BA907" s="26" t="s">
        <v>8</v>
      </c>
      <c r="BB907" s="26" t="s">
        <v>7</v>
      </c>
      <c r="BC907" s="26" t="s">
        <v>8</v>
      </c>
      <c r="BD907" s="26" t="s">
        <v>7</v>
      </c>
      <c r="BE907" s="26" t="s">
        <v>8</v>
      </c>
      <c r="BF907" s="26" t="s">
        <v>7</v>
      </c>
      <c r="BG907" s="26" t="s">
        <v>8</v>
      </c>
      <c r="BH907" s="26" t="s">
        <v>7</v>
      </c>
      <c r="BJ907" s="26" t="s">
        <v>7</v>
      </c>
      <c r="BK907" s="26" t="s">
        <v>8</v>
      </c>
      <c r="BL907" s="26" t="s">
        <v>7</v>
      </c>
      <c r="BM907" s="26" t="s">
        <v>8</v>
      </c>
      <c r="BN907" s="26" t="s">
        <v>7</v>
      </c>
      <c r="WY907" s="26" t="s">
        <v>8</v>
      </c>
    </row>
    <row r="908" spans="1:625" x14ac:dyDescent="0.25">
      <c r="A908" s="7">
        <v>1.7351813230634893E-3</v>
      </c>
      <c r="B908"/>
      <c r="C908"/>
      <c r="D908"/>
      <c r="E908"/>
      <c r="F908" s="26" t="s">
        <v>7</v>
      </c>
      <c r="AO908" s="26" t="s">
        <v>8</v>
      </c>
      <c r="AP908" s="26" t="s">
        <v>7</v>
      </c>
      <c r="AQ908" s="26" t="s">
        <v>8</v>
      </c>
      <c r="AZ908" s="26" t="s">
        <v>7</v>
      </c>
      <c r="BA908" s="26" t="s">
        <v>8</v>
      </c>
      <c r="BB908" s="26" t="s">
        <v>7</v>
      </c>
      <c r="BD908" s="26" t="s">
        <v>7</v>
      </c>
      <c r="BE908" s="26" t="s">
        <v>8</v>
      </c>
      <c r="BF908" s="26" t="s">
        <v>7</v>
      </c>
      <c r="BG908" s="26" t="s">
        <v>8</v>
      </c>
      <c r="BJ908" s="26" t="s">
        <v>7</v>
      </c>
      <c r="BK908" s="26" t="s">
        <v>8</v>
      </c>
      <c r="BL908" s="26" t="s">
        <v>7</v>
      </c>
      <c r="BM908" s="26" t="s">
        <v>8</v>
      </c>
      <c r="BN908" s="26" t="s">
        <v>7</v>
      </c>
      <c r="BO908" s="26" t="s">
        <v>8</v>
      </c>
      <c r="WY908" s="26" t="s">
        <v>8</v>
      </c>
    </row>
    <row r="909" spans="1:625" x14ac:dyDescent="0.25">
      <c r="A909" s="7">
        <v>1.701158159866166E-3</v>
      </c>
      <c r="B909"/>
      <c r="C909"/>
      <c r="D909"/>
      <c r="E909"/>
      <c r="F909" s="26" t="s">
        <v>7</v>
      </c>
      <c r="AO909" s="26" t="s">
        <v>8</v>
      </c>
      <c r="AP909" s="26" t="s">
        <v>7</v>
      </c>
      <c r="AZ909" s="26" t="s">
        <v>7</v>
      </c>
      <c r="BD909" s="26" t="s">
        <v>7</v>
      </c>
      <c r="BE909" s="26" t="s">
        <v>8</v>
      </c>
      <c r="BF909" s="26" t="s">
        <v>7</v>
      </c>
      <c r="BG909" s="26" t="s">
        <v>8</v>
      </c>
      <c r="BJ909" s="26" t="s">
        <v>7</v>
      </c>
      <c r="BK909" s="26" t="s">
        <v>8</v>
      </c>
      <c r="BL909" s="26" t="s">
        <v>7</v>
      </c>
      <c r="BN909" s="26" t="s">
        <v>7</v>
      </c>
      <c r="BO909" s="26" t="s">
        <v>8</v>
      </c>
      <c r="BP909" s="26" t="s">
        <v>7</v>
      </c>
      <c r="WY909" s="26" t="s">
        <v>8</v>
      </c>
    </row>
    <row r="910" spans="1:625" x14ac:dyDescent="0.25">
      <c r="A910" s="7">
        <v>1.6678021175158492E-3</v>
      </c>
      <c r="B910"/>
      <c r="C910"/>
      <c r="D910"/>
      <c r="E910"/>
      <c r="F910" s="26" t="s">
        <v>7</v>
      </c>
      <c r="AO910" s="26" t="s">
        <v>8</v>
      </c>
      <c r="BD910" s="26" t="s">
        <v>7</v>
      </c>
      <c r="BE910" s="26" t="s">
        <v>8</v>
      </c>
      <c r="BF910" s="26" t="s">
        <v>7</v>
      </c>
      <c r="BG910" s="26" t="s">
        <v>8</v>
      </c>
      <c r="BJ910" s="26" t="s">
        <v>7</v>
      </c>
      <c r="BK910" s="26" t="s">
        <v>8</v>
      </c>
      <c r="BN910" s="26" t="s">
        <v>7</v>
      </c>
      <c r="BO910" s="26" t="s">
        <v>8</v>
      </c>
      <c r="BP910" s="26" t="s">
        <v>7</v>
      </c>
      <c r="WY910" s="26" t="s">
        <v>8</v>
      </c>
    </row>
    <row r="911" spans="1:625" x14ac:dyDescent="0.25">
      <c r="A911" s="7">
        <v>1.6351001152116167E-3</v>
      </c>
      <c r="B911"/>
      <c r="C911"/>
      <c r="D911"/>
      <c r="E911"/>
      <c r="F911" s="26" t="s">
        <v>7</v>
      </c>
      <c r="AM911" s="26" t="s">
        <v>8</v>
      </c>
      <c r="AO911" s="26" t="s">
        <v>8</v>
      </c>
      <c r="BD911" s="26" t="s">
        <v>7</v>
      </c>
      <c r="BF911" s="26" t="s">
        <v>7</v>
      </c>
      <c r="BG911" s="26" t="s">
        <v>8</v>
      </c>
      <c r="BJ911" s="26" t="s">
        <v>7</v>
      </c>
      <c r="BK911" s="26" t="s">
        <v>8</v>
      </c>
      <c r="BN911" s="26" t="s">
        <v>7</v>
      </c>
      <c r="BP911" s="26" t="s">
        <v>7</v>
      </c>
      <c r="WY911" s="26" t="s">
        <v>8</v>
      </c>
    </row>
    <row r="912" spans="1:625" x14ac:dyDescent="0.25">
      <c r="A912" s="7">
        <v>1.60303932863884E-3</v>
      </c>
      <c r="B912"/>
      <c r="C912"/>
      <c r="D912"/>
      <c r="E912"/>
      <c r="F912" s="26" t="s">
        <v>7</v>
      </c>
      <c r="AM912" s="26" t="s">
        <v>8</v>
      </c>
      <c r="AN912" s="26" t="s">
        <v>7</v>
      </c>
      <c r="AO912" s="26" t="s">
        <v>8</v>
      </c>
      <c r="BF912" s="26" t="s">
        <v>7</v>
      </c>
      <c r="BJ912" s="26" t="s">
        <v>7</v>
      </c>
      <c r="BP912" s="26" t="s">
        <v>7</v>
      </c>
      <c r="WY912" s="26" t="s">
        <v>8</v>
      </c>
    </row>
    <row r="913" spans="1:623" x14ac:dyDescent="0.25">
      <c r="A913" s="7">
        <v>1.5716071849400392E-3</v>
      </c>
      <c r="B913"/>
      <c r="C913"/>
      <c r="D913"/>
      <c r="E913"/>
      <c r="F913" s="26" t="s">
        <v>7</v>
      </c>
      <c r="AM913" s="26" t="s">
        <v>8</v>
      </c>
      <c r="AN913" s="26" t="s">
        <v>7</v>
      </c>
      <c r="AO913" s="26" t="s">
        <v>8</v>
      </c>
      <c r="BP913" s="26" t="s">
        <v>7</v>
      </c>
      <c r="WU913" s="26" t="s">
        <v>8</v>
      </c>
      <c r="WW913" s="26" t="s">
        <v>8</v>
      </c>
      <c r="WY913" s="26" t="s">
        <v>8</v>
      </c>
    </row>
    <row r="914" spans="1:623" x14ac:dyDescent="0.25">
      <c r="A914" s="7">
        <v>1.5407913577843522E-3</v>
      </c>
      <c r="B914"/>
      <c r="C914"/>
      <c r="D914"/>
      <c r="E914"/>
      <c r="F914" s="26" t="s">
        <v>7</v>
      </c>
      <c r="AK914" s="26" t="s">
        <v>8</v>
      </c>
      <c r="AM914" s="26" t="s">
        <v>8</v>
      </c>
      <c r="AN914" s="26" t="s">
        <v>7</v>
      </c>
      <c r="AO914" s="26" t="s">
        <v>8</v>
      </c>
      <c r="BP914" s="26" t="s">
        <v>7</v>
      </c>
      <c r="BQ914" s="26" t="s">
        <v>8</v>
      </c>
      <c r="WU914" s="26" t="s">
        <v>8</v>
      </c>
      <c r="WV914" s="26" t="s">
        <v>7</v>
      </c>
      <c r="WW914" s="26" t="s">
        <v>8</v>
      </c>
      <c r="WX914" s="26" t="s">
        <v>7</v>
      </c>
      <c r="WY914" s="26" t="s">
        <v>8</v>
      </c>
    </row>
    <row r="915" spans="1:623" x14ac:dyDescent="0.25">
      <c r="A915" s="7">
        <v>1.5105797625336785E-3</v>
      </c>
      <c r="B915"/>
      <c r="C915"/>
      <c r="D915"/>
      <c r="E915"/>
      <c r="F915" s="26" t="s">
        <v>7</v>
      </c>
      <c r="AA915" s="26" t="s">
        <v>8</v>
      </c>
      <c r="AK915" s="26" t="s">
        <v>8</v>
      </c>
      <c r="AL915" s="26" t="s">
        <v>7</v>
      </c>
      <c r="AM915" s="26" t="s">
        <v>8</v>
      </c>
      <c r="AN915" s="26" t="s">
        <v>7</v>
      </c>
      <c r="AO915" s="26" t="s">
        <v>8</v>
      </c>
      <c r="BP915" s="26" t="s">
        <v>7</v>
      </c>
      <c r="BQ915" s="26" t="s">
        <v>8</v>
      </c>
      <c r="BR915" s="26" t="s">
        <v>7</v>
      </c>
      <c r="WU915" s="26" t="s">
        <v>8</v>
      </c>
      <c r="WV915" s="26" t="s">
        <v>7</v>
      </c>
      <c r="WW915" s="26" t="s">
        <v>8</v>
      </c>
      <c r="WX915" s="26" t="s">
        <v>7</v>
      </c>
      <c r="WY915" s="26" t="s">
        <v>8</v>
      </c>
    </row>
    <row r="916" spans="1:623" x14ac:dyDescent="0.25">
      <c r="A916" s="7">
        <v>1.4809605515036064E-3</v>
      </c>
      <c r="B916"/>
      <c r="C916"/>
      <c r="D916"/>
      <c r="E916"/>
      <c r="F916" s="26" t="s">
        <v>7</v>
      </c>
      <c r="AA916" s="26" t="s">
        <v>8</v>
      </c>
      <c r="AB916" s="26" t="s">
        <v>7</v>
      </c>
      <c r="AC916" s="26" t="s">
        <v>8</v>
      </c>
      <c r="AK916" s="26" t="s">
        <v>8</v>
      </c>
      <c r="AL916" s="26" t="s">
        <v>7</v>
      </c>
      <c r="AM916" s="26" t="s">
        <v>8</v>
      </c>
      <c r="AN916" s="26" t="s">
        <v>7</v>
      </c>
      <c r="BP916" s="26" t="s">
        <v>7</v>
      </c>
      <c r="BQ916" s="26" t="s">
        <v>8</v>
      </c>
      <c r="BR916" s="26" t="s">
        <v>7</v>
      </c>
      <c r="WS916" s="26" t="s">
        <v>8</v>
      </c>
      <c r="WU916" s="26" t="s">
        <v>8</v>
      </c>
      <c r="WV916" s="26" t="s">
        <v>7</v>
      </c>
      <c r="WW916" s="26" t="s">
        <v>8</v>
      </c>
      <c r="WX916" s="26" t="s">
        <v>7</v>
      </c>
      <c r="WY916" s="26" t="s">
        <v>8</v>
      </c>
    </row>
    <row r="917" spans="1:623" x14ac:dyDescent="0.25">
      <c r="A917" s="7">
        <v>1.4519221093172612E-3</v>
      </c>
      <c r="B917"/>
      <c r="C917"/>
      <c r="D917"/>
      <c r="E917"/>
      <c r="F917" s="26" t="s">
        <v>7</v>
      </c>
      <c r="G917" s="26" t="s">
        <v>8</v>
      </c>
      <c r="AA917" s="26" t="s">
        <v>8</v>
      </c>
      <c r="AB917" s="26" t="s">
        <v>7</v>
      </c>
      <c r="AC917" s="26" t="s">
        <v>8</v>
      </c>
      <c r="AD917" s="26" t="s">
        <v>7</v>
      </c>
      <c r="AK917" s="26" t="s">
        <v>8</v>
      </c>
      <c r="AL917" s="26" t="s">
        <v>7</v>
      </c>
      <c r="AM917" s="26" t="s">
        <v>8</v>
      </c>
      <c r="BP917" s="26" t="s">
        <v>7</v>
      </c>
      <c r="BQ917" s="26" t="s">
        <v>8</v>
      </c>
      <c r="BR917" s="26" t="s">
        <v>7</v>
      </c>
      <c r="WS917" s="26" t="s">
        <v>8</v>
      </c>
      <c r="WT917" s="26" t="s">
        <v>7</v>
      </c>
      <c r="WU917" s="26" t="s">
        <v>8</v>
      </c>
      <c r="WV917" s="26" t="s">
        <v>7</v>
      </c>
      <c r="WW917" s="26" t="s">
        <v>8</v>
      </c>
      <c r="WX917" s="26" t="s">
        <v>7</v>
      </c>
      <c r="WY917" s="26" t="s">
        <v>8</v>
      </c>
    </row>
    <row r="918" spans="1:623" x14ac:dyDescent="0.25">
      <c r="A918" s="7">
        <v>1.423453048350256E-3</v>
      </c>
      <c r="B918"/>
      <c r="C918"/>
      <c r="D918"/>
      <c r="E918"/>
      <c r="F918" s="26" t="s">
        <v>7</v>
      </c>
      <c r="G918" s="26" t="s">
        <v>8</v>
      </c>
      <c r="H918" s="26" t="s">
        <v>7</v>
      </c>
      <c r="AA918" s="26" t="s">
        <v>8</v>
      </c>
      <c r="AB918" s="26" t="s">
        <v>7</v>
      </c>
      <c r="AC918" s="26" t="s">
        <v>8</v>
      </c>
      <c r="AD918" s="26" t="s">
        <v>7</v>
      </c>
      <c r="AK918" s="26" t="s">
        <v>8</v>
      </c>
      <c r="AL918" s="26" t="s">
        <v>7</v>
      </c>
      <c r="AM918" s="26" t="s">
        <v>8</v>
      </c>
      <c r="BP918" s="26" t="s">
        <v>7</v>
      </c>
      <c r="BQ918" s="26" t="s">
        <v>8</v>
      </c>
      <c r="BR918" s="26" t="s">
        <v>7</v>
      </c>
      <c r="WS918" s="26" t="s">
        <v>8</v>
      </c>
      <c r="WT918" s="26" t="s">
        <v>7</v>
      </c>
      <c r="WU918" s="26" t="s">
        <v>8</v>
      </c>
      <c r="WV918" s="26" t="s">
        <v>7</v>
      </c>
      <c r="WW918" s="26" t="s">
        <v>8</v>
      </c>
      <c r="WX918" s="26" t="s">
        <v>7</v>
      </c>
    </row>
    <row r="919" spans="1:623" x14ac:dyDescent="0.25">
      <c r="A919" s="7">
        <v>1.3955422042649568E-3</v>
      </c>
      <c r="B919"/>
      <c r="C919"/>
      <c r="D919"/>
      <c r="E919"/>
      <c r="F919" s="26" t="s">
        <v>7</v>
      </c>
      <c r="G919" s="26" t="s">
        <v>8</v>
      </c>
      <c r="H919" s="26" t="s">
        <v>7</v>
      </c>
      <c r="AA919" s="26" t="s">
        <v>8</v>
      </c>
      <c r="AB919" s="26" t="s">
        <v>7</v>
      </c>
      <c r="AC919" s="26" t="s">
        <v>8</v>
      </c>
      <c r="AD919" s="26" t="s">
        <v>7</v>
      </c>
      <c r="AK919" s="26" t="s">
        <v>8</v>
      </c>
      <c r="AL919" s="26" t="s">
        <v>7</v>
      </c>
      <c r="AM919" s="26" t="s">
        <v>8</v>
      </c>
      <c r="BP919" s="26" t="s">
        <v>7</v>
      </c>
      <c r="BR919" s="26" t="s">
        <v>7</v>
      </c>
      <c r="WS919" s="26" t="s">
        <v>8</v>
      </c>
      <c r="WT919" s="26" t="s">
        <v>7</v>
      </c>
      <c r="WU919" s="26" t="s">
        <v>8</v>
      </c>
      <c r="WV919" s="26" t="s">
        <v>7</v>
      </c>
      <c r="WW919" s="26" t="s">
        <v>8</v>
      </c>
    </row>
    <row r="920" spans="1:623" x14ac:dyDescent="0.25">
      <c r="A920" s="7">
        <v>1.3681786316323105E-3</v>
      </c>
      <c r="B920"/>
      <c r="C920"/>
      <c r="D920"/>
      <c r="E920"/>
      <c r="F920" s="26" t="s">
        <v>7</v>
      </c>
      <c r="H920" s="26" t="s">
        <v>7</v>
      </c>
      <c r="AA920" s="26" t="s">
        <v>8</v>
      </c>
      <c r="AB920" s="26" t="s">
        <v>7</v>
      </c>
      <c r="AD920" s="26" t="s">
        <v>7</v>
      </c>
      <c r="AK920" s="26" t="s">
        <v>8</v>
      </c>
      <c r="AL920" s="26" t="s">
        <v>7</v>
      </c>
      <c r="AM920" s="26" t="s">
        <v>8</v>
      </c>
      <c r="BR920" s="26" t="s">
        <v>7</v>
      </c>
      <c r="WS920" s="26" t="s">
        <v>8</v>
      </c>
      <c r="WT920" s="26" t="s">
        <v>7</v>
      </c>
      <c r="WU920" s="26" t="s">
        <v>8</v>
      </c>
      <c r="WV920" s="26" t="s">
        <v>7</v>
      </c>
      <c r="WW920" s="26" t="s">
        <v>8</v>
      </c>
    </row>
    <row r="921" spans="1:623" x14ac:dyDescent="0.25">
      <c r="A921" s="7">
        <v>1.3413515996395203E-3</v>
      </c>
      <c r="B921"/>
      <c r="C921"/>
      <c r="D921"/>
      <c r="E921"/>
      <c r="H921" s="26" t="s">
        <v>7</v>
      </c>
      <c r="Q921" s="26" t="s">
        <v>8</v>
      </c>
      <c r="Y921" s="26" t="s">
        <v>8</v>
      </c>
      <c r="AA921" s="26" t="s">
        <v>8</v>
      </c>
      <c r="AD921" s="26" t="s">
        <v>7</v>
      </c>
      <c r="AK921" s="26" t="s">
        <v>8</v>
      </c>
      <c r="AL921" s="26" t="s">
        <v>7</v>
      </c>
      <c r="AM921" s="26" t="s">
        <v>8</v>
      </c>
      <c r="BR921" s="26" t="s">
        <v>7</v>
      </c>
      <c r="BS921" s="26" t="s">
        <v>8</v>
      </c>
      <c r="WS921" s="26" t="s">
        <v>8</v>
      </c>
      <c r="WT921" s="26" t="s">
        <v>7</v>
      </c>
      <c r="WU921" s="26" t="s">
        <v>8</v>
      </c>
      <c r="WV921" s="26" t="s">
        <v>7</v>
      </c>
      <c r="WW921" s="26" t="s">
        <v>8</v>
      </c>
    </row>
    <row r="922" spans="1:623" x14ac:dyDescent="0.25">
      <c r="A922" s="7">
        <v>1.3150505878818826E-3</v>
      </c>
      <c r="B922"/>
      <c r="C922"/>
      <c r="D922"/>
      <c r="E922"/>
      <c r="H922" s="26" t="s">
        <v>7</v>
      </c>
      <c r="Q922" s="26" t="s">
        <v>8</v>
      </c>
      <c r="R922" s="26" t="s">
        <v>7</v>
      </c>
      <c r="W922" s="26" t="s">
        <v>8</v>
      </c>
      <c r="Y922" s="26" t="s">
        <v>8</v>
      </c>
      <c r="Z922" s="26" t="s">
        <v>7</v>
      </c>
      <c r="AA922" s="26" t="s">
        <v>8</v>
      </c>
      <c r="AD922" s="26" t="s">
        <v>7</v>
      </c>
      <c r="AE922" s="26" t="s">
        <v>8</v>
      </c>
      <c r="AG922" s="26" t="s">
        <v>8</v>
      </c>
      <c r="AI922" s="26" t="s">
        <v>8</v>
      </c>
      <c r="AK922" s="26" t="s">
        <v>8</v>
      </c>
      <c r="AL922" s="26" t="s">
        <v>7</v>
      </c>
      <c r="AM922" s="26" t="s">
        <v>8</v>
      </c>
      <c r="BR922" s="26" t="s">
        <v>7</v>
      </c>
      <c r="BS922" s="26" t="s">
        <v>8</v>
      </c>
      <c r="BT922" s="26" t="s">
        <v>7</v>
      </c>
      <c r="WS922" s="26" t="s">
        <v>8</v>
      </c>
      <c r="WT922" s="26" t="s">
        <v>7</v>
      </c>
      <c r="WU922" s="26" t="s">
        <v>8</v>
      </c>
      <c r="WV922" s="26" t="s">
        <v>7</v>
      </c>
      <c r="WW922" s="26" t="s">
        <v>8</v>
      </c>
    </row>
    <row r="923" spans="1:623" x14ac:dyDescent="0.25">
      <c r="A923" s="7">
        <v>1.2892652822371396E-3</v>
      </c>
      <c r="B923"/>
      <c r="C923"/>
      <c r="D923"/>
      <c r="E923"/>
      <c r="H923" s="26" t="s">
        <v>7</v>
      </c>
      <c r="Q923" s="26" t="s">
        <v>8</v>
      </c>
      <c r="R923" s="26" t="s">
        <v>7</v>
      </c>
      <c r="W923" s="26" t="s">
        <v>8</v>
      </c>
      <c r="X923" s="26" t="s">
        <v>7</v>
      </c>
      <c r="Y923" s="26" t="s">
        <v>8</v>
      </c>
      <c r="Z923" s="26" t="s">
        <v>7</v>
      </c>
      <c r="AA923" s="26" t="s">
        <v>8</v>
      </c>
      <c r="AD923" s="26" t="s">
        <v>7</v>
      </c>
      <c r="AE923" s="26" t="s">
        <v>8</v>
      </c>
      <c r="AF923" s="26" t="s">
        <v>7</v>
      </c>
      <c r="AG923" s="26" t="s">
        <v>8</v>
      </c>
      <c r="AH923" s="26" t="s">
        <v>7</v>
      </c>
      <c r="AI923" s="26" t="s">
        <v>8</v>
      </c>
      <c r="AJ923" s="26" t="s">
        <v>7</v>
      </c>
      <c r="AK923" s="26" t="s">
        <v>8</v>
      </c>
      <c r="AL923" s="26" t="s">
        <v>7</v>
      </c>
      <c r="BR923" s="26" t="s">
        <v>7</v>
      </c>
      <c r="BS923" s="26" t="s">
        <v>8</v>
      </c>
      <c r="BT923" s="26" t="s">
        <v>7</v>
      </c>
      <c r="WS923" s="26" t="s">
        <v>8</v>
      </c>
      <c r="WT923" s="26" t="s">
        <v>7</v>
      </c>
      <c r="WU923" s="26" t="s">
        <v>8</v>
      </c>
      <c r="WV923" s="26" t="s">
        <v>7</v>
      </c>
      <c r="WW923" s="26" t="s">
        <v>8</v>
      </c>
    </row>
    <row r="924" spans="1:623" x14ac:dyDescent="0.25">
      <c r="A924" s="7">
        <v>1.2639855708207251E-3</v>
      </c>
      <c r="B924"/>
      <c r="C924"/>
      <c r="D924"/>
      <c r="E924"/>
      <c r="H924" s="26" t="s">
        <v>7</v>
      </c>
      <c r="Q924" s="26" t="s">
        <v>8</v>
      </c>
      <c r="R924" s="26" t="s">
        <v>7</v>
      </c>
      <c r="W924" s="26" t="s">
        <v>8</v>
      </c>
      <c r="X924" s="26" t="s">
        <v>7</v>
      </c>
      <c r="Y924" s="26" t="s">
        <v>8</v>
      </c>
      <c r="Z924" s="26" t="s">
        <v>7</v>
      </c>
      <c r="AA924" s="26" t="s">
        <v>8</v>
      </c>
      <c r="AD924" s="26" t="s">
        <v>7</v>
      </c>
      <c r="AE924" s="26" t="s">
        <v>8</v>
      </c>
      <c r="AF924" s="26" t="s">
        <v>7</v>
      </c>
      <c r="AG924" s="26" t="s">
        <v>8</v>
      </c>
      <c r="AH924" s="26" t="s">
        <v>7</v>
      </c>
      <c r="AI924" s="26" t="s">
        <v>8</v>
      </c>
      <c r="AJ924" s="26" t="s">
        <v>7</v>
      </c>
      <c r="AK924" s="26" t="s">
        <v>8</v>
      </c>
      <c r="BR924" s="26" t="s">
        <v>7</v>
      </c>
      <c r="BS924" s="26" t="s">
        <v>8</v>
      </c>
      <c r="BT924" s="26" t="s">
        <v>7</v>
      </c>
      <c r="WS924" s="26" t="s">
        <v>8</v>
      </c>
      <c r="WT924" s="26" t="s">
        <v>7</v>
      </c>
      <c r="WU924" s="26" t="s">
        <v>8</v>
      </c>
      <c r="WV924" s="26" t="s">
        <v>7</v>
      </c>
      <c r="WW924" s="26" t="s">
        <v>8</v>
      </c>
    </row>
    <row r="925" spans="1:623" x14ac:dyDescent="0.25">
      <c r="A925" s="7">
        <v>1.2392015400203187E-3</v>
      </c>
      <c r="B925"/>
      <c r="C925"/>
      <c r="D925"/>
      <c r="E925"/>
      <c r="H925" s="26" t="s">
        <v>7</v>
      </c>
      <c r="Q925" s="26" t="s">
        <v>8</v>
      </c>
      <c r="R925" s="26" t="s">
        <v>7</v>
      </c>
      <c r="W925" s="26" t="s">
        <v>8</v>
      </c>
      <c r="X925" s="26" t="s">
        <v>7</v>
      </c>
      <c r="Y925" s="26" t="s">
        <v>8</v>
      </c>
      <c r="Z925" s="26" t="s">
        <v>7</v>
      </c>
      <c r="AA925" s="26" t="s">
        <v>8</v>
      </c>
      <c r="AD925" s="26" t="s">
        <v>7</v>
      </c>
      <c r="AF925" s="26" t="s">
        <v>7</v>
      </c>
      <c r="AH925" s="26" t="s">
        <v>7</v>
      </c>
      <c r="AI925" s="26" t="s">
        <v>8</v>
      </c>
      <c r="AJ925" s="26" t="s">
        <v>7</v>
      </c>
      <c r="AK925" s="26" t="s">
        <v>8</v>
      </c>
      <c r="BR925" s="26" t="s">
        <v>7</v>
      </c>
      <c r="BS925" s="26" t="s">
        <v>8</v>
      </c>
      <c r="BT925" s="26" t="s">
        <v>7</v>
      </c>
      <c r="WS925" s="26" t="s">
        <v>8</v>
      </c>
      <c r="WT925" s="26" t="s">
        <v>7</v>
      </c>
      <c r="WU925" s="26" t="s">
        <v>8</v>
      </c>
      <c r="WV925" s="26" t="s">
        <v>7</v>
      </c>
      <c r="WW925" s="26" t="s">
        <v>8</v>
      </c>
    </row>
    <row r="926" spans="1:623" x14ac:dyDescent="0.25">
      <c r="A926" s="7">
        <v>1.2149034706081556E-3</v>
      </c>
      <c r="B926"/>
      <c r="C926"/>
      <c r="D926"/>
      <c r="E926"/>
      <c r="H926" s="26" t="s">
        <v>7</v>
      </c>
      <c r="I926" s="26" t="s">
        <v>8</v>
      </c>
      <c r="Q926" s="26" t="s">
        <v>8</v>
      </c>
      <c r="R926" s="26" t="s">
        <v>7</v>
      </c>
      <c r="S926" s="26" t="s">
        <v>8</v>
      </c>
      <c r="U926" s="26" t="s">
        <v>8</v>
      </c>
      <c r="W926" s="26" t="s">
        <v>8</v>
      </c>
      <c r="X926" s="26" t="s">
        <v>7</v>
      </c>
      <c r="Z926" s="26" t="s">
        <v>7</v>
      </c>
      <c r="AA926" s="26" t="s">
        <v>8</v>
      </c>
      <c r="AH926" s="26" t="s">
        <v>7</v>
      </c>
      <c r="AI926" s="26" t="s">
        <v>8</v>
      </c>
      <c r="AJ926" s="26" t="s">
        <v>7</v>
      </c>
      <c r="AK926" s="26" t="s">
        <v>8</v>
      </c>
      <c r="BR926" s="26" t="s">
        <v>7</v>
      </c>
      <c r="BS926" s="26" t="s">
        <v>8</v>
      </c>
      <c r="BT926" s="26" t="s">
        <v>7</v>
      </c>
      <c r="WS926" s="26" t="s">
        <v>8</v>
      </c>
      <c r="WT926" s="26" t="s">
        <v>7</v>
      </c>
      <c r="WU926" s="26" t="s">
        <v>8</v>
      </c>
      <c r="WV926" s="26" t="s">
        <v>7</v>
      </c>
      <c r="WW926" s="26" t="s">
        <v>8</v>
      </c>
    </row>
    <row r="927" spans="1:623" x14ac:dyDescent="0.25">
      <c r="A927" s="7">
        <v>1.1910818339295644E-3</v>
      </c>
      <c r="B927"/>
      <c r="C927"/>
      <c r="D927"/>
      <c r="E927"/>
      <c r="H927" s="26" t="s">
        <v>7</v>
      </c>
      <c r="I927" s="26" t="s">
        <v>8</v>
      </c>
      <c r="J927" s="26" t="s">
        <v>7</v>
      </c>
      <c r="K927" s="26" t="s">
        <v>8</v>
      </c>
      <c r="Q927" s="26" t="s">
        <v>8</v>
      </c>
      <c r="R927" s="26" t="s">
        <v>7</v>
      </c>
      <c r="S927" s="26" t="s">
        <v>8</v>
      </c>
      <c r="T927" s="26" t="s">
        <v>7</v>
      </c>
      <c r="U927" s="26" t="s">
        <v>8</v>
      </c>
      <c r="V927" s="26" t="s">
        <v>7</v>
      </c>
      <c r="W927" s="26" t="s">
        <v>8</v>
      </c>
      <c r="Z927" s="26" t="s">
        <v>7</v>
      </c>
      <c r="AA927" s="26" t="s">
        <v>8</v>
      </c>
      <c r="AH927" s="26" t="s">
        <v>7</v>
      </c>
      <c r="AI927" s="26" t="s">
        <v>8</v>
      </c>
      <c r="AJ927" s="26" t="s">
        <v>7</v>
      </c>
      <c r="AK927" s="26" t="s">
        <v>8</v>
      </c>
      <c r="BR927" s="26" t="s">
        <v>7</v>
      </c>
      <c r="BS927" s="26" t="s">
        <v>8</v>
      </c>
      <c r="BT927" s="26" t="s">
        <v>7</v>
      </c>
      <c r="BU927" s="26" t="s">
        <v>8</v>
      </c>
      <c r="WS927" s="26" t="s">
        <v>8</v>
      </c>
      <c r="WT927" s="26" t="s">
        <v>7</v>
      </c>
      <c r="WU927" s="26" t="s">
        <v>8</v>
      </c>
      <c r="WV927" s="26" t="s">
        <v>7</v>
      </c>
      <c r="WW927" s="26" t="s">
        <v>8</v>
      </c>
    </row>
    <row r="928" spans="1:623" x14ac:dyDescent="0.25">
      <c r="A928" s="7">
        <v>1.1677272881662395E-3</v>
      </c>
      <c r="B928"/>
      <c r="C928"/>
      <c r="D928"/>
      <c r="E928"/>
      <c r="H928" s="26" t="s">
        <v>7</v>
      </c>
      <c r="I928" s="26" t="s">
        <v>8</v>
      </c>
      <c r="J928" s="26" t="s">
        <v>7</v>
      </c>
      <c r="K928" s="26" t="s">
        <v>8</v>
      </c>
      <c r="L928" s="26" t="s">
        <v>7</v>
      </c>
      <c r="O928" s="26" t="s">
        <v>8</v>
      </c>
      <c r="Q928" s="26" t="s">
        <v>8</v>
      </c>
      <c r="R928" s="26" t="s">
        <v>7</v>
      </c>
      <c r="S928" s="26" t="s">
        <v>8</v>
      </c>
      <c r="T928" s="26" t="s">
        <v>7</v>
      </c>
      <c r="U928" s="26" t="s">
        <v>8</v>
      </c>
      <c r="V928" s="26" t="s">
        <v>7</v>
      </c>
      <c r="W928" s="26" t="s">
        <v>8</v>
      </c>
      <c r="Z928" s="26" t="s">
        <v>7</v>
      </c>
      <c r="AH928" s="26" t="s">
        <v>7</v>
      </c>
      <c r="AI928" s="26" t="s">
        <v>8</v>
      </c>
      <c r="AJ928" s="26" t="s">
        <v>7</v>
      </c>
      <c r="BR928" s="26" t="s">
        <v>7</v>
      </c>
      <c r="BS928" s="26" t="s">
        <v>8</v>
      </c>
      <c r="BT928" s="26" t="s">
        <v>7</v>
      </c>
      <c r="BU928" s="26" t="s">
        <v>8</v>
      </c>
      <c r="BV928" s="26" t="s">
        <v>7</v>
      </c>
      <c r="WS928" s="26" t="s">
        <v>8</v>
      </c>
      <c r="WT928" s="26" t="s">
        <v>7</v>
      </c>
      <c r="WU928" s="26" t="s">
        <v>8</v>
      </c>
      <c r="WV928" s="26" t="s">
        <v>7</v>
      </c>
      <c r="WW928" s="26" t="s">
        <v>8</v>
      </c>
    </row>
    <row r="929" spans="1:620" x14ac:dyDescent="0.25">
      <c r="A929" s="7">
        <v>1.1448306746727837E-3</v>
      </c>
      <c r="B929"/>
      <c r="C929"/>
      <c r="D929"/>
      <c r="E929"/>
      <c r="H929" s="26" t="s">
        <v>7</v>
      </c>
      <c r="I929" s="26" t="s">
        <v>8</v>
      </c>
      <c r="J929" s="26" t="s">
        <v>7</v>
      </c>
      <c r="K929" s="26" t="s">
        <v>8</v>
      </c>
      <c r="L929" s="26" t="s">
        <v>7</v>
      </c>
      <c r="O929" s="26" t="s">
        <v>8</v>
      </c>
      <c r="P929" s="26" t="s">
        <v>7</v>
      </c>
      <c r="Q929" s="26" t="s">
        <v>8</v>
      </c>
      <c r="R929" s="26" t="s">
        <v>7</v>
      </c>
      <c r="T929" s="26" t="s">
        <v>7</v>
      </c>
      <c r="U929" s="26" t="s">
        <v>8</v>
      </c>
      <c r="V929" s="26" t="s">
        <v>7</v>
      </c>
      <c r="W929" s="26" t="s">
        <v>8</v>
      </c>
      <c r="AH929" s="26" t="s">
        <v>7</v>
      </c>
      <c r="AI929" s="26" t="s">
        <v>8</v>
      </c>
      <c r="BR929" s="26" t="s">
        <v>7</v>
      </c>
      <c r="BS929" s="26" t="s">
        <v>8</v>
      </c>
      <c r="BT929" s="26" t="s">
        <v>7</v>
      </c>
      <c r="BU929" s="26" t="s">
        <v>8</v>
      </c>
      <c r="BV929" s="26" t="s">
        <v>7</v>
      </c>
      <c r="WS929" s="26" t="s">
        <v>8</v>
      </c>
      <c r="WT929" s="26" t="s">
        <v>7</v>
      </c>
      <c r="WU929" s="26" t="s">
        <v>8</v>
      </c>
      <c r="WV929" s="26" t="s">
        <v>7</v>
      </c>
    </row>
    <row r="930" spans="1:620" x14ac:dyDescent="0.25">
      <c r="A930" s="7">
        <v>1.1223830143850821E-3</v>
      </c>
      <c r="B930"/>
      <c r="C930"/>
      <c r="D930"/>
      <c r="E930"/>
      <c r="H930" s="26" t="s">
        <v>7</v>
      </c>
      <c r="J930" s="26" t="s">
        <v>7</v>
      </c>
      <c r="K930" s="26" t="s">
        <v>8</v>
      </c>
      <c r="L930" s="26" t="s">
        <v>7</v>
      </c>
      <c r="O930" s="26" t="s">
        <v>8</v>
      </c>
      <c r="P930" s="26" t="s">
        <v>7</v>
      </c>
      <c r="Q930" s="26" t="s">
        <v>8</v>
      </c>
      <c r="T930" s="26" t="s">
        <v>7</v>
      </c>
      <c r="V930" s="26" t="s">
        <v>7</v>
      </c>
      <c r="W930" s="26" t="s">
        <v>8</v>
      </c>
      <c r="AH930" s="26" t="s">
        <v>7</v>
      </c>
      <c r="AI930" s="26" t="s">
        <v>8</v>
      </c>
      <c r="BR930" s="26" t="s">
        <v>7</v>
      </c>
      <c r="BT930" s="26" t="s">
        <v>7</v>
      </c>
      <c r="BU930" s="26" t="s">
        <v>8</v>
      </c>
      <c r="BV930" s="26" t="s">
        <v>7</v>
      </c>
      <c r="VQ930" s="26" t="s">
        <v>8</v>
      </c>
      <c r="WS930" s="26" t="s">
        <v>8</v>
      </c>
      <c r="WT930" s="26" t="s">
        <v>7</v>
      </c>
      <c r="WU930" s="26" t="s">
        <v>8</v>
      </c>
    </row>
    <row r="931" spans="1:620" x14ac:dyDescent="0.25">
      <c r="A931" s="7">
        <v>1.1003755042991001E-3</v>
      </c>
      <c r="B931"/>
      <c r="C931"/>
      <c r="D931"/>
      <c r="E931"/>
      <c r="J931" s="26" t="s">
        <v>7</v>
      </c>
      <c r="K931" s="26" t="s">
        <v>8</v>
      </c>
      <c r="L931" s="26" t="s">
        <v>7</v>
      </c>
      <c r="M931" s="26" t="s">
        <v>8</v>
      </c>
      <c r="O931" s="26" t="s">
        <v>8</v>
      </c>
      <c r="P931" s="26" t="s">
        <v>7</v>
      </c>
      <c r="Q931" s="26" t="s">
        <v>8</v>
      </c>
      <c r="V931" s="26" t="s">
        <v>7</v>
      </c>
      <c r="W931" s="26" t="s">
        <v>8</v>
      </c>
      <c r="AH931" s="26" t="s">
        <v>7</v>
      </c>
      <c r="BT931" s="26" t="s">
        <v>7</v>
      </c>
      <c r="BU931" s="26" t="s">
        <v>8</v>
      </c>
      <c r="BV931" s="26" t="s">
        <v>7</v>
      </c>
      <c r="VQ931" s="26" t="s">
        <v>8</v>
      </c>
      <c r="VR931" s="26" t="s">
        <v>7</v>
      </c>
      <c r="WS931" s="26" t="s">
        <v>8</v>
      </c>
      <c r="WT931" s="26" t="s">
        <v>7</v>
      </c>
      <c r="WU931" s="26" t="s">
        <v>8</v>
      </c>
    </row>
    <row r="932" spans="1:620" x14ac:dyDescent="0.25">
      <c r="A932" s="7">
        <v>1.0787995140187257E-3</v>
      </c>
      <c r="B932"/>
      <c r="C932"/>
      <c r="D932"/>
      <c r="E932"/>
      <c r="J932" s="26" t="s">
        <v>7</v>
      </c>
      <c r="K932" s="26" t="s">
        <v>8</v>
      </c>
      <c r="L932" s="26" t="s">
        <v>7</v>
      </c>
      <c r="M932" s="26" t="s">
        <v>8</v>
      </c>
      <c r="N932" s="26" t="s">
        <v>7</v>
      </c>
      <c r="O932" s="26" t="s">
        <v>8</v>
      </c>
      <c r="P932" s="26" t="s">
        <v>7</v>
      </c>
      <c r="Q932" s="26" t="s">
        <v>8</v>
      </c>
      <c r="V932" s="26" t="s">
        <v>7</v>
      </c>
      <c r="BT932" s="26" t="s">
        <v>7</v>
      </c>
      <c r="BU932" s="26" t="s">
        <v>8</v>
      </c>
      <c r="BV932" s="26" t="s">
        <v>7</v>
      </c>
      <c r="VQ932" s="26" t="s">
        <v>8</v>
      </c>
      <c r="VR932" s="26" t="s">
        <v>7</v>
      </c>
      <c r="WS932" s="26" t="s">
        <v>8</v>
      </c>
      <c r="WT932" s="26" t="s">
        <v>7</v>
      </c>
      <c r="WU932" s="26" t="s">
        <v>8</v>
      </c>
    </row>
    <row r="933" spans="1:620" x14ac:dyDescent="0.25">
      <c r="A933" s="7">
        <v>1.0576465823712996E-3</v>
      </c>
      <c r="B933"/>
      <c r="C933"/>
      <c r="D933"/>
      <c r="E933"/>
      <c r="J933" s="26" t="s">
        <v>7</v>
      </c>
      <c r="K933" s="26" t="s">
        <v>8</v>
      </c>
      <c r="L933" s="26" t="s">
        <v>7</v>
      </c>
      <c r="M933" s="26" t="s">
        <v>8</v>
      </c>
      <c r="N933" s="26" t="s">
        <v>7</v>
      </c>
      <c r="O933" s="26" t="s">
        <v>8</v>
      </c>
      <c r="P933" s="26" t="s">
        <v>7</v>
      </c>
      <c r="Q933" s="26" t="s">
        <v>8</v>
      </c>
      <c r="BT933" s="26" t="s">
        <v>7</v>
      </c>
      <c r="BV933" s="26" t="s">
        <v>7</v>
      </c>
      <c r="VQ933" s="26" t="s">
        <v>8</v>
      </c>
      <c r="VR933" s="26" t="s">
        <v>7</v>
      </c>
      <c r="WS933" s="26" t="s">
        <v>8</v>
      </c>
      <c r="WT933" s="26" t="s">
        <v>7</v>
      </c>
      <c r="WU933" s="26" t="s">
        <v>8</v>
      </c>
    </row>
    <row r="934" spans="1:620" x14ac:dyDescent="0.25">
      <c r="A934" s="7">
        <v>1.0369084140895094E-3</v>
      </c>
      <c r="B934"/>
      <c r="C934"/>
      <c r="D934"/>
      <c r="E934"/>
      <c r="J934" s="26" t="s">
        <v>7</v>
      </c>
      <c r="L934" s="26" t="s">
        <v>7</v>
      </c>
      <c r="M934" s="26" t="s">
        <v>8</v>
      </c>
      <c r="N934" s="26" t="s">
        <v>7</v>
      </c>
      <c r="O934" s="26" t="s">
        <v>8</v>
      </c>
      <c r="P934" s="26" t="s">
        <v>7</v>
      </c>
      <c r="BV934" s="26" t="s">
        <v>7</v>
      </c>
      <c r="BY934" s="26" t="s">
        <v>8</v>
      </c>
      <c r="EY934" s="26" t="s">
        <v>8</v>
      </c>
      <c r="FK934" s="26" t="s">
        <v>8</v>
      </c>
      <c r="FM934" s="26" t="s">
        <v>8</v>
      </c>
      <c r="VQ934" s="26" t="s">
        <v>8</v>
      </c>
      <c r="VR934" s="26" t="s">
        <v>7</v>
      </c>
      <c r="WI934" s="26" t="s">
        <v>8</v>
      </c>
      <c r="WS934" s="26" t="s">
        <v>8</v>
      </c>
      <c r="WT934" s="26" t="s">
        <v>7</v>
      </c>
    </row>
    <row r="935" spans="1:620" x14ac:dyDescent="0.25">
      <c r="A935" s="7">
        <v>1.0165768765583426E-3</v>
      </c>
      <c r="B935"/>
      <c r="C935"/>
      <c r="D935"/>
      <c r="E935"/>
      <c r="L935" s="26" t="s">
        <v>7</v>
      </c>
      <c r="M935" s="26" t="s">
        <v>8</v>
      </c>
      <c r="N935" s="26" t="s">
        <v>7</v>
      </c>
      <c r="BV935" s="26" t="s">
        <v>7</v>
      </c>
      <c r="BW935" s="26" t="s">
        <v>8</v>
      </c>
      <c r="BY935" s="26" t="s">
        <v>8</v>
      </c>
      <c r="BZ935" s="26" t="s">
        <v>7</v>
      </c>
      <c r="ES935" s="26" t="s">
        <v>8</v>
      </c>
      <c r="EY935" s="26" t="s">
        <v>8</v>
      </c>
      <c r="EZ935" s="26" t="s">
        <v>7</v>
      </c>
      <c r="FK935" s="26" t="s">
        <v>8</v>
      </c>
      <c r="FL935" s="26" t="s">
        <v>7</v>
      </c>
      <c r="FM935" s="26" t="s">
        <v>8</v>
      </c>
      <c r="FN935" s="26" t="s">
        <v>7</v>
      </c>
      <c r="FO935" s="26" t="s">
        <v>8</v>
      </c>
      <c r="VQ935" s="26" t="s">
        <v>8</v>
      </c>
      <c r="VR935" s="26" t="s">
        <v>7</v>
      </c>
      <c r="WI935" s="26" t="s">
        <v>8</v>
      </c>
      <c r="WJ935" s="26" t="s">
        <v>7</v>
      </c>
      <c r="WS935" s="26" t="s">
        <v>8</v>
      </c>
    </row>
    <row r="936" spans="1:620" x14ac:dyDescent="0.25">
      <c r="A936" s="7">
        <v>9.966439966258261E-4</v>
      </c>
      <c r="B936"/>
      <c r="C936"/>
      <c r="D936"/>
      <c r="E936"/>
      <c r="L936" s="26" t="s">
        <v>7</v>
      </c>
      <c r="BV936" s="26" t="s">
        <v>7</v>
      </c>
      <c r="BW936" s="26" t="s">
        <v>8</v>
      </c>
      <c r="BX936" s="26" t="s">
        <v>7</v>
      </c>
      <c r="BY936" s="26" t="s">
        <v>8</v>
      </c>
      <c r="BZ936" s="26" t="s">
        <v>7</v>
      </c>
      <c r="CA936" s="26" t="s">
        <v>8</v>
      </c>
      <c r="CC936" s="26" t="s">
        <v>8</v>
      </c>
      <c r="CE936" s="26" t="s">
        <v>8</v>
      </c>
      <c r="CG936" s="26" t="s">
        <v>8</v>
      </c>
      <c r="CI936" s="26" t="s">
        <v>8</v>
      </c>
      <c r="CK936" s="26" t="s">
        <v>8</v>
      </c>
      <c r="CM936" s="26" t="s">
        <v>8</v>
      </c>
      <c r="CO936" s="26" t="s">
        <v>8</v>
      </c>
      <c r="CQ936" s="26" t="s">
        <v>8</v>
      </c>
      <c r="CS936" s="26" t="s">
        <v>8</v>
      </c>
      <c r="CU936" s="26" t="s">
        <v>8</v>
      </c>
      <c r="CW936" s="26" t="s">
        <v>8</v>
      </c>
      <c r="CY936" s="26" t="s">
        <v>8</v>
      </c>
      <c r="DA936" s="26" t="s">
        <v>8</v>
      </c>
      <c r="DC936" s="26" t="s">
        <v>8</v>
      </c>
      <c r="DE936" s="26" t="s">
        <v>8</v>
      </c>
      <c r="DG936" s="26" t="s">
        <v>8</v>
      </c>
      <c r="DI936" s="26" t="s">
        <v>8</v>
      </c>
      <c r="DK936" s="26" t="s">
        <v>8</v>
      </c>
      <c r="DM936" s="26" t="s">
        <v>8</v>
      </c>
      <c r="DO936" s="26" t="s">
        <v>8</v>
      </c>
      <c r="DQ936" s="26" t="s">
        <v>8</v>
      </c>
      <c r="DS936" s="26" t="s">
        <v>8</v>
      </c>
      <c r="DU936" s="26" t="s">
        <v>8</v>
      </c>
      <c r="DW936" s="26" t="s">
        <v>8</v>
      </c>
      <c r="DY936" s="26" t="s">
        <v>8</v>
      </c>
      <c r="EA936" s="26" t="s">
        <v>8</v>
      </c>
      <c r="EC936" s="26" t="s">
        <v>8</v>
      </c>
      <c r="EE936" s="26" t="s">
        <v>8</v>
      </c>
      <c r="EG936" s="26" t="s">
        <v>8</v>
      </c>
      <c r="EI936" s="26" t="s">
        <v>8</v>
      </c>
      <c r="EK936" s="26" t="s">
        <v>8</v>
      </c>
      <c r="EM936" s="26" t="s">
        <v>8</v>
      </c>
      <c r="EO936" s="26" t="s">
        <v>8</v>
      </c>
      <c r="EQ936" s="26" t="s">
        <v>8</v>
      </c>
      <c r="ES936" s="26" t="s">
        <v>8</v>
      </c>
      <c r="ET936" s="26" t="s">
        <v>7</v>
      </c>
      <c r="EU936" s="26" t="s">
        <v>8</v>
      </c>
      <c r="EW936" s="26" t="s">
        <v>8</v>
      </c>
      <c r="EY936" s="26" t="s">
        <v>8</v>
      </c>
      <c r="EZ936" s="26" t="s">
        <v>7</v>
      </c>
      <c r="FA936" s="26" t="s">
        <v>8</v>
      </c>
      <c r="FC936" s="26" t="s">
        <v>8</v>
      </c>
      <c r="FE936" s="26" t="s">
        <v>8</v>
      </c>
      <c r="FG936" s="26" t="s">
        <v>8</v>
      </c>
      <c r="FI936" s="26" t="s">
        <v>8</v>
      </c>
      <c r="FK936" s="26" t="s">
        <v>8</v>
      </c>
      <c r="FL936" s="26" t="s">
        <v>7</v>
      </c>
      <c r="FM936" s="26" t="s">
        <v>8</v>
      </c>
      <c r="FN936" s="26" t="s">
        <v>7</v>
      </c>
      <c r="FO936" s="26" t="s">
        <v>8</v>
      </c>
      <c r="FP936" s="26" t="s">
        <v>7</v>
      </c>
      <c r="FQ936" s="26" t="s">
        <v>8</v>
      </c>
      <c r="FS936" s="26" t="s">
        <v>8</v>
      </c>
      <c r="FU936" s="26" t="s">
        <v>8</v>
      </c>
      <c r="FW936" s="26" t="s">
        <v>8</v>
      </c>
      <c r="FY936" s="26" t="s">
        <v>8</v>
      </c>
      <c r="GA936" s="26" t="s">
        <v>8</v>
      </c>
      <c r="GC936" s="26" t="s">
        <v>8</v>
      </c>
      <c r="GE936" s="26" t="s">
        <v>8</v>
      </c>
      <c r="GG936" s="26" t="s">
        <v>8</v>
      </c>
      <c r="GI936" s="26" t="s">
        <v>8</v>
      </c>
      <c r="GK936" s="26" t="s">
        <v>8</v>
      </c>
      <c r="GM936" s="26" t="s">
        <v>8</v>
      </c>
      <c r="GO936" s="26" t="s">
        <v>8</v>
      </c>
      <c r="GQ936" s="26" t="s">
        <v>8</v>
      </c>
      <c r="GS936" s="26" t="s">
        <v>8</v>
      </c>
      <c r="GU936" s="26" t="s">
        <v>8</v>
      </c>
      <c r="GW936" s="26" t="s">
        <v>8</v>
      </c>
      <c r="GY936" s="26" t="s">
        <v>8</v>
      </c>
      <c r="HA936" s="26" t="s">
        <v>8</v>
      </c>
      <c r="HC936" s="26" t="s">
        <v>8</v>
      </c>
      <c r="HE936" s="26" t="s">
        <v>8</v>
      </c>
      <c r="HG936" s="26" t="s">
        <v>8</v>
      </c>
      <c r="HI936" s="26" t="s">
        <v>8</v>
      </c>
      <c r="HK936" s="26" t="s">
        <v>8</v>
      </c>
      <c r="HM936" s="26" t="s">
        <v>8</v>
      </c>
      <c r="HO936" s="26" t="s">
        <v>8</v>
      </c>
      <c r="HQ936" s="26" t="s">
        <v>8</v>
      </c>
      <c r="HS936" s="26" t="s">
        <v>8</v>
      </c>
      <c r="HU936" s="26" t="s">
        <v>8</v>
      </c>
      <c r="HW936" s="26" t="s">
        <v>8</v>
      </c>
      <c r="HY936" s="26" t="s">
        <v>8</v>
      </c>
      <c r="IA936" s="26" t="s">
        <v>8</v>
      </c>
      <c r="IC936" s="26" t="s">
        <v>8</v>
      </c>
      <c r="IE936" s="26" t="s">
        <v>8</v>
      </c>
      <c r="IG936" s="26" t="s">
        <v>8</v>
      </c>
      <c r="II936" s="26" t="s">
        <v>8</v>
      </c>
      <c r="IK936" s="26" t="s">
        <v>8</v>
      </c>
      <c r="IM936" s="26" t="s">
        <v>8</v>
      </c>
      <c r="IO936" s="26" t="s">
        <v>8</v>
      </c>
      <c r="IQ936" s="26" t="s">
        <v>8</v>
      </c>
      <c r="IS936" s="26" t="s">
        <v>8</v>
      </c>
      <c r="IU936" s="26" t="s">
        <v>8</v>
      </c>
      <c r="IW936" s="26" t="s">
        <v>8</v>
      </c>
      <c r="IY936" s="26" t="s">
        <v>8</v>
      </c>
      <c r="JA936" s="26" t="s">
        <v>8</v>
      </c>
      <c r="JC936" s="26" t="s">
        <v>8</v>
      </c>
      <c r="JE936" s="26" t="s">
        <v>8</v>
      </c>
      <c r="JG936" s="26" t="s">
        <v>8</v>
      </c>
      <c r="JI936" s="26" t="s">
        <v>8</v>
      </c>
      <c r="JK936" s="26" t="s">
        <v>8</v>
      </c>
      <c r="JM936" s="26" t="s">
        <v>8</v>
      </c>
      <c r="JO936" s="26" t="s">
        <v>8</v>
      </c>
      <c r="JQ936" s="26" t="s">
        <v>8</v>
      </c>
      <c r="JS936" s="26" t="s">
        <v>8</v>
      </c>
      <c r="JU936" s="26" t="s">
        <v>8</v>
      </c>
      <c r="JW936" s="26" t="s">
        <v>8</v>
      </c>
      <c r="JY936" s="26" t="s">
        <v>8</v>
      </c>
      <c r="KA936" s="26" t="s">
        <v>8</v>
      </c>
      <c r="KC936" s="26" t="s">
        <v>8</v>
      </c>
      <c r="KE936" s="26" t="s">
        <v>8</v>
      </c>
      <c r="KG936" s="26" t="s">
        <v>8</v>
      </c>
      <c r="KI936" s="26" t="s">
        <v>8</v>
      </c>
      <c r="KK936" s="26" t="s">
        <v>8</v>
      </c>
      <c r="KM936" s="26" t="s">
        <v>8</v>
      </c>
      <c r="KO936" s="26" t="s">
        <v>8</v>
      </c>
      <c r="KQ936" s="26" t="s">
        <v>8</v>
      </c>
      <c r="KS936" s="26" t="s">
        <v>8</v>
      </c>
      <c r="KU936" s="26" t="s">
        <v>8</v>
      </c>
      <c r="KW936" s="26" t="s">
        <v>8</v>
      </c>
      <c r="KY936" s="26" t="s">
        <v>8</v>
      </c>
      <c r="LA936" s="26" t="s">
        <v>8</v>
      </c>
      <c r="LC936" s="26" t="s">
        <v>8</v>
      </c>
      <c r="LE936" s="26" t="s">
        <v>8</v>
      </c>
      <c r="LG936" s="26" t="s">
        <v>8</v>
      </c>
      <c r="LI936" s="26" t="s">
        <v>8</v>
      </c>
      <c r="LK936" s="26" t="s">
        <v>8</v>
      </c>
      <c r="LM936" s="26" t="s">
        <v>8</v>
      </c>
      <c r="LO936" s="26" t="s">
        <v>8</v>
      </c>
      <c r="LQ936" s="26" t="s">
        <v>8</v>
      </c>
      <c r="LS936" s="26" t="s">
        <v>8</v>
      </c>
      <c r="LU936" s="26" t="s">
        <v>8</v>
      </c>
      <c r="LW936" s="26" t="s">
        <v>8</v>
      </c>
      <c r="LY936" s="26" t="s">
        <v>8</v>
      </c>
      <c r="MA936" s="26" t="s">
        <v>8</v>
      </c>
      <c r="MC936" s="26" t="s">
        <v>8</v>
      </c>
      <c r="ME936" s="26" t="s">
        <v>8</v>
      </c>
      <c r="MG936" s="26" t="s">
        <v>8</v>
      </c>
      <c r="MI936" s="26" t="s">
        <v>8</v>
      </c>
      <c r="MK936" s="26" t="s">
        <v>8</v>
      </c>
      <c r="MM936" s="26" t="s">
        <v>8</v>
      </c>
      <c r="MO936" s="26" t="s">
        <v>8</v>
      </c>
      <c r="MQ936" s="26" t="s">
        <v>8</v>
      </c>
      <c r="MS936" s="26" t="s">
        <v>8</v>
      </c>
      <c r="MU936" s="26" t="s">
        <v>8</v>
      </c>
      <c r="MW936" s="26" t="s">
        <v>8</v>
      </c>
      <c r="MY936" s="26" t="s">
        <v>8</v>
      </c>
      <c r="NA936" s="26" t="s">
        <v>8</v>
      </c>
      <c r="NC936" s="26" t="s">
        <v>8</v>
      </c>
      <c r="NE936" s="26" t="s">
        <v>8</v>
      </c>
      <c r="NG936" s="26" t="s">
        <v>8</v>
      </c>
      <c r="NI936" s="26" t="s">
        <v>8</v>
      </c>
      <c r="NK936" s="26" t="s">
        <v>8</v>
      </c>
      <c r="NM936" s="26" t="s">
        <v>8</v>
      </c>
      <c r="NO936" s="26" t="s">
        <v>8</v>
      </c>
      <c r="NQ936" s="26" t="s">
        <v>8</v>
      </c>
      <c r="NS936" s="26" t="s">
        <v>8</v>
      </c>
      <c r="NU936" s="26" t="s">
        <v>8</v>
      </c>
      <c r="NW936" s="26" t="s">
        <v>8</v>
      </c>
      <c r="NY936" s="26" t="s">
        <v>8</v>
      </c>
      <c r="OA936" s="26" t="s">
        <v>8</v>
      </c>
      <c r="OC936" s="26" t="s">
        <v>8</v>
      </c>
      <c r="OE936" s="26" t="s">
        <v>8</v>
      </c>
      <c r="OG936" s="26" t="s">
        <v>8</v>
      </c>
      <c r="OI936" s="26" t="s">
        <v>8</v>
      </c>
      <c r="OK936" s="26" t="s">
        <v>8</v>
      </c>
      <c r="OM936" s="26" t="s">
        <v>8</v>
      </c>
      <c r="OO936" s="26" t="s">
        <v>8</v>
      </c>
      <c r="OQ936" s="26" t="s">
        <v>8</v>
      </c>
      <c r="OS936" s="26" t="s">
        <v>8</v>
      </c>
      <c r="OU936" s="26" t="s">
        <v>8</v>
      </c>
      <c r="OW936" s="26" t="s">
        <v>8</v>
      </c>
      <c r="OY936" s="26" t="s">
        <v>8</v>
      </c>
      <c r="PA936" s="26" t="s">
        <v>8</v>
      </c>
      <c r="PC936" s="26" t="s">
        <v>8</v>
      </c>
      <c r="PE936" s="26" t="s">
        <v>8</v>
      </c>
      <c r="PG936" s="26" t="s">
        <v>8</v>
      </c>
      <c r="PI936" s="26" t="s">
        <v>8</v>
      </c>
      <c r="PK936" s="26" t="s">
        <v>8</v>
      </c>
      <c r="PM936" s="26" t="s">
        <v>8</v>
      </c>
      <c r="PO936" s="26" t="s">
        <v>8</v>
      </c>
      <c r="PQ936" s="26" t="s">
        <v>8</v>
      </c>
      <c r="PS936" s="26" t="s">
        <v>8</v>
      </c>
      <c r="PU936" s="26" t="s">
        <v>8</v>
      </c>
      <c r="PW936" s="26" t="s">
        <v>8</v>
      </c>
      <c r="PY936" s="26" t="s">
        <v>8</v>
      </c>
      <c r="QA936" s="26" t="s">
        <v>8</v>
      </c>
      <c r="QC936" s="26" t="s">
        <v>8</v>
      </c>
      <c r="QE936" s="26" t="s">
        <v>8</v>
      </c>
      <c r="QG936" s="26" t="s">
        <v>8</v>
      </c>
      <c r="QI936" s="26" t="s">
        <v>8</v>
      </c>
      <c r="QK936" s="26" t="s">
        <v>8</v>
      </c>
      <c r="QM936" s="26" t="s">
        <v>8</v>
      </c>
      <c r="QO936" s="26" t="s">
        <v>8</v>
      </c>
      <c r="QQ936" s="26" t="s">
        <v>8</v>
      </c>
      <c r="QS936" s="26" t="s">
        <v>8</v>
      </c>
      <c r="QU936" s="26" t="s">
        <v>8</v>
      </c>
      <c r="QW936" s="26" t="s">
        <v>8</v>
      </c>
      <c r="QY936" s="26" t="s">
        <v>8</v>
      </c>
      <c r="RA936" s="26" t="s">
        <v>8</v>
      </c>
      <c r="RC936" s="26" t="s">
        <v>8</v>
      </c>
      <c r="RE936" s="26" t="s">
        <v>8</v>
      </c>
      <c r="RG936" s="26" t="s">
        <v>8</v>
      </c>
      <c r="RI936" s="26" t="s">
        <v>8</v>
      </c>
      <c r="RK936" s="26" t="s">
        <v>8</v>
      </c>
      <c r="RM936" s="26" t="s">
        <v>8</v>
      </c>
      <c r="RO936" s="26" t="s">
        <v>8</v>
      </c>
      <c r="RQ936" s="26" t="s">
        <v>8</v>
      </c>
      <c r="RS936" s="26" t="s">
        <v>8</v>
      </c>
      <c r="RU936" s="26" t="s">
        <v>8</v>
      </c>
      <c r="RW936" s="26" t="s">
        <v>8</v>
      </c>
      <c r="RY936" s="26" t="s">
        <v>8</v>
      </c>
      <c r="SA936" s="26" t="s">
        <v>8</v>
      </c>
      <c r="SC936" s="26" t="s">
        <v>8</v>
      </c>
      <c r="SE936" s="26" t="s">
        <v>8</v>
      </c>
      <c r="SG936" s="26" t="s">
        <v>8</v>
      </c>
      <c r="SI936" s="26" t="s">
        <v>8</v>
      </c>
      <c r="SK936" s="26" t="s">
        <v>8</v>
      </c>
      <c r="SM936" s="26" t="s">
        <v>8</v>
      </c>
      <c r="SO936" s="26" t="s">
        <v>8</v>
      </c>
      <c r="SQ936" s="26" t="s">
        <v>8</v>
      </c>
      <c r="SS936" s="26" t="s">
        <v>8</v>
      </c>
      <c r="SU936" s="26" t="s">
        <v>8</v>
      </c>
      <c r="SW936" s="26" t="s">
        <v>8</v>
      </c>
      <c r="SY936" s="26" t="s">
        <v>8</v>
      </c>
      <c r="TA936" s="26" t="s">
        <v>8</v>
      </c>
      <c r="TC936" s="26" t="s">
        <v>8</v>
      </c>
      <c r="TE936" s="26" t="s">
        <v>8</v>
      </c>
      <c r="TG936" s="26" t="s">
        <v>8</v>
      </c>
      <c r="TI936" s="26" t="s">
        <v>8</v>
      </c>
      <c r="TK936" s="26" t="s">
        <v>8</v>
      </c>
      <c r="TM936" s="26" t="s">
        <v>8</v>
      </c>
      <c r="TO936" s="26" t="s">
        <v>8</v>
      </c>
      <c r="TQ936" s="26" t="s">
        <v>8</v>
      </c>
      <c r="TS936" s="26" t="s">
        <v>8</v>
      </c>
      <c r="TU936" s="26" t="s">
        <v>8</v>
      </c>
      <c r="TW936" s="26" t="s">
        <v>8</v>
      </c>
      <c r="TY936" s="26" t="s">
        <v>8</v>
      </c>
      <c r="UA936" s="26" t="s">
        <v>8</v>
      </c>
      <c r="UC936" s="26" t="s">
        <v>8</v>
      </c>
      <c r="UE936" s="26" t="s">
        <v>8</v>
      </c>
      <c r="UG936" s="26" t="s">
        <v>8</v>
      </c>
      <c r="UI936" s="26" t="s">
        <v>8</v>
      </c>
      <c r="UK936" s="26" t="s">
        <v>8</v>
      </c>
      <c r="UM936" s="26" t="s">
        <v>8</v>
      </c>
      <c r="UO936" s="26" t="s">
        <v>8</v>
      </c>
      <c r="UQ936" s="26" t="s">
        <v>8</v>
      </c>
      <c r="US936" s="26" t="s">
        <v>8</v>
      </c>
      <c r="UU936" s="26" t="s">
        <v>8</v>
      </c>
      <c r="UW936" s="26" t="s">
        <v>8</v>
      </c>
      <c r="UY936" s="26" t="s">
        <v>8</v>
      </c>
      <c r="VA936" s="26" t="s">
        <v>8</v>
      </c>
      <c r="VC936" s="26" t="s">
        <v>8</v>
      </c>
      <c r="VE936" s="26" t="s">
        <v>8</v>
      </c>
      <c r="VG936" s="26" t="s">
        <v>8</v>
      </c>
      <c r="VI936" s="26" t="s">
        <v>8</v>
      </c>
      <c r="VK936" s="26" t="s">
        <v>8</v>
      </c>
      <c r="VM936" s="26" t="s">
        <v>8</v>
      </c>
      <c r="VO936" s="26" t="s">
        <v>8</v>
      </c>
      <c r="VQ936" s="26" t="s">
        <v>8</v>
      </c>
      <c r="VR936" s="26" t="s">
        <v>7</v>
      </c>
      <c r="VS936" s="26" t="s">
        <v>8</v>
      </c>
      <c r="VU936" s="26" t="s">
        <v>8</v>
      </c>
      <c r="VW936" s="26" t="s">
        <v>8</v>
      </c>
      <c r="VY936" s="26" t="s">
        <v>8</v>
      </c>
      <c r="WA936" s="26" t="s">
        <v>8</v>
      </c>
      <c r="WC936" s="26" t="s">
        <v>8</v>
      </c>
      <c r="WE936" s="26" t="s">
        <v>8</v>
      </c>
      <c r="WG936" s="26" t="s">
        <v>8</v>
      </c>
      <c r="WI936" s="26" t="s">
        <v>8</v>
      </c>
      <c r="WJ936" s="26" t="s">
        <v>7</v>
      </c>
      <c r="WK936" s="26" t="s">
        <v>8</v>
      </c>
      <c r="WM936" s="26" t="s">
        <v>8</v>
      </c>
      <c r="WO936" s="26" t="s">
        <v>8</v>
      </c>
      <c r="WQ936" s="26" t="s">
        <v>8</v>
      </c>
      <c r="WS936" s="26" t="s">
        <v>8</v>
      </c>
    </row>
    <row r="937" spans="1:620" x14ac:dyDescent="0.25">
      <c r="BV937" s="26" t="s">
        <v>7</v>
      </c>
      <c r="BX937" s="26" t="s">
        <v>7</v>
      </c>
      <c r="BZ937" s="26" t="s">
        <v>7</v>
      </c>
      <c r="CB937" s="26" t="s">
        <v>7</v>
      </c>
      <c r="CD937" s="26" t="s">
        <v>7</v>
      </c>
      <c r="CF937" s="26" t="s">
        <v>7</v>
      </c>
      <c r="CH937" s="26" t="s">
        <v>7</v>
      </c>
      <c r="CJ937" s="26" t="s">
        <v>7</v>
      </c>
      <c r="CL937" s="26" t="s">
        <v>7</v>
      </c>
      <c r="CN937" s="26" t="s">
        <v>7</v>
      </c>
      <c r="CP937" s="26" t="s">
        <v>7</v>
      </c>
      <c r="CR937" s="26" t="s">
        <v>7</v>
      </c>
      <c r="CT937" s="26" t="s">
        <v>7</v>
      </c>
      <c r="CV937" s="26" t="s">
        <v>7</v>
      </c>
      <c r="CX937" s="26" t="s">
        <v>7</v>
      </c>
      <c r="CZ937" s="26" t="s">
        <v>7</v>
      </c>
      <c r="DB937" s="26" t="s">
        <v>7</v>
      </c>
      <c r="DD937" s="26" t="s">
        <v>7</v>
      </c>
      <c r="DF937" s="26" t="s">
        <v>7</v>
      </c>
      <c r="DH937" s="26" t="s">
        <v>7</v>
      </c>
      <c r="DJ937" s="26" t="s">
        <v>7</v>
      </c>
      <c r="DL937" s="26" t="s">
        <v>7</v>
      </c>
      <c r="DN937" s="26" t="s">
        <v>7</v>
      </c>
      <c r="DP937" s="26" t="s">
        <v>7</v>
      </c>
      <c r="DR937" s="26" t="s">
        <v>7</v>
      </c>
      <c r="DT937" s="26" t="s">
        <v>7</v>
      </c>
      <c r="DV937" s="26" t="s">
        <v>7</v>
      </c>
      <c r="DX937" s="26" t="s">
        <v>7</v>
      </c>
      <c r="DZ937" s="26" t="s">
        <v>7</v>
      </c>
      <c r="EB937" s="26" t="s">
        <v>7</v>
      </c>
      <c r="ED937" s="26" t="s">
        <v>7</v>
      </c>
      <c r="EF937" s="26" t="s">
        <v>7</v>
      </c>
      <c r="EH937" s="26" t="s">
        <v>7</v>
      </c>
      <c r="EJ937" s="26" t="s">
        <v>7</v>
      </c>
      <c r="EL937" s="26" t="s">
        <v>7</v>
      </c>
      <c r="EN937" s="26" t="s">
        <v>7</v>
      </c>
      <c r="EP937" s="26" t="s">
        <v>7</v>
      </c>
      <c r="ER937" s="26" t="s">
        <v>7</v>
      </c>
      <c r="ET937" s="26" t="s">
        <v>7</v>
      </c>
      <c r="EV937" s="26" t="s">
        <v>7</v>
      </c>
      <c r="EX937" s="26" t="s">
        <v>7</v>
      </c>
      <c r="EZ937" s="26" t="s">
        <v>7</v>
      </c>
      <c r="FB937" s="26" t="s">
        <v>7</v>
      </c>
      <c r="FD937" s="26" t="s">
        <v>7</v>
      </c>
      <c r="FF937" s="26" t="s">
        <v>7</v>
      </c>
      <c r="FH937" s="26" t="s">
        <v>7</v>
      </c>
      <c r="FJ937" s="26" t="s">
        <v>7</v>
      </c>
      <c r="FL937" s="26" t="s">
        <v>7</v>
      </c>
      <c r="FN937" s="26" t="s">
        <v>7</v>
      </c>
      <c r="FP937" s="26" t="s">
        <v>7</v>
      </c>
      <c r="FR937" s="26" t="s">
        <v>7</v>
      </c>
      <c r="FT937" s="26" t="s">
        <v>7</v>
      </c>
      <c r="FV937" s="26" t="s">
        <v>7</v>
      </c>
      <c r="FX937" s="26" t="s">
        <v>7</v>
      </c>
      <c r="FZ937" s="26" t="s">
        <v>7</v>
      </c>
      <c r="GB937" s="26" t="s">
        <v>7</v>
      </c>
      <c r="GD937" s="26" t="s">
        <v>7</v>
      </c>
      <c r="GF937" s="26" t="s">
        <v>7</v>
      </c>
      <c r="GH937" s="26" t="s">
        <v>7</v>
      </c>
      <c r="GJ937" s="26" t="s">
        <v>7</v>
      </c>
      <c r="GL937" s="26" t="s">
        <v>7</v>
      </c>
      <c r="GN937" s="26" t="s">
        <v>7</v>
      </c>
      <c r="GP937" s="26" t="s">
        <v>7</v>
      </c>
      <c r="GR937" s="26" t="s">
        <v>7</v>
      </c>
      <c r="GT937" s="26" t="s">
        <v>7</v>
      </c>
      <c r="GV937" s="26" t="s">
        <v>7</v>
      </c>
      <c r="GX937" s="26" t="s">
        <v>7</v>
      </c>
      <c r="GZ937" s="26" t="s">
        <v>7</v>
      </c>
      <c r="HB937" s="26" t="s">
        <v>7</v>
      </c>
      <c r="HD937" s="26" t="s">
        <v>7</v>
      </c>
      <c r="HF937" s="26" t="s">
        <v>7</v>
      </c>
      <c r="HH937" s="26" t="s">
        <v>7</v>
      </c>
      <c r="HJ937" s="26" t="s">
        <v>7</v>
      </c>
      <c r="HL937" s="26" t="s">
        <v>7</v>
      </c>
      <c r="HN937" s="26" t="s">
        <v>7</v>
      </c>
      <c r="HP937" s="26" t="s">
        <v>7</v>
      </c>
      <c r="HR937" s="26" t="s">
        <v>7</v>
      </c>
      <c r="HT937" s="26" t="s">
        <v>7</v>
      </c>
      <c r="HV937" s="26" t="s">
        <v>7</v>
      </c>
      <c r="HX937" s="26" t="s">
        <v>7</v>
      </c>
      <c r="HZ937" s="26" t="s">
        <v>7</v>
      </c>
      <c r="IB937" s="26" t="s">
        <v>7</v>
      </c>
      <c r="ID937" s="26" t="s">
        <v>7</v>
      </c>
      <c r="IF937" s="26" t="s">
        <v>7</v>
      </c>
      <c r="IH937" s="26" t="s">
        <v>7</v>
      </c>
      <c r="IJ937" s="26" t="s">
        <v>7</v>
      </c>
      <c r="IL937" s="26" t="s">
        <v>7</v>
      </c>
      <c r="IN937" s="26" t="s">
        <v>7</v>
      </c>
      <c r="IP937" s="26" t="s">
        <v>7</v>
      </c>
      <c r="IR937" s="26" t="s">
        <v>7</v>
      </c>
      <c r="IT937" s="26" t="s">
        <v>7</v>
      </c>
      <c r="IV937" s="26" t="s">
        <v>7</v>
      </c>
      <c r="IX937" s="26" t="s">
        <v>7</v>
      </c>
      <c r="IZ937" s="26" t="s">
        <v>7</v>
      </c>
      <c r="JB937" s="26" t="s">
        <v>7</v>
      </c>
      <c r="JD937" s="26" t="s">
        <v>7</v>
      </c>
      <c r="JF937" s="26" t="s">
        <v>7</v>
      </c>
      <c r="JH937" s="26" t="s">
        <v>7</v>
      </c>
      <c r="JJ937" s="26" t="s">
        <v>7</v>
      </c>
      <c r="JL937" s="26" t="s">
        <v>7</v>
      </c>
      <c r="JN937" s="26" t="s">
        <v>7</v>
      </c>
      <c r="JP937" s="26" t="s">
        <v>7</v>
      </c>
      <c r="JR937" s="26" t="s">
        <v>7</v>
      </c>
      <c r="JT937" s="26" t="s">
        <v>7</v>
      </c>
      <c r="JV937" s="26" t="s">
        <v>7</v>
      </c>
      <c r="JX937" s="26" t="s">
        <v>7</v>
      </c>
      <c r="JZ937" s="26" t="s">
        <v>7</v>
      </c>
      <c r="KB937" s="26" t="s">
        <v>7</v>
      </c>
      <c r="KD937" s="26" t="s">
        <v>7</v>
      </c>
      <c r="KF937" s="26" t="s">
        <v>7</v>
      </c>
      <c r="KH937" s="26" t="s">
        <v>7</v>
      </c>
      <c r="KJ937" s="26" t="s">
        <v>7</v>
      </c>
      <c r="KL937" s="26" t="s">
        <v>7</v>
      </c>
      <c r="KN937" s="26" t="s">
        <v>7</v>
      </c>
      <c r="KP937" s="26" t="s">
        <v>7</v>
      </c>
      <c r="KR937" s="26" t="s">
        <v>7</v>
      </c>
      <c r="KT937" s="26" t="s">
        <v>7</v>
      </c>
      <c r="KV937" s="26" t="s">
        <v>7</v>
      </c>
      <c r="KX937" s="26" t="s">
        <v>7</v>
      </c>
      <c r="KZ937" s="26" t="s">
        <v>7</v>
      </c>
      <c r="LB937" s="26" t="s">
        <v>7</v>
      </c>
      <c r="LD937" s="26" t="s">
        <v>7</v>
      </c>
      <c r="LF937" s="26" t="s">
        <v>7</v>
      </c>
      <c r="LH937" s="26" t="s">
        <v>7</v>
      </c>
      <c r="LJ937" s="26" t="s">
        <v>7</v>
      </c>
      <c r="LL937" s="26" t="s">
        <v>7</v>
      </c>
      <c r="LN937" s="26" t="s">
        <v>7</v>
      </c>
      <c r="LP937" s="26" t="s">
        <v>7</v>
      </c>
      <c r="LR937" s="26" t="s">
        <v>7</v>
      </c>
      <c r="LT937" s="26" t="s">
        <v>7</v>
      </c>
      <c r="LV937" s="26" t="s">
        <v>7</v>
      </c>
      <c r="LX937" s="26" t="s">
        <v>7</v>
      </c>
      <c r="LZ937" s="26" t="s">
        <v>7</v>
      </c>
      <c r="MB937" s="26" t="s">
        <v>7</v>
      </c>
      <c r="MD937" s="26" t="s">
        <v>7</v>
      </c>
      <c r="MF937" s="26" t="s">
        <v>7</v>
      </c>
      <c r="MH937" s="26" t="s">
        <v>7</v>
      </c>
      <c r="MJ937" s="26" t="s">
        <v>7</v>
      </c>
      <c r="ML937" s="26" t="s">
        <v>7</v>
      </c>
      <c r="MN937" s="26" t="s">
        <v>7</v>
      </c>
      <c r="MP937" s="26" t="s">
        <v>7</v>
      </c>
      <c r="MR937" s="26" t="s">
        <v>7</v>
      </c>
      <c r="MT937" s="26" t="s">
        <v>7</v>
      </c>
      <c r="MV937" s="26" t="s">
        <v>7</v>
      </c>
      <c r="MX937" s="26" t="s">
        <v>7</v>
      </c>
      <c r="MZ937" s="26" t="s">
        <v>7</v>
      </c>
      <c r="NB937" s="26" t="s">
        <v>7</v>
      </c>
      <c r="ND937" s="26" t="s">
        <v>7</v>
      </c>
      <c r="NF937" s="26" t="s">
        <v>7</v>
      </c>
      <c r="NH937" s="26" t="s">
        <v>7</v>
      </c>
      <c r="NJ937" s="26" t="s">
        <v>7</v>
      </c>
      <c r="NL937" s="26" t="s">
        <v>7</v>
      </c>
      <c r="NN937" s="26" t="s">
        <v>7</v>
      </c>
      <c r="NP937" s="26" t="s">
        <v>7</v>
      </c>
      <c r="NR937" s="26" t="s">
        <v>7</v>
      </c>
      <c r="NT937" s="26" t="s">
        <v>7</v>
      </c>
      <c r="NV937" s="26" t="s">
        <v>7</v>
      </c>
      <c r="NX937" s="26" t="s">
        <v>7</v>
      </c>
      <c r="NZ937" s="26" t="s">
        <v>7</v>
      </c>
      <c r="OB937" s="26" t="s">
        <v>7</v>
      </c>
      <c r="OD937" s="26" t="s">
        <v>7</v>
      </c>
      <c r="OF937" s="26" t="s">
        <v>7</v>
      </c>
      <c r="OH937" s="26" t="s">
        <v>7</v>
      </c>
      <c r="OJ937" s="26" t="s">
        <v>7</v>
      </c>
      <c r="OL937" s="26" t="s">
        <v>7</v>
      </c>
      <c r="ON937" s="26" t="s">
        <v>7</v>
      </c>
      <c r="OP937" s="26" t="s">
        <v>7</v>
      </c>
      <c r="OR937" s="26" t="s">
        <v>7</v>
      </c>
      <c r="OT937" s="26" t="s">
        <v>7</v>
      </c>
      <c r="OV937" s="26" t="s">
        <v>7</v>
      </c>
      <c r="OX937" s="26" t="s">
        <v>7</v>
      </c>
      <c r="OZ937" s="26" t="s">
        <v>7</v>
      </c>
      <c r="PB937" s="26" t="s">
        <v>7</v>
      </c>
      <c r="PD937" s="26" t="s">
        <v>7</v>
      </c>
      <c r="PF937" s="26" t="s">
        <v>7</v>
      </c>
      <c r="PH937" s="26" t="s">
        <v>7</v>
      </c>
      <c r="PJ937" s="26" t="s">
        <v>7</v>
      </c>
      <c r="PL937" s="26" t="s">
        <v>7</v>
      </c>
      <c r="PN937" s="26" t="s">
        <v>7</v>
      </c>
      <c r="PP937" s="26" t="s">
        <v>7</v>
      </c>
      <c r="PR937" s="26" t="s">
        <v>7</v>
      </c>
      <c r="PT937" s="26" t="s">
        <v>7</v>
      </c>
      <c r="PV937" s="26" t="s">
        <v>7</v>
      </c>
      <c r="PX937" s="26" t="s">
        <v>7</v>
      </c>
      <c r="PZ937" s="26" t="s">
        <v>7</v>
      </c>
      <c r="QB937" s="26" t="s">
        <v>7</v>
      </c>
      <c r="QD937" s="26" t="s">
        <v>7</v>
      </c>
      <c r="QF937" s="26" t="s">
        <v>7</v>
      </c>
      <c r="QH937" s="26" t="s">
        <v>7</v>
      </c>
      <c r="QJ937" s="26" t="s">
        <v>7</v>
      </c>
      <c r="QL937" s="26" t="s">
        <v>7</v>
      </c>
      <c r="QN937" s="26" t="s">
        <v>7</v>
      </c>
      <c r="QP937" s="26" t="s">
        <v>7</v>
      </c>
      <c r="QR937" s="26" t="s">
        <v>7</v>
      </c>
      <c r="QT937" s="26" t="s">
        <v>7</v>
      </c>
      <c r="QV937" s="26" t="s">
        <v>7</v>
      </c>
      <c r="QX937" s="26" t="s">
        <v>7</v>
      </c>
      <c r="QZ937" s="26" t="s">
        <v>7</v>
      </c>
      <c r="RB937" s="26" t="s">
        <v>7</v>
      </c>
      <c r="RD937" s="26" t="s">
        <v>7</v>
      </c>
      <c r="RF937" s="26" t="s">
        <v>7</v>
      </c>
      <c r="RH937" s="26" t="s">
        <v>7</v>
      </c>
      <c r="RJ937" s="26" t="s">
        <v>7</v>
      </c>
      <c r="RL937" s="26" t="s">
        <v>7</v>
      </c>
      <c r="RN937" s="26" t="s">
        <v>7</v>
      </c>
      <c r="RP937" s="26" t="s">
        <v>7</v>
      </c>
      <c r="RR937" s="26" t="s">
        <v>7</v>
      </c>
      <c r="RT937" s="26" t="s">
        <v>7</v>
      </c>
      <c r="RV937" s="26" t="s">
        <v>7</v>
      </c>
      <c r="RX937" s="26" t="s">
        <v>7</v>
      </c>
      <c r="RZ937" s="26" t="s">
        <v>7</v>
      </c>
      <c r="SB937" s="26" t="s">
        <v>7</v>
      </c>
      <c r="SD937" s="26" t="s">
        <v>7</v>
      </c>
      <c r="SF937" s="26" t="s">
        <v>7</v>
      </c>
      <c r="SH937" s="26" t="s">
        <v>7</v>
      </c>
      <c r="SJ937" s="26" t="s">
        <v>7</v>
      </c>
      <c r="SL937" s="26" t="s">
        <v>7</v>
      </c>
      <c r="SN937" s="26" t="s">
        <v>7</v>
      </c>
      <c r="SP937" s="26" t="s">
        <v>7</v>
      </c>
      <c r="SR937" s="26" t="s">
        <v>7</v>
      </c>
      <c r="ST937" s="26" t="s">
        <v>7</v>
      </c>
      <c r="SV937" s="26" t="s">
        <v>7</v>
      </c>
      <c r="SX937" s="26" t="s">
        <v>7</v>
      </c>
      <c r="SZ937" s="26" t="s">
        <v>7</v>
      </c>
      <c r="TB937" s="26" t="s">
        <v>7</v>
      </c>
      <c r="TD937" s="26" t="s">
        <v>7</v>
      </c>
      <c r="TF937" s="26" t="s">
        <v>7</v>
      </c>
      <c r="TH937" s="26" t="s">
        <v>7</v>
      </c>
      <c r="TJ937" s="26" t="s">
        <v>7</v>
      </c>
      <c r="TL937" s="26" t="s">
        <v>7</v>
      </c>
      <c r="TN937" s="26" t="s">
        <v>7</v>
      </c>
      <c r="TP937" s="26" t="s">
        <v>7</v>
      </c>
      <c r="TR937" s="26" t="s">
        <v>7</v>
      </c>
      <c r="TT937" s="26" t="s">
        <v>7</v>
      </c>
      <c r="TV937" s="26" t="s">
        <v>7</v>
      </c>
      <c r="TX937" s="26" t="s">
        <v>7</v>
      </c>
      <c r="TZ937" s="26" t="s">
        <v>7</v>
      </c>
      <c r="UB937" s="26" t="s">
        <v>7</v>
      </c>
      <c r="UD937" s="26" t="s">
        <v>7</v>
      </c>
      <c r="UF937" s="26" t="s">
        <v>7</v>
      </c>
      <c r="UH937" s="26" t="s">
        <v>7</v>
      </c>
      <c r="UJ937" s="26" t="s">
        <v>7</v>
      </c>
      <c r="UL937" s="26" t="s">
        <v>7</v>
      </c>
      <c r="UN937" s="26" t="s">
        <v>7</v>
      </c>
      <c r="UP937" s="26" t="s">
        <v>7</v>
      </c>
      <c r="UR937" s="26" t="s">
        <v>7</v>
      </c>
      <c r="UT937" s="26" t="s">
        <v>7</v>
      </c>
      <c r="UV937" s="26" t="s">
        <v>7</v>
      </c>
      <c r="UX937" s="26" t="s">
        <v>7</v>
      </c>
      <c r="UZ937" s="26" t="s">
        <v>7</v>
      </c>
      <c r="VB937" s="26" t="s">
        <v>7</v>
      </c>
      <c r="VD937" s="26" t="s">
        <v>7</v>
      </c>
      <c r="VF937" s="26" t="s">
        <v>7</v>
      </c>
      <c r="VH937" s="26" t="s">
        <v>7</v>
      </c>
      <c r="VJ937" s="26" t="s">
        <v>7</v>
      </c>
      <c r="VL937" s="26" t="s">
        <v>7</v>
      </c>
      <c r="VN937" s="26" t="s">
        <v>7</v>
      </c>
      <c r="VP937" s="26" t="s">
        <v>7</v>
      </c>
      <c r="VR937" s="26" t="s">
        <v>7</v>
      </c>
      <c r="VT937" s="26" t="s">
        <v>7</v>
      </c>
      <c r="VV937" s="26" t="s">
        <v>7</v>
      </c>
      <c r="VX937" s="26" t="s">
        <v>7</v>
      </c>
      <c r="VZ937" s="26" t="s">
        <v>7</v>
      </c>
      <c r="WB937" s="26" t="s">
        <v>7</v>
      </c>
      <c r="WD937" s="26" t="s">
        <v>7</v>
      </c>
      <c r="WF937" s="26" t="s">
        <v>7</v>
      </c>
      <c r="WH937" s="26" t="s">
        <v>7</v>
      </c>
      <c r="WJ937" s="26" t="s">
        <v>7</v>
      </c>
      <c r="WL937" s="26" t="s">
        <v>7</v>
      </c>
      <c r="WN937" s="26" t="s">
        <v>7</v>
      </c>
      <c r="WP937" s="26" t="s">
        <v>7</v>
      </c>
      <c r="WR937" s="26" t="s">
        <v>7</v>
      </c>
    </row>
  </sheetData>
  <conditionalFormatting sqref="C27">
    <cfRule type="cellIs" dxfId="90" priority="1480" operator="equal">
      <formula>$U$1</formula>
    </cfRule>
    <cfRule type="cellIs" dxfId="89" priority="1481" operator="equal">
      <formula>$S$1</formula>
    </cfRule>
  </conditionalFormatting>
  <conditionalFormatting sqref="D27">
    <cfRule type="cellIs" dxfId="88" priority="1478" operator="equal">
      <formula>$S$1</formula>
    </cfRule>
    <cfRule type="cellIs" dxfId="87" priority="1479" operator="equal">
      <formula>$U$1</formula>
    </cfRule>
  </conditionalFormatting>
  <conditionalFormatting sqref="C164">
    <cfRule type="cellIs" dxfId="86" priority="1476" operator="equal">
      <formula>$U$1</formula>
    </cfRule>
    <cfRule type="cellIs" dxfId="85" priority="1477" operator="equal">
      <formula>$S$1</formula>
    </cfRule>
  </conditionalFormatting>
  <conditionalFormatting sqref="D164">
    <cfRule type="cellIs" dxfId="84" priority="1474" operator="equal">
      <formula>$S$1</formula>
    </cfRule>
    <cfRule type="cellIs" dxfId="83" priority="1475" operator="equal">
      <formula>$U$1</formula>
    </cfRule>
  </conditionalFormatting>
  <conditionalFormatting sqref="C55">
    <cfRule type="cellIs" dxfId="82" priority="1472" operator="equal">
      <formula>$U$1</formula>
    </cfRule>
    <cfRule type="cellIs" dxfId="81" priority="1473" operator="equal">
      <formula>$S$1</formula>
    </cfRule>
  </conditionalFormatting>
  <conditionalFormatting sqref="D55">
    <cfRule type="cellIs" dxfId="80" priority="1470" operator="equal">
      <formula>$S$1</formula>
    </cfRule>
    <cfRule type="cellIs" dxfId="79" priority="1471" operator="equal">
      <formula>$U$1</formula>
    </cfRule>
  </conditionalFormatting>
  <conditionalFormatting sqref="C89">
    <cfRule type="cellIs" dxfId="78" priority="1468" operator="equal">
      <formula>$U$1</formula>
    </cfRule>
    <cfRule type="cellIs" dxfId="77" priority="1469" operator="equal">
      <formula>$S$1</formula>
    </cfRule>
  </conditionalFormatting>
  <conditionalFormatting sqref="D89">
    <cfRule type="cellIs" dxfId="76" priority="1466" operator="equal">
      <formula>$S$1</formula>
    </cfRule>
    <cfRule type="cellIs" dxfId="75" priority="1467" operator="equal">
      <formula>$U$1</formula>
    </cfRule>
  </conditionalFormatting>
  <conditionalFormatting sqref="C136">
    <cfRule type="cellIs" dxfId="74" priority="1464" operator="equal">
      <formula>$U$1</formula>
    </cfRule>
    <cfRule type="cellIs" dxfId="73" priority="1465" operator="equal">
      <formula>$S$1</formula>
    </cfRule>
  </conditionalFormatting>
  <conditionalFormatting sqref="D136">
    <cfRule type="cellIs" dxfId="72" priority="1462" operator="equal">
      <formula>$S$1</formula>
    </cfRule>
    <cfRule type="cellIs" dxfId="71" priority="1463" operator="equal">
      <formula>$U$1</formula>
    </cfRule>
  </conditionalFormatting>
  <conditionalFormatting sqref="C1">
    <cfRule type="cellIs" dxfId="70" priority="146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20" zoomScale="90" zoomScaleNormal="90" workbookViewId="0">
      <pane xSplit="4" topLeftCell="DQ1" activePane="topRight" state="frozen"/>
      <selection activeCell="A109" sqref="A109"/>
      <selection pane="topRight" activeCell="GG349" sqref="GG349"/>
    </sheetView>
  </sheetViews>
  <sheetFormatPr defaultRowHeight="15" x14ac:dyDescent="0.25"/>
  <cols>
    <col min="1" max="1" width="10.7109375" style="29" customWidth="1"/>
    <col min="2" max="5" width="10.7109375" style="1" hidden="1" customWidth="1"/>
    <col min="6" max="6" width="10.7109375" style="26" hidden="1" customWidth="1"/>
    <col min="7" max="702" width="3" style="26" customWidth="1"/>
  </cols>
  <sheetData>
    <row r="1" spans="1:21" x14ac:dyDescent="0.25">
      <c r="S1" s="26" t="s">
        <v>7</v>
      </c>
      <c r="U1" s="26" t="s">
        <v>8</v>
      </c>
    </row>
    <row r="4" spans="1:21" x14ac:dyDescent="0.25">
      <c r="A4" s="29">
        <v>100155.44859784204</v>
      </c>
    </row>
    <row r="5" spans="1:21" x14ac:dyDescent="0.25">
      <c r="A5" s="29">
        <v>95386.141521754325</v>
      </c>
    </row>
    <row r="6" spans="1:21" x14ac:dyDescent="0.25">
      <c r="A6" s="29">
        <v>90843.944306432692</v>
      </c>
    </row>
    <row r="7" spans="1:21" x14ac:dyDescent="0.25">
      <c r="A7" s="29">
        <v>86518.042196602561</v>
      </c>
    </row>
    <row r="8" spans="1:21" x14ac:dyDescent="0.25">
      <c r="A8" s="29">
        <v>82398.135425335771</v>
      </c>
    </row>
    <row r="9" spans="1:21" x14ac:dyDescent="0.25">
      <c r="A9" s="29">
        <v>78474.414690795966</v>
      </c>
    </row>
    <row r="10" spans="1:21" x14ac:dyDescent="0.25">
      <c r="A10" s="29">
        <v>74737.537800758058</v>
      </c>
    </row>
    <row r="11" spans="1:21" x14ac:dyDescent="0.25">
      <c r="A11" s="29">
        <v>71178.607429293392</v>
      </c>
    </row>
    <row r="12" spans="1:21" x14ac:dyDescent="0.25">
      <c r="A12" s="29">
        <v>67789.149932660366</v>
      </c>
    </row>
    <row r="13" spans="1:21" x14ac:dyDescent="0.25">
      <c r="A13" s="29">
        <v>64561.095173962254</v>
      </c>
    </row>
    <row r="14" spans="1:21" x14ac:dyDescent="0.25">
      <c r="A14" s="29">
        <v>61486.757308535474</v>
      </c>
    </row>
    <row r="15" spans="1:21" x14ac:dyDescent="0.25">
      <c r="A15" s="29">
        <v>58558.816484319497</v>
      </c>
    </row>
    <row r="16" spans="1:21" x14ac:dyDescent="0.25">
      <c r="A16" s="29">
        <v>55770.301413637615</v>
      </c>
    </row>
    <row r="17" spans="1:7" x14ac:dyDescent="0.25">
      <c r="A17" s="29">
        <v>53114.572774892964</v>
      </c>
    </row>
    <row r="18" spans="1:7" x14ac:dyDescent="0.25">
      <c r="A18" s="29">
        <v>50585.307404659965</v>
      </c>
    </row>
    <row r="19" spans="1:7" x14ac:dyDescent="0.25">
      <c r="A19" s="29">
        <v>48176.483242533301</v>
      </c>
    </row>
    <row r="20" spans="1:7" x14ac:dyDescent="0.25">
      <c r="A20" s="29">
        <v>45882.364992888855</v>
      </c>
    </row>
    <row r="21" spans="1:7" x14ac:dyDescent="0.25">
      <c r="A21" s="29">
        <v>43697.490469417957</v>
      </c>
      <c r="C21" s="1" t="s">
        <v>15</v>
      </c>
      <c r="G21" s="11"/>
    </row>
    <row r="22" spans="1:7" x14ac:dyDescent="0.25">
      <c r="A22" s="29">
        <v>41616.657589921859</v>
      </c>
      <c r="C22" s="7">
        <v>0.11686133436193799</v>
      </c>
      <c r="D22"/>
    </row>
    <row r="23" spans="1:7" x14ac:dyDescent="0.25">
      <c r="A23" s="29">
        <v>39634.911990401772</v>
      </c>
    </row>
    <row r="24" spans="1:7" x14ac:dyDescent="0.25">
      <c r="A24" s="29">
        <v>37747.535228954068</v>
      </c>
      <c r="C24" s="1" t="s">
        <v>11</v>
      </c>
      <c r="D24" s="1" t="s">
        <v>12</v>
      </c>
    </row>
    <row r="25" spans="1:7" x14ac:dyDescent="0.25">
      <c r="A25" s="29">
        <v>35950.033551384826</v>
      </c>
      <c r="C25"/>
      <c r="D25"/>
    </row>
    <row r="26" spans="1:7" x14ac:dyDescent="0.25">
      <c r="A26" s="29">
        <v>34238.127191795073</v>
      </c>
    </row>
    <row r="27" spans="1:7" x14ac:dyDescent="0.25">
      <c r="A27" s="29">
        <v>32607.740182661972</v>
      </c>
      <c r="C27" s="1" t="s">
        <v>13</v>
      </c>
    </row>
    <row r="28" spans="1:7" x14ac:dyDescent="0.25">
      <c r="A28" s="29">
        <v>31054.990650154257</v>
      </c>
      <c r="C28" s="1">
        <f>C17</f>
        <v>0</v>
      </c>
    </row>
    <row r="29" spans="1:7" x14ac:dyDescent="0.25">
      <c r="A29" s="29">
        <v>29576.181571575482</v>
      </c>
      <c r="C29"/>
    </row>
    <row r="30" spans="1:7" x14ac:dyDescent="0.25">
      <c r="A30" s="29">
        <v>28167.79197292903</v>
      </c>
      <c r="C30" s="1" t="s">
        <v>14</v>
      </c>
    </row>
    <row r="31" spans="1:7" x14ac:dyDescent="0.25">
      <c r="A31" s="29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29">
        <v>25549.017662520659</v>
      </c>
    </row>
    <row r="33" spans="1:5" x14ac:dyDescent="0.25">
      <c r="A33" s="29">
        <v>24332.397773829198</v>
      </c>
      <c r="E33"/>
    </row>
    <row r="34" spans="1:5" x14ac:dyDescent="0.25">
      <c r="A34" s="29">
        <v>23173.712165551617</v>
      </c>
      <c r="E34"/>
    </row>
    <row r="35" spans="1:5" x14ac:dyDescent="0.25">
      <c r="A35" s="29">
        <v>22070.202062430111</v>
      </c>
      <c r="E35"/>
    </row>
    <row r="36" spans="1:5" x14ac:dyDescent="0.25">
      <c r="A36" s="29">
        <v>21019.240059457246</v>
      </c>
      <c r="E36"/>
    </row>
    <row r="37" spans="1:5" x14ac:dyDescent="0.25">
      <c r="A37" s="29">
        <v>20018.323866149756</v>
      </c>
      <c r="E37"/>
    </row>
    <row r="38" spans="1:5" x14ac:dyDescent="0.25">
      <c r="A38" s="29">
        <v>19065.070348714053</v>
      </c>
      <c r="E38"/>
    </row>
    <row r="39" spans="1:5" x14ac:dyDescent="0.25">
      <c r="A39" s="29">
        <v>18157.209855918143</v>
      </c>
      <c r="E39"/>
    </row>
    <row r="40" spans="1:5" x14ac:dyDescent="0.25">
      <c r="A40" s="29">
        <v>17292.580815160134</v>
      </c>
      <c r="E40"/>
    </row>
    <row r="41" spans="1:5" x14ac:dyDescent="0.25">
      <c r="A41" s="29">
        <v>16469.124585866793</v>
      </c>
      <c r="E41"/>
    </row>
    <row r="42" spans="1:5" x14ac:dyDescent="0.25">
      <c r="A42" s="29">
        <v>15684.880557968376</v>
      </c>
      <c r="E42"/>
    </row>
    <row r="43" spans="1:5" x14ac:dyDescent="0.25">
      <c r="A43" s="29">
        <v>14937.981483779406</v>
      </c>
      <c r="E43"/>
    </row>
    <row r="44" spans="1:5" x14ac:dyDescent="0.25">
      <c r="A44" s="29">
        <v>14226.649032170862</v>
      </c>
      <c r="E44"/>
    </row>
    <row r="45" spans="1:5" x14ac:dyDescent="0.25">
      <c r="A45" s="29">
        <v>13549.18955444844</v>
      </c>
      <c r="E45"/>
    </row>
    <row r="46" spans="1:5" x14ac:dyDescent="0.25">
      <c r="A46" s="29">
        <v>12903.990051855657</v>
      </c>
      <c r="C46" s="1" t="s">
        <v>15</v>
      </c>
      <c r="E46"/>
    </row>
    <row r="47" spans="1:5" x14ac:dyDescent="0.25">
      <c r="A47" s="29">
        <v>12289.514335100625</v>
      </c>
      <c r="C47" s="7">
        <v>0.11686133436193799</v>
      </c>
      <c r="D47"/>
      <c r="E47"/>
    </row>
    <row r="48" spans="1:5" x14ac:dyDescent="0.25">
      <c r="A48" s="29">
        <v>11704.2993667625</v>
      </c>
      <c r="E48"/>
    </row>
    <row r="49" spans="1:5" x14ac:dyDescent="0.25">
      <c r="A49" s="29">
        <v>11146.951777869046</v>
      </c>
      <c r="C49" s="1" t="s">
        <v>11</v>
      </c>
      <c r="D49" s="1" t="s">
        <v>12</v>
      </c>
      <c r="E49"/>
    </row>
    <row r="50" spans="1:5" x14ac:dyDescent="0.25">
      <c r="A50" s="29">
        <v>10616.144550351471</v>
      </c>
      <c r="C50"/>
      <c r="D50"/>
      <c r="E50"/>
    </row>
    <row r="51" spans="1:5" x14ac:dyDescent="0.25">
      <c r="A51" s="29">
        <v>10110.613857477592</v>
      </c>
      <c r="E51"/>
    </row>
    <row r="52" spans="1:5" x14ac:dyDescent="0.25">
      <c r="A52" s="29">
        <v>9629.1560547405643</v>
      </c>
      <c r="C52" s="1" t="s">
        <v>13</v>
      </c>
      <c r="E52"/>
    </row>
    <row r="53" spans="1:5" x14ac:dyDescent="0.25">
      <c r="A53" s="29">
        <v>9170.6248140386324</v>
      </c>
      <c r="C53" s="1">
        <f>C42</f>
        <v>0</v>
      </c>
      <c r="E53"/>
    </row>
    <row r="54" spans="1:5" x14ac:dyDescent="0.25">
      <c r="A54" s="29">
        <v>8733.9283943225073</v>
      </c>
      <c r="C54"/>
      <c r="E54"/>
    </row>
    <row r="55" spans="1:5" x14ac:dyDescent="0.25">
      <c r="A55" s="29">
        <v>8318.027042211912</v>
      </c>
      <c r="C55" s="1" t="s">
        <v>14</v>
      </c>
      <c r="E55"/>
    </row>
    <row r="56" spans="1:5" x14ac:dyDescent="0.25">
      <c r="A56" s="29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29">
        <v>7544.6957298974248</v>
      </c>
      <c r="E57"/>
    </row>
    <row r="58" spans="1:5" x14ac:dyDescent="0.25">
      <c r="A58" s="29">
        <v>7185.4245046642136</v>
      </c>
      <c r="E58"/>
    </row>
    <row r="59" spans="1:5" x14ac:dyDescent="0.25">
      <c r="A59" s="29">
        <v>6843.2614330135366</v>
      </c>
      <c r="E59"/>
    </row>
    <row r="60" spans="1:5" x14ac:dyDescent="0.25">
      <c r="A60" s="29">
        <v>6517.3918409652724</v>
      </c>
      <c r="E60"/>
    </row>
    <row r="61" spans="1:5" x14ac:dyDescent="0.25">
      <c r="A61" s="29">
        <v>6207.0398485383548</v>
      </c>
      <c r="E61"/>
    </row>
    <row r="62" spans="1:5" x14ac:dyDescent="0.25">
      <c r="A62" s="29">
        <v>5911.4665224174805</v>
      </c>
      <c r="E62"/>
    </row>
    <row r="63" spans="1:5" x14ac:dyDescent="0.25">
      <c r="A63" s="29">
        <v>5629.9681165880766</v>
      </c>
      <c r="E63"/>
    </row>
    <row r="64" spans="1:5" x14ac:dyDescent="0.25">
      <c r="A64" s="29">
        <v>5361.8743967505488</v>
      </c>
      <c r="E64"/>
    </row>
    <row r="65" spans="1:5" x14ac:dyDescent="0.25">
      <c r="A65" s="29">
        <v>5106.5470445243318</v>
      </c>
      <c r="E65"/>
    </row>
    <row r="66" spans="1:5" x14ac:dyDescent="0.25">
      <c r="A66" s="29">
        <v>4863.3781376422203</v>
      </c>
      <c r="E66"/>
    </row>
    <row r="67" spans="1:5" x14ac:dyDescent="0.25">
      <c r="A67" s="29">
        <v>4631.7887025164</v>
      </c>
      <c r="E67"/>
    </row>
    <row r="68" spans="1:5" x14ac:dyDescent="0.25">
      <c r="A68" s="29">
        <v>4411.2273357299046</v>
      </c>
      <c r="E68"/>
    </row>
    <row r="69" spans="1:5" x14ac:dyDescent="0.25">
      <c r="A69" s="29">
        <v>4201.1688911713372</v>
      </c>
      <c r="E69"/>
    </row>
    <row r="70" spans="1:5" x14ac:dyDescent="0.25">
      <c r="A70" s="29">
        <v>4001.1132296869878</v>
      </c>
      <c r="E70"/>
    </row>
    <row r="71" spans="1:5" x14ac:dyDescent="0.25">
      <c r="A71" s="29">
        <v>3810.5840282733216</v>
      </c>
      <c r="C71" s="1" t="s">
        <v>15</v>
      </c>
      <c r="E71"/>
    </row>
    <row r="72" spans="1:5" x14ac:dyDescent="0.25">
      <c r="A72" s="29">
        <v>3629.1276459745918</v>
      </c>
      <c r="C72" s="7">
        <v>0.11686133436193799</v>
      </c>
      <c r="D72"/>
      <c r="E72"/>
    </row>
    <row r="73" spans="1:5" x14ac:dyDescent="0.25">
      <c r="A73" s="29">
        <v>3456.3120437853254</v>
      </c>
      <c r="E73"/>
    </row>
    <row r="74" spans="1:5" x14ac:dyDescent="0.25">
      <c r="A74" s="29">
        <v>3291.7257559860241</v>
      </c>
      <c r="C74" s="1" t="s">
        <v>11</v>
      </c>
      <c r="D74" s="1" t="s">
        <v>12</v>
      </c>
      <c r="E74"/>
    </row>
    <row r="75" spans="1:5" x14ac:dyDescent="0.25">
      <c r="A75" s="29">
        <v>3134.9769104628799</v>
      </c>
      <c r="C75"/>
      <c r="D75"/>
      <c r="E75"/>
    </row>
    <row r="76" spans="1:5" x14ac:dyDescent="0.25">
      <c r="A76" s="29">
        <v>2985.6922956789331</v>
      </c>
      <c r="E76"/>
    </row>
    <row r="77" spans="1:5" x14ac:dyDescent="0.25">
      <c r="A77" s="29">
        <v>2843.5164720751741</v>
      </c>
      <c r="C77" s="1" t="s">
        <v>13</v>
      </c>
      <c r="E77"/>
    </row>
    <row r="78" spans="1:5" x14ac:dyDescent="0.25">
      <c r="A78" s="29">
        <v>2708.1109257858798</v>
      </c>
      <c r="C78" s="1">
        <f>C67</f>
        <v>0</v>
      </c>
      <c r="E78"/>
    </row>
    <row r="79" spans="1:5" x14ac:dyDescent="0.25">
      <c r="A79" s="29">
        <v>2579.1532626532189</v>
      </c>
      <c r="C79"/>
      <c r="E79"/>
    </row>
    <row r="80" spans="1:5" x14ac:dyDescent="0.25">
      <c r="A80" s="29">
        <v>2456.3364406221131</v>
      </c>
      <c r="C80" s="1" t="s">
        <v>14</v>
      </c>
      <c r="E80"/>
    </row>
    <row r="81" spans="1:5" x14ac:dyDescent="0.25">
      <c r="A81" s="29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29">
        <v>2227.9695606549776</v>
      </c>
      <c r="E82"/>
    </row>
    <row r="83" spans="1:5" x14ac:dyDescent="0.25">
      <c r="A83" s="29">
        <v>2121.8757720523595</v>
      </c>
      <c r="E83"/>
    </row>
    <row r="84" spans="1:5" x14ac:dyDescent="0.25">
      <c r="A84" s="29">
        <v>2020.8340686212948</v>
      </c>
      <c r="E84"/>
    </row>
    <row r="85" spans="1:5" x14ac:dyDescent="0.25">
      <c r="A85" s="29">
        <v>1924.6038748774236</v>
      </c>
      <c r="E85"/>
    </row>
    <row r="86" spans="1:5" x14ac:dyDescent="0.25">
      <c r="A86" s="29">
        <v>1832.9560713118319</v>
      </c>
      <c r="E86"/>
    </row>
    <row r="87" spans="1:5" x14ac:dyDescent="0.25">
      <c r="A87" s="29">
        <v>1745.6724488684113</v>
      </c>
      <c r="E87"/>
    </row>
    <row r="88" spans="1:5" x14ac:dyDescent="0.25">
      <c r="A88" s="29">
        <v>1662.5451893984869</v>
      </c>
      <c r="E88"/>
    </row>
    <row r="89" spans="1:5" x14ac:dyDescent="0.25">
      <c r="A89" s="29">
        <v>1583.3763708557017</v>
      </c>
      <c r="E89"/>
    </row>
    <row r="90" spans="1:5" x14ac:dyDescent="0.25">
      <c r="A90" s="29">
        <v>1507.9774960530492</v>
      </c>
      <c r="E90"/>
    </row>
    <row r="91" spans="1:5" x14ac:dyDescent="0.25">
      <c r="A91" s="29">
        <v>1436.1690438600467</v>
      </c>
      <c r="E91"/>
    </row>
    <row r="92" spans="1:5" x14ac:dyDescent="0.25">
      <c r="A92" s="29">
        <v>1367.780041771473</v>
      </c>
      <c r="E92"/>
    </row>
    <row r="93" spans="1:5" x14ac:dyDescent="0.25">
      <c r="A93" s="29">
        <v>1302.6476588299743</v>
      </c>
      <c r="E93"/>
    </row>
    <row r="94" spans="1:5" x14ac:dyDescent="0.25">
      <c r="A94" s="29">
        <v>1240.6168179333088</v>
      </c>
      <c r="E94"/>
    </row>
    <row r="95" spans="1:5" x14ac:dyDescent="0.25">
      <c r="A95" s="29">
        <v>1181.5398266031511</v>
      </c>
      <c r="E95"/>
    </row>
    <row r="96" spans="1:5" x14ac:dyDescent="0.25">
      <c r="A96" s="29">
        <v>1125.2760253363344</v>
      </c>
      <c r="C96" s="1" t="s">
        <v>15</v>
      </c>
      <c r="E96"/>
    </row>
    <row r="97" spans="1:5" x14ac:dyDescent="0.25">
      <c r="A97" s="29">
        <v>1071.6914527012709</v>
      </c>
      <c r="C97" s="7">
        <v>0.11686133436193799</v>
      </c>
      <c r="D97"/>
      <c r="E97"/>
    </row>
    <row r="98" spans="1:5" x14ac:dyDescent="0.25">
      <c r="A98" s="29">
        <v>1020.6585263821628</v>
      </c>
      <c r="E98"/>
    </row>
    <row r="99" spans="1:5" x14ac:dyDescent="0.25">
      <c r="A99" s="29">
        <v>972.05573941158355</v>
      </c>
      <c r="C99" s="1" t="s">
        <v>11</v>
      </c>
      <c r="D99" s="1" t="s">
        <v>12</v>
      </c>
      <c r="E99"/>
    </row>
    <row r="100" spans="1:5" x14ac:dyDescent="0.25">
      <c r="A100" s="29">
        <v>925.76737086817479</v>
      </c>
      <c r="C100"/>
      <c r="D100"/>
      <c r="E100"/>
    </row>
    <row r="101" spans="1:5" x14ac:dyDescent="0.25">
      <c r="A101" s="29">
        <v>881.68321035064264</v>
      </c>
      <c r="E101"/>
    </row>
    <row r="102" spans="1:5" x14ac:dyDescent="0.25">
      <c r="A102" s="29">
        <v>839.69829557204059</v>
      </c>
      <c r="C102" s="1" t="s">
        <v>13</v>
      </c>
      <c r="E102"/>
    </row>
    <row r="103" spans="1:5" x14ac:dyDescent="0.25">
      <c r="A103" s="29">
        <v>799.71266244956246</v>
      </c>
      <c r="C103" s="1">
        <f>C92</f>
        <v>0</v>
      </c>
      <c r="E103"/>
    </row>
    <row r="104" spans="1:5" x14ac:dyDescent="0.25">
      <c r="A104" s="29">
        <v>761.63110709482135</v>
      </c>
      <c r="C104"/>
      <c r="E104"/>
    </row>
    <row r="105" spans="1:5" x14ac:dyDescent="0.25">
      <c r="A105" s="29">
        <v>725.36295913792503</v>
      </c>
      <c r="C105" s="1" t="s">
        <v>14</v>
      </c>
      <c r="E105"/>
    </row>
    <row r="106" spans="1:5" x14ac:dyDescent="0.25">
      <c r="A106" s="29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29">
        <v>657.92558651965976</v>
      </c>
      <c r="E107"/>
    </row>
    <row r="108" spans="1:5" x14ac:dyDescent="0.25">
      <c r="A108" s="29">
        <v>626.59579668539027</v>
      </c>
      <c r="E108"/>
    </row>
    <row r="109" spans="1:5" x14ac:dyDescent="0.25">
      <c r="A109" s="29">
        <v>596.75790160513361</v>
      </c>
      <c r="E109"/>
    </row>
    <row r="110" spans="1:5" x14ac:dyDescent="0.25">
      <c r="A110" s="29">
        <v>568.34085867155579</v>
      </c>
      <c r="E110"/>
    </row>
    <row r="111" spans="1:5" x14ac:dyDescent="0.25">
      <c r="A111" s="29">
        <v>541.27700825862451</v>
      </c>
      <c r="C111" s="1" t="str">
        <f>ADDRESS(C121-1,1,1,1)</f>
        <v>$A$348</v>
      </c>
      <c r="D111" s="1" t="str">
        <f>ADDRESS(C121-1,D121,1,1)</f>
        <v>$GG$348</v>
      </c>
      <c r="E111"/>
    </row>
    <row r="112" spans="1:5" x14ac:dyDescent="0.25">
      <c r="A112" s="29">
        <v>515.50191262726139</v>
      </c>
      <c r="C112" s="1" t="str">
        <f>ADDRESS(C121,1,1,1)</f>
        <v>$A$349</v>
      </c>
      <c r="D112" s="1" t="str">
        <f>ADDRESS(C121,D121-1,1,1)</f>
        <v>$GF$349</v>
      </c>
      <c r="E112"/>
    </row>
    <row r="113" spans="1:5" x14ac:dyDescent="0.25">
      <c r="A113" s="29">
        <v>490.95420250215363</v>
      </c>
      <c r="C113" s="1" t="str">
        <f>ADDRESS(C121+1,1,1,1)</f>
        <v>$A$350</v>
      </c>
      <c r="D113" s="1" t="str">
        <f>ADDRESS(C121-1,D121+1,1,1)</f>
        <v>$GH$348</v>
      </c>
    </row>
    <row r="114" spans="1:5" x14ac:dyDescent="0.25">
      <c r="A114" s="29">
        <v>467.57543095443202</v>
      </c>
      <c r="C114" s="1" t="str">
        <f>ADDRESS(C121,D121,1,1)</f>
        <v>$GG$349</v>
      </c>
      <c r="D114" s="1" t="str">
        <f>ADDRESS(C121+1,D121+1,1,1)</f>
        <v>$GH$350</v>
      </c>
    </row>
    <row r="115" spans="1:5" x14ac:dyDescent="0.25">
      <c r="A115" s="29">
        <v>445.30993424231622</v>
      </c>
      <c r="C115" s="1" t="str">
        <f>ADDRESS(C121+1,D121,1,1)</f>
        <v>$GG$350</v>
      </c>
    </row>
    <row r="116" spans="1:5" x14ac:dyDescent="0.25">
      <c r="A116" s="29">
        <v>424.10469927839637</v>
      </c>
      <c r="C116" s="1">
        <f>C117-1</f>
        <v>348</v>
      </c>
    </row>
    <row r="117" spans="1:5" x14ac:dyDescent="0.25">
      <c r="A117" s="29">
        <v>403.9092374079965</v>
      </c>
      <c r="C117" s="1">
        <f>C121</f>
        <v>349</v>
      </c>
      <c r="D117" s="1">
        <f>D121</f>
        <v>189</v>
      </c>
    </row>
    <row r="118" spans="1:5" x14ac:dyDescent="0.25">
      <c r="A118" s="29">
        <v>384.6754641980919</v>
      </c>
      <c r="C118" s="1">
        <f>C117+1</f>
        <v>350</v>
      </c>
      <c r="D118" s="1">
        <f>D117+1</f>
        <v>190</v>
      </c>
    </row>
    <row r="119" spans="1:5" x14ac:dyDescent="0.25">
      <c r="A119" s="29">
        <v>366.35758495056371</v>
      </c>
    </row>
    <row r="120" spans="1:5" x14ac:dyDescent="0.25">
      <c r="A120" s="29">
        <v>348.91198566720351</v>
      </c>
      <c r="C120" s="1" t="s">
        <v>9</v>
      </c>
    </row>
    <row r="121" spans="1:5" x14ac:dyDescent="0.25">
      <c r="A121" s="29">
        <v>332.29712920686046</v>
      </c>
      <c r="C121" s="18">
        <v>349</v>
      </c>
      <c r="D121" s="19">
        <v>189</v>
      </c>
      <c r="E121" s="19"/>
    </row>
    <row r="122" spans="1:5" x14ac:dyDescent="0.25">
      <c r="A122" s="29">
        <v>316.47345638748612</v>
      </c>
      <c r="C122" s="1" t="str">
        <f>INDEX(1:1048576,C117,D117)</f>
        <v>X</v>
      </c>
    </row>
    <row r="123" spans="1:5" x14ac:dyDescent="0.25">
      <c r="A123" s="29">
        <v>301.40329179760585</v>
      </c>
      <c r="C123" s="1" t="str">
        <f>"R"&amp;C121</f>
        <v>R349</v>
      </c>
      <c r="D123" s="1" t="str">
        <f>"C"&amp;D121</f>
        <v>C189</v>
      </c>
    </row>
    <row r="124" spans="1:5" x14ac:dyDescent="0.25">
      <c r="A124" s="29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29">
        <v>273.38167056472184</v>
      </c>
    </row>
    <row r="126" spans="1:5" x14ac:dyDescent="0.25">
      <c r="A126" s="29">
        <v>260.36349577592557</v>
      </c>
      <c r="C126" s="1" t="s">
        <v>10</v>
      </c>
    </row>
    <row r="127" spans="1:5" x14ac:dyDescent="0.25">
      <c r="A127" s="29">
        <v>247.96523407231004</v>
      </c>
      <c r="C127" s="29">
        <v>4.9019220559181099E-3</v>
      </c>
      <c r="D127"/>
    </row>
    <row r="128" spans="1:5" x14ac:dyDescent="0.25">
      <c r="A128" s="29">
        <v>236.15736578315241</v>
      </c>
    </row>
    <row r="129" spans="1:5" x14ac:dyDescent="0.25">
      <c r="A129" s="29">
        <v>224.91177693633563</v>
      </c>
      <c r="C129" s="1" t="s">
        <v>11</v>
      </c>
      <c r="D129" s="1" t="s">
        <v>12</v>
      </c>
      <c r="E129"/>
    </row>
    <row r="130" spans="1:5" x14ac:dyDescent="0.25">
      <c r="A130" s="29">
        <v>214.20169232031964</v>
      </c>
      <c r="C130" s="6"/>
      <c r="D130" s="6"/>
      <c r="E130"/>
    </row>
    <row r="131" spans="1:5" x14ac:dyDescent="0.25">
      <c r="A131" s="29">
        <v>204.00161173363773</v>
      </c>
      <c r="E131"/>
    </row>
    <row r="132" spans="1:5" x14ac:dyDescent="0.25">
      <c r="A132" s="29">
        <v>194.28724927013116</v>
      </c>
      <c r="C132" s="1" t="s">
        <v>13</v>
      </c>
      <c r="E132"/>
    </row>
    <row r="133" spans="1:5" x14ac:dyDescent="0.25">
      <c r="A133" s="29">
        <v>185.03547549536299</v>
      </c>
      <c r="C133" s="1" t="str">
        <f>C122</f>
        <v>X</v>
      </c>
      <c r="E133"/>
    </row>
    <row r="134" spans="1:5" x14ac:dyDescent="0.25">
      <c r="A134" s="29">
        <v>176.22426237653616</v>
      </c>
      <c r="C134"/>
      <c r="E134"/>
    </row>
    <row r="135" spans="1:5" x14ac:dyDescent="0.25">
      <c r="A135" s="29">
        <v>167.83263083479633</v>
      </c>
      <c r="C135" s="1" t="s">
        <v>14</v>
      </c>
      <c r="E135"/>
    </row>
    <row r="136" spans="1:5" x14ac:dyDescent="0.25">
      <c r="A136" s="29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29">
        <v>152.22914361432771</v>
      </c>
      <c r="E137"/>
    </row>
    <row r="138" spans="1:5" x14ac:dyDescent="0.25">
      <c r="A138" s="29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29">
        <v>138.07632073861922</v>
      </c>
      <c r="E139"/>
    </row>
    <row r="140" spans="1:5" x14ac:dyDescent="0.25">
      <c r="A140" s="29">
        <v>131.50125784630401</v>
      </c>
      <c r="C140" s="1">
        <v>0</v>
      </c>
      <c r="E140"/>
    </row>
    <row r="141" spans="1:5" x14ac:dyDescent="0.25">
      <c r="A141" s="29">
        <v>125.23929318695619</v>
      </c>
      <c r="C141" s="1">
        <v>1</v>
      </c>
      <c r="E141"/>
    </row>
    <row r="142" spans="1:5" x14ac:dyDescent="0.25">
      <c r="A142" s="29">
        <v>119.27551732091065</v>
      </c>
      <c r="C142" s="1">
        <v>2</v>
      </c>
      <c r="E142"/>
    </row>
    <row r="143" spans="1:5" x14ac:dyDescent="0.25">
      <c r="A143" s="29">
        <v>113.59573078181967</v>
      </c>
      <c r="C143" s="1">
        <v>3</v>
      </c>
      <c r="E143"/>
    </row>
    <row r="144" spans="1:5" x14ac:dyDescent="0.25">
      <c r="A144" s="29">
        <v>108.18641026839968</v>
      </c>
      <c r="C144" s="1">
        <v>4</v>
      </c>
      <c r="E144"/>
    </row>
    <row r="145" spans="1:5" x14ac:dyDescent="0.25">
      <c r="A145" s="29">
        <v>103.03467644609493</v>
      </c>
      <c r="E145"/>
    </row>
    <row r="146" spans="1:5" x14ac:dyDescent="0.25">
      <c r="A146" s="29">
        <v>98.128263281995174</v>
      </c>
      <c r="E146"/>
    </row>
    <row r="147" spans="1:5" x14ac:dyDescent="0.25">
      <c r="A147" s="29">
        <v>93.455488839995397</v>
      </c>
      <c r="E147"/>
    </row>
    <row r="148" spans="1:5" x14ac:dyDescent="0.25">
      <c r="A148" s="29">
        <v>89.005227466662276</v>
      </c>
      <c r="E148"/>
    </row>
    <row r="149" spans="1:5" x14ac:dyDescent="0.25">
      <c r="A149" s="29">
        <v>84.766883301583121</v>
      </c>
      <c r="E149"/>
    </row>
    <row r="150" spans="1:5" x14ac:dyDescent="0.25">
      <c r="A150" s="29">
        <v>80.730365049126775</v>
      </c>
      <c r="E150"/>
    </row>
    <row r="151" spans="1:5" x14ac:dyDescent="0.25">
      <c r="A151" s="29">
        <v>76.886061951549308</v>
      </c>
      <c r="E151"/>
    </row>
    <row r="152" spans="1:5" x14ac:dyDescent="0.25">
      <c r="A152" s="29">
        <v>73.22482090623744</v>
      </c>
      <c r="E152"/>
    </row>
    <row r="153" spans="1:5" x14ac:dyDescent="0.25">
      <c r="A153" s="29">
        <v>69.737924672607079</v>
      </c>
      <c r="C153" s="7"/>
      <c r="D153"/>
      <c r="E153"/>
    </row>
    <row r="154" spans="1:5" x14ac:dyDescent="0.25">
      <c r="A154" s="29">
        <v>66.417071116768639</v>
      </c>
      <c r="E154"/>
    </row>
    <row r="155" spans="1:5" x14ac:dyDescent="0.25">
      <c r="A155" s="29">
        <v>63.254353444541557</v>
      </c>
      <c r="E155"/>
    </row>
    <row r="156" spans="1:5" x14ac:dyDescent="0.25">
      <c r="A156" s="29">
        <v>60.242241375753864</v>
      </c>
      <c r="C156"/>
      <c r="D156"/>
      <c r="E156"/>
    </row>
    <row r="157" spans="1:5" x14ac:dyDescent="0.25">
      <c r="A157" s="29">
        <v>57.373563215003678</v>
      </c>
      <c r="E157"/>
    </row>
    <row r="158" spans="1:5" x14ac:dyDescent="0.25">
      <c r="A158" s="29">
        <v>54.641488776193974</v>
      </c>
      <c r="E158"/>
    </row>
    <row r="159" spans="1:5" x14ac:dyDescent="0.25">
      <c r="A159" s="29">
        <v>52.039513120184736</v>
      </c>
      <c r="E159"/>
    </row>
    <row r="160" spans="1:5" x14ac:dyDescent="0.25">
      <c r="A160" s="29">
        <v>49.561441066842605</v>
      </c>
      <c r="C160"/>
      <c r="E160"/>
    </row>
    <row r="161" spans="1:5" x14ac:dyDescent="0.25">
      <c r="A161" s="29">
        <v>47.201372444612005</v>
      </c>
      <c r="E161"/>
    </row>
    <row r="162" spans="1:5" x14ac:dyDescent="0.25">
      <c r="A162" s="29">
        <v>44.95368804248762</v>
      </c>
      <c r="E162"/>
    </row>
    <row r="163" spans="1:5" x14ac:dyDescent="0.25">
      <c r="A163" s="29">
        <v>42.81303623094059</v>
      </c>
      <c r="E163"/>
    </row>
    <row r="164" spans="1:5" x14ac:dyDescent="0.25">
      <c r="A164" s="29">
        <v>40.774320219943419</v>
      </c>
      <c r="E164"/>
    </row>
    <row r="165" spans="1:5" x14ac:dyDescent="0.25">
      <c r="A165" s="29">
        <v>38.832685923755633</v>
      </c>
      <c r="E165"/>
    </row>
    <row r="166" spans="1:5" x14ac:dyDescent="0.25">
      <c r="A166" s="29">
        <v>36.983510403576794</v>
      </c>
      <c r="E166"/>
    </row>
    <row r="167" spans="1:5" x14ac:dyDescent="0.25">
      <c r="A167" s="29">
        <v>35.222390860549325</v>
      </c>
      <c r="E167"/>
    </row>
    <row r="168" spans="1:5" x14ac:dyDescent="0.25">
      <c r="A168" s="29">
        <v>33.545134152904119</v>
      </c>
      <c r="E168"/>
    </row>
    <row r="169" spans="1:5" x14ac:dyDescent="0.25">
      <c r="A169" s="29">
        <v>31.947746812289637</v>
      </c>
      <c r="E169"/>
    </row>
    <row r="170" spans="1:5" x14ac:dyDescent="0.25">
      <c r="A170" s="29">
        <v>30.426425535513939</v>
      </c>
      <c r="E170"/>
    </row>
    <row r="171" spans="1:5" x14ac:dyDescent="0.25">
      <c r="A171" s="29">
        <v>28.977548129060892</v>
      </c>
      <c r="E171"/>
    </row>
    <row r="172" spans="1:5" x14ac:dyDescent="0.25">
      <c r="A172" s="29">
        <v>27.597664884819896</v>
      </c>
      <c r="E172"/>
    </row>
    <row r="173" spans="1:5" x14ac:dyDescent="0.25">
      <c r="A173" s="29">
        <v>26.283490366495137</v>
      </c>
      <c r="E173"/>
    </row>
    <row r="174" spans="1:5" x14ac:dyDescent="0.25">
      <c r="A174" s="29">
        <v>25.031895587138223</v>
      </c>
      <c r="E174"/>
    </row>
    <row r="175" spans="1:5" x14ac:dyDescent="0.25">
      <c r="A175" s="29">
        <v>23.839900559179259</v>
      </c>
      <c r="E175"/>
    </row>
    <row r="176" spans="1:5" x14ac:dyDescent="0.25">
      <c r="A176" s="29">
        <v>22.704667199218342</v>
      </c>
      <c r="E176"/>
    </row>
    <row r="177" spans="1:5" x14ac:dyDescent="0.25">
      <c r="A177" s="29">
        <v>21.623492570684135</v>
      </c>
      <c r="E177"/>
    </row>
    <row r="178" spans="1:5" x14ac:dyDescent="0.25">
      <c r="A178" s="29">
        <v>20.593802448270605</v>
      </c>
      <c r="C178" s="7"/>
      <c r="D178"/>
      <c r="E178"/>
    </row>
    <row r="179" spans="1:5" x14ac:dyDescent="0.25">
      <c r="A179" s="29">
        <v>19.613145188829147</v>
      </c>
      <c r="E179"/>
    </row>
    <row r="180" spans="1:5" x14ac:dyDescent="0.25">
      <c r="A180" s="29">
        <v>18.679185894122998</v>
      </c>
      <c r="E180"/>
    </row>
    <row r="181" spans="1:5" x14ac:dyDescent="0.25">
      <c r="A181" s="29">
        <v>17.78970085154571</v>
      </c>
      <c r="C181"/>
      <c r="D181"/>
      <c r="E181"/>
    </row>
    <row r="182" spans="1:5" x14ac:dyDescent="0.25">
      <c r="A182" s="29">
        <v>16.942572239567344</v>
      </c>
      <c r="E182"/>
    </row>
    <row r="183" spans="1:5" x14ac:dyDescent="0.25">
      <c r="A183" s="29">
        <v>16.135783085302233</v>
      </c>
      <c r="E183"/>
    </row>
    <row r="184" spans="1:5" x14ac:dyDescent="0.25">
      <c r="A184" s="29">
        <v>15.367412462192602</v>
      </c>
      <c r="E184"/>
    </row>
    <row r="185" spans="1:5" x14ac:dyDescent="0.25">
      <c r="A185" s="29">
        <v>14.635630916373906</v>
      </c>
      <c r="C185"/>
      <c r="E185"/>
    </row>
    <row r="186" spans="1:5" x14ac:dyDescent="0.25">
      <c r="A186" s="29">
        <v>13.938696110832291</v>
      </c>
      <c r="E186"/>
    </row>
    <row r="187" spans="1:5" x14ac:dyDescent="0.25">
      <c r="A187" s="29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29">
        <v>12.64280826379346</v>
      </c>
      <c r="E188"/>
    </row>
    <row r="189" spans="1:5" x14ac:dyDescent="0.25">
      <c r="A189" s="29">
        <v>12.04076977504139</v>
      </c>
      <c r="E189"/>
    </row>
    <row r="190" spans="1:5" x14ac:dyDescent="0.25">
      <c r="A190" s="29">
        <v>11.467399785753704</v>
      </c>
      <c r="E190"/>
    </row>
    <row r="191" spans="1:5" x14ac:dyDescent="0.25">
      <c r="A191" s="29">
        <v>10.921333129289241</v>
      </c>
      <c r="E191"/>
    </row>
    <row r="192" spans="1:5" x14ac:dyDescent="0.25">
      <c r="A192" s="29">
        <v>10.401269646942135</v>
      </c>
      <c r="E192"/>
    </row>
    <row r="193" spans="1:5" x14ac:dyDescent="0.25">
      <c r="A193" s="29">
        <v>9.9059710923258422</v>
      </c>
      <c r="E193"/>
    </row>
    <row r="194" spans="1:5" x14ac:dyDescent="0.25">
      <c r="A194" s="29">
        <v>9.4342581831674686</v>
      </c>
      <c r="E194"/>
    </row>
    <row r="195" spans="1:5" x14ac:dyDescent="0.25">
      <c r="A195" s="29">
        <v>8.9850077934928265</v>
      </c>
      <c r="E195"/>
    </row>
    <row r="196" spans="1:5" x14ac:dyDescent="0.25">
      <c r="A196" s="29">
        <v>8.5571502795169767</v>
      </c>
      <c r="E196"/>
    </row>
    <row r="197" spans="1:5" x14ac:dyDescent="0.25">
      <c r="A197" s="29">
        <v>8.1496669328733109</v>
      </c>
      <c r="E197"/>
    </row>
    <row r="198" spans="1:5" x14ac:dyDescent="0.25">
      <c r="A198" s="29">
        <v>7.7615875551174378</v>
      </c>
      <c r="E198"/>
    </row>
    <row r="199" spans="1:5" x14ac:dyDescent="0.25">
      <c r="A199" s="29">
        <v>7.3919881477308929</v>
      </c>
      <c r="E199"/>
    </row>
    <row r="200" spans="1:5" x14ac:dyDescent="0.25">
      <c r="A200" s="29">
        <v>7.0399887121246598</v>
      </c>
      <c r="E200"/>
    </row>
    <row r="201" spans="1:5" x14ac:dyDescent="0.25">
      <c r="A201" s="29">
        <v>6.7047511544044376</v>
      </c>
      <c r="E201"/>
    </row>
    <row r="202" spans="1:5" x14ac:dyDescent="0.25">
      <c r="A202" s="29">
        <v>6.3854772899089882</v>
      </c>
      <c r="E202"/>
    </row>
    <row r="203" spans="1:5" x14ac:dyDescent="0.25">
      <c r="A203" s="29">
        <v>6.0814069427704647</v>
      </c>
      <c r="C203" s="7"/>
      <c r="D203"/>
      <c r="E203"/>
    </row>
    <row r="204" spans="1:5" x14ac:dyDescent="0.25">
      <c r="A204" s="29">
        <v>5.7918161359718709</v>
      </c>
      <c r="E204"/>
    </row>
    <row r="205" spans="1:5" x14ac:dyDescent="0.25">
      <c r="A205" s="29">
        <v>5.5160153675922574</v>
      </c>
      <c r="E205"/>
    </row>
    <row r="206" spans="1:5" x14ac:dyDescent="0.25">
      <c r="A206" s="29">
        <v>5.2533479691354827</v>
      </c>
      <c r="C206"/>
      <c r="D206"/>
      <c r="E206"/>
    </row>
    <row r="207" spans="1:5" x14ac:dyDescent="0.25">
      <c r="A207" s="29">
        <v>5.0031885420337927</v>
      </c>
      <c r="E207"/>
    </row>
    <row r="208" spans="1:5" x14ac:dyDescent="0.25">
      <c r="A208" s="29">
        <v>4.7649414686036122</v>
      </c>
      <c r="E208"/>
    </row>
    <row r="209" spans="1:5" x14ac:dyDescent="0.25">
      <c r="A209" s="29">
        <v>4.5380394939082018</v>
      </c>
      <c r="E209"/>
    </row>
    <row r="210" spans="1:5" x14ac:dyDescent="0.25">
      <c r="A210" s="29">
        <v>4.3219423751506678</v>
      </c>
      <c r="C210"/>
      <c r="E210"/>
    </row>
    <row r="211" spans="1:5" x14ac:dyDescent="0.25">
      <c r="A211" s="29">
        <v>4.1161355953815884</v>
      </c>
      <c r="E211"/>
    </row>
    <row r="212" spans="1:5" x14ac:dyDescent="0.25">
      <c r="A212" s="29">
        <v>3.9201291384586554</v>
      </c>
      <c r="E212"/>
    </row>
    <row r="213" spans="1:5" x14ac:dyDescent="0.25">
      <c r="A213" s="29">
        <v>3.7334563223415764</v>
      </c>
      <c r="E213"/>
    </row>
    <row r="214" spans="1:5" x14ac:dyDescent="0.25">
      <c r="A214" s="29">
        <v>3.5556726879443583</v>
      </c>
      <c r="E214"/>
    </row>
    <row r="215" spans="1:5" x14ac:dyDescent="0.25">
      <c r="A215" s="29">
        <v>3.3863549408993889</v>
      </c>
      <c r="E215"/>
    </row>
    <row r="216" spans="1:5" x14ac:dyDescent="0.25">
      <c r="A216" s="29">
        <v>3.2250999437137038</v>
      </c>
      <c r="E216"/>
    </row>
    <row r="217" spans="1:5" x14ac:dyDescent="0.25">
      <c r="A217" s="29">
        <v>3.0715237559178128</v>
      </c>
      <c r="E217"/>
    </row>
    <row r="218" spans="1:5" x14ac:dyDescent="0.25">
      <c r="A218" s="29">
        <v>2.9252607199217264</v>
      </c>
      <c r="E218"/>
    </row>
    <row r="219" spans="1:5" x14ac:dyDescent="0.25">
      <c r="A219" s="29">
        <v>2.7859625904016441</v>
      </c>
      <c r="E219"/>
    </row>
    <row r="220" spans="1:5" x14ac:dyDescent="0.25">
      <c r="A220" s="29">
        <v>2.6532977051444226</v>
      </c>
      <c r="E220"/>
    </row>
    <row r="221" spans="1:5" x14ac:dyDescent="0.25">
      <c r="A221" s="29">
        <v>2.5269501953756404</v>
      </c>
      <c r="E221"/>
    </row>
    <row r="222" spans="1:5" x14ac:dyDescent="0.25">
      <c r="A222" s="29">
        <v>2.4066192336910861</v>
      </c>
      <c r="E222"/>
    </row>
    <row r="223" spans="1:5" x14ac:dyDescent="0.25">
      <c r="A223" s="29">
        <v>2.2920183178010345</v>
      </c>
      <c r="E223"/>
    </row>
    <row r="224" spans="1:5" x14ac:dyDescent="0.25">
      <c r="A224" s="29">
        <v>2.1828745883819374</v>
      </c>
      <c r="E224"/>
    </row>
    <row r="225" spans="1:5" x14ac:dyDescent="0.25">
      <c r="A225" s="29">
        <v>2.0789281794113688</v>
      </c>
      <c r="E225"/>
    </row>
    <row r="226" spans="1:5" x14ac:dyDescent="0.25">
      <c r="A226" s="29">
        <v>1.9799315994393987</v>
      </c>
      <c r="E226"/>
    </row>
    <row r="227" spans="1:5" x14ac:dyDescent="0.25">
      <c r="A227" s="29">
        <v>1.8856491423232367</v>
      </c>
      <c r="E227"/>
    </row>
    <row r="228" spans="1:5" x14ac:dyDescent="0.25">
      <c r="A228" s="29">
        <v>1.7958563260221301</v>
      </c>
      <c r="C228" s="7"/>
      <c r="D228"/>
      <c r="E228"/>
    </row>
    <row r="229" spans="1:5" x14ac:dyDescent="0.25">
      <c r="A229" s="29">
        <v>1.7103393581163142</v>
      </c>
      <c r="E229"/>
    </row>
    <row r="230" spans="1:5" x14ac:dyDescent="0.25">
      <c r="A230" s="29">
        <v>1.628894626777442</v>
      </c>
      <c r="E230"/>
    </row>
    <row r="231" spans="1:5" x14ac:dyDescent="0.25">
      <c r="A231" s="29">
        <v>1.5513282159785162</v>
      </c>
      <c r="C231"/>
      <c r="D231"/>
      <c r="E231"/>
    </row>
    <row r="232" spans="1:5" x14ac:dyDescent="0.25">
      <c r="A232" s="29">
        <v>1.477455443789063</v>
      </c>
      <c r="E232"/>
    </row>
    <row r="233" spans="1:5" x14ac:dyDescent="0.25">
      <c r="A233" s="29">
        <v>1.4071004226562505</v>
      </c>
      <c r="E233"/>
    </row>
    <row r="234" spans="1:5" x14ac:dyDescent="0.25">
      <c r="A234" s="29">
        <v>1.3400956406250004</v>
      </c>
      <c r="E234"/>
    </row>
    <row r="235" spans="1:5" x14ac:dyDescent="0.25">
      <c r="A235" s="29">
        <v>1.2762815625000004</v>
      </c>
      <c r="C235"/>
      <c r="E235"/>
    </row>
    <row r="236" spans="1:5" x14ac:dyDescent="0.25">
      <c r="A236" s="29">
        <v>1.2155062500000002</v>
      </c>
      <c r="E236"/>
    </row>
    <row r="237" spans="1:5" x14ac:dyDescent="0.25">
      <c r="A237" s="29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29">
        <v>1.1025</v>
      </c>
      <c r="E238"/>
    </row>
    <row r="239" spans="1:5" x14ac:dyDescent="0.25">
      <c r="A239" s="29">
        <v>1.05</v>
      </c>
      <c r="E239"/>
    </row>
    <row r="240" spans="1:5" x14ac:dyDescent="0.25">
      <c r="A240" s="29">
        <v>1</v>
      </c>
      <c r="E240" s="28" t="s">
        <v>8</v>
      </c>
    </row>
    <row r="241" spans="1:6" x14ac:dyDescent="0.25">
      <c r="A241" s="29">
        <v>0.952380952380952</v>
      </c>
      <c r="B241"/>
      <c r="C241"/>
      <c r="D241"/>
      <c r="E241"/>
      <c r="F241" s="26" t="s">
        <v>7</v>
      </c>
    </row>
    <row r="242" spans="1:6" x14ac:dyDescent="0.25">
      <c r="A242" s="29">
        <v>0.90702947845804915</v>
      </c>
      <c r="B242"/>
      <c r="C242"/>
      <c r="D242"/>
      <c r="E242"/>
      <c r="F242" s="26" t="s">
        <v>7</v>
      </c>
    </row>
    <row r="243" spans="1:6" x14ac:dyDescent="0.25">
      <c r="A243" s="29">
        <v>0.86383759853147501</v>
      </c>
      <c r="B243"/>
      <c r="C243"/>
      <c r="D243"/>
      <c r="E243"/>
      <c r="F243" s="26" t="s">
        <v>7</v>
      </c>
    </row>
    <row r="244" spans="1:6" x14ac:dyDescent="0.25">
      <c r="A244" s="29">
        <v>0.82270247479188063</v>
      </c>
      <c r="B244"/>
      <c r="C244"/>
      <c r="D244"/>
      <c r="E244"/>
      <c r="F244" s="26" t="s">
        <v>7</v>
      </c>
    </row>
    <row r="245" spans="1:6" x14ac:dyDescent="0.25">
      <c r="A245" s="29">
        <v>0.78352616646845741</v>
      </c>
      <c r="B245"/>
      <c r="C245"/>
      <c r="D245"/>
      <c r="E245"/>
      <c r="F245" s="26" t="s">
        <v>7</v>
      </c>
    </row>
    <row r="246" spans="1:6" x14ac:dyDescent="0.25">
      <c r="A246" s="29">
        <v>0.74621539663662584</v>
      </c>
      <c r="B246"/>
      <c r="C246"/>
      <c r="D246"/>
      <c r="E246"/>
      <c r="F246" s="26" t="s">
        <v>7</v>
      </c>
    </row>
    <row r="247" spans="1:6" x14ac:dyDescent="0.25">
      <c r="A247" s="29">
        <v>0.71068133013011958</v>
      </c>
      <c r="B247"/>
      <c r="C247"/>
      <c r="D247"/>
      <c r="E247"/>
      <c r="F247" s="26" t="s">
        <v>7</v>
      </c>
    </row>
    <row r="248" spans="1:6" x14ac:dyDescent="0.25">
      <c r="A248" s="29">
        <v>0.676839362028685</v>
      </c>
      <c r="B248"/>
      <c r="C248"/>
      <c r="D248"/>
      <c r="E248"/>
      <c r="F248" s="26" t="s">
        <v>7</v>
      </c>
    </row>
    <row r="249" spans="1:6" x14ac:dyDescent="0.25">
      <c r="A249" s="29">
        <v>0.64460891621779492</v>
      </c>
      <c r="B249"/>
      <c r="C249"/>
      <c r="D249"/>
      <c r="E249"/>
      <c r="F249" s="26" t="s">
        <v>7</v>
      </c>
    </row>
    <row r="250" spans="1:6" x14ac:dyDescent="0.25">
      <c r="A250" s="29">
        <v>0.61391325354075688</v>
      </c>
      <c r="B250"/>
      <c r="C250"/>
      <c r="D250"/>
      <c r="E250"/>
      <c r="F250" s="26" t="s">
        <v>7</v>
      </c>
    </row>
    <row r="251" spans="1:6" x14ac:dyDescent="0.25">
      <c r="A251" s="29">
        <v>0.58467928908643485</v>
      </c>
      <c r="B251"/>
      <c r="C251"/>
      <c r="D251"/>
      <c r="E251"/>
      <c r="F251" s="26" t="s">
        <v>7</v>
      </c>
    </row>
    <row r="252" spans="1:6" x14ac:dyDescent="0.25">
      <c r="A252" s="29">
        <v>0.55683741817755672</v>
      </c>
      <c r="B252"/>
      <c r="C252"/>
      <c r="D252"/>
      <c r="E252"/>
      <c r="F252" s="26" t="s">
        <v>7</v>
      </c>
    </row>
    <row r="253" spans="1:6" x14ac:dyDescent="0.25">
      <c r="A253" s="29">
        <v>0.53032135064529184</v>
      </c>
      <c r="B253"/>
      <c r="C253"/>
      <c r="D253"/>
      <c r="E253"/>
      <c r="F253" s="26" t="s">
        <v>7</v>
      </c>
    </row>
    <row r="254" spans="1:6" x14ac:dyDescent="0.25">
      <c r="A254" s="29">
        <v>0.50506795299551588</v>
      </c>
      <c r="B254"/>
      <c r="C254"/>
      <c r="D254"/>
      <c r="E254"/>
      <c r="F254" s="26" t="s">
        <v>7</v>
      </c>
    </row>
    <row r="255" spans="1:6" x14ac:dyDescent="0.25">
      <c r="A255" s="29">
        <v>0.48101709809096732</v>
      </c>
      <c r="E255"/>
      <c r="F255" s="26" t="s">
        <v>7</v>
      </c>
    </row>
    <row r="256" spans="1:6" x14ac:dyDescent="0.25">
      <c r="A256" s="29">
        <v>0.45811152199139726</v>
      </c>
      <c r="E256"/>
      <c r="F256" s="26" t="s">
        <v>7</v>
      </c>
    </row>
    <row r="257" spans="1:6" x14ac:dyDescent="0.25">
      <c r="A257" s="29">
        <v>0.43629668761085438</v>
      </c>
      <c r="B257"/>
      <c r="C257"/>
      <c r="D257"/>
      <c r="E257"/>
      <c r="F257" s="26" t="s">
        <v>7</v>
      </c>
    </row>
    <row r="258" spans="1:6" x14ac:dyDescent="0.25">
      <c r="A258" s="29">
        <v>0.41552065486748019</v>
      </c>
      <c r="B258"/>
      <c r="C258"/>
      <c r="D258"/>
      <c r="E258"/>
      <c r="F258" s="26" t="s">
        <v>7</v>
      </c>
    </row>
    <row r="259" spans="1:6" x14ac:dyDescent="0.25">
      <c r="A259" s="29">
        <v>0.39573395701664765</v>
      </c>
      <c r="B259"/>
      <c r="C259"/>
      <c r="D259"/>
      <c r="E259"/>
      <c r="F259" s="26" t="s">
        <v>7</v>
      </c>
    </row>
    <row r="260" spans="1:6" x14ac:dyDescent="0.25">
      <c r="A260" s="29">
        <v>0.37688948287299762</v>
      </c>
      <c r="B260"/>
      <c r="C260"/>
      <c r="D260"/>
      <c r="E260"/>
      <c r="F260" s="26" t="s">
        <v>7</v>
      </c>
    </row>
    <row r="261" spans="1:6" x14ac:dyDescent="0.25">
      <c r="A261" s="29">
        <v>0.35894236464094997</v>
      </c>
      <c r="B261"/>
      <c r="C261"/>
      <c r="D261"/>
      <c r="E261"/>
      <c r="F261" s="26" t="s">
        <v>7</v>
      </c>
    </row>
    <row r="262" spans="1:6" x14ac:dyDescent="0.25">
      <c r="A262" s="29">
        <v>0.34184987108661891</v>
      </c>
      <c r="B262"/>
      <c r="C262"/>
      <c r="D262"/>
      <c r="E262"/>
      <c r="F262" s="26" t="s">
        <v>7</v>
      </c>
    </row>
    <row r="263" spans="1:6" x14ac:dyDescent="0.25">
      <c r="A263" s="29">
        <v>0.32557130579677979</v>
      </c>
      <c r="B263"/>
      <c r="C263"/>
      <c r="D263"/>
      <c r="E263"/>
      <c r="F263" s="26" t="s">
        <v>7</v>
      </c>
    </row>
    <row r="264" spans="1:6" x14ac:dyDescent="0.25">
      <c r="A264" s="29">
        <v>0.3100679102826473</v>
      </c>
      <c r="B264"/>
      <c r="C264"/>
      <c r="D264"/>
      <c r="E264"/>
      <c r="F264" s="26" t="s">
        <v>7</v>
      </c>
    </row>
    <row r="265" spans="1:6" x14ac:dyDescent="0.25">
      <c r="A265" s="29">
        <v>0.2953027716977592</v>
      </c>
      <c r="B265"/>
      <c r="C265"/>
      <c r="D265"/>
      <c r="E265"/>
      <c r="F265" s="26" t="s">
        <v>7</v>
      </c>
    </row>
    <row r="266" spans="1:6" x14ac:dyDescent="0.25">
      <c r="A266" s="29">
        <v>0.28124073495024676</v>
      </c>
      <c r="B266"/>
      <c r="C266"/>
      <c r="D266"/>
      <c r="E266"/>
      <c r="F266" s="26" t="s">
        <v>7</v>
      </c>
    </row>
    <row r="267" spans="1:6" x14ac:dyDescent="0.25">
      <c r="A267" s="29">
        <v>0.26784831900023492</v>
      </c>
      <c r="B267"/>
      <c r="C267"/>
      <c r="D267"/>
      <c r="E267"/>
      <c r="F267" s="26" t="s">
        <v>7</v>
      </c>
    </row>
    <row r="268" spans="1:6" x14ac:dyDescent="0.25">
      <c r="A268" s="29">
        <v>0.25509363714308075</v>
      </c>
      <c r="B268"/>
      <c r="C268"/>
      <c r="D268"/>
      <c r="E268"/>
      <c r="F268" s="26" t="s">
        <v>7</v>
      </c>
    </row>
    <row r="269" spans="1:6" x14ac:dyDescent="0.25">
      <c r="A269" s="29">
        <v>0.24294632108864825</v>
      </c>
      <c r="B269"/>
      <c r="C269"/>
      <c r="D269"/>
      <c r="E269"/>
      <c r="F269" s="26" t="s">
        <v>7</v>
      </c>
    </row>
    <row r="270" spans="1:6" x14ac:dyDescent="0.25">
      <c r="A270" s="29">
        <v>0.23137744865585538</v>
      </c>
      <c r="B270"/>
      <c r="C270"/>
      <c r="D270"/>
      <c r="E270"/>
      <c r="F270" s="26" t="s">
        <v>7</v>
      </c>
    </row>
    <row r="271" spans="1:6" x14ac:dyDescent="0.25">
      <c r="A271" s="29">
        <v>0.22035947491033836</v>
      </c>
      <c r="B271"/>
      <c r="C271"/>
      <c r="D271"/>
      <c r="E271"/>
      <c r="F271" s="26" t="s">
        <v>7</v>
      </c>
    </row>
    <row r="272" spans="1:6" x14ac:dyDescent="0.25">
      <c r="A272" s="29">
        <v>0.20986616658127455</v>
      </c>
      <c r="B272"/>
      <c r="C272"/>
      <c r="D272"/>
      <c r="E272"/>
      <c r="F272" s="26" t="s">
        <v>7</v>
      </c>
    </row>
    <row r="273" spans="1:6" x14ac:dyDescent="0.25">
      <c r="A273" s="29">
        <v>0.19987253960121379</v>
      </c>
      <c r="B273"/>
      <c r="C273"/>
      <c r="D273"/>
      <c r="E273"/>
      <c r="F273" s="26" t="s">
        <v>7</v>
      </c>
    </row>
    <row r="274" spans="1:6" x14ac:dyDescent="0.25">
      <c r="A274" s="29">
        <v>0.19035479962020352</v>
      </c>
      <c r="B274"/>
      <c r="C274"/>
      <c r="D274"/>
      <c r="E274"/>
      <c r="F274" s="26" t="s">
        <v>7</v>
      </c>
    </row>
    <row r="275" spans="1:6" x14ac:dyDescent="0.25">
      <c r="A275" s="29">
        <v>0.18129028535257471</v>
      </c>
      <c r="B275"/>
      <c r="C275"/>
      <c r="D275"/>
      <c r="E275"/>
      <c r="F275" s="26" t="s">
        <v>7</v>
      </c>
    </row>
    <row r="276" spans="1:6" x14ac:dyDescent="0.25">
      <c r="A276" s="29">
        <v>0.17265741462149967</v>
      </c>
      <c r="B276"/>
      <c r="C276"/>
      <c r="D276"/>
      <c r="E276"/>
      <c r="F276" s="26" t="s">
        <v>7</v>
      </c>
    </row>
    <row r="277" spans="1:6" x14ac:dyDescent="0.25">
      <c r="A277" s="29">
        <v>0.16443563297285677</v>
      </c>
      <c r="B277"/>
      <c r="C277"/>
      <c r="D277"/>
      <c r="E277"/>
      <c r="F277" s="26" t="s">
        <v>7</v>
      </c>
    </row>
    <row r="278" spans="1:6" x14ac:dyDescent="0.25">
      <c r="A278" s="29">
        <v>0.15660536473605399</v>
      </c>
      <c r="B278"/>
      <c r="C278"/>
      <c r="D278"/>
      <c r="E278"/>
      <c r="F278" s="26" t="s">
        <v>7</v>
      </c>
    </row>
    <row r="279" spans="1:6" x14ac:dyDescent="0.25">
      <c r="A279" s="29">
        <v>0.14914796641528946</v>
      </c>
      <c r="B279"/>
      <c r="C279"/>
      <c r="D279"/>
      <c r="E279"/>
      <c r="F279" s="26" t="s">
        <v>7</v>
      </c>
    </row>
    <row r="280" spans="1:6" x14ac:dyDescent="0.25">
      <c r="A280" s="29">
        <v>0.14204568230027562</v>
      </c>
      <c r="B280"/>
      <c r="C280"/>
      <c r="D280"/>
      <c r="E280"/>
      <c r="F280" s="26" t="s">
        <v>7</v>
      </c>
    </row>
    <row r="281" spans="1:6" x14ac:dyDescent="0.25">
      <c r="A281" s="29">
        <v>0.13528160219073862</v>
      </c>
      <c r="B281"/>
      <c r="C281"/>
      <c r="D281"/>
      <c r="E281"/>
      <c r="F281" s="26" t="s">
        <v>7</v>
      </c>
    </row>
    <row r="282" spans="1:6" x14ac:dyDescent="0.25">
      <c r="A282" s="29">
        <v>0.12883962113403674</v>
      </c>
      <c r="B282"/>
      <c r="C282"/>
      <c r="D282"/>
      <c r="E282"/>
      <c r="F282" s="26" t="s">
        <v>7</v>
      </c>
    </row>
    <row r="283" spans="1:6" x14ac:dyDescent="0.25">
      <c r="A283" s="29">
        <v>0.12270440108003494</v>
      </c>
      <c r="B283"/>
      <c r="C283"/>
      <c r="D283"/>
      <c r="E283"/>
      <c r="F283" s="26" t="s">
        <v>7</v>
      </c>
    </row>
    <row r="284" spans="1:6" x14ac:dyDescent="0.25">
      <c r="A284" s="29">
        <v>0.11686133436193799</v>
      </c>
      <c r="B284"/>
      <c r="C284"/>
      <c r="D284"/>
      <c r="E284"/>
      <c r="F284" s="26" t="s">
        <v>7</v>
      </c>
    </row>
    <row r="285" spans="1:6" x14ac:dyDescent="0.25">
      <c r="A285" s="29">
        <v>0.11129650891613138</v>
      </c>
      <c r="B285"/>
      <c r="C285"/>
      <c r="D285"/>
      <c r="E285"/>
      <c r="F285" s="26" t="s">
        <v>7</v>
      </c>
    </row>
    <row r="286" spans="1:6" x14ac:dyDescent="0.25">
      <c r="A286" s="29">
        <v>0.10599667515822032</v>
      </c>
      <c r="B286"/>
      <c r="C286"/>
      <c r="D286"/>
      <c r="E286"/>
      <c r="F286" s="26" t="s">
        <v>7</v>
      </c>
    </row>
    <row r="287" spans="1:6" x14ac:dyDescent="0.25">
      <c r="A287" s="29">
        <v>0.10094921443640027</v>
      </c>
      <c r="B287"/>
      <c r="C287"/>
      <c r="D287"/>
      <c r="E287"/>
      <c r="F287" s="26" t="s">
        <v>7</v>
      </c>
    </row>
    <row r="288" spans="1:6" x14ac:dyDescent="0.25">
      <c r="A288" s="29">
        <v>9.6142108987047836E-2</v>
      </c>
      <c r="B288"/>
      <c r="C288"/>
      <c r="D288"/>
      <c r="E288"/>
      <c r="F288" s="26" t="s">
        <v>7</v>
      </c>
    </row>
    <row r="289" spans="1:6" x14ac:dyDescent="0.25">
      <c r="A289" s="29">
        <v>9.1563913320997906E-2</v>
      </c>
      <c r="B289"/>
      <c r="C289"/>
      <c r="D289"/>
      <c r="E289"/>
      <c r="F289" s="26" t="s">
        <v>7</v>
      </c>
    </row>
    <row r="290" spans="1:6" x14ac:dyDescent="0.25">
      <c r="A290" s="29">
        <v>8.7203726972378923E-2</v>
      </c>
      <c r="B290"/>
      <c r="C290"/>
      <c r="D290"/>
      <c r="E290"/>
      <c r="F290" s="26" t="s">
        <v>7</v>
      </c>
    </row>
    <row r="291" spans="1:6" x14ac:dyDescent="0.25">
      <c r="A291" s="29">
        <v>8.3051168545122747E-2</v>
      </c>
      <c r="B291"/>
      <c r="C291"/>
      <c r="D291"/>
      <c r="E291"/>
      <c r="F291" s="26" t="s">
        <v>7</v>
      </c>
    </row>
    <row r="292" spans="1:6" x14ac:dyDescent="0.25">
      <c r="A292" s="29">
        <v>7.9096350995354961E-2</v>
      </c>
      <c r="B292"/>
      <c r="C292"/>
      <c r="D292"/>
      <c r="E292"/>
      <c r="F292" s="26" t="s">
        <v>7</v>
      </c>
    </row>
    <row r="293" spans="1:6" x14ac:dyDescent="0.25">
      <c r="A293" s="29">
        <v>7.5329858090814217E-2</v>
      </c>
      <c r="B293"/>
      <c r="C293"/>
      <c r="D293"/>
      <c r="E293"/>
      <c r="F293" s="26" t="s">
        <v>7</v>
      </c>
    </row>
    <row r="294" spans="1:6" x14ac:dyDescent="0.25">
      <c r="A294" s="29">
        <v>7.1742721991251604E-2</v>
      </c>
      <c r="B294"/>
      <c r="C294"/>
      <c r="D294"/>
      <c r="E294"/>
      <c r="F294" s="26" t="s">
        <v>7</v>
      </c>
    </row>
    <row r="295" spans="1:6" x14ac:dyDescent="0.25">
      <c r="A295" s="29">
        <v>6.8326401896430078E-2</v>
      </c>
      <c r="B295"/>
      <c r="C295"/>
      <c r="D295"/>
      <c r="E295"/>
      <c r="F295" s="26" t="s">
        <v>7</v>
      </c>
    </row>
    <row r="296" spans="1:6" x14ac:dyDescent="0.25">
      <c r="A296" s="29">
        <v>6.5072763710885759E-2</v>
      </c>
      <c r="B296"/>
      <c r="C296"/>
      <c r="D296"/>
      <c r="E296"/>
      <c r="F296" s="26" t="s">
        <v>7</v>
      </c>
    </row>
    <row r="297" spans="1:6" x14ac:dyDescent="0.25">
      <c r="A297" s="29">
        <v>6.197406067703403E-2</v>
      </c>
      <c r="B297"/>
      <c r="C297"/>
      <c r="D297"/>
      <c r="E297"/>
      <c r="F297" s="26" t="s">
        <v>7</v>
      </c>
    </row>
    <row r="298" spans="1:6" x14ac:dyDescent="0.25">
      <c r="A298" s="29">
        <v>5.9022914930508576E-2</v>
      </c>
      <c r="B298"/>
      <c r="C298"/>
      <c r="D298"/>
      <c r="E298"/>
      <c r="F298" s="26" t="s">
        <v>7</v>
      </c>
    </row>
    <row r="299" spans="1:6" x14ac:dyDescent="0.25">
      <c r="A299" s="29">
        <v>5.6212299933817669E-2</v>
      </c>
      <c r="B299"/>
      <c r="C299"/>
      <c r="D299"/>
      <c r="E299"/>
      <c r="F299" s="26" t="s">
        <v>7</v>
      </c>
    </row>
    <row r="300" spans="1:6" x14ac:dyDescent="0.25">
      <c r="A300" s="29">
        <v>5.3535523746492994E-2</v>
      </c>
      <c r="B300"/>
      <c r="C300"/>
      <c r="D300"/>
      <c r="E300"/>
      <c r="F300" s="26" t="s">
        <v>7</v>
      </c>
    </row>
    <row r="301" spans="1:6" x14ac:dyDescent="0.25">
      <c r="A301" s="29">
        <v>5.0986213091898068E-2</v>
      </c>
      <c r="B301"/>
      <c r="C301"/>
      <c r="D301"/>
      <c r="E301"/>
      <c r="F301" s="26" t="s">
        <v>7</v>
      </c>
    </row>
    <row r="302" spans="1:6" x14ac:dyDescent="0.25">
      <c r="A302" s="29">
        <v>4.8558298182760043E-2</v>
      </c>
      <c r="B302"/>
      <c r="C302"/>
      <c r="D302"/>
      <c r="E302"/>
      <c r="F302" s="26" t="s">
        <v>7</v>
      </c>
    </row>
    <row r="303" spans="1:6" x14ac:dyDescent="0.25">
      <c r="A303" s="29">
        <v>4.6245998269295263E-2</v>
      </c>
      <c r="B303"/>
      <c r="C303"/>
      <c r="D303"/>
      <c r="E303"/>
      <c r="F303" s="26" t="s">
        <v>7</v>
      </c>
    </row>
    <row r="304" spans="1:6" x14ac:dyDescent="0.25">
      <c r="A304" s="29">
        <v>4.4043807875519279E-2</v>
      </c>
      <c r="B304"/>
      <c r="C304"/>
      <c r="D304"/>
      <c r="E304"/>
      <c r="F304" s="26" t="s">
        <v>7</v>
      </c>
    </row>
    <row r="305" spans="1:122" x14ac:dyDescent="0.25">
      <c r="A305" s="29">
        <v>4.1946483690970725E-2</v>
      </c>
      <c r="B305"/>
      <c r="C305"/>
      <c r="D305"/>
      <c r="E305"/>
      <c r="F305" s="26" t="s">
        <v>7</v>
      </c>
    </row>
    <row r="306" spans="1:122" x14ac:dyDescent="0.25">
      <c r="A306" s="29">
        <v>3.9949032086638768E-2</v>
      </c>
      <c r="B306"/>
      <c r="C306"/>
      <c r="D306"/>
      <c r="E306"/>
      <c r="F306" s="26" t="s">
        <v>7</v>
      </c>
    </row>
    <row r="307" spans="1:122" x14ac:dyDescent="0.25">
      <c r="A307" s="29">
        <v>3.8046697225370241E-2</v>
      </c>
      <c r="B307"/>
      <c r="C307"/>
      <c r="D307"/>
      <c r="E307"/>
      <c r="F307" s="26" t="s">
        <v>7</v>
      </c>
    </row>
    <row r="308" spans="1:122" x14ac:dyDescent="0.25">
      <c r="A308" s="29">
        <v>3.6234949738447833E-2</v>
      </c>
      <c r="B308"/>
      <c r="C308"/>
      <c r="D308"/>
      <c r="E308"/>
      <c r="F308" s="26" t="s">
        <v>7</v>
      </c>
    </row>
    <row r="309" spans="1:122" x14ac:dyDescent="0.25">
      <c r="A309" s="29">
        <v>3.4509475941378875E-2</v>
      </c>
      <c r="B309"/>
      <c r="C309"/>
      <c r="D309"/>
      <c r="E309"/>
      <c r="F309" s="26" t="s">
        <v>7</v>
      </c>
    </row>
    <row r="310" spans="1:122" x14ac:dyDescent="0.25">
      <c r="A310" s="29">
        <v>3.286616756321796E-2</v>
      </c>
      <c r="B310"/>
      <c r="C310"/>
      <c r="D310"/>
      <c r="E310"/>
      <c r="F310" s="26" t="s">
        <v>7</v>
      </c>
    </row>
    <row r="311" spans="1:122" x14ac:dyDescent="0.25">
      <c r="A311" s="29">
        <v>3.1301111964969472E-2</v>
      </c>
      <c r="B311"/>
      <c r="C311"/>
      <c r="D311"/>
      <c r="E311"/>
      <c r="F311" s="26" t="s">
        <v>7</v>
      </c>
      <c r="DI311" s="26" t="s">
        <v>8</v>
      </c>
    </row>
    <row r="312" spans="1:122" x14ac:dyDescent="0.25">
      <c r="A312" s="29">
        <v>2.9810582823780438E-2</v>
      </c>
      <c r="B312"/>
      <c r="C312"/>
      <c r="D312"/>
      <c r="E312"/>
      <c r="F312" s="26" t="s">
        <v>7</v>
      </c>
      <c r="DI312" s="26" t="s">
        <v>8</v>
      </c>
      <c r="DJ312" s="26" t="s">
        <v>7</v>
      </c>
    </row>
    <row r="313" spans="1:122" x14ac:dyDescent="0.25">
      <c r="A313" s="29">
        <v>2.8391031260743264E-2</v>
      </c>
      <c r="B313"/>
      <c r="C313"/>
      <c r="D313"/>
      <c r="E313"/>
      <c r="F313" s="26" t="s">
        <v>7</v>
      </c>
      <c r="DI313" s="26" t="s">
        <v>8</v>
      </c>
      <c r="DJ313" s="26" t="s">
        <v>7</v>
      </c>
    </row>
    <row r="314" spans="1:122" x14ac:dyDescent="0.25">
      <c r="A314" s="29">
        <v>2.7039077391184052E-2</v>
      </c>
      <c r="B314"/>
      <c r="C314"/>
      <c r="D314"/>
      <c r="E314"/>
      <c r="F314" s="26" t="s">
        <v>7</v>
      </c>
      <c r="DI314" s="26" t="s">
        <v>8</v>
      </c>
      <c r="DJ314" s="26" t="s">
        <v>7</v>
      </c>
    </row>
    <row r="315" spans="1:122" x14ac:dyDescent="0.25">
      <c r="A315" s="29">
        <v>2.5751502277318133E-2</v>
      </c>
      <c r="B315"/>
      <c r="C315"/>
      <c r="D315"/>
      <c r="E315"/>
      <c r="F315" s="26" t="s">
        <v>7</v>
      </c>
      <c r="DI315" s="26" t="s">
        <v>8</v>
      </c>
      <c r="DJ315" s="26" t="s">
        <v>7</v>
      </c>
    </row>
    <row r="316" spans="1:122" x14ac:dyDescent="0.25">
      <c r="A316" s="29">
        <v>2.4525240264112496E-2</v>
      </c>
      <c r="B316"/>
      <c r="C316"/>
      <c r="D316"/>
      <c r="E316"/>
      <c r="F316" s="26" t="s">
        <v>7</v>
      </c>
      <c r="DI316" s="26" t="s">
        <v>8</v>
      </c>
      <c r="DJ316" s="26" t="s">
        <v>7</v>
      </c>
      <c r="DK316" s="26" t="s">
        <v>8</v>
      </c>
    </row>
    <row r="317" spans="1:122" x14ac:dyDescent="0.25">
      <c r="A317" s="29">
        <v>2.3357371680107129E-2</v>
      </c>
      <c r="B317"/>
      <c r="C317"/>
      <c r="D317"/>
      <c r="E317"/>
      <c r="F317" s="26" t="s">
        <v>7</v>
      </c>
      <c r="DI317" s="26" t="s">
        <v>8</v>
      </c>
      <c r="DJ317" s="26" t="s">
        <v>7</v>
      </c>
      <c r="DK317" s="26" t="s">
        <v>8</v>
      </c>
      <c r="DL317" s="26" t="s">
        <v>7</v>
      </c>
    </row>
    <row r="318" spans="1:122" x14ac:dyDescent="0.25">
      <c r="A318" s="29">
        <v>2.2245115885816305E-2</v>
      </c>
      <c r="B318"/>
      <c r="C318"/>
      <c r="D318"/>
      <c r="E318"/>
      <c r="F318" s="26" t="s">
        <v>7</v>
      </c>
      <c r="DI318" s="26" t="s">
        <v>8</v>
      </c>
      <c r="DJ318" s="26" t="s">
        <v>7</v>
      </c>
      <c r="DK318" s="26" t="s">
        <v>8</v>
      </c>
      <c r="DL318" s="26" t="s">
        <v>7</v>
      </c>
    </row>
    <row r="319" spans="1:122" x14ac:dyDescent="0.25">
      <c r="A319" s="29">
        <v>2.1185824653158377E-2</v>
      </c>
      <c r="B319"/>
      <c r="C319"/>
      <c r="D319"/>
      <c r="E319"/>
      <c r="F319" s="26" t="s">
        <v>7</v>
      </c>
      <c r="DI319" s="26" t="s">
        <v>8</v>
      </c>
      <c r="DJ319" s="26" t="s">
        <v>7</v>
      </c>
      <c r="DK319" s="26" t="s">
        <v>8</v>
      </c>
      <c r="DL319" s="26" t="s">
        <v>7</v>
      </c>
      <c r="DM319" s="26" t="s">
        <v>8</v>
      </c>
      <c r="DO319" s="26" t="s">
        <v>8</v>
      </c>
      <c r="DQ319" s="26" t="s">
        <v>8</v>
      </c>
    </row>
    <row r="320" spans="1:122" x14ac:dyDescent="0.25">
      <c r="A320" s="29">
        <v>2.0176975860150829E-2</v>
      </c>
      <c r="B320"/>
      <c r="C320"/>
      <c r="D320"/>
      <c r="E320"/>
      <c r="F320" s="26" t="s">
        <v>7</v>
      </c>
      <c r="DG320" s="26" t="s">
        <v>8</v>
      </c>
      <c r="DI320" s="26" t="s">
        <v>8</v>
      </c>
      <c r="DJ320" s="26" t="s">
        <v>7</v>
      </c>
      <c r="DK320" s="26" t="s">
        <v>8</v>
      </c>
      <c r="DL320" s="26" t="s">
        <v>7</v>
      </c>
      <c r="DM320" s="26" t="s">
        <v>8</v>
      </c>
      <c r="DN320" s="26" t="s">
        <v>7</v>
      </c>
      <c r="DO320" s="26" t="s">
        <v>8</v>
      </c>
      <c r="DP320" s="26" t="s">
        <v>7</v>
      </c>
      <c r="DQ320" s="26" t="s">
        <v>8</v>
      </c>
      <c r="DR320" s="26" t="s">
        <v>7</v>
      </c>
    </row>
    <row r="321" spans="1:183" x14ac:dyDescent="0.25">
      <c r="A321" s="29">
        <v>1.9216167485857926E-2</v>
      </c>
      <c r="B321"/>
      <c r="C321"/>
      <c r="D321"/>
      <c r="E321"/>
      <c r="F321" s="26" t="s">
        <v>7</v>
      </c>
      <c r="DG321" s="26" t="s">
        <v>8</v>
      </c>
      <c r="DH321" s="26" t="s">
        <v>7</v>
      </c>
      <c r="DI321" s="26" t="s">
        <v>8</v>
      </c>
      <c r="DJ321" s="26" t="s">
        <v>7</v>
      </c>
      <c r="DL321" s="26" t="s">
        <v>7</v>
      </c>
      <c r="DM321" s="26" t="s">
        <v>8</v>
      </c>
      <c r="DN321" s="26" t="s">
        <v>7</v>
      </c>
      <c r="DO321" s="26" t="s">
        <v>8</v>
      </c>
      <c r="DP321" s="26" t="s">
        <v>7</v>
      </c>
      <c r="DQ321" s="26" t="s">
        <v>8</v>
      </c>
      <c r="DR321" s="26" t="s">
        <v>7</v>
      </c>
    </row>
    <row r="322" spans="1:183" x14ac:dyDescent="0.25">
      <c r="A322" s="29">
        <v>1.8301111891293256E-2</v>
      </c>
      <c r="B322"/>
      <c r="C322"/>
      <c r="D322"/>
      <c r="E322"/>
      <c r="F322" s="26" t="s">
        <v>7</v>
      </c>
      <c r="DG322" s="26" t="s">
        <v>8</v>
      </c>
      <c r="DH322" s="26" t="s">
        <v>7</v>
      </c>
      <c r="DI322" s="26" t="s">
        <v>8</v>
      </c>
      <c r="DL322" s="26" t="s">
        <v>7</v>
      </c>
      <c r="DM322" s="26" t="s">
        <v>8</v>
      </c>
      <c r="DN322" s="26" t="s">
        <v>7</v>
      </c>
      <c r="DO322" s="26" t="s">
        <v>8</v>
      </c>
      <c r="DP322" s="26" t="s">
        <v>7</v>
      </c>
      <c r="DQ322" s="26" t="s">
        <v>8</v>
      </c>
      <c r="DR322" s="26" t="s">
        <v>7</v>
      </c>
      <c r="DS322" s="26" t="s">
        <v>8</v>
      </c>
    </row>
    <row r="323" spans="1:183" x14ac:dyDescent="0.25">
      <c r="A323" s="29">
        <v>1.7429630372660238E-2</v>
      </c>
      <c r="B323"/>
      <c r="C323"/>
      <c r="D323"/>
      <c r="E323"/>
      <c r="F323" s="26" t="s">
        <v>7</v>
      </c>
      <c r="DG323" s="26" t="s">
        <v>8</v>
      </c>
      <c r="DH323" s="26" t="s">
        <v>7</v>
      </c>
      <c r="DI323" s="26" t="s">
        <v>8</v>
      </c>
      <c r="DL323" s="26" t="s">
        <v>7</v>
      </c>
      <c r="DN323" s="26" t="s">
        <v>7</v>
      </c>
      <c r="DO323" s="26" t="s">
        <v>8</v>
      </c>
      <c r="DP323" s="26" t="s">
        <v>7</v>
      </c>
      <c r="DR323" s="26" t="s">
        <v>7</v>
      </c>
      <c r="DS323" s="26" t="s">
        <v>8</v>
      </c>
      <c r="DT323" s="26" t="s">
        <v>7</v>
      </c>
      <c r="DY323" s="26" t="s">
        <v>8</v>
      </c>
    </row>
    <row r="324" spans="1:183" x14ac:dyDescent="0.25">
      <c r="A324" s="29">
        <v>1.6599647973962125E-2</v>
      </c>
      <c r="B324"/>
      <c r="C324"/>
      <c r="D324"/>
      <c r="E324"/>
      <c r="F324" s="26" t="s">
        <v>7</v>
      </c>
      <c r="DG324" s="26" t="s">
        <v>8</v>
      </c>
      <c r="DH324" s="26" t="s">
        <v>7</v>
      </c>
      <c r="DI324" s="26" t="s">
        <v>8</v>
      </c>
      <c r="DN324" s="26" t="s">
        <v>7</v>
      </c>
      <c r="DR324" s="26" t="s">
        <v>7</v>
      </c>
      <c r="DS324" s="26" t="s">
        <v>8</v>
      </c>
      <c r="DT324" s="26" t="s">
        <v>7</v>
      </c>
      <c r="DU324" s="26" t="s">
        <v>8</v>
      </c>
      <c r="DY324" s="26" t="s">
        <v>8</v>
      </c>
      <c r="DZ324" s="26" t="s">
        <v>7</v>
      </c>
      <c r="EA324" s="26" t="s">
        <v>8</v>
      </c>
      <c r="EC324" s="26" t="s">
        <v>8</v>
      </c>
      <c r="FQ324" s="26" t="s">
        <v>8</v>
      </c>
    </row>
    <row r="325" spans="1:183" x14ac:dyDescent="0.25">
      <c r="A325" s="29">
        <v>1.580918854663059E-2</v>
      </c>
      <c r="B325"/>
      <c r="C325"/>
      <c r="D325"/>
      <c r="E325"/>
      <c r="F325" s="26" t="s">
        <v>7</v>
      </c>
      <c r="DG325" s="26" t="s">
        <v>8</v>
      </c>
      <c r="DH325" s="26" t="s">
        <v>7</v>
      </c>
      <c r="DR325" s="26" t="s">
        <v>7</v>
      </c>
      <c r="DS325" s="26" t="s">
        <v>8</v>
      </c>
      <c r="DT325" s="26" t="s">
        <v>7</v>
      </c>
      <c r="DU325" s="26" t="s">
        <v>8</v>
      </c>
      <c r="DV325" s="26" t="s">
        <v>7</v>
      </c>
      <c r="DY325" s="26" t="s">
        <v>8</v>
      </c>
      <c r="DZ325" s="26" t="s">
        <v>7</v>
      </c>
      <c r="EA325" s="26" t="s">
        <v>8</v>
      </c>
      <c r="EB325" s="26" t="s">
        <v>7</v>
      </c>
      <c r="EC325" s="26" t="s">
        <v>8</v>
      </c>
      <c r="ED325" s="26" t="s">
        <v>7</v>
      </c>
      <c r="FQ325" s="26" t="s">
        <v>8</v>
      </c>
      <c r="FR325" s="26" t="s">
        <v>7</v>
      </c>
    </row>
    <row r="326" spans="1:183" x14ac:dyDescent="0.25">
      <c r="A326" s="29">
        <v>1.5056370044410079E-2</v>
      </c>
      <c r="B326"/>
      <c r="C326"/>
      <c r="D326"/>
      <c r="E326"/>
      <c r="F326" s="26" t="s">
        <v>7</v>
      </c>
      <c r="DG326" s="26" t="s">
        <v>8</v>
      </c>
      <c r="DR326" s="26" t="s">
        <v>7</v>
      </c>
      <c r="DS326" s="26" t="s">
        <v>8</v>
      </c>
      <c r="DT326" s="26" t="s">
        <v>7</v>
      </c>
      <c r="DU326" s="26" t="s">
        <v>8</v>
      </c>
      <c r="DV326" s="26" t="s">
        <v>7</v>
      </c>
      <c r="DW326" s="26" t="s">
        <v>8</v>
      </c>
      <c r="DY326" s="26" t="s">
        <v>8</v>
      </c>
      <c r="DZ326" s="26" t="s">
        <v>7</v>
      </c>
      <c r="EA326" s="26" t="s">
        <v>8</v>
      </c>
      <c r="EB326" s="26" t="s">
        <v>7</v>
      </c>
      <c r="EC326" s="26" t="s">
        <v>8</v>
      </c>
      <c r="ED326" s="26" t="s">
        <v>7</v>
      </c>
      <c r="FO326" s="26" t="s">
        <v>8</v>
      </c>
      <c r="FQ326" s="26" t="s">
        <v>8</v>
      </c>
      <c r="FR326" s="26" t="s">
        <v>7</v>
      </c>
    </row>
    <row r="327" spans="1:183" x14ac:dyDescent="0.25">
      <c r="A327" s="29">
        <v>1.4339400042295308E-2</v>
      </c>
      <c r="B327"/>
      <c r="C327"/>
      <c r="D327"/>
      <c r="E327"/>
      <c r="F327" s="26" t="s">
        <v>7</v>
      </c>
      <c r="DG327" s="26" t="s">
        <v>8</v>
      </c>
      <c r="DR327" s="26" t="s">
        <v>7</v>
      </c>
      <c r="DS327" s="26" t="s">
        <v>8</v>
      </c>
      <c r="DT327" s="26" t="s">
        <v>7</v>
      </c>
      <c r="DV327" s="26" t="s">
        <v>7</v>
      </c>
      <c r="DW327" s="26" t="s">
        <v>8</v>
      </c>
      <c r="DX327" s="26" t="s">
        <v>7</v>
      </c>
      <c r="DY327" s="26" t="s">
        <v>8</v>
      </c>
      <c r="DZ327" s="26" t="s">
        <v>7</v>
      </c>
      <c r="EB327" s="26" t="s">
        <v>7</v>
      </c>
      <c r="EC327" s="26" t="s">
        <v>8</v>
      </c>
      <c r="ED327" s="26" t="s">
        <v>7</v>
      </c>
      <c r="FO327" s="26" t="s">
        <v>8</v>
      </c>
      <c r="FP327" s="26" t="s">
        <v>7</v>
      </c>
      <c r="FQ327" s="26" t="s">
        <v>8</v>
      </c>
      <c r="FR327" s="26" t="s">
        <v>7</v>
      </c>
      <c r="FS327" s="26" t="s">
        <v>8</v>
      </c>
      <c r="FU327" s="26" t="s">
        <v>8</v>
      </c>
    </row>
    <row r="328" spans="1:183" x14ac:dyDescent="0.25">
      <c r="A328" s="29">
        <v>1.365657146885267E-2</v>
      </c>
      <c r="B328"/>
      <c r="C328"/>
      <c r="D328"/>
      <c r="E328"/>
      <c r="F328" s="26" t="s">
        <v>7</v>
      </c>
      <c r="DG328" s="26" t="s">
        <v>8</v>
      </c>
      <c r="DR328" s="26" t="s">
        <v>7</v>
      </c>
      <c r="DV328" s="26" t="s">
        <v>7</v>
      </c>
      <c r="DW328" s="26" t="s">
        <v>8</v>
      </c>
      <c r="DX328" s="26" t="s">
        <v>7</v>
      </c>
      <c r="DY328" s="26" t="s">
        <v>8</v>
      </c>
      <c r="EB328" s="32" t="s">
        <v>7</v>
      </c>
      <c r="ED328" s="26" t="s">
        <v>7</v>
      </c>
      <c r="FO328" s="26" t="s">
        <v>8</v>
      </c>
      <c r="FP328" s="26" t="s">
        <v>7</v>
      </c>
      <c r="FQ328" s="26" t="s">
        <v>8</v>
      </c>
      <c r="FR328" s="26" t="s">
        <v>7</v>
      </c>
      <c r="FS328" s="26" t="s">
        <v>8</v>
      </c>
      <c r="FT328" s="26" t="s">
        <v>7</v>
      </c>
      <c r="FU328" s="26" t="s">
        <v>8</v>
      </c>
      <c r="FV328" s="26" t="s">
        <v>7</v>
      </c>
    </row>
    <row r="329" spans="1:183" x14ac:dyDescent="0.25">
      <c r="A329" s="29">
        <v>1.3006258541764442E-2</v>
      </c>
      <c r="B329"/>
      <c r="C329"/>
      <c r="D329"/>
      <c r="E329"/>
      <c r="F329" s="26" t="s">
        <v>7</v>
      </c>
      <c r="DG329" s="26" t="s">
        <v>8</v>
      </c>
      <c r="DV329" s="26" t="s">
        <v>7</v>
      </c>
      <c r="DW329" s="26" t="s">
        <v>8</v>
      </c>
      <c r="DX329" s="26" t="s">
        <v>7</v>
      </c>
      <c r="DY329" s="26" t="s">
        <v>8</v>
      </c>
      <c r="ED329" s="26" t="s">
        <v>7</v>
      </c>
      <c r="EE329" s="26" t="s">
        <v>8</v>
      </c>
      <c r="FE329" s="26" t="s">
        <v>8</v>
      </c>
      <c r="FO329" s="26" t="s">
        <v>8</v>
      </c>
      <c r="FP329" s="26" t="s">
        <v>7</v>
      </c>
      <c r="FR329" s="26" t="s">
        <v>7</v>
      </c>
      <c r="FS329" s="26" t="s">
        <v>8</v>
      </c>
      <c r="FT329" s="26" t="s">
        <v>7</v>
      </c>
      <c r="FU329" s="30" t="s">
        <v>8</v>
      </c>
      <c r="FV329" s="26" t="s">
        <v>7</v>
      </c>
    </row>
    <row r="330" spans="1:183" x14ac:dyDescent="0.25">
      <c r="A330" s="29">
        <v>1.2386912896918512E-2</v>
      </c>
      <c r="B330"/>
      <c r="C330"/>
      <c r="D330"/>
      <c r="E330"/>
      <c r="F330" s="26" t="s">
        <v>7</v>
      </c>
      <c r="DG330" s="26" t="s">
        <v>8</v>
      </c>
      <c r="DV330" s="26" t="s">
        <v>7</v>
      </c>
      <c r="DW330" s="26" t="s">
        <v>8</v>
      </c>
      <c r="DX330" s="26" t="s">
        <v>7</v>
      </c>
      <c r="DY330" s="26" t="s">
        <v>8</v>
      </c>
      <c r="ED330" s="26" t="s">
        <v>7</v>
      </c>
      <c r="EE330" s="26" t="s">
        <v>8</v>
      </c>
      <c r="EF330" s="26" t="s">
        <v>7</v>
      </c>
      <c r="EG330" s="26" t="s">
        <v>8</v>
      </c>
      <c r="EI330" s="26" t="s">
        <v>8</v>
      </c>
      <c r="FA330" s="26" t="s">
        <v>8</v>
      </c>
      <c r="FE330" s="26" t="s">
        <v>8</v>
      </c>
      <c r="FF330" s="26" t="s">
        <v>7</v>
      </c>
      <c r="FO330" s="26" t="s">
        <v>8</v>
      </c>
      <c r="FR330" s="26" t="s">
        <v>7</v>
      </c>
      <c r="FT330" s="30" t="s">
        <v>7</v>
      </c>
      <c r="FU330" s="26" t="s">
        <v>8</v>
      </c>
      <c r="FV330" s="26" t="s">
        <v>7</v>
      </c>
    </row>
    <row r="331" spans="1:183" x14ac:dyDescent="0.25">
      <c r="A331" s="29">
        <v>1.179705990182715E-2</v>
      </c>
      <c r="B331"/>
      <c r="C331"/>
      <c r="D331"/>
      <c r="E331"/>
      <c r="F331" s="26" t="s">
        <v>7</v>
      </c>
      <c r="DG331" s="26" t="s">
        <v>8</v>
      </c>
      <c r="DV331" s="26" t="s">
        <v>7</v>
      </c>
      <c r="DW331" s="26" t="s">
        <v>8</v>
      </c>
      <c r="DX331" s="26" t="s">
        <v>7</v>
      </c>
      <c r="DY331" s="26" t="s">
        <v>8</v>
      </c>
      <c r="ED331" s="26" t="s">
        <v>7</v>
      </c>
      <c r="EE331" s="26" t="s">
        <v>8</v>
      </c>
      <c r="EF331" s="26" t="s">
        <v>7</v>
      </c>
      <c r="EG331" s="26" t="s">
        <v>8</v>
      </c>
      <c r="EH331" s="26" t="s">
        <v>7</v>
      </c>
      <c r="EI331" s="26" t="s">
        <v>8</v>
      </c>
      <c r="EJ331" s="26" t="s">
        <v>7</v>
      </c>
      <c r="FA331" s="26" t="s">
        <v>8</v>
      </c>
      <c r="FB331" s="26" t="s">
        <v>7</v>
      </c>
      <c r="FC331" s="26" t="s">
        <v>8</v>
      </c>
      <c r="FE331" s="26" t="s">
        <v>8</v>
      </c>
      <c r="FF331" s="26" t="s">
        <v>7</v>
      </c>
      <c r="FM331" s="26" t="s">
        <v>8</v>
      </c>
      <c r="FO331" s="26" t="s">
        <v>8</v>
      </c>
      <c r="FS331" s="30"/>
      <c r="FT331" s="26" t="s">
        <v>7</v>
      </c>
      <c r="FU331" s="26" t="s">
        <v>8</v>
      </c>
      <c r="FV331" s="26" t="s">
        <v>7</v>
      </c>
    </row>
    <row r="332" spans="1:183" x14ac:dyDescent="0.25">
      <c r="A332" s="29">
        <v>1.1235295144597281E-2</v>
      </c>
      <c r="B332"/>
      <c r="C332"/>
      <c r="D332"/>
      <c r="E332"/>
      <c r="F332" s="26" t="s">
        <v>7</v>
      </c>
      <c r="DE332" s="26" t="s">
        <v>8</v>
      </c>
      <c r="DG332" s="26" t="s">
        <v>8</v>
      </c>
      <c r="DV332" s="26" t="s">
        <v>7</v>
      </c>
      <c r="DW332" s="26" t="s">
        <v>8</v>
      </c>
      <c r="DX332" s="26" t="s">
        <v>7</v>
      </c>
      <c r="DY332" s="26" t="s">
        <v>8</v>
      </c>
      <c r="ED332" s="26" t="s">
        <v>7</v>
      </c>
      <c r="EF332" s="26" t="s">
        <v>7</v>
      </c>
      <c r="EG332" s="26" t="s">
        <v>8</v>
      </c>
      <c r="EH332" s="26" t="s">
        <v>7</v>
      </c>
      <c r="EI332" s="26" t="s">
        <v>8</v>
      </c>
      <c r="EJ332" s="26" t="s">
        <v>7</v>
      </c>
      <c r="EO332" s="26" t="s">
        <v>8</v>
      </c>
      <c r="FA332" s="26" t="s">
        <v>8</v>
      </c>
      <c r="FB332" s="26" t="s">
        <v>7</v>
      </c>
      <c r="FC332" s="26" t="s">
        <v>8</v>
      </c>
      <c r="FD332" s="26" t="s">
        <v>7</v>
      </c>
      <c r="FE332" s="26" t="s">
        <v>8</v>
      </c>
      <c r="FF332" s="26" t="s">
        <v>7</v>
      </c>
      <c r="FM332" s="26" t="s">
        <v>8</v>
      </c>
      <c r="FN332" s="26" t="s">
        <v>7</v>
      </c>
      <c r="FO332" s="26" t="s">
        <v>8</v>
      </c>
      <c r="FR332" s="30"/>
      <c r="FT332" s="26" t="s">
        <v>7</v>
      </c>
      <c r="FU332" s="26" t="s">
        <v>8</v>
      </c>
      <c r="FV332" s="26" t="s">
        <v>7</v>
      </c>
    </row>
    <row r="333" spans="1:183" x14ac:dyDescent="0.25">
      <c r="A333" s="29">
        <v>1.0700281090092644E-2</v>
      </c>
      <c r="B333"/>
      <c r="C333"/>
      <c r="D333"/>
      <c r="E333"/>
      <c r="F333" s="26" t="s">
        <v>7</v>
      </c>
      <c r="DE333" s="26" t="s">
        <v>8</v>
      </c>
      <c r="DF333" s="26" t="s">
        <v>7</v>
      </c>
      <c r="DG333" s="26" t="s">
        <v>8</v>
      </c>
      <c r="DV333" s="26" t="s">
        <v>7</v>
      </c>
      <c r="DW333" s="26" t="s">
        <v>8</v>
      </c>
      <c r="DX333" s="26" t="s">
        <v>7</v>
      </c>
      <c r="EF333" s="26" t="s">
        <v>7</v>
      </c>
      <c r="EG333" s="26" t="s">
        <v>8</v>
      </c>
      <c r="EH333" s="26" t="s">
        <v>7</v>
      </c>
      <c r="EJ333" s="26" t="s">
        <v>7</v>
      </c>
      <c r="EO333" s="26" t="s">
        <v>8</v>
      </c>
      <c r="EP333" s="26" t="s">
        <v>7</v>
      </c>
      <c r="FA333" s="26" t="s">
        <v>8</v>
      </c>
      <c r="FB333" s="26" t="s">
        <v>7</v>
      </c>
      <c r="FC333" s="26" t="s">
        <v>8</v>
      </c>
      <c r="FD333" s="26" t="s">
        <v>7</v>
      </c>
      <c r="FE333" s="26" t="s">
        <v>8</v>
      </c>
      <c r="FF333" s="26" t="s">
        <v>7</v>
      </c>
      <c r="FM333" s="26" t="s">
        <v>8</v>
      </c>
      <c r="FN333" s="26" t="s">
        <v>7</v>
      </c>
      <c r="FO333" s="26" t="s">
        <v>8</v>
      </c>
      <c r="FQ333" s="30"/>
      <c r="FT333" s="26" t="s">
        <v>7</v>
      </c>
      <c r="FV333" s="26" t="s">
        <v>7</v>
      </c>
    </row>
    <row r="334" spans="1:183" x14ac:dyDescent="0.25">
      <c r="A334" s="29">
        <v>1.0190743895326324E-2</v>
      </c>
      <c r="B334"/>
      <c r="C334"/>
      <c r="D334"/>
      <c r="E334"/>
      <c r="F334" s="26" t="s">
        <v>7</v>
      </c>
      <c r="DE334" s="26" t="s">
        <v>8</v>
      </c>
      <c r="DF334" s="26" t="s">
        <v>7</v>
      </c>
      <c r="DG334" s="26" t="s">
        <v>8</v>
      </c>
      <c r="DV334" s="26" t="s">
        <v>7</v>
      </c>
      <c r="DW334" s="26" t="s">
        <v>8</v>
      </c>
      <c r="EF334" s="26" t="s">
        <v>7</v>
      </c>
      <c r="EJ334" s="26" t="s">
        <v>7</v>
      </c>
      <c r="EO334" s="26" t="s">
        <v>8</v>
      </c>
      <c r="EP334" s="26" t="s">
        <v>7</v>
      </c>
      <c r="FA334" s="26" t="s">
        <v>8</v>
      </c>
      <c r="FB334" s="26" t="s">
        <v>7</v>
      </c>
      <c r="FC334" s="26" t="s">
        <v>8</v>
      </c>
      <c r="FD334" s="26" t="s">
        <v>7</v>
      </c>
      <c r="FE334" s="26" t="s">
        <v>8</v>
      </c>
      <c r="FF334" s="26" t="s">
        <v>7</v>
      </c>
      <c r="FG334" s="26" t="s">
        <v>8</v>
      </c>
      <c r="FK334" s="26" t="s">
        <v>8</v>
      </c>
      <c r="FM334" s="26" t="s">
        <v>8</v>
      </c>
      <c r="FN334" s="26" t="s">
        <v>7</v>
      </c>
      <c r="FO334" s="26" t="s">
        <v>8</v>
      </c>
      <c r="FP334" s="30"/>
      <c r="FV334" s="26" t="s">
        <v>7</v>
      </c>
      <c r="FW334" s="26" t="s">
        <v>8</v>
      </c>
      <c r="FY334" s="26" t="s">
        <v>8</v>
      </c>
    </row>
    <row r="335" spans="1:183" x14ac:dyDescent="0.25">
      <c r="A335" s="29">
        <v>9.7054703765012563E-3</v>
      </c>
      <c r="B335"/>
      <c r="C335"/>
      <c r="D335"/>
      <c r="E335"/>
      <c r="F335" s="26" t="s">
        <v>7</v>
      </c>
      <c r="DE335" s="26" t="s">
        <v>8</v>
      </c>
      <c r="DF335" s="26" t="s">
        <v>7</v>
      </c>
      <c r="DV335" s="26" t="s">
        <v>7</v>
      </c>
      <c r="DW335" s="26" t="s">
        <v>8</v>
      </c>
      <c r="EJ335" s="26" t="s">
        <v>7</v>
      </c>
      <c r="EO335" s="26" t="s">
        <v>8</v>
      </c>
      <c r="EP335" s="26" t="s">
        <v>7</v>
      </c>
      <c r="EQ335" s="26" t="s">
        <v>8</v>
      </c>
      <c r="FA335" s="26" t="s">
        <v>8</v>
      </c>
      <c r="FB335" s="26" t="s">
        <v>7</v>
      </c>
      <c r="FD335" s="26" t="s">
        <v>7</v>
      </c>
      <c r="FF335" s="26" t="s">
        <v>7</v>
      </c>
      <c r="FG335" s="26" t="s">
        <v>8</v>
      </c>
      <c r="FH335" s="26" t="s">
        <v>7</v>
      </c>
      <c r="FK335" s="26" t="s">
        <v>8</v>
      </c>
      <c r="FL335" s="26" t="s">
        <v>7</v>
      </c>
      <c r="FM335" s="26" t="s">
        <v>8</v>
      </c>
      <c r="FN335" s="26" t="s">
        <v>7</v>
      </c>
      <c r="FO335" s="30" t="s">
        <v>8</v>
      </c>
      <c r="FV335" s="26" t="s">
        <v>7</v>
      </c>
      <c r="FW335" s="26" t="s">
        <v>8</v>
      </c>
      <c r="FX335" s="26" t="s">
        <v>7</v>
      </c>
      <c r="FY335" s="26" t="s">
        <v>8</v>
      </c>
      <c r="FZ335" s="26" t="s">
        <v>7</v>
      </c>
    </row>
    <row r="336" spans="1:183" x14ac:dyDescent="0.25">
      <c r="A336" s="29">
        <v>9.2433051204773835E-3</v>
      </c>
      <c r="B336"/>
      <c r="C336"/>
      <c r="D336"/>
      <c r="E336"/>
      <c r="F336" s="26" t="s">
        <v>7</v>
      </c>
      <c r="CW336" s="26" t="s">
        <v>8</v>
      </c>
      <c r="DE336" s="26" t="s">
        <v>8</v>
      </c>
      <c r="DV336" s="26" t="s">
        <v>7</v>
      </c>
      <c r="DW336" s="26" t="s">
        <v>8</v>
      </c>
      <c r="EJ336" s="26" t="s">
        <v>7</v>
      </c>
      <c r="EK336" s="26" t="s">
        <v>8</v>
      </c>
      <c r="EO336" s="26" t="s">
        <v>8</v>
      </c>
      <c r="EP336" s="26" t="s">
        <v>7</v>
      </c>
      <c r="EQ336" s="26" t="s">
        <v>8</v>
      </c>
      <c r="ER336" s="26" t="s">
        <v>7</v>
      </c>
      <c r="FA336" s="26" t="s">
        <v>8</v>
      </c>
      <c r="FF336" s="26" t="s">
        <v>7</v>
      </c>
      <c r="FG336" s="26" t="s">
        <v>8</v>
      </c>
      <c r="FH336" s="26" t="s">
        <v>7</v>
      </c>
      <c r="FK336" s="26" t="s">
        <v>8</v>
      </c>
      <c r="FL336" s="26" t="s">
        <v>7</v>
      </c>
      <c r="FM336" s="26" t="s">
        <v>8</v>
      </c>
      <c r="FN336" s="30" t="s">
        <v>7</v>
      </c>
      <c r="FV336" s="26" t="s">
        <v>7</v>
      </c>
      <c r="FW336" s="26" t="s">
        <v>8</v>
      </c>
      <c r="FX336" s="26" t="s">
        <v>7</v>
      </c>
      <c r="FY336" s="26" t="s">
        <v>8</v>
      </c>
      <c r="FZ336" s="26" t="s">
        <v>7</v>
      </c>
      <c r="GA336" s="26" t="s">
        <v>8</v>
      </c>
    </row>
    <row r="337" spans="1:189" x14ac:dyDescent="0.25">
      <c r="A337" s="29">
        <v>8.8031477337879808E-3</v>
      </c>
      <c r="B337"/>
      <c r="C337"/>
      <c r="D337"/>
      <c r="E337"/>
      <c r="F337" s="26" t="s">
        <v>7</v>
      </c>
      <c r="CW337" s="26" t="s">
        <v>8</v>
      </c>
      <c r="CX337" s="26" t="s">
        <v>7</v>
      </c>
      <c r="DA337" s="26" t="s">
        <v>8</v>
      </c>
      <c r="DE337" s="26" t="s">
        <v>8</v>
      </c>
      <c r="DV337" s="26" t="s">
        <v>7</v>
      </c>
      <c r="EJ337" s="26" t="s">
        <v>7</v>
      </c>
      <c r="EK337" s="26" t="s">
        <v>8</v>
      </c>
      <c r="EL337" s="26" t="s">
        <v>7</v>
      </c>
      <c r="EO337" s="26" t="s">
        <v>8</v>
      </c>
      <c r="EP337" s="26" t="s">
        <v>7</v>
      </c>
      <c r="EQ337" s="26" t="s">
        <v>8</v>
      </c>
      <c r="ER337" s="26" t="s">
        <v>7</v>
      </c>
      <c r="FA337" s="26" t="s">
        <v>8</v>
      </c>
      <c r="FF337" s="26" t="s">
        <v>7</v>
      </c>
      <c r="FG337" s="26" t="s">
        <v>8</v>
      </c>
      <c r="FH337" s="26" t="s">
        <v>7</v>
      </c>
      <c r="FI337" s="26" t="s">
        <v>8</v>
      </c>
      <c r="FK337" s="26" t="s">
        <v>8</v>
      </c>
      <c r="FL337" s="26" t="s">
        <v>7</v>
      </c>
      <c r="FM337" s="30"/>
      <c r="FV337" s="26" t="s">
        <v>7</v>
      </c>
      <c r="FW337" s="26" t="s">
        <v>8</v>
      </c>
      <c r="FX337" s="26" t="s">
        <v>7</v>
      </c>
      <c r="FY337" s="26" t="s">
        <v>8</v>
      </c>
      <c r="FZ337" s="26" t="s">
        <v>7</v>
      </c>
      <c r="GA337" s="26" t="s">
        <v>8</v>
      </c>
      <c r="GB337" s="26" t="s">
        <v>7</v>
      </c>
    </row>
    <row r="338" spans="1:189" x14ac:dyDescent="0.25">
      <c r="A338" s="29">
        <v>8.3839502226552166E-3</v>
      </c>
      <c r="B338"/>
      <c r="C338"/>
      <c r="D338"/>
      <c r="E338"/>
      <c r="F338" s="26" t="s">
        <v>7</v>
      </c>
      <c r="CW338" s="26" t="s">
        <v>8</v>
      </c>
      <c r="CX338" s="26" t="s">
        <v>7</v>
      </c>
      <c r="CY338" s="26" t="s">
        <v>8</v>
      </c>
      <c r="DA338" s="26" t="s">
        <v>8</v>
      </c>
      <c r="DB338" s="26" t="s">
        <v>7</v>
      </c>
      <c r="DC338" s="26" t="s">
        <v>8</v>
      </c>
      <c r="DE338" s="26" t="s">
        <v>8</v>
      </c>
      <c r="EJ338" s="26" t="s">
        <v>7</v>
      </c>
      <c r="EK338" s="26" t="s">
        <v>8</v>
      </c>
      <c r="EL338" s="26" t="s">
        <v>7</v>
      </c>
      <c r="EO338" s="26" t="s">
        <v>8</v>
      </c>
      <c r="EP338" s="26" t="s">
        <v>7</v>
      </c>
      <c r="EQ338" s="26" t="s">
        <v>8</v>
      </c>
      <c r="ER338" s="26" t="s">
        <v>7</v>
      </c>
      <c r="ES338" s="26" t="s">
        <v>8</v>
      </c>
      <c r="FA338" s="26" t="s">
        <v>8</v>
      </c>
      <c r="FF338" s="26" t="s">
        <v>7</v>
      </c>
      <c r="FH338" s="26" t="s">
        <v>7</v>
      </c>
      <c r="FI338" s="26" t="s">
        <v>8</v>
      </c>
      <c r="FJ338" s="26" t="s">
        <v>7</v>
      </c>
      <c r="FK338" s="26" t="s">
        <v>8</v>
      </c>
      <c r="FL338" s="30"/>
      <c r="FV338" s="26" t="s">
        <v>7</v>
      </c>
      <c r="FW338" s="26" t="s">
        <v>8</v>
      </c>
      <c r="FX338" s="26" t="s">
        <v>7</v>
      </c>
      <c r="FZ338" s="26" t="s">
        <v>7</v>
      </c>
      <c r="GA338" s="26" t="s">
        <v>8</v>
      </c>
      <c r="GB338" s="26" t="s">
        <v>7</v>
      </c>
    </row>
    <row r="339" spans="1:189" x14ac:dyDescent="0.25">
      <c r="A339" s="29">
        <v>7.9847144977668698E-3</v>
      </c>
      <c r="B339"/>
      <c r="C339"/>
      <c r="D339"/>
      <c r="E339"/>
      <c r="F339" s="26" t="s">
        <v>7</v>
      </c>
      <c r="CW339" s="26" t="s">
        <v>8</v>
      </c>
      <c r="CX339" s="26" t="s">
        <v>7</v>
      </c>
      <c r="CY339" s="26" t="s">
        <v>8</v>
      </c>
      <c r="CZ339" s="26" t="s">
        <v>7</v>
      </c>
      <c r="DA339" s="26" t="s">
        <v>8</v>
      </c>
      <c r="DB339" s="26" t="s">
        <v>7</v>
      </c>
      <c r="DC339" s="26" t="s">
        <v>8</v>
      </c>
      <c r="DD339" s="26" t="s">
        <v>7</v>
      </c>
      <c r="DE339" s="26" t="s">
        <v>8</v>
      </c>
      <c r="EJ339" s="26" t="s">
        <v>7</v>
      </c>
      <c r="EK339" s="26" t="s">
        <v>8</v>
      </c>
      <c r="EL339" s="26" t="s">
        <v>7</v>
      </c>
      <c r="EO339" s="31" t="s">
        <v>8</v>
      </c>
      <c r="EP339" s="26" t="s">
        <v>7</v>
      </c>
      <c r="EQ339" s="26" t="s">
        <v>8</v>
      </c>
      <c r="ER339" s="26" t="s">
        <v>7</v>
      </c>
      <c r="ES339" s="26" t="s">
        <v>8</v>
      </c>
      <c r="ET339" s="26" t="s">
        <v>7</v>
      </c>
      <c r="FA339" s="26" t="s">
        <v>8</v>
      </c>
      <c r="FH339" s="26" t="s">
        <v>7</v>
      </c>
      <c r="FI339" s="26" t="s">
        <v>8</v>
      </c>
      <c r="FJ339" s="30" t="s">
        <v>7</v>
      </c>
      <c r="FK339" s="30" t="s">
        <v>8</v>
      </c>
      <c r="FV339" s="26" t="s">
        <v>7</v>
      </c>
      <c r="FW339" s="26" t="s">
        <v>8</v>
      </c>
      <c r="FZ339" s="26" t="s">
        <v>7</v>
      </c>
      <c r="GA339" s="26" t="s">
        <v>8</v>
      </c>
      <c r="GB339" s="26" t="s">
        <v>7</v>
      </c>
    </row>
    <row r="340" spans="1:189" x14ac:dyDescent="0.25">
      <c r="A340" s="29">
        <v>7.6044899978732058E-3</v>
      </c>
      <c r="B340"/>
      <c r="C340"/>
      <c r="D340"/>
      <c r="E340"/>
      <c r="F340" s="26" t="s">
        <v>7</v>
      </c>
      <c r="CW340" s="26" t="s">
        <v>8</v>
      </c>
      <c r="CX340" s="26" t="s">
        <v>7</v>
      </c>
      <c r="CY340" s="26" t="s">
        <v>8</v>
      </c>
      <c r="CZ340" s="26" t="s">
        <v>7</v>
      </c>
      <c r="DA340" s="26" t="s">
        <v>8</v>
      </c>
      <c r="DB340" s="26" t="s">
        <v>7</v>
      </c>
      <c r="DC340" s="26" t="s">
        <v>8</v>
      </c>
      <c r="DD340" s="26" t="s">
        <v>7</v>
      </c>
      <c r="DE340" s="26" t="s">
        <v>8</v>
      </c>
      <c r="EJ340" s="26" t="s">
        <v>7</v>
      </c>
      <c r="EK340" s="26" t="s">
        <v>8</v>
      </c>
      <c r="EL340" s="26" t="s">
        <v>7</v>
      </c>
      <c r="EM340" s="26" t="s">
        <v>8</v>
      </c>
      <c r="EO340" s="26" t="s">
        <v>8</v>
      </c>
      <c r="EP340" s="26" t="s">
        <v>7</v>
      </c>
      <c r="ER340" s="26" t="s">
        <v>7</v>
      </c>
      <c r="ES340" s="26" t="s">
        <v>8</v>
      </c>
      <c r="ET340" s="26" t="s">
        <v>7</v>
      </c>
      <c r="FA340" s="26" t="s">
        <v>8</v>
      </c>
      <c r="FH340" s="26" t="s">
        <v>7</v>
      </c>
      <c r="FI340" s="30"/>
      <c r="FJ340" s="26" t="s">
        <v>7</v>
      </c>
      <c r="FV340" s="26" t="s">
        <v>7</v>
      </c>
      <c r="FW340" s="26" t="s">
        <v>8</v>
      </c>
      <c r="FZ340" s="26" t="s">
        <v>7</v>
      </c>
      <c r="GA340" s="26" t="s">
        <v>8</v>
      </c>
      <c r="GB340" s="26" t="s">
        <v>7</v>
      </c>
    </row>
    <row r="341" spans="1:189" x14ac:dyDescent="0.25">
      <c r="A341" s="29">
        <v>7.2423714265459072E-3</v>
      </c>
      <c r="B341"/>
      <c r="C341"/>
      <c r="D341"/>
      <c r="E341"/>
      <c r="F341" s="26" t="s">
        <v>7</v>
      </c>
      <c r="CW341" s="26" t="s">
        <v>8</v>
      </c>
      <c r="CX341" s="26" t="s">
        <v>7</v>
      </c>
      <c r="CY341" s="26" t="s">
        <v>8</v>
      </c>
      <c r="CZ341" s="26" t="s">
        <v>7</v>
      </c>
      <c r="DB341" s="26" t="s">
        <v>7</v>
      </c>
      <c r="DC341" s="26" t="s">
        <v>8</v>
      </c>
      <c r="DD341" s="26" t="s">
        <v>7</v>
      </c>
      <c r="DE341" s="26" t="s">
        <v>8</v>
      </c>
      <c r="EJ341" s="26" t="s">
        <v>7</v>
      </c>
      <c r="EK341" s="26" t="s">
        <v>8</v>
      </c>
      <c r="EL341" s="26" t="s">
        <v>7</v>
      </c>
      <c r="EM341" s="26" t="s">
        <v>8</v>
      </c>
      <c r="EN341" s="26" t="s">
        <v>7</v>
      </c>
      <c r="EO341" s="26" t="s">
        <v>8</v>
      </c>
      <c r="ER341" s="26" t="s">
        <v>7</v>
      </c>
      <c r="ET341" s="26" t="s">
        <v>7</v>
      </c>
      <c r="FA341" s="26" t="s">
        <v>8</v>
      </c>
      <c r="FH341" s="30"/>
      <c r="FV341" s="26" t="s">
        <v>7</v>
      </c>
      <c r="FW341" s="26" t="s">
        <v>8</v>
      </c>
      <c r="FZ341" s="26" t="s">
        <v>7</v>
      </c>
      <c r="GA341" s="26" t="s">
        <v>8</v>
      </c>
      <c r="GB341" s="26" t="s">
        <v>7</v>
      </c>
    </row>
    <row r="342" spans="1:189" x14ac:dyDescent="0.25">
      <c r="A342" s="29">
        <v>6.8974965967103846E-3</v>
      </c>
      <c r="B342"/>
      <c r="C342"/>
      <c r="D342"/>
      <c r="E342"/>
      <c r="F342" s="26" t="s">
        <v>7</v>
      </c>
      <c r="CW342" s="26" t="s">
        <v>8</v>
      </c>
      <c r="CX342" s="26" t="s">
        <v>7</v>
      </c>
      <c r="CY342" s="26" t="s">
        <v>8</v>
      </c>
      <c r="DB342" s="26" t="s">
        <v>7</v>
      </c>
      <c r="DD342" s="26" t="s">
        <v>7</v>
      </c>
      <c r="EJ342" s="26" t="s">
        <v>7</v>
      </c>
      <c r="EK342" s="26" t="s">
        <v>8</v>
      </c>
      <c r="EL342" s="26" t="s">
        <v>7</v>
      </c>
      <c r="EM342" s="26" t="s">
        <v>8</v>
      </c>
      <c r="EN342" s="26" t="s">
        <v>7</v>
      </c>
      <c r="EO342" s="26" t="s">
        <v>8</v>
      </c>
      <c r="ET342" s="32" t="s">
        <v>7</v>
      </c>
      <c r="FA342" s="31" t="s">
        <v>8</v>
      </c>
      <c r="FG342" s="30"/>
      <c r="FV342" s="26" t="s">
        <v>7</v>
      </c>
      <c r="FW342" s="26" t="s">
        <v>8</v>
      </c>
      <c r="FZ342" s="26" t="s">
        <v>7</v>
      </c>
      <c r="GB342" s="26" t="s">
        <v>7</v>
      </c>
    </row>
    <row r="343" spans="1:189" x14ac:dyDescent="0.25">
      <c r="A343" s="29">
        <v>6.5690443778194116E-3</v>
      </c>
      <c r="B343"/>
      <c r="C343"/>
      <c r="D343"/>
      <c r="E343"/>
      <c r="F343" s="26" t="s">
        <v>7</v>
      </c>
      <c r="CW343" s="26" t="s">
        <v>8</v>
      </c>
      <c r="CX343" s="26" t="s">
        <v>7</v>
      </c>
      <c r="CY343" s="26" t="s">
        <v>8</v>
      </c>
      <c r="EJ343" s="26" t="s">
        <v>7</v>
      </c>
      <c r="EK343" s="26" t="s">
        <v>8</v>
      </c>
      <c r="EL343" s="26" t="s">
        <v>7</v>
      </c>
      <c r="EN343" s="26" t="s">
        <v>7</v>
      </c>
      <c r="EO343" s="26" t="s">
        <v>8</v>
      </c>
      <c r="ET343" s="26" t="s">
        <v>7</v>
      </c>
      <c r="EW343" s="31" t="s">
        <v>8</v>
      </c>
      <c r="EY343" s="26" t="s">
        <v>8</v>
      </c>
      <c r="FA343" s="26" t="s">
        <v>8</v>
      </c>
      <c r="FF343" s="30"/>
      <c r="FV343" s="26" t="s">
        <v>7</v>
      </c>
      <c r="FW343" s="26" t="s">
        <v>8</v>
      </c>
      <c r="GB343" s="26" t="s">
        <v>7</v>
      </c>
      <c r="GC343" s="26" t="s">
        <v>8</v>
      </c>
    </row>
    <row r="344" spans="1:189" x14ac:dyDescent="0.25">
      <c r="A344" s="29">
        <v>6.2562327407803897E-3</v>
      </c>
      <c r="B344"/>
      <c r="C344"/>
      <c r="D344"/>
      <c r="E344"/>
      <c r="F344" s="26" t="s">
        <v>7</v>
      </c>
      <c r="CW344" s="26" t="s">
        <v>8</v>
      </c>
      <c r="CX344" s="26" t="s">
        <v>7</v>
      </c>
      <c r="CY344" s="26" t="s">
        <v>8</v>
      </c>
      <c r="EJ344" s="26" t="s">
        <v>7</v>
      </c>
      <c r="EK344" s="26" t="s">
        <v>8</v>
      </c>
      <c r="EN344" s="26" t="s">
        <v>7</v>
      </c>
      <c r="EO344" s="26" t="s">
        <v>8</v>
      </c>
      <c r="ET344" s="26" t="s">
        <v>7</v>
      </c>
      <c r="EU344" s="26" t="s">
        <v>8</v>
      </c>
      <c r="EW344" s="26" t="s">
        <v>8</v>
      </c>
      <c r="EX344" s="26" t="s">
        <v>7</v>
      </c>
      <c r="EY344" s="26" t="s">
        <v>8</v>
      </c>
      <c r="EZ344" s="26" t="s">
        <v>7</v>
      </c>
      <c r="FA344" s="26" t="s">
        <v>8</v>
      </c>
      <c r="FE344" s="30"/>
      <c r="FV344" s="26" t="s">
        <v>7</v>
      </c>
      <c r="FW344" s="26" t="s">
        <v>8</v>
      </c>
      <c r="GB344" s="26" t="s">
        <v>7</v>
      </c>
      <c r="GC344" s="26" t="s">
        <v>8</v>
      </c>
      <c r="GD344" s="26" t="s">
        <v>7</v>
      </c>
    </row>
    <row r="345" spans="1:189" x14ac:dyDescent="0.25">
      <c r="A345" s="29">
        <v>5.9583168959813212E-3</v>
      </c>
      <c r="B345"/>
      <c r="C345"/>
      <c r="D345"/>
      <c r="E345"/>
      <c r="F345" s="26" t="s">
        <v>7</v>
      </c>
      <c r="CW345" s="26" t="s">
        <v>8</v>
      </c>
      <c r="CX345" s="26" t="s">
        <v>7</v>
      </c>
      <c r="CY345" s="26" t="s">
        <v>8</v>
      </c>
      <c r="EJ345" s="26" t="s">
        <v>7</v>
      </c>
      <c r="EK345" s="26" t="s">
        <v>8</v>
      </c>
      <c r="EN345" s="26" t="s">
        <v>7</v>
      </c>
      <c r="EO345" s="26" t="s">
        <v>8</v>
      </c>
      <c r="ET345" s="26" t="s">
        <v>7</v>
      </c>
      <c r="EU345" s="26" t="s">
        <v>8</v>
      </c>
      <c r="EV345" s="26" t="s">
        <v>7</v>
      </c>
      <c r="EW345" s="26" t="s">
        <v>8</v>
      </c>
      <c r="EX345" s="26" t="s">
        <v>7</v>
      </c>
      <c r="EY345" s="26" t="s">
        <v>8</v>
      </c>
      <c r="EZ345" s="26" t="s">
        <v>7</v>
      </c>
      <c r="FA345" s="26" t="s">
        <v>8</v>
      </c>
      <c r="FD345" s="30"/>
      <c r="FV345" s="26" t="s">
        <v>7</v>
      </c>
      <c r="FW345" s="26" t="s">
        <v>8</v>
      </c>
      <c r="GB345" s="26" t="s">
        <v>7</v>
      </c>
      <c r="GC345" s="26" t="s">
        <v>8</v>
      </c>
      <c r="GD345" s="26" t="s">
        <v>7</v>
      </c>
    </row>
    <row r="346" spans="1:189" x14ac:dyDescent="0.25">
      <c r="A346" s="29">
        <v>5.6745875199822084E-3</v>
      </c>
      <c r="B346"/>
      <c r="C346"/>
      <c r="D346"/>
      <c r="E346"/>
      <c r="F346" s="26" t="s">
        <v>7</v>
      </c>
      <c r="CW346" s="26" t="s">
        <v>8</v>
      </c>
      <c r="CX346" s="26" t="s">
        <v>7</v>
      </c>
      <c r="EJ346" s="26" t="s">
        <v>7</v>
      </c>
      <c r="EK346" s="26" t="s">
        <v>8</v>
      </c>
      <c r="EN346" s="26" t="s">
        <v>7</v>
      </c>
      <c r="EO346" s="26" t="s">
        <v>8</v>
      </c>
      <c r="ET346" s="26" t="s">
        <v>7</v>
      </c>
      <c r="EU346" s="26" t="s">
        <v>8</v>
      </c>
      <c r="EV346" s="26" t="s">
        <v>7</v>
      </c>
      <c r="EW346" s="26" t="s">
        <v>8</v>
      </c>
      <c r="EX346" s="26" t="s">
        <v>7</v>
      </c>
      <c r="EY346" s="26" t="s">
        <v>8</v>
      </c>
      <c r="EZ346" s="26" t="s">
        <v>7</v>
      </c>
      <c r="FC346" s="30"/>
      <c r="FV346" s="26" t="s">
        <v>7</v>
      </c>
      <c r="FW346" s="26" t="s">
        <v>8</v>
      </c>
      <c r="GB346" s="26" t="s">
        <v>7</v>
      </c>
      <c r="GD346" s="26" t="s">
        <v>7</v>
      </c>
    </row>
    <row r="347" spans="1:189" x14ac:dyDescent="0.25">
      <c r="A347" s="29">
        <v>5.4043690666497205E-3</v>
      </c>
      <c r="B347"/>
      <c r="C347"/>
      <c r="D347"/>
      <c r="E347"/>
      <c r="F347" s="26" t="s">
        <v>7</v>
      </c>
      <c r="CW347" s="26" t="s">
        <v>8</v>
      </c>
      <c r="EJ347" s="26" t="s">
        <v>7</v>
      </c>
      <c r="EK347" s="26" t="s">
        <v>8</v>
      </c>
      <c r="EN347" s="26" t="s">
        <v>7</v>
      </c>
      <c r="EO347" s="26" t="s">
        <v>8</v>
      </c>
      <c r="ET347" s="26" t="s">
        <v>7</v>
      </c>
      <c r="EU347" s="26" t="s">
        <v>8</v>
      </c>
      <c r="EV347" s="26" t="s">
        <v>7</v>
      </c>
      <c r="EX347" s="26" t="s">
        <v>7</v>
      </c>
      <c r="EY347" s="26" t="s">
        <v>8</v>
      </c>
      <c r="FB347" s="30"/>
      <c r="FV347" s="26" t="s">
        <v>7</v>
      </c>
      <c r="FW347" s="26" t="s">
        <v>8</v>
      </c>
      <c r="GD347" s="26" t="s">
        <v>7</v>
      </c>
    </row>
    <row r="348" spans="1:189" x14ac:dyDescent="0.25">
      <c r="A348" s="29">
        <v>5.1470181587140174E-3</v>
      </c>
      <c r="B348"/>
      <c r="C348"/>
      <c r="D348"/>
      <c r="E348"/>
      <c r="F348" s="26" t="s">
        <v>7</v>
      </c>
      <c r="CW348" s="26" t="s">
        <v>8</v>
      </c>
      <c r="EJ348" s="26" t="s">
        <v>7</v>
      </c>
      <c r="EK348" s="26" t="s">
        <v>8</v>
      </c>
      <c r="EN348" s="26" t="s">
        <v>7</v>
      </c>
      <c r="ET348" s="26" t="s">
        <v>7</v>
      </c>
      <c r="EU348" s="26" t="s">
        <v>8</v>
      </c>
      <c r="EX348" s="32" t="s">
        <v>7</v>
      </c>
      <c r="EY348" s="26" t="s">
        <v>8</v>
      </c>
      <c r="FA348" s="30"/>
      <c r="FV348" s="26" t="s">
        <v>7</v>
      </c>
      <c r="FW348" s="26" t="s">
        <v>8</v>
      </c>
      <c r="GD348" s="26" t="s">
        <v>7</v>
      </c>
    </row>
    <row r="349" spans="1:189" x14ac:dyDescent="0.25">
      <c r="A349" s="29">
        <v>4.9019220559181099E-3</v>
      </c>
      <c r="B349"/>
      <c r="C349"/>
      <c r="D349"/>
      <c r="E349"/>
      <c r="F349" s="26" t="s">
        <v>7</v>
      </c>
      <c r="CW349" s="26" t="s">
        <v>8</v>
      </c>
      <c r="EJ349" s="26" t="s">
        <v>7</v>
      </c>
      <c r="ET349" s="26" t="s">
        <v>7</v>
      </c>
      <c r="EX349" s="18" t="s">
        <v>7</v>
      </c>
      <c r="EY349" s="26" t="s">
        <v>8</v>
      </c>
      <c r="EZ349" s="30"/>
      <c r="FV349" s="26" t="s">
        <v>7</v>
      </c>
      <c r="FW349" s="26" t="s">
        <v>8</v>
      </c>
      <c r="GD349" s="26" t="s">
        <v>7</v>
      </c>
      <c r="GG349" s="26" t="s">
        <v>8</v>
      </c>
    </row>
    <row r="350" spans="1:189" x14ac:dyDescent="0.25">
      <c r="A350" s="29">
        <v>4.6684971961124836E-3</v>
      </c>
      <c r="B350"/>
      <c r="C350"/>
      <c r="D350"/>
      <c r="E350"/>
      <c r="F350" s="26" t="s">
        <v>7</v>
      </c>
      <c r="CW350" s="26" t="s">
        <v>8</v>
      </c>
      <c r="EX350" s="26" t="s">
        <v>7</v>
      </c>
      <c r="EY350" s="30" t="s">
        <v>8</v>
      </c>
      <c r="FV350" s="26" t="s">
        <v>7</v>
      </c>
      <c r="FW350" s="26" t="s">
        <v>8</v>
      </c>
      <c r="GD350" s="26" t="s">
        <v>7</v>
      </c>
      <c r="GE350" s="26" t="s">
        <v>8</v>
      </c>
      <c r="GG350" s="26" t="s">
        <v>8</v>
      </c>
    </row>
    <row r="351" spans="1:189" x14ac:dyDescent="0.25">
      <c r="A351" s="29">
        <v>4.4461878058214112E-3</v>
      </c>
      <c r="B351"/>
      <c r="C351"/>
      <c r="D351"/>
      <c r="E351"/>
      <c r="F351" s="26" t="s">
        <v>7</v>
      </c>
      <c r="CW351" s="26" t="s">
        <v>8</v>
      </c>
      <c r="EX351" s="30" t="s">
        <v>7</v>
      </c>
      <c r="FV351" s="26" t="s">
        <v>7</v>
      </c>
      <c r="FW351" s="26" t="s">
        <v>8</v>
      </c>
      <c r="GD351" s="26" t="s">
        <v>7</v>
      </c>
      <c r="GE351" s="26" t="s">
        <v>8</v>
      </c>
      <c r="GF351" s="26" t="s">
        <v>7</v>
      </c>
      <c r="GG351" s="26" t="s">
        <v>8</v>
      </c>
    </row>
    <row r="352" spans="1:189" x14ac:dyDescent="0.25">
      <c r="A352" s="29">
        <v>4.2344645769727711E-3</v>
      </c>
      <c r="B352"/>
      <c r="C352"/>
      <c r="D352"/>
      <c r="E352"/>
      <c r="F352" s="26" t="s">
        <v>7</v>
      </c>
      <c r="CM352" s="26" t="s">
        <v>8</v>
      </c>
      <c r="CW352" s="26" t="s">
        <v>8</v>
      </c>
      <c r="FV352" s="26" t="s">
        <v>7</v>
      </c>
      <c r="FW352" s="26" t="s">
        <v>8</v>
      </c>
      <c r="GD352" s="26" t="s">
        <v>7</v>
      </c>
      <c r="GE352" s="26" t="s">
        <v>8</v>
      </c>
      <c r="GF352" s="26" t="s">
        <v>7</v>
      </c>
      <c r="GG352" s="26" t="s">
        <v>8</v>
      </c>
    </row>
    <row r="353" spans="1:188" x14ac:dyDescent="0.25">
      <c r="A353" s="29">
        <v>4.0328234066407329E-3</v>
      </c>
      <c r="B353"/>
      <c r="C353"/>
      <c r="D353"/>
      <c r="E353"/>
      <c r="F353" s="26" t="s">
        <v>7</v>
      </c>
      <c r="CM353" s="26" t="s">
        <v>8</v>
      </c>
      <c r="CN353" s="26" t="s">
        <v>7</v>
      </c>
      <c r="CW353" s="26" t="s">
        <v>8</v>
      </c>
      <c r="FV353" s="26" t="s">
        <v>7</v>
      </c>
      <c r="FW353" s="26" t="s">
        <v>8</v>
      </c>
      <c r="GD353" s="26" t="s">
        <v>7</v>
      </c>
      <c r="GF353" s="26" t="s">
        <v>7</v>
      </c>
    </row>
    <row r="354" spans="1:188" x14ac:dyDescent="0.25">
      <c r="A354" s="29">
        <v>3.8407841968006963E-3</v>
      </c>
      <c r="B354"/>
      <c r="C354"/>
      <c r="D354"/>
      <c r="E354"/>
      <c r="F354" s="26" t="s">
        <v>7</v>
      </c>
      <c r="CM354" s="26" t="s">
        <v>8</v>
      </c>
      <c r="CN354" s="26" t="s">
        <v>7</v>
      </c>
      <c r="CW354" s="26" t="s">
        <v>8</v>
      </c>
      <c r="FV354" s="26" t="s">
        <v>7</v>
      </c>
      <c r="FW354" s="26" t="s">
        <v>8</v>
      </c>
    </row>
    <row r="355" spans="1:188" x14ac:dyDescent="0.25">
      <c r="A355" s="29">
        <v>3.6578897112387568E-3</v>
      </c>
      <c r="B355"/>
      <c r="C355"/>
      <c r="D355"/>
      <c r="E355"/>
      <c r="F355" s="26" t="s">
        <v>7</v>
      </c>
      <c r="CM355" s="26" t="s">
        <v>8</v>
      </c>
      <c r="CN355" s="26" t="s">
        <v>7</v>
      </c>
      <c r="CW355" s="26" t="s">
        <v>8</v>
      </c>
      <c r="FV355" s="26" t="s">
        <v>7</v>
      </c>
      <c r="FW355" s="26" t="s">
        <v>8</v>
      </c>
    </row>
    <row r="356" spans="1:188" x14ac:dyDescent="0.25">
      <c r="A356" s="29">
        <v>3.4837044868940526E-3</v>
      </c>
      <c r="B356"/>
      <c r="C356"/>
      <c r="D356"/>
      <c r="E356"/>
      <c r="F356" s="26" t="s">
        <v>7</v>
      </c>
      <c r="CM356" s="26" t="s">
        <v>8</v>
      </c>
      <c r="CN356" s="26" t="s">
        <v>7</v>
      </c>
      <c r="CO356" s="26" t="s">
        <v>8</v>
      </c>
      <c r="CS356" s="26" t="s">
        <v>8</v>
      </c>
      <c r="CU356" s="26" t="s">
        <v>8</v>
      </c>
      <c r="CW356" s="26" t="s">
        <v>8</v>
      </c>
      <c r="FV356" s="26" t="s">
        <v>7</v>
      </c>
      <c r="FW356" s="26" t="s">
        <v>8</v>
      </c>
    </row>
    <row r="357" spans="1:188" x14ac:dyDescent="0.25">
      <c r="A357" s="29">
        <v>3.3178137970419535E-3</v>
      </c>
      <c r="B357"/>
      <c r="C357"/>
      <c r="D357"/>
      <c r="E357"/>
      <c r="F357" s="26" t="s">
        <v>7</v>
      </c>
      <c r="CM357" s="26" t="s">
        <v>8</v>
      </c>
      <c r="CN357" s="26" t="s">
        <v>7</v>
      </c>
      <c r="CO357" s="26" t="s">
        <v>8</v>
      </c>
      <c r="CP357" s="26" t="s">
        <v>7</v>
      </c>
      <c r="CS357" s="26" t="s">
        <v>8</v>
      </c>
      <c r="CT357" s="26" t="s">
        <v>7</v>
      </c>
      <c r="CU357" s="26" t="s">
        <v>8</v>
      </c>
      <c r="CV357" s="26" t="s">
        <v>7</v>
      </c>
      <c r="CW357" s="26" t="s">
        <v>8</v>
      </c>
      <c r="FV357" s="26" t="s">
        <v>7</v>
      </c>
      <c r="FW357" s="26" t="s">
        <v>8</v>
      </c>
    </row>
    <row r="358" spans="1:188" x14ac:dyDescent="0.25">
      <c r="A358" s="29">
        <v>3.1598226638494781E-3</v>
      </c>
      <c r="B358"/>
      <c r="C358"/>
      <c r="D358"/>
      <c r="E358"/>
      <c r="F358" s="26" t="s">
        <v>7</v>
      </c>
      <c r="CM358" s="26" t="s">
        <v>8</v>
      </c>
      <c r="CN358" s="26" t="s">
        <v>7</v>
      </c>
      <c r="CO358" s="26" t="s">
        <v>8</v>
      </c>
      <c r="CP358" s="26" t="s">
        <v>7</v>
      </c>
      <c r="CS358" s="26" t="s">
        <v>8</v>
      </c>
      <c r="CT358" s="26" t="s">
        <v>7</v>
      </c>
      <c r="CU358" s="26" t="s">
        <v>8</v>
      </c>
      <c r="CV358" s="26" t="s">
        <v>7</v>
      </c>
      <c r="CW358" s="26" t="s">
        <v>8</v>
      </c>
      <c r="FV358" s="26" t="s">
        <v>7</v>
      </c>
      <c r="FW358" s="26" t="s">
        <v>8</v>
      </c>
    </row>
    <row r="359" spans="1:188" x14ac:dyDescent="0.25">
      <c r="A359" s="29">
        <v>3.0093549179518826E-3</v>
      </c>
      <c r="B359"/>
      <c r="C359"/>
      <c r="D359"/>
      <c r="E359"/>
      <c r="F359" s="26" t="s">
        <v>7</v>
      </c>
      <c r="CM359" s="26" t="s">
        <v>8</v>
      </c>
      <c r="CN359" s="26" t="s">
        <v>7</v>
      </c>
      <c r="CO359" s="26" t="s">
        <v>8</v>
      </c>
      <c r="CP359" s="26" t="s">
        <v>7</v>
      </c>
      <c r="CS359" s="26" t="s">
        <v>8</v>
      </c>
      <c r="CT359" s="26" t="s">
        <v>7</v>
      </c>
      <c r="CV359" s="26" t="s">
        <v>7</v>
      </c>
      <c r="CW359" s="26" t="s">
        <v>8</v>
      </c>
      <c r="FV359" s="26" t="s">
        <v>7</v>
      </c>
      <c r="FW359" s="26" t="s">
        <v>8</v>
      </c>
    </row>
    <row r="360" spans="1:188" x14ac:dyDescent="0.25">
      <c r="A360" s="29">
        <v>2.8660523028113155E-3</v>
      </c>
      <c r="B360"/>
      <c r="C360"/>
      <c r="D360"/>
      <c r="E360"/>
      <c r="F360" s="26" t="s">
        <v>7</v>
      </c>
      <c r="CM360" s="26" t="s">
        <v>8</v>
      </c>
      <c r="CN360" s="26" t="s">
        <v>7</v>
      </c>
      <c r="CO360" s="26" t="s">
        <v>8</v>
      </c>
      <c r="CP360" s="26" t="s">
        <v>7</v>
      </c>
      <c r="CQ360" s="26" t="s">
        <v>8</v>
      </c>
      <c r="CS360" s="26" t="s">
        <v>8</v>
      </c>
      <c r="CV360" s="26" t="s">
        <v>7</v>
      </c>
      <c r="FV360" s="26" t="s">
        <v>7</v>
      </c>
      <c r="FW360" s="26" t="s">
        <v>8</v>
      </c>
    </row>
    <row r="361" spans="1:188" x14ac:dyDescent="0.25">
      <c r="A361" s="29">
        <v>2.7295736217250611E-3</v>
      </c>
      <c r="B361"/>
      <c r="C361"/>
      <c r="D361"/>
      <c r="E361"/>
      <c r="F361" s="26" t="s">
        <v>7</v>
      </c>
      <c r="CM361" s="26" t="s">
        <v>8</v>
      </c>
      <c r="CN361" s="26" t="s">
        <v>7</v>
      </c>
      <c r="CO361" s="26" t="s">
        <v>8</v>
      </c>
      <c r="CP361" s="26" t="s">
        <v>7</v>
      </c>
      <c r="CQ361" s="26" t="s">
        <v>8</v>
      </c>
      <c r="CR361" s="26" t="s">
        <v>7</v>
      </c>
      <c r="CS361" s="26" t="s">
        <v>8</v>
      </c>
      <c r="FV361" s="26" t="s">
        <v>7</v>
      </c>
      <c r="FW361" s="26" t="s">
        <v>8</v>
      </c>
    </row>
    <row r="362" spans="1:188" x14ac:dyDescent="0.25">
      <c r="A362" s="29">
        <v>2.5995939254524381E-3</v>
      </c>
      <c r="B362"/>
      <c r="C362"/>
      <c r="D362"/>
      <c r="E362"/>
      <c r="F362" s="26" t="s">
        <v>7</v>
      </c>
      <c r="M362" s="26" t="s">
        <v>8</v>
      </c>
      <c r="CM362" s="26" t="s">
        <v>8</v>
      </c>
      <c r="CN362" s="26" t="s">
        <v>7</v>
      </c>
      <c r="CO362" s="26" t="s">
        <v>8</v>
      </c>
      <c r="CP362" s="26" t="s">
        <v>7</v>
      </c>
      <c r="CQ362" s="26" t="s">
        <v>8</v>
      </c>
      <c r="CR362" s="26" t="s">
        <v>7</v>
      </c>
      <c r="CS362" s="26" t="s">
        <v>8</v>
      </c>
      <c r="FV362" s="26" t="s">
        <v>7</v>
      </c>
    </row>
    <row r="363" spans="1:188" x14ac:dyDescent="0.25">
      <c r="A363" s="29">
        <v>2.4758037385261304E-3</v>
      </c>
      <c r="B363"/>
      <c r="C363"/>
      <c r="D363"/>
      <c r="E363"/>
      <c r="F363" s="26" t="s">
        <v>7</v>
      </c>
      <c r="M363" s="26" t="s">
        <v>8</v>
      </c>
      <c r="N363" s="26" t="s">
        <v>7</v>
      </c>
      <c r="CM363" s="26" t="s">
        <v>8</v>
      </c>
      <c r="CN363" s="26" t="s">
        <v>7</v>
      </c>
      <c r="CO363" s="26" t="s">
        <v>8</v>
      </c>
      <c r="CP363" s="26" t="s">
        <v>7</v>
      </c>
      <c r="CQ363" s="26" t="s">
        <v>8</v>
      </c>
      <c r="CR363" s="26" t="s">
        <v>7</v>
      </c>
      <c r="CS363" s="26" t="s">
        <v>8</v>
      </c>
    </row>
    <row r="364" spans="1:188" x14ac:dyDescent="0.25">
      <c r="A364" s="29">
        <v>2.3579083224058374E-3</v>
      </c>
      <c r="B364"/>
      <c r="C364"/>
      <c r="D364"/>
      <c r="E364"/>
      <c r="F364" s="26" t="s">
        <v>7</v>
      </c>
      <c r="M364" s="26" t="s">
        <v>8</v>
      </c>
      <c r="N364" s="26" t="s">
        <v>7</v>
      </c>
      <c r="CM364" s="26" t="s">
        <v>8</v>
      </c>
      <c r="CN364" s="26" t="s">
        <v>7</v>
      </c>
      <c r="CO364" s="26" t="s">
        <v>8</v>
      </c>
      <c r="CP364" s="26" t="s">
        <v>7</v>
      </c>
      <c r="CQ364" s="26" t="s">
        <v>8</v>
      </c>
      <c r="CR364" s="26" t="s">
        <v>7</v>
      </c>
    </row>
    <row r="365" spans="1:188" x14ac:dyDescent="0.25">
      <c r="A365" s="29">
        <v>2.245626973719844E-3</v>
      </c>
      <c r="B365"/>
      <c r="C365"/>
      <c r="D365"/>
      <c r="E365"/>
      <c r="F365" s="26" t="s">
        <v>7</v>
      </c>
      <c r="K365" s="26" t="s">
        <v>8</v>
      </c>
      <c r="M365" s="26" t="s">
        <v>8</v>
      </c>
      <c r="N365" s="26" t="s">
        <v>7</v>
      </c>
      <c r="CM365" s="26" t="s">
        <v>8</v>
      </c>
      <c r="CN365" s="26" t="s">
        <v>7</v>
      </c>
      <c r="CO365" s="26" t="s">
        <v>8</v>
      </c>
      <c r="CP365" s="26" t="s">
        <v>7</v>
      </c>
    </row>
    <row r="366" spans="1:188" x14ac:dyDescent="0.25">
      <c r="A366" s="29">
        <v>2.1386923559236601E-3</v>
      </c>
      <c r="B366"/>
      <c r="C366"/>
      <c r="D366"/>
      <c r="E366"/>
      <c r="F366" s="26" t="s">
        <v>7</v>
      </c>
      <c r="K366" s="26" t="s">
        <v>8</v>
      </c>
      <c r="L366" s="26" t="s">
        <v>7</v>
      </c>
      <c r="M366" s="26" t="s">
        <v>8</v>
      </c>
      <c r="N366" s="26" t="s">
        <v>7</v>
      </c>
      <c r="Q366" s="26" t="s">
        <v>8</v>
      </c>
      <c r="CM366" s="26" t="s">
        <v>8</v>
      </c>
      <c r="CN366" s="26" t="s">
        <v>7</v>
      </c>
    </row>
    <row r="367" spans="1:188" x14ac:dyDescent="0.25">
      <c r="A367" s="29">
        <v>2.0368498627844375E-3</v>
      </c>
      <c r="B367"/>
      <c r="C367"/>
      <c r="D367"/>
      <c r="E367"/>
      <c r="F367" s="26" t="s">
        <v>7</v>
      </c>
      <c r="K367" s="26" t="s">
        <v>8</v>
      </c>
      <c r="L367" s="26" t="s">
        <v>7</v>
      </c>
      <c r="M367" s="26" t="s">
        <v>8</v>
      </c>
      <c r="N367" s="26" t="s">
        <v>7</v>
      </c>
      <c r="Q367" s="26" t="s">
        <v>8</v>
      </c>
      <c r="R367" s="26" t="s">
        <v>7</v>
      </c>
      <c r="CM367" s="26" t="s">
        <v>8</v>
      </c>
    </row>
    <row r="368" spans="1:188" x14ac:dyDescent="0.25">
      <c r="A368" s="29">
        <v>1.9398570121756541E-3</v>
      </c>
      <c r="B368"/>
      <c r="C368"/>
      <c r="D368"/>
      <c r="E368"/>
      <c r="F368" s="26" t="s">
        <v>7</v>
      </c>
      <c r="K368" s="26" t="s">
        <v>8</v>
      </c>
      <c r="L368" s="26" t="s">
        <v>7</v>
      </c>
      <c r="M368" s="26" t="s">
        <v>8</v>
      </c>
      <c r="N368" s="26" t="s">
        <v>7</v>
      </c>
      <c r="O368" s="26" t="s">
        <v>8</v>
      </c>
      <c r="Q368" s="26" t="s">
        <v>8</v>
      </c>
      <c r="R368" s="26" t="s">
        <v>7</v>
      </c>
      <c r="CM368" s="26" t="s">
        <v>8</v>
      </c>
    </row>
    <row r="369" spans="1:91" x14ac:dyDescent="0.25">
      <c r="A369" s="29">
        <v>1.8474828687387174E-3</v>
      </c>
      <c r="B369"/>
      <c r="C369"/>
      <c r="D369"/>
      <c r="E369"/>
      <c r="F369" s="26" t="s">
        <v>7</v>
      </c>
      <c r="K369" s="26" t="s">
        <v>8</v>
      </c>
      <c r="L369" s="26" t="s">
        <v>7</v>
      </c>
      <c r="M369" s="26" t="s">
        <v>8</v>
      </c>
      <c r="N369" s="26" t="s">
        <v>7</v>
      </c>
      <c r="O369" s="26" t="s">
        <v>8</v>
      </c>
      <c r="P369" s="26" t="s">
        <v>7</v>
      </c>
      <c r="Q369" s="26" t="s">
        <v>8</v>
      </c>
      <c r="R369" s="26" t="s">
        <v>7</v>
      </c>
      <c r="CM369" s="26" t="s">
        <v>8</v>
      </c>
    </row>
    <row r="370" spans="1:91" x14ac:dyDescent="0.25">
      <c r="A370" s="29">
        <v>1.759507494036873E-3</v>
      </c>
      <c r="B370"/>
      <c r="C370"/>
      <c r="D370"/>
      <c r="E370"/>
      <c r="F370" s="26" t="s">
        <v>7</v>
      </c>
      <c r="K370" s="26" t="s">
        <v>8</v>
      </c>
      <c r="L370" s="26" t="s">
        <v>7</v>
      </c>
      <c r="M370" s="26" t="s">
        <v>8</v>
      </c>
      <c r="N370" s="26" t="s">
        <v>7</v>
      </c>
      <c r="O370" s="26" t="s">
        <v>8</v>
      </c>
      <c r="P370" s="26" t="s">
        <v>7</v>
      </c>
      <c r="Q370" s="26" t="s">
        <v>8</v>
      </c>
      <c r="R370" s="26" t="s">
        <v>7</v>
      </c>
      <c r="CM370" s="26" t="s">
        <v>8</v>
      </c>
    </row>
    <row r="371" spans="1:91" x14ac:dyDescent="0.25">
      <c r="A371" s="29">
        <v>1.6757214228922594E-3</v>
      </c>
      <c r="B371"/>
      <c r="C371"/>
      <c r="D371"/>
      <c r="E371"/>
      <c r="F371" s="26" t="s">
        <v>7</v>
      </c>
      <c r="K371" s="26" t="s">
        <v>8</v>
      </c>
      <c r="L371" s="26" t="s">
        <v>7</v>
      </c>
      <c r="N371" s="26" t="s">
        <v>7</v>
      </c>
      <c r="P371" s="26" t="s">
        <v>7</v>
      </c>
      <c r="R371" s="26" t="s">
        <v>7</v>
      </c>
      <c r="CM371" s="26" t="s">
        <v>8</v>
      </c>
    </row>
    <row r="372" spans="1:91" x14ac:dyDescent="0.25">
      <c r="A372" s="29">
        <v>1.595925164659294E-3</v>
      </c>
      <c r="B372"/>
      <c r="C372"/>
      <c r="D372"/>
      <c r="E372"/>
      <c r="F372" s="26" t="s">
        <v>7</v>
      </c>
      <c r="K372" s="26" t="s">
        <v>8</v>
      </c>
      <c r="R372" s="26" t="s">
        <v>7</v>
      </c>
      <c r="CK372" s="26" t="s">
        <v>8</v>
      </c>
      <c r="CM372" s="26" t="s">
        <v>8</v>
      </c>
    </row>
    <row r="373" spans="1:91" x14ac:dyDescent="0.25">
      <c r="A373" s="29">
        <v>1.5199287282469461E-3</v>
      </c>
      <c r="B373"/>
      <c r="C373"/>
      <c r="D373"/>
      <c r="E373"/>
      <c r="F373" s="26" t="s">
        <v>7</v>
      </c>
      <c r="I373" s="26" t="s">
        <v>8</v>
      </c>
      <c r="K373" s="26" t="s">
        <v>8</v>
      </c>
      <c r="R373" s="26" t="s">
        <v>7</v>
      </c>
      <c r="CK373" s="26" t="s">
        <v>8</v>
      </c>
      <c r="CL373" s="26" t="s">
        <v>7</v>
      </c>
      <c r="CM373" s="26" t="s">
        <v>8</v>
      </c>
    </row>
    <row r="374" spans="1:91" x14ac:dyDescent="0.25">
      <c r="A374" s="29">
        <v>1.4475511697589958E-3</v>
      </c>
      <c r="B374"/>
      <c r="C374"/>
      <c r="D374"/>
      <c r="E374"/>
      <c r="F374" s="26" t="s">
        <v>7</v>
      </c>
      <c r="I374" s="26" t="s">
        <v>8</v>
      </c>
      <c r="J374" s="26" t="s">
        <v>7</v>
      </c>
      <c r="K374" s="26" t="s">
        <v>8</v>
      </c>
      <c r="R374" s="26" t="s">
        <v>7</v>
      </c>
      <c r="CI374" s="26" t="s">
        <v>8</v>
      </c>
      <c r="CK374" s="26" t="s">
        <v>8</v>
      </c>
      <c r="CL374" s="26" t="s">
        <v>7</v>
      </c>
      <c r="CM374" s="26" t="s">
        <v>8</v>
      </c>
    </row>
    <row r="375" spans="1:91" x14ac:dyDescent="0.25">
      <c r="A375" s="29">
        <v>1.3786201616752334E-3</v>
      </c>
      <c r="B375"/>
      <c r="C375"/>
      <c r="D375"/>
      <c r="E375"/>
      <c r="F375" s="26" t="s">
        <v>7</v>
      </c>
      <c r="I375" s="26" t="s">
        <v>8</v>
      </c>
      <c r="J375" s="26" t="s">
        <v>7</v>
      </c>
      <c r="K375" s="26" t="s">
        <v>8</v>
      </c>
      <c r="R375" s="26" t="s">
        <v>7</v>
      </c>
      <c r="CI375" s="26" t="s">
        <v>8</v>
      </c>
      <c r="CJ375" s="26" t="s">
        <v>7</v>
      </c>
      <c r="CK375" s="26" t="s">
        <v>8</v>
      </c>
      <c r="CL375" s="26" t="s">
        <v>7</v>
      </c>
      <c r="CM375" s="26" t="s">
        <v>8</v>
      </c>
    </row>
    <row r="376" spans="1:91" x14ac:dyDescent="0.25">
      <c r="A376" s="29">
        <v>1.3129715825478407E-3</v>
      </c>
      <c r="B376"/>
      <c r="C376"/>
      <c r="D376"/>
      <c r="E376"/>
      <c r="F376" s="26" t="s">
        <v>7</v>
      </c>
      <c r="G376" s="26" t="s">
        <v>8</v>
      </c>
      <c r="I376" s="26" t="s">
        <v>8</v>
      </c>
      <c r="J376" s="26" t="s">
        <v>7</v>
      </c>
      <c r="K376" s="26" t="s">
        <v>8</v>
      </c>
      <c r="R376" s="26" t="s">
        <v>7</v>
      </c>
      <c r="S376" s="26" t="s">
        <v>8</v>
      </c>
      <c r="CI376" s="26" t="s">
        <v>8</v>
      </c>
      <c r="CJ376" s="26" t="s">
        <v>7</v>
      </c>
      <c r="CK376" s="26" t="s">
        <v>8</v>
      </c>
      <c r="CL376" s="26" t="s">
        <v>7</v>
      </c>
      <c r="CM376" s="26" t="s">
        <v>8</v>
      </c>
    </row>
    <row r="377" spans="1:91" x14ac:dyDescent="0.25">
      <c r="A377" s="29">
        <v>1.2504491262360382E-3</v>
      </c>
      <c r="B377"/>
      <c r="C377"/>
      <c r="D377"/>
      <c r="E377"/>
      <c r="F377" s="26" t="s">
        <v>7</v>
      </c>
      <c r="G377" s="26" t="s">
        <v>8</v>
      </c>
      <c r="H377" s="26" t="s">
        <v>7</v>
      </c>
      <c r="I377" s="26" t="s">
        <v>8</v>
      </c>
      <c r="J377" s="26" t="s">
        <v>7</v>
      </c>
      <c r="K377" s="26" t="s">
        <v>8</v>
      </c>
      <c r="R377" s="26" t="s">
        <v>7</v>
      </c>
      <c r="S377" s="26" t="s">
        <v>8</v>
      </c>
      <c r="T377" s="26" t="s">
        <v>7</v>
      </c>
      <c r="CI377" s="26" t="s">
        <v>8</v>
      </c>
      <c r="CJ377" s="26" t="s">
        <v>7</v>
      </c>
      <c r="CK377" s="26" t="s">
        <v>8</v>
      </c>
      <c r="CL377" s="26" t="s">
        <v>7</v>
      </c>
      <c r="CM377" s="26" t="s">
        <v>8</v>
      </c>
    </row>
    <row r="378" spans="1:91" x14ac:dyDescent="0.25">
      <c r="A378" s="29">
        <v>1.1909039297486072E-3</v>
      </c>
      <c r="B378"/>
      <c r="C378"/>
      <c r="D378"/>
      <c r="E378"/>
      <c r="F378" s="26" t="s">
        <v>7</v>
      </c>
      <c r="G378" s="26" t="s">
        <v>8</v>
      </c>
      <c r="H378" s="26" t="s">
        <v>7</v>
      </c>
      <c r="I378" s="26" t="s">
        <v>8</v>
      </c>
      <c r="J378" s="26" t="s">
        <v>7</v>
      </c>
      <c r="K378" s="26" t="s">
        <v>8</v>
      </c>
      <c r="R378" s="26" t="s">
        <v>7</v>
      </c>
      <c r="S378" s="26" t="s">
        <v>8</v>
      </c>
      <c r="T378" s="26" t="s">
        <v>7</v>
      </c>
      <c r="CI378" s="26" t="s">
        <v>8</v>
      </c>
      <c r="CJ378" s="26" t="s">
        <v>7</v>
      </c>
      <c r="CK378" s="26" t="s">
        <v>8</v>
      </c>
      <c r="CL378" s="26" t="s">
        <v>7</v>
      </c>
      <c r="CM378" s="26" t="s">
        <v>8</v>
      </c>
    </row>
    <row r="379" spans="1:91" x14ac:dyDescent="0.25">
      <c r="A379" s="29">
        <v>1.1341942188081969E-3</v>
      </c>
      <c r="B379"/>
      <c r="C379"/>
      <c r="D379"/>
      <c r="E379"/>
      <c r="F379" s="26" t="s">
        <v>7</v>
      </c>
      <c r="G379" s="26" t="s">
        <v>8</v>
      </c>
      <c r="H379" s="26" t="s">
        <v>7</v>
      </c>
      <c r="I379" s="26" t="s">
        <v>8</v>
      </c>
      <c r="J379" s="26" t="s">
        <v>7</v>
      </c>
      <c r="R379" s="26" t="s">
        <v>7</v>
      </c>
      <c r="T379" s="26" t="s">
        <v>7</v>
      </c>
      <c r="CI379" s="26" t="s">
        <v>8</v>
      </c>
      <c r="CJ379" s="26" t="s">
        <v>7</v>
      </c>
      <c r="CK379" s="26" t="s">
        <v>8</v>
      </c>
      <c r="CL379" s="26" t="s">
        <v>7</v>
      </c>
    </row>
    <row r="380" spans="1:91" x14ac:dyDescent="0.25">
      <c r="A380" s="29">
        <v>1.0801849702935203E-3</v>
      </c>
      <c r="B380"/>
      <c r="C380"/>
      <c r="D380"/>
      <c r="E380"/>
      <c r="F380" s="26" t="s">
        <v>7</v>
      </c>
      <c r="G380" s="26" t="s">
        <v>8</v>
      </c>
      <c r="H380" s="26" t="s">
        <v>7</v>
      </c>
      <c r="T380" s="26" t="s">
        <v>7</v>
      </c>
      <c r="CA380" s="26" t="s">
        <v>8</v>
      </c>
      <c r="CI380" s="26" t="s">
        <v>8</v>
      </c>
      <c r="CJ380" s="26" t="s">
        <v>7</v>
      </c>
      <c r="CK380" s="26" t="s">
        <v>8</v>
      </c>
    </row>
    <row r="381" spans="1:91" x14ac:dyDescent="0.25">
      <c r="A381" s="29">
        <v>1.0287475907557332E-3</v>
      </c>
      <c r="B381"/>
      <c r="C381"/>
      <c r="D381"/>
      <c r="E381"/>
      <c r="F381" s="26" t="s">
        <v>7</v>
      </c>
      <c r="T381" s="26" t="s">
        <v>7</v>
      </c>
      <c r="U381" s="26" t="s">
        <v>8</v>
      </c>
      <c r="AI381" s="26" t="s">
        <v>8</v>
      </c>
      <c r="AK381" s="26" t="s">
        <v>8</v>
      </c>
      <c r="CA381" s="26" t="s">
        <v>8</v>
      </c>
      <c r="CB381" s="26" t="s">
        <v>7</v>
      </c>
      <c r="CG381" s="26" t="s">
        <v>8</v>
      </c>
      <c r="CI381" s="26" t="s">
        <v>8</v>
      </c>
      <c r="CJ381" s="26" t="s">
        <v>7</v>
      </c>
    </row>
    <row r="382" spans="1:91" x14ac:dyDescent="0.25">
      <c r="A382" s="29">
        <v>9.7731021121794646E-4</v>
      </c>
      <c r="T382" s="26" t="s">
        <v>7</v>
      </c>
      <c r="U382" s="26" t="s">
        <v>8</v>
      </c>
      <c r="V382" s="26" t="s">
        <v>7</v>
      </c>
      <c r="AG382" s="26" t="s">
        <v>8</v>
      </c>
      <c r="AI382" s="26" t="s">
        <v>8</v>
      </c>
      <c r="AJ382" s="26" t="s">
        <v>7</v>
      </c>
      <c r="AK382" s="26" t="s">
        <v>8</v>
      </c>
      <c r="AL382" s="26" t="s">
        <v>7</v>
      </c>
      <c r="BY382" s="26" t="s">
        <v>8</v>
      </c>
      <c r="CA382" s="26" t="s">
        <v>8</v>
      </c>
      <c r="CB382" s="26" t="s">
        <v>7</v>
      </c>
      <c r="CG382" s="26" t="s">
        <v>8</v>
      </c>
      <c r="CH382" s="26" t="s">
        <v>7</v>
      </c>
      <c r="CI382" s="26" t="s">
        <v>8</v>
      </c>
    </row>
    <row r="383" spans="1:91" x14ac:dyDescent="0.25">
      <c r="A383" s="29">
        <v>9.2844470065704904E-4</v>
      </c>
      <c r="T383" s="26" t="s">
        <v>7</v>
      </c>
      <c r="U383" s="26" t="s">
        <v>8</v>
      </c>
      <c r="V383" s="26" t="s">
        <v>7</v>
      </c>
      <c r="W383" s="26" t="s">
        <v>8</v>
      </c>
      <c r="Y383" s="26" t="s">
        <v>8</v>
      </c>
      <c r="AG383" s="26" t="s">
        <v>8</v>
      </c>
      <c r="AH383" s="26" t="s">
        <v>7</v>
      </c>
      <c r="AI383" s="26" t="s">
        <v>8</v>
      </c>
      <c r="AJ383" s="26" t="s">
        <v>7</v>
      </c>
      <c r="AK383" s="26" t="s">
        <v>8</v>
      </c>
      <c r="AL383" s="26" t="s">
        <v>7</v>
      </c>
      <c r="AQ383" s="26" t="s">
        <v>8</v>
      </c>
      <c r="BK383" s="26" t="s">
        <v>8</v>
      </c>
      <c r="BY383" s="26" t="s">
        <v>8</v>
      </c>
      <c r="BZ383" s="26" t="s">
        <v>7</v>
      </c>
      <c r="CA383" s="26" t="s">
        <v>8</v>
      </c>
      <c r="CB383" s="26" t="s">
        <v>7</v>
      </c>
      <c r="CC383" s="26" t="s">
        <v>8</v>
      </c>
      <c r="CG383" s="26" t="s">
        <v>8</v>
      </c>
      <c r="CH383" s="26" t="s">
        <v>7</v>
      </c>
      <c r="CI383" s="26" t="s">
        <v>8</v>
      </c>
    </row>
    <row r="384" spans="1:91" x14ac:dyDescent="0.25">
      <c r="A384" s="29">
        <v>8.8202246562419653E-4</v>
      </c>
      <c r="T384" s="26" t="s">
        <v>7</v>
      </c>
      <c r="V384" s="26" t="s">
        <v>7</v>
      </c>
      <c r="W384" s="26" t="s">
        <v>8</v>
      </c>
      <c r="X384" s="26" t="s">
        <v>7</v>
      </c>
      <c r="Y384" s="26" t="s">
        <v>8</v>
      </c>
      <c r="Z384" s="26" t="s">
        <v>7</v>
      </c>
      <c r="AE384" s="26" t="s">
        <v>8</v>
      </c>
      <c r="AG384" s="26" t="s">
        <v>8</v>
      </c>
      <c r="AH384" s="26" t="s">
        <v>7</v>
      </c>
      <c r="AI384" s="26" t="s">
        <v>8</v>
      </c>
      <c r="AJ384" s="26" t="s">
        <v>7</v>
      </c>
      <c r="AL384" s="26" t="s">
        <v>7</v>
      </c>
      <c r="AQ384" s="26" t="s">
        <v>8</v>
      </c>
      <c r="AR384" s="26" t="s">
        <v>7</v>
      </c>
      <c r="BK384" s="26" t="s">
        <v>8</v>
      </c>
      <c r="BL384" s="26" t="s">
        <v>7</v>
      </c>
      <c r="BY384" s="26" t="s">
        <v>8</v>
      </c>
      <c r="BZ384" s="26" t="s">
        <v>7</v>
      </c>
      <c r="CA384" s="26" t="s">
        <v>8</v>
      </c>
      <c r="CB384" s="26" t="s">
        <v>7</v>
      </c>
      <c r="CC384" s="26" t="s">
        <v>8</v>
      </c>
      <c r="CD384" s="26" t="s">
        <v>7</v>
      </c>
      <c r="CG384" s="26" t="s">
        <v>8</v>
      </c>
      <c r="CH384" s="26" t="s">
        <v>7</v>
      </c>
      <c r="CI384" s="26" t="s">
        <v>8</v>
      </c>
    </row>
    <row r="385" spans="1:87" x14ac:dyDescent="0.25">
      <c r="A385" s="29">
        <v>8.3792134234298668E-4</v>
      </c>
      <c r="V385" s="26" t="s">
        <v>7</v>
      </c>
      <c r="W385" s="26" t="s">
        <v>8</v>
      </c>
      <c r="X385" s="26" t="s">
        <v>7</v>
      </c>
      <c r="Y385" s="26" t="s">
        <v>8</v>
      </c>
      <c r="Z385" s="26" t="s">
        <v>7</v>
      </c>
      <c r="AE385" s="26" t="s">
        <v>8</v>
      </c>
      <c r="AF385" s="26" t="s">
        <v>7</v>
      </c>
      <c r="AG385" s="26" t="s">
        <v>8</v>
      </c>
      <c r="AH385" s="26" t="s">
        <v>7</v>
      </c>
      <c r="AL385" s="26" t="s">
        <v>7</v>
      </c>
      <c r="AM385" s="26" t="s">
        <v>8</v>
      </c>
      <c r="AQ385" s="26" t="s">
        <v>8</v>
      </c>
      <c r="AR385" s="26" t="s">
        <v>7</v>
      </c>
      <c r="BG385" s="26" t="s">
        <v>8</v>
      </c>
      <c r="BK385" s="26" t="s">
        <v>8</v>
      </c>
      <c r="BL385" s="26" t="s">
        <v>7</v>
      </c>
      <c r="BY385" s="26" t="s">
        <v>8</v>
      </c>
      <c r="BZ385" s="26" t="s">
        <v>7</v>
      </c>
      <c r="CA385" s="26" t="s">
        <v>8</v>
      </c>
      <c r="CB385" s="26" t="s">
        <v>7</v>
      </c>
      <c r="CC385" s="26" t="s">
        <v>8</v>
      </c>
      <c r="CD385" s="26" t="s">
        <v>7</v>
      </c>
      <c r="CG385" s="26" t="s">
        <v>8</v>
      </c>
      <c r="CH385" s="26" t="s">
        <v>7</v>
      </c>
      <c r="CI385" s="26" t="s">
        <v>8</v>
      </c>
    </row>
    <row r="386" spans="1:87" x14ac:dyDescent="0.25">
      <c r="A386" s="29">
        <v>7.9602527522583736E-4</v>
      </c>
      <c r="V386" s="26" t="s">
        <v>7</v>
      </c>
      <c r="W386" s="26" t="s">
        <v>8</v>
      </c>
      <c r="X386" s="26" t="s">
        <v>7</v>
      </c>
      <c r="Y386" s="26" t="s">
        <v>8</v>
      </c>
      <c r="Z386" s="26" t="s">
        <v>7</v>
      </c>
      <c r="AC386" s="26" t="s">
        <v>8</v>
      </c>
      <c r="AE386" s="26" t="s">
        <v>8</v>
      </c>
      <c r="AF386" s="26" t="s">
        <v>7</v>
      </c>
      <c r="AG386" s="26" t="s">
        <v>8</v>
      </c>
      <c r="AL386" s="26" t="s">
        <v>7</v>
      </c>
      <c r="AM386" s="26" t="s">
        <v>8</v>
      </c>
      <c r="AN386" s="26" t="s">
        <v>7</v>
      </c>
      <c r="AQ386" s="26" t="s">
        <v>8</v>
      </c>
      <c r="AR386" s="26" t="s">
        <v>7</v>
      </c>
      <c r="BG386" s="26" t="s">
        <v>8</v>
      </c>
      <c r="BH386" s="26" t="s">
        <v>7</v>
      </c>
      <c r="BI386" s="26" t="s">
        <v>8</v>
      </c>
      <c r="BK386" s="26" t="s">
        <v>8</v>
      </c>
      <c r="BL386" s="26" t="s">
        <v>7</v>
      </c>
      <c r="BY386" s="26" t="s">
        <v>8</v>
      </c>
      <c r="BZ386" s="26" t="s">
        <v>7</v>
      </c>
      <c r="CA386" s="26" t="s">
        <v>8</v>
      </c>
      <c r="CB386" s="26" t="s">
        <v>7</v>
      </c>
      <c r="CD386" s="26" t="s">
        <v>7</v>
      </c>
      <c r="CG386" s="26" t="s">
        <v>8</v>
      </c>
      <c r="CH386" s="26" t="s">
        <v>7</v>
      </c>
      <c r="CI386" s="26" t="s">
        <v>8</v>
      </c>
    </row>
    <row r="387" spans="1:87" x14ac:dyDescent="0.25">
      <c r="A387" s="29">
        <v>7.5622401146454546E-4</v>
      </c>
      <c r="V387" s="26" t="s">
        <v>7</v>
      </c>
      <c r="X387" s="26" t="s">
        <v>7</v>
      </c>
      <c r="Z387" s="26" t="s">
        <v>7</v>
      </c>
      <c r="AC387" s="26" t="s">
        <v>8</v>
      </c>
      <c r="AD387" s="26" t="s">
        <v>7</v>
      </c>
      <c r="AE387" s="26" t="s">
        <v>8</v>
      </c>
      <c r="AF387" s="26" t="s">
        <v>7</v>
      </c>
      <c r="AL387" s="26" t="s">
        <v>7</v>
      </c>
      <c r="AM387" s="26" t="s">
        <v>8</v>
      </c>
      <c r="AN387" s="26" t="s">
        <v>7</v>
      </c>
      <c r="AQ387" s="26" t="s">
        <v>8</v>
      </c>
      <c r="AR387" s="26" t="s">
        <v>7</v>
      </c>
      <c r="BG387" s="26" t="s">
        <v>8</v>
      </c>
      <c r="BH387" s="26" t="s">
        <v>7</v>
      </c>
      <c r="BI387" s="26" t="s">
        <v>8</v>
      </c>
      <c r="BJ387" s="26" t="s">
        <v>7</v>
      </c>
      <c r="BK387" s="26" t="s">
        <v>8</v>
      </c>
      <c r="BL387" s="26" t="s">
        <v>7</v>
      </c>
      <c r="BY387" s="26" t="s">
        <v>8</v>
      </c>
      <c r="BZ387" s="26" t="s">
        <v>7</v>
      </c>
      <c r="CA387" s="26" t="s">
        <v>8</v>
      </c>
      <c r="CD387" s="26" t="s">
        <v>7</v>
      </c>
      <c r="CG387" s="26" t="s">
        <v>8</v>
      </c>
      <c r="CH387" s="26" t="s">
        <v>7</v>
      </c>
    </row>
    <row r="388" spans="1:87" x14ac:dyDescent="0.25">
      <c r="A388" s="29">
        <v>7.1841281089131816E-4</v>
      </c>
      <c r="Z388" s="26" t="s">
        <v>7</v>
      </c>
      <c r="AC388" s="26" t="s">
        <v>8</v>
      </c>
      <c r="AD388" s="26" t="s">
        <v>7</v>
      </c>
      <c r="AE388" s="26" t="s">
        <v>8</v>
      </c>
      <c r="AL388" s="26" t="s">
        <v>7</v>
      </c>
      <c r="AN388" s="26" t="s">
        <v>7</v>
      </c>
      <c r="AO388" s="26" t="s">
        <v>8</v>
      </c>
      <c r="AQ388" s="26" t="s">
        <v>8</v>
      </c>
      <c r="AR388" s="26" t="s">
        <v>7</v>
      </c>
      <c r="BG388" s="26" t="s">
        <v>8</v>
      </c>
      <c r="BH388" s="26" t="s">
        <v>7</v>
      </c>
      <c r="BI388" s="26" t="s">
        <v>8</v>
      </c>
      <c r="BJ388" s="26" t="s">
        <v>7</v>
      </c>
      <c r="BK388" s="26" t="s">
        <v>8</v>
      </c>
      <c r="BL388" s="26" t="s">
        <v>7</v>
      </c>
      <c r="BY388" s="26" t="s">
        <v>8</v>
      </c>
      <c r="BZ388" s="26" t="s">
        <v>7</v>
      </c>
      <c r="CD388" s="26" t="s">
        <v>7</v>
      </c>
      <c r="CE388" s="26" t="s">
        <v>8</v>
      </c>
      <c r="CG388" s="26" t="s">
        <v>8</v>
      </c>
    </row>
    <row r="389" spans="1:87" x14ac:dyDescent="0.25">
      <c r="A389" s="29">
        <v>6.8249217034675226E-4</v>
      </c>
      <c r="Z389" s="26" t="s">
        <v>7</v>
      </c>
      <c r="AA389" s="26" t="s">
        <v>8</v>
      </c>
      <c r="AC389" s="26" t="s">
        <v>8</v>
      </c>
      <c r="AD389" s="26" t="s">
        <v>7</v>
      </c>
      <c r="AN389" s="26" t="s">
        <v>7</v>
      </c>
      <c r="AO389" s="26" t="s">
        <v>8</v>
      </c>
      <c r="AP389" s="26" t="s">
        <v>7</v>
      </c>
      <c r="AQ389" s="26" t="s">
        <v>8</v>
      </c>
      <c r="AR389" s="26" t="s">
        <v>7</v>
      </c>
      <c r="BC389" s="26" t="s">
        <v>8</v>
      </c>
      <c r="BG389" s="26" t="s">
        <v>8</v>
      </c>
      <c r="BH389" s="26" t="s">
        <v>7</v>
      </c>
      <c r="BJ389" s="26" t="s">
        <v>7</v>
      </c>
      <c r="BL389" s="26" t="s">
        <v>7</v>
      </c>
      <c r="BS389" s="26" t="s">
        <v>8</v>
      </c>
      <c r="BW389" s="26" t="s">
        <v>8</v>
      </c>
      <c r="BY389" s="26" t="s">
        <v>8</v>
      </c>
      <c r="CD389" s="26" t="s">
        <v>7</v>
      </c>
      <c r="CE389" s="26" t="s">
        <v>8</v>
      </c>
      <c r="CF389" s="26" t="s">
        <v>7</v>
      </c>
      <c r="CG389" s="26" t="s">
        <v>8</v>
      </c>
    </row>
    <row r="390" spans="1:87" x14ac:dyDescent="0.25">
      <c r="A390" s="29">
        <v>6.4836756182941465E-4</v>
      </c>
      <c r="Z390" s="26" t="s">
        <v>7</v>
      </c>
      <c r="AA390" s="26" t="s">
        <v>8</v>
      </c>
      <c r="AB390" s="26" t="s">
        <v>7</v>
      </c>
      <c r="AC390" s="26" t="s">
        <v>8</v>
      </c>
      <c r="AN390" s="26" t="s">
        <v>7</v>
      </c>
      <c r="AO390" s="26" t="s">
        <v>8</v>
      </c>
      <c r="AP390" s="26" t="s">
        <v>7</v>
      </c>
      <c r="AQ390" s="26" t="s">
        <v>8</v>
      </c>
      <c r="AR390" s="26" t="s">
        <v>7</v>
      </c>
      <c r="BC390" s="26" t="s">
        <v>8</v>
      </c>
      <c r="BD390" s="26" t="s">
        <v>7</v>
      </c>
      <c r="BE390" s="26" t="s">
        <v>8</v>
      </c>
      <c r="BG390" s="26" t="s">
        <v>8</v>
      </c>
      <c r="BL390" s="26" t="s">
        <v>7</v>
      </c>
      <c r="BS390" s="26" t="s">
        <v>8</v>
      </c>
      <c r="BT390" s="26" t="s">
        <v>7</v>
      </c>
      <c r="BU390" s="26" t="s">
        <v>8</v>
      </c>
      <c r="BW390" s="26" t="s">
        <v>8</v>
      </c>
      <c r="BX390" s="26" t="s">
        <v>7</v>
      </c>
      <c r="BY390" s="26" t="s">
        <v>8</v>
      </c>
      <c r="CD390" s="26" t="s">
        <v>7</v>
      </c>
      <c r="CE390" s="26" t="s">
        <v>8</v>
      </c>
      <c r="CF390" s="26" t="s">
        <v>7</v>
      </c>
      <c r="CG390" s="26" t="s">
        <v>8</v>
      </c>
    </row>
    <row r="391" spans="1:87" x14ac:dyDescent="0.25">
      <c r="A391" s="29">
        <v>6.1594918373794388E-4</v>
      </c>
      <c r="Z391" s="26" t="s">
        <v>7</v>
      </c>
      <c r="AA391" s="26" t="s">
        <v>8</v>
      </c>
      <c r="AB391" s="26" t="s">
        <v>7</v>
      </c>
      <c r="AC391" s="26" t="s">
        <v>8</v>
      </c>
      <c r="AN391" s="26" t="s">
        <v>7</v>
      </c>
      <c r="AO391" s="26" t="s">
        <v>8</v>
      </c>
      <c r="AP391" s="26" t="s">
        <v>7</v>
      </c>
      <c r="AR391" s="26" t="s">
        <v>7</v>
      </c>
      <c r="BC391" s="26" t="s">
        <v>8</v>
      </c>
      <c r="BD391" s="26" t="s">
        <v>7</v>
      </c>
      <c r="BE391" s="26" t="s">
        <v>8</v>
      </c>
      <c r="BF391" s="26" t="s">
        <v>7</v>
      </c>
      <c r="BG391" s="26" t="s">
        <v>8</v>
      </c>
      <c r="BL391" s="26" t="s">
        <v>7</v>
      </c>
      <c r="BM391" s="26" t="s">
        <v>8</v>
      </c>
      <c r="BS391" s="26" t="s">
        <v>8</v>
      </c>
      <c r="BT391" s="26" t="s">
        <v>7</v>
      </c>
      <c r="BU391" s="26" t="s">
        <v>8</v>
      </c>
      <c r="BV391" s="26" t="s">
        <v>7</v>
      </c>
      <c r="BW391" s="26" t="s">
        <v>8</v>
      </c>
      <c r="BX391" s="26" t="s">
        <v>7</v>
      </c>
      <c r="BY391" s="26" t="s">
        <v>8</v>
      </c>
      <c r="CD391" s="26" t="s">
        <v>7</v>
      </c>
      <c r="CE391" s="26" t="s">
        <v>8</v>
      </c>
      <c r="CF391" s="26" t="s">
        <v>7</v>
      </c>
    </row>
    <row r="392" spans="1:87" x14ac:dyDescent="0.25">
      <c r="A392" s="29">
        <v>5.8515172455104666E-4</v>
      </c>
      <c r="Z392" s="26" t="s">
        <v>7</v>
      </c>
      <c r="AB392" s="26" t="s">
        <v>7</v>
      </c>
      <c r="AC392" s="26" t="s">
        <v>8</v>
      </c>
      <c r="AN392" s="26" t="s">
        <v>7</v>
      </c>
      <c r="AR392" s="26" t="s">
        <v>7</v>
      </c>
      <c r="AY392" s="26" t="s">
        <v>8</v>
      </c>
      <c r="BC392" s="26" t="s">
        <v>8</v>
      </c>
      <c r="BD392" s="26" t="s">
        <v>7</v>
      </c>
      <c r="BE392" s="26" t="s">
        <v>8</v>
      </c>
      <c r="BF392" s="26" t="s">
        <v>7</v>
      </c>
      <c r="BG392" s="26" t="s">
        <v>8</v>
      </c>
      <c r="BL392" s="26" t="s">
        <v>7</v>
      </c>
      <c r="BM392" s="26" t="s">
        <v>8</v>
      </c>
      <c r="BN392" s="26" t="s">
        <v>7</v>
      </c>
      <c r="BS392" s="26" t="s">
        <v>8</v>
      </c>
      <c r="BT392" s="26" t="s">
        <v>7</v>
      </c>
      <c r="BU392" s="26" t="s">
        <v>8</v>
      </c>
      <c r="BV392" s="26" t="s">
        <v>7</v>
      </c>
      <c r="BW392" s="26" t="s">
        <v>8</v>
      </c>
      <c r="BX392" s="26" t="s">
        <v>7</v>
      </c>
      <c r="BY392" s="26" t="s">
        <v>8</v>
      </c>
      <c r="CD392" s="26" t="s">
        <v>7</v>
      </c>
    </row>
    <row r="393" spans="1:87" x14ac:dyDescent="0.25">
      <c r="A393" s="29">
        <v>5.5589413832349429E-4</v>
      </c>
      <c r="AB393" s="26" t="s">
        <v>7</v>
      </c>
      <c r="AC393" s="26" t="s">
        <v>8</v>
      </c>
      <c r="AR393" s="26" t="s">
        <v>7</v>
      </c>
      <c r="AY393" s="26" t="s">
        <v>8</v>
      </c>
      <c r="AZ393" s="26" t="s">
        <v>7</v>
      </c>
      <c r="BA393" s="26" t="s">
        <v>8</v>
      </c>
      <c r="BC393" s="26" t="s">
        <v>8</v>
      </c>
      <c r="BD393" s="26" t="s">
        <v>7</v>
      </c>
      <c r="BF393" s="26" t="s">
        <v>7</v>
      </c>
      <c r="BG393" s="26" t="s">
        <v>8</v>
      </c>
      <c r="BL393" s="26" t="s">
        <v>7</v>
      </c>
      <c r="BM393" s="26" t="s">
        <v>8</v>
      </c>
      <c r="BN393" s="26" t="s">
        <v>7</v>
      </c>
      <c r="BS393" s="26" t="s">
        <v>8</v>
      </c>
      <c r="BT393" s="26" t="s">
        <v>7</v>
      </c>
      <c r="BU393" s="26" t="s">
        <v>8</v>
      </c>
      <c r="BV393" s="26" t="s">
        <v>7</v>
      </c>
      <c r="BW393" s="26" t="s">
        <v>8</v>
      </c>
      <c r="BX393" s="26" t="s">
        <v>7</v>
      </c>
      <c r="BY393" s="26" t="s">
        <v>8</v>
      </c>
    </row>
    <row r="394" spans="1:87" x14ac:dyDescent="0.25">
      <c r="A394" s="29">
        <v>5.2809943140731956E-4</v>
      </c>
      <c r="AB394" s="26" t="s">
        <v>7</v>
      </c>
      <c r="AR394" s="26" t="s">
        <v>7</v>
      </c>
      <c r="AY394" s="26" t="s">
        <v>8</v>
      </c>
      <c r="AZ394" s="26" t="s">
        <v>7</v>
      </c>
      <c r="BA394" s="26" t="s">
        <v>8</v>
      </c>
      <c r="BB394" s="26" t="s">
        <v>7</v>
      </c>
      <c r="BC394" s="26" t="s">
        <v>8</v>
      </c>
      <c r="BF394" s="26" t="s">
        <v>7</v>
      </c>
      <c r="BG394" s="26" t="s">
        <v>8</v>
      </c>
      <c r="BL394" s="26" t="s">
        <v>7</v>
      </c>
      <c r="BM394" s="26" t="s">
        <v>8</v>
      </c>
      <c r="BN394" s="26" t="s">
        <v>7</v>
      </c>
      <c r="BO394" s="26" t="s">
        <v>8</v>
      </c>
      <c r="BQ394" s="26" t="s">
        <v>8</v>
      </c>
      <c r="BS394" s="26" t="s">
        <v>8</v>
      </c>
      <c r="BT394" s="26" t="s">
        <v>7</v>
      </c>
      <c r="BU394" s="26" t="s">
        <v>8</v>
      </c>
      <c r="BV394" s="26" t="s">
        <v>7</v>
      </c>
      <c r="BX394" s="26" t="s">
        <v>7</v>
      </c>
    </row>
    <row r="395" spans="1:87" x14ac:dyDescent="0.25">
      <c r="A395" s="29">
        <v>5.0169445983695357E-4</v>
      </c>
      <c r="AR395" s="26" t="s">
        <v>7</v>
      </c>
      <c r="AY395" s="26" t="s">
        <v>8</v>
      </c>
      <c r="AZ395" s="26" t="s">
        <v>7</v>
      </c>
      <c r="BB395" s="26" t="s">
        <v>7</v>
      </c>
      <c r="BC395" s="26" t="s">
        <v>8</v>
      </c>
      <c r="BF395" s="26" t="s">
        <v>7</v>
      </c>
      <c r="BL395" s="26" t="s">
        <v>7</v>
      </c>
      <c r="BN395" s="26" t="s">
        <v>7</v>
      </c>
      <c r="BO395" s="26" t="s">
        <v>8</v>
      </c>
      <c r="BP395" s="26" t="s">
        <v>7</v>
      </c>
      <c r="BQ395" s="26" t="s">
        <v>8</v>
      </c>
      <c r="BR395" s="26" t="s">
        <v>7</v>
      </c>
      <c r="BS395" s="26" t="s">
        <v>8</v>
      </c>
      <c r="BT395" s="26" t="s">
        <v>7</v>
      </c>
      <c r="BU395" s="26" t="s">
        <v>8</v>
      </c>
    </row>
    <row r="396" spans="1:87" x14ac:dyDescent="0.25">
      <c r="A396" s="29">
        <v>4.7660973684510589E-4</v>
      </c>
      <c r="AR396" s="26" t="s">
        <v>7</v>
      </c>
      <c r="AY396" s="26" t="s">
        <v>8</v>
      </c>
      <c r="BB396" s="26" t="s">
        <v>7</v>
      </c>
      <c r="BC396" s="26" t="s">
        <v>8</v>
      </c>
      <c r="BN396" s="26" t="s">
        <v>7</v>
      </c>
      <c r="BO396" s="26" t="s">
        <v>8</v>
      </c>
      <c r="BP396" s="26" t="s">
        <v>7</v>
      </c>
      <c r="BQ396" s="26" t="s">
        <v>8</v>
      </c>
      <c r="BR396" s="26" t="s">
        <v>7</v>
      </c>
      <c r="BS396" s="26" t="s">
        <v>8</v>
      </c>
      <c r="BT396" s="26" t="s">
        <v>7</v>
      </c>
    </row>
    <row r="397" spans="1:87" x14ac:dyDescent="0.25">
      <c r="A397" s="29">
        <v>4.5277925000285056E-4</v>
      </c>
      <c r="AR397" s="26" t="s">
        <v>7</v>
      </c>
      <c r="AY397" s="26" t="s">
        <v>8</v>
      </c>
      <c r="BB397" s="26" t="s">
        <v>7</v>
      </c>
      <c r="BN397" s="26" t="s">
        <v>7</v>
      </c>
      <c r="BO397" s="26" t="s">
        <v>8</v>
      </c>
      <c r="BP397" s="26" t="s">
        <v>7</v>
      </c>
      <c r="BR397" s="26" t="s">
        <v>7</v>
      </c>
      <c r="BS397" s="26" t="s">
        <v>8</v>
      </c>
    </row>
    <row r="398" spans="1:87" x14ac:dyDescent="0.25">
      <c r="A398" s="29">
        <v>4.3014028750270803E-4</v>
      </c>
      <c r="AR398" s="26" t="s">
        <v>7</v>
      </c>
      <c r="AY398" s="26" t="s">
        <v>8</v>
      </c>
      <c r="BN398" s="26" t="s">
        <v>7</v>
      </c>
      <c r="BO398" s="26" t="s">
        <v>8</v>
      </c>
      <c r="BR398" s="26" t="s">
        <v>7</v>
      </c>
    </row>
    <row r="399" spans="1:87" x14ac:dyDescent="0.25">
      <c r="A399" s="29">
        <v>4.0863327312757263E-4</v>
      </c>
      <c r="AR399" s="26" t="s">
        <v>7</v>
      </c>
      <c r="AY399" s="26" t="s">
        <v>8</v>
      </c>
      <c r="BN399" s="26" t="s">
        <v>7</v>
      </c>
    </row>
    <row r="400" spans="1:87" x14ac:dyDescent="0.25">
      <c r="A400" s="29">
        <v>3.8820160947119396E-4</v>
      </c>
      <c r="AR400" s="26" t="s">
        <v>7</v>
      </c>
      <c r="AY400" s="26" t="s">
        <v>8</v>
      </c>
    </row>
    <row r="401" spans="1:51" x14ac:dyDescent="0.25">
      <c r="A401" s="29">
        <v>3.6879152899763426E-4</v>
      </c>
      <c r="AR401" s="26" t="s">
        <v>7</v>
      </c>
      <c r="AW401" s="26" t="s">
        <v>8</v>
      </c>
      <c r="AY401" s="26" t="s">
        <v>8</v>
      </c>
    </row>
    <row r="402" spans="1:51" x14ac:dyDescent="0.25">
      <c r="A402" s="29">
        <v>3.5035195254775253E-4</v>
      </c>
      <c r="AR402" s="26" t="s">
        <v>7</v>
      </c>
      <c r="AU402" s="26" t="s">
        <v>8</v>
      </c>
      <c r="AW402" s="26" t="s">
        <v>8</v>
      </c>
      <c r="AX402" s="26" t="s">
        <v>7</v>
      </c>
      <c r="AY402" s="26" t="s">
        <v>8</v>
      </c>
    </row>
    <row r="403" spans="1:51" x14ac:dyDescent="0.25">
      <c r="A403" s="29">
        <v>3.3283435492036491E-4</v>
      </c>
      <c r="AR403" s="26" t="s">
        <v>7</v>
      </c>
      <c r="AS403" s="26" t="s">
        <v>8</v>
      </c>
      <c r="AU403" s="26" t="s">
        <v>8</v>
      </c>
      <c r="AV403" s="26" t="s">
        <v>7</v>
      </c>
      <c r="AW403" s="26" t="s">
        <v>8</v>
      </c>
      <c r="AX403" s="26" t="s">
        <v>7</v>
      </c>
      <c r="AY403" s="26" t="s">
        <v>8</v>
      </c>
    </row>
    <row r="404" spans="1:51" x14ac:dyDescent="0.25">
      <c r="A404" s="29">
        <v>3.1619263717434668E-4</v>
      </c>
      <c r="AR404" s="26" t="s">
        <v>7</v>
      </c>
      <c r="AS404" s="26" t="s">
        <v>8</v>
      </c>
      <c r="AT404" s="26" t="s">
        <v>7</v>
      </c>
      <c r="AU404" s="26" t="s">
        <v>8</v>
      </c>
      <c r="AV404" s="26" t="s">
        <v>7</v>
      </c>
      <c r="AW404" s="26" t="s">
        <v>8</v>
      </c>
      <c r="AX404" s="26" t="s">
        <v>7</v>
      </c>
    </row>
    <row r="405" spans="1:51" x14ac:dyDescent="0.25">
      <c r="A405" s="29">
        <v>3.0038300531562933E-4</v>
      </c>
      <c r="AR405" s="26" t="s">
        <v>7</v>
      </c>
      <c r="AS405" s="26" t="s">
        <v>8</v>
      </c>
      <c r="AT405" s="26" t="s">
        <v>7</v>
      </c>
      <c r="AU405" s="26" t="s">
        <v>8</v>
      </c>
      <c r="AV405" s="26" t="s">
        <v>7</v>
      </c>
    </row>
    <row r="406" spans="1:51" x14ac:dyDescent="0.25">
      <c r="A406" s="29">
        <v>2.8536385504984783E-4</v>
      </c>
      <c r="AR406" s="26" t="s">
        <v>7</v>
      </c>
      <c r="AS406" s="26" t="s">
        <v>8</v>
      </c>
      <c r="AT406" s="26" t="s">
        <v>7</v>
      </c>
      <c r="AU406" s="26" t="s">
        <v>8</v>
      </c>
    </row>
    <row r="407" spans="1:51" x14ac:dyDescent="0.25">
      <c r="A407" s="29">
        <v>2.7109566229735542E-4</v>
      </c>
      <c r="AR407" s="26" t="s">
        <v>7</v>
      </c>
      <c r="AS407" s="26" t="s">
        <v>8</v>
      </c>
      <c r="AT407" s="26" t="s">
        <v>7</v>
      </c>
      <c r="AU407" s="26" t="s">
        <v>8</v>
      </c>
    </row>
    <row r="408" spans="1:51" x14ac:dyDescent="0.25">
      <c r="A408" s="29">
        <v>2.5754087918248761E-4</v>
      </c>
      <c r="AR408" s="26" t="s">
        <v>7</v>
      </c>
      <c r="AS408" s="26" t="s">
        <v>8</v>
      </c>
      <c r="AT408" s="26" t="s">
        <v>7</v>
      </c>
    </row>
    <row r="409" spans="1:51" x14ac:dyDescent="0.25">
      <c r="A409" s="29">
        <v>2.4466383522336323E-4</v>
      </c>
      <c r="AR409" s="26" t="s">
        <v>7</v>
      </c>
      <c r="AS409" s="26" t="s">
        <v>8</v>
      </c>
    </row>
    <row r="410" spans="1:51" x14ac:dyDescent="0.25">
      <c r="A410" s="29">
        <v>2.3243064346219506E-4</v>
      </c>
      <c r="AR410" s="26" t="s">
        <v>7</v>
      </c>
      <c r="AS410" s="26" t="s">
        <v>8</v>
      </c>
    </row>
    <row r="411" spans="1:51" x14ac:dyDescent="0.25">
      <c r="A411" s="29">
        <v>2.2080911128908529E-4</v>
      </c>
      <c r="AR411" s="26" t="s">
        <v>7</v>
      </c>
      <c r="AS411" s="26" t="s">
        <v>8</v>
      </c>
    </row>
    <row r="412" spans="1:51" x14ac:dyDescent="0.25">
      <c r="A412" s="29">
        <v>2.0976865572463102E-4</v>
      </c>
      <c r="AR412" s="26" t="s">
        <v>7</v>
      </c>
      <c r="AS412" s="26" t="s">
        <v>8</v>
      </c>
    </row>
    <row r="413" spans="1:51" x14ac:dyDescent="0.25">
      <c r="A413" s="29">
        <v>1.9928022293839946E-4</v>
      </c>
      <c r="AR413" s="26" t="s">
        <v>7</v>
      </c>
    </row>
    <row r="414" spans="1:51" x14ac:dyDescent="0.25">
      <c r="A414" s="29">
        <v>1.8931621179147948E-4</v>
      </c>
    </row>
    <row r="415" spans="1:51" x14ac:dyDescent="0.25">
      <c r="A415" s="29">
        <v>1.798504012019055E-4</v>
      </c>
    </row>
    <row r="416" spans="1:51" x14ac:dyDescent="0.25">
      <c r="A416" s="29">
        <v>1.7085788114181021E-4</v>
      </c>
    </row>
    <row r="417" spans="1:1" x14ac:dyDescent="0.25">
      <c r="A417" s="29">
        <v>1.623149870847197E-4</v>
      </c>
    </row>
    <row r="418" spans="1:1" x14ac:dyDescent="0.25">
      <c r="A418" s="29">
        <v>1.541992377304837E-4</v>
      </c>
    </row>
    <row r="419" spans="1:1" x14ac:dyDescent="0.25">
      <c r="A419" s="29">
        <v>1.4648927584395952E-4</v>
      </c>
    </row>
    <row r="420" spans="1:1" x14ac:dyDescent="0.25">
      <c r="A420" s="29">
        <v>1.3916481205176153E-4</v>
      </c>
    </row>
    <row r="421" spans="1:1" x14ac:dyDescent="0.25">
      <c r="A421" s="29">
        <v>1.3220657144917344E-4</v>
      </c>
    </row>
    <row r="422" spans="1:1" x14ac:dyDescent="0.25">
      <c r="A422" s="29">
        <v>1.2559624287671476E-4</v>
      </c>
    </row>
    <row r="423" spans="1:1" x14ac:dyDescent="0.25">
      <c r="A423" s="29">
        <v>1.1931643073287902E-4</v>
      </c>
    </row>
    <row r="424" spans="1:1" x14ac:dyDescent="0.25">
      <c r="A424" s="29">
        <v>1.1335060919623506E-4</v>
      </c>
    </row>
    <row r="425" spans="1:1" x14ac:dyDescent="0.25">
      <c r="A425" s="29">
        <v>1.076830787364233E-4</v>
      </c>
    </row>
    <row r="426" spans="1:1" x14ac:dyDescent="0.25">
      <c r="A426" s="29">
        <v>1.0229892479960213E-4</v>
      </c>
    </row>
    <row r="427" spans="1:1" x14ac:dyDescent="0.25">
      <c r="A427" s="29">
        <v>9.7183978559622027E-5</v>
      </c>
    </row>
    <row r="428" spans="1:1" x14ac:dyDescent="0.25">
      <c r="A428" s="29">
        <v>9.2324779631640922E-5</v>
      </c>
    </row>
    <row r="429" spans="1:1" x14ac:dyDescent="0.25">
      <c r="A429" s="29">
        <v>8.7708540650058869E-5</v>
      </c>
    </row>
    <row r="430" spans="1:1" x14ac:dyDescent="0.25">
      <c r="A430" s="29">
        <v>8.3323113617555917E-5</v>
      </c>
    </row>
    <row r="431" spans="1:1" x14ac:dyDescent="0.25">
      <c r="A431" s="29">
        <v>7.9156957936678114E-5</v>
      </c>
    </row>
    <row r="432" spans="1:1" x14ac:dyDescent="0.25">
      <c r="A432" s="29">
        <v>7.5199110039844203E-5</v>
      </c>
    </row>
    <row r="433" spans="1:1" x14ac:dyDescent="0.25">
      <c r="A433" s="29">
        <v>7.1439154537851989E-5</v>
      </c>
    </row>
    <row r="434" spans="1:1" x14ac:dyDescent="0.25">
      <c r="A434" s="29">
        <v>6.7867196810959381E-5</v>
      </c>
    </row>
    <row r="435" spans="1:1" x14ac:dyDescent="0.25">
      <c r="A435" s="29">
        <v>6.4473836970411412E-5</v>
      </c>
    </row>
    <row r="436" spans="1:1" x14ac:dyDescent="0.25">
      <c r="A436" s="29">
        <v>6.1250145121890834E-5</v>
      </c>
    </row>
    <row r="437" spans="1:1" x14ac:dyDescent="0.25">
      <c r="A437" s="29">
        <v>5.8187637865796292E-5</v>
      </c>
    </row>
    <row r="438" spans="1:1" x14ac:dyDescent="0.25">
      <c r="A438" s="29">
        <v>5.5278255972506478E-5</v>
      </c>
    </row>
    <row r="439" spans="1:1" x14ac:dyDescent="0.25">
      <c r="A439" s="29">
        <v>5.251434317388115E-5</v>
      </c>
    </row>
    <row r="440" spans="1:1" x14ac:dyDescent="0.25">
      <c r="A440" s="29">
        <v>4.9888626015187091E-5</v>
      </c>
    </row>
    <row r="441" spans="1:1" x14ac:dyDescent="0.25">
      <c r="A441" s="29">
        <v>4.7394194714427735E-5</v>
      </c>
    </row>
    <row r="442" spans="1:1" x14ac:dyDescent="0.25">
      <c r="A442" s="29">
        <v>4.5024484978706345E-5</v>
      </c>
    </row>
    <row r="443" spans="1:1" x14ac:dyDescent="0.25">
      <c r="A443" s="29">
        <v>4.2773260729771024E-5</v>
      </c>
    </row>
    <row r="444" spans="1:1" x14ac:dyDescent="0.25">
      <c r="A444" s="29">
        <v>4.0634597693282472E-5</v>
      </c>
    </row>
    <row r="445" spans="1:1" x14ac:dyDescent="0.25">
      <c r="A445" s="29">
        <v>3.8602867808618349E-5</v>
      </c>
    </row>
    <row r="446" spans="1:1" x14ac:dyDescent="0.25">
      <c r="A446" s="29">
        <v>3.6672724418187428E-5</v>
      </c>
    </row>
    <row r="447" spans="1:1" x14ac:dyDescent="0.25">
      <c r="A447" s="29">
        <v>3.4839088197278057E-5</v>
      </c>
    </row>
    <row r="448" spans="1:1" x14ac:dyDescent="0.25">
      <c r="A448" s="29">
        <v>3.3097133787414149E-5</v>
      </c>
    </row>
    <row r="449" spans="1:1" x14ac:dyDescent="0.25">
      <c r="A449" s="29">
        <v>3.1442277098043439E-5</v>
      </c>
    </row>
    <row r="450" spans="1:1" x14ac:dyDescent="0.25">
      <c r="A450" s="29">
        <v>2.9870163243141264E-5</v>
      </c>
    </row>
    <row r="451" spans="1:1" x14ac:dyDescent="0.25">
      <c r="A451" s="29">
        <v>2.8376655080984199E-5</v>
      </c>
    </row>
    <row r="452" spans="1:1" x14ac:dyDescent="0.25">
      <c r="A452" s="29">
        <v>2.6957822326934987E-5</v>
      </c>
    </row>
    <row r="453" spans="1:1" x14ac:dyDescent="0.25">
      <c r="A453" s="29">
        <v>2.5609931210588235E-5</v>
      </c>
    </row>
    <row r="454" spans="1:1" x14ac:dyDescent="0.25">
      <c r="A454" s="29">
        <v>2.4329434650058821E-5</v>
      </c>
    </row>
    <row r="455" spans="1:1" x14ac:dyDescent="0.25">
      <c r="A455" s="29">
        <v>2.311296291755588E-5</v>
      </c>
    </row>
    <row r="456" spans="1:1" x14ac:dyDescent="0.25">
      <c r="A456" s="29">
        <v>2.1957314771678086E-5</v>
      </c>
    </row>
    <row r="457" spans="1:1" x14ac:dyDescent="0.25">
      <c r="A457" s="29">
        <v>2.085944903309418E-5</v>
      </c>
    </row>
    <row r="458" spans="1:1" x14ac:dyDescent="0.25">
      <c r="A458" s="29">
        <v>1.9816476581439472E-5</v>
      </c>
    </row>
    <row r="459" spans="1:1" x14ac:dyDescent="0.25">
      <c r="A459" s="29">
        <v>1.8825652752367499E-5</v>
      </c>
    </row>
    <row r="460" spans="1:1" x14ac:dyDescent="0.25">
      <c r="A460" s="29">
        <v>1.7884370114749124E-5</v>
      </c>
    </row>
    <row r="461" spans="1:1" x14ac:dyDescent="0.25">
      <c r="A461" s="29">
        <v>1.6990151609011666E-5</v>
      </c>
    </row>
    <row r="462" spans="1:1" x14ac:dyDescent="0.25">
      <c r="A462" s="29">
        <v>1.6140644028561083E-5</v>
      </c>
    </row>
    <row r="463" spans="1:1" x14ac:dyDescent="0.25">
      <c r="A463" s="29">
        <v>1.5333611827133028E-5</v>
      </c>
    </row>
    <row r="464" spans="1:1" x14ac:dyDescent="0.25">
      <c r="A464" s="29">
        <v>1.4566931235776375E-5</v>
      </c>
    </row>
    <row r="465" spans="1:1" x14ac:dyDescent="0.25">
      <c r="A465" s="29">
        <v>1.3838584673987556E-5</v>
      </c>
    </row>
    <row r="466" spans="1:1" x14ac:dyDescent="0.25">
      <c r="A466" s="29">
        <v>1.3146655440288178E-5</v>
      </c>
    </row>
    <row r="467" spans="1:1" x14ac:dyDescent="0.25">
      <c r="A467" s="29">
        <v>1.2489322668273768E-5</v>
      </c>
    </row>
    <row r="468" spans="1:1" x14ac:dyDescent="0.25">
      <c r="A468" s="29">
        <v>1.186485653486008E-5</v>
      </c>
    </row>
    <row r="469" spans="1:1" x14ac:dyDescent="0.25">
      <c r="A469" s="29">
        <v>1.1271613708117075E-5</v>
      </c>
    </row>
    <row r="470" spans="1:1" x14ac:dyDescent="0.25">
      <c r="A470" s="29">
        <v>1.0708033022711222E-5</v>
      </c>
    </row>
    <row r="471" spans="1:1" x14ac:dyDescent="0.25">
      <c r="A471" s="29">
        <v>1.0172631371575661E-5</v>
      </c>
    </row>
    <row r="472" spans="1:1" x14ac:dyDescent="0.25">
      <c r="A472" s="29">
        <v>9.6639998029968765E-6</v>
      </c>
    </row>
    <row r="473" spans="1:1" x14ac:dyDescent="0.25">
      <c r="A473" s="29">
        <v>9.1807998128470321E-6</v>
      </c>
    </row>
    <row r="474" spans="1:1" x14ac:dyDescent="0.25">
      <c r="A474" s="29">
        <v>8.7217598222046798E-6</v>
      </c>
    </row>
    <row r="475" spans="1:1" x14ac:dyDescent="0.25">
      <c r="A475" s="29">
        <v>8.2856718310944451E-6</v>
      </c>
    </row>
    <row r="476" spans="1:1" x14ac:dyDescent="0.25">
      <c r="A476" s="29">
        <v>7.8713882395397226E-6</v>
      </c>
    </row>
    <row r="477" spans="1:1" x14ac:dyDescent="0.25">
      <c r="A477" s="29">
        <v>7.4778188275627361E-6</v>
      </c>
    </row>
    <row r="478" spans="1:1" x14ac:dyDescent="0.25">
      <c r="A478" s="29">
        <v>7.1039278861845986E-6</v>
      </c>
    </row>
    <row r="479" spans="1:1" x14ac:dyDescent="0.25">
      <c r="A479" s="29">
        <v>6.7487314918753682E-6</v>
      </c>
    </row>
    <row r="480" spans="1:1" x14ac:dyDescent="0.25">
      <c r="A480" s="29">
        <v>6.4112949172815995E-6</v>
      </c>
    </row>
    <row r="481" spans="1:1" x14ac:dyDescent="0.25">
      <c r="A481" s="29">
        <v>6.0907301714175189E-6</v>
      </c>
    </row>
    <row r="482" spans="1:1" x14ac:dyDescent="0.25">
      <c r="A482" s="29">
        <v>5.7861936628466423E-6</v>
      </c>
    </row>
    <row r="483" spans="1:1" x14ac:dyDescent="0.25">
      <c r="A483" s="29">
        <v>5.4968839797043099E-6</v>
      </c>
    </row>
    <row r="484" spans="1:1" x14ac:dyDescent="0.25">
      <c r="A484" s="29">
        <v>5.2220397807190937E-6</v>
      </c>
    </row>
    <row r="485" spans="1:1" x14ac:dyDescent="0.25">
      <c r="A485" s="29">
        <v>4.9609377916831386E-6</v>
      </c>
    </row>
    <row r="486" spans="1:1" x14ac:dyDescent="0.25">
      <c r="A486" s="29">
        <v>4.7128909020989814E-6</v>
      </c>
    </row>
    <row r="487" spans="1:1" x14ac:dyDescent="0.25">
      <c r="A487" s="29">
        <v>4.4772463569940322E-6</v>
      </c>
    </row>
    <row r="488" spans="1:1" x14ac:dyDescent="0.25">
      <c r="A488" s="29">
        <v>4.2533840391443302E-6</v>
      </c>
    </row>
    <row r="489" spans="1:1" x14ac:dyDescent="0.25">
      <c r="A489" s="29">
        <v>4.0407148371871134E-6</v>
      </c>
    </row>
    <row r="490" spans="1:1" x14ac:dyDescent="0.25">
      <c r="A490" s="29">
        <v>3.838679095327758E-6</v>
      </c>
    </row>
    <row r="491" spans="1:1" x14ac:dyDescent="0.25">
      <c r="A491" s="29">
        <v>3.6467451405613698E-6</v>
      </c>
    </row>
    <row r="492" spans="1:1" x14ac:dyDescent="0.25">
      <c r="A492" s="29">
        <v>3.464407883533301E-6</v>
      </c>
    </row>
    <row r="493" spans="1:1" x14ac:dyDescent="0.25">
      <c r="A493" s="29">
        <v>3.2911874893566358E-6</v>
      </c>
    </row>
    <row r="494" spans="1:1" x14ac:dyDescent="0.25">
      <c r="A494" s="29">
        <v>3.1266281148888039E-6</v>
      </c>
    </row>
    <row r="495" spans="1:1" x14ac:dyDescent="0.25">
      <c r="A495" s="29">
        <v>2.9702967091443636E-6</v>
      </c>
    </row>
    <row r="496" spans="1:1" x14ac:dyDescent="0.25">
      <c r="A496" s="29">
        <v>2.8217818736871453E-6</v>
      </c>
    </row>
    <row r="497" spans="1:1" x14ac:dyDescent="0.25">
      <c r="A497" s="29">
        <v>2.6806927800027881E-6</v>
      </c>
    </row>
    <row r="498" spans="1:1" x14ac:dyDescent="0.25">
      <c r="A498" s="29">
        <v>2.5466581410026485E-6</v>
      </c>
    </row>
    <row r="499" spans="1:1" x14ac:dyDescent="0.25">
      <c r="A499" s="29">
        <v>2.4193252339525159E-6</v>
      </c>
    </row>
    <row r="500" spans="1:1" x14ac:dyDescent="0.25">
      <c r="A500" s="29">
        <v>2.2983589722548901E-6</v>
      </c>
    </row>
    <row r="501" spans="1:1" x14ac:dyDescent="0.25">
      <c r="A501" s="29">
        <v>2.1834410236421454E-6</v>
      </c>
    </row>
    <row r="502" spans="1:1" x14ac:dyDescent="0.25">
      <c r="A502" s="29">
        <v>2.0742689724600379E-6</v>
      </c>
    </row>
    <row r="503" spans="1:1" x14ac:dyDescent="0.25">
      <c r="A503" s="29">
        <v>1.9705555238370358E-6</v>
      </c>
    </row>
    <row r="504" spans="1:1" x14ac:dyDescent="0.25">
      <c r="A504" s="29">
        <v>1.8720277476451839E-6</v>
      </c>
    </row>
    <row r="505" spans="1:1" x14ac:dyDescent="0.25">
      <c r="A505" s="29">
        <v>1.7784263602629246E-6</v>
      </c>
    </row>
    <row r="506" spans="1:1" x14ac:dyDescent="0.25">
      <c r="A506" s="29">
        <v>1.6895050422497783E-6</v>
      </c>
    </row>
    <row r="507" spans="1:1" x14ac:dyDescent="0.25">
      <c r="A507" s="29">
        <v>1.6050297901372894E-6</v>
      </c>
    </row>
    <row r="508" spans="1:1" x14ac:dyDescent="0.25">
      <c r="A508" s="29">
        <v>1.5247783006304249E-6</v>
      </c>
    </row>
    <row r="509" spans="1:1" x14ac:dyDescent="0.25">
      <c r="A509" s="29">
        <v>1.4485393855989036E-6</v>
      </c>
    </row>
    <row r="510" spans="1:1" x14ac:dyDescent="0.25">
      <c r="A510" s="29">
        <v>1.3761124163189583E-6</v>
      </c>
    </row>
    <row r="511" spans="1:1" x14ac:dyDescent="0.25">
      <c r="A511" s="29">
        <v>1.3073067955030102E-6</v>
      </c>
    </row>
    <row r="512" spans="1:1" x14ac:dyDescent="0.25">
      <c r="A512" s="29">
        <v>1.2419414557278597E-6</v>
      </c>
    </row>
    <row r="513" spans="1:1" x14ac:dyDescent="0.25">
      <c r="A513" s="29">
        <v>1.1798443829414667E-6</v>
      </c>
    </row>
    <row r="514" spans="1:1" x14ac:dyDescent="0.25">
      <c r="A514" s="29">
        <v>1.1208521637943934E-6</v>
      </c>
    </row>
    <row r="515" spans="1:1" x14ac:dyDescent="0.25">
      <c r="A515" s="29">
        <v>1.0648095556046737E-6</v>
      </c>
    </row>
    <row r="516" spans="1:1" x14ac:dyDescent="0.25">
      <c r="A516" s="29">
        <v>1.01156907782444E-6</v>
      </c>
    </row>
    <row r="517" spans="1:1" x14ac:dyDescent="0.25">
      <c r="A517" s="29">
        <v>9.6099062393321788E-7</v>
      </c>
    </row>
    <row r="518" spans="1:1" x14ac:dyDescent="0.25">
      <c r="A518" s="29">
        <v>9.1294109273655694E-7</v>
      </c>
    </row>
    <row r="519" spans="1:1" x14ac:dyDescent="0.25">
      <c r="A519" s="29">
        <v>8.6729403809972904E-7</v>
      </c>
    </row>
    <row r="520" spans="1:1" x14ac:dyDescent="0.25">
      <c r="A520" s="29">
        <v>8.2392933619474258E-7</v>
      </c>
    </row>
    <row r="521" spans="1:1" x14ac:dyDescent="0.25">
      <c r="A521" s="29">
        <v>7.8273286938500543E-7</v>
      </c>
    </row>
    <row r="522" spans="1:1" x14ac:dyDescent="0.25">
      <c r="A522" s="29">
        <v>7.4359622591575509E-7</v>
      </c>
    </row>
    <row r="523" spans="1:1" x14ac:dyDescent="0.25">
      <c r="A523" s="29">
        <v>7.064164146199673E-7</v>
      </c>
    </row>
    <row r="524" spans="1:1" x14ac:dyDescent="0.25">
      <c r="A524" s="29">
        <v>6.7109559388896894E-7</v>
      </c>
    </row>
    <row r="525" spans="1:1" x14ac:dyDescent="0.25">
      <c r="A525" s="29">
        <v>6.3754081419452045E-7</v>
      </c>
    </row>
    <row r="526" spans="1:1" x14ac:dyDescent="0.25">
      <c r="A526" s="29">
        <v>6.056637734847944E-7</v>
      </c>
    </row>
    <row r="527" spans="1:1" x14ac:dyDescent="0.25">
      <c r="A527" s="29">
        <v>5.7538058481055464E-7</v>
      </c>
    </row>
    <row r="528" spans="1:1" x14ac:dyDescent="0.25">
      <c r="A528" s="29">
        <v>5.4661155557002689E-7</v>
      </c>
    </row>
    <row r="529" spans="1:1" x14ac:dyDescent="0.25">
      <c r="A529" s="29">
        <v>5.1928097779152547E-7</v>
      </c>
    </row>
    <row r="530" spans="1:1" x14ac:dyDescent="0.25">
      <c r="A530" s="29">
        <v>4.9331692890194916E-7</v>
      </c>
    </row>
    <row r="531" spans="1:1" x14ac:dyDescent="0.25">
      <c r="A531" s="29">
        <v>4.6865108245685168E-7</v>
      </c>
    </row>
    <row r="532" spans="1:1" x14ac:dyDescent="0.25">
      <c r="A532" s="29">
        <v>4.4521852833400909E-7</v>
      </c>
    </row>
    <row r="533" spans="1:1" x14ac:dyDescent="0.25">
      <c r="A533" s="29">
        <v>4.2295760191730863E-7</v>
      </c>
    </row>
    <row r="534" spans="1:1" x14ac:dyDescent="0.25">
      <c r="A534" s="29">
        <v>4.018097218214432E-7</v>
      </c>
    </row>
    <row r="535" spans="1:1" x14ac:dyDescent="0.25">
      <c r="A535" s="29">
        <v>3.8171923573037103E-7</v>
      </c>
    </row>
    <row r="536" spans="1:1" x14ac:dyDescent="0.25">
      <c r="A536" s="29">
        <v>3.6263327394385244E-7</v>
      </c>
    </row>
    <row r="537" spans="1:1" x14ac:dyDescent="0.25">
      <c r="A537" s="29">
        <v>3.4450161024665982E-7</v>
      </c>
    </row>
    <row r="538" spans="1:1" x14ac:dyDescent="0.25">
      <c r="A538" s="29">
        <v>3.2727652973432681E-7</v>
      </c>
    </row>
    <row r="539" spans="1:1" x14ac:dyDescent="0.25">
      <c r="A539" s="29">
        <v>3.1091270324761048E-7</v>
      </c>
    </row>
    <row r="540" spans="1:1" x14ac:dyDescent="0.25">
      <c r="A540" s="29">
        <v>2.9536706808522992E-7</v>
      </c>
    </row>
    <row r="541" spans="1:1" x14ac:dyDescent="0.25">
      <c r="A541" s="29">
        <v>2.8059871468096844E-7</v>
      </c>
    </row>
    <row r="542" spans="1:1" x14ac:dyDescent="0.25">
      <c r="A542" s="29">
        <v>2.6656877894691999E-7</v>
      </c>
    </row>
    <row r="543" spans="1:1" x14ac:dyDescent="0.25">
      <c r="A543" s="29">
        <v>2.5324033999957397E-7</v>
      </c>
    </row>
    <row r="544" spans="1:1" x14ac:dyDescent="0.25">
      <c r="A544" s="29">
        <v>2.4057832299959528E-7</v>
      </c>
    </row>
    <row r="545" spans="1:1" x14ac:dyDescent="0.25">
      <c r="A545" s="29">
        <v>2.2854940684961551E-7</v>
      </c>
    </row>
    <row r="546" spans="1:1" x14ac:dyDescent="0.25">
      <c r="A546" s="29">
        <v>2.1712193650713473E-7</v>
      </c>
    </row>
    <row r="547" spans="1:1" x14ac:dyDescent="0.25">
      <c r="A547" s="29">
        <v>2.0626583968177798E-7</v>
      </c>
    </row>
    <row r="548" spans="1:1" x14ac:dyDescent="0.25">
      <c r="A548" s="29">
        <v>1.9595254769768908E-7</v>
      </c>
    </row>
    <row r="549" spans="1:1" x14ac:dyDescent="0.25">
      <c r="A549" s="29">
        <v>1.8615492031280462E-7</v>
      </c>
    </row>
    <row r="550" spans="1:1" x14ac:dyDescent="0.25">
      <c r="A550" s="29">
        <v>1.7684717429716437E-7</v>
      </c>
    </row>
    <row r="551" spans="1:1" x14ac:dyDescent="0.25">
      <c r="A551" s="29">
        <v>1.6800481558230616E-7</v>
      </c>
    </row>
    <row r="552" spans="1:1" x14ac:dyDescent="0.25">
      <c r="A552" s="29">
        <v>1.5960457480319083E-7</v>
      </c>
    </row>
    <row r="553" spans="1:1" x14ac:dyDescent="0.25">
      <c r="A553" s="29">
        <v>1.5162434606303129E-7</v>
      </c>
    </row>
    <row r="554" spans="1:1" x14ac:dyDescent="0.25">
      <c r="A554" s="29">
        <v>1.4404312875987972E-7</v>
      </c>
    </row>
    <row r="555" spans="1:1" x14ac:dyDescent="0.25">
      <c r="A555" s="29">
        <v>1.3684097232188573E-7</v>
      </c>
    </row>
    <row r="556" spans="1:1" x14ac:dyDescent="0.25">
      <c r="A556" s="29">
        <v>1.2999892370579143E-7</v>
      </c>
    </row>
    <row r="557" spans="1:1" x14ac:dyDescent="0.25">
      <c r="A557" s="29">
        <v>1.2349897752050186E-7</v>
      </c>
    </row>
    <row r="558" spans="1:1" x14ac:dyDescent="0.25">
      <c r="A558" s="29">
        <v>1.1732402864447677E-7</v>
      </c>
    </row>
    <row r="559" spans="1:1" x14ac:dyDescent="0.25">
      <c r="A559" s="29">
        <v>1.1145782721225292E-7</v>
      </c>
    </row>
    <row r="560" spans="1:1" x14ac:dyDescent="0.25">
      <c r="A560" s="29">
        <v>1.0588493585164026E-7</v>
      </c>
    </row>
    <row r="561" spans="1:1" x14ac:dyDescent="0.25">
      <c r="A561" s="29">
        <v>1.0059068905905825E-7</v>
      </c>
    </row>
    <row r="562" spans="1:1" x14ac:dyDescent="0.25">
      <c r="A562" s="29">
        <v>9.5561154606105325E-8</v>
      </c>
    </row>
    <row r="563" spans="1:1" x14ac:dyDescent="0.25">
      <c r="A563" s="29">
        <v>9.0783096875800056E-8</v>
      </c>
    </row>
    <row r="564" spans="1:1" x14ac:dyDescent="0.25">
      <c r="A564" s="29">
        <v>8.6243942032010053E-8</v>
      </c>
    </row>
    <row r="565" spans="1:1" x14ac:dyDescent="0.25">
      <c r="A565" s="29">
        <v>8.1931744930409543E-8</v>
      </c>
    </row>
    <row r="566" spans="1:1" x14ac:dyDescent="0.25">
      <c r="A566" s="29">
        <v>7.7835157683889064E-8</v>
      </c>
    </row>
    <row r="567" spans="1:1" x14ac:dyDescent="0.25">
      <c r="A567" s="29">
        <v>7.3943399799694612E-8</v>
      </c>
    </row>
    <row r="568" spans="1:1" x14ac:dyDescent="0.25">
      <c r="A568" s="29">
        <v>7.0246229809709872E-8</v>
      </c>
    </row>
    <row r="569" spans="1:1" x14ac:dyDescent="0.25">
      <c r="A569" s="29">
        <v>6.6733918319224378E-8</v>
      </c>
    </row>
    <row r="570" spans="1:1" x14ac:dyDescent="0.25">
      <c r="A570" s="29">
        <v>6.3397222403263155E-8</v>
      </c>
    </row>
    <row r="571" spans="1:1" x14ac:dyDescent="0.25">
      <c r="A571" s="29">
        <v>6.0227361283099997E-8</v>
      </c>
    </row>
    <row r="572" spans="1:1" x14ac:dyDescent="0.25">
      <c r="A572" s="29">
        <v>5.7215993218944996E-8</v>
      </c>
    </row>
    <row r="573" spans="1:1" x14ac:dyDescent="0.25">
      <c r="A573" s="29">
        <v>5.4355193557997742E-8</v>
      </c>
    </row>
    <row r="574" spans="1:1" x14ac:dyDescent="0.25">
      <c r="A574" s="29">
        <v>5.1637433880097855E-8</v>
      </c>
    </row>
    <row r="575" spans="1:1" x14ac:dyDescent="0.25">
      <c r="A575" s="29">
        <v>4.9055562186092959E-8</v>
      </c>
    </row>
    <row r="576" spans="1:1" x14ac:dyDescent="0.25">
      <c r="A576" s="29">
        <v>4.6602784076788309E-8</v>
      </c>
    </row>
    <row r="577" spans="1:1" x14ac:dyDescent="0.25">
      <c r="A577" s="29">
        <v>4.4272644872948894E-8</v>
      </c>
    </row>
    <row r="578" spans="1:1" x14ac:dyDescent="0.25">
      <c r="A578" s="29">
        <v>4.2059012629301451E-8</v>
      </c>
    </row>
    <row r="579" spans="1:1" x14ac:dyDescent="0.25">
      <c r="A579" s="29">
        <v>3.9956061997836377E-8</v>
      </c>
    </row>
    <row r="580" spans="1:1" x14ac:dyDescent="0.25">
      <c r="A580" s="29">
        <v>3.7958258897944555E-8</v>
      </c>
    </row>
    <row r="581" spans="1:1" x14ac:dyDescent="0.25">
      <c r="A581" s="29">
        <v>3.6060345953047327E-8</v>
      </c>
    </row>
    <row r="582" spans="1:1" x14ac:dyDescent="0.25">
      <c r="A582" s="29">
        <v>3.4257328655394958E-8</v>
      </c>
    </row>
    <row r="583" spans="1:1" x14ac:dyDescent="0.25">
      <c r="A583" s="29">
        <v>3.2544462222625211E-8</v>
      </c>
    </row>
    <row r="584" spans="1:1" x14ac:dyDescent="0.25">
      <c r="A584" s="29">
        <v>3.0917239111493953E-8</v>
      </c>
    </row>
    <row r="585" spans="1:1" x14ac:dyDescent="0.25">
      <c r="A585" s="29">
        <v>2.9371377155919254E-8</v>
      </c>
    </row>
    <row r="586" spans="1:1" x14ac:dyDescent="0.25">
      <c r="A586" s="29">
        <v>2.7902808298123291E-8</v>
      </c>
    </row>
    <row r="587" spans="1:1" x14ac:dyDescent="0.25">
      <c r="A587" s="29">
        <v>2.6507667883217124E-8</v>
      </c>
    </row>
    <row r="588" spans="1:1" x14ac:dyDescent="0.25">
      <c r="A588" s="29">
        <v>2.5182284489056268E-8</v>
      </c>
    </row>
    <row r="589" spans="1:1" x14ac:dyDescent="0.25">
      <c r="A589" s="29">
        <v>2.3923170264603454E-8</v>
      </c>
    </row>
    <row r="590" spans="1:1" x14ac:dyDescent="0.25">
      <c r="A590" s="29">
        <v>2.2727011751373281E-8</v>
      </c>
    </row>
    <row r="591" spans="1:1" x14ac:dyDescent="0.25">
      <c r="A591" s="29">
        <v>2.1590661163804617E-8</v>
      </c>
    </row>
    <row r="592" spans="1:1" x14ac:dyDescent="0.25">
      <c r="A592" s="29">
        <v>2.0511128105614386E-8</v>
      </c>
    </row>
    <row r="593" spans="1:1" x14ac:dyDescent="0.25">
      <c r="A593" s="29">
        <v>1.9485571700333666E-8</v>
      </c>
    </row>
    <row r="594" spans="1:1" x14ac:dyDescent="0.25">
      <c r="A594" s="29">
        <v>1.8511293115316981E-8</v>
      </c>
    </row>
    <row r="595" spans="1:1" x14ac:dyDescent="0.25">
      <c r="A595" s="29">
        <v>1.758572845955113E-8</v>
      </c>
    </row>
    <row r="596" spans="1:1" x14ac:dyDescent="0.25">
      <c r="A596" s="29">
        <v>1.6706442036573572E-8</v>
      </c>
    </row>
    <row r="597" spans="1:1" x14ac:dyDescent="0.25">
      <c r="A597" s="29">
        <v>1.5871119934744892E-8</v>
      </c>
    </row>
    <row r="598" spans="1:1" x14ac:dyDescent="0.25">
      <c r="A598" s="29">
        <v>1.5077563938007645E-8</v>
      </c>
    </row>
    <row r="599" spans="1:1" x14ac:dyDescent="0.25">
      <c r="A599" s="29">
        <v>1.4323685741107262E-8</v>
      </c>
    </row>
    <row r="600" spans="1:1" x14ac:dyDescent="0.25">
      <c r="A600" s="29">
        <v>1.3607501454051899E-8</v>
      </c>
    </row>
    <row r="601" spans="1:1" x14ac:dyDescent="0.25">
      <c r="A601" s="29">
        <v>1.2927126381349303E-8</v>
      </c>
    </row>
    <row r="602" spans="1:1" x14ac:dyDescent="0.25">
      <c r="A602" s="29">
        <v>1.2280770062281838E-8</v>
      </c>
    </row>
    <row r="603" spans="1:1" x14ac:dyDescent="0.25">
      <c r="A603" s="29">
        <v>1.1666731559167746E-8</v>
      </c>
    </row>
    <row r="604" spans="1:1" x14ac:dyDescent="0.25">
      <c r="A604" s="29">
        <v>1.1083394981209357E-8</v>
      </c>
    </row>
    <row r="605" spans="1:1" x14ac:dyDescent="0.25">
      <c r="A605" s="29">
        <v>1.0529225232148889E-8</v>
      </c>
    </row>
    <row r="606" spans="1:1" x14ac:dyDescent="0.25">
      <c r="A606" s="29">
        <v>1.0002763970541444E-8</v>
      </c>
    </row>
    <row r="607" spans="1:1" x14ac:dyDescent="0.25">
      <c r="A607" s="29">
        <v>9.5026257720143712E-9</v>
      </c>
    </row>
    <row r="608" spans="1:1" x14ac:dyDescent="0.25">
      <c r="A608" s="29">
        <v>9.0274944834136515E-9</v>
      </c>
    </row>
    <row r="609" spans="1:1" x14ac:dyDescent="0.25">
      <c r="A609" s="29">
        <v>8.5761197592429686E-9</v>
      </c>
    </row>
    <row r="610" spans="1:1" x14ac:dyDescent="0.25">
      <c r="A610" s="29">
        <v>8.1473137712808194E-9</v>
      </c>
    </row>
    <row r="611" spans="1:1" x14ac:dyDescent="0.25">
      <c r="A611" s="29">
        <v>7.7399480827167776E-9</v>
      </c>
    </row>
    <row r="612" spans="1:1" x14ac:dyDescent="0.25">
      <c r="A612" s="29">
        <v>7.3529506785809386E-9</v>
      </c>
    </row>
    <row r="613" spans="1:1" x14ac:dyDescent="0.25">
      <c r="A613" s="29">
        <v>6.9853031446518911E-9</v>
      </c>
    </row>
    <row r="614" spans="1:1" x14ac:dyDescent="0.25">
      <c r="A614" s="29">
        <v>6.6360379874192963E-9</v>
      </c>
    </row>
    <row r="615" spans="1:1" x14ac:dyDescent="0.25">
      <c r="A615" s="29">
        <v>6.3042360880483309E-9</v>
      </c>
    </row>
    <row r="616" spans="1:1" x14ac:dyDescent="0.25">
      <c r="A616" s="29">
        <v>5.989024283645914E-9</v>
      </c>
    </row>
    <row r="617" spans="1:1" x14ac:dyDescent="0.25">
      <c r="A617" s="29">
        <v>5.6895730694636181E-9</v>
      </c>
    </row>
    <row r="618" spans="1:1" x14ac:dyDescent="0.25">
      <c r="A618" s="29">
        <v>5.4050944159904366E-9</v>
      </c>
    </row>
    <row r="619" spans="1:1" x14ac:dyDescent="0.25">
      <c r="A619" s="29">
        <v>5.1348396951909145E-9</v>
      </c>
    </row>
    <row r="620" spans="1:1" x14ac:dyDescent="0.25">
      <c r="A620" s="29">
        <v>4.8780977104313684E-9</v>
      </c>
    </row>
    <row r="621" spans="1:1" x14ac:dyDescent="0.25">
      <c r="A621" s="29">
        <v>4.6341928249097994E-9</v>
      </c>
    </row>
    <row r="622" spans="1:1" x14ac:dyDescent="0.25">
      <c r="A622" s="29">
        <v>4.4024831836643092E-9</v>
      </c>
    </row>
    <row r="623" spans="1:1" x14ac:dyDescent="0.25">
      <c r="A623" s="29">
        <v>4.1823590244810936E-9</v>
      </c>
    </row>
    <row r="624" spans="1:1" x14ac:dyDescent="0.25">
      <c r="A624" s="29">
        <v>3.9732410732570384E-9</v>
      </c>
    </row>
    <row r="625" spans="1:1" x14ac:dyDescent="0.25">
      <c r="A625" s="29">
        <v>3.7745790195941862E-9</v>
      </c>
    </row>
    <row r="626" spans="1:1" x14ac:dyDescent="0.25">
      <c r="A626" s="29">
        <v>3.5858500686144767E-9</v>
      </c>
    </row>
    <row r="627" spans="1:1" x14ac:dyDescent="0.25">
      <c r="A627" s="29">
        <v>3.4065575651837529E-9</v>
      </c>
    </row>
    <row r="628" spans="1:1" x14ac:dyDescent="0.25">
      <c r="A628" s="29">
        <v>3.236229686924565E-9</v>
      </c>
    </row>
    <row r="629" spans="1:1" x14ac:dyDescent="0.25">
      <c r="A629" s="29">
        <v>3.0744182025783365E-9</v>
      </c>
    </row>
    <row r="630" spans="1:1" x14ac:dyDescent="0.25">
      <c r="A630" s="29">
        <v>2.9206972924494197E-9</v>
      </c>
    </row>
    <row r="631" spans="1:1" x14ac:dyDescent="0.25">
      <c r="A631" s="29">
        <v>2.7746624278269484E-9</v>
      </c>
    </row>
    <row r="632" spans="1:1" x14ac:dyDescent="0.25">
      <c r="A632" s="29">
        <v>2.635929306435601E-9</v>
      </c>
    </row>
    <row r="633" spans="1:1" x14ac:dyDescent="0.25">
      <c r="A633" s="29">
        <v>2.504132841113821E-9</v>
      </c>
    </row>
    <row r="634" spans="1:1" x14ac:dyDescent="0.25">
      <c r="A634" s="29">
        <v>2.3789261990581298E-9</v>
      </c>
    </row>
    <row r="635" spans="1:1" x14ac:dyDescent="0.25">
      <c r="A635" s="29">
        <v>2.259979889105223E-9</v>
      </c>
    </row>
    <row r="636" spans="1:1" x14ac:dyDescent="0.25">
      <c r="A636" s="29">
        <v>2.1469808946499619E-9</v>
      </c>
    </row>
    <row r="637" spans="1:1" x14ac:dyDescent="0.25">
      <c r="A637" s="29">
        <v>2.0396318499174636E-9</v>
      </c>
    </row>
    <row r="638" spans="1:1" x14ac:dyDescent="0.25">
      <c r="A638" s="29">
        <v>1.9376502574215905E-9</v>
      </c>
    </row>
    <row r="639" spans="1:1" x14ac:dyDescent="0.25">
      <c r="A639" s="29">
        <v>1.8407677445505109E-9</v>
      </c>
    </row>
    <row r="640" spans="1:1" x14ac:dyDescent="0.25">
      <c r="A640" s="29">
        <v>1.7487293573229853E-9</v>
      </c>
    </row>
    <row r="641" spans="1:1" x14ac:dyDescent="0.25">
      <c r="A641" s="29">
        <v>1.661292889456836E-9</v>
      </c>
    </row>
    <row r="642" spans="1:1" x14ac:dyDescent="0.25">
      <c r="A642" s="29">
        <v>1.578228244983994E-9</v>
      </c>
    </row>
    <row r="643" spans="1:1" x14ac:dyDescent="0.25">
      <c r="A643" s="29">
        <v>1.4993168327347942E-9</v>
      </c>
    </row>
    <row r="644" spans="1:1" x14ac:dyDescent="0.25">
      <c r="A644" s="29">
        <v>1.4243509910980544E-9</v>
      </c>
    </row>
    <row r="645" spans="1:1" x14ac:dyDescent="0.25">
      <c r="A645" s="29">
        <v>1.3531334415431516E-9</v>
      </c>
    </row>
    <row r="646" spans="1:1" x14ac:dyDescent="0.25">
      <c r="A646" s="29">
        <v>1.285476769465994E-9</v>
      </c>
    </row>
    <row r="647" spans="1:1" x14ac:dyDescent="0.25">
      <c r="A647" s="29">
        <v>1.2212029309926942E-9</v>
      </c>
    </row>
    <row r="648" spans="1:1" x14ac:dyDescent="0.25">
      <c r="A648" s="29">
        <v>1.1601427844430595E-9</v>
      </c>
    </row>
    <row r="649" spans="1:1" x14ac:dyDescent="0.25">
      <c r="A649" s="29">
        <v>1.1021356452209065E-9</v>
      </c>
    </row>
    <row r="650" spans="1:1" x14ac:dyDescent="0.25">
      <c r="A650" s="29">
        <v>1.047028862959861E-9</v>
      </c>
    </row>
    <row r="651" spans="1:1" x14ac:dyDescent="0.25">
      <c r="A651" s="29">
        <v>9.9467741981186791E-10</v>
      </c>
    </row>
    <row r="652" spans="1:1" x14ac:dyDescent="0.25">
      <c r="A652" s="29">
        <v>9.4494354882127439E-10</v>
      </c>
    </row>
    <row r="653" spans="1:1" x14ac:dyDescent="0.25">
      <c r="A653" s="29">
        <v>8.9769637138021059E-10</v>
      </c>
    </row>
    <row r="654" spans="1:1" x14ac:dyDescent="0.25">
      <c r="A654" s="29">
        <v>8.5281155281120004E-10</v>
      </c>
    </row>
    <row r="655" spans="1:1" x14ac:dyDescent="0.25">
      <c r="A655" s="29">
        <v>8.1017097517064003E-10</v>
      </c>
    </row>
    <row r="656" spans="1:1" x14ac:dyDescent="0.25">
      <c r="A656" s="29">
        <v>7.69662426412108E-10</v>
      </c>
    </row>
    <row r="657" spans="1:1" x14ac:dyDescent="0.25">
      <c r="A657" s="29">
        <v>7.3117930509150257E-10</v>
      </c>
    </row>
    <row r="658" spans="1:1" x14ac:dyDescent="0.25">
      <c r="A658" s="29">
        <v>6.9462033983692743E-10</v>
      </c>
    </row>
    <row r="659" spans="1:1" x14ac:dyDescent="0.25">
      <c r="A659" s="29">
        <v>6.5988932284508105E-10</v>
      </c>
    </row>
    <row r="660" spans="1:1" x14ac:dyDescent="0.25">
      <c r="A660" s="29">
        <v>6.2689485670282699E-10</v>
      </c>
    </row>
    <row r="661" spans="1:1" x14ac:dyDescent="0.25">
      <c r="A661" s="29">
        <v>5.9555011386768556E-10</v>
      </c>
    </row>
    <row r="662" spans="1:1" x14ac:dyDescent="0.25">
      <c r="A662" s="29">
        <v>5.6577260817430128E-10</v>
      </c>
    </row>
    <row r="663" spans="1:1" x14ac:dyDescent="0.25">
      <c r="A663" s="29">
        <v>5.3748397776558616E-10</v>
      </c>
    </row>
    <row r="664" spans="1:1" x14ac:dyDescent="0.25">
      <c r="A664" s="29">
        <v>5.1060977887730685E-10</v>
      </c>
    </row>
    <row r="665" spans="1:1" x14ac:dyDescent="0.25">
      <c r="A665" s="29">
        <v>4.8507928993344152E-10</v>
      </c>
    </row>
    <row r="666" spans="1:1" x14ac:dyDescent="0.25">
      <c r="A666" s="29">
        <v>4.6082532543676942E-10</v>
      </c>
    </row>
    <row r="667" spans="1:1" x14ac:dyDescent="0.25">
      <c r="A667" s="29">
        <v>4.3778405916493093E-10</v>
      </c>
    </row>
    <row r="668" spans="1:1" x14ac:dyDescent="0.25">
      <c r="A668" s="29">
        <v>4.1589485620668437E-10</v>
      </c>
    </row>
    <row r="669" spans="1:1" x14ac:dyDescent="0.25">
      <c r="A669" s="29">
        <v>3.9510011339635012E-10</v>
      </c>
    </row>
    <row r="670" spans="1:1" x14ac:dyDescent="0.25">
      <c r="A670" s="29">
        <v>3.7534510772653259E-10</v>
      </c>
    </row>
    <row r="671" spans="1:1" x14ac:dyDescent="0.25">
      <c r="A671" s="29">
        <v>3.5657785234020594E-10</v>
      </c>
    </row>
    <row r="672" spans="1:1" x14ac:dyDescent="0.25">
      <c r="A672" s="29">
        <v>3.3874895972319565E-10</v>
      </c>
    </row>
    <row r="673" spans="1:1" x14ac:dyDescent="0.25">
      <c r="A673" s="29">
        <v>3.2181151173703586E-10</v>
      </c>
    </row>
    <row r="674" spans="1:1" x14ac:dyDescent="0.25">
      <c r="A674" s="29">
        <v>3.0572093615018408E-10</v>
      </c>
    </row>
    <row r="675" spans="1:1" x14ac:dyDescent="0.25">
      <c r="A675" s="29">
        <v>2.9043488934267484E-10</v>
      </c>
    </row>
    <row r="676" spans="1:1" x14ac:dyDescent="0.25">
      <c r="A676" s="29">
        <v>2.7591314487554109E-10</v>
      </c>
    </row>
    <row r="677" spans="1:1" x14ac:dyDescent="0.25">
      <c r="A677" s="29">
        <v>2.6211748763176403E-10</v>
      </c>
    </row>
    <row r="678" spans="1:1" x14ac:dyDescent="0.25">
      <c r="A678" s="29">
        <v>2.4901161325017583E-10</v>
      </c>
    </row>
    <row r="679" spans="1:1" x14ac:dyDescent="0.25">
      <c r="A679" s="29">
        <v>2.3656103258766704E-10</v>
      </c>
    </row>
    <row r="680" spans="1:1" x14ac:dyDescent="0.25">
      <c r="A680" s="29">
        <v>2.2473298095828367E-10</v>
      </c>
    </row>
    <row r="681" spans="1:1" x14ac:dyDescent="0.25">
      <c r="A681" s="29">
        <v>2.1349633191036949E-10</v>
      </c>
    </row>
    <row r="682" spans="1:1" x14ac:dyDescent="0.25">
      <c r="A682" s="29">
        <v>2.02821515314851E-10</v>
      </c>
    </row>
    <row r="683" spans="1:1" x14ac:dyDescent="0.25">
      <c r="A683" s="29">
        <v>1.9268043954910845E-10</v>
      </c>
    </row>
    <row r="684" spans="1:1" x14ac:dyDescent="0.25">
      <c r="A684" s="29">
        <v>1.8304641757165302E-10</v>
      </c>
    </row>
    <row r="685" spans="1:1" x14ac:dyDescent="0.25">
      <c r="A685" s="29">
        <v>1.7389409669307036E-10</v>
      </c>
    </row>
    <row r="686" spans="1:1" x14ac:dyDescent="0.25">
      <c r="A686" s="29">
        <v>1.6519939185841684E-10</v>
      </c>
    </row>
    <row r="687" spans="1:1" x14ac:dyDescent="0.25">
      <c r="A687" s="29">
        <v>1.5693942226549599E-10</v>
      </c>
    </row>
    <row r="688" spans="1:1" x14ac:dyDescent="0.25">
      <c r="A688" s="29">
        <v>1.4909245115222119E-10</v>
      </c>
    </row>
    <row r="689" spans="1:1" x14ac:dyDescent="0.25">
      <c r="A689" s="29">
        <v>1.4163782859461013E-10</v>
      </c>
    </row>
    <row r="690" spans="1:1" x14ac:dyDescent="0.25">
      <c r="A690" s="29">
        <v>1.3455593716487961E-10</v>
      </c>
    </row>
    <row r="691" spans="1:1" x14ac:dyDescent="0.25">
      <c r="A691" s="29">
        <v>1.2782814030663562E-10</v>
      </c>
    </row>
    <row r="692" spans="1:1" x14ac:dyDescent="0.25">
      <c r="A692" s="29">
        <v>1.2143673329130384E-10</v>
      </c>
    </row>
    <row r="693" spans="1:1" x14ac:dyDescent="0.25">
      <c r="A693" s="29">
        <v>1.1536489662673864E-10</v>
      </c>
    </row>
    <row r="694" spans="1:1" x14ac:dyDescent="0.25">
      <c r="A694" s="29">
        <v>1.095966517954017E-10</v>
      </c>
    </row>
    <row r="695" spans="1:1" x14ac:dyDescent="0.25">
      <c r="A695" s="29">
        <v>1.0411681920563161E-10</v>
      </c>
    </row>
    <row r="696" spans="1:1" x14ac:dyDescent="0.25">
      <c r="A696" s="29">
        <v>9.8910978245350022E-11</v>
      </c>
    </row>
    <row r="697" spans="1:1" x14ac:dyDescent="0.25">
      <c r="A697" s="29">
        <v>9.3965429333082514E-11</v>
      </c>
    </row>
    <row r="698" spans="1:1" x14ac:dyDescent="0.25">
      <c r="A698" s="29">
        <v>8.926715786642838E-11</v>
      </c>
    </row>
    <row r="699" spans="1:1" x14ac:dyDescent="0.25">
      <c r="A699" s="29">
        <v>8.4803799973106953E-11</v>
      </c>
    </row>
    <row r="700" spans="1:1" x14ac:dyDescent="0.25">
      <c r="A700" s="29">
        <v>8.0563609974451603E-11</v>
      </c>
    </row>
    <row r="701" spans="1:1" x14ac:dyDescent="0.25">
      <c r="A701" s="29">
        <v>7.6535429475729024E-11</v>
      </c>
    </row>
    <row r="702" spans="1:1" x14ac:dyDescent="0.25">
      <c r="A702" s="29">
        <v>7.270865800194257E-11</v>
      </c>
    </row>
    <row r="703" spans="1:1" x14ac:dyDescent="0.25">
      <c r="A703" s="29">
        <v>6.9073225101845444E-11</v>
      </c>
    </row>
    <row r="704" spans="1:1" x14ac:dyDescent="0.25">
      <c r="A704" s="29">
        <v>6.5619563846753168E-11</v>
      </c>
    </row>
    <row r="705" spans="1:1" x14ac:dyDescent="0.25">
      <c r="A705" s="29">
        <v>6.2338585654415507E-11</v>
      </c>
    </row>
    <row r="706" spans="1:1" x14ac:dyDescent="0.25">
      <c r="A706" s="29">
        <v>5.9221656371694723E-11</v>
      </c>
    </row>
    <row r="707" spans="1:1" x14ac:dyDescent="0.25">
      <c r="A707" s="29">
        <v>5.6260573553109984E-11</v>
      </c>
    </row>
    <row r="708" spans="1:1" x14ac:dyDescent="0.25">
      <c r="A708" s="29">
        <v>5.3447544875454483E-11</v>
      </c>
    </row>
    <row r="709" spans="1:1" x14ac:dyDescent="0.25">
      <c r="A709" s="29">
        <v>5.0775167631681754E-11</v>
      </c>
    </row>
    <row r="710" spans="1:1" x14ac:dyDescent="0.25">
      <c r="A710" s="29">
        <v>4.8236409250097665E-11</v>
      </c>
    </row>
    <row r="711" spans="1:1" x14ac:dyDescent="0.25">
      <c r="A711" s="29">
        <v>4.5824588787592778E-11</v>
      </c>
    </row>
    <row r="712" spans="1:1" x14ac:dyDescent="0.25">
      <c r="A712" s="29">
        <v>4.3533359348213134E-11</v>
      </c>
    </row>
    <row r="713" spans="1:1" x14ac:dyDescent="0.25">
      <c r="A713" s="29">
        <v>4.1356691380802478E-11</v>
      </c>
    </row>
    <row r="714" spans="1:1" x14ac:dyDescent="0.25">
      <c r="A714" s="29">
        <v>3.9288856811762353E-11</v>
      </c>
    </row>
    <row r="715" spans="1:1" x14ac:dyDescent="0.25">
      <c r="A715" s="29">
        <v>3.7324413971174231E-11</v>
      </c>
    </row>
    <row r="716" spans="1:1" x14ac:dyDescent="0.25">
      <c r="A716" s="29">
        <v>3.545819327261552E-11</v>
      </c>
    </row>
    <row r="717" spans="1:1" x14ac:dyDescent="0.25">
      <c r="A717" s="29">
        <v>3.3685283608984745E-11</v>
      </c>
    </row>
    <row r="718" spans="1:1" x14ac:dyDescent="0.25">
      <c r="A718" s="29">
        <v>3.2001019428535508E-11</v>
      </c>
    </row>
    <row r="719" spans="1:1" x14ac:dyDescent="0.25">
      <c r="A719" s="29">
        <v>3.0400968457108733E-11</v>
      </c>
    </row>
    <row r="720" spans="1:1" x14ac:dyDescent="0.25">
      <c r="A720" s="29">
        <v>2.8880920034253296E-11</v>
      </c>
    </row>
    <row r="721" spans="1:1" x14ac:dyDescent="0.25">
      <c r="A721" s="29">
        <v>2.7436874032540629E-11</v>
      </c>
    </row>
    <row r="722" spans="1:1" x14ac:dyDescent="0.25">
      <c r="A722" s="29">
        <v>2.6065030330913595E-11</v>
      </c>
    </row>
    <row r="723" spans="1:1" x14ac:dyDescent="0.25">
      <c r="A723" s="29">
        <v>2.4761778814367914E-11</v>
      </c>
    </row>
    <row r="724" spans="1:1" x14ac:dyDescent="0.25">
      <c r="A724" s="29">
        <v>2.3523689873649516E-11</v>
      </c>
    </row>
    <row r="725" spans="1:1" x14ac:dyDescent="0.25">
      <c r="A725" s="29">
        <v>2.234750537996704E-11</v>
      </c>
    </row>
    <row r="726" spans="1:1" x14ac:dyDescent="0.25">
      <c r="A726" s="29">
        <v>2.1230130110968688E-11</v>
      </c>
    </row>
    <row r="727" spans="1:1" x14ac:dyDescent="0.25">
      <c r="A727" s="29">
        <v>2.0168623605420253E-11</v>
      </c>
    </row>
    <row r="728" spans="1:1" x14ac:dyDescent="0.25">
      <c r="A728" s="29">
        <v>1.916019242514924E-11</v>
      </c>
    </row>
    <row r="729" spans="1:1" x14ac:dyDescent="0.25">
      <c r="A729" s="29">
        <v>1.8202182803891777E-11</v>
      </c>
    </row>
    <row r="730" spans="1:1" x14ac:dyDescent="0.25">
      <c r="A730" s="29">
        <v>1.7292073663697186E-11</v>
      </c>
    </row>
    <row r="731" spans="1:1" x14ac:dyDescent="0.25">
      <c r="A731" s="29">
        <v>1.6427469980512324E-11</v>
      </c>
    </row>
    <row r="732" spans="1:1" x14ac:dyDescent="0.25">
      <c r="A732" s="29">
        <v>1.5606096481486706E-11</v>
      </c>
    </row>
    <row r="733" spans="1:1" x14ac:dyDescent="0.25">
      <c r="A733" s="29">
        <v>1.482579165741237E-11</v>
      </c>
    </row>
    <row r="734" spans="1:1" x14ac:dyDescent="0.25">
      <c r="A734" s="29">
        <v>1.408450207454175E-11</v>
      </c>
    </row>
    <row r="735" spans="1:1" x14ac:dyDescent="0.25">
      <c r="A735" s="29">
        <v>1.3380276970814662E-11</v>
      </c>
    </row>
    <row r="736" spans="1:1" x14ac:dyDescent="0.25">
      <c r="A736" s="29">
        <v>1.2711263122273928E-11</v>
      </c>
    </row>
    <row r="737" spans="1:1" x14ac:dyDescent="0.25">
      <c r="A737" s="29">
        <v>1.2075699966160231E-11</v>
      </c>
    </row>
    <row r="738" spans="1:1" x14ac:dyDescent="0.25">
      <c r="A738" s="29">
        <v>1.1471914967852219E-11</v>
      </c>
    </row>
    <row r="739" spans="1:1" x14ac:dyDescent="0.25">
      <c r="A739" s="29">
        <v>1.0898319219459608E-11</v>
      </c>
    </row>
    <row r="740" spans="1:1" x14ac:dyDescent="0.25">
      <c r="A740" s="29">
        <v>1.0353403258486628E-11</v>
      </c>
    </row>
    <row r="741" spans="1:1" x14ac:dyDescent="0.25">
      <c r="A741" s="29">
        <v>9.8357330955622963E-12</v>
      </c>
    </row>
    <row r="742" spans="1:1" x14ac:dyDescent="0.25">
      <c r="A742" s="29">
        <v>9.3439464407841808E-12</v>
      </c>
    </row>
    <row r="743" spans="1:1" x14ac:dyDescent="0.25">
      <c r="A743" s="29">
        <v>8.8767491187449709E-12</v>
      </c>
    </row>
    <row r="744" spans="1:1" x14ac:dyDescent="0.25">
      <c r="A744" s="29">
        <v>8.4329116628077213E-12</v>
      </c>
    </row>
    <row r="745" spans="1:1" x14ac:dyDescent="0.25">
      <c r="A745" s="29">
        <v>8.0112660796673341E-12</v>
      </c>
    </row>
    <row r="746" spans="1:1" x14ac:dyDescent="0.25">
      <c r="A746" s="29">
        <v>7.6107027756839663E-12</v>
      </c>
    </row>
    <row r="747" spans="1:1" x14ac:dyDescent="0.25">
      <c r="A747" s="29">
        <v>7.2301676368997673E-12</v>
      </c>
    </row>
    <row r="748" spans="1:1" x14ac:dyDescent="0.25">
      <c r="A748" s="29">
        <v>6.8686592550547782E-12</v>
      </c>
    </row>
    <row r="749" spans="1:1" x14ac:dyDescent="0.25">
      <c r="A749" s="29">
        <v>6.5252262923020387E-12</v>
      </c>
    </row>
    <row r="750" spans="1:1" x14ac:dyDescent="0.25">
      <c r="A750" s="29">
        <v>6.1989649776869368E-12</v>
      </c>
    </row>
    <row r="751" spans="1:1" x14ac:dyDescent="0.25">
      <c r="A751" s="29">
        <v>5.8890167288025901E-12</v>
      </c>
    </row>
    <row r="752" spans="1:1" x14ac:dyDescent="0.25">
      <c r="A752" s="29">
        <v>5.5945658923624606E-12</v>
      </c>
    </row>
    <row r="753" spans="1:1" x14ac:dyDescent="0.25">
      <c r="A753" s="29">
        <v>5.3148375977443373E-12</v>
      </c>
    </row>
    <row r="754" spans="1:1" x14ac:dyDescent="0.25">
      <c r="A754" s="29">
        <v>5.0490957178571204E-12</v>
      </c>
    </row>
    <row r="755" spans="1:1" x14ac:dyDescent="0.25">
      <c r="A755" s="29">
        <v>4.796640931964264E-12</v>
      </c>
    </row>
    <row r="756" spans="1:1" x14ac:dyDescent="0.25">
      <c r="A756" s="29">
        <v>4.5568088853660509E-12</v>
      </c>
    </row>
    <row r="757" spans="1:1" x14ac:dyDescent="0.25">
      <c r="A757" s="29">
        <v>4.3289684410977484E-12</v>
      </c>
    </row>
    <row r="758" spans="1:1" x14ac:dyDescent="0.25">
      <c r="A758" s="29">
        <v>4.1125200190428609E-12</v>
      </c>
    </row>
    <row r="759" spans="1:1" x14ac:dyDescent="0.25">
      <c r="A759" s="29">
        <v>3.9068940180907175E-12</v>
      </c>
    </row>
    <row r="760" spans="1:1" x14ac:dyDescent="0.25">
      <c r="A760" s="29">
        <v>3.7115493171861816E-12</v>
      </c>
    </row>
    <row r="761" spans="1:1" x14ac:dyDescent="0.25">
      <c r="A761" s="29">
        <v>3.5259718513268725E-12</v>
      </c>
    </row>
    <row r="762" spans="1:1" x14ac:dyDescent="0.25">
      <c r="A762" s="29">
        <v>3.3496732587605286E-12</v>
      </c>
    </row>
    <row r="763" spans="1:1" x14ac:dyDescent="0.25">
      <c r="A763" s="29">
        <v>3.182189595822502E-12</v>
      </c>
    </row>
    <row r="764" spans="1:1" x14ac:dyDescent="0.25">
      <c r="A764" s="29">
        <v>3.0230801160313768E-12</v>
      </c>
    </row>
    <row r="765" spans="1:1" x14ac:dyDescent="0.25">
      <c r="A765" s="29">
        <v>2.8719261102298077E-12</v>
      </c>
    </row>
    <row r="766" spans="1:1" x14ac:dyDescent="0.25">
      <c r="A766" s="29">
        <v>2.7283298047183172E-12</v>
      </c>
    </row>
    <row r="767" spans="1:1" x14ac:dyDescent="0.25">
      <c r="A767" s="29">
        <v>2.5919133144824012E-12</v>
      </c>
    </row>
    <row r="768" spans="1:1" x14ac:dyDescent="0.25">
      <c r="A768" s="29">
        <v>2.4623176487582809E-12</v>
      </c>
    </row>
    <row r="769" spans="1:1" x14ac:dyDescent="0.25">
      <c r="A769" s="29">
        <v>2.339201766320367E-12</v>
      </c>
    </row>
    <row r="770" spans="1:1" x14ac:dyDescent="0.25">
      <c r="A770" s="29">
        <v>2.2222416780043484E-12</v>
      </c>
    </row>
    <row r="771" spans="1:1" x14ac:dyDescent="0.25">
      <c r="A771" s="29">
        <v>2.1111295941041311E-12</v>
      </c>
    </row>
    <row r="772" spans="1:1" x14ac:dyDescent="0.25">
      <c r="A772" s="29">
        <v>2.0055731143989244E-12</v>
      </c>
    </row>
    <row r="773" spans="1:1" x14ac:dyDescent="0.25">
      <c r="A773" s="29">
        <v>1.9052944586789781E-12</v>
      </c>
    </row>
    <row r="774" spans="1:1" x14ac:dyDescent="0.25">
      <c r="A774" s="29">
        <v>1.8100297357450291E-12</v>
      </c>
    </row>
    <row r="775" spans="1:1" x14ac:dyDescent="0.25">
      <c r="A775" s="29">
        <v>1.7195282489577775E-12</v>
      </c>
    </row>
    <row r="776" spans="1:1" x14ac:dyDescent="0.25">
      <c r="A776" s="29">
        <v>1.6335518365098885E-12</v>
      </c>
    </row>
    <row r="777" spans="1:1" x14ac:dyDescent="0.25">
      <c r="A777" s="29">
        <v>1.551874244684394E-12</v>
      </c>
    </row>
    <row r="778" spans="1:1" x14ac:dyDescent="0.25">
      <c r="A778" s="29">
        <v>1.4742805324501742E-12</v>
      </c>
    </row>
    <row r="779" spans="1:1" x14ac:dyDescent="0.25">
      <c r="A779" s="29">
        <v>1.4005665058276655E-12</v>
      </c>
    </row>
    <row r="780" spans="1:1" x14ac:dyDescent="0.25">
      <c r="A780" s="29">
        <v>1.3305381805362821E-12</v>
      </c>
    </row>
    <row r="781" spans="1:1" x14ac:dyDescent="0.25">
      <c r="A781" s="29">
        <v>1.264011271509468E-12</v>
      </c>
    </row>
    <row r="782" spans="1:1" x14ac:dyDescent="0.25">
      <c r="A782" s="29">
        <v>1.2008107079339945E-12</v>
      </c>
    </row>
    <row r="783" spans="1:1" x14ac:dyDescent="0.25">
      <c r="A783" s="29">
        <v>1.1407701725372948E-12</v>
      </c>
    </row>
    <row r="784" spans="1:1" x14ac:dyDescent="0.25">
      <c r="A784" s="29">
        <v>1.08373166391043E-12</v>
      </c>
    </row>
    <row r="785" spans="1:1" x14ac:dyDescent="0.25">
      <c r="A785" s="29">
        <v>1.0295450807149084E-12</v>
      </c>
    </row>
    <row r="786" spans="1:1" x14ac:dyDescent="0.25">
      <c r="A786" s="29">
        <v>9.7806782667916296E-13</v>
      </c>
    </row>
    <row r="787" spans="1:1" x14ac:dyDescent="0.25">
      <c r="A787" s="29">
        <v>9.2916443534520479E-13</v>
      </c>
    </row>
    <row r="788" spans="1:1" x14ac:dyDescent="0.25">
      <c r="A788" s="29">
        <v>8.8270621357794449E-13</v>
      </c>
    </row>
    <row r="789" spans="1:1" x14ac:dyDescent="0.25">
      <c r="A789" s="29">
        <v>8.3857090289904726E-13</v>
      </c>
    </row>
    <row r="790" spans="1:1" x14ac:dyDescent="0.25">
      <c r="A790" s="29">
        <v>7.9664235775409483E-13</v>
      </c>
    </row>
    <row r="791" spans="1:1" x14ac:dyDescent="0.25">
      <c r="A791" s="29">
        <v>7.5681023986639008E-13</v>
      </c>
    </row>
    <row r="792" spans="1:1" x14ac:dyDescent="0.25">
      <c r="A792" s="29">
        <v>7.1896972787307055E-13</v>
      </c>
    </row>
    <row r="793" spans="1:1" x14ac:dyDescent="0.25">
      <c r="A793" s="29">
        <v>6.8302124147941695E-13</v>
      </c>
    </row>
    <row r="794" spans="1:1" x14ac:dyDescent="0.25">
      <c r="A794" s="29">
        <v>6.4887017940544605E-13</v>
      </c>
    </row>
    <row r="795" spans="1:1" x14ac:dyDescent="0.25">
      <c r="A795" s="29">
        <v>6.1642667043517373E-13</v>
      </c>
    </row>
    <row r="796" spans="1:1" x14ac:dyDescent="0.25">
      <c r="A796" s="29">
        <v>5.8560533691341505E-13</v>
      </c>
    </row>
    <row r="797" spans="1:1" x14ac:dyDescent="0.25">
      <c r="A797" s="29">
        <v>5.5632507006774425E-13</v>
      </c>
    </row>
    <row r="798" spans="1:1" x14ac:dyDescent="0.25">
      <c r="A798" s="29">
        <v>5.2850881656435705E-13</v>
      </c>
    </row>
    <row r="799" spans="1:1" x14ac:dyDescent="0.25">
      <c r="A799" s="29">
        <v>5.0208337573613919E-13</v>
      </c>
    </row>
    <row r="800" spans="1:1" x14ac:dyDescent="0.25">
      <c r="A800" s="29">
        <v>4.7697920694933223E-13</v>
      </c>
    </row>
    <row r="801" spans="1:1" x14ac:dyDescent="0.25">
      <c r="A801" s="29">
        <v>4.5313024660186561E-13</v>
      </c>
    </row>
    <row r="802" spans="1:1" x14ac:dyDescent="0.25">
      <c r="A802" s="29">
        <v>4.3047373427177233E-13</v>
      </c>
    </row>
    <row r="803" spans="1:1" x14ac:dyDescent="0.25">
      <c r="A803" s="29">
        <v>4.089500475581837E-13</v>
      </c>
    </row>
    <row r="804" spans="1:1" x14ac:dyDescent="0.25">
      <c r="A804" s="29">
        <v>3.8850254518027451E-13</v>
      </c>
    </row>
    <row r="805" spans="1:1" x14ac:dyDescent="0.25">
      <c r="A805" s="29">
        <v>3.6907741792126075E-13</v>
      </c>
    </row>
    <row r="806" spans="1:1" x14ac:dyDescent="0.25">
      <c r="A806" s="29">
        <v>3.506235470251977E-13</v>
      </c>
    </row>
    <row r="807" spans="1:1" x14ac:dyDescent="0.25">
      <c r="A807" s="29">
        <v>3.3309236967393782E-13</v>
      </c>
    </row>
  </sheetData>
  <conditionalFormatting sqref="C136">
    <cfRule type="cellIs" dxfId="68" priority="1495" operator="equal">
      <formula>$U$1</formula>
    </cfRule>
    <cfRule type="cellIs" dxfId="67" priority="1496" operator="equal">
      <formula>$S$1</formula>
    </cfRule>
  </conditionalFormatting>
  <conditionalFormatting sqref="D136">
    <cfRule type="cellIs" dxfId="66" priority="1493" operator="equal">
      <formula>$S$1</formula>
    </cfRule>
    <cfRule type="cellIs" dxfId="65" priority="1494" operator="equal">
      <formula>$U$1</formula>
    </cfRule>
  </conditionalFormatting>
  <conditionalFormatting sqref="C162">
    <cfRule type="cellIs" dxfId="64" priority="1491" operator="equal">
      <formula>$U$1</formula>
    </cfRule>
    <cfRule type="cellIs" dxfId="63" priority="1492" operator="equal">
      <formula>$S$1</formula>
    </cfRule>
  </conditionalFormatting>
  <conditionalFormatting sqref="D162">
    <cfRule type="cellIs" dxfId="62" priority="1489" operator="equal">
      <formula>$S$1</formula>
    </cfRule>
    <cfRule type="cellIs" dxfId="61" priority="1490" operator="equal">
      <formula>$U$1</formula>
    </cfRule>
  </conditionalFormatting>
  <conditionalFormatting sqref="C187">
    <cfRule type="cellIs" dxfId="60" priority="1487" operator="equal">
      <formula>$U$1</formula>
    </cfRule>
    <cfRule type="cellIs" dxfId="59" priority="1488" operator="equal">
      <formula>$S$1</formula>
    </cfRule>
  </conditionalFormatting>
  <conditionalFormatting sqref="D187">
    <cfRule type="cellIs" dxfId="58" priority="1485" operator="equal">
      <formula>$S$1</formula>
    </cfRule>
    <cfRule type="cellIs" dxfId="57" priority="1486" operator="equal">
      <formula>$U$1</formula>
    </cfRule>
  </conditionalFormatting>
  <conditionalFormatting sqref="C212">
    <cfRule type="cellIs" dxfId="56" priority="1483" operator="equal">
      <formula>$U$1</formula>
    </cfRule>
    <cfRule type="cellIs" dxfId="55" priority="1484" operator="equal">
      <formula>$S$1</formula>
    </cfRule>
  </conditionalFormatting>
  <conditionalFormatting sqref="D212">
    <cfRule type="cellIs" dxfId="54" priority="1481" operator="equal">
      <formula>$S$1</formula>
    </cfRule>
    <cfRule type="cellIs" dxfId="53" priority="1482" operator="equal">
      <formula>$U$1</formula>
    </cfRule>
  </conditionalFormatting>
  <conditionalFormatting sqref="C237">
    <cfRule type="cellIs" dxfId="52" priority="1479" operator="equal">
      <formula>$U$1</formula>
    </cfRule>
    <cfRule type="cellIs" dxfId="51" priority="1480" operator="equal">
      <formula>$S$1</formula>
    </cfRule>
  </conditionalFormatting>
  <conditionalFormatting sqref="D237">
    <cfRule type="cellIs" dxfId="50" priority="1477" operator="equal">
      <formula>$S$1</formula>
    </cfRule>
    <cfRule type="cellIs" dxfId="49" priority="1478" operator="equal">
      <formula>$U$1</formula>
    </cfRule>
  </conditionalFormatting>
  <conditionalFormatting sqref="C106">
    <cfRule type="cellIs" dxfId="48" priority="1475" operator="equal">
      <formula>$U$1</formula>
    </cfRule>
    <cfRule type="cellIs" dxfId="47" priority="1476" operator="equal">
      <formula>$S$1</formula>
    </cfRule>
  </conditionalFormatting>
  <conditionalFormatting sqref="D106">
    <cfRule type="cellIs" dxfId="46" priority="1473" operator="equal">
      <formula>$S$1</formula>
    </cfRule>
    <cfRule type="cellIs" dxfId="45" priority="1474" operator="equal">
      <formula>$U$1</formula>
    </cfRule>
  </conditionalFormatting>
  <conditionalFormatting sqref="C81">
    <cfRule type="cellIs" dxfId="44" priority="1471" operator="equal">
      <formula>$U$1</formula>
    </cfRule>
    <cfRule type="cellIs" dxfId="43" priority="1472" operator="equal">
      <formula>$S$1</formula>
    </cfRule>
  </conditionalFormatting>
  <conditionalFormatting sqref="D81">
    <cfRule type="cellIs" dxfId="42" priority="1469" operator="equal">
      <formula>$S$1</formula>
    </cfRule>
    <cfRule type="cellIs" dxfId="41" priority="1470" operator="equal">
      <formula>$U$1</formula>
    </cfRule>
  </conditionalFormatting>
  <conditionalFormatting sqref="C56">
    <cfRule type="cellIs" dxfId="40" priority="1467" operator="equal">
      <formula>$U$1</formula>
    </cfRule>
    <cfRule type="cellIs" dxfId="39" priority="1468" operator="equal">
      <formula>$S$1</formula>
    </cfRule>
  </conditionalFormatting>
  <conditionalFormatting sqref="D56">
    <cfRule type="cellIs" dxfId="38" priority="1465" operator="equal">
      <formula>$S$1</formula>
    </cfRule>
    <cfRule type="cellIs" dxfId="37" priority="1466" operator="equal">
      <formula>$U$1</formula>
    </cfRule>
  </conditionalFormatting>
  <conditionalFormatting sqref="C31">
    <cfRule type="cellIs" dxfId="36" priority="1463" operator="equal">
      <formula>$U$1</formula>
    </cfRule>
    <cfRule type="cellIs" dxfId="35" priority="1464" operator="equal">
      <formula>$S$1</formula>
    </cfRule>
  </conditionalFormatting>
  <conditionalFormatting sqref="D31">
    <cfRule type="cellIs" dxfId="34" priority="1461" operator="equal">
      <formula>$S$1</formula>
    </cfRule>
    <cfRule type="cellIs" dxfId="33" priority="146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52" zoomScale="90" zoomScaleNormal="90" workbookViewId="0">
      <pane xSplit="4" topLeftCell="G1" activePane="topRight" state="frozen"/>
      <selection activeCell="A109" sqref="A109"/>
      <selection pane="topRight" activeCell="BD179" sqref="BD179"/>
    </sheetView>
  </sheetViews>
  <sheetFormatPr defaultRowHeight="15" x14ac:dyDescent="0.25"/>
  <cols>
    <col min="1" max="1" width="10.7109375" style="29" customWidth="1"/>
    <col min="2" max="4" width="10.7109375" style="1" hidden="1" customWidth="1"/>
    <col min="5" max="5" width="3" style="1" hidden="1" customWidth="1"/>
    <col min="6" max="6" width="3" style="26" hidden="1" customWidth="1"/>
    <col min="7" max="702" width="3" style="26" customWidth="1"/>
  </cols>
  <sheetData>
    <row r="1" spans="1:21" x14ac:dyDescent="0.25">
      <c r="S1" s="26" t="s">
        <v>7</v>
      </c>
      <c r="U1" s="26" t="s">
        <v>8</v>
      </c>
    </row>
    <row r="3" spans="1:21" x14ac:dyDescent="0.25">
      <c r="A3" s="29">
        <v>76619.065138703256</v>
      </c>
    </row>
    <row r="4" spans="1:21" x14ac:dyDescent="0.25">
      <c r="A4" s="29">
        <v>69653.695580639323</v>
      </c>
    </row>
    <row r="5" spans="1:21" x14ac:dyDescent="0.25">
      <c r="A5" s="29">
        <v>63321.541436944834</v>
      </c>
    </row>
    <row r="6" spans="1:21" x14ac:dyDescent="0.25">
      <c r="A6" s="29">
        <v>57565.037669949845</v>
      </c>
    </row>
    <row r="7" spans="1:21" x14ac:dyDescent="0.25">
      <c r="A7" s="29">
        <v>52331.852427227124</v>
      </c>
    </row>
    <row r="8" spans="1:21" x14ac:dyDescent="0.25">
      <c r="A8" s="29">
        <v>47574.411297479201</v>
      </c>
    </row>
    <row r="9" spans="1:21" x14ac:dyDescent="0.25">
      <c r="A9" s="29">
        <v>43249.464815890176</v>
      </c>
    </row>
    <row r="10" spans="1:21" x14ac:dyDescent="0.25">
      <c r="A10" s="29">
        <v>39317.695287172886</v>
      </c>
    </row>
    <row r="11" spans="1:21" x14ac:dyDescent="0.25">
      <c r="A11" s="29">
        <v>35743.359351975349</v>
      </c>
    </row>
    <row r="12" spans="1:21" x14ac:dyDescent="0.25">
      <c r="A12" s="29">
        <v>32493.963047250312</v>
      </c>
    </row>
    <row r="13" spans="1:21" x14ac:dyDescent="0.25">
      <c r="A13" s="29">
        <v>29539.966406591189</v>
      </c>
    </row>
    <row r="14" spans="1:21" x14ac:dyDescent="0.25">
      <c r="A14" s="29">
        <v>26854.514915082898</v>
      </c>
    </row>
    <row r="15" spans="1:21" x14ac:dyDescent="0.25">
      <c r="A15" s="29">
        <v>24413.195377348089</v>
      </c>
    </row>
    <row r="16" spans="1:21" x14ac:dyDescent="0.25">
      <c r="A16" s="29">
        <v>22193.81397940735</v>
      </c>
      <c r="C16" s="1" t="s">
        <v>15</v>
      </c>
    </row>
    <row r="17" spans="1:5" x14ac:dyDescent="0.25">
      <c r="A17" s="29">
        <v>20176.194526733954</v>
      </c>
      <c r="C17" s="7">
        <v>0.11167815779424731</v>
      </c>
      <c r="D17"/>
      <c r="E17"/>
    </row>
    <row r="18" spans="1:5" x14ac:dyDescent="0.25">
      <c r="A18" s="29">
        <v>18341.995024303593</v>
      </c>
      <c r="E18"/>
    </row>
    <row r="19" spans="1:5" x14ac:dyDescent="0.25">
      <c r="A19" s="29">
        <v>16674.540931185082</v>
      </c>
      <c r="C19" s="1" t="s">
        <v>11</v>
      </c>
      <c r="D19" s="1" t="s">
        <v>12</v>
      </c>
      <c r="E19"/>
    </row>
    <row r="20" spans="1:5" x14ac:dyDescent="0.25">
      <c r="A20" s="29">
        <v>15158.673573804617</v>
      </c>
      <c r="C20"/>
      <c r="D20"/>
      <c r="E20"/>
    </row>
    <row r="21" spans="1:5" x14ac:dyDescent="0.25">
      <c r="A21" s="29">
        <v>13780.612339822379</v>
      </c>
      <c r="E21"/>
    </row>
    <row r="22" spans="1:5" x14ac:dyDescent="0.25">
      <c r="A22" s="29">
        <v>12527.829399838525</v>
      </c>
      <c r="C22" s="1" t="s">
        <v>13</v>
      </c>
      <c r="E22"/>
    </row>
    <row r="23" spans="1:5" x14ac:dyDescent="0.25">
      <c r="A23" s="29">
        <v>11388.935818035023</v>
      </c>
      <c r="C23" s="1">
        <f>C12</f>
        <v>0</v>
      </c>
      <c r="E23"/>
    </row>
    <row r="24" spans="1:5" x14ac:dyDescent="0.25">
      <c r="A24" s="29">
        <v>10353.578016395475</v>
      </c>
      <c r="C24"/>
      <c r="D24"/>
      <c r="E24"/>
    </row>
    <row r="25" spans="1:5" x14ac:dyDescent="0.25">
      <c r="A25" s="29">
        <v>9412.343651268613</v>
      </c>
      <c r="C25" s="1" t="s">
        <v>14</v>
      </c>
      <c r="E25"/>
    </row>
    <row r="26" spans="1:5" x14ac:dyDescent="0.25">
      <c r="A26" s="29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29">
        <v>7778.7964060071163</v>
      </c>
      <c r="E27"/>
    </row>
    <row r="28" spans="1:5" x14ac:dyDescent="0.25">
      <c r="A28" s="29">
        <v>7071.6330963701048</v>
      </c>
      <c r="E28"/>
    </row>
    <row r="29" spans="1:5" x14ac:dyDescent="0.25">
      <c r="A29" s="29">
        <v>6428.7573603364581</v>
      </c>
      <c r="E29"/>
    </row>
    <row r="30" spans="1:5" x14ac:dyDescent="0.25">
      <c r="A30" s="29">
        <v>5844.3248730331434</v>
      </c>
      <c r="E30"/>
    </row>
    <row r="31" spans="1:5" x14ac:dyDescent="0.25">
      <c r="A31" s="29">
        <v>5313.0226118483115</v>
      </c>
      <c r="E31"/>
    </row>
    <row r="32" spans="1:5" x14ac:dyDescent="0.25">
      <c r="A32" s="29">
        <v>4830.020556225737</v>
      </c>
      <c r="E32"/>
    </row>
    <row r="33" spans="1:5" x14ac:dyDescent="0.25">
      <c r="A33" s="29">
        <v>4390.927778387033</v>
      </c>
      <c r="E33"/>
    </row>
    <row r="34" spans="1:5" x14ac:dyDescent="0.25">
      <c r="A34" s="29">
        <v>3991.7525258063934</v>
      </c>
      <c r="E34"/>
    </row>
    <row r="35" spans="1:5" x14ac:dyDescent="0.25">
      <c r="A35" s="29">
        <v>3628.8659325512663</v>
      </c>
      <c r="E35"/>
    </row>
    <row r="36" spans="1:5" x14ac:dyDescent="0.25">
      <c r="A36" s="29">
        <v>3298.96902959206</v>
      </c>
      <c r="E36"/>
    </row>
    <row r="37" spans="1:5" x14ac:dyDescent="0.25">
      <c r="A37" s="29">
        <v>2999.0627541745998</v>
      </c>
      <c r="E37"/>
    </row>
    <row r="38" spans="1:5" x14ac:dyDescent="0.25">
      <c r="A38" s="29">
        <v>2726.4206856132723</v>
      </c>
      <c r="E38"/>
    </row>
    <row r="39" spans="1:5" x14ac:dyDescent="0.25">
      <c r="A39" s="29">
        <v>2478.564259648429</v>
      </c>
      <c r="E39"/>
    </row>
    <row r="40" spans="1:5" x14ac:dyDescent="0.25">
      <c r="A40" s="29">
        <v>2253.240236044026</v>
      </c>
      <c r="E40"/>
    </row>
    <row r="41" spans="1:5" x14ac:dyDescent="0.25">
      <c r="A41" s="29">
        <v>2048.4002145854779</v>
      </c>
      <c r="E41"/>
    </row>
    <row r="42" spans="1:5" x14ac:dyDescent="0.25">
      <c r="A42" s="29">
        <v>1862.1820132595253</v>
      </c>
      <c r="C42" s="1" t="s">
        <v>15</v>
      </c>
      <c r="E42"/>
    </row>
    <row r="43" spans="1:5" x14ac:dyDescent="0.25">
      <c r="A43" s="29">
        <v>1692.8927393268411</v>
      </c>
      <c r="C43" s="7">
        <v>0.11167815779424731</v>
      </c>
      <c r="D43"/>
      <c r="E43"/>
    </row>
    <row r="44" spans="1:5" x14ac:dyDescent="0.25">
      <c r="A44" s="29">
        <v>1538.9933993880372</v>
      </c>
      <c r="E44"/>
    </row>
    <row r="45" spans="1:5" x14ac:dyDescent="0.25">
      <c r="A45" s="29">
        <v>1399.0849085345792</v>
      </c>
      <c r="C45" s="1" t="s">
        <v>11</v>
      </c>
      <c r="D45" s="1" t="s">
        <v>12</v>
      </c>
      <c r="E45"/>
    </row>
    <row r="46" spans="1:5" x14ac:dyDescent="0.25">
      <c r="A46" s="29">
        <v>1271.8953713950718</v>
      </c>
      <c r="C46"/>
      <c r="D46"/>
      <c r="E46"/>
    </row>
    <row r="47" spans="1:5" x14ac:dyDescent="0.25">
      <c r="A47" s="29">
        <v>1156.2685194500652</v>
      </c>
      <c r="E47"/>
    </row>
    <row r="48" spans="1:5" x14ac:dyDescent="0.25">
      <c r="A48" s="29">
        <v>1051.1531995000591</v>
      </c>
      <c r="C48" s="1" t="s">
        <v>13</v>
      </c>
      <c r="E48"/>
    </row>
    <row r="49" spans="1:5" x14ac:dyDescent="0.25">
      <c r="A49" s="29">
        <v>955.59381772732638</v>
      </c>
      <c r="C49" s="1">
        <f>C38</f>
        <v>0</v>
      </c>
      <c r="E49"/>
    </row>
    <row r="50" spans="1:5" x14ac:dyDescent="0.25">
      <c r="A50" s="29">
        <v>868.72165247938756</v>
      </c>
      <c r="C50"/>
      <c r="D50"/>
      <c r="E50"/>
    </row>
    <row r="51" spans="1:5" x14ac:dyDescent="0.25">
      <c r="A51" s="29">
        <v>789.74695679944318</v>
      </c>
      <c r="C51" s="1" t="s">
        <v>14</v>
      </c>
      <c r="E51"/>
    </row>
    <row r="52" spans="1:5" x14ac:dyDescent="0.25">
      <c r="A52" s="29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29">
        <v>652.68343537144051</v>
      </c>
      <c r="E53"/>
    </row>
    <row r="54" spans="1:5" x14ac:dyDescent="0.25">
      <c r="A54" s="29">
        <v>593.34857761040041</v>
      </c>
      <c r="E54"/>
    </row>
    <row r="55" spans="1:5" x14ac:dyDescent="0.25">
      <c r="A55" s="29">
        <v>539.40779782763673</v>
      </c>
      <c r="E55"/>
    </row>
    <row r="56" spans="1:5" x14ac:dyDescent="0.25">
      <c r="A56" s="29">
        <v>490.37072529785149</v>
      </c>
      <c r="E56"/>
    </row>
    <row r="57" spans="1:5" x14ac:dyDescent="0.25">
      <c r="A57" s="29">
        <v>445.79156845259223</v>
      </c>
      <c r="E57"/>
    </row>
    <row r="58" spans="1:5" x14ac:dyDescent="0.25">
      <c r="A58" s="29">
        <v>405.26506222962928</v>
      </c>
      <c r="E58"/>
    </row>
    <row r="59" spans="1:5" x14ac:dyDescent="0.25">
      <c r="A59" s="29">
        <v>368.42278384511752</v>
      </c>
      <c r="E59"/>
    </row>
    <row r="60" spans="1:5" x14ac:dyDescent="0.25">
      <c r="A60" s="29">
        <v>334.92980349556137</v>
      </c>
      <c r="E60"/>
    </row>
    <row r="61" spans="1:5" x14ac:dyDescent="0.25">
      <c r="A61" s="29">
        <v>304.48163954141938</v>
      </c>
      <c r="E61"/>
    </row>
    <row r="62" spans="1:5" x14ac:dyDescent="0.25">
      <c r="A62" s="29">
        <v>276.80149049219943</v>
      </c>
      <c r="E62"/>
    </row>
    <row r="63" spans="1:5" x14ac:dyDescent="0.25">
      <c r="A63" s="29">
        <v>251.63771862927217</v>
      </c>
      <c r="E63"/>
    </row>
    <row r="64" spans="1:5" x14ac:dyDescent="0.25">
      <c r="A64" s="29">
        <v>228.76156239024741</v>
      </c>
      <c r="E64"/>
    </row>
    <row r="65" spans="1:5" x14ac:dyDescent="0.25">
      <c r="A65" s="29">
        <v>207.96505671840671</v>
      </c>
      <c r="E65"/>
    </row>
    <row r="66" spans="1:5" x14ac:dyDescent="0.25">
      <c r="A66" s="29">
        <v>189.05914247127882</v>
      </c>
      <c r="E66"/>
    </row>
    <row r="67" spans="1:5" x14ac:dyDescent="0.25">
      <c r="A67" s="29">
        <v>171.87194770116255</v>
      </c>
      <c r="C67" s="1" t="s">
        <v>15</v>
      </c>
      <c r="E67"/>
    </row>
    <row r="68" spans="1:5" x14ac:dyDescent="0.25">
      <c r="A68" s="29">
        <v>156.24722518287504</v>
      </c>
      <c r="C68" s="7">
        <v>0.11167815779424731</v>
      </c>
      <c r="D68"/>
      <c r="E68"/>
    </row>
    <row r="69" spans="1:5" x14ac:dyDescent="0.25">
      <c r="A69" s="29">
        <v>142.04293198443185</v>
      </c>
      <c r="E69"/>
    </row>
    <row r="70" spans="1:5" x14ac:dyDescent="0.25">
      <c r="A70" s="29">
        <v>129.1299381676653</v>
      </c>
      <c r="C70" s="1" t="s">
        <v>11</v>
      </c>
      <c r="D70" s="1" t="s">
        <v>12</v>
      </c>
      <c r="E70"/>
    </row>
    <row r="71" spans="1:5" x14ac:dyDescent="0.25">
      <c r="A71" s="29">
        <v>117.39085287969573</v>
      </c>
      <c r="C71"/>
      <c r="D71"/>
      <c r="E71"/>
    </row>
    <row r="72" spans="1:5" x14ac:dyDescent="0.25">
      <c r="A72" s="29">
        <v>106.71895716335975</v>
      </c>
      <c r="E72"/>
    </row>
    <row r="73" spans="1:5" x14ac:dyDescent="0.25">
      <c r="A73" s="29">
        <v>97.017233784872488</v>
      </c>
      <c r="C73" s="1" t="s">
        <v>13</v>
      </c>
      <c r="E73"/>
    </row>
    <row r="74" spans="1:5" x14ac:dyDescent="0.25">
      <c r="A74" s="29">
        <v>88.197485258974979</v>
      </c>
      <c r="C74" s="1">
        <f>C63</f>
        <v>0</v>
      </c>
      <c r="E74"/>
    </row>
    <row r="75" spans="1:5" x14ac:dyDescent="0.25">
      <c r="A75" s="29">
        <v>80.179532053613613</v>
      </c>
      <c r="C75"/>
      <c r="D75"/>
      <c r="E75"/>
    </row>
    <row r="76" spans="1:5" x14ac:dyDescent="0.25">
      <c r="A76" s="29">
        <v>72.890483685103277</v>
      </c>
      <c r="C76" s="1" t="s">
        <v>14</v>
      </c>
      <c r="E76"/>
    </row>
    <row r="77" spans="1:5" x14ac:dyDescent="0.25">
      <c r="A77" s="29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29">
        <v>60.240069161242367</v>
      </c>
      <c r="E78"/>
    </row>
    <row r="79" spans="1:5" x14ac:dyDescent="0.25">
      <c r="A79" s="29">
        <v>54.763699237493057</v>
      </c>
      <c r="E79"/>
    </row>
    <row r="80" spans="1:5" x14ac:dyDescent="0.25">
      <c r="A80" s="29">
        <v>49.785181124993684</v>
      </c>
      <c r="E80"/>
    </row>
    <row r="81" spans="1:5" x14ac:dyDescent="0.25">
      <c r="A81" s="29">
        <v>45.259255568176073</v>
      </c>
      <c r="E81"/>
    </row>
    <row r="82" spans="1:5" x14ac:dyDescent="0.25">
      <c r="A82" s="29">
        <v>41.144777789250973</v>
      </c>
      <c r="E82"/>
    </row>
    <row r="83" spans="1:5" x14ac:dyDescent="0.25">
      <c r="A83" s="29">
        <v>37.404343444773609</v>
      </c>
      <c r="E83"/>
    </row>
    <row r="84" spans="1:5" x14ac:dyDescent="0.25">
      <c r="A84" s="29">
        <v>34.003948586157826</v>
      </c>
      <c r="E84"/>
    </row>
    <row r="85" spans="1:5" x14ac:dyDescent="0.25">
      <c r="A85" s="29">
        <v>30.912680532870748</v>
      </c>
      <c r="E85"/>
    </row>
    <row r="86" spans="1:5" x14ac:dyDescent="0.25">
      <c r="A86" s="29">
        <v>28.102436848064315</v>
      </c>
      <c r="E86"/>
    </row>
    <row r="87" spans="1:5" x14ac:dyDescent="0.25">
      <c r="A87" s="29">
        <v>25.547669861876649</v>
      </c>
      <c r="E87"/>
    </row>
    <row r="88" spans="1:5" x14ac:dyDescent="0.25">
      <c r="A88" s="29">
        <v>23.225154419887861</v>
      </c>
      <c r="E88"/>
    </row>
    <row r="89" spans="1:5" x14ac:dyDescent="0.25">
      <c r="A89" s="29">
        <v>21.113776745352599</v>
      </c>
      <c r="E89"/>
    </row>
    <row r="90" spans="1:5" x14ac:dyDescent="0.25">
      <c r="A90" s="29">
        <v>19.194342495775089</v>
      </c>
      <c r="E90"/>
    </row>
    <row r="91" spans="1:5" x14ac:dyDescent="0.25">
      <c r="A91" s="29">
        <v>17.449402268886445</v>
      </c>
      <c r="E91"/>
    </row>
    <row r="92" spans="1:5" x14ac:dyDescent="0.25">
      <c r="A92" s="29">
        <v>15.863092971714948</v>
      </c>
      <c r="C92" s="1" t="s">
        <v>15</v>
      </c>
      <c r="E92"/>
    </row>
    <row r="93" spans="1:5" x14ac:dyDescent="0.25">
      <c r="A93" s="29">
        <v>14.420993610649951</v>
      </c>
      <c r="C93" s="7">
        <v>0.11167815779424731</v>
      </c>
      <c r="D93"/>
      <c r="E93"/>
    </row>
    <row r="94" spans="1:5" x14ac:dyDescent="0.25">
      <c r="A94" s="29">
        <v>13.109994191499954</v>
      </c>
      <c r="E94"/>
    </row>
    <row r="95" spans="1:5" x14ac:dyDescent="0.25">
      <c r="A95" s="29">
        <v>11.918176537727231</v>
      </c>
      <c r="C95" s="1" t="s">
        <v>11</v>
      </c>
      <c r="D95" s="1" t="s">
        <v>12</v>
      </c>
      <c r="E95"/>
    </row>
    <row r="96" spans="1:5" x14ac:dyDescent="0.25">
      <c r="A96" s="29">
        <v>10.834705943388391</v>
      </c>
      <c r="C96"/>
      <c r="D96"/>
      <c r="E96"/>
    </row>
    <row r="97" spans="1:5" x14ac:dyDescent="0.25">
      <c r="A97" s="29">
        <v>9.849732675807628</v>
      </c>
      <c r="E97"/>
    </row>
    <row r="98" spans="1:5" x14ac:dyDescent="0.25">
      <c r="A98" s="29">
        <v>8.9543024325523888</v>
      </c>
      <c r="C98" s="1" t="s">
        <v>13</v>
      </c>
      <c r="E98"/>
    </row>
    <row r="99" spans="1:5" x14ac:dyDescent="0.25">
      <c r="A99" s="29">
        <v>8.140274938683989</v>
      </c>
      <c r="C99" s="1">
        <f>C88</f>
        <v>0</v>
      </c>
      <c r="E99"/>
    </row>
    <row r="100" spans="1:5" x14ac:dyDescent="0.25">
      <c r="A100" s="29">
        <v>7.4002499442581717</v>
      </c>
      <c r="C100"/>
      <c r="D100"/>
      <c r="E100"/>
    </row>
    <row r="101" spans="1:5" x14ac:dyDescent="0.25">
      <c r="A101" s="29">
        <v>6.72749994932561</v>
      </c>
      <c r="C101" s="1" t="s">
        <v>14</v>
      </c>
      <c r="E101"/>
    </row>
    <row r="102" spans="1:5" x14ac:dyDescent="0.25">
      <c r="A102" s="29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29">
        <v>5.5599173134922388</v>
      </c>
      <c r="E103"/>
    </row>
    <row r="104" spans="1:5" x14ac:dyDescent="0.25">
      <c r="A104" s="29">
        <v>5.0544702849929442</v>
      </c>
      <c r="E104"/>
    </row>
    <row r="105" spans="1:5" x14ac:dyDescent="0.25">
      <c r="A105" s="29">
        <v>4.594972986357222</v>
      </c>
      <c r="E105"/>
    </row>
    <row r="106" spans="1:5" x14ac:dyDescent="0.25">
      <c r="A106" s="29">
        <v>4.1772481694156562</v>
      </c>
      <c r="E106"/>
    </row>
    <row r="107" spans="1:5" x14ac:dyDescent="0.25">
      <c r="A107" s="29">
        <v>3.7974983358324148</v>
      </c>
      <c r="E107"/>
    </row>
    <row r="108" spans="1:5" x14ac:dyDescent="0.25">
      <c r="A108" s="29">
        <v>3.4522712143931042</v>
      </c>
      <c r="E108"/>
    </row>
    <row r="109" spans="1:5" x14ac:dyDescent="0.25">
      <c r="A109" s="29">
        <v>3.1384283767210035</v>
      </c>
      <c r="E109"/>
    </row>
    <row r="110" spans="1:5" x14ac:dyDescent="0.25">
      <c r="A110" s="29">
        <v>2.8531167061100029</v>
      </c>
      <c r="E110"/>
    </row>
    <row r="111" spans="1:5" x14ac:dyDescent="0.25">
      <c r="A111" s="29">
        <v>2.5937424601000023</v>
      </c>
      <c r="C111" s="1" t="str">
        <f>ADDRESS(C121-1,1,1,1)</f>
        <v>$A$178</v>
      </c>
      <c r="D111" s="1" t="str">
        <f>ADDRESS(C121-1,D121,1,1)</f>
        <v>$BD$178</v>
      </c>
      <c r="E111"/>
    </row>
    <row r="112" spans="1:5" x14ac:dyDescent="0.25">
      <c r="A112" s="29">
        <v>2.3579476910000019</v>
      </c>
      <c r="C112" s="1" t="str">
        <f>ADDRESS(C121,1,1,1)</f>
        <v>$A$179</v>
      </c>
      <c r="D112" s="1" t="str">
        <f>ADDRESS(C121,D121-1,1,1)</f>
        <v>$BC$179</v>
      </c>
      <c r="E112"/>
    </row>
    <row r="113" spans="1:6" x14ac:dyDescent="0.25">
      <c r="A113" s="29">
        <v>2.1435888100000016</v>
      </c>
      <c r="C113" s="1" t="str">
        <f>ADDRESS(C121+1,1,1,1)</f>
        <v>$A$180</v>
      </c>
      <c r="D113" s="1" t="str">
        <f>ADDRESS(C121-1,D121+1,1,1)</f>
        <v>$BE$178</v>
      </c>
    </row>
    <row r="114" spans="1:6" x14ac:dyDescent="0.25">
      <c r="A114" s="29">
        <v>1.9487171000000014</v>
      </c>
      <c r="C114" s="1" t="str">
        <f>ADDRESS(C121,D121,1,1)</f>
        <v>$BD$179</v>
      </c>
      <c r="D114" s="1" t="str">
        <f>ADDRESS(C121+1,D121+1,1,1)</f>
        <v>$BE$180</v>
      </c>
    </row>
    <row r="115" spans="1:6" x14ac:dyDescent="0.25">
      <c r="A115" s="29">
        <v>1.7715610000000011</v>
      </c>
      <c r="C115" s="1" t="str">
        <f>ADDRESS(C121+1,D121,1,1)</f>
        <v>$BD$180</v>
      </c>
    </row>
    <row r="116" spans="1:6" x14ac:dyDescent="0.25">
      <c r="A116" s="29">
        <v>1.6105100000000008</v>
      </c>
      <c r="C116" s="1">
        <f>C117-1</f>
        <v>178</v>
      </c>
    </row>
    <row r="117" spans="1:6" x14ac:dyDescent="0.25">
      <c r="A117" s="29">
        <v>1.4641000000000006</v>
      </c>
      <c r="C117" s="1">
        <f>C121</f>
        <v>179</v>
      </c>
      <c r="D117" s="1">
        <f>D121</f>
        <v>56</v>
      </c>
    </row>
    <row r="118" spans="1:6" x14ac:dyDescent="0.25">
      <c r="A118" s="29">
        <v>1.3310000000000004</v>
      </c>
      <c r="C118" s="1">
        <f>C117+1</f>
        <v>180</v>
      </c>
      <c r="D118" s="1">
        <f>D117+1</f>
        <v>57</v>
      </c>
    </row>
    <row r="119" spans="1:6" x14ac:dyDescent="0.25">
      <c r="A119" s="29">
        <v>1.2100000000000002</v>
      </c>
    </row>
    <row r="120" spans="1:6" x14ac:dyDescent="0.25">
      <c r="A120" s="29">
        <v>1.1000000000000001</v>
      </c>
      <c r="C120" s="1" t="s">
        <v>9</v>
      </c>
    </row>
    <row r="121" spans="1:6" x14ac:dyDescent="0.25">
      <c r="A121" s="29">
        <v>1</v>
      </c>
      <c r="C121" s="18">
        <v>179</v>
      </c>
      <c r="D121" s="19">
        <v>56</v>
      </c>
      <c r="E121" s="18" t="s">
        <v>8</v>
      </c>
    </row>
    <row r="122" spans="1:6" x14ac:dyDescent="0.25">
      <c r="A122" s="29">
        <v>0.90909090909090895</v>
      </c>
      <c r="C122" s="1" t="str">
        <f>INDEX(1:1048576,C117,D117)</f>
        <v>O</v>
      </c>
      <c r="F122" s="26" t="s">
        <v>7</v>
      </c>
    </row>
    <row r="123" spans="1:6" x14ac:dyDescent="0.25">
      <c r="A123" s="29">
        <v>0.82644628099173523</v>
      </c>
      <c r="C123" s="1" t="str">
        <f>"R"&amp;C121</f>
        <v>R179</v>
      </c>
      <c r="D123" s="1" t="str">
        <f>"C"&amp;D121</f>
        <v>C56</v>
      </c>
      <c r="F123" s="26" t="s">
        <v>7</v>
      </c>
    </row>
    <row r="124" spans="1:6" x14ac:dyDescent="0.25">
      <c r="A124" s="29">
        <v>0.75131480090157732</v>
      </c>
      <c r="C124" s="1">
        <f>SUM(C130:D130)</f>
        <v>0</v>
      </c>
      <c r="D124" s="1">
        <f>IF(C124=0,0,1)</f>
        <v>0</v>
      </c>
      <c r="F124" s="26" t="s">
        <v>7</v>
      </c>
    </row>
    <row r="125" spans="1:6" x14ac:dyDescent="0.25">
      <c r="A125" s="29">
        <v>0.68301345536507019</v>
      </c>
      <c r="F125" s="26" t="s">
        <v>7</v>
      </c>
    </row>
    <row r="126" spans="1:6" x14ac:dyDescent="0.25">
      <c r="A126" s="29">
        <v>0.6209213230591546</v>
      </c>
      <c r="C126" s="1" t="s">
        <v>10</v>
      </c>
      <c r="F126" s="26" t="s">
        <v>7</v>
      </c>
    </row>
    <row r="127" spans="1:6" x14ac:dyDescent="0.25">
      <c r="A127" s="29">
        <v>0.56447393005377677</v>
      </c>
      <c r="C127" s="29">
        <v>3.9739670405820838E-3</v>
      </c>
      <c r="D127"/>
      <c r="F127" s="26" t="s">
        <v>7</v>
      </c>
    </row>
    <row r="128" spans="1:6" x14ac:dyDescent="0.25">
      <c r="A128" s="29">
        <v>0.51315811823070612</v>
      </c>
      <c r="F128" s="26" t="s">
        <v>7</v>
      </c>
    </row>
    <row r="129" spans="1:6" x14ac:dyDescent="0.25">
      <c r="A129" s="29">
        <v>0.46650738020973276</v>
      </c>
      <c r="C129" s="1" t="s">
        <v>11</v>
      </c>
      <c r="D129" s="1" t="s">
        <v>12</v>
      </c>
      <c r="E129"/>
      <c r="F129" s="26" t="s">
        <v>7</v>
      </c>
    </row>
    <row r="130" spans="1:6" x14ac:dyDescent="0.25">
      <c r="A130" s="29">
        <v>0.42409761837248428</v>
      </c>
      <c r="C130" s="6"/>
      <c r="D130" s="6"/>
      <c r="E130"/>
      <c r="F130" s="26" t="s">
        <v>7</v>
      </c>
    </row>
    <row r="131" spans="1:6" x14ac:dyDescent="0.25">
      <c r="A131" s="29">
        <v>0.38554328942953109</v>
      </c>
      <c r="E131"/>
      <c r="F131" s="26" t="s">
        <v>7</v>
      </c>
    </row>
    <row r="132" spans="1:6" x14ac:dyDescent="0.25">
      <c r="A132" s="29">
        <v>0.35049389948139187</v>
      </c>
      <c r="C132" s="1" t="s">
        <v>13</v>
      </c>
      <c r="E132"/>
      <c r="F132" s="26" t="s">
        <v>7</v>
      </c>
    </row>
    <row r="133" spans="1:6" x14ac:dyDescent="0.25">
      <c r="A133" s="29">
        <v>0.31863081771035617</v>
      </c>
      <c r="C133" s="1" t="str">
        <f>C122</f>
        <v>O</v>
      </c>
      <c r="E133"/>
      <c r="F133" s="26" t="s">
        <v>7</v>
      </c>
    </row>
    <row r="134" spans="1:6" x14ac:dyDescent="0.25">
      <c r="A134" s="29">
        <v>0.28966437973668741</v>
      </c>
      <c r="C134"/>
      <c r="D134"/>
      <c r="E134"/>
      <c r="F134" s="26" t="s">
        <v>7</v>
      </c>
    </row>
    <row r="135" spans="1:6" x14ac:dyDescent="0.25">
      <c r="A135" s="29">
        <v>0.2633312543060794</v>
      </c>
      <c r="C135" s="1" t="s">
        <v>14</v>
      </c>
      <c r="E135"/>
      <c r="F135" s="26" t="s">
        <v>7</v>
      </c>
    </row>
    <row r="136" spans="1:6" x14ac:dyDescent="0.25">
      <c r="A136" s="29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6" t="s">
        <v>7</v>
      </c>
    </row>
    <row r="137" spans="1:6" x14ac:dyDescent="0.25">
      <c r="A137" s="29">
        <v>0.2176291357901482</v>
      </c>
      <c r="E137"/>
      <c r="F137" s="26" t="s">
        <v>7</v>
      </c>
    </row>
    <row r="138" spans="1:6" x14ac:dyDescent="0.25">
      <c r="A138" s="29">
        <v>0.19784466890013469</v>
      </c>
      <c r="C138" s="1">
        <f>IF(AND(C136="",D136=""),0,IF(AND(C133="X",D136="X"),1,IF(AND(C133="O",C136="O"),2,(IF(AND(C133="X",D136="O"),3,4)))))</f>
        <v>2</v>
      </c>
      <c r="E138"/>
      <c r="F138" s="26" t="s">
        <v>7</v>
      </c>
    </row>
    <row r="139" spans="1:6" x14ac:dyDescent="0.25">
      <c r="A139" s="29">
        <v>0.17985878990921333</v>
      </c>
      <c r="E139"/>
      <c r="F139" s="26" t="s">
        <v>7</v>
      </c>
    </row>
    <row r="140" spans="1:6" x14ac:dyDescent="0.25">
      <c r="A140" s="29">
        <v>0.16350799082655756</v>
      </c>
      <c r="C140" s="1">
        <v>0</v>
      </c>
      <c r="E140"/>
      <c r="F140" s="26" t="s">
        <v>7</v>
      </c>
    </row>
    <row r="141" spans="1:6" x14ac:dyDescent="0.25">
      <c r="A141" s="29">
        <v>0.14864362802414322</v>
      </c>
      <c r="C141" s="1">
        <v>1</v>
      </c>
      <c r="E141"/>
      <c r="F141" s="26" t="s">
        <v>7</v>
      </c>
    </row>
    <row r="142" spans="1:6" x14ac:dyDescent="0.25">
      <c r="A142" s="29">
        <v>0.13513057093103928</v>
      </c>
      <c r="C142" s="1">
        <v>2</v>
      </c>
      <c r="E142"/>
      <c r="F142" s="26" t="s">
        <v>7</v>
      </c>
    </row>
    <row r="143" spans="1:6" x14ac:dyDescent="0.25">
      <c r="A143" s="29">
        <v>0.12284597357367205</v>
      </c>
      <c r="C143" s="1">
        <v>3</v>
      </c>
      <c r="E143"/>
      <c r="F143" s="26" t="s">
        <v>7</v>
      </c>
    </row>
    <row r="144" spans="1:6" x14ac:dyDescent="0.25">
      <c r="A144" s="29">
        <v>0.11167815779424731</v>
      </c>
      <c r="C144" s="1">
        <v>4</v>
      </c>
      <c r="E144"/>
      <c r="F144" s="26" t="s">
        <v>7</v>
      </c>
    </row>
    <row r="145" spans="1:38" x14ac:dyDescent="0.25">
      <c r="A145" s="29">
        <v>0.10152559799477026</v>
      </c>
      <c r="B145"/>
      <c r="C145"/>
      <c r="D145"/>
      <c r="E145"/>
      <c r="F145" s="26" t="s">
        <v>7</v>
      </c>
    </row>
    <row r="146" spans="1:38" x14ac:dyDescent="0.25">
      <c r="A146" s="29">
        <v>9.2295998177063854E-2</v>
      </c>
      <c r="B146"/>
      <c r="C146"/>
      <c r="D146"/>
      <c r="E146"/>
      <c r="F146" s="26" t="s">
        <v>7</v>
      </c>
    </row>
    <row r="147" spans="1:38" x14ac:dyDescent="0.25">
      <c r="A147" s="29">
        <v>8.3905452888239848E-2</v>
      </c>
      <c r="B147"/>
      <c r="C147"/>
      <c r="D147"/>
      <c r="E147"/>
      <c r="F147" s="26" t="s">
        <v>7</v>
      </c>
    </row>
    <row r="148" spans="1:38" x14ac:dyDescent="0.25">
      <c r="A148" s="29">
        <v>7.6277684443854396E-2</v>
      </c>
      <c r="B148"/>
      <c r="C148"/>
      <c r="D148"/>
      <c r="E148"/>
      <c r="F148" s="26" t="s">
        <v>7</v>
      </c>
    </row>
    <row r="149" spans="1:38" x14ac:dyDescent="0.25">
      <c r="A149" s="29">
        <v>6.9343349494413078E-2</v>
      </c>
      <c r="B149"/>
      <c r="C149"/>
      <c r="D149"/>
      <c r="E149"/>
      <c r="F149" s="26" t="s">
        <v>7</v>
      </c>
    </row>
    <row r="150" spans="1:38" x14ac:dyDescent="0.25">
      <c r="A150" s="29">
        <v>6.3039408631284613E-2</v>
      </c>
      <c r="B150"/>
      <c r="C150"/>
      <c r="D150"/>
      <c r="E150"/>
      <c r="F150" s="26" t="s">
        <v>7</v>
      </c>
    </row>
    <row r="151" spans="1:38" x14ac:dyDescent="0.25">
      <c r="A151" s="29">
        <v>5.7308553301167818E-2</v>
      </c>
      <c r="B151"/>
      <c r="C151"/>
      <c r="D151"/>
      <c r="E151"/>
      <c r="F151" s="26" t="s">
        <v>7</v>
      </c>
    </row>
    <row r="152" spans="1:38" x14ac:dyDescent="0.25">
      <c r="A152" s="29">
        <v>5.2098684819243464E-2</v>
      </c>
      <c r="B152"/>
      <c r="C152"/>
      <c r="D152"/>
      <c r="E152"/>
      <c r="F152" s="26" t="s">
        <v>7</v>
      </c>
    </row>
    <row r="153" spans="1:38" x14ac:dyDescent="0.25">
      <c r="A153" s="29">
        <v>4.7362440744766775E-2</v>
      </c>
      <c r="B153"/>
      <c r="C153"/>
      <c r="D153"/>
      <c r="E153"/>
      <c r="F153" s="26" t="s">
        <v>7</v>
      </c>
    </row>
    <row r="154" spans="1:38" x14ac:dyDescent="0.25">
      <c r="A154" s="29">
        <v>4.3056764313424332E-2</v>
      </c>
      <c r="B154"/>
      <c r="C154"/>
      <c r="D154"/>
      <c r="E154"/>
      <c r="F154" s="26" t="s">
        <v>7</v>
      </c>
    </row>
    <row r="155" spans="1:38" x14ac:dyDescent="0.25">
      <c r="A155" s="29">
        <v>3.9142513012203929E-2</v>
      </c>
      <c r="B155"/>
      <c r="C155"/>
      <c r="D155"/>
      <c r="E155"/>
      <c r="F155" s="26" t="s">
        <v>7</v>
      </c>
    </row>
    <row r="156" spans="1:38" x14ac:dyDescent="0.25">
      <c r="A156" s="29">
        <v>3.55841027383672E-2</v>
      </c>
      <c r="B156"/>
      <c r="C156"/>
      <c r="D156"/>
      <c r="E156"/>
      <c r="F156" s="26" t="s">
        <v>7</v>
      </c>
    </row>
    <row r="157" spans="1:38" x14ac:dyDescent="0.25">
      <c r="A157" s="29">
        <v>3.2349184307606541E-2</v>
      </c>
      <c r="B157"/>
      <c r="C157"/>
      <c r="D157"/>
      <c r="E157"/>
      <c r="F157" s="26" t="s">
        <v>7</v>
      </c>
    </row>
    <row r="158" spans="1:38" x14ac:dyDescent="0.25">
      <c r="A158" s="29">
        <v>2.9408349370551395E-2</v>
      </c>
      <c r="B158"/>
      <c r="C158"/>
      <c r="D158"/>
      <c r="E158"/>
      <c r="F158" s="26" t="s">
        <v>7</v>
      </c>
      <c r="AK158" s="26" t="s">
        <v>8</v>
      </c>
    </row>
    <row r="159" spans="1:38" x14ac:dyDescent="0.25">
      <c r="A159" s="29">
        <v>2.6734863064137627E-2</v>
      </c>
      <c r="B159"/>
      <c r="C159"/>
      <c r="D159"/>
      <c r="E159"/>
      <c r="F159" s="26" t="s">
        <v>7</v>
      </c>
      <c r="AK159" s="26" t="s">
        <v>8</v>
      </c>
      <c r="AL159" s="26" t="s">
        <v>7</v>
      </c>
    </row>
    <row r="160" spans="1:38" x14ac:dyDescent="0.25">
      <c r="A160" s="29">
        <v>2.4304420967397839E-2</v>
      </c>
      <c r="B160"/>
      <c r="C160"/>
      <c r="D160"/>
      <c r="E160"/>
      <c r="F160" s="26" t="s">
        <v>7</v>
      </c>
      <c r="AK160" s="26" t="s">
        <v>8</v>
      </c>
      <c r="AL160" s="26" t="s">
        <v>7</v>
      </c>
    </row>
    <row r="161" spans="1:56" x14ac:dyDescent="0.25">
      <c r="A161" s="29">
        <v>2.2094928152179852E-2</v>
      </c>
      <c r="B161"/>
      <c r="C161"/>
      <c r="D161"/>
      <c r="E161"/>
      <c r="F161" s="26" t="s">
        <v>7</v>
      </c>
      <c r="AK161" s="26" t="s">
        <v>8</v>
      </c>
      <c r="AL161" s="26" t="s">
        <v>7</v>
      </c>
    </row>
    <row r="162" spans="1:56" x14ac:dyDescent="0.25">
      <c r="A162" s="29">
        <v>2.0086298320163499E-2</v>
      </c>
      <c r="B162"/>
      <c r="C162"/>
      <c r="D162"/>
      <c r="E162"/>
      <c r="F162" s="26" t="s">
        <v>7</v>
      </c>
      <c r="AK162" s="26" t="s">
        <v>8</v>
      </c>
      <c r="AL162" s="26" t="s">
        <v>7</v>
      </c>
    </row>
    <row r="163" spans="1:56" x14ac:dyDescent="0.25">
      <c r="A163" s="29">
        <v>1.8260271200148632E-2</v>
      </c>
      <c r="B163"/>
      <c r="C163"/>
      <c r="D163"/>
      <c r="E163"/>
      <c r="F163" s="26" t="s">
        <v>7</v>
      </c>
      <c r="AK163" s="26" t="s">
        <v>8</v>
      </c>
      <c r="AL163" s="26" t="s">
        <v>7</v>
      </c>
      <c r="AM163" s="26" t="s">
        <v>8</v>
      </c>
    </row>
    <row r="164" spans="1:56" x14ac:dyDescent="0.25">
      <c r="A164" s="29">
        <v>1.6600246545589663E-2</v>
      </c>
      <c r="B164"/>
      <c r="C164"/>
      <c r="D164"/>
      <c r="E164"/>
      <c r="F164" s="26" t="s">
        <v>7</v>
      </c>
      <c r="AK164" s="26" t="s">
        <v>8</v>
      </c>
      <c r="AL164" s="26" t="s">
        <v>7</v>
      </c>
      <c r="AM164" s="26" t="s">
        <v>8</v>
      </c>
      <c r="AN164" s="26" t="s">
        <v>7</v>
      </c>
      <c r="AQ164" s="26" t="s">
        <v>8</v>
      </c>
      <c r="BA164" s="26" t="s">
        <v>8</v>
      </c>
    </row>
    <row r="165" spans="1:56" x14ac:dyDescent="0.25">
      <c r="A165" s="29">
        <v>1.5091133223263328E-2</v>
      </c>
      <c r="B165"/>
      <c r="C165"/>
      <c r="D165"/>
      <c r="E165"/>
      <c r="F165" s="26" t="s">
        <v>7</v>
      </c>
      <c r="AK165" s="26" t="s">
        <v>8</v>
      </c>
      <c r="AL165" s="26" t="s">
        <v>7</v>
      </c>
      <c r="AM165" s="26" t="s">
        <v>8</v>
      </c>
      <c r="AN165" s="26" t="s">
        <v>7</v>
      </c>
      <c r="AO165" s="26" t="s">
        <v>8</v>
      </c>
      <c r="AQ165" s="26" t="s">
        <v>8</v>
      </c>
      <c r="AR165" s="26" t="s">
        <v>7</v>
      </c>
      <c r="BA165" s="26" t="s">
        <v>8</v>
      </c>
      <c r="BB165" s="26" t="s">
        <v>7</v>
      </c>
    </row>
    <row r="166" spans="1:56" x14ac:dyDescent="0.25">
      <c r="A166" s="29">
        <v>1.3719212021148477E-2</v>
      </c>
      <c r="B166"/>
      <c r="C166"/>
      <c r="D166"/>
      <c r="E166"/>
      <c r="F166" s="26" t="s">
        <v>7</v>
      </c>
      <c r="AK166" s="26" t="s">
        <v>8</v>
      </c>
      <c r="AL166" s="26" t="s">
        <v>7</v>
      </c>
      <c r="AN166" s="26" t="s">
        <v>7</v>
      </c>
      <c r="AO166" s="26" t="s">
        <v>8</v>
      </c>
      <c r="AP166" s="26" t="s">
        <v>7</v>
      </c>
      <c r="AQ166" s="26" t="s">
        <v>8</v>
      </c>
      <c r="AR166" s="26" t="s">
        <v>7</v>
      </c>
      <c r="BA166" s="26" t="s">
        <v>8</v>
      </c>
      <c r="BB166" s="26" t="s">
        <v>7</v>
      </c>
    </row>
    <row r="167" spans="1:56" x14ac:dyDescent="0.25">
      <c r="A167" s="29">
        <v>1.2472010928316795E-2</v>
      </c>
      <c r="B167"/>
      <c r="C167"/>
      <c r="D167"/>
      <c r="E167"/>
      <c r="F167" s="26" t="s">
        <v>7</v>
      </c>
      <c r="AK167" s="26" t="s">
        <v>8</v>
      </c>
      <c r="AN167" s="26" t="s">
        <v>7</v>
      </c>
      <c r="AO167" s="26" t="s">
        <v>8</v>
      </c>
      <c r="AP167" s="26" t="s">
        <v>7</v>
      </c>
      <c r="AQ167" s="26" t="s">
        <v>8</v>
      </c>
      <c r="AR167" s="26" t="s">
        <v>7</v>
      </c>
      <c r="AY167" s="26" t="s">
        <v>8</v>
      </c>
      <c r="BA167" s="26" t="s">
        <v>8</v>
      </c>
      <c r="BB167" s="26" t="s">
        <v>7</v>
      </c>
    </row>
    <row r="168" spans="1:56" x14ac:dyDescent="0.25">
      <c r="A168" s="29">
        <v>1.1338191753015267E-2</v>
      </c>
      <c r="B168"/>
      <c r="C168"/>
      <c r="D168"/>
      <c r="E168"/>
      <c r="F168" s="26" t="s">
        <v>7</v>
      </c>
      <c r="AK168" s="26" t="s">
        <v>8</v>
      </c>
      <c r="AN168" s="26" t="s">
        <v>7</v>
      </c>
      <c r="AO168" s="26" t="s">
        <v>8</v>
      </c>
      <c r="AP168" s="26" t="s">
        <v>7</v>
      </c>
      <c r="AR168" s="26" t="s">
        <v>7</v>
      </c>
      <c r="AU168" s="26" t="s">
        <v>8</v>
      </c>
      <c r="AY168" s="26" t="s">
        <v>8</v>
      </c>
      <c r="AZ168" s="26" t="s">
        <v>7</v>
      </c>
      <c r="BA168" s="26" t="s">
        <v>8</v>
      </c>
      <c r="BB168" s="26" t="s">
        <v>7</v>
      </c>
    </row>
    <row r="169" spans="1:56" x14ac:dyDescent="0.25">
      <c r="A169" s="29">
        <v>1.0307447048195697E-2</v>
      </c>
      <c r="B169"/>
      <c r="C169"/>
      <c r="D169"/>
      <c r="E169"/>
      <c r="F169" s="26" t="s">
        <v>7</v>
      </c>
      <c r="AK169" s="26" t="s">
        <v>8</v>
      </c>
      <c r="AN169" s="26" t="s">
        <v>7</v>
      </c>
      <c r="AO169" s="26" t="s">
        <v>8</v>
      </c>
      <c r="AR169" s="26" t="s">
        <v>7</v>
      </c>
      <c r="AU169" s="26" t="s">
        <v>8</v>
      </c>
      <c r="AV169" s="26" t="s">
        <v>7</v>
      </c>
      <c r="AY169" s="26" t="s">
        <v>8</v>
      </c>
      <c r="AZ169" s="26" t="s">
        <v>7</v>
      </c>
      <c r="BA169" s="26" t="s">
        <v>8</v>
      </c>
      <c r="BB169" s="26" t="s">
        <v>7</v>
      </c>
      <c r="BC169" s="26" t="s">
        <v>8</v>
      </c>
    </row>
    <row r="170" spans="1:56" x14ac:dyDescent="0.25">
      <c r="A170" s="29">
        <v>9.3704064074506318E-3</v>
      </c>
      <c r="B170"/>
      <c r="C170"/>
      <c r="D170"/>
      <c r="E170"/>
      <c r="F170" s="26" t="s">
        <v>7</v>
      </c>
      <c r="AI170" s="26" t="s">
        <v>8</v>
      </c>
      <c r="AK170" s="26" t="s">
        <v>8</v>
      </c>
      <c r="AN170" s="26" t="s">
        <v>7</v>
      </c>
      <c r="AR170" s="26" t="s">
        <v>7</v>
      </c>
      <c r="AS170" s="26" t="s">
        <v>8</v>
      </c>
      <c r="AU170" s="26" t="s">
        <v>8</v>
      </c>
      <c r="AV170" s="26" t="s">
        <v>7</v>
      </c>
      <c r="AY170" s="26" t="s">
        <v>8</v>
      </c>
      <c r="AZ170" s="26" t="s">
        <v>7</v>
      </c>
      <c r="BA170" s="26" t="s">
        <v>8</v>
      </c>
      <c r="BB170" s="26" t="s">
        <v>7</v>
      </c>
      <c r="BC170" s="26" t="s">
        <v>8</v>
      </c>
      <c r="BD170" s="26" t="s">
        <v>7</v>
      </c>
    </row>
    <row r="171" spans="1:56" x14ac:dyDescent="0.25">
      <c r="A171" s="29">
        <v>8.5185512795005747E-3</v>
      </c>
      <c r="F171" s="26" t="s">
        <v>7</v>
      </c>
      <c r="AI171" s="26" t="s">
        <v>8</v>
      </c>
      <c r="AJ171" s="26" t="s">
        <v>7</v>
      </c>
      <c r="AK171" s="26" t="s">
        <v>8</v>
      </c>
      <c r="AR171" s="26" t="s">
        <v>7</v>
      </c>
      <c r="AS171" s="26" t="s">
        <v>8</v>
      </c>
      <c r="AT171" s="26" t="s">
        <v>7</v>
      </c>
      <c r="AU171" s="26" t="s">
        <v>8</v>
      </c>
      <c r="AV171" s="26" t="s">
        <v>7</v>
      </c>
      <c r="AY171" s="26" t="s">
        <v>8</v>
      </c>
      <c r="AZ171" s="26" t="s">
        <v>7</v>
      </c>
      <c r="BA171" s="26" t="s">
        <v>8</v>
      </c>
      <c r="BB171" s="26" t="s">
        <v>7</v>
      </c>
      <c r="BC171" s="26" t="s">
        <v>8</v>
      </c>
      <c r="BD171" s="26" t="s">
        <v>7</v>
      </c>
    </row>
    <row r="172" spans="1:56" x14ac:dyDescent="0.25">
      <c r="A172" s="29">
        <v>7.744137526818704E-3</v>
      </c>
      <c r="F172" s="26" t="s">
        <v>7</v>
      </c>
      <c r="AI172" s="26" t="s">
        <v>8</v>
      </c>
      <c r="AJ172" s="26" t="s">
        <v>7</v>
      </c>
      <c r="AK172" s="26" t="s">
        <v>8</v>
      </c>
      <c r="AR172" s="26" t="s">
        <v>7</v>
      </c>
      <c r="AS172" s="26" t="s">
        <v>8</v>
      </c>
      <c r="AT172" s="26" t="s">
        <v>7</v>
      </c>
      <c r="AU172" s="26" t="s">
        <v>8</v>
      </c>
      <c r="AV172" s="26" t="s">
        <v>7</v>
      </c>
      <c r="AY172" s="26" t="s">
        <v>8</v>
      </c>
      <c r="AZ172" s="26" t="s">
        <v>7</v>
      </c>
      <c r="BB172" s="26" t="s">
        <v>7</v>
      </c>
      <c r="BC172" s="26" t="s">
        <v>8</v>
      </c>
      <c r="BD172" s="26" t="s">
        <v>7</v>
      </c>
    </row>
    <row r="173" spans="1:56" x14ac:dyDescent="0.25">
      <c r="A173" s="29">
        <v>7.0401250243806394E-3</v>
      </c>
      <c r="F173" s="26" t="s">
        <v>7</v>
      </c>
      <c r="AI173" s="26" t="s">
        <v>8</v>
      </c>
      <c r="AJ173" s="26" t="s">
        <v>7</v>
      </c>
      <c r="AK173" s="26" t="s">
        <v>8</v>
      </c>
      <c r="AR173" s="26" t="s">
        <v>7</v>
      </c>
      <c r="AS173" s="26" t="s">
        <v>8</v>
      </c>
      <c r="AT173" s="26" t="s">
        <v>7</v>
      </c>
      <c r="AU173" s="26" t="s">
        <v>8</v>
      </c>
      <c r="AV173" s="26" t="s">
        <v>7</v>
      </c>
      <c r="AY173" s="26" t="s">
        <v>8</v>
      </c>
      <c r="BB173" s="26" t="s">
        <v>7</v>
      </c>
      <c r="BC173" s="26" t="s">
        <v>8</v>
      </c>
      <c r="BD173" s="26" t="s">
        <v>7</v>
      </c>
    </row>
    <row r="174" spans="1:56" x14ac:dyDescent="0.25">
      <c r="A174" s="29">
        <v>6.4001136585278536E-3</v>
      </c>
      <c r="F174" s="26" t="s">
        <v>7</v>
      </c>
      <c r="AI174" s="26" t="s">
        <v>8</v>
      </c>
      <c r="AJ174" s="26" t="s">
        <v>7</v>
      </c>
      <c r="AK174" s="26" t="s">
        <v>8</v>
      </c>
      <c r="AR174" s="26" t="s">
        <v>7</v>
      </c>
      <c r="AS174" s="26" t="s">
        <v>8</v>
      </c>
      <c r="AT174" s="26" t="s">
        <v>7</v>
      </c>
      <c r="AU174" s="26" t="s">
        <v>8</v>
      </c>
      <c r="AV174" s="26" t="s">
        <v>7</v>
      </c>
      <c r="AW174" s="26" t="s">
        <v>8</v>
      </c>
      <c r="AY174" s="26" t="s">
        <v>8</v>
      </c>
      <c r="BB174" s="26" t="s">
        <v>7</v>
      </c>
      <c r="BC174" s="26" t="s">
        <v>8</v>
      </c>
      <c r="BD174" s="26" t="s">
        <v>7</v>
      </c>
    </row>
    <row r="175" spans="1:56" x14ac:dyDescent="0.25">
      <c r="A175" s="29">
        <v>5.8182851441162305E-3</v>
      </c>
      <c r="F175" s="26" t="s">
        <v>7</v>
      </c>
      <c r="AI175" s="26" t="s">
        <v>8</v>
      </c>
      <c r="AJ175" s="26" t="s">
        <v>7</v>
      </c>
      <c r="AR175" s="26" t="s">
        <v>7</v>
      </c>
      <c r="AS175" s="26" t="s">
        <v>8</v>
      </c>
      <c r="AT175" s="26" t="s">
        <v>7</v>
      </c>
      <c r="AU175" s="26" t="s">
        <v>8</v>
      </c>
      <c r="AV175" s="26" t="s">
        <v>7</v>
      </c>
      <c r="AW175" s="26" t="s">
        <v>8</v>
      </c>
      <c r="AX175" s="26" t="s">
        <v>7</v>
      </c>
      <c r="AY175" s="26" t="s">
        <v>8</v>
      </c>
      <c r="BB175" s="26" t="s">
        <v>7</v>
      </c>
      <c r="BC175" s="26" t="s">
        <v>8</v>
      </c>
      <c r="BD175" s="26" t="s">
        <v>7</v>
      </c>
    </row>
    <row r="176" spans="1:56" x14ac:dyDescent="0.25">
      <c r="A176" s="29">
        <v>5.2893501310147546E-3</v>
      </c>
      <c r="F176" s="26" t="s">
        <v>7</v>
      </c>
      <c r="AI176" s="26" t="s">
        <v>8</v>
      </c>
      <c r="AR176" s="26" t="s">
        <v>7</v>
      </c>
      <c r="AS176" s="26" t="s">
        <v>8</v>
      </c>
      <c r="AT176" s="26" t="s">
        <v>7</v>
      </c>
      <c r="AV176" s="30" t="s">
        <v>7</v>
      </c>
      <c r="AW176" s="26" t="s">
        <v>8</v>
      </c>
      <c r="AX176" s="26" t="s">
        <v>7</v>
      </c>
      <c r="AY176" s="26" t="s">
        <v>8</v>
      </c>
      <c r="AZ176" s="30"/>
      <c r="BB176" s="26" t="s">
        <v>7</v>
      </c>
      <c r="BC176" s="26" t="s">
        <v>8</v>
      </c>
      <c r="BD176" s="26" t="s">
        <v>7</v>
      </c>
    </row>
    <row r="177" spans="1:56" x14ac:dyDescent="0.25">
      <c r="A177" s="29">
        <v>4.8085001191043222E-3</v>
      </c>
      <c r="F177" s="26" t="s">
        <v>7</v>
      </c>
      <c r="AI177" s="26" t="s">
        <v>8</v>
      </c>
      <c r="AR177" s="26" t="s">
        <v>7</v>
      </c>
      <c r="AU177" s="30"/>
      <c r="AV177" s="26" t="s">
        <v>7</v>
      </c>
      <c r="AX177" s="18" t="s">
        <v>7</v>
      </c>
      <c r="AY177" s="30" t="s">
        <v>8</v>
      </c>
      <c r="BB177" s="26" t="s">
        <v>7</v>
      </c>
      <c r="BC177" s="26" t="s">
        <v>8</v>
      </c>
      <c r="BD177" s="26" t="s">
        <v>7</v>
      </c>
    </row>
    <row r="178" spans="1:56" x14ac:dyDescent="0.25">
      <c r="A178" s="29">
        <v>4.3713637446402926E-3</v>
      </c>
      <c r="F178" s="26" t="s">
        <v>7</v>
      </c>
      <c r="AI178" s="26" t="s">
        <v>8</v>
      </c>
      <c r="AT178" s="30"/>
      <c r="AX178" s="30" t="s">
        <v>7</v>
      </c>
      <c r="BB178" s="26" t="s">
        <v>7</v>
      </c>
      <c r="BC178" s="26" t="s">
        <v>8</v>
      </c>
      <c r="BD178" s="26" t="s">
        <v>7</v>
      </c>
    </row>
    <row r="179" spans="1:56" x14ac:dyDescent="0.25">
      <c r="A179" s="29">
        <v>3.9739670405820838E-3</v>
      </c>
      <c r="F179" s="26" t="s">
        <v>7</v>
      </c>
      <c r="AE179" s="26" t="s">
        <v>8</v>
      </c>
      <c r="AI179" s="26" t="s">
        <v>8</v>
      </c>
      <c r="AS179" s="30"/>
      <c r="BB179" s="26" t="s">
        <v>7</v>
      </c>
      <c r="BC179" s="26" t="s">
        <v>8</v>
      </c>
      <c r="BD179" s="26" t="s">
        <v>7</v>
      </c>
    </row>
    <row r="180" spans="1:56" x14ac:dyDescent="0.25">
      <c r="A180" s="29">
        <v>3.6126973096200759E-3</v>
      </c>
      <c r="F180" s="26" t="s">
        <v>7</v>
      </c>
      <c r="AE180" s="26" t="s">
        <v>8</v>
      </c>
      <c r="AF180" s="26" t="s">
        <v>7</v>
      </c>
      <c r="AG180" s="26" t="s">
        <v>8</v>
      </c>
      <c r="AI180" s="26" t="s">
        <v>8</v>
      </c>
      <c r="AR180" s="30"/>
      <c r="BB180" s="26" t="s">
        <v>7</v>
      </c>
      <c r="BC180" s="26" t="s">
        <v>8</v>
      </c>
    </row>
    <row r="181" spans="1:56" x14ac:dyDescent="0.25">
      <c r="A181" s="29">
        <v>3.2842702814727962E-3</v>
      </c>
      <c r="F181" s="26" t="s">
        <v>7</v>
      </c>
      <c r="AE181" s="26" t="s">
        <v>8</v>
      </c>
      <c r="AF181" s="26" t="s">
        <v>7</v>
      </c>
      <c r="AG181" s="26" t="s">
        <v>8</v>
      </c>
      <c r="AH181" s="26" t="s">
        <v>7</v>
      </c>
      <c r="AI181" s="26" t="s">
        <v>8</v>
      </c>
      <c r="AQ181" s="30"/>
      <c r="BB181" s="26" t="s">
        <v>7</v>
      </c>
      <c r="BC181" s="26" t="s">
        <v>8</v>
      </c>
    </row>
    <row r="182" spans="1:56" x14ac:dyDescent="0.25">
      <c r="A182" s="29">
        <v>2.9857002558843601E-3</v>
      </c>
      <c r="F182" s="26" t="s">
        <v>7</v>
      </c>
      <c r="AE182" s="26" t="s">
        <v>8</v>
      </c>
      <c r="AF182" s="26" t="s">
        <v>7</v>
      </c>
      <c r="AG182" s="26" t="s">
        <v>8</v>
      </c>
      <c r="AH182" s="26" t="s">
        <v>7</v>
      </c>
      <c r="AI182" s="26" t="s">
        <v>8</v>
      </c>
      <c r="AP182" s="30"/>
      <c r="BB182" s="26" t="s">
        <v>7</v>
      </c>
      <c r="BC182" s="26" t="s">
        <v>8</v>
      </c>
    </row>
    <row r="183" spans="1:56" x14ac:dyDescent="0.25">
      <c r="A183" s="29">
        <v>2.7142729598948726E-3</v>
      </c>
      <c r="F183" s="26" t="s">
        <v>7</v>
      </c>
      <c r="AE183" s="26" t="s">
        <v>8</v>
      </c>
      <c r="AF183" s="26" t="s">
        <v>7</v>
      </c>
      <c r="AG183" s="26" t="s">
        <v>8</v>
      </c>
      <c r="AH183" s="26" t="s">
        <v>7</v>
      </c>
      <c r="AI183" s="26" t="s">
        <v>8</v>
      </c>
      <c r="AO183" s="30"/>
      <c r="BB183" s="26" t="s">
        <v>7</v>
      </c>
    </row>
    <row r="184" spans="1:56" x14ac:dyDescent="0.25">
      <c r="A184" s="29">
        <v>2.4675208726317021E-3</v>
      </c>
      <c r="F184" s="26" t="s">
        <v>7</v>
      </c>
      <c r="K184" s="26" t="s">
        <v>8</v>
      </c>
      <c r="AE184" s="26" t="s">
        <v>8</v>
      </c>
      <c r="AF184" s="26" t="s">
        <v>7</v>
      </c>
      <c r="AG184" s="26" t="s">
        <v>8</v>
      </c>
      <c r="AH184" s="26" t="s">
        <v>7</v>
      </c>
      <c r="AI184" s="26" t="s">
        <v>8</v>
      </c>
      <c r="AN184" s="30"/>
    </row>
    <row r="185" spans="1:56" x14ac:dyDescent="0.25">
      <c r="A185" s="29">
        <v>2.2432007933015472E-3</v>
      </c>
      <c r="F185" s="26" t="s">
        <v>7</v>
      </c>
      <c r="I185" s="26" t="s">
        <v>8</v>
      </c>
      <c r="K185" s="26" t="s">
        <v>8</v>
      </c>
      <c r="L185" s="26" t="s">
        <v>7</v>
      </c>
      <c r="AE185" s="26" t="s">
        <v>8</v>
      </c>
      <c r="AF185" s="26" t="s">
        <v>7</v>
      </c>
      <c r="AH185" s="26" t="s">
        <v>7</v>
      </c>
      <c r="AM185" s="30"/>
    </row>
    <row r="186" spans="1:56" x14ac:dyDescent="0.25">
      <c r="A186" s="29">
        <v>2.0392734484559519E-3</v>
      </c>
      <c r="F186" s="26" t="s">
        <v>7</v>
      </c>
      <c r="I186" s="26" t="s">
        <v>8</v>
      </c>
      <c r="J186" s="26" t="s">
        <v>7</v>
      </c>
      <c r="K186" s="26" t="s">
        <v>8</v>
      </c>
      <c r="L186" s="26" t="s">
        <v>7</v>
      </c>
      <c r="AE186" s="26" t="s">
        <v>8</v>
      </c>
      <c r="AL186" s="30"/>
    </row>
    <row r="187" spans="1:56" x14ac:dyDescent="0.25">
      <c r="A187" s="29">
        <v>1.8538849531417744E-3</v>
      </c>
      <c r="F187" s="26" t="s">
        <v>7</v>
      </c>
      <c r="I187" s="26" t="s">
        <v>8</v>
      </c>
      <c r="J187" s="26" t="s">
        <v>7</v>
      </c>
      <c r="K187" s="26" t="s">
        <v>8</v>
      </c>
      <c r="L187" s="26" t="s">
        <v>7</v>
      </c>
      <c r="AE187" s="26" t="s">
        <v>8</v>
      </c>
      <c r="AK187" s="30"/>
    </row>
    <row r="188" spans="1:56" x14ac:dyDescent="0.25">
      <c r="A188" s="29">
        <v>1.6853499574016129E-3</v>
      </c>
      <c r="F188" s="26" t="s">
        <v>7</v>
      </c>
      <c r="I188" s="26" t="s">
        <v>8</v>
      </c>
      <c r="J188" s="26" t="s">
        <v>7</v>
      </c>
      <c r="L188" s="26" t="s">
        <v>7</v>
      </c>
      <c r="AE188" s="26" t="s">
        <v>8</v>
      </c>
      <c r="AJ188" s="30"/>
    </row>
    <row r="189" spans="1:56" x14ac:dyDescent="0.25">
      <c r="A189" s="29">
        <v>1.5321363249105571E-3</v>
      </c>
      <c r="F189" s="26" t="s">
        <v>7</v>
      </c>
      <c r="G189" s="26" t="s">
        <v>8</v>
      </c>
      <c r="I189" s="26" t="s">
        <v>8</v>
      </c>
      <c r="L189" s="26" t="s">
        <v>7</v>
      </c>
      <c r="AC189" s="26" t="s">
        <v>8</v>
      </c>
      <c r="AE189" s="26" t="s">
        <v>8</v>
      </c>
      <c r="AI189" s="30"/>
    </row>
    <row r="190" spans="1:56" x14ac:dyDescent="0.25">
      <c r="A190" s="29">
        <v>1.3928512044641427E-3</v>
      </c>
      <c r="F190" s="26" t="s">
        <v>7</v>
      </c>
      <c r="G190" s="26" t="s">
        <v>8</v>
      </c>
      <c r="H190" s="26" t="s">
        <v>7</v>
      </c>
      <c r="I190" s="26" t="s">
        <v>8</v>
      </c>
      <c r="L190" s="26" t="s">
        <v>7</v>
      </c>
      <c r="AA190" s="26" t="s">
        <v>8</v>
      </c>
      <c r="AC190" s="26" t="s">
        <v>8</v>
      </c>
      <c r="AD190" s="26" t="s">
        <v>7</v>
      </c>
      <c r="AE190" s="26" t="s">
        <v>8</v>
      </c>
      <c r="AH190" s="30"/>
    </row>
    <row r="191" spans="1:56" x14ac:dyDescent="0.25">
      <c r="A191" s="29">
        <v>1.2662283676946752E-3</v>
      </c>
      <c r="F191" s="26" t="s">
        <v>7</v>
      </c>
      <c r="G191" s="26" t="s">
        <v>8</v>
      </c>
      <c r="H191" s="26" t="s">
        <v>7</v>
      </c>
      <c r="I191" s="26" t="s">
        <v>8</v>
      </c>
      <c r="L191" s="26" t="s">
        <v>7</v>
      </c>
      <c r="AA191" s="26" t="s">
        <v>8</v>
      </c>
      <c r="AB191" s="26" t="s">
        <v>7</v>
      </c>
      <c r="AC191" s="26" t="s">
        <v>8</v>
      </c>
      <c r="AD191" s="26" t="s">
        <v>7</v>
      </c>
      <c r="AE191" s="26" t="s">
        <v>8</v>
      </c>
      <c r="AG191" s="30"/>
    </row>
    <row r="192" spans="1:56" x14ac:dyDescent="0.25">
      <c r="A192" s="29">
        <v>1.15111669790425E-3</v>
      </c>
      <c r="F192" s="26" t="s">
        <v>7</v>
      </c>
      <c r="G192" s="26" t="s">
        <v>8</v>
      </c>
      <c r="H192" s="26" t="s">
        <v>7</v>
      </c>
      <c r="L192" s="26" t="s">
        <v>7</v>
      </c>
      <c r="AA192" s="26" t="s">
        <v>8</v>
      </c>
      <c r="AB192" s="26" t="s">
        <v>7</v>
      </c>
      <c r="AC192" s="26" t="s">
        <v>8</v>
      </c>
      <c r="AD192" s="26" t="s">
        <v>7</v>
      </c>
      <c r="AF192" s="30"/>
    </row>
    <row r="193" spans="1:31" x14ac:dyDescent="0.25">
      <c r="A193" s="29">
        <v>1.0464697253675E-3</v>
      </c>
      <c r="F193" s="26" t="s">
        <v>7</v>
      </c>
      <c r="L193" s="26" t="s">
        <v>7</v>
      </c>
      <c r="M193" s="26" t="s">
        <v>8</v>
      </c>
      <c r="Y193" s="26" t="s">
        <v>8</v>
      </c>
      <c r="AA193" s="26" t="s">
        <v>8</v>
      </c>
      <c r="AB193" s="26" t="s">
        <v>7</v>
      </c>
      <c r="AE193" s="30"/>
    </row>
    <row r="194" spans="1:31" x14ac:dyDescent="0.25">
      <c r="A194" s="29">
        <v>9.5133611397045449E-4</v>
      </c>
      <c r="L194" s="26" t="s">
        <v>7</v>
      </c>
      <c r="M194" s="26" t="s">
        <v>8</v>
      </c>
      <c r="N194" s="26" t="s">
        <v>7</v>
      </c>
      <c r="W194" s="26" t="s">
        <v>8</v>
      </c>
      <c r="Y194" s="26" t="s">
        <v>8</v>
      </c>
      <c r="Z194" s="26" t="s">
        <v>7</v>
      </c>
      <c r="AA194" s="26" t="s">
        <v>8</v>
      </c>
      <c r="AD194" s="30"/>
    </row>
    <row r="195" spans="1:31" x14ac:dyDescent="0.25">
      <c r="A195" s="29">
        <v>8.6485101270041313E-4</v>
      </c>
      <c r="L195" s="26" t="s">
        <v>7</v>
      </c>
      <c r="M195" s="26" t="s">
        <v>8</v>
      </c>
      <c r="N195" s="26" t="s">
        <v>7</v>
      </c>
      <c r="O195" s="26" t="s">
        <v>8</v>
      </c>
      <c r="S195" s="26" t="s">
        <v>8</v>
      </c>
      <c r="W195" s="26" t="s">
        <v>8</v>
      </c>
      <c r="X195" s="26" t="s">
        <v>7</v>
      </c>
      <c r="Y195" s="26" t="s">
        <v>8</v>
      </c>
      <c r="Z195" s="26" t="s">
        <v>7</v>
      </c>
      <c r="AA195" s="26" t="s">
        <v>8</v>
      </c>
      <c r="AC195" s="30"/>
    </row>
    <row r="196" spans="1:31" x14ac:dyDescent="0.25">
      <c r="A196" s="29">
        <v>7.862281933640119E-4</v>
      </c>
      <c r="L196" s="26" t="s">
        <v>7</v>
      </c>
      <c r="M196" s="26" t="s">
        <v>8</v>
      </c>
      <c r="N196" s="26" t="s">
        <v>7</v>
      </c>
      <c r="O196" s="26" t="s">
        <v>8</v>
      </c>
      <c r="P196" s="26" t="s">
        <v>7</v>
      </c>
      <c r="S196" s="26" t="s">
        <v>8</v>
      </c>
      <c r="T196" s="26" t="s">
        <v>7</v>
      </c>
      <c r="W196" s="26" t="s">
        <v>8</v>
      </c>
      <c r="X196" s="26" t="s">
        <v>7</v>
      </c>
      <c r="Y196" s="26" t="s">
        <v>8</v>
      </c>
      <c r="Z196" s="26" t="s">
        <v>7</v>
      </c>
      <c r="AA196" s="26" t="s">
        <v>8</v>
      </c>
      <c r="AB196" s="30"/>
    </row>
    <row r="197" spans="1:31" x14ac:dyDescent="0.25">
      <c r="A197" s="29">
        <v>7.0760537402761068E-4</v>
      </c>
      <c r="L197" s="26" t="s">
        <v>7</v>
      </c>
      <c r="M197" s="26" t="s">
        <v>8</v>
      </c>
      <c r="N197" s="26" t="s">
        <v>7</v>
      </c>
      <c r="O197" s="26" t="s">
        <v>8</v>
      </c>
      <c r="P197" s="26" t="s">
        <v>7</v>
      </c>
      <c r="S197" s="26" t="s">
        <v>8</v>
      </c>
      <c r="T197" s="26" t="s">
        <v>7</v>
      </c>
      <c r="W197" s="26" t="s">
        <v>8</v>
      </c>
      <c r="X197" s="26" t="s">
        <v>7</v>
      </c>
      <c r="Z197" s="26" t="s">
        <v>7</v>
      </c>
      <c r="AA197" s="30" t="s">
        <v>8</v>
      </c>
    </row>
    <row r="198" spans="1:31" x14ac:dyDescent="0.25">
      <c r="A198" s="29">
        <v>6.368448366248496E-4</v>
      </c>
      <c r="L198" s="26" t="s">
        <v>7</v>
      </c>
      <c r="M198" s="26" t="s">
        <v>8</v>
      </c>
      <c r="N198" s="26" t="s">
        <v>7</v>
      </c>
      <c r="O198" s="26" t="s">
        <v>8</v>
      </c>
      <c r="P198" s="26" t="s">
        <v>7</v>
      </c>
      <c r="S198" s="26" t="s">
        <v>8</v>
      </c>
      <c r="T198" s="26" t="s">
        <v>7</v>
      </c>
      <c r="U198" s="26" t="s">
        <v>8</v>
      </c>
      <c r="W198" s="26" t="s">
        <v>8</v>
      </c>
      <c r="Z198" s="30" t="s">
        <v>7</v>
      </c>
    </row>
    <row r="199" spans="1:31" x14ac:dyDescent="0.25">
      <c r="A199" s="29">
        <v>5.7316035296236471E-4</v>
      </c>
      <c r="L199" s="26" t="s">
        <v>7</v>
      </c>
      <c r="N199" s="26" t="s">
        <v>7</v>
      </c>
      <c r="P199" s="26" t="s">
        <v>7</v>
      </c>
      <c r="S199" s="26" t="s">
        <v>8</v>
      </c>
      <c r="T199" s="26" t="s">
        <v>7</v>
      </c>
      <c r="U199" s="26" t="s">
        <v>8</v>
      </c>
      <c r="V199" s="26" t="s">
        <v>7</v>
      </c>
      <c r="W199" s="26" t="s">
        <v>8</v>
      </c>
    </row>
    <row r="200" spans="1:31" x14ac:dyDescent="0.25">
      <c r="A200" s="29">
        <v>5.1584431766612821E-4</v>
      </c>
      <c r="P200" s="26" t="s">
        <v>7</v>
      </c>
      <c r="S200" s="26" t="s">
        <v>8</v>
      </c>
      <c r="T200" s="26" t="s">
        <v>7</v>
      </c>
      <c r="U200" s="26" t="s">
        <v>8</v>
      </c>
      <c r="V200" s="26" t="s">
        <v>7</v>
      </c>
      <c r="W200" s="26" t="s">
        <v>8</v>
      </c>
    </row>
    <row r="201" spans="1:31" x14ac:dyDescent="0.25">
      <c r="A201" s="29">
        <v>4.6425988589951538E-4</v>
      </c>
      <c r="P201" s="26" t="s">
        <v>7</v>
      </c>
      <c r="S201" s="26" t="s">
        <v>8</v>
      </c>
      <c r="T201" s="26" t="s">
        <v>7</v>
      </c>
      <c r="U201" s="26" t="s">
        <v>8</v>
      </c>
      <c r="V201" s="26" t="s">
        <v>7</v>
      </c>
    </row>
    <row r="202" spans="1:31" x14ac:dyDescent="0.25">
      <c r="A202" s="29">
        <v>4.1783389730956383E-4</v>
      </c>
      <c r="P202" s="26" t="s">
        <v>7</v>
      </c>
      <c r="S202" s="26" t="s">
        <v>8</v>
      </c>
      <c r="T202" s="26" t="s">
        <v>7</v>
      </c>
    </row>
    <row r="203" spans="1:31" x14ac:dyDescent="0.25">
      <c r="A203" s="29">
        <v>3.7605050757860746E-4</v>
      </c>
      <c r="P203" s="26" t="s">
        <v>7</v>
      </c>
      <c r="S203" s="26" t="s">
        <v>8</v>
      </c>
    </row>
    <row r="204" spans="1:31" x14ac:dyDescent="0.25">
      <c r="A204" s="29">
        <v>3.3844545682074675E-4</v>
      </c>
      <c r="P204" s="26" t="s">
        <v>7</v>
      </c>
      <c r="Q204" s="26" t="s">
        <v>8</v>
      </c>
      <c r="S204" s="26" t="s">
        <v>8</v>
      </c>
    </row>
    <row r="205" spans="1:31" x14ac:dyDescent="0.25">
      <c r="A205" s="29">
        <v>3.0460091113867208E-4</v>
      </c>
      <c r="P205" s="26" t="s">
        <v>7</v>
      </c>
      <c r="Q205" s="26" t="s">
        <v>8</v>
      </c>
      <c r="R205" s="26" t="s">
        <v>7</v>
      </c>
      <c r="S205" s="26" t="s">
        <v>8</v>
      </c>
    </row>
    <row r="206" spans="1:31" x14ac:dyDescent="0.25">
      <c r="A206" s="29">
        <v>2.7414082002480487E-4</v>
      </c>
      <c r="P206" s="26" t="s">
        <v>7</v>
      </c>
      <c r="Q206" s="26" t="s">
        <v>8</v>
      </c>
      <c r="R206" s="26" t="s">
        <v>7</v>
      </c>
    </row>
    <row r="207" spans="1:31" x14ac:dyDescent="0.25">
      <c r="A207" s="29">
        <v>2.4672673802232442E-4</v>
      </c>
      <c r="P207" s="26" t="s">
        <v>7</v>
      </c>
      <c r="Q207" s="26" t="s">
        <v>8</v>
      </c>
    </row>
    <row r="208" spans="1:31" x14ac:dyDescent="0.25">
      <c r="A208" s="29">
        <v>2.2205406422009198E-4</v>
      </c>
      <c r="P208" s="26" t="s">
        <v>7</v>
      </c>
      <c r="Q208" s="26" t="s">
        <v>8</v>
      </c>
    </row>
    <row r="209" spans="1:16" x14ac:dyDescent="0.25">
      <c r="A209" s="29">
        <v>1.998486577980828E-4</v>
      </c>
      <c r="P209" s="26" t="s">
        <v>7</v>
      </c>
    </row>
    <row r="210" spans="1:16" x14ac:dyDescent="0.25">
      <c r="A210" s="29">
        <v>1.7986379201827453E-4</v>
      </c>
    </row>
    <row r="211" spans="1:16" x14ac:dyDescent="0.25">
      <c r="A211" s="29">
        <v>1.6187741281644709E-4</v>
      </c>
    </row>
    <row r="212" spans="1:16" x14ac:dyDescent="0.25">
      <c r="A212" s="29">
        <v>1.4568967153480238E-4</v>
      </c>
    </row>
    <row r="213" spans="1:16" x14ac:dyDescent="0.25">
      <c r="A213" s="29">
        <v>1.3112070438132215E-4</v>
      </c>
    </row>
    <row r="214" spans="1:16" x14ac:dyDescent="0.25">
      <c r="A214" s="29">
        <v>1.1800863394318995E-4</v>
      </c>
    </row>
    <row r="215" spans="1:16" x14ac:dyDescent="0.25">
      <c r="A215" s="29">
        <v>1.0620777054887096E-4</v>
      </c>
    </row>
    <row r="216" spans="1:16" x14ac:dyDescent="0.25">
      <c r="A216" s="29">
        <v>9.5586993493983861E-5</v>
      </c>
    </row>
    <row r="217" spans="1:16" x14ac:dyDescent="0.25">
      <c r="A217" s="29">
        <v>8.6028294144585476E-5</v>
      </c>
    </row>
    <row r="218" spans="1:16" x14ac:dyDescent="0.25">
      <c r="A218" s="29">
        <v>7.7425464730126924E-5</v>
      </c>
    </row>
    <row r="219" spans="1:16" x14ac:dyDescent="0.25">
      <c r="A219" s="29">
        <v>6.9682918257114228E-5</v>
      </c>
    </row>
    <row r="220" spans="1:16" x14ac:dyDescent="0.25">
      <c r="A220" s="29">
        <v>6.2714626431402813E-5</v>
      </c>
    </row>
    <row r="221" spans="1:16" x14ac:dyDescent="0.25">
      <c r="A221" s="29">
        <v>5.6443163788262536E-5</v>
      </c>
    </row>
    <row r="222" spans="1:16" x14ac:dyDescent="0.25">
      <c r="A222" s="29">
        <v>5.0798847409436286E-5</v>
      </c>
    </row>
    <row r="223" spans="1:16" x14ac:dyDescent="0.25">
      <c r="A223" s="29">
        <v>4.5718962668492656E-5</v>
      </c>
    </row>
    <row r="224" spans="1:16" x14ac:dyDescent="0.25">
      <c r="A224" s="29">
        <v>4.1147066401643391E-5</v>
      </c>
    </row>
    <row r="225" spans="1:1" x14ac:dyDescent="0.25">
      <c r="A225" s="29">
        <v>3.7032359761479051E-5</v>
      </c>
    </row>
    <row r="226" spans="1:1" x14ac:dyDescent="0.25">
      <c r="A226" s="29">
        <v>3.3329123785331146E-5</v>
      </c>
    </row>
    <row r="227" spans="1:1" x14ac:dyDescent="0.25">
      <c r="A227" s="29">
        <v>2.9996211406798031E-5</v>
      </c>
    </row>
    <row r="228" spans="1:1" x14ac:dyDescent="0.25">
      <c r="A228" s="29">
        <v>2.6996590266118227E-5</v>
      </c>
    </row>
    <row r="229" spans="1:1" x14ac:dyDescent="0.25">
      <c r="A229" s="29">
        <v>2.4296931239506405E-5</v>
      </c>
    </row>
    <row r="230" spans="1:1" x14ac:dyDescent="0.25">
      <c r="A230" s="29">
        <v>2.1867238115555765E-5</v>
      </c>
    </row>
    <row r="231" spans="1:1" x14ac:dyDescent="0.25">
      <c r="A231" s="29">
        <v>1.968051430400019E-5</v>
      </c>
    </row>
    <row r="232" spans="1:1" x14ac:dyDescent="0.25">
      <c r="A232" s="29">
        <v>1.7712462873600173E-5</v>
      </c>
    </row>
    <row r="233" spans="1:1" x14ac:dyDescent="0.25">
      <c r="A233" s="29">
        <v>1.5941216586240156E-5</v>
      </c>
    </row>
    <row r="234" spans="1:1" x14ac:dyDescent="0.25">
      <c r="A234" s="29">
        <v>1.434709492761614E-5</v>
      </c>
    </row>
    <row r="235" spans="1:1" x14ac:dyDescent="0.25">
      <c r="A235" s="29">
        <v>1.2912385434854527E-5</v>
      </c>
    </row>
    <row r="236" spans="1:1" x14ac:dyDescent="0.25">
      <c r="A236" s="29">
        <v>1.1621146891369075E-5</v>
      </c>
    </row>
    <row r="237" spans="1:1" x14ac:dyDescent="0.25">
      <c r="A237" s="29">
        <v>1.0459032202232167E-5</v>
      </c>
    </row>
    <row r="238" spans="1:1" x14ac:dyDescent="0.25">
      <c r="A238" s="29">
        <v>9.4131289820089515E-6</v>
      </c>
    </row>
    <row r="239" spans="1:1" x14ac:dyDescent="0.25">
      <c r="A239" s="29">
        <v>8.4718160838080567E-6</v>
      </c>
    </row>
    <row r="240" spans="1:1" x14ac:dyDescent="0.25">
      <c r="A240" s="29">
        <v>7.6246344754272515E-6</v>
      </c>
    </row>
    <row r="241" spans="1:1" x14ac:dyDescent="0.25">
      <c r="A241" s="29">
        <v>6.8621710278845262E-6</v>
      </c>
    </row>
    <row r="242" spans="1:1" x14ac:dyDescent="0.25">
      <c r="A242" s="29">
        <v>6.1759539250960733E-6</v>
      </c>
    </row>
    <row r="243" spans="1:1" x14ac:dyDescent="0.25">
      <c r="A243" s="29">
        <v>5.5583585325864661E-6</v>
      </c>
    </row>
    <row r="244" spans="1:1" x14ac:dyDescent="0.25">
      <c r="A244" s="29">
        <v>5.0025226793278193E-6</v>
      </c>
    </row>
    <row r="245" spans="1:1" x14ac:dyDescent="0.25">
      <c r="A245" s="29">
        <v>4.5022704113950371E-6</v>
      </c>
    </row>
    <row r="246" spans="1:1" x14ac:dyDescent="0.25">
      <c r="A246" s="29">
        <v>4.0520433702555336E-6</v>
      </c>
    </row>
    <row r="247" spans="1:1" x14ac:dyDescent="0.25">
      <c r="A247" s="29">
        <v>3.6468390332299805E-6</v>
      </c>
    </row>
    <row r="248" spans="1:1" x14ac:dyDescent="0.25">
      <c r="A248" s="29">
        <v>3.2821551299069824E-6</v>
      </c>
    </row>
    <row r="249" spans="1:1" x14ac:dyDescent="0.25">
      <c r="A249" s="29">
        <v>2.9539396169162842E-6</v>
      </c>
    </row>
    <row r="250" spans="1:1" x14ac:dyDescent="0.25">
      <c r="A250" s="29">
        <v>2.6585456552246558E-6</v>
      </c>
    </row>
    <row r="251" spans="1:1" x14ac:dyDescent="0.25">
      <c r="A251" s="29">
        <v>2.39269108970219E-6</v>
      </c>
    </row>
    <row r="252" spans="1:1" x14ac:dyDescent="0.25">
      <c r="A252" s="29">
        <v>2.1534219807319713E-6</v>
      </c>
    </row>
    <row r="253" spans="1:1" x14ac:dyDescent="0.25">
      <c r="A253" s="29">
        <v>1.9380797826587742E-6</v>
      </c>
    </row>
    <row r="254" spans="1:1" x14ac:dyDescent="0.25">
      <c r="A254" s="29">
        <v>1.7442718043928968E-6</v>
      </c>
    </row>
    <row r="255" spans="1:1" x14ac:dyDescent="0.25">
      <c r="A255" s="29">
        <v>1.5698446239536072E-6</v>
      </c>
    </row>
    <row r="256" spans="1:1" x14ac:dyDescent="0.25">
      <c r="A256" s="29">
        <v>1.4128601615582464E-6</v>
      </c>
    </row>
    <row r="257" spans="1:1" x14ac:dyDescent="0.25">
      <c r="A257" s="29">
        <v>1.2715741454024219E-6</v>
      </c>
    </row>
    <row r="258" spans="1:1" x14ac:dyDescent="0.25">
      <c r="A258" s="29">
        <v>1.1444167308621797E-6</v>
      </c>
    </row>
    <row r="259" spans="1:1" x14ac:dyDescent="0.25">
      <c r="A259" s="29">
        <v>1.0299750577759617E-6</v>
      </c>
    </row>
    <row r="260" spans="1:1" x14ac:dyDescent="0.25">
      <c r="A260" s="29">
        <v>9.2697755199836562E-7</v>
      </c>
    </row>
    <row r="261" spans="1:1" x14ac:dyDescent="0.25">
      <c r="A261" s="29">
        <v>8.3427979679852907E-7</v>
      </c>
    </row>
    <row r="262" spans="1:1" x14ac:dyDescent="0.25">
      <c r="A262" s="29">
        <v>7.508518171186762E-7</v>
      </c>
    </row>
    <row r="263" spans="1:1" x14ac:dyDescent="0.25">
      <c r="A263" s="29">
        <v>6.7576663540680858E-7</v>
      </c>
    </row>
    <row r="264" spans="1:1" x14ac:dyDescent="0.25">
      <c r="A264" s="29">
        <v>6.0818997186612771E-7</v>
      </c>
    </row>
    <row r="265" spans="1:1" x14ac:dyDescent="0.25">
      <c r="A265" s="29">
        <v>5.4737097467951492E-7</v>
      </c>
    </row>
    <row r="266" spans="1:1" x14ac:dyDescent="0.25">
      <c r="A266" s="29">
        <v>4.9263387721156344E-7</v>
      </c>
    </row>
    <row r="267" spans="1:1" x14ac:dyDescent="0.25">
      <c r="A267" s="29">
        <v>4.4337048949040709E-7</v>
      </c>
    </row>
    <row r="268" spans="1:1" x14ac:dyDescent="0.25">
      <c r="A268" s="29">
        <v>3.9903344054136637E-7</v>
      </c>
    </row>
    <row r="269" spans="1:1" x14ac:dyDescent="0.25">
      <c r="A269" s="29">
        <v>3.5913009648722975E-7</v>
      </c>
    </row>
    <row r="270" spans="1:1" x14ac:dyDescent="0.25">
      <c r="A270" s="29">
        <v>3.2321708683850679E-7</v>
      </c>
    </row>
    <row r="271" spans="1:1" x14ac:dyDescent="0.25">
      <c r="A271" s="29">
        <v>2.908953781546561E-7</v>
      </c>
    </row>
    <row r="272" spans="1:1" x14ac:dyDescent="0.25">
      <c r="A272" s="29">
        <v>2.6180584033919052E-7</v>
      </c>
    </row>
    <row r="273" spans="1:1" x14ac:dyDescent="0.25">
      <c r="A273" s="29">
        <v>2.3562525630527146E-7</v>
      </c>
    </row>
    <row r="274" spans="1:1" x14ac:dyDescent="0.25">
      <c r="A274" s="29">
        <v>2.1206273067474431E-7</v>
      </c>
    </row>
    <row r="275" spans="1:1" x14ac:dyDescent="0.25">
      <c r="A275" s="29">
        <v>1.9085645760726988E-7</v>
      </c>
    </row>
    <row r="276" spans="1:1" x14ac:dyDescent="0.25">
      <c r="A276" s="29">
        <v>1.717708118465429E-7</v>
      </c>
    </row>
    <row r="277" spans="1:1" x14ac:dyDescent="0.25">
      <c r="A277" s="29">
        <v>1.5459373066188861E-7</v>
      </c>
    </row>
    <row r="278" spans="1:1" x14ac:dyDescent="0.25">
      <c r="A278" s="29">
        <v>1.3913435759569975E-7</v>
      </c>
    </row>
    <row r="279" spans="1:1" x14ac:dyDescent="0.25">
      <c r="A279" s="29">
        <v>1.2522092183612977E-7</v>
      </c>
    </row>
    <row r="280" spans="1:1" x14ac:dyDescent="0.25">
      <c r="A280" s="29">
        <v>1.1269882965251679E-7</v>
      </c>
    </row>
    <row r="281" spans="1:1" x14ac:dyDescent="0.25">
      <c r="A281" s="29">
        <v>1.0142894668726512E-7</v>
      </c>
    </row>
    <row r="282" spans="1:1" x14ac:dyDescent="0.25">
      <c r="A282" s="29">
        <v>9.1286052018538604E-8</v>
      </c>
    </row>
    <row r="283" spans="1:1" x14ac:dyDescent="0.25">
      <c r="A283" s="29">
        <v>8.2157446816684752E-8</v>
      </c>
    </row>
    <row r="284" spans="1:1" x14ac:dyDescent="0.25">
      <c r="A284" s="29">
        <v>7.3941702135016276E-8</v>
      </c>
    </row>
    <row r="285" spans="1:1" x14ac:dyDescent="0.25">
      <c r="A285" s="29">
        <v>6.6547531921514646E-8</v>
      </c>
    </row>
    <row r="286" spans="1:1" x14ac:dyDescent="0.25">
      <c r="A286" s="29">
        <v>5.9892778729363178E-8</v>
      </c>
    </row>
    <row r="287" spans="1:1" x14ac:dyDescent="0.25">
      <c r="A287" s="29">
        <v>5.3903500856426864E-8</v>
      </c>
    </row>
    <row r="288" spans="1:1" x14ac:dyDescent="0.25">
      <c r="A288" s="29">
        <v>4.851315077078418E-8</v>
      </c>
    </row>
    <row r="289" spans="1:1" x14ac:dyDescent="0.25">
      <c r="A289" s="29">
        <v>4.3661835693705764E-8</v>
      </c>
    </row>
    <row r="290" spans="1:1" x14ac:dyDescent="0.25">
      <c r="A290" s="29">
        <v>3.929565212433519E-8</v>
      </c>
    </row>
    <row r="291" spans="1:1" x14ac:dyDescent="0.25">
      <c r="A291" s="29">
        <v>3.536608691190167E-8</v>
      </c>
    </row>
    <row r="292" spans="1:1" x14ac:dyDescent="0.25">
      <c r="A292" s="29">
        <v>3.1829478220711501E-8</v>
      </c>
    </row>
    <row r="293" spans="1:1" x14ac:dyDescent="0.25">
      <c r="A293" s="29">
        <v>2.8646530398640351E-8</v>
      </c>
    </row>
    <row r="294" spans="1:1" x14ac:dyDescent="0.25">
      <c r="A294" s="29">
        <v>2.5781877358776315E-8</v>
      </c>
    </row>
    <row r="295" spans="1:1" x14ac:dyDescent="0.25">
      <c r="A295" s="29">
        <v>2.3203689622898683E-8</v>
      </c>
    </row>
    <row r="296" spans="1:1" x14ac:dyDescent="0.25">
      <c r="A296" s="29">
        <v>2.0883320660608816E-8</v>
      </c>
    </row>
    <row r="297" spans="1:1" x14ac:dyDescent="0.25">
      <c r="A297" s="29">
        <v>1.8794988594547934E-8</v>
      </c>
    </row>
    <row r="298" spans="1:1" x14ac:dyDescent="0.25">
      <c r="A298" s="29">
        <v>1.6915489735093139E-8</v>
      </c>
    </row>
    <row r="299" spans="1:1" x14ac:dyDescent="0.25">
      <c r="A299" s="29">
        <v>1.5223940761583825E-8</v>
      </c>
    </row>
    <row r="300" spans="1:1" x14ac:dyDescent="0.25">
      <c r="A300" s="29">
        <v>1.3701546685425444E-8</v>
      </c>
    </row>
    <row r="301" spans="1:1" x14ac:dyDescent="0.25">
      <c r="A301" s="29">
        <v>1.2331392016882899E-8</v>
      </c>
    </row>
    <row r="302" spans="1:1" x14ac:dyDescent="0.25">
      <c r="A302" s="29">
        <v>1.1098252815194609E-8</v>
      </c>
    </row>
    <row r="303" spans="1:1" x14ac:dyDescent="0.25">
      <c r="A303" s="29">
        <v>9.9884275336751485E-9</v>
      </c>
    </row>
    <row r="304" spans="1:1" x14ac:dyDescent="0.25">
      <c r="A304" s="29">
        <v>8.9895847803076335E-9</v>
      </c>
    </row>
    <row r="305" spans="1:1" x14ac:dyDescent="0.25">
      <c r="A305" s="29">
        <v>8.0906263022768703E-9</v>
      </c>
    </row>
    <row r="306" spans="1:1" x14ac:dyDescent="0.25">
      <c r="A306" s="29">
        <v>7.2815636720491835E-9</v>
      </c>
    </row>
    <row r="307" spans="1:1" x14ac:dyDescent="0.25">
      <c r="A307" s="29">
        <v>6.553407304844265E-9</v>
      </c>
    </row>
    <row r="308" spans="1:1" x14ac:dyDescent="0.25">
      <c r="A308" s="29">
        <v>5.8980665743598385E-9</v>
      </c>
    </row>
    <row r="309" spans="1:1" x14ac:dyDescent="0.25">
      <c r="A309" s="29">
        <v>5.3082599169238552E-9</v>
      </c>
    </row>
    <row r="310" spans="1:1" x14ac:dyDescent="0.25">
      <c r="A310" s="29">
        <v>4.7774339252314701E-9</v>
      </c>
    </row>
    <row r="311" spans="1:1" x14ac:dyDescent="0.25">
      <c r="A311" s="29">
        <v>4.2996905327083231E-9</v>
      </c>
    </row>
    <row r="312" spans="1:1" x14ac:dyDescent="0.25">
      <c r="A312" s="29">
        <v>3.8697214794374908E-9</v>
      </c>
    </row>
    <row r="313" spans="1:1" x14ac:dyDescent="0.25">
      <c r="A313" s="29">
        <v>3.4827493314937417E-9</v>
      </c>
    </row>
    <row r="314" spans="1:1" x14ac:dyDescent="0.25">
      <c r="A314" s="29">
        <v>3.1344743983443674E-9</v>
      </c>
    </row>
    <row r="315" spans="1:1" x14ac:dyDescent="0.25">
      <c r="A315" s="29">
        <v>2.8210269585099307E-9</v>
      </c>
    </row>
    <row r="316" spans="1:1" x14ac:dyDescent="0.25">
      <c r="A316" s="29">
        <v>2.5389242626589379E-9</v>
      </c>
    </row>
    <row r="317" spans="1:1" x14ac:dyDescent="0.25">
      <c r="A317" s="29">
        <v>2.285031836393044E-9</v>
      </c>
    </row>
    <row r="318" spans="1:1" x14ac:dyDescent="0.25">
      <c r="A318" s="29">
        <v>2.0565286527537398E-9</v>
      </c>
    </row>
    <row r="319" spans="1:1" x14ac:dyDescent="0.25">
      <c r="A319" s="29">
        <v>1.8508757874783659E-9</v>
      </c>
    </row>
    <row r="320" spans="1:1" x14ac:dyDescent="0.25">
      <c r="A320" s="29">
        <v>1.6657882087305294E-9</v>
      </c>
    </row>
    <row r="321" spans="1:1" x14ac:dyDescent="0.25">
      <c r="A321" s="29">
        <v>1.4992093878574765E-9</v>
      </c>
    </row>
    <row r="322" spans="1:1" x14ac:dyDescent="0.25">
      <c r="A322" s="29">
        <v>1.3492884490717289E-9</v>
      </c>
    </row>
    <row r="323" spans="1:1" x14ac:dyDescent="0.25">
      <c r="A323" s="29">
        <v>1.214359604164556E-9</v>
      </c>
    </row>
    <row r="324" spans="1:1" x14ac:dyDescent="0.25">
      <c r="A324" s="29">
        <v>1.0929236437481004E-9</v>
      </c>
    </row>
    <row r="325" spans="1:1" x14ac:dyDescent="0.25">
      <c r="A325" s="29">
        <v>9.8363127937329029E-10</v>
      </c>
    </row>
    <row r="326" spans="1:1" x14ac:dyDescent="0.25">
      <c r="A326" s="29">
        <v>8.8526815143596126E-10</v>
      </c>
    </row>
    <row r="327" spans="1:1" x14ac:dyDescent="0.25">
      <c r="A327" s="29">
        <v>7.967413362923651E-10</v>
      </c>
    </row>
    <row r="328" spans="1:1" x14ac:dyDescent="0.25">
      <c r="A328" s="29">
        <v>7.1706720266312858E-10</v>
      </c>
    </row>
    <row r="329" spans="1:1" x14ac:dyDescent="0.25">
      <c r="A329" s="29">
        <v>6.4536048239681569E-10</v>
      </c>
    </row>
    <row r="330" spans="1:1" x14ac:dyDescent="0.25">
      <c r="A330" s="29">
        <v>5.8082443415713415E-10</v>
      </c>
    </row>
    <row r="331" spans="1:1" x14ac:dyDescent="0.25">
      <c r="A331" s="29">
        <v>5.2274199074142077E-10</v>
      </c>
    </row>
    <row r="332" spans="1:1" x14ac:dyDescent="0.25">
      <c r="A332" s="29">
        <v>4.7046779166727869E-10</v>
      </c>
    </row>
    <row r="333" spans="1:1" x14ac:dyDescent="0.25">
      <c r="A333" s="29">
        <v>4.2342101250055083E-10</v>
      </c>
    </row>
    <row r="334" spans="1:1" x14ac:dyDescent="0.25">
      <c r="A334" s="29">
        <v>3.8107891125049577E-10</v>
      </c>
    </row>
    <row r="335" spans="1:1" x14ac:dyDescent="0.25">
      <c r="A335" s="29">
        <v>3.4297102012544618E-10</v>
      </c>
    </row>
    <row r="336" spans="1:1" x14ac:dyDescent="0.25">
      <c r="A336" s="29">
        <v>3.0867391811290155E-10</v>
      </c>
    </row>
    <row r="337" spans="1:1" x14ac:dyDescent="0.25">
      <c r="A337" s="29">
        <v>2.7780652630161142E-10</v>
      </c>
    </row>
    <row r="338" spans="1:1" x14ac:dyDescent="0.25">
      <c r="A338" s="29">
        <v>2.5002587367145027E-10</v>
      </c>
    </row>
    <row r="339" spans="1:1" x14ac:dyDescent="0.25">
      <c r="A339" s="29">
        <v>2.2502328630430526E-10</v>
      </c>
    </row>
    <row r="340" spans="1:1" x14ac:dyDescent="0.25">
      <c r="A340" s="29">
        <v>2.0252095767387472E-10</v>
      </c>
    </row>
    <row r="341" spans="1:1" x14ac:dyDescent="0.25">
      <c r="A341" s="29">
        <v>1.8226886190648727E-10</v>
      </c>
    </row>
    <row r="342" spans="1:1" x14ac:dyDescent="0.25">
      <c r="A342" s="29">
        <v>1.6404197571583855E-10</v>
      </c>
    </row>
    <row r="343" spans="1:1" x14ac:dyDescent="0.25">
      <c r="A343" s="29">
        <v>1.4763777814425471E-10</v>
      </c>
    </row>
    <row r="344" spans="1:1" x14ac:dyDescent="0.25">
      <c r="A344" s="29">
        <v>1.3287400032982923E-10</v>
      </c>
    </row>
    <row r="345" spans="1:1" x14ac:dyDescent="0.25">
      <c r="A345" s="29">
        <v>1.1958660029684632E-10</v>
      </c>
    </row>
    <row r="346" spans="1:1" x14ac:dyDescent="0.25">
      <c r="A346" s="29">
        <v>1.0762794026716169E-10</v>
      </c>
    </row>
    <row r="347" spans="1:1" x14ac:dyDescent="0.25">
      <c r="A347" s="29">
        <v>9.686514624044552E-11</v>
      </c>
    </row>
    <row r="348" spans="1:1" x14ac:dyDescent="0.25">
      <c r="A348" s="29">
        <v>8.7178631616400964E-11</v>
      </c>
    </row>
    <row r="349" spans="1:1" x14ac:dyDescent="0.25">
      <c r="A349" s="29">
        <v>7.8460768454760866E-11</v>
      </c>
    </row>
    <row r="350" spans="1:1" x14ac:dyDescent="0.25">
      <c r="A350" s="29">
        <v>7.0614691609284776E-11</v>
      </c>
    </row>
    <row r="351" spans="1:1" x14ac:dyDescent="0.25">
      <c r="A351" s="29">
        <v>6.3553222448356295E-11</v>
      </c>
    </row>
    <row r="352" spans="1:1" x14ac:dyDescent="0.25">
      <c r="A352" s="29">
        <v>5.7197900203520665E-11</v>
      </c>
    </row>
    <row r="353" spans="1:1" x14ac:dyDescent="0.25">
      <c r="A353" s="29">
        <v>5.1478110183168601E-11</v>
      </c>
    </row>
    <row r="354" spans="1:1" x14ac:dyDescent="0.25">
      <c r="A354" s="29">
        <v>4.633029916485174E-11</v>
      </c>
    </row>
    <row r="355" spans="1:1" x14ac:dyDescent="0.25">
      <c r="A355" s="29">
        <v>4.1697269248366565E-11</v>
      </c>
    </row>
    <row r="356" spans="1:1" x14ac:dyDescent="0.25">
      <c r="A356" s="29">
        <v>3.7527542323529907E-11</v>
      </c>
    </row>
    <row r="357" spans="1:1" x14ac:dyDescent="0.25">
      <c r="A357" s="29">
        <v>3.3774788091176915E-11</v>
      </c>
    </row>
    <row r="358" spans="1:1" x14ac:dyDescent="0.25">
      <c r="A358" s="29">
        <v>3.0397309282059222E-11</v>
      </c>
    </row>
    <row r="359" spans="1:1" x14ac:dyDescent="0.25">
      <c r="A359" s="29">
        <v>2.7357578353853301E-11</v>
      </c>
    </row>
    <row r="360" spans="1:1" x14ac:dyDescent="0.25">
      <c r="A360" s="29">
        <v>2.4621820518467972E-11</v>
      </c>
    </row>
    <row r="361" spans="1:1" x14ac:dyDescent="0.25">
      <c r="A361" s="29">
        <v>2.2159638466621177E-11</v>
      </c>
    </row>
    <row r="362" spans="1:1" x14ac:dyDescent="0.25">
      <c r="A362" s="29">
        <v>1.994367461995906E-11</v>
      </c>
    </row>
    <row r="363" spans="1:1" x14ac:dyDescent="0.25">
      <c r="A363" s="29">
        <v>1.7949307157963154E-11</v>
      </c>
    </row>
    <row r="364" spans="1:1" x14ac:dyDescent="0.25">
      <c r="A364" s="29">
        <v>1.615437644216684E-11</v>
      </c>
    </row>
    <row r="365" spans="1:1" x14ac:dyDescent="0.25">
      <c r="A365" s="29">
        <v>1.4538938797950156E-11</v>
      </c>
    </row>
    <row r="366" spans="1:1" x14ac:dyDescent="0.25">
      <c r="A366" s="29">
        <v>1.308504491815514E-11</v>
      </c>
    </row>
    <row r="367" spans="1:1" x14ac:dyDescent="0.25">
      <c r="A367" s="29">
        <v>1.1776540426339626E-11</v>
      </c>
    </row>
    <row r="368" spans="1:1" x14ac:dyDescent="0.25">
      <c r="A368" s="29">
        <v>1.0598886383705664E-11</v>
      </c>
    </row>
    <row r="369" spans="1:1" x14ac:dyDescent="0.25">
      <c r="A369" s="29">
        <v>9.5389977453350987E-12</v>
      </c>
    </row>
    <row r="370" spans="1:1" x14ac:dyDescent="0.25">
      <c r="A370" s="29">
        <v>8.5850979708015893E-12</v>
      </c>
    </row>
    <row r="371" spans="1:1" x14ac:dyDescent="0.25">
      <c r="A371" s="29">
        <v>7.7265881737214303E-12</v>
      </c>
    </row>
    <row r="372" spans="1:1" x14ac:dyDescent="0.25">
      <c r="A372" s="29">
        <v>6.9539293563492874E-12</v>
      </c>
    </row>
    <row r="373" spans="1:1" x14ac:dyDescent="0.25">
      <c r="A373" s="29">
        <v>6.2585364207143591E-12</v>
      </c>
    </row>
    <row r="374" spans="1:1" x14ac:dyDescent="0.25">
      <c r="A374" s="29">
        <v>5.632682778642923E-12</v>
      </c>
    </row>
    <row r="375" spans="1:1" x14ac:dyDescent="0.25">
      <c r="A375" s="29">
        <v>5.0694145007786311E-12</v>
      </c>
    </row>
    <row r="376" spans="1:1" x14ac:dyDescent="0.25">
      <c r="A376" s="29">
        <v>4.5624730507007684E-12</v>
      </c>
    </row>
    <row r="377" spans="1:1" x14ac:dyDescent="0.25">
      <c r="A377" s="29">
        <v>4.1062257456306914E-12</v>
      </c>
    </row>
    <row r="378" spans="1:1" x14ac:dyDescent="0.25">
      <c r="A378" s="29">
        <v>3.6956031710676221E-12</v>
      </c>
    </row>
    <row r="379" spans="1:1" x14ac:dyDescent="0.25">
      <c r="A379" s="29">
        <v>3.3260428539608601E-12</v>
      </c>
    </row>
    <row r="380" spans="1:1" x14ac:dyDescent="0.25">
      <c r="A380" s="29">
        <v>2.9934385685647741E-12</v>
      </c>
    </row>
    <row r="381" spans="1:1" x14ac:dyDescent="0.25">
      <c r="A381" s="29">
        <v>2.6940947117082966E-12</v>
      </c>
    </row>
    <row r="382" spans="1:1" x14ac:dyDescent="0.25">
      <c r="A382" s="29">
        <v>2.4246852405374669E-12</v>
      </c>
    </row>
    <row r="383" spans="1:1" x14ac:dyDescent="0.25">
      <c r="A383" s="29">
        <v>2.1822167164837201E-12</v>
      </c>
    </row>
    <row r="384" spans="1:1" x14ac:dyDescent="0.25">
      <c r="A384" s="29">
        <v>1.9639950448353481E-12</v>
      </c>
    </row>
    <row r="385" spans="1:1" x14ac:dyDescent="0.25">
      <c r="A385" s="29">
        <v>1.7675955403518133E-12</v>
      </c>
    </row>
    <row r="386" spans="1:1" x14ac:dyDescent="0.25">
      <c r="A386" s="29">
        <v>1.5908359863166319E-12</v>
      </c>
    </row>
    <row r="387" spans="1:1" x14ac:dyDescent="0.25">
      <c r="A387" s="29">
        <v>1.4317523876849688E-12</v>
      </c>
    </row>
    <row r="388" spans="1:1" x14ac:dyDescent="0.25">
      <c r="A388" s="29">
        <v>1.2885771489164719E-12</v>
      </c>
    </row>
    <row r="389" spans="1:1" x14ac:dyDescent="0.25">
      <c r="A389" s="29">
        <v>1.1597194340248247E-12</v>
      </c>
    </row>
    <row r="390" spans="1:1" x14ac:dyDescent="0.25">
      <c r="A390" s="29">
        <v>1.0437474906223423E-12</v>
      </c>
    </row>
    <row r="391" spans="1:1" x14ac:dyDescent="0.25">
      <c r="A391" s="29">
        <v>9.3937274156010802E-13</v>
      </c>
    </row>
    <row r="392" spans="1:1" x14ac:dyDescent="0.25">
      <c r="A392" s="29">
        <v>8.4543546740409726E-13</v>
      </c>
    </row>
    <row r="393" spans="1:1" x14ac:dyDescent="0.25">
      <c r="A393" s="29">
        <v>7.608919206636876E-13</v>
      </c>
    </row>
    <row r="394" spans="1:1" x14ac:dyDescent="0.25">
      <c r="A394" s="29">
        <v>6.8480272859731885E-13</v>
      </c>
    </row>
    <row r="395" spans="1:1" x14ac:dyDescent="0.25">
      <c r="A395" s="29">
        <v>6.16322455737587E-13</v>
      </c>
    </row>
    <row r="396" spans="1:1" x14ac:dyDescent="0.25">
      <c r="A396" s="29">
        <v>5.5469021016382834E-13</v>
      </c>
    </row>
    <row r="397" spans="1:1" x14ac:dyDescent="0.25">
      <c r="A397" s="29">
        <v>4.9922118914744555E-13</v>
      </c>
    </row>
    <row r="398" spans="1:1" x14ac:dyDescent="0.25">
      <c r="A398" s="29">
        <v>4.4929907023270098E-13</v>
      </c>
    </row>
    <row r="399" spans="1:1" x14ac:dyDescent="0.25">
      <c r="A399" s="29">
        <v>4.0436916320943091E-13</v>
      </c>
    </row>
    <row r="400" spans="1:1" x14ac:dyDescent="0.25">
      <c r="A400" s="29">
        <v>3.6393224688848781E-13</v>
      </c>
    </row>
    <row r="401" spans="1:1" x14ac:dyDescent="0.25">
      <c r="A401" s="29">
        <v>3.2753902219963903E-13</v>
      </c>
    </row>
    <row r="402" spans="1:1" x14ac:dyDescent="0.25">
      <c r="A402" s="29">
        <v>2.9478511997967513E-13</v>
      </c>
    </row>
    <row r="403" spans="1:1" x14ac:dyDescent="0.25">
      <c r="A403" s="29">
        <v>2.6530660798170763E-13</v>
      </c>
    </row>
    <row r="404" spans="1:1" x14ac:dyDescent="0.25">
      <c r="A404" s="29">
        <v>2.3877594718353686E-13</v>
      </c>
    </row>
    <row r="405" spans="1:1" x14ac:dyDescent="0.25">
      <c r="A405" s="29">
        <v>2.1489835246518316E-13</v>
      </c>
    </row>
    <row r="406" spans="1:1" x14ac:dyDescent="0.25">
      <c r="A406" s="29">
        <v>1.9340851721866486E-13</v>
      </c>
    </row>
    <row r="407" spans="1:1" x14ac:dyDescent="0.25">
      <c r="A407" s="29">
        <v>1.7406766549679839E-13</v>
      </c>
    </row>
    <row r="408" spans="1:1" x14ac:dyDescent="0.25">
      <c r="A408" s="29">
        <v>1.5666089894711856E-13</v>
      </c>
    </row>
    <row r="409" spans="1:1" x14ac:dyDescent="0.25">
      <c r="A409" s="29">
        <v>1.4099480905240672E-13</v>
      </c>
    </row>
    <row r="410" spans="1:1" x14ac:dyDescent="0.25">
      <c r="A410" s="29">
        <v>1.2689532814716606E-13</v>
      </c>
    </row>
    <row r="411" spans="1:1" x14ac:dyDescent="0.25">
      <c r="A411" s="29">
        <v>1.1420579533244944E-13</v>
      </c>
    </row>
    <row r="412" spans="1:1" x14ac:dyDescent="0.25">
      <c r="A412" s="29">
        <v>1.0278521579920451E-13</v>
      </c>
    </row>
    <row r="413" spans="1:1" x14ac:dyDescent="0.25">
      <c r="A413" s="29">
        <v>9.2506694219284062E-14</v>
      </c>
    </row>
    <row r="414" spans="1:1" x14ac:dyDescent="0.25">
      <c r="A414" s="29">
        <v>8.3256024797355662E-14</v>
      </c>
    </row>
    <row r="415" spans="1:1" x14ac:dyDescent="0.25">
      <c r="A415" s="29">
        <v>7.4930422317620103E-14</v>
      </c>
    </row>
    <row r="416" spans="1:1" x14ac:dyDescent="0.25">
      <c r="A416" s="29">
        <v>6.7437380085858099E-14</v>
      </c>
    </row>
    <row r="417" spans="1:1" x14ac:dyDescent="0.25">
      <c r="A417" s="29">
        <v>6.0693642077272288E-14</v>
      </c>
    </row>
    <row r="418" spans="1:1" x14ac:dyDescent="0.25">
      <c r="A418" s="29">
        <v>5.4624277869545061E-14</v>
      </c>
    </row>
    <row r="419" spans="1:1" x14ac:dyDescent="0.25">
      <c r="A419" s="29">
        <v>4.9161850082590553E-14</v>
      </c>
    </row>
    <row r="420" spans="1:1" x14ac:dyDescent="0.25">
      <c r="A420" s="29">
        <v>4.4245665074331497E-14</v>
      </c>
    </row>
    <row r="421" spans="1:1" x14ac:dyDescent="0.25">
      <c r="A421" s="29">
        <v>3.9821098566898348E-14</v>
      </c>
    </row>
    <row r="422" spans="1:1" x14ac:dyDescent="0.25">
      <c r="A422" s="29">
        <v>3.5838988710208514E-14</v>
      </c>
    </row>
    <row r="423" spans="1:1" x14ac:dyDescent="0.25">
      <c r="A423" s="29">
        <v>3.2255089839187663E-14</v>
      </c>
    </row>
    <row r="424" spans="1:1" x14ac:dyDescent="0.25">
      <c r="A424" s="29">
        <v>2.9029580855268898E-14</v>
      </c>
    </row>
    <row r="425" spans="1:1" x14ac:dyDescent="0.25">
      <c r="A425" s="29">
        <v>2.612662276974201E-14</v>
      </c>
    </row>
    <row r="426" spans="1:1" x14ac:dyDescent="0.25">
      <c r="A426" s="29">
        <v>2.3513960492767811E-14</v>
      </c>
    </row>
    <row r="427" spans="1:1" x14ac:dyDescent="0.25">
      <c r="A427" s="29">
        <v>2.1162564443491029E-14</v>
      </c>
    </row>
    <row r="428" spans="1:1" x14ac:dyDescent="0.25">
      <c r="A428" s="29">
        <v>1.9046307999141925E-14</v>
      </c>
    </row>
    <row r="429" spans="1:1" x14ac:dyDescent="0.25">
      <c r="A429" s="29">
        <v>1.7141677199227731E-14</v>
      </c>
    </row>
    <row r="430" spans="1:1" x14ac:dyDescent="0.25">
      <c r="A430" s="29">
        <v>1.5427509479304957E-14</v>
      </c>
    </row>
    <row r="431" spans="1:1" x14ac:dyDescent="0.25">
      <c r="A431" s="29">
        <v>1.3884758531374462E-14</v>
      </c>
    </row>
    <row r="432" spans="1:1" x14ac:dyDescent="0.25">
      <c r="A432" s="29">
        <v>1.2496282678237016E-14</v>
      </c>
    </row>
    <row r="433" spans="1:1" x14ac:dyDescent="0.25">
      <c r="A433" s="29">
        <v>1.1246654410413315E-14</v>
      </c>
    </row>
    <row r="434" spans="1:1" x14ac:dyDescent="0.25">
      <c r="A434" s="29">
        <v>1.0121988969371984E-14</v>
      </c>
    </row>
    <row r="435" spans="1:1" x14ac:dyDescent="0.25">
      <c r="A435" s="29">
        <v>9.1097900724347861E-15</v>
      </c>
    </row>
    <row r="436" spans="1:1" x14ac:dyDescent="0.25">
      <c r="A436" s="29">
        <v>8.1988110651913077E-15</v>
      </c>
    </row>
    <row r="437" spans="1:1" x14ac:dyDescent="0.25">
      <c r="A437" s="29">
        <v>7.3789299586721777E-15</v>
      </c>
    </row>
    <row r="438" spans="1:1" x14ac:dyDescent="0.25">
      <c r="A438" s="29">
        <v>6.6410369628049599E-15</v>
      </c>
    </row>
    <row r="439" spans="1:1" x14ac:dyDescent="0.25">
      <c r="A439" s="29">
        <v>5.9769332665244643E-15</v>
      </c>
    </row>
    <row r="440" spans="1:1" x14ac:dyDescent="0.25">
      <c r="A440" s="29">
        <v>5.3792399398720178E-15</v>
      </c>
    </row>
    <row r="441" spans="1:1" x14ac:dyDescent="0.25">
      <c r="A441" s="29">
        <v>4.8413159458848159E-15</v>
      </c>
    </row>
    <row r="442" spans="1:1" x14ac:dyDescent="0.25">
      <c r="A442" s="29">
        <v>4.3571843512963347E-15</v>
      </c>
    </row>
    <row r="443" spans="1:1" x14ac:dyDescent="0.25">
      <c r="A443" s="29">
        <v>3.921465916166701E-15</v>
      </c>
    </row>
    <row r="444" spans="1:1" x14ac:dyDescent="0.25">
      <c r="A444" s="29">
        <v>3.529319324550031E-15</v>
      </c>
    </row>
    <row r="445" spans="1:1" x14ac:dyDescent="0.25">
      <c r="A445" s="29">
        <v>3.176387392095028E-15</v>
      </c>
    </row>
    <row r="446" spans="1:1" x14ac:dyDescent="0.25">
      <c r="A446" s="29">
        <v>2.8587486528855254E-15</v>
      </c>
    </row>
    <row r="447" spans="1:1" x14ac:dyDescent="0.25">
      <c r="A447" s="29">
        <v>2.5728737875969727E-15</v>
      </c>
    </row>
    <row r="448" spans="1:1" x14ac:dyDescent="0.25">
      <c r="A448" s="29">
        <v>2.3155864088372755E-15</v>
      </c>
    </row>
    <row r="449" spans="1:1" x14ac:dyDescent="0.25">
      <c r="A449" s="29">
        <v>2.0840277679535482E-15</v>
      </c>
    </row>
    <row r="450" spans="1:1" x14ac:dyDescent="0.25">
      <c r="A450" s="29">
        <v>1.8756249911581935E-15</v>
      </c>
    </row>
    <row r="451" spans="1:1" x14ac:dyDescent="0.25">
      <c r="A451" s="29">
        <v>1.6880624920423743E-15</v>
      </c>
    </row>
    <row r="452" spans="1:1" x14ac:dyDescent="0.25">
      <c r="A452" s="29">
        <v>1.519256242838137E-15</v>
      </c>
    </row>
    <row r="453" spans="1:1" x14ac:dyDescent="0.25">
      <c r="A453" s="29">
        <v>1.3673306185543234E-15</v>
      </c>
    </row>
    <row r="454" spans="1:1" x14ac:dyDescent="0.25">
      <c r="A454" s="29">
        <v>1.230597556698891E-15</v>
      </c>
    </row>
    <row r="455" spans="1:1" x14ac:dyDescent="0.25">
      <c r="A455" s="29">
        <v>1.1075378010290018E-15</v>
      </c>
    </row>
    <row r="456" spans="1:1" x14ac:dyDescent="0.25">
      <c r="A456" s="29">
        <v>9.9678402092610166E-16</v>
      </c>
    </row>
    <row r="457" spans="1:1" x14ac:dyDescent="0.25">
      <c r="A457" s="29">
        <v>8.9710561883349156E-16</v>
      </c>
    </row>
    <row r="458" spans="1:1" x14ac:dyDescent="0.25">
      <c r="A458" s="29">
        <v>8.0739505695014242E-16</v>
      </c>
    </row>
    <row r="459" spans="1:1" x14ac:dyDescent="0.25">
      <c r="A459" s="29">
        <v>7.2665555125512816E-16</v>
      </c>
    </row>
    <row r="460" spans="1:1" x14ac:dyDescent="0.25">
      <c r="A460" s="29">
        <v>6.5398999612961539E-16</v>
      </c>
    </row>
    <row r="461" spans="1:1" x14ac:dyDescent="0.25">
      <c r="A461" s="29">
        <v>5.885909965166539E-16</v>
      </c>
    </row>
    <row r="462" spans="1:1" x14ac:dyDescent="0.25">
      <c r="A462" s="29">
        <v>5.2973189686498855E-16</v>
      </c>
    </row>
    <row r="463" spans="1:1" x14ac:dyDescent="0.25">
      <c r="A463" s="29">
        <v>4.767587071784897E-16</v>
      </c>
    </row>
    <row r="464" spans="1:1" x14ac:dyDescent="0.25">
      <c r="A464" s="29">
        <v>4.2908283646064075E-16</v>
      </c>
    </row>
    <row r="465" spans="1:1" x14ac:dyDescent="0.25">
      <c r="A465" s="29">
        <v>3.8617455281457667E-16</v>
      </c>
    </row>
    <row r="466" spans="1:1" x14ac:dyDescent="0.25">
      <c r="A466" s="29">
        <v>3.47557097533119E-16</v>
      </c>
    </row>
    <row r="467" spans="1:1" x14ac:dyDescent="0.25">
      <c r="A467" s="29">
        <v>3.1280138777980711E-16</v>
      </c>
    </row>
    <row r="468" spans="1:1" x14ac:dyDescent="0.25">
      <c r="A468" s="29">
        <v>2.815212490018264E-16</v>
      </c>
    </row>
    <row r="469" spans="1:1" x14ac:dyDescent="0.25">
      <c r="A469" s="29">
        <v>2.5336912410164374E-16</v>
      </c>
    </row>
    <row r="470" spans="1:1" x14ac:dyDescent="0.25">
      <c r="A470" s="29">
        <v>2.2803221169147938E-16</v>
      </c>
    </row>
    <row r="471" spans="1:1" x14ac:dyDescent="0.25">
      <c r="A471" s="29">
        <v>2.0522899052233145E-16</v>
      </c>
    </row>
    <row r="472" spans="1:1" x14ac:dyDescent="0.25">
      <c r="A472" s="29">
        <v>1.8470609147009832E-16</v>
      </c>
    </row>
    <row r="473" spans="1:1" x14ac:dyDescent="0.25">
      <c r="A473" s="29">
        <v>1.6623548232308849E-16</v>
      </c>
    </row>
    <row r="474" spans="1:1" x14ac:dyDescent="0.25">
      <c r="A474" s="29">
        <v>1.4961193409077965E-16</v>
      </c>
    </row>
    <row r="475" spans="1:1" x14ac:dyDescent="0.25">
      <c r="A475" s="29">
        <v>1.3465074068170169E-16</v>
      </c>
    </row>
    <row r="476" spans="1:1" x14ac:dyDescent="0.25">
      <c r="A476" s="29">
        <v>1.2118566661353153E-16</v>
      </c>
    </row>
    <row r="477" spans="1:1" x14ac:dyDescent="0.25">
      <c r="A477" s="29">
        <v>1.0906709995217838E-16</v>
      </c>
    </row>
    <row r="478" spans="1:1" x14ac:dyDescent="0.25">
      <c r="A478" s="29">
        <v>9.8160389956960543E-17</v>
      </c>
    </row>
    <row r="479" spans="1:1" x14ac:dyDescent="0.25">
      <c r="A479" s="29">
        <v>8.8344350961264486E-17</v>
      </c>
    </row>
    <row r="480" spans="1:1" x14ac:dyDescent="0.25">
      <c r="A480" s="29">
        <v>7.9509915865138035E-17</v>
      </c>
    </row>
    <row r="481" spans="1:1" x14ac:dyDescent="0.25">
      <c r="A481" s="29">
        <v>7.1558924278624229E-17</v>
      </c>
    </row>
    <row r="482" spans="1:1" x14ac:dyDescent="0.25">
      <c r="A482" s="29">
        <v>6.440303185076181E-17</v>
      </c>
    </row>
    <row r="483" spans="1:1" x14ac:dyDescent="0.25">
      <c r="A483" s="29">
        <v>5.7962728665685633E-17</v>
      </c>
    </row>
    <row r="484" spans="1:1" x14ac:dyDescent="0.25">
      <c r="A484" s="29">
        <v>5.2166455799117073E-17</v>
      </c>
    </row>
    <row r="485" spans="1:1" x14ac:dyDescent="0.25">
      <c r="A485" s="29">
        <v>4.6949810219205366E-17</v>
      </c>
    </row>
    <row r="486" spans="1:1" x14ac:dyDescent="0.25">
      <c r="A486" s="29">
        <v>4.2254829197284832E-17</v>
      </c>
    </row>
    <row r="487" spans="1:1" x14ac:dyDescent="0.25">
      <c r="A487" s="29">
        <v>3.8029346277556347E-17</v>
      </c>
    </row>
    <row r="488" spans="1:1" x14ac:dyDescent="0.25">
      <c r="A488" s="29">
        <v>3.4226411649800712E-17</v>
      </c>
    </row>
    <row r="489" spans="1:1" x14ac:dyDescent="0.25">
      <c r="A489" s="29">
        <v>3.0803770484820639E-17</v>
      </c>
    </row>
  </sheetData>
  <conditionalFormatting sqref="C136">
    <cfRule type="cellIs" dxfId="31" priority="1479" operator="equal">
      <formula>$U$1</formula>
    </cfRule>
    <cfRule type="cellIs" dxfId="30" priority="1480" operator="equal">
      <formula>$S$1</formula>
    </cfRule>
  </conditionalFormatting>
  <conditionalFormatting sqref="D136">
    <cfRule type="cellIs" dxfId="29" priority="1477" operator="equal">
      <formula>$S$1</formula>
    </cfRule>
    <cfRule type="cellIs" dxfId="28" priority="1478" operator="equal">
      <formula>$U$1</formula>
    </cfRule>
  </conditionalFormatting>
  <conditionalFormatting sqref="C102">
    <cfRule type="cellIs" dxfId="27" priority="1475" operator="equal">
      <formula>$U$1</formula>
    </cfRule>
    <cfRule type="cellIs" dxfId="26" priority="1476" operator="equal">
      <formula>$S$1</formula>
    </cfRule>
  </conditionalFormatting>
  <conditionalFormatting sqref="D102">
    <cfRule type="cellIs" dxfId="25" priority="1473" operator="equal">
      <formula>$S$1</formula>
    </cfRule>
    <cfRule type="cellIs" dxfId="24" priority="1474" operator="equal">
      <formula>$U$1</formula>
    </cfRule>
  </conditionalFormatting>
  <conditionalFormatting sqref="C77">
    <cfRule type="cellIs" dxfId="23" priority="1471" operator="equal">
      <formula>$U$1</formula>
    </cfRule>
    <cfRule type="cellIs" dxfId="22" priority="1472" operator="equal">
      <formula>$S$1</formula>
    </cfRule>
  </conditionalFormatting>
  <conditionalFormatting sqref="D77">
    <cfRule type="cellIs" dxfId="21" priority="1469" operator="equal">
      <formula>$S$1</formula>
    </cfRule>
    <cfRule type="cellIs" dxfId="20" priority="1470" operator="equal">
      <formula>$U$1</formula>
    </cfRule>
  </conditionalFormatting>
  <conditionalFormatting sqref="C52">
    <cfRule type="cellIs" dxfId="19" priority="1467" operator="equal">
      <formula>$U$1</formula>
    </cfRule>
    <cfRule type="cellIs" dxfId="18" priority="1468" operator="equal">
      <formula>$S$1</formula>
    </cfRule>
  </conditionalFormatting>
  <conditionalFormatting sqref="D52">
    <cfRule type="cellIs" dxfId="17" priority="1465" operator="equal">
      <formula>$S$1</formula>
    </cfRule>
    <cfRule type="cellIs" dxfId="16" priority="1466" operator="equal">
      <formula>$U$1</formula>
    </cfRule>
  </conditionalFormatting>
  <conditionalFormatting sqref="C26">
    <cfRule type="cellIs" dxfId="15" priority="1463" operator="equal">
      <formula>$U$1</formula>
    </cfRule>
    <cfRule type="cellIs" dxfId="14" priority="1464" operator="equal">
      <formula>$S$1</formula>
    </cfRule>
  </conditionalFormatting>
  <conditionalFormatting sqref="D26">
    <cfRule type="cellIs" dxfId="13" priority="1461" operator="equal">
      <formula>$S$1</formula>
    </cfRule>
    <cfRule type="cellIs" dxfId="12" priority="146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7" width="8.7109375" style="1" customWidth="1"/>
    <col min="8" max="8" width="9.42578125" style="1" customWidth="1"/>
    <col min="9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29">
        <v>4.4461878058214112E-3</v>
      </c>
      <c r="F3" s="29">
        <v>5.9583168959813212E-3</v>
      </c>
      <c r="G3" s="29">
        <v>1.2386912896918512E-2</v>
      </c>
      <c r="H3" s="33">
        <f>IF(G3="","",(3*(G3-F3))+E3)</f>
        <v>2.3731975808632982E-2</v>
      </c>
      <c r="I3" s="7"/>
      <c r="J3" s="7">
        <f>(E3+G3)/2</f>
        <v>8.416550351369961E-3</v>
      </c>
      <c r="K3" s="7">
        <f>H3/2</f>
        <v>1.1865987904316491E-2</v>
      </c>
      <c r="M3" s="25">
        <f>IF(OR(J3="",H3=""),"",H3/J3)</f>
        <v>2.8196796570901679</v>
      </c>
      <c r="N3" s="25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33" t="str">
        <f t="shared" ref="H4:H25" si="0">IF(G4="","",(3*(G4-F4))+E4)</f>
        <v/>
      </c>
      <c r="I4" s="7"/>
      <c r="J4" s="7"/>
      <c r="K4" s="7"/>
      <c r="M4" s="25" t="str">
        <f t="shared" ref="M4:M25" si="1">IF(OR(J4="",H4=""),"",H4/J4)</f>
        <v/>
      </c>
      <c r="N4" s="25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33" t="str">
        <f t="shared" si="0"/>
        <v/>
      </c>
      <c r="I5" s="7"/>
      <c r="J5" s="7"/>
      <c r="K5" s="7"/>
      <c r="M5" s="25" t="str">
        <f t="shared" si="1"/>
        <v/>
      </c>
      <c r="N5" s="25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33" t="str">
        <f t="shared" si="0"/>
        <v/>
      </c>
      <c r="I6" s="7"/>
      <c r="J6" s="7"/>
      <c r="K6" s="7"/>
      <c r="L6" s="7"/>
      <c r="M6" s="25" t="str">
        <f t="shared" si="1"/>
        <v/>
      </c>
      <c r="N6" s="25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33" t="str">
        <f t="shared" si="0"/>
        <v/>
      </c>
      <c r="I7" s="7"/>
      <c r="J7" s="7"/>
      <c r="K7" s="7"/>
      <c r="L7" s="7"/>
      <c r="M7" s="25" t="str">
        <f t="shared" si="1"/>
        <v/>
      </c>
      <c r="N7" s="25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33" t="str">
        <f t="shared" si="0"/>
        <v/>
      </c>
      <c r="I8" s="7"/>
      <c r="J8" s="7"/>
      <c r="K8" s="7"/>
      <c r="L8" s="7"/>
      <c r="M8" s="25" t="str">
        <f t="shared" si="1"/>
        <v/>
      </c>
      <c r="N8" s="25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33" t="str">
        <f t="shared" si="0"/>
        <v/>
      </c>
      <c r="I9" s="7"/>
      <c r="J9" s="7"/>
      <c r="K9" s="7"/>
      <c r="L9" s="7"/>
      <c r="M9" s="25" t="str">
        <f t="shared" si="1"/>
        <v/>
      </c>
      <c r="N9" s="25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33" t="str">
        <f t="shared" si="0"/>
        <v/>
      </c>
      <c r="I10" s="7"/>
      <c r="J10" s="7"/>
      <c r="K10" s="7"/>
      <c r="M10" s="25" t="str">
        <f t="shared" si="1"/>
        <v/>
      </c>
      <c r="N10" s="25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33" t="str">
        <f t="shared" si="0"/>
        <v/>
      </c>
      <c r="I11" s="7"/>
      <c r="J11" s="7"/>
      <c r="K11" s="7"/>
      <c r="M11" s="25" t="str">
        <f t="shared" si="1"/>
        <v/>
      </c>
      <c r="N11" s="25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33" t="str">
        <f t="shared" si="0"/>
        <v/>
      </c>
      <c r="I12" s="7"/>
      <c r="J12" s="7"/>
      <c r="K12" s="7"/>
      <c r="M12" s="25" t="str">
        <f t="shared" si="1"/>
        <v/>
      </c>
      <c r="N12" s="25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33" t="str">
        <f t="shared" si="0"/>
        <v/>
      </c>
      <c r="I13" s="7"/>
      <c r="J13" s="7"/>
      <c r="K13" s="7"/>
      <c r="M13" s="25" t="str">
        <f t="shared" si="1"/>
        <v/>
      </c>
      <c r="N13" s="25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33" t="str">
        <f t="shared" si="0"/>
        <v/>
      </c>
      <c r="I14" s="7"/>
      <c r="J14" s="7"/>
      <c r="K14" s="7"/>
      <c r="M14" s="25" t="str">
        <f t="shared" si="1"/>
        <v/>
      </c>
      <c r="N14" s="25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33" t="str">
        <f t="shared" si="0"/>
        <v/>
      </c>
      <c r="I15" s="7"/>
      <c r="J15" s="7"/>
      <c r="K15" s="7"/>
      <c r="M15" s="25" t="str">
        <f t="shared" si="1"/>
        <v/>
      </c>
      <c r="N15" s="25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33" t="str">
        <f t="shared" si="0"/>
        <v/>
      </c>
      <c r="I16" s="7"/>
      <c r="J16" s="7"/>
      <c r="K16" s="7"/>
      <c r="M16" s="25" t="str">
        <f t="shared" si="1"/>
        <v/>
      </c>
      <c r="N16" s="25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33" t="str">
        <f t="shared" si="0"/>
        <v/>
      </c>
      <c r="I17" s="7"/>
      <c r="J17" s="7"/>
      <c r="K17" s="7"/>
      <c r="M17" s="25" t="str">
        <f t="shared" si="1"/>
        <v/>
      </c>
      <c r="N17" s="25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33" t="str">
        <f t="shared" si="0"/>
        <v/>
      </c>
      <c r="I18" s="7"/>
      <c r="J18" s="7"/>
      <c r="K18" s="7"/>
      <c r="M18" s="25" t="str">
        <f t="shared" si="1"/>
        <v/>
      </c>
      <c r="N18" s="25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33" t="str">
        <f t="shared" si="0"/>
        <v/>
      </c>
      <c r="I19" s="7"/>
      <c r="J19" s="7"/>
      <c r="K19" s="7"/>
      <c r="M19" s="25" t="str">
        <f t="shared" si="1"/>
        <v/>
      </c>
      <c r="N19" s="25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33" t="str">
        <f t="shared" si="0"/>
        <v/>
      </c>
      <c r="I20" s="7"/>
      <c r="J20" s="7"/>
      <c r="K20" s="7"/>
      <c r="M20" s="25" t="str">
        <f t="shared" si="1"/>
        <v/>
      </c>
      <c r="N20" s="25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33" t="str">
        <f t="shared" si="0"/>
        <v/>
      </c>
      <c r="I21" s="7"/>
      <c r="J21" s="7"/>
      <c r="K21" s="7"/>
      <c r="M21" s="25" t="str">
        <f t="shared" si="1"/>
        <v/>
      </c>
      <c r="N21" s="25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33" t="str">
        <f t="shared" si="0"/>
        <v/>
      </c>
      <c r="I22" s="7"/>
      <c r="J22" s="7"/>
      <c r="K22" s="7"/>
      <c r="M22" s="25" t="str">
        <f t="shared" si="1"/>
        <v/>
      </c>
      <c r="N22" s="25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33" t="str">
        <f t="shared" si="0"/>
        <v/>
      </c>
      <c r="I23" s="7"/>
      <c r="J23" s="7"/>
      <c r="K23" s="7"/>
      <c r="M23" s="25" t="str">
        <f t="shared" si="1"/>
        <v/>
      </c>
      <c r="N23" s="25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33" t="str">
        <f t="shared" si="0"/>
        <v/>
      </c>
      <c r="I24" s="7"/>
      <c r="J24" s="7"/>
      <c r="K24" s="7"/>
      <c r="M24" s="25" t="str">
        <f t="shared" si="1"/>
        <v/>
      </c>
      <c r="N24" s="25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33" t="str">
        <f t="shared" si="0"/>
        <v/>
      </c>
      <c r="I25" s="7"/>
      <c r="J25" s="7"/>
      <c r="K25" s="7"/>
      <c r="M25" s="25" t="str">
        <f t="shared" si="1"/>
        <v/>
      </c>
      <c r="N25" s="25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7" t="s">
        <v>0</v>
      </c>
      <c r="B1" s="27" t="s">
        <v>1</v>
      </c>
      <c r="C1" s="2" t="s">
        <v>2</v>
      </c>
      <c r="D1" s="2" t="s">
        <v>3</v>
      </c>
      <c r="E1" s="27" t="s">
        <v>4</v>
      </c>
      <c r="F1" s="27" t="s">
        <v>5</v>
      </c>
      <c r="G1" s="27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7"/>
      <c r="B2" s="27"/>
      <c r="C2" s="4">
        <f>MAX(C3:C1700)</f>
        <v>0</v>
      </c>
      <c r="D2" s="4">
        <f>MIN(D3:D1700)</f>
        <v>0</v>
      </c>
      <c r="E2" s="27"/>
      <c r="F2" s="27"/>
      <c r="G2" s="27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7"/>
      <c r="C15" s="2"/>
      <c r="D15" s="2"/>
      <c r="E15" s="27"/>
      <c r="F15" s="27"/>
    </row>
    <row r="16" spans="1:14" x14ac:dyDescent="0.25">
      <c r="A16" s="5"/>
      <c r="B16" s="27"/>
      <c r="C16" s="2"/>
      <c r="D16" s="2"/>
      <c r="E16" s="27"/>
      <c r="F16" s="27"/>
    </row>
    <row r="17" spans="1:6" x14ac:dyDescent="0.25">
      <c r="A17" s="5"/>
      <c r="B17" s="27"/>
      <c r="C17" s="2"/>
      <c r="D17" s="2"/>
      <c r="E17" s="27"/>
      <c r="F17" s="27"/>
    </row>
    <row r="18" spans="1:6" x14ac:dyDescent="0.25">
      <c r="A18" s="5"/>
      <c r="B18" s="27"/>
      <c r="C18" s="2"/>
      <c r="D18" s="2"/>
      <c r="E18" s="27"/>
      <c r="F18" s="27"/>
    </row>
    <row r="19" spans="1:6" x14ac:dyDescent="0.25">
      <c r="A19" s="5"/>
      <c r="B19" s="27"/>
      <c r="C19" s="2"/>
      <c r="D19" s="2"/>
      <c r="E19" s="27"/>
      <c r="F19" s="27"/>
    </row>
    <row r="20" spans="1:6" x14ac:dyDescent="0.25">
      <c r="A20" s="5"/>
      <c r="B20" s="27"/>
      <c r="C20" s="2"/>
      <c r="D20" s="2"/>
      <c r="E20" s="27"/>
      <c r="F20" s="27"/>
    </row>
    <row r="21" spans="1:6" x14ac:dyDescent="0.25">
      <c r="A21" s="5"/>
      <c r="B21" s="27"/>
      <c r="C21" s="2"/>
      <c r="D21" s="2"/>
      <c r="E21" s="27"/>
      <c r="F21" s="27"/>
    </row>
    <row r="22" spans="1:6" x14ac:dyDescent="0.25">
      <c r="A22" s="5"/>
      <c r="B22" s="27"/>
      <c r="C22" s="2"/>
      <c r="D22" s="2"/>
      <c r="E22" s="27"/>
      <c r="F22" s="27"/>
    </row>
    <row r="23" spans="1:6" x14ac:dyDescent="0.25">
      <c r="A23" s="5"/>
      <c r="B23" s="27"/>
      <c r="C23" s="2"/>
      <c r="D23" s="2"/>
      <c r="E23" s="27"/>
      <c r="F23" s="27"/>
    </row>
    <row r="24" spans="1:6" x14ac:dyDescent="0.25">
      <c r="A24" s="5"/>
      <c r="B24" s="27"/>
      <c r="C24" s="2"/>
      <c r="D24" s="2"/>
      <c r="E24" s="27"/>
      <c r="F24" s="27"/>
    </row>
    <row r="25" spans="1:6" x14ac:dyDescent="0.25">
      <c r="A25" s="5"/>
      <c r="B25" s="27"/>
      <c r="C25" s="2"/>
      <c r="D25" s="2"/>
      <c r="E25" s="27"/>
      <c r="F25" s="27"/>
    </row>
    <row r="26" spans="1:6" x14ac:dyDescent="0.25">
      <c r="A26" s="5"/>
      <c r="B26" s="27"/>
      <c r="C26" s="2"/>
      <c r="D26" s="2"/>
      <c r="E26" s="27"/>
      <c r="F26" s="27"/>
    </row>
    <row r="27" spans="1:6" x14ac:dyDescent="0.25">
      <c r="A27" s="5"/>
      <c r="B27" s="27"/>
      <c r="C27" s="2"/>
      <c r="D27" s="2"/>
      <c r="E27" s="27"/>
      <c r="F27" s="27"/>
    </row>
    <row r="28" spans="1:6" x14ac:dyDescent="0.25">
      <c r="A28" s="5"/>
      <c r="B28" s="27"/>
      <c r="C28" s="2"/>
      <c r="D28" s="2"/>
      <c r="E28" s="27"/>
      <c r="F28" s="27"/>
    </row>
    <row r="29" spans="1:6" x14ac:dyDescent="0.25">
      <c r="A29" s="5"/>
      <c r="B29" s="27"/>
      <c r="C29" s="2"/>
      <c r="D29" s="2"/>
      <c r="E29" s="27"/>
      <c r="F29" s="27"/>
    </row>
    <row r="30" spans="1:6" x14ac:dyDescent="0.25">
      <c r="A30" s="5"/>
      <c r="B30" s="27"/>
      <c r="C30" s="2"/>
      <c r="D30" s="2"/>
      <c r="E30" s="27"/>
      <c r="F30" s="27"/>
    </row>
    <row r="31" spans="1:6" x14ac:dyDescent="0.25">
      <c r="A31" s="5"/>
      <c r="B31" s="27"/>
      <c r="C31" s="2"/>
      <c r="D31" s="2"/>
      <c r="E31" s="27"/>
      <c r="F31" s="27"/>
    </row>
    <row r="32" spans="1:6" x14ac:dyDescent="0.25">
      <c r="A32" s="5"/>
      <c r="B32" s="27"/>
      <c r="C32" s="2"/>
      <c r="D32" s="2"/>
      <c r="E32" s="27"/>
      <c r="F32" s="27"/>
    </row>
    <row r="33" spans="1:6" x14ac:dyDescent="0.25">
      <c r="A33" s="5"/>
      <c r="B33" s="27"/>
      <c r="C33" s="2"/>
      <c r="D33" s="2"/>
      <c r="E33" s="27"/>
      <c r="F33" s="27"/>
    </row>
    <row r="34" spans="1:6" x14ac:dyDescent="0.25">
      <c r="A34" s="5"/>
      <c r="B34" s="27"/>
      <c r="C34" s="2"/>
      <c r="D34" s="2"/>
      <c r="E34" s="27"/>
      <c r="F34" s="27"/>
    </row>
    <row r="35" spans="1:6" x14ac:dyDescent="0.25">
      <c r="A35" s="5"/>
      <c r="B35" s="27"/>
      <c r="C35" s="2"/>
      <c r="D35" s="2"/>
      <c r="E35" s="27"/>
      <c r="F35" s="27"/>
    </row>
    <row r="36" spans="1:6" x14ac:dyDescent="0.25">
      <c r="A36" s="5"/>
      <c r="B36" s="27"/>
      <c r="C36" s="2"/>
      <c r="D36" s="2"/>
      <c r="E36" s="27"/>
      <c r="F36" s="27"/>
    </row>
    <row r="37" spans="1:6" x14ac:dyDescent="0.25">
      <c r="A37" s="5"/>
      <c r="B37" s="27"/>
      <c r="C37" s="2"/>
      <c r="D37" s="2"/>
      <c r="E37" s="27"/>
      <c r="F37" s="27"/>
    </row>
    <row r="38" spans="1:6" x14ac:dyDescent="0.25">
      <c r="A38" s="5"/>
      <c r="B38" s="27"/>
      <c r="C38" s="2"/>
      <c r="D38" s="2"/>
      <c r="E38" s="27"/>
      <c r="F38" s="27"/>
    </row>
    <row r="39" spans="1:6" x14ac:dyDescent="0.25">
      <c r="A39" s="5"/>
      <c r="B39" s="27"/>
      <c r="C39" s="2"/>
      <c r="D39" s="2"/>
      <c r="E39" s="27"/>
      <c r="F39" s="27"/>
    </row>
    <row r="40" spans="1:6" x14ac:dyDescent="0.25">
      <c r="A40" s="5"/>
      <c r="B40" s="27"/>
      <c r="C40" s="2"/>
      <c r="D40" s="2"/>
      <c r="E40" s="27"/>
      <c r="F40" s="27"/>
    </row>
    <row r="41" spans="1:6" x14ac:dyDescent="0.25">
      <c r="A41" s="5"/>
      <c r="B41" s="27"/>
      <c r="C41" s="2"/>
      <c r="D41" s="2"/>
      <c r="E41" s="27"/>
      <c r="F41" s="27"/>
    </row>
    <row r="42" spans="1:6" x14ac:dyDescent="0.25">
      <c r="A42" s="5"/>
      <c r="B42" s="27"/>
      <c r="C42" s="2"/>
      <c r="D42" s="2"/>
      <c r="E42" s="27"/>
      <c r="F42" s="27"/>
    </row>
    <row r="43" spans="1:6" x14ac:dyDescent="0.25">
      <c r="A43" s="5"/>
      <c r="B43" s="27"/>
      <c r="C43" s="2"/>
      <c r="D43" s="2"/>
      <c r="E43" s="27"/>
      <c r="F43" s="27"/>
    </row>
    <row r="44" spans="1:6" x14ac:dyDescent="0.25">
      <c r="A44" s="5"/>
      <c r="B44" s="27"/>
      <c r="C44" s="2"/>
      <c r="D44" s="2"/>
      <c r="E44" s="27"/>
      <c r="F44" s="27"/>
    </row>
    <row r="45" spans="1:6" x14ac:dyDescent="0.25">
      <c r="A45" s="5"/>
      <c r="B45" s="27"/>
      <c r="C45" s="2"/>
      <c r="D45" s="2"/>
      <c r="E45" s="27"/>
      <c r="F45" s="27"/>
    </row>
    <row r="46" spans="1:6" x14ac:dyDescent="0.25">
      <c r="A46" s="5"/>
      <c r="B46" s="27"/>
      <c r="C46" s="2"/>
      <c r="D46" s="2"/>
      <c r="E46" s="27"/>
      <c r="F46" s="27"/>
    </row>
    <row r="47" spans="1:6" x14ac:dyDescent="0.25">
      <c r="A47" s="5"/>
      <c r="B47" s="27"/>
      <c r="C47" s="2"/>
      <c r="D47" s="2"/>
      <c r="E47" s="27"/>
      <c r="F47" s="27"/>
    </row>
    <row r="48" spans="1:6" x14ac:dyDescent="0.25">
      <c r="A48" s="5"/>
      <c r="B48" s="27"/>
      <c r="C48" s="2"/>
      <c r="D48" s="2"/>
      <c r="E48" s="27"/>
      <c r="F48" s="27"/>
    </row>
    <row r="49" spans="1:6" x14ac:dyDescent="0.25">
      <c r="A49" s="5"/>
      <c r="B49" s="27"/>
      <c r="C49" s="2"/>
      <c r="D49" s="2"/>
      <c r="E49" s="27"/>
      <c r="F49" s="27"/>
    </row>
    <row r="50" spans="1:6" x14ac:dyDescent="0.25">
      <c r="A50" s="5"/>
      <c r="B50" s="27"/>
      <c r="C50" s="2"/>
      <c r="D50" s="2"/>
      <c r="E50" s="27"/>
      <c r="F50" s="27"/>
    </row>
    <row r="51" spans="1:6" x14ac:dyDescent="0.25">
      <c r="A51" s="5"/>
      <c r="B51" s="27"/>
      <c r="C51" s="2"/>
      <c r="D51" s="2"/>
      <c r="E51" s="27"/>
      <c r="F51" s="27"/>
    </row>
    <row r="52" spans="1:6" x14ac:dyDescent="0.25">
      <c r="A52" s="5"/>
      <c r="B52" s="27"/>
      <c r="C52" s="2"/>
      <c r="D52" s="2"/>
      <c r="E52" s="27"/>
      <c r="F52" s="27"/>
    </row>
    <row r="53" spans="1:6" x14ac:dyDescent="0.25">
      <c r="A53" s="5"/>
      <c r="B53" s="27"/>
      <c r="C53" s="2"/>
      <c r="D53" s="2"/>
      <c r="E53" s="27"/>
      <c r="F53" s="27"/>
    </row>
    <row r="54" spans="1:6" x14ac:dyDescent="0.25">
      <c r="A54" s="5"/>
      <c r="B54" s="27"/>
      <c r="C54" s="2"/>
      <c r="D54" s="2"/>
      <c r="E54" s="27"/>
      <c r="F54" s="27"/>
    </row>
    <row r="55" spans="1:6" x14ac:dyDescent="0.25">
      <c r="A55" s="5"/>
      <c r="B55" s="27"/>
      <c r="C55" s="2"/>
      <c r="D55" s="2"/>
      <c r="E55" s="27"/>
      <c r="F55" s="27"/>
    </row>
    <row r="56" spans="1:6" x14ac:dyDescent="0.25">
      <c r="A56" s="5"/>
      <c r="B56" s="27"/>
      <c r="C56" s="2"/>
      <c r="D56" s="2"/>
      <c r="E56" s="27"/>
      <c r="F56" s="27"/>
    </row>
    <row r="57" spans="1:6" x14ac:dyDescent="0.25">
      <c r="A57" s="5"/>
      <c r="B57" s="27"/>
      <c r="C57" s="2"/>
      <c r="D57" s="2"/>
      <c r="E57" s="27"/>
      <c r="F57" s="27"/>
    </row>
    <row r="58" spans="1:6" x14ac:dyDescent="0.25">
      <c r="A58" s="5"/>
      <c r="B58" s="27"/>
      <c r="C58" s="2"/>
      <c r="D58" s="2"/>
      <c r="E58" s="27"/>
      <c r="F58" s="27"/>
    </row>
    <row r="59" spans="1:6" x14ac:dyDescent="0.25">
      <c r="A59" s="5"/>
      <c r="B59" s="27"/>
      <c r="C59" s="2"/>
      <c r="D59" s="2"/>
      <c r="E59" s="27"/>
      <c r="F59" s="27"/>
    </row>
    <row r="60" spans="1:6" x14ac:dyDescent="0.25">
      <c r="A60" s="5"/>
      <c r="B60" s="27"/>
      <c r="C60" s="2"/>
      <c r="D60" s="2"/>
      <c r="E60" s="27"/>
      <c r="F60" s="27"/>
    </row>
    <row r="61" spans="1:6" x14ac:dyDescent="0.25">
      <c r="A61" s="5"/>
      <c r="B61" s="27"/>
      <c r="C61" s="2"/>
      <c r="D61" s="2"/>
      <c r="E61" s="27"/>
      <c r="F61" s="27"/>
    </row>
    <row r="62" spans="1:6" x14ac:dyDescent="0.25">
      <c r="A62" s="5"/>
      <c r="B62" s="27"/>
      <c r="C62" s="2"/>
      <c r="D62" s="2"/>
      <c r="E62" s="27"/>
      <c r="F62" s="27"/>
    </row>
    <row r="63" spans="1:6" x14ac:dyDescent="0.25">
      <c r="A63" s="5"/>
      <c r="B63" s="27"/>
      <c r="C63" s="2"/>
      <c r="D63" s="2"/>
      <c r="E63" s="27"/>
      <c r="F63" s="27"/>
    </row>
    <row r="64" spans="1:6" x14ac:dyDescent="0.25">
      <c r="A64" s="5"/>
      <c r="B64" s="27"/>
      <c r="C64" s="2"/>
      <c r="D64" s="2"/>
      <c r="E64" s="27"/>
      <c r="F64" s="27"/>
    </row>
    <row r="65" spans="1:6" x14ac:dyDescent="0.25">
      <c r="A65" s="5"/>
      <c r="B65" s="27"/>
      <c r="C65" s="2"/>
      <c r="D65" s="2"/>
      <c r="E65" s="27"/>
      <c r="F65" s="27"/>
    </row>
    <row r="66" spans="1:6" x14ac:dyDescent="0.25">
      <c r="A66" s="5"/>
      <c r="B66" s="27"/>
      <c r="C66" s="2"/>
      <c r="D66" s="2"/>
      <c r="E66" s="27"/>
      <c r="F66" s="27"/>
    </row>
    <row r="67" spans="1:6" x14ac:dyDescent="0.25">
      <c r="A67" s="5"/>
      <c r="B67" s="27"/>
      <c r="C67" s="2"/>
      <c r="D67" s="2"/>
      <c r="E67" s="27"/>
      <c r="F67" s="27"/>
    </row>
    <row r="68" spans="1:6" x14ac:dyDescent="0.25">
      <c r="A68" s="5"/>
      <c r="B68" s="27"/>
      <c r="C68" s="2"/>
      <c r="D68" s="2"/>
      <c r="E68" s="27"/>
      <c r="F68" s="27"/>
    </row>
    <row r="69" spans="1:6" x14ac:dyDescent="0.25">
      <c r="A69" s="5"/>
      <c r="B69" s="27"/>
      <c r="C69" s="2"/>
      <c r="D69" s="2"/>
      <c r="E69" s="27"/>
      <c r="F69" s="27"/>
    </row>
    <row r="70" spans="1:6" x14ac:dyDescent="0.25">
      <c r="A70" s="5"/>
      <c r="B70" s="27"/>
      <c r="C70" s="2"/>
      <c r="D70" s="2"/>
      <c r="E70" s="27"/>
      <c r="F70" s="27"/>
    </row>
    <row r="71" spans="1:6" x14ac:dyDescent="0.25">
      <c r="A71" s="5"/>
      <c r="B71" s="27"/>
      <c r="C71" s="2"/>
      <c r="D71" s="2"/>
      <c r="E71" s="27"/>
      <c r="F71" s="27"/>
    </row>
    <row r="72" spans="1:6" x14ac:dyDescent="0.25">
      <c r="A72" s="5"/>
      <c r="B72" s="27"/>
      <c r="C72" s="2"/>
      <c r="D72" s="2"/>
      <c r="E72" s="27"/>
      <c r="F72" s="27"/>
    </row>
    <row r="73" spans="1:6" x14ac:dyDescent="0.25">
      <c r="A73" s="5"/>
      <c r="B73" s="27"/>
      <c r="C73" s="2"/>
      <c r="D73" s="2"/>
      <c r="E73" s="27"/>
      <c r="F73" s="27"/>
    </row>
    <row r="74" spans="1:6" x14ac:dyDescent="0.25">
      <c r="A74" s="5"/>
      <c r="B74" s="27"/>
      <c r="C74" s="2"/>
      <c r="D74" s="2"/>
      <c r="E74" s="27"/>
      <c r="F74" s="27"/>
    </row>
    <row r="75" spans="1:6" x14ac:dyDescent="0.25">
      <c r="A75" s="5"/>
      <c r="B75" s="27"/>
      <c r="C75" s="2"/>
      <c r="D75" s="2"/>
      <c r="E75" s="27"/>
      <c r="F75" s="27"/>
    </row>
    <row r="76" spans="1:6" x14ac:dyDescent="0.25">
      <c r="A76" s="5"/>
      <c r="B76" s="27"/>
      <c r="C76" s="2"/>
      <c r="D76" s="2"/>
      <c r="E76" s="27"/>
      <c r="F76" s="27"/>
    </row>
    <row r="77" spans="1:6" x14ac:dyDescent="0.25">
      <c r="A77" s="5"/>
      <c r="B77" s="27"/>
      <c r="C77" s="2"/>
      <c r="D77" s="2"/>
      <c r="E77" s="27"/>
      <c r="F77" s="27"/>
    </row>
    <row r="78" spans="1:6" x14ac:dyDescent="0.25">
      <c r="A78" s="5"/>
      <c r="B78" s="27"/>
      <c r="C78" s="2"/>
      <c r="D78" s="2"/>
      <c r="E78" s="27"/>
      <c r="F78" s="27"/>
    </row>
    <row r="79" spans="1:6" x14ac:dyDescent="0.25">
      <c r="A79" s="5"/>
      <c r="B79" s="27"/>
      <c r="C79" s="2"/>
      <c r="D79" s="2"/>
      <c r="E79" s="27"/>
      <c r="F79" s="27"/>
    </row>
    <row r="80" spans="1:6" x14ac:dyDescent="0.25">
      <c r="A80" s="5"/>
      <c r="B80" s="27"/>
      <c r="C80" s="2"/>
      <c r="D80" s="2"/>
      <c r="E80" s="27"/>
      <c r="F80" s="27"/>
    </row>
    <row r="81" spans="1:6" x14ac:dyDescent="0.25">
      <c r="A81" s="5"/>
      <c r="B81" s="27"/>
      <c r="C81" s="2"/>
      <c r="D81" s="2"/>
      <c r="E81" s="27"/>
      <c r="F81" s="27"/>
    </row>
    <row r="82" spans="1:6" x14ac:dyDescent="0.25">
      <c r="A82" s="5"/>
      <c r="B82" s="27"/>
      <c r="C82" s="2"/>
      <c r="D82" s="2"/>
      <c r="E82" s="27"/>
      <c r="F82" s="27"/>
    </row>
    <row r="83" spans="1:6" x14ac:dyDescent="0.25">
      <c r="A83" s="5"/>
      <c r="B83" s="27"/>
      <c r="C83" s="2"/>
      <c r="D83" s="2"/>
      <c r="E83" s="27"/>
      <c r="F83" s="27"/>
    </row>
    <row r="84" spans="1:6" x14ac:dyDescent="0.25">
      <c r="A84" s="5"/>
      <c r="B84" s="27"/>
      <c r="C84" s="2"/>
      <c r="D84" s="2"/>
      <c r="E84" s="27"/>
      <c r="F84" s="27"/>
    </row>
    <row r="85" spans="1:6" x14ac:dyDescent="0.25">
      <c r="A85" s="5"/>
      <c r="B85" s="27"/>
      <c r="C85" s="2"/>
      <c r="D85" s="2"/>
      <c r="E85" s="27"/>
      <c r="F85" s="27"/>
    </row>
    <row r="86" spans="1:6" x14ac:dyDescent="0.25">
      <c r="A86" s="5"/>
      <c r="B86" s="27"/>
      <c r="C86" s="2"/>
      <c r="D86" s="2"/>
      <c r="E86" s="27"/>
      <c r="F86" s="27"/>
    </row>
    <row r="87" spans="1:6" x14ac:dyDescent="0.25">
      <c r="A87" s="5"/>
      <c r="B87" s="27"/>
      <c r="C87" s="2"/>
      <c r="D87" s="2"/>
      <c r="E87" s="27"/>
      <c r="F87" s="27"/>
    </row>
    <row r="88" spans="1:6" x14ac:dyDescent="0.25">
      <c r="A88" s="5"/>
      <c r="B88" s="27"/>
      <c r="C88" s="2"/>
      <c r="D88" s="2"/>
      <c r="E88" s="27"/>
      <c r="F88" s="27"/>
    </row>
    <row r="89" spans="1:6" x14ac:dyDescent="0.25">
      <c r="A89" s="5"/>
      <c r="B89" s="27"/>
      <c r="C89" s="2"/>
      <c r="D89" s="2"/>
      <c r="E89" s="27"/>
      <c r="F89" s="27"/>
    </row>
    <row r="90" spans="1:6" x14ac:dyDescent="0.25">
      <c r="A90" s="5"/>
      <c r="B90" s="27"/>
      <c r="C90" s="2"/>
      <c r="D90" s="2"/>
      <c r="E90" s="27"/>
      <c r="F90" s="27"/>
    </row>
    <row r="91" spans="1:6" x14ac:dyDescent="0.25">
      <c r="A91" s="5"/>
      <c r="B91" s="27"/>
      <c r="C91" s="2"/>
      <c r="D91" s="2"/>
      <c r="E91" s="27"/>
      <c r="F91" s="27"/>
    </row>
    <row r="92" spans="1:6" x14ac:dyDescent="0.25">
      <c r="A92" s="5"/>
      <c r="B92" s="27"/>
      <c r="C92" s="2"/>
      <c r="D92" s="2"/>
      <c r="E92" s="27"/>
      <c r="F92" s="27"/>
    </row>
    <row r="93" spans="1:6" x14ac:dyDescent="0.25">
      <c r="A93" s="5"/>
      <c r="B93" s="27"/>
      <c r="C93" s="2"/>
      <c r="D93" s="2"/>
      <c r="E93" s="27"/>
      <c r="F93" s="27"/>
    </row>
    <row r="94" spans="1:6" x14ac:dyDescent="0.25">
      <c r="A94" s="5"/>
      <c r="B94" s="27"/>
      <c r="C94" s="2"/>
      <c r="D94" s="2"/>
      <c r="E94" s="27"/>
      <c r="F94" s="27"/>
    </row>
    <row r="95" spans="1:6" x14ac:dyDescent="0.25">
      <c r="A95" s="5"/>
      <c r="B95" s="27"/>
      <c r="C95" s="2"/>
      <c r="D95" s="2"/>
      <c r="E95" s="27"/>
      <c r="F95" s="27"/>
    </row>
    <row r="96" spans="1:6" x14ac:dyDescent="0.25">
      <c r="A96" s="5"/>
      <c r="B96" s="27"/>
      <c r="C96" s="2"/>
      <c r="D96" s="2"/>
      <c r="E96" s="27"/>
      <c r="F96" s="27"/>
    </row>
    <row r="97" spans="1:6" x14ac:dyDescent="0.25">
      <c r="A97" s="5"/>
      <c r="B97" s="27"/>
      <c r="C97" s="2"/>
      <c r="D97" s="2"/>
      <c r="E97" s="27"/>
      <c r="F97" s="27"/>
    </row>
    <row r="98" spans="1:6" x14ac:dyDescent="0.25">
      <c r="A98" s="5"/>
      <c r="B98" s="27"/>
      <c r="C98" s="2"/>
      <c r="D98" s="2"/>
      <c r="E98" s="27"/>
      <c r="F98" s="27"/>
    </row>
    <row r="99" spans="1:6" x14ac:dyDescent="0.25">
      <c r="A99" s="5"/>
      <c r="B99" s="27"/>
      <c r="C99" s="2"/>
      <c r="D99" s="2"/>
      <c r="E99" s="27"/>
      <c r="F99" s="27"/>
    </row>
    <row r="100" spans="1:6" x14ac:dyDescent="0.25">
      <c r="A100" s="5"/>
      <c r="B100" s="27"/>
      <c r="C100" s="2"/>
      <c r="D100" s="2"/>
      <c r="E100" s="27"/>
      <c r="F100" s="27"/>
    </row>
    <row r="101" spans="1:6" x14ac:dyDescent="0.25">
      <c r="A101" s="5"/>
      <c r="B101" s="27"/>
      <c r="C101" s="2"/>
      <c r="D101" s="2"/>
      <c r="E101" s="27"/>
      <c r="F101" s="27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2022-01-28T01:17:30Z</dcterms:modified>
</cp:coreProperties>
</file>