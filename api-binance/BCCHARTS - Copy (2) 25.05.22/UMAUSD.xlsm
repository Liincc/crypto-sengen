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73D71A4A-091C-463D-A621-B33A864EA5A7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4"/>
  <c r="C133" i="4" s="1"/>
  <c r="C136" i="4" s="1"/>
  <c r="C122" i="5"/>
  <c r="C133" i="5" s="1"/>
  <c r="C136" i="5" s="1"/>
  <c r="C118" i="5"/>
  <c r="C116" i="4"/>
  <c r="C118" i="4"/>
  <c r="R765" i="1"/>
  <c r="C116" i="3"/>
  <c r="C122" i="3"/>
  <c r="C133" i="3" s="1"/>
  <c r="D136" i="3" s="1"/>
  <c r="D136" i="4" l="1"/>
  <c r="C138" i="4" s="1"/>
  <c r="D136" i="5"/>
  <c r="C138" i="5" s="1"/>
  <c r="R764" i="1"/>
  <c r="S765" i="1"/>
  <c r="T765" i="1" s="1"/>
  <c r="C136" i="3"/>
  <c r="C138" i="3" s="1"/>
  <c r="R763" i="1" l="1"/>
  <c r="S764" i="1"/>
  <c r="T764" i="1" s="1"/>
  <c r="R762" i="1" l="1"/>
  <c r="S763" i="1"/>
  <c r="T763" i="1" s="1"/>
  <c r="S762" i="1" l="1"/>
  <c r="T762" i="1" s="1"/>
  <c r="R761" i="1"/>
  <c r="R760" i="1" l="1"/>
  <c r="S761" i="1"/>
  <c r="T761" i="1" s="1"/>
  <c r="R759" i="1" l="1"/>
  <c r="S760" i="1"/>
  <c r="T760" i="1" s="1"/>
  <c r="S759" i="1" l="1"/>
  <c r="T759" i="1" s="1"/>
  <c r="R758" i="1"/>
  <c r="S758" i="1" l="1"/>
  <c r="T758" i="1" s="1"/>
  <c r="R757" i="1"/>
  <c r="R756" i="1" l="1"/>
  <c r="S757" i="1"/>
  <c r="T757" i="1" s="1"/>
  <c r="R755" i="1" l="1"/>
  <c r="S756" i="1"/>
  <c r="T756" i="1" s="1"/>
  <c r="S755" i="1" l="1"/>
  <c r="T755" i="1" s="1"/>
  <c r="R754" i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S741" i="1" l="1"/>
  <c r="T741" i="1" s="1"/>
  <c r="R740" i="1"/>
  <c r="R739" i="1" l="1"/>
  <c r="S740" i="1"/>
  <c r="T740" i="1" s="1"/>
  <c r="S739" i="1" l="1"/>
  <c r="T739" i="1" s="1"/>
  <c r="R738" i="1"/>
  <c r="S738" i="1" l="1"/>
  <c r="T738" i="1" s="1"/>
  <c r="R737" i="1"/>
  <c r="R736" i="1" l="1"/>
  <c r="S737" i="1"/>
  <c r="T737" i="1" s="1"/>
  <c r="S736" i="1" l="1"/>
  <c r="T736" i="1" s="1"/>
  <c r="R735" i="1"/>
  <c r="S735" i="1" l="1"/>
  <c r="T735" i="1" s="1"/>
  <c r="R734" i="1"/>
  <c r="R733" i="1" l="1"/>
  <c r="S734" i="1"/>
  <c r="T734" i="1" s="1"/>
  <c r="S733" i="1" l="1"/>
  <c r="T733" i="1" s="1"/>
  <c r="R732" i="1"/>
  <c r="R731" i="1" l="1"/>
  <c r="S732" i="1"/>
  <c r="T732" i="1" s="1"/>
  <c r="R730" i="1" l="1"/>
  <c r="S731" i="1"/>
  <c r="T731" i="1" s="1"/>
  <c r="S730" i="1" l="1"/>
  <c r="T730" i="1" s="1"/>
  <c r="R729" i="1"/>
  <c r="R728" i="1" l="1"/>
  <c r="S729" i="1"/>
  <c r="T729" i="1" s="1"/>
  <c r="R727" i="1" l="1"/>
  <c r="S728" i="1"/>
  <c r="T728" i="1" s="1"/>
  <c r="S727" i="1" l="1"/>
  <c r="T727" i="1" s="1"/>
  <c r="R726" i="1"/>
  <c r="R725" i="1" l="1"/>
  <c r="S726" i="1"/>
  <c r="T726" i="1" s="1"/>
  <c r="S725" i="1" l="1"/>
  <c r="T725" i="1" s="1"/>
  <c r="R724" i="1"/>
  <c r="R723" i="1" l="1"/>
  <c r="S724" i="1"/>
  <c r="T724" i="1" s="1"/>
  <c r="S723" i="1" l="1"/>
  <c r="T723" i="1" s="1"/>
  <c r="R722" i="1"/>
  <c r="R721" i="1" l="1"/>
  <c r="S722" i="1"/>
  <c r="T722" i="1" s="1"/>
  <c r="S721" i="1" l="1"/>
  <c r="T721" i="1" s="1"/>
  <c r="R720" i="1"/>
  <c r="S720" i="1" l="1"/>
  <c r="T720" i="1" s="1"/>
  <c r="R719" i="1"/>
  <c r="S719" i="1" l="1"/>
  <c r="T719" i="1" s="1"/>
  <c r="R718" i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S712" i="1" l="1"/>
  <c r="T712" i="1" s="1"/>
  <c r="R711" i="1"/>
  <c r="S711" i="1" l="1"/>
  <c r="T711" i="1" s="1"/>
  <c r="R710" i="1"/>
  <c r="S710" i="1" l="1"/>
  <c r="T710" i="1" s="1"/>
  <c r="R709" i="1"/>
  <c r="S709" i="1" l="1"/>
  <c r="T709" i="1" s="1"/>
  <c r="R708" i="1"/>
  <c r="R707" i="1" l="1"/>
  <c r="S708" i="1"/>
  <c r="T708" i="1" s="1"/>
  <c r="S707" i="1" l="1"/>
  <c r="T707" i="1" s="1"/>
  <c r="R706" i="1"/>
  <c r="S706" i="1" l="1"/>
  <c r="T706" i="1" s="1"/>
  <c r="R705" i="1"/>
  <c r="S705" i="1" l="1"/>
  <c r="T705" i="1" s="1"/>
  <c r="R704" i="1"/>
  <c r="S704" i="1" l="1"/>
  <c r="T704" i="1" s="1"/>
  <c r="R703" i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S699" i="1" l="1"/>
  <c r="T699" i="1" s="1"/>
  <c r="R698" i="1"/>
  <c r="S698" i="1" l="1"/>
  <c r="T698" i="1" s="1"/>
  <c r="R697" i="1"/>
  <c r="S697" i="1" l="1"/>
  <c r="T697" i="1" s="1"/>
  <c r="R696" i="1"/>
  <c r="R695" i="1" l="1"/>
  <c r="S696" i="1"/>
  <c r="T696" i="1" s="1"/>
  <c r="R694" i="1" l="1"/>
  <c r="S695" i="1"/>
  <c r="T695" i="1" s="1"/>
  <c r="S694" i="1" l="1"/>
  <c r="T694" i="1" s="1"/>
  <c r="R693" i="1"/>
  <c r="S693" i="1" l="1"/>
  <c r="T693" i="1" s="1"/>
  <c r="R692" i="1"/>
  <c r="S692" i="1" l="1"/>
  <c r="T692" i="1" s="1"/>
  <c r="R691" i="1"/>
  <c r="S691" i="1" l="1"/>
  <c r="T691" i="1" s="1"/>
  <c r="R690" i="1"/>
  <c r="R689" i="1" l="1"/>
  <c r="S690" i="1"/>
  <c r="T690" i="1" s="1"/>
  <c r="R688" i="1" l="1"/>
  <c r="S689" i="1"/>
  <c r="T689" i="1" s="1"/>
  <c r="S688" i="1" l="1"/>
  <c r="T688" i="1" s="1"/>
  <c r="R687" i="1"/>
  <c r="R686" i="1" l="1"/>
  <c r="S687" i="1"/>
  <c r="T687" i="1" s="1"/>
  <c r="S686" i="1" l="1"/>
  <c r="T686" i="1" s="1"/>
  <c r="R685" i="1"/>
  <c r="S685" i="1" l="1"/>
  <c r="T685" i="1" s="1"/>
  <c r="R684" i="1"/>
  <c r="R683" i="1" l="1"/>
  <c r="S684" i="1"/>
  <c r="T684" i="1" s="1"/>
  <c r="S683" i="1" l="1"/>
  <c r="T683" i="1" s="1"/>
  <c r="R682" i="1"/>
  <c r="S682" i="1" l="1"/>
  <c r="T682" i="1" s="1"/>
  <c r="R681" i="1"/>
  <c r="R680" i="1" l="1"/>
  <c r="S681" i="1"/>
  <c r="T681" i="1" s="1"/>
  <c r="S680" i="1" l="1"/>
  <c r="T680" i="1" s="1"/>
  <c r="R679" i="1"/>
  <c r="R678" i="1" l="1"/>
  <c r="S679" i="1"/>
  <c r="T679" i="1" s="1"/>
  <c r="S678" i="1" l="1"/>
  <c r="T678" i="1" s="1"/>
  <c r="R677" i="1"/>
  <c r="S677" i="1" l="1"/>
  <c r="T677" i="1" s="1"/>
  <c r="R676" i="1"/>
  <c r="S676" i="1" l="1"/>
  <c r="T676" i="1" s="1"/>
  <c r="R675" i="1"/>
  <c r="S675" i="1" l="1"/>
  <c r="T675" i="1" s="1"/>
  <c r="R674" i="1"/>
  <c r="S674" i="1" l="1"/>
  <c r="T674" i="1" s="1"/>
  <c r="R673" i="1"/>
  <c r="S673" i="1" l="1"/>
  <c r="T673" i="1" s="1"/>
  <c r="R672" i="1"/>
  <c r="R671" i="1" l="1"/>
  <c r="S672" i="1"/>
  <c r="T672" i="1" s="1"/>
  <c r="S671" i="1" l="1"/>
  <c r="T671" i="1" s="1"/>
  <c r="R670" i="1"/>
  <c r="R669" i="1" l="1"/>
  <c r="S670" i="1"/>
  <c r="T670" i="1" s="1"/>
  <c r="S669" i="1" l="1"/>
  <c r="T669" i="1" s="1"/>
  <c r="R668" i="1"/>
  <c r="S668" i="1" l="1"/>
  <c r="T668" i="1" s="1"/>
  <c r="R667" i="1"/>
  <c r="S667" i="1" l="1"/>
  <c r="T667" i="1" s="1"/>
  <c r="R666" i="1"/>
  <c r="S666" i="1" l="1"/>
  <c r="T666" i="1" s="1"/>
  <c r="R665" i="1"/>
  <c r="S665" i="1" l="1"/>
  <c r="T665" i="1" s="1"/>
  <c r="R664" i="1"/>
  <c r="S664" i="1" l="1"/>
  <c r="T664" i="1" s="1"/>
  <c r="R663" i="1"/>
  <c r="R662" i="1" l="1"/>
  <c r="S663" i="1"/>
  <c r="T663" i="1" s="1"/>
  <c r="R661" i="1" l="1"/>
  <c r="S662" i="1"/>
  <c r="T662" i="1" s="1"/>
  <c r="S661" i="1" l="1"/>
  <c r="T661" i="1" s="1"/>
  <c r="R660" i="1"/>
  <c r="R659" i="1" l="1"/>
  <c r="S660" i="1"/>
  <c r="T660" i="1" s="1"/>
  <c r="R658" i="1" l="1"/>
  <c r="S659" i="1"/>
  <c r="T659" i="1" s="1"/>
  <c r="S658" i="1" l="1"/>
  <c r="T658" i="1" s="1"/>
  <c r="R657" i="1"/>
  <c r="R656" i="1" l="1"/>
  <c r="S657" i="1"/>
  <c r="T657" i="1" s="1"/>
  <c r="S656" i="1" l="1"/>
  <c r="T656" i="1" s="1"/>
  <c r="R655" i="1"/>
  <c r="S655" i="1" l="1"/>
  <c r="T655" i="1" s="1"/>
  <c r="R654" i="1"/>
  <c r="R653" i="1" l="1"/>
  <c r="S654" i="1"/>
  <c r="T654" i="1" s="1"/>
  <c r="S653" i="1" l="1"/>
  <c r="T653" i="1" s="1"/>
  <c r="R652" i="1"/>
  <c r="R651" i="1" l="1"/>
  <c r="S652" i="1"/>
  <c r="T652" i="1" s="1"/>
  <c r="R650" i="1" l="1"/>
  <c r="S651" i="1"/>
  <c r="T651" i="1" s="1"/>
  <c r="S650" i="1" l="1"/>
  <c r="T650" i="1" s="1"/>
  <c r="R649" i="1"/>
  <c r="R648" i="1" l="1"/>
  <c r="S649" i="1"/>
  <c r="T649" i="1" s="1"/>
  <c r="R647" i="1" l="1"/>
  <c r="S648" i="1"/>
  <c r="T648" i="1" s="1"/>
  <c r="S647" i="1" l="1"/>
  <c r="T647" i="1" s="1"/>
  <c r="R646" i="1"/>
  <c r="S646" i="1" l="1"/>
  <c r="T646" i="1" s="1"/>
  <c r="R645" i="1"/>
  <c r="R644" i="1" l="1"/>
  <c r="S645" i="1"/>
  <c r="T645" i="1" s="1"/>
  <c r="S644" i="1" l="1"/>
  <c r="T644" i="1" s="1"/>
  <c r="R643" i="1"/>
  <c r="S643" i="1" l="1"/>
  <c r="T643" i="1" s="1"/>
  <c r="R642" i="1"/>
  <c r="S642" i="1" l="1"/>
  <c r="T642" i="1" s="1"/>
  <c r="R641" i="1"/>
  <c r="S641" i="1" l="1"/>
  <c r="T641" i="1" s="1"/>
  <c r="R640" i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S636" i="1" l="1"/>
  <c r="T636" i="1" s="1"/>
  <c r="R635" i="1"/>
  <c r="S635" i="1" l="1"/>
  <c r="T635" i="1" s="1"/>
  <c r="R634" i="1"/>
  <c r="S634" i="1" l="1"/>
  <c r="T634" i="1" s="1"/>
  <c r="R633" i="1"/>
  <c r="R632" i="1" l="1"/>
  <c r="S633" i="1"/>
  <c r="T633" i="1" s="1"/>
  <c r="S632" i="1" l="1"/>
  <c r="T632" i="1" s="1"/>
  <c r="R631" i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S625" i="1" l="1"/>
  <c r="T625" i="1" s="1"/>
  <c r="R624" i="1"/>
  <c r="S624" i="1" l="1"/>
  <c r="T624" i="1" s="1"/>
  <c r="R623" i="1"/>
  <c r="R622" i="1" l="1"/>
  <c r="S623" i="1"/>
  <c r="T623" i="1" s="1"/>
  <c r="R621" i="1" l="1"/>
  <c r="S622" i="1"/>
  <c r="T622" i="1" s="1"/>
  <c r="S621" i="1" l="1"/>
  <c r="T621" i="1" s="1"/>
  <c r="R620" i="1"/>
  <c r="S620" i="1" l="1"/>
  <c r="T620" i="1" s="1"/>
  <c r="R619" i="1"/>
  <c r="S619" i="1" l="1"/>
  <c r="T619" i="1" s="1"/>
  <c r="R618" i="1"/>
  <c r="R617" i="1" l="1"/>
  <c r="S618" i="1"/>
  <c r="T618" i="1" s="1"/>
  <c r="S617" i="1" l="1"/>
  <c r="T617" i="1" s="1"/>
  <c r="R616" i="1"/>
  <c r="R615" i="1" l="1"/>
  <c r="S616" i="1"/>
  <c r="T616" i="1" s="1"/>
  <c r="S615" i="1" l="1"/>
  <c r="T615" i="1" s="1"/>
  <c r="R614" i="1"/>
  <c r="S614" i="1" l="1"/>
  <c r="T614" i="1" s="1"/>
  <c r="R613" i="1"/>
  <c r="R612" i="1" l="1"/>
  <c r="S613" i="1"/>
  <c r="T613" i="1" s="1"/>
  <c r="S612" i="1" l="1"/>
  <c r="T612" i="1" s="1"/>
  <c r="R611" i="1"/>
  <c r="R610" i="1" l="1"/>
  <c r="S611" i="1"/>
  <c r="T611" i="1" s="1"/>
  <c r="S610" i="1" l="1"/>
  <c r="T610" i="1" s="1"/>
  <c r="R609" i="1"/>
  <c r="R608" i="1" l="1"/>
  <c r="S609" i="1"/>
  <c r="T609" i="1" s="1"/>
  <c r="R607" i="1" l="1"/>
  <c r="S608" i="1"/>
  <c r="T608" i="1" s="1"/>
  <c r="S607" i="1" l="1"/>
  <c r="T607" i="1" s="1"/>
  <c r="R606" i="1"/>
  <c r="S606" i="1" l="1"/>
  <c r="T606" i="1" s="1"/>
  <c r="R605" i="1"/>
  <c r="R604" i="1" l="1"/>
  <c r="S605" i="1"/>
  <c r="T605" i="1" s="1"/>
  <c r="R603" i="1" l="1"/>
  <c r="S604" i="1"/>
  <c r="T604" i="1" s="1"/>
  <c r="S603" i="1" l="1"/>
  <c r="T603" i="1" s="1"/>
  <c r="R602" i="1"/>
  <c r="R601" i="1" l="1"/>
  <c r="S602" i="1"/>
  <c r="T602" i="1" s="1"/>
  <c r="R600" i="1" l="1"/>
  <c r="S601" i="1"/>
  <c r="T601" i="1" s="1"/>
  <c r="S600" i="1" l="1"/>
  <c r="T600" i="1" s="1"/>
  <c r="R599" i="1"/>
  <c r="S599" i="1" l="1"/>
  <c r="T599" i="1" s="1"/>
  <c r="R598" i="1"/>
  <c r="S598" i="1" l="1"/>
  <c r="T598" i="1" s="1"/>
  <c r="R597" i="1"/>
  <c r="S597" i="1" l="1"/>
  <c r="T597" i="1" s="1"/>
  <c r="R596" i="1"/>
  <c r="S596" i="1" l="1"/>
  <c r="T596" i="1" s="1"/>
  <c r="R595" i="1"/>
  <c r="S595" i="1" l="1"/>
  <c r="T595" i="1" s="1"/>
  <c r="R594" i="1"/>
  <c r="R593" i="1" l="1"/>
  <c r="S594" i="1"/>
  <c r="T594" i="1" s="1"/>
  <c r="R592" i="1" l="1"/>
  <c r="S593" i="1"/>
  <c r="T593" i="1" s="1"/>
  <c r="S592" i="1" l="1"/>
  <c r="T592" i="1" s="1"/>
  <c r="R591" i="1"/>
  <c r="R590" i="1" l="1"/>
  <c r="S591" i="1"/>
  <c r="T591" i="1" s="1"/>
  <c r="S590" i="1" l="1"/>
  <c r="T590" i="1" s="1"/>
  <c r="R589" i="1"/>
  <c r="R588" i="1" l="1"/>
  <c r="S589" i="1"/>
  <c r="T589" i="1" s="1"/>
  <c r="S588" i="1" l="1"/>
  <c r="T588" i="1" s="1"/>
  <c r="R587" i="1"/>
  <c r="S587" i="1" l="1"/>
  <c r="T587" i="1" s="1"/>
  <c r="R586" i="1"/>
  <c r="R585" i="1" l="1"/>
  <c r="S586" i="1"/>
  <c r="T586" i="1" s="1"/>
  <c r="S585" i="1" l="1"/>
  <c r="T585" i="1" s="1"/>
  <c r="R584" i="1"/>
  <c r="R583" i="1" l="1"/>
  <c r="S584" i="1"/>
  <c r="T584" i="1" s="1"/>
  <c r="S583" i="1" l="1"/>
  <c r="T583" i="1" s="1"/>
  <c r="R582" i="1"/>
  <c r="S582" i="1" l="1"/>
  <c r="T582" i="1" s="1"/>
  <c r="R581" i="1"/>
  <c r="S581" i="1" l="1"/>
  <c r="T581" i="1" s="1"/>
  <c r="R580" i="1"/>
  <c r="S580" i="1" l="1"/>
  <c r="T580" i="1" s="1"/>
  <c r="R579" i="1"/>
  <c r="R578" i="1" l="1"/>
  <c r="S579" i="1"/>
  <c r="T579" i="1" s="1"/>
  <c r="S578" i="1" l="1"/>
  <c r="T578" i="1" s="1"/>
  <c r="R577" i="1"/>
  <c r="S577" i="1" l="1"/>
  <c r="T577" i="1" s="1"/>
  <c r="R576" i="1"/>
  <c r="R575" i="1" l="1"/>
  <c r="S576" i="1"/>
  <c r="T576" i="1" s="1"/>
  <c r="S575" i="1" l="1"/>
  <c r="T575" i="1" s="1"/>
  <c r="R574" i="1"/>
  <c r="S574" i="1" l="1"/>
  <c r="T574" i="1" s="1"/>
  <c r="R573" i="1"/>
  <c r="S573" i="1" l="1"/>
  <c r="T573" i="1" s="1"/>
  <c r="R572" i="1"/>
  <c r="S572" i="1" l="1"/>
  <c r="T572" i="1" s="1"/>
  <c r="R571" i="1"/>
  <c r="S571" i="1" l="1"/>
  <c r="T571" i="1" s="1"/>
  <c r="R570" i="1"/>
  <c r="S570" i="1" l="1"/>
  <c r="T570" i="1" s="1"/>
  <c r="R569" i="1"/>
  <c r="S569" i="1" l="1"/>
  <c r="T569" i="1" s="1"/>
  <c r="R568" i="1"/>
  <c r="R567" i="1" l="1"/>
  <c r="S568" i="1"/>
  <c r="T568" i="1" s="1"/>
  <c r="S567" i="1" l="1"/>
  <c r="T567" i="1" s="1"/>
  <c r="R566" i="1"/>
  <c r="R565" i="1" l="1"/>
  <c r="S566" i="1"/>
  <c r="T566" i="1" s="1"/>
  <c r="R564" i="1" l="1"/>
  <c r="S565" i="1"/>
  <c r="T565" i="1" s="1"/>
  <c r="S564" i="1" l="1"/>
  <c r="T564" i="1" s="1"/>
  <c r="R563" i="1"/>
  <c r="S563" i="1" l="1"/>
  <c r="T563" i="1" s="1"/>
  <c r="R562" i="1"/>
  <c r="R561" i="1" l="1"/>
  <c r="S562" i="1"/>
  <c r="T562" i="1" s="1"/>
  <c r="S561" i="1" l="1"/>
  <c r="T561" i="1" s="1"/>
  <c r="R560" i="1"/>
  <c r="R559" i="1" l="1"/>
  <c r="S560" i="1"/>
  <c r="T560" i="1" s="1"/>
  <c r="R558" i="1" l="1"/>
  <c r="S559" i="1"/>
  <c r="T559" i="1" s="1"/>
  <c r="S558" i="1" l="1"/>
  <c r="T558" i="1" s="1"/>
  <c r="R557" i="1"/>
  <c r="R556" i="1" l="1"/>
  <c r="S557" i="1"/>
  <c r="T557" i="1" s="1"/>
  <c r="S556" i="1" l="1"/>
  <c r="T556" i="1" s="1"/>
  <c r="R555" i="1"/>
  <c r="S555" i="1" l="1"/>
  <c r="T555" i="1" s="1"/>
  <c r="R554" i="1"/>
  <c r="S554" i="1" l="1"/>
  <c r="T554" i="1" s="1"/>
  <c r="R553" i="1"/>
  <c r="S553" i="1" l="1"/>
  <c r="T553" i="1" s="1"/>
  <c r="R552" i="1"/>
  <c r="R551" i="1" l="1"/>
  <c r="S552" i="1"/>
  <c r="T552" i="1" s="1"/>
  <c r="S551" i="1" l="1"/>
  <c r="T551" i="1" s="1"/>
  <c r="R550" i="1"/>
  <c r="S550" i="1" l="1"/>
  <c r="T550" i="1" s="1"/>
  <c r="R549" i="1"/>
  <c r="R548" i="1" l="1"/>
  <c r="S549" i="1"/>
  <c r="T549" i="1" s="1"/>
  <c r="R547" i="1" l="1"/>
  <c r="S548" i="1"/>
  <c r="T548" i="1" s="1"/>
  <c r="R546" i="1" l="1"/>
  <c r="S547" i="1"/>
  <c r="T547" i="1" s="1"/>
  <c r="S546" i="1" l="1"/>
  <c r="T546" i="1" s="1"/>
  <c r="R545" i="1"/>
  <c r="S545" i="1" l="1"/>
  <c r="T545" i="1" s="1"/>
  <c r="R544" i="1"/>
  <c r="S544" i="1" l="1"/>
  <c r="T544" i="1" s="1"/>
  <c r="R543" i="1"/>
  <c r="S543" i="1" l="1"/>
  <c r="T543" i="1" s="1"/>
  <c r="R542" i="1"/>
  <c r="S542" i="1" l="1"/>
  <c r="T542" i="1" s="1"/>
  <c r="R541" i="1"/>
  <c r="S541" i="1" l="1"/>
  <c r="T541" i="1" s="1"/>
  <c r="R540" i="1"/>
  <c r="S540" i="1" l="1"/>
  <c r="T540" i="1" s="1"/>
  <c r="R539" i="1"/>
  <c r="R538" i="1" l="1"/>
  <c r="S539" i="1"/>
  <c r="T539" i="1" s="1"/>
  <c r="S538" i="1" l="1"/>
  <c r="T538" i="1" s="1"/>
  <c r="R537" i="1"/>
  <c r="S537" i="1" l="1"/>
  <c r="T537" i="1" s="1"/>
  <c r="R536" i="1"/>
  <c r="R535" i="1" l="1"/>
  <c r="S536" i="1"/>
  <c r="T536" i="1" s="1"/>
  <c r="R534" i="1" l="1"/>
  <c r="S535" i="1"/>
  <c r="T535" i="1" s="1"/>
  <c r="S534" i="1" l="1"/>
  <c r="T534" i="1" s="1"/>
  <c r="R533" i="1"/>
  <c r="S533" i="1" l="1"/>
  <c r="T533" i="1" s="1"/>
  <c r="R532" i="1"/>
  <c r="S532" i="1" l="1"/>
  <c r="T532" i="1" s="1"/>
  <c r="R531" i="1"/>
  <c r="S531" i="1" l="1"/>
  <c r="T531" i="1" s="1"/>
  <c r="R530" i="1"/>
  <c r="R529" i="1" l="1"/>
  <c r="S530" i="1"/>
  <c r="T530" i="1" s="1"/>
  <c r="S529" i="1" l="1"/>
  <c r="T529" i="1" s="1"/>
  <c r="R528" i="1"/>
  <c r="R527" i="1" l="1"/>
  <c r="S528" i="1"/>
  <c r="T528" i="1" s="1"/>
  <c r="R526" i="1" l="1"/>
  <c r="S527" i="1"/>
  <c r="T527" i="1" s="1"/>
  <c r="S526" i="1" l="1"/>
  <c r="T526" i="1" s="1"/>
  <c r="R525" i="1"/>
  <c r="R524" i="1" l="1"/>
  <c r="S525" i="1"/>
  <c r="T525" i="1" s="1"/>
  <c r="S524" i="1" l="1"/>
  <c r="T524" i="1" s="1"/>
  <c r="R523" i="1"/>
  <c r="R522" i="1" l="1"/>
  <c r="S523" i="1"/>
  <c r="T523" i="1" s="1"/>
  <c r="R521" i="1" l="1"/>
  <c r="S522" i="1"/>
  <c r="T522" i="1" s="1"/>
  <c r="S521" i="1" l="1"/>
  <c r="T521" i="1" s="1"/>
  <c r="R520" i="1"/>
  <c r="R519" i="1" l="1"/>
  <c r="S520" i="1"/>
  <c r="T520" i="1" s="1"/>
  <c r="R518" i="1" l="1"/>
  <c r="S519" i="1"/>
  <c r="T519" i="1" s="1"/>
  <c r="S518" i="1" l="1"/>
  <c r="T518" i="1" s="1"/>
  <c r="R517" i="1"/>
  <c r="R516" i="1" l="1"/>
  <c r="S517" i="1"/>
  <c r="T517" i="1" s="1"/>
  <c r="S516" i="1" l="1"/>
  <c r="T516" i="1" s="1"/>
  <c r="R515" i="1"/>
  <c r="S515" i="1" l="1"/>
  <c r="T515" i="1" s="1"/>
  <c r="R514" i="1"/>
  <c r="R513" i="1" l="1"/>
  <c r="S514" i="1"/>
  <c r="T514" i="1" s="1"/>
  <c r="R512" i="1" l="1"/>
  <c r="S513" i="1"/>
  <c r="T513" i="1" s="1"/>
  <c r="S512" i="1" l="1"/>
  <c r="T512" i="1" s="1"/>
  <c r="R511" i="1"/>
  <c r="S511" i="1" l="1"/>
  <c r="T511" i="1" s="1"/>
  <c r="R510" i="1"/>
  <c r="R509" i="1" l="1"/>
  <c r="S510" i="1"/>
  <c r="T510" i="1" s="1"/>
  <c r="S509" i="1" l="1"/>
  <c r="T509" i="1" s="1"/>
  <c r="R508" i="1"/>
  <c r="R507" i="1" l="1"/>
  <c r="S508" i="1"/>
  <c r="T508" i="1" s="1"/>
  <c r="S507" i="1" l="1"/>
  <c r="T507" i="1" s="1"/>
  <c r="R506" i="1"/>
  <c r="R505" i="1" l="1"/>
  <c r="S506" i="1"/>
  <c r="T506" i="1" s="1"/>
  <c r="R504" i="1" l="1"/>
  <c r="S505" i="1"/>
  <c r="T505" i="1" s="1"/>
  <c r="S504" i="1" l="1"/>
  <c r="T504" i="1" s="1"/>
  <c r="R503" i="1"/>
  <c r="S503" i="1" l="1"/>
  <c r="T503" i="1" s="1"/>
  <c r="R502" i="1"/>
  <c r="R501" i="1" l="1"/>
  <c r="S502" i="1"/>
  <c r="T502" i="1" s="1"/>
  <c r="S501" i="1" l="1"/>
  <c r="T501" i="1" s="1"/>
  <c r="R500" i="1"/>
  <c r="S500" i="1" l="1"/>
  <c r="T500" i="1" s="1"/>
  <c r="R499" i="1"/>
  <c r="S499" i="1" l="1"/>
  <c r="T499" i="1" s="1"/>
  <c r="R498" i="1"/>
  <c r="S498" i="1" l="1"/>
  <c r="T498" i="1" s="1"/>
  <c r="R497" i="1"/>
  <c r="S497" i="1" l="1"/>
  <c r="T497" i="1" s="1"/>
  <c r="R496" i="1"/>
  <c r="S496" i="1" l="1"/>
  <c r="T496" i="1" s="1"/>
  <c r="R495" i="1"/>
  <c r="R494" i="1" l="1"/>
  <c r="S495" i="1"/>
  <c r="T495" i="1" s="1"/>
  <c r="S494" i="1" l="1"/>
  <c r="T494" i="1" s="1"/>
  <c r="R493" i="1"/>
  <c r="S493" i="1" l="1"/>
  <c r="T493" i="1" s="1"/>
  <c r="R492" i="1"/>
  <c r="S492" i="1" l="1"/>
  <c r="T492" i="1" s="1"/>
  <c r="R491" i="1"/>
  <c r="S491" i="1" l="1"/>
  <c r="T491" i="1" s="1"/>
  <c r="R490" i="1"/>
  <c r="S490" i="1" l="1"/>
  <c r="T490" i="1" s="1"/>
  <c r="R489" i="1"/>
  <c r="R488" i="1" l="1"/>
  <c r="S489" i="1"/>
  <c r="T489" i="1" s="1"/>
  <c r="S488" i="1" l="1"/>
  <c r="T488" i="1" s="1"/>
  <c r="R487" i="1"/>
  <c r="R486" i="1" l="1"/>
  <c r="S487" i="1"/>
  <c r="T487" i="1" s="1"/>
  <c r="S486" i="1" l="1"/>
  <c r="T486" i="1" s="1"/>
  <c r="R485" i="1"/>
  <c r="S485" i="1" l="1"/>
  <c r="T485" i="1" s="1"/>
  <c r="R484" i="1"/>
  <c r="R483" i="1" l="1"/>
  <c r="S484" i="1"/>
  <c r="T484" i="1" s="1"/>
  <c r="S483" i="1" l="1"/>
  <c r="T483" i="1" s="1"/>
  <c r="R482" i="1"/>
  <c r="S482" i="1" l="1"/>
  <c r="T482" i="1" s="1"/>
  <c r="R481" i="1"/>
  <c r="S481" i="1" l="1"/>
  <c r="T481" i="1" s="1"/>
  <c r="R480" i="1"/>
  <c r="S480" i="1" l="1"/>
  <c r="T480" i="1" s="1"/>
  <c r="R479" i="1"/>
  <c r="S479" i="1" l="1"/>
  <c r="T479" i="1" s="1"/>
  <c r="R478" i="1"/>
  <c r="R477" i="1" l="1"/>
  <c r="S478" i="1"/>
  <c r="T478" i="1" s="1"/>
  <c r="S477" i="1" l="1"/>
  <c r="T477" i="1" s="1"/>
  <c r="R476" i="1"/>
  <c r="R475" i="1" l="1"/>
  <c r="S476" i="1"/>
  <c r="T476" i="1" s="1"/>
  <c r="R474" i="1" l="1"/>
  <c r="S475" i="1"/>
  <c r="T475" i="1" s="1"/>
  <c r="S474" i="1" l="1"/>
  <c r="T474" i="1" s="1"/>
  <c r="R473" i="1"/>
  <c r="R472" i="1" l="1"/>
  <c r="S473" i="1"/>
  <c r="T473" i="1" s="1"/>
  <c r="S472" i="1" l="1"/>
  <c r="T472" i="1" s="1"/>
  <c r="R471" i="1"/>
  <c r="S471" i="1" l="1"/>
  <c r="T471" i="1" s="1"/>
  <c r="R470" i="1"/>
  <c r="S470" i="1" l="1"/>
  <c r="T470" i="1" s="1"/>
  <c r="R469" i="1"/>
  <c r="R468" i="1" l="1"/>
  <c r="S469" i="1"/>
  <c r="T469" i="1" s="1"/>
  <c r="R467" i="1" l="1"/>
  <c r="S468" i="1"/>
  <c r="T468" i="1" s="1"/>
  <c r="S467" i="1" l="1"/>
  <c r="T467" i="1" s="1"/>
  <c r="R466" i="1"/>
  <c r="R465" i="1" l="1"/>
  <c r="S466" i="1"/>
  <c r="T466" i="1" s="1"/>
  <c r="S465" i="1" l="1"/>
  <c r="T465" i="1" s="1"/>
  <c r="R464" i="1"/>
  <c r="R463" i="1" l="1"/>
  <c r="S464" i="1"/>
  <c r="T464" i="1" s="1"/>
  <c r="S463" i="1" l="1"/>
  <c r="T463" i="1" s="1"/>
  <c r="R462" i="1"/>
  <c r="R461" i="1" l="1"/>
  <c r="S462" i="1"/>
  <c r="T462" i="1" s="1"/>
  <c r="S461" i="1" l="1"/>
  <c r="T461" i="1" s="1"/>
  <c r="R460" i="1"/>
  <c r="S460" i="1" l="1"/>
  <c r="T460" i="1" s="1"/>
  <c r="R459" i="1"/>
  <c r="R458" i="1" l="1"/>
  <c r="S459" i="1"/>
  <c r="T459" i="1" s="1"/>
  <c r="S458" i="1" l="1"/>
  <c r="T458" i="1" s="1"/>
  <c r="R457" i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S453" i="1" l="1"/>
  <c r="T453" i="1" s="1"/>
  <c r="R452" i="1"/>
  <c r="S452" i="1" l="1"/>
  <c r="T452" i="1" s="1"/>
  <c r="R451" i="1"/>
  <c r="R450" i="1" l="1"/>
  <c r="S451" i="1"/>
  <c r="T451" i="1" s="1"/>
  <c r="R449" i="1" l="1"/>
  <c r="S450" i="1"/>
  <c r="T450" i="1" s="1"/>
  <c r="S449" i="1" l="1"/>
  <c r="T449" i="1" s="1"/>
  <c r="R448" i="1"/>
  <c r="S448" i="1" l="1"/>
  <c r="T448" i="1" s="1"/>
  <c r="R447" i="1"/>
  <c r="S447" i="1" l="1"/>
  <c r="T447" i="1" s="1"/>
  <c r="R446" i="1"/>
  <c r="S446" i="1" l="1"/>
  <c r="T446" i="1" s="1"/>
  <c r="R445" i="1"/>
  <c r="S445" i="1" l="1"/>
  <c r="T445" i="1" s="1"/>
  <c r="R444" i="1"/>
  <c r="S444" i="1" l="1"/>
  <c r="T444" i="1" s="1"/>
  <c r="R443" i="1"/>
  <c r="S443" i="1" l="1"/>
  <c r="T443" i="1" s="1"/>
  <c r="R442" i="1"/>
  <c r="R441" i="1" l="1"/>
  <c r="S442" i="1"/>
  <c r="T442" i="1" s="1"/>
  <c r="S441" i="1" l="1"/>
  <c r="T441" i="1" s="1"/>
  <c r="R440" i="1"/>
  <c r="S440" i="1" l="1"/>
  <c r="T440" i="1" s="1"/>
  <c r="R439" i="1"/>
  <c r="R438" i="1" l="1"/>
  <c r="S439" i="1"/>
  <c r="T439" i="1" s="1"/>
  <c r="S438" i="1" l="1"/>
  <c r="T438" i="1" s="1"/>
  <c r="R437" i="1"/>
  <c r="S437" i="1" l="1"/>
  <c r="T437" i="1" s="1"/>
  <c r="R436" i="1"/>
  <c r="R435" i="1" l="1"/>
  <c r="S436" i="1"/>
  <c r="T436" i="1" s="1"/>
  <c r="R434" i="1" l="1"/>
  <c r="S435" i="1"/>
  <c r="T435" i="1" s="1"/>
  <c r="S434" i="1" l="1"/>
  <c r="T434" i="1" s="1"/>
  <c r="R433" i="1"/>
  <c r="R432" i="1" l="1"/>
  <c r="S433" i="1"/>
  <c r="T433" i="1" s="1"/>
  <c r="S432" i="1" l="1"/>
  <c r="T432" i="1" s="1"/>
  <c r="R431" i="1"/>
  <c r="R430" i="1" l="1"/>
  <c r="S431" i="1"/>
  <c r="T431" i="1" s="1"/>
  <c r="R429" i="1" l="1"/>
  <c r="S430" i="1"/>
  <c r="T430" i="1" s="1"/>
  <c r="S429" i="1" l="1"/>
  <c r="T429" i="1" s="1"/>
  <c r="R428" i="1"/>
  <c r="R427" i="1" l="1"/>
  <c r="S428" i="1"/>
  <c r="T428" i="1" s="1"/>
  <c r="S427" i="1" l="1"/>
  <c r="T427" i="1" s="1"/>
  <c r="R426" i="1"/>
  <c r="S426" i="1" l="1"/>
  <c r="T426" i="1" s="1"/>
  <c r="R425" i="1"/>
  <c r="S425" i="1" l="1"/>
  <c r="T425" i="1" s="1"/>
  <c r="R424" i="1"/>
  <c r="R423" i="1" l="1"/>
  <c r="S424" i="1"/>
  <c r="T424" i="1" s="1"/>
  <c r="S423" i="1" l="1"/>
  <c r="T423" i="1" s="1"/>
  <c r="R422" i="1"/>
  <c r="R421" i="1" l="1"/>
  <c r="S422" i="1"/>
  <c r="T422" i="1" s="1"/>
  <c r="R420" i="1" l="1"/>
  <c r="S421" i="1"/>
  <c r="T421" i="1" s="1"/>
  <c r="R419" i="1" l="1"/>
  <c r="S420" i="1"/>
  <c r="T420" i="1" s="1"/>
  <c r="S419" i="1" l="1"/>
  <c r="T419" i="1" s="1"/>
  <c r="R418" i="1"/>
  <c r="S418" i="1" l="1"/>
  <c r="T418" i="1" s="1"/>
  <c r="R417" i="1"/>
  <c r="R416" i="1" l="1"/>
  <c r="S417" i="1"/>
  <c r="T417" i="1" s="1"/>
  <c r="S416" i="1" l="1"/>
  <c r="T416" i="1" s="1"/>
  <c r="R415" i="1"/>
  <c r="R414" i="1" l="1"/>
  <c r="S415" i="1"/>
  <c r="T415" i="1" s="1"/>
  <c r="R413" i="1" l="1"/>
  <c r="S414" i="1"/>
  <c r="T414" i="1" s="1"/>
  <c r="S413" i="1" l="1"/>
  <c r="T413" i="1" s="1"/>
  <c r="R412" i="1"/>
  <c r="S412" i="1" l="1"/>
  <c r="T412" i="1" s="1"/>
  <c r="R411" i="1"/>
  <c r="R410" i="1" l="1"/>
  <c r="S411" i="1"/>
  <c r="T411" i="1" s="1"/>
  <c r="S410" i="1" l="1"/>
  <c r="T410" i="1" s="1"/>
  <c r="R409" i="1"/>
  <c r="R408" i="1" l="1"/>
  <c r="S409" i="1"/>
  <c r="T409" i="1" s="1"/>
  <c r="R407" i="1" l="1"/>
  <c r="S408" i="1"/>
  <c r="T408" i="1" s="1"/>
  <c r="R406" i="1" l="1"/>
  <c r="S407" i="1"/>
  <c r="T407" i="1" s="1"/>
  <c r="S406" i="1" l="1"/>
  <c r="T406" i="1" s="1"/>
  <c r="R405" i="1"/>
  <c r="S405" i="1" l="1"/>
  <c r="T405" i="1" s="1"/>
  <c r="R404" i="1"/>
  <c r="S404" i="1" l="1"/>
  <c r="T404" i="1" s="1"/>
  <c r="R403" i="1"/>
  <c r="R402" i="1" l="1"/>
  <c r="S403" i="1"/>
  <c r="T403" i="1" s="1"/>
  <c r="S402" i="1" l="1"/>
  <c r="T402" i="1" s="1"/>
  <c r="R401" i="1"/>
  <c r="R400" i="1" l="1"/>
  <c r="S401" i="1"/>
  <c r="T401" i="1" s="1"/>
  <c r="S400" i="1" l="1"/>
  <c r="T400" i="1" s="1"/>
  <c r="R399" i="1"/>
  <c r="R398" i="1" l="1"/>
  <c r="S399" i="1"/>
  <c r="T399" i="1" s="1"/>
  <c r="R397" i="1" l="1"/>
  <c r="S398" i="1"/>
  <c r="T398" i="1" s="1"/>
  <c r="R396" i="1" l="1"/>
  <c r="S397" i="1"/>
  <c r="T397" i="1" s="1"/>
  <c r="S396" i="1" l="1"/>
  <c r="T396" i="1" s="1"/>
  <c r="R395" i="1"/>
  <c r="S395" i="1" l="1"/>
  <c r="T395" i="1" s="1"/>
  <c r="R394" i="1"/>
  <c r="R393" i="1" l="1"/>
  <c r="S394" i="1"/>
  <c r="T394" i="1" s="1"/>
  <c r="R392" i="1" l="1"/>
  <c r="S393" i="1"/>
  <c r="T393" i="1" s="1"/>
  <c r="S392" i="1" l="1"/>
  <c r="T392" i="1" s="1"/>
  <c r="R391" i="1"/>
  <c r="S391" i="1" l="1"/>
  <c r="T391" i="1" s="1"/>
  <c r="R390" i="1"/>
  <c r="S390" i="1" l="1"/>
  <c r="T390" i="1" s="1"/>
  <c r="R389" i="1"/>
  <c r="S389" i="1" l="1"/>
  <c r="T389" i="1" s="1"/>
  <c r="R388" i="1"/>
  <c r="S388" i="1" l="1"/>
  <c r="T388" i="1" s="1"/>
  <c r="R387" i="1"/>
  <c r="R386" i="1" l="1"/>
  <c r="S387" i="1"/>
  <c r="T387" i="1" s="1"/>
  <c r="S386" i="1" l="1"/>
  <c r="T386" i="1" s="1"/>
  <c r="R385" i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S381" i="1" l="1"/>
  <c r="T381" i="1" s="1"/>
  <c r="R380" i="1"/>
  <c r="S380" i="1" l="1"/>
  <c r="T380" i="1" s="1"/>
  <c r="R379" i="1"/>
  <c r="S379" i="1" l="1"/>
  <c r="T379" i="1" s="1"/>
  <c r="R378" i="1"/>
  <c r="R377" i="1" l="1"/>
  <c r="S378" i="1"/>
  <c r="T378" i="1" s="1"/>
  <c r="S377" i="1" l="1"/>
  <c r="T377" i="1" s="1"/>
  <c r="R376" i="1"/>
  <c r="R375" i="1" l="1"/>
  <c r="S376" i="1"/>
  <c r="T376" i="1" s="1"/>
  <c r="R374" i="1" l="1"/>
  <c r="S375" i="1"/>
  <c r="T375" i="1" s="1"/>
  <c r="R373" i="1" l="1"/>
  <c r="S374" i="1"/>
  <c r="T374" i="1" s="1"/>
  <c r="S373" i="1" l="1"/>
  <c r="T373" i="1" s="1"/>
  <c r="R372" i="1"/>
  <c r="R371" i="1" l="1"/>
  <c r="S372" i="1"/>
  <c r="T372" i="1" s="1"/>
  <c r="S371" i="1" l="1"/>
  <c r="T371" i="1" s="1"/>
  <c r="R370" i="1"/>
  <c r="S370" i="1" l="1"/>
  <c r="T370" i="1" s="1"/>
  <c r="R369" i="1"/>
  <c r="R368" i="1" l="1"/>
  <c r="S369" i="1"/>
  <c r="T369" i="1" s="1"/>
  <c r="S368" i="1" l="1"/>
  <c r="T368" i="1" s="1"/>
  <c r="R367" i="1"/>
  <c r="R366" i="1" l="1"/>
  <c r="S367" i="1"/>
  <c r="T367" i="1" s="1"/>
  <c r="S366" i="1" l="1"/>
  <c r="T366" i="1" s="1"/>
  <c r="R365" i="1"/>
  <c r="S365" i="1" l="1"/>
  <c r="T365" i="1" s="1"/>
  <c r="R364" i="1"/>
  <c r="S364" i="1" l="1"/>
  <c r="T364" i="1" s="1"/>
  <c r="R363" i="1"/>
  <c r="R362" i="1" l="1"/>
  <c r="S363" i="1"/>
  <c r="T363" i="1" s="1"/>
  <c r="S362" i="1" l="1"/>
  <c r="T362" i="1" s="1"/>
  <c r="R361" i="1"/>
  <c r="S361" i="1" l="1"/>
  <c r="T361" i="1" s="1"/>
  <c r="R360" i="1"/>
  <c r="S360" i="1" l="1"/>
  <c r="T360" i="1" s="1"/>
  <c r="R359" i="1"/>
  <c r="S359" i="1" l="1"/>
  <c r="T359" i="1" s="1"/>
  <c r="R358" i="1"/>
  <c r="R357" i="1" l="1"/>
  <c r="S358" i="1"/>
  <c r="T358" i="1" s="1"/>
  <c r="S357" i="1" l="1"/>
  <c r="T357" i="1" s="1"/>
  <c r="R356" i="1"/>
  <c r="R355" i="1" l="1"/>
  <c r="S356" i="1"/>
  <c r="T356" i="1" s="1"/>
  <c r="S355" i="1" l="1"/>
  <c r="T355" i="1" s="1"/>
  <c r="R354" i="1"/>
  <c r="S354" i="1" l="1"/>
  <c r="T354" i="1" s="1"/>
  <c r="R353" i="1"/>
  <c r="R352" i="1" l="1"/>
  <c r="S353" i="1"/>
  <c r="T353" i="1" s="1"/>
  <c r="S352" i="1" l="1"/>
  <c r="T352" i="1" s="1"/>
  <c r="R351" i="1"/>
  <c r="S351" i="1" l="1"/>
  <c r="T351" i="1" s="1"/>
  <c r="R350" i="1"/>
  <c r="R349" i="1" l="1"/>
  <c r="S350" i="1"/>
  <c r="T350" i="1" s="1"/>
  <c r="S349" i="1" l="1"/>
  <c r="T349" i="1" s="1"/>
  <c r="R348" i="1"/>
  <c r="S348" i="1" l="1"/>
  <c r="T348" i="1" s="1"/>
  <c r="R347" i="1"/>
  <c r="R346" i="1" l="1"/>
  <c r="S347" i="1"/>
  <c r="T347" i="1" s="1"/>
  <c r="S346" i="1" l="1"/>
  <c r="T346" i="1" s="1"/>
  <c r="R345" i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S341" i="1" l="1"/>
  <c r="T341" i="1" s="1"/>
  <c r="R340" i="1"/>
  <c r="R339" i="1" l="1"/>
  <c r="S340" i="1"/>
  <c r="T340" i="1" s="1"/>
  <c r="S339" i="1" l="1"/>
  <c r="T339" i="1" s="1"/>
  <c r="R338" i="1"/>
  <c r="R337" i="1" l="1"/>
  <c r="S338" i="1"/>
  <c r="T338" i="1" s="1"/>
  <c r="S337" i="1" l="1"/>
  <c r="T337" i="1" s="1"/>
  <c r="R336" i="1"/>
  <c r="R335" i="1" l="1"/>
  <c r="S336" i="1"/>
  <c r="T336" i="1" s="1"/>
  <c r="S335" i="1" l="1"/>
  <c r="T335" i="1" s="1"/>
  <c r="R334" i="1"/>
  <c r="S334" i="1" l="1"/>
  <c r="T334" i="1" s="1"/>
  <c r="R333" i="1"/>
  <c r="R332" i="1" l="1"/>
  <c r="S333" i="1"/>
  <c r="T333" i="1" s="1"/>
  <c r="S332" i="1" l="1"/>
  <c r="T332" i="1" s="1"/>
  <c r="R331" i="1"/>
  <c r="R330" i="1" l="1"/>
  <c r="S331" i="1"/>
  <c r="T331" i="1" s="1"/>
  <c r="R329" i="1" l="1"/>
  <c r="S330" i="1"/>
  <c r="T330" i="1" s="1"/>
  <c r="S329" i="1" l="1"/>
  <c r="T329" i="1" s="1"/>
  <c r="R328" i="1"/>
  <c r="R327" i="1" l="1"/>
  <c r="S328" i="1"/>
  <c r="T328" i="1" s="1"/>
  <c r="S327" i="1" l="1"/>
  <c r="T327" i="1" s="1"/>
  <c r="R326" i="1"/>
  <c r="R325" i="1" l="1"/>
  <c r="S326" i="1"/>
  <c r="T326" i="1" s="1"/>
  <c r="S325" i="1" l="1"/>
  <c r="T325" i="1" s="1"/>
  <c r="R324" i="1"/>
  <c r="R323" i="1" l="1"/>
  <c r="S324" i="1"/>
  <c r="T324" i="1" s="1"/>
  <c r="S323" i="1" l="1"/>
  <c r="T323" i="1" s="1"/>
  <c r="R322" i="1"/>
  <c r="S322" i="1" l="1"/>
  <c r="T322" i="1" s="1"/>
  <c r="R321" i="1"/>
  <c r="S321" i="1" l="1"/>
  <c r="T321" i="1" s="1"/>
  <c r="R320" i="1"/>
  <c r="S320" i="1" l="1"/>
  <c r="T320" i="1" s="1"/>
  <c r="R319" i="1"/>
  <c r="S319" i="1" l="1"/>
  <c r="T319" i="1" s="1"/>
  <c r="R318" i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S314" i="1" l="1"/>
  <c r="T314" i="1" s="1"/>
  <c r="R313" i="1"/>
  <c r="S313" i="1" l="1"/>
  <c r="T313" i="1" s="1"/>
  <c r="R312" i="1"/>
  <c r="S312" i="1" l="1"/>
  <c r="T312" i="1" s="1"/>
  <c r="R311" i="1"/>
  <c r="S311" i="1" l="1"/>
  <c r="T311" i="1" s="1"/>
  <c r="R310" i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S306" i="1" l="1"/>
  <c r="T306" i="1" s="1"/>
  <c r="R305" i="1"/>
  <c r="S305" i="1" l="1"/>
  <c r="T305" i="1" s="1"/>
  <c r="R304" i="1"/>
  <c r="S304" i="1" l="1"/>
  <c r="T304" i="1" s="1"/>
  <c r="R303" i="1"/>
  <c r="S303" i="1" l="1"/>
  <c r="T303" i="1" s="1"/>
  <c r="R302" i="1"/>
  <c r="S302" i="1" l="1"/>
  <c r="T302" i="1" s="1"/>
  <c r="R301" i="1"/>
  <c r="S301" i="1" l="1"/>
  <c r="T301" i="1" s="1"/>
  <c r="R300" i="1"/>
  <c r="R299" i="1" l="1"/>
  <c r="S300" i="1"/>
  <c r="T300" i="1" s="1"/>
  <c r="R298" i="1" l="1"/>
  <c r="S299" i="1"/>
  <c r="T299" i="1" s="1"/>
  <c r="R297" i="1" l="1"/>
  <c r="S298" i="1"/>
  <c r="T298" i="1" s="1"/>
  <c r="S297" i="1" l="1"/>
  <c r="T297" i="1" s="1"/>
  <c r="R296" i="1"/>
  <c r="S296" i="1" l="1"/>
  <c r="T296" i="1" s="1"/>
  <c r="R295" i="1"/>
  <c r="S295" i="1" l="1"/>
  <c r="T295" i="1" s="1"/>
  <c r="R294" i="1"/>
  <c r="S294" i="1" l="1"/>
  <c r="T294" i="1" s="1"/>
  <c r="R293" i="1"/>
  <c r="R292" i="1" l="1"/>
  <c r="S293" i="1"/>
  <c r="T293" i="1" s="1"/>
  <c r="R291" i="1" l="1"/>
  <c r="S292" i="1"/>
  <c r="T292" i="1" s="1"/>
  <c r="R290" i="1" l="1"/>
  <c r="S291" i="1"/>
  <c r="T291" i="1" s="1"/>
  <c r="S290" i="1" l="1"/>
  <c r="T290" i="1" s="1"/>
  <c r="R289" i="1"/>
  <c r="S289" i="1" l="1"/>
  <c r="T289" i="1" s="1"/>
  <c r="R288" i="1"/>
  <c r="S288" i="1" l="1"/>
  <c r="T288" i="1" s="1"/>
  <c r="R287" i="1"/>
  <c r="R286" i="1" l="1"/>
  <c r="S287" i="1"/>
  <c r="T287" i="1" s="1"/>
  <c r="R285" i="1" l="1"/>
  <c r="S286" i="1"/>
  <c r="T286" i="1" s="1"/>
  <c r="S285" i="1" l="1"/>
  <c r="T285" i="1" s="1"/>
  <c r="R284" i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S280" i="1" l="1"/>
  <c r="T280" i="1" s="1"/>
  <c r="R279" i="1"/>
  <c r="S279" i="1" l="1"/>
  <c r="T279" i="1" s="1"/>
  <c r="R278" i="1"/>
  <c r="S278" i="1" l="1"/>
  <c r="T278" i="1" s="1"/>
  <c r="R277" i="1"/>
  <c r="S277" i="1" l="1"/>
  <c r="T277" i="1" s="1"/>
  <c r="R276" i="1"/>
  <c r="R275" i="1" l="1"/>
  <c r="S276" i="1"/>
  <c r="T276" i="1" s="1"/>
  <c r="R274" i="1" l="1"/>
  <c r="S275" i="1"/>
  <c r="T275" i="1" s="1"/>
  <c r="S274" i="1" l="1"/>
  <c r="T274" i="1" s="1"/>
  <c r="R273" i="1"/>
  <c r="R272" i="1" l="1"/>
  <c r="S273" i="1"/>
  <c r="T273" i="1" s="1"/>
  <c r="S272" i="1" l="1"/>
  <c r="T272" i="1" s="1"/>
  <c r="R271" i="1"/>
  <c r="S271" i="1" l="1"/>
  <c r="T271" i="1" s="1"/>
  <c r="R270" i="1"/>
  <c r="R269" i="1" l="1"/>
  <c r="S270" i="1"/>
  <c r="T270" i="1" s="1"/>
  <c r="S269" i="1" l="1"/>
  <c r="T269" i="1" s="1"/>
  <c r="R268" i="1"/>
  <c r="S268" i="1" l="1"/>
  <c r="T268" i="1" s="1"/>
  <c r="R267" i="1"/>
  <c r="R266" i="1" l="1"/>
  <c r="S267" i="1"/>
  <c r="T267" i="1" s="1"/>
  <c r="S266" i="1" l="1"/>
  <c r="T266" i="1" s="1"/>
  <c r="R265" i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S261" i="1" l="1"/>
  <c r="T261" i="1" s="1"/>
  <c r="R260" i="1"/>
  <c r="S260" i="1" l="1"/>
  <c r="T260" i="1" s="1"/>
  <c r="R259" i="1"/>
  <c r="S259" i="1" l="1"/>
  <c r="T259" i="1" s="1"/>
  <c r="R258" i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S253" i="1" l="1"/>
  <c r="T253" i="1" s="1"/>
  <c r="R252" i="1"/>
  <c r="S252" i="1" l="1"/>
  <c r="T252" i="1" s="1"/>
  <c r="R251" i="1"/>
  <c r="S251" i="1" l="1"/>
  <c r="T251" i="1" s="1"/>
  <c r="R250" i="1"/>
  <c r="S250" i="1" l="1"/>
  <c r="T250" i="1" s="1"/>
  <c r="R249" i="1"/>
  <c r="R248" i="1" l="1"/>
  <c r="S249" i="1"/>
  <c r="T249" i="1" s="1"/>
  <c r="S248" i="1" l="1"/>
  <c r="T248" i="1" s="1"/>
  <c r="R247" i="1"/>
  <c r="R246" i="1" l="1"/>
  <c r="S247" i="1"/>
  <c r="T247" i="1" s="1"/>
  <c r="R245" i="1" l="1"/>
  <c r="S246" i="1"/>
  <c r="T246" i="1" s="1"/>
  <c r="R244" i="1" l="1"/>
  <c r="S245" i="1"/>
  <c r="T245" i="1" s="1"/>
  <c r="S244" i="1" l="1"/>
  <c r="T244" i="1" s="1"/>
  <c r="R243" i="1"/>
  <c r="S243" i="1" l="1"/>
  <c r="T243" i="1" s="1"/>
  <c r="R242" i="1"/>
  <c r="R241" i="1" l="1"/>
  <c r="S242" i="1"/>
  <c r="T242" i="1" s="1"/>
  <c r="S241" i="1" l="1"/>
  <c r="T241" i="1" s="1"/>
  <c r="R240" i="1"/>
  <c r="S240" i="1" l="1"/>
  <c r="T240" i="1" s="1"/>
  <c r="R239" i="1"/>
  <c r="R238" i="1" l="1"/>
  <c r="S239" i="1"/>
  <c r="T239" i="1" s="1"/>
  <c r="S238" i="1" l="1"/>
  <c r="T238" i="1" s="1"/>
  <c r="R237" i="1"/>
  <c r="R236" i="1" l="1"/>
  <c r="S237" i="1"/>
  <c r="T237" i="1" s="1"/>
  <c r="S236" i="1" l="1"/>
  <c r="T236" i="1" s="1"/>
  <c r="R235" i="1"/>
  <c r="S235" i="1" l="1"/>
  <c r="T235" i="1" s="1"/>
  <c r="R234" i="1"/>
  <c r="R233" i="1" l="1"/>
  <c r="S234" i="1"/>
  <c r="T234" i="1" s="1"/>
  <c r="S233" i="1" l="1"/>
  <c r="T233" i="1" s="1"/>
  <c r="R232" i="1"/>
  <c r="S232" i="1" l="1"/>
  <c r="T232" i="1" s="1"/>
  <c r="R231" i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S227" i="1" l="1"/>
  <c r="T227" i="1" s="1"/>
  <c r="R226" i="1"/>
  <c r="S226" i="1" l="1"/>
  <c r="T226" i="1" s="1"/>
  <c r="R225" i="1"/>
  <c r="S225" i="1" l="1"/>
  <c r="T225" i="1" s="1"/>
  <c r="R224" i="1"/>
  <c r="S224" i="1" l="1"/>
  <c r="T224" i="1" s="1"/>
  <c r="R223" i="1"/>
  <c r="R222" i="1" l="1"/>
  <c r="S223" i="1"/>
  <c r="T223" i="1" s="1"/>
  <c r="R221" i="1" l="1"/>
  <c r="S222" i="1"/>
  <c r="T222" i="1" s="1"/>
  <c r="S221" i="1" l="1"/>
  <c r="T221" i="1" s="1"/>
  <c r="R220" i="1"/>
  <c r="R219" i="1" l="1"/>
  <c r="S220" i="1"/>
  <c r="T220" i="1" s="1"/>
  <c r="S219" i="1" l="1"/>
  <c r="T219" i="1" s="1"/>
  <c r="R218" i="1"/>
  <c r="S218" i="1" l="1"/>
  <c r="T218" i="1" s="1"/>
  <c r="R217" i="1"/>
  <c r="R216" i="1" l="1"/>
  <c r="S217" i="1"/>
  <c r="T217" i="1" s="1"/>
  <c r="S216" i="1" l="1"/>
  <c r="T216" i="1" s="1"/>
  <c r="R215" i="1"/>
  <c r="R214" i="1" l="1"/>
  <c r="S215" i="1"/>
  <c r="T215" i="1" s="1"/>
  <c r="R213" i="1" l="1"/>
  <c r="S214" i="1"/>
  <c r="T214" i="1" s="1"/>
  <c r="R212" i="1" l="1"/>
  <c r="S213" i="1"/>
  <c r="T213" i="1" s="1"/>
  <c r="S212" i="1" l="1"/>
  <c r="T212" i="1" s="1"/>
  <c r="R211" i="1"/>
  <c r="S211" i="1" l="1"/>
  <c r="T211" i="1" s="1"/>
  <c r="R210" i="1"/>
  <c r="S210" i="1" l="1"/>
  <c r="T210" i="1" s="1"/>
  <c r="R209" i="1"/>
  <c r="S209" i="1" l="1"/>
  <c r="T209" i="1" s="1"/>
  <c r="R208" i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S204" i="1" l="1"/>
  <c r="T204" i="1" s="1"/>
  <c r="R203" i="1"/>
  <c r="S203" i="1" l="1"/>
  <c r="T203" i="1" s="1"/>
  <c r="R202" i="1"/>
  <c r="S202" i="1" l="1"/>
  <c r="T202" i="1" s="1"/>
  <c r="R201" i="1"/>
  <c r="S201" i="1" l="1"/>
  <c r="T201" i="1" s="1"/>
  <c r="R200" i="1"/>
  <c r="R199" i="1" l="1"/>
  <c r="S200" i="1"/>
  <c r="T200" i="1" s="1"/>
  <c r="S199" i="1" l="1"/>
  <c r="T199" i="1" s="1"/>
  <c r="R198" i="1"/>
  <c r="S198" i="1" l="1"/>
  <c r="T198" i="1" s="1"/>
  <c r="R197" i="1"/>
  <c r="S197" i="1" l="1"/>
  <c r="T197" i="1" s="1"/>
  <c r="R196" i="1"/>
  <c r="R195" i="1" l="1"/>
  <c r="S196" i="1"/>
  <c r="T196" i="1" s="1"/>
  <c r="R194" i="1" l="1"/>
  <c r="S195" i="1"/>
  <c r="T195" i="1" s="1"/>
  <c r="R193" i="1" l="1"/>
  <c r="S194" i="1"/>
  <c r="T194" i="1" s="1"/>
  <c r="S193" i="1" l="1"/>
  <c r="T193" i="1" s="1"/>
  <c r="R192" i="1"/>
  <c r="R191" i="1" l="1"/>
  <c r="S192" i="1"/>
  <c r="T192" i="1" s="1"/>
  <c r="S191" i="1" l="1"/>
  <c r="T191" i="1" s="1"/>
  <c r="R190" i="1"/>
  <c r="S190" i="1" l="1"/>
  <c r="T190" i="1" s="1"/>
  <c r="R189" i="1"/>
  <c r="S189" i="1" l="1"/>
  <c r="T189" i="1" s="1"/>
  <c r="R188" i="1"/>
  <c r="S188" i="1" l="1"/>
  <c r="T188" i="1" s="1"/>
  <c r="R187" i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S183" i="1" l="1"/>
  <c r="T183" i="1" s="1"/>
  <c r="R182" i="1"/>
  <c r="S182" i="1" l="1"/>
  <c r="T182" i="1" s="1"/>
  <c r="R181" i="1"/>
  <c r="S181" i="1" l="1"/>
  <c r="T181" i="1" s="1"/>
  <c r="R180" i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S176" i="1" l="1"/>
  <c r="T176" i="1" s="1"/>
  <c r="R175" i="1"/>
  <c r="R174" i="1" l="1"/>
  <c r="S175" i="1"/>
  <c r="T175" i="1" s="1"/>
  <c r="S174" i="1" l="1"/>
  <c r="T174" i="1" s="1"/>
  <c r="R173" i="1"/>
  <c r="S173" i="1" l="1"/>
  <c r="T173" i="1" s="1"/>
  <c r="R172" i="1"/>
  <c r="S172" i="1" l="1"/>
  <c r="T172" i="1" s="1"/>
  <c r="R171" i="1"/>
  <c r="R170" i="1" l="1"/>
  <c r="S171" i="1"/>
  <c r="T171" i="1" s="1"/>
  <c r="S170" i="1" l="1"/>
  <c r="T170" i="1" s="1"/>
  <c r="R169" i="1"/>
  <c r="S169" i="1" l="1"/>
  <c r="T169" i="1" s="1"/>
  <c r="R168" i="1"/>
  <c r="R167" i="1" l="1"/>
  <c r="S168" i="1"/>
  <c r="T168" i="1" s="1"/>
  <c r="R166" i="1" l="1"/>
  <c r="S167" i="1"/>
  <c r="T167" i="1" s="1"/>
  <c r="R165" i="1" l="1"/>
  <c r="S166" i="1"/>
  <c r="T166" i="1" s="1"/>
  <c r="S165" i="1" l="1"/>
  <c r="T165" i="1" s="1"/>
  <c r="R164" i="1"/>
  <c r="R163" i="1" l="1"/>
  <c r="S164" i="1"/>
  <c r="T164" i="1" s="1"/>
  <c r="R162" i="1" l="1"/>
  <c r="S163" i="1"/>
  <c r="T163" i="1" s="1"/>
  <c r="S162" i="1" l="1"/>
  <c r="T162" i="1" s="1"/>
  <c r="R161" i="1"/>
  <c r="R160" i="1" l="1"/>
  <c r="S161" i="1"/>
  <c r="T161" i="1" s="1"/>
  <c r="S160" i="1" l="1"/>
  <c r="T160" i="1" s="1"/>
  <c r="R159" i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S154" i="1" l="1"/>
  <c r="T154" i="1" s="1"/>
  <c r="R153" i="1"/>
  <c r="S153" i="1" l="1"/>
  <c r="T153" i="1" s="1"/>
  <c r="R152" i="1"/>
  <c r="S152" i="1" l="1"/>
  <c r="T152" i="1" s="1"/>
  <c r="R151" i="1"/>
  <c r="S151" i="1" l="1"/>
  <c r="T151" i="1" s="1"/>
  <c r="R150" i="1"/>
  <c r="R149" i="1" l="1"/>
  <c r="S150" i="1"/>
  <c r="T150" i="1" s="1"/>
  <c r="R148" i="1" l="1"/>
  <c r="S149" i="1"/>
  <c r="T149" i="1" s="1"/>
  <c r="S148" i="1" l="1"/>
  <c r="T148" i="1" s="1"/>
  <c r="R147" i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S142" i="1" l="1"/>
  <c r="T142" i="1" s="1"/>
  <c r="R141" i="1"/>
  <c r="S141" i="1" l="1"/>
  <c r="T141" i="1" s="1"/>
  <c r="R140" i="1"/>
  <c r="S140" i="1" l="1"/>
  <c r="T140" i="1" s="1"/>
  <c r="R139" i="1"/>
  <c r="S139" i="1" l="1"/>
  <c r="T139" i="1" s="1"/>
  <c r="R138" i="1"/>
  <c r="S138" i="1" l="1"/>
  <c r="T138" i="1" s="1"/>
  <c r="R137" i="1"/>
  <c r="R136" i="1" l="1"/>
  <c r="S137" i="1"/>
  <c r="T137" i="1" s="1"/>
  <c r="R135" i="1" l="1"/>
  <c r="S136" i="1"/>
  <c r="T136" i="1" s="1"/>
  <c r="S135" i="1" l="1"/>
  <c r="T135" i="1" s="1"/>
  <c r="R134" i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S126" i="1" l="1"/>
  <c r="T126" i="1" s="1"/>
  <c r="R125" i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S121" i="1" l="1"/>
  <c r="T121" i="1" s="1"/>
  <c r="R120" i="1"/>
  <c r="S120" i="1" l="1"/>
  <c r="T120" i="1" s="1"/>
  <c r="R119" i="1"/>
  <c r="R118" i="1" l="1"/>
  <c r="S119" i="1"/>
  <c r="T119" i="1" s="1"/>
  <c r="S118" i="1" l="1"/>
  <c r="T118" i="1" s="1"/>
  <c r="R117" i="1"/>
  <c r="R116" i="1" l="1"/>
  <c r="S117" i="1"/>
  <c r="T117" i="1" s="1"/>
  <c r="R115" i="1" l="1"/>
  <c r="S116" i="1"/>
  <c r="T116" i="1" s="1"/>
  <c r="S115" i="1" l="1"/>
  <c r="T115" i="1" s="1"/>
  <c r="R114" i="1"/>
  <c r="S114" i="1" l="1"/>
  <c r="T114" i="1" s="1"/>
  <c r="R113" i="1"/>
  <c r="R112" i="1" l="1"/>
  <c r="S113" i="1"/>
  <c r="T113" i="1" s="1"/>
  <c r="S112" i="1" l="1"/>
  <c r="T112" i="1" s="1"/>
  <c r="R111" i="1"/>
  <c r="S111" i="1" l="1"/>
  <c r="T111" i="1" s="1"/>
  <c r="R110" i="1"/>
  <c r="R109" i="1" l="1"/>
  <c r="S110" i="1"/>
  <c r="T110" i="1" s="1"/>
  <c r="S109" i="1" l="1"/>
  <c r="T109" i="1" s="1"/>
  <c r="R108" i="1"/>
  <c r="R107" i="1" l="1"/>
  <c r="S108" i="1"/>
  <c r="T108" i="1" s="1"/>
  <c r="S107" i="1" l="1"/>
  <c r="T107" i="1" s="1"/>
  <c r="R106" i="1"/>
  <c r="R105" i="1" l="1"/>
  <c r="S106" i="1"/>
  <c r="T106" i="1" s="1"/>
  <c r="S105" i="1" l="1"/>
  <c r="T105" i="1" s="1"/>
  <c r="R104" i="1"/>
  <c r="S104" i="1" l="1"/>
  <c r="T104" i="1" s="1"/>
  <c r="R103" i="1"/>
  <c r="R102" i="1" l="1"/>
  <c r="S103" i="1"/>
  <c r="T103" i="1" s="1"/>
  <c r="R101" i="1" l="1"/>
  <c r="S102" i="1"/>
  <c r="T102" i="1" s="1"/>
  <c r="R100" i="1" l="1"/>
  <c r="S101" i="1"/>
  <c r="T101" i="1" s="1"/>
  <c r="S100" i="1" l="1"/>
  <c r="T100" i="1" s="1"/>
  <c r="R99" i="1"/>
  <c r="R98" i="1" l="1"/>
  <c r="S99" i="1"/>
  <c r="T99" i="1" s="1"/>
  <c r="R97" i="1" l="1"/>
  <c r="S98" i="1"/>
  <c r="T98" i="1" s="1"/>
  <c r="S97" i="1" l="1"/>
  <c r="T97" i="1" s="1"/>
  <c r="R96" i="1"/>
  <c r="R95" i="1" l="1"/>
  <c r="S96" i="1"/>
  <c r="T96" i="1" s="1"/>
  <c r="R94" i="1" l="1"/>
  <c r="S95" i="1"/>
  <c r="T95" i="1" s="1"/>
  <c r="R93" i="1" l="1"/>
  <c r="S94" i="1"/>
  <c r="T94" i="1" s="1"/>
  <c r="S93" i="1" l="1"/>
  <c r="T93" i="1" s="1"/>
  <c r="R92" i="1"/>
  <c r="R91" i="1" l="1"/>
  <c r="S92" i="1"/>
  <c r="T92" i="1" s="1"/>
  <c r="S91" i="1" l="1"/>
  <c r="T91" i="1" s="1"/>
  <c r="R90" i="1"/>
  <c r="S90" i="1" l="1"/>
  <c r="T90" i="1" s="1"/>
  <c r="R89" i="1"/>
  <c r="R88" i="1" l="1"/>
  <c r="S89" i="1"/>
  <c r="T89" i="1" s="1"/>
  <c r="R87" i="1" l="1"/>
  <c r="S88" i="1"/>
  <c r="T88" i="1" s="1"/>
  <c r="S87" i="1" l="1"/>
  <c r="T87" i="1" s="1"/>
  <c r="R86" i="1"/>
  <c r="S86" i="1" l="1"/>
  <c r="T86" i="1" s="1"/>
  <c r="R85" i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S80" i="1" l="1"/>
  <c r="T80" i="1" s="1"/>
  <c r="R79" i="1"/>
  <c r="S79" i="1" l="1"/>
  <c r="T79" i="1" s="1"/>
  <c r="R78" i="1"/>
  <c r="S78" i="1" l="1"/>
  <c r="T78" i="1" s="1"/>
  <c r="R77" i="1"/>
  <c r="S77" i="1" l="1"/>
  <c r="T77" i="1" s="1"/>
  <c r="R76" i="1"/>
  <c r="S76" i="1" l="1"/>
  <c r="T76" i="1" s="1"/>
  <c r="R75" i="1"/>
  <c r="S75" i="1" l="1"/>
  <c r="T75" i="1" s="1"/>
  <c r="R74" i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R69" i="1" l="1"/>
  <c r="S70" i="1"/>
  <c r="T70" i="1" s="1"/>
  <c r="S69" i="1" l="1"/>
  <c r="T69" i="1" s="1"/>
  <c r="R68" i="1"/>
  <c r="R67" i="1" l="1"/>
  <c r="S68" i="1"/>
  <c r="T68" i="1" s="1"/>
  <c r="S67" i="1" l="1"/>
  <c r="T67" i="1" s="1"/>
  <c r="R66" i="1"/>
  <c r="S66" i="1" l="1"/>
  <c r="T66" i="1" s="1"/>
  <c r="R65" i="1"/>
  <c r="R64" i="1" l="1"/>
  <c r="S65" i="1"/>
  <c r="T65" i="1" s="1"/>
  <c r="R63" i="1" l="1"/>
  <c r="S64" i="1"/>
  <c r="T64" i="1" s="1"/>
  <c r="R62" i="1" l="1"/>
  <c r="S63" i="1"/>
  <c r="T63" i="1" s="1"/>
  <c r="S62" i="1" l="1"/>
  <c r="T62" i="1" s="1"/>
  <c r="R61" i="1"/>
  <c r="S61" i="1" l="1"/>
  <c r="T61" i="1" s="1"/>
  <c r="R60" i="1"/>
  <c r="S60" i="1" l="1"/>
  <c r="T60" i="1" s="1"/>
  <c r="R59" i="1"/>
  <c r="R58" i="1" l="1"/>
  <c r="S59" i="1"/>
  <c r="T59" i="1" s="1"/>
  <c r="R57" i="1" l="1"/>
  <c r="S58" i="1"/>
  <c r="T58" i="1" s="1"/>
  <c r="R56" i="1" l="1"/>
  <c r="S57" i="1"/>
  <c r="T57" i="1" s="1"/>
  <c r="S56" i="1" l="1"/>
  <c r="T56" i="1" s="1"/>
  <c r="R55" i="1"/>
  <c r="R54" i="1" l="1"/>
  <c r="S55" i="1"/>
  <c r="T55" i="1" s="1"/>
  <c r="S54" i="1" l="1"/>
  <c r="T54" i="1" s="1"/>
  <c r="R53" i="1"/>
  <c r="S53" i="1" l="1"/>
  <c r="T53" i="1" s="1"/>
  <c r="R52" i="1"/>
  <c r="S52" i="1" l="1"/>
  <c r="T52" i="1" s="1"/>
  <c r="R51" i="1"/>
  <c r="S51" i="1" l="1"/>
  <c r="T51" i="1" s="1"/>
  <c r="R50" i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S41" i="1" l="1"/>
  <c r="T41" i="1" s="1"/>
  <c r="R40" i="1"/>
  <c r="S40" i="1" l="1"/>
  <c r="T40" i="1" s="1"/>
  <c r="R39" i="1"/>
  <c r="S39" i="1" l="1"/>
  <c r="T39" i="1" s="1"/>
  <c r="R38" i="1"/>
  <c r="R37" i="1" l="1"/>
  <c r="S38" i="1"/>
  <c r="T38" i="1" s="1"/>
  <c r="R36" i="1" l="1"/>
  <c r="S37" i="1"/>
  <c r="T37" i="1" s="1"/>
  <c r="S36" i="1" l="1"/>
  <c r="T36" i="1" s="1"/>
  <c r="R35" i="1"/>
  <c r="R34" i="1" l="1"/>
  <c r="S35" i="1"/>
  <c r="T35" i="1" s="1"/>
  <c r="S34" i="1" l="1"/>
  <c r="T34" i="1" s="1"/>
  <c r="R33" i="1"/>
  <c r="S33" i="1" l="1"/>
  <c r="T33" i="1" s="1"/>
  <c r="R32" i="1"/>
  <c r="S32" i="1" l="1"/>
  <c r="T32" i="1" s="1"/>
  <c r="R31" i="1"/>
  <c r="R30" i="1" l="1"/>
  <c r="S31" i="1"/>
  <c r="T31" i="1" s="1"/>
  <c r="S30" i="1" l="1"/>
  <c r="T30" i="1" s="1"/>
  <c r="R29" i="1"/>
  <c r="S29" i="1" l="1"/>
  <c r="T29" i="1" s="1"/>
  <c r="R28" i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S23" i="1" l="1"/>
  <c r="T23" i="1" s="1"/>
  <c r="R22" i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<sst xmlns="http://schemas.openxmlformats.org/spreadsheetml/2006/main" count="5524" uniqueCount="34">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</sst>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5.6740000000000004</c:v>
                </c:pt>
                <c:pt idx="1">
                  <c:v>5.8609999999999998</c:v>
                </c:pt>
                <c:pt idx="2">
                  <c:v>5.9189999999999996</c:v>
                </c:pt>
                <c:pt idx="3">
                  <c:v>5.9390000000000001</c:v>
                </c:pt>
                <c:pt idx="4">
                  <c:v>6.3860000000000001</c:v>
                </c:pt>
                <c:pt idx="5">
                  <c:v>6.0880000000000001</c:v>
                </c:pt>
                <c:pt idx="6">
                  <c:v>6.5960000000000001</c:v>
                </c:pt>
                <c:pt idx="7">
                  <c:v>7.7469999999999999</c:v>
                </c:pt>
                <c:pt idx="8">
                  <c:v>8.2490000000000006</c:v>
                </c:pt>
                <c:pt idx="9">
                  <c:v>7.9260000000000002</c:v>
                </c:pt>
                <c:pt idx="10">
                  <c:v>8.1430000000000007</c:v>
                </c:pt>
                <c:pt idx="11">
                  <c:v>8.3930000000000007</c:v>
                </c:pt>
                <c:pt idx="12">
                  <c:v>8.4529999999999994</c:v>
                </c:pt>
                <c:pt idx="13">
                  <c:v>8.3970000000000002</c:v>
                </c:pt>
                <c:pt idx="14">
                  <c:v>8.2970000000000006</c:v>
                </c:pt>
                <c:pt idx="15">
                  <c:v>8.9039999999999999</c:v>
                </c:pt>
                <c:pt idx="16">
                  <c:v>8.6539999999999999</c:v>
                </c:pt>
                <c:pt idx="17">
                  <c:v>8.3859999999999992</c:v>
                </c:pt>
                <c:pt idx="18">
                  <c:v>8.968</c:v>
                </c:pt>
                <c:pt idx="19">
                  <c:v>8.8610000000000007</c:v>
                </c:pt>
                <c:pt idx="20">
                  <c:v>9.39</c:v>
                </c:pt>
                <c:pt idx="21">
                  <c:v>9.7560000000000002</c:v>
                </c:pt>
                <c:pt idx="22">
                  <c:v>11.025</c:v>
                </c:pt>
                <c:pt idx="23">
                  <c:v>9.0459999999999994</c:v>
                </c:pt>
                <c:pt idx="24">
                  <c:v>9.2710000000000008</c:v>
                </c:pt>
                <c:pt idx="25">
                  <c:v>9.4879999999999995</c:v>
                </c:pt>
                <c:pt idx="26">
                  <c:v>9.3330000000000002</c:v>
                </c:pt>
                <c:pt idx="27">
                  <c:v>9.109</c:v>
                </c:pt>
                <c:pt idx="28">
                  <c:v>9.3109999999999999</c:v>
                </c:pt>
                <c:pt idx="29">
                  <c:v>9.2840000000000007</c:v>
                </c:pt>
                <c:pt idx="30">
                  <c:v>9.5950000000000006</c:v>
                </c:pt>
                <c:pt idx="31">
                  <c:v>10.747</c:v>
                </c:pt>
                <c:pt idx="32">
                  <c:v>10.414</c:v>
                </c:pt>
                <c:pt idx="33">
                  <c:v>9.7739999999999991</c:v>
                </c:pt>
                <c:pt idx="34">
                  <c:v>9.5589999999999993</c:v>
                </c:pt>
                <c:pt idx="35">
                  <c:v>9.8379999999999992</c:v>
                </c:pt>
                <c:pt idx="36">
                  <c:v>9.4570000000000007</c:v>
                </c:pt>
                <c:pt idx="37">
                  <c:v>9</c:v>
                </c:pt>
                <c:pt idx="38">
                  <c:v>8.7449999999999992</c:v>
                </c:pt>
                <c:pt idx="39">
                  <c:v>9.0920000000000005</c:v>
                </c:pt>
                <c:pt idx="40">
                  <c:v>8.9390000000000001</c:v>
                </c:pt>
                <c:pt idx="41">
                  <c:v>8.9139999999999997</c:v>
                </c:pt>
                <c:pt idx="42">
                  <c:v>9.4280000000000008</c:v>
                </c:pt>
                <c:pt idx="43">
                  <c:v>9.2460000000000004</c:v>
                </c:pt>
                <c:pt idx="44">
                  <c:v>8.8960000000000008</c:v>
                </c:pt>
                <c:pt idx="45">
                  <c:v>8.9380000000000006</c:v>
                </c:pt>
                <c:pt idx="46">
                  <c:v>10.064</c:v>
                </c:pt>
                <c:pt idx="47">
                  <c:v>9.68</c:v>
                </c:pt>
                <c:pt idx="48">
                  <c:v>9.5939999999999994</c:v>
                </c:pt>
                <c:pt idx="49">
                  <c:v>9.8420000000000005</c:v>
                </c:pt>
                <c:pt idx="50">
                  <c:v>10.875999999999999</c:v>
                </c:pt>
                <c:pt idx="51">
                  <c:v>10.375999999999999</c:v>
                </c:pt>
                <c:pt idx="52">
                  <c:v>10.631</c:v>
                </c:pt>
                <c:pt idx="53">
                  <c:v>10.214</c:v>
                </c:pt>
                <c:pt idx="54">
                  <c:v>10.858000000000001</c:v>
                </c:pt>
                <c:pt idx="55">
                  <c:v>12.095000000000001</c:v>
                </c:pt>
                <c:pt idx="56">
                  <c:v>12.435</c:v>
                </c:pt>
                <c:pt idx="57">
                  <c:v>12.852</c:v>
                </c:pt>
                <c:pt idx="58">
                  <c:v>13.015000000000001</c:v>
                </c:pt>
                <c:pt idx="59">
                  <c:v>13.539</c:v>
                </c:pt>
                <c:pt idx="60">
                  <c:v>13.872</c:v>
                </c:pt>
                <c:pt idx="61">
                  <c:v>15.138999999999999</c:v>
                </c:pt>
                <c:pt idx="62">
                  <c:v>12.964</c:v>
                </c:pt>
                <c:pt idx="63">
                  <c:v>14.558</c:v>
                </c:pt>
                <c:pt idx="64">
                  <c:v>14.372999999999999</c:v>
                </c:pt>
                <c:pt idx="65">
                  <c:v>14.815</c:v>
                </c:pt>
                <c:pt idx="66">
                  <c:v>14.773999999999999</c:v>
                </c:pt>
                <c:pt idx="67">
                  <c:v>16.280999999999999</c:v>
                </c:pt>
                <c:pt idx="68">
                  <c:v>16.907</c:v>
                </c:pt>
                <c:pt idx="69">
                  <c:v>17.234999999999999</c:v>
                </c:pt>
                <c:pt idx="70">
                  <c:v>16.47</c:v>
                </c:pt>
                <c:pt idx="71">
                  <c:v>18.739999999999998</c:v>
                </c:pt>
                <c:pt idx="72">
                  <c:v>19.036000000000001</c:v>
                </c:pt>
                <c:pt idx="73">
                  <c:v>20.638000000000002</c:v>
                </c:pt>
                <c:pt idx="74">
                  <c:v>16.629000000000001</c:v>
                </c:pt>
                <c:pt idx="75">
                  <c:v>15.986000000000001</c:v>
                </c:pt>
                <c:pt idx="76">
                  <c:v>16.888000000000002</c:v>
                </c:pt>
                <c:pt idx="77">
                  <c:v>19.55</c:v>
                </c:pt>
                <c:pt idx="78">
                  <c:v>14.148</c:v>
                </c:pt>
                <c:pt idx="79">
                  <c:v>15.407999999999999</c:v>
                </c:pt>
                <c:pt idx="80">
                  <c:v>16.669</c:v>
                </c:pt>
                <c:pt idx="81">
                  <c:v>16.081</c:v>
                </c:pt>
                <c:pt idx="82">
                  <c:v>12.56</c:v>
                </c:pt>
                <c:pt idx="83">
                  <c:v>12.144</c:v>
                </c:pt>
                <c:pt idx="84">
                  <c:v>11.757</c:v>
                </c:pt>
                <c:pt idx="85">
                  <c:v>12.087999999999999</c:v>
                </c:pt>
                <c:pt idx="86">
                  <c:v>12.489000000000001</c:v>
                </c:pt>
                <c:pt idx="87">
                  <c:v>12.324</c:v>
                </c:pt>
                <c:pt idx="88">
                  <c:v>11.363</c:v>
                </c:pt>
                <c:pt idx="89">
                  <c:v>11.295999999999999</c:v>
                </c:pt>
                <c:pt idx="90">
                  <c:v>11.401999999999999</c:v>
                </c:pt>
                <c:pt idx="91">
                  <c:v>11.316000000000001</c:v>
                </c:pt>
                <c:pt idx="92">
                  <c:v>11.087999999999999</c:v>
                </c:pt>
                <c:pt idx="93">
                  <c:v>11.712999999999999</c:v>
                </c:pt>
                <c:pt idx="94">
                  <c:v>11.803000000000001</c:v>
                </c:pt>
                <c:pt idx="95">
                  <c:v>11.445</c:v>
                </c:pt>
                <c:pt idx="96">
                  <c:v>12.015000000000001</c:v>
                </c:pt>
                <c:pt idx="97">
                  <c:v>12.157999999999999</c:v>
                </c:pt>
                <c:pt idx="98">
                  <c:v>12.028</c:v>
                </c:pt>
                <c:pt idx="99">
                  <c:v>12.866</c:v>
                </c:pt>
                <c:pt idx="100">
                  <c:v>13.971</c:v>
                </c:pt>
                <c:pt idx="101">
                  <c:v>10.798999999999999</c:v>
                </c:pt>
                <c:pt idx="102">
                  <c:v>10.558999999999999</c:v>
                </c:pt>
                <c:pt idx="103">
                  <c:v>11.005000000000001</c:v>
                </c:pt>
                <c:pt idx="104">
                  <c:v>10.97</c:v>
                </c:pt>
                <c:pt idx="105">
                  <c:v>10.234</c:v>
                </c:pt>
                <c:pt idx="106">
                  <c:v>9.9749999999999996</c:v>
                </c:pt>
                <c:pt idx="107">
                  <c:v>9.7260000000000009</c:v>
                </c:pt>
                <c:pt idx="108">
                  <c:v>9.9589999999999996</c:v>
                </c:pt>
                <c:pt idx="109">
                  <c:v>10.223000000000001</c:v>
                </c:pt>
                <c:pt idx="110">
                  <c:v>11.319000000000001</c:v>
                </c:pt>
                <c:pt idx="111">
                  <c:v>9.7690000000000001</c:v>
                </c:pt>
                <c:pt idx="112">
                  <c:v>9.9090000000000007</c:v>
                </c:pt>
                <c:pt idx="113">
                  <c:v>9.86</c:v>
                </c:pt>
                <c:pt idx="114">
                  <c:v>10.015000000000001</c:v>
                </c:pt>
                <c:pt idx="115">
                  <c:v>9.7490000000000006</c:v>
                </c:pt>
                <c:pt idx="116">
                  <c:v>10.079000000000001</c:v>
                </c:pt>
                <c:pt idx="117">
                  <c:v>9.8780000000000001</c:v>
                </c:pt>
                <c:pt idx="118">
                  <c:v>9.5500000000000007</c:v>
                </c:pt>
                <c:pt idx="119">
                  <c:v>9.0389999999999997</c:v>
                </c:pt>
                <c:pt idx="120">
                  <c:v>8.6660000000000004</c:v>
                </c:pt>
                <c:pt idx="121">
                  <c:v>8.5660000000000007</c:v>
                </c:pt>
                <c:pt idx="122">
                  <c:v>8.827</c:v>
                </c:pt>
                <c:pt idx="123">
                  <c:v>9.4</c:v>
                </c:pt>
                <c:pt idx="124">
                  <c:v>9.1989999999999998</c:v>
                </c:pt>
                <c:pt idx="125">
                  <c:v>9.3010000000000002</c:v>
                </c:pt>
                <c:pt idx="126">
                  <c:v>10.132</c:v>
                </c:pt>
                <c:pt idx="127">
                  <c:v>10.163</c:v>
                </c:pt>
                <c:pt idx="128">
                  <c:v>9.2899999999999991</c:v>
                </c:pt>
                <c:pt idx="129">
                  <c:v>10.239000000000001</c:v>
                </c:pt>
                <c:pt idx="130">
                  <c:v>11.04</c:v>
                </c:pt>
                <c:pt idx="131">
                  <c:v>11.262</c:v>
                </c:pt>
                <c:pt idx="132">
                  <c:v>11.111000000000001</c:v>
                </c:pt>
                <c:pt idx="133">
                  <c:v>11.95</c:v>
                </c:pt>
                <c:pt idx="134">
                  <c:v>11.898999999999999</c:v>
                </c:pt>
                <c:pt idx="135">
                  <c:v>11.372999999999999</c:v>
                </c:pt>
                <c:pt idx="136">
                  <c:v>10.345000000000001</c:v>
                </c:pt>
                <c:pt idx="137">
                  <c:v>10.818</c:v>
                </c:pt>
                <c:pt idx="138">
                  <c:v>10.43</c:v>
                </c:pt>
                <c:pt idx="139">
                  <c:v>10.423</c:v>
                </c:pt>
                <c:pt idx="140">
                  <c:v>11.076000000000001</c:v>
                </c:pt>
                <c:pt idx="141">
                  <c:v>11.045</c:v>
                </c:pt>
                <c:pt idx="142">
                  <c:v>10.962</c:v>
                </c:pt>
                <c:pt idx="143">
                  <c:v>14.004</c:v>
                </c:pt>
                <c:pt idx="144">
                  <c:v>14.119</c:v>
                </c:pt>
                <c:pt idx="145">
                  <c:v>13.228</c:v>
                </c:pt>
                <c:pt idx="146">
                  <c:v>12.782999999999999</c:v>
                </c:pt>
                <c:pt idx="147">
                  <c:v>12.773999999999999</c:v>
                </c:pt>
                <c:pt idx="148">
                  <c:v>13.175000000000001</c:v>
                </c:pt>
                <c:pt idx="149">
                  <c:v>12.771000000000001</c:v>
                </c:pt>
                <c:pt idx="150">
                  <c:v>12.442</c:v>
                </c:pt>
                <c:pt idx="151">
                  <c:v>13.173999999999999</c:v>
                </c:pt>
                <c:pt idx="152">
                  <c:v>13.468999999999999</c:v>
                </c:pt>
                <c:pt idx="153">
                  <c:v>13.04</c:v>
                </c:pt>
                <c:pt idx="154">
                  <c:v>12.068</c:v>
                </c:pt>
                <c:pt idx="155">
                  <c:v>13</c:v>
                </c:pt>
                <c:pt idx="156">
                  <c:v>12.728999999999999</c:v>
                </c:pt>
                <c:pt idx="157">
                  <c:v>14.25</c:v>
                </c:pt>
                <c:pt idx="158">
                  <c:v>13.756</c:v>
                </c:pt>
                <c:pt idx="159">
                  <c:v>14.682</c:v>
                </c:pt>
                <c:pt idx="160">
                  <c:v>12.744999999999999</c:v>
                </c:pt>
                <c:pt idx="161">
                  <c:v>12.333</c:v>
                </c:pt>
                <c:pt idx="162">
                  <c:v>11.33</c:v>
                </c:pt>
                <c:pt idx="163">
                  <c:v>11.37</c:v>
                </c:pt>
                <c:pt idx="164">
                  <c:v>11.7</c:v>
                </c:pt>
                <c:pt idx="165">
                  <c:v>12.204000000000001</c:v>
                </c:pt>
                <c:pt idx="166">
                  <c:v>11.926</c:v>
                </c:pt>
                <c:pt idx="167">
                  <c:v>11.917999999999999</c:v>
                </c:pt>
                <c:pt idx="168">
                  <c:v>10.724</c:v>
                </c:pt>
                <c:pt idx="169">
                  <c:v>11.202999999999999</c:v>
                </c:pt>
                <c:pt idx="170">
                  <c:v>11.148999999999999</c:v>
                </c:pt>
                <c:pt idx="171">
                  <c:v>11.69</c:v>
                </c:pt>
                <c:pt idx="172">
                  <c:v>9.4610000000000003</c:v>
                </c:pt>
                <c:pt idx="173">
                  <c:v>10.292999999999999</c:v>
                </c:pt>
                <c:pt idx="174">
                  <c:v>9.9090000000000007</c:v>
                </c:pt>
                <c:pt idx="175">
                  <c:v>9.5220000000000002</c:v>
                </c:pt>
                <c:pt idx="176">
                  <c:v>9.2080000000000002</c:v>
                </c:pt>
                <c:pt idx="177">
                  <c:v>8.4290000000000003</c:v>
                </c:pt>
                <c:pt idx="178">
                  <c:v>8.6769999999999996</c:v>
                </c:pt>
                <c:pt idx="179">
                  <c:v>8.7899999999999991</c:v>
                </c:pt>
                <c:pt idx="180">
                  <c:v>9.0909999999999993</c:v>
                </c:pt>
                <c:pt idx="181">
                  <c:v>8.8239999999999998</c:v>
                </c:pt>
                <c:pt idx="182">
                  <c:v>8.9640000000000004</c:v>
                </c:pt>
                <c:pt idx="183">
                  <c:v>8.5670000000000002</c:v>
                </c:pt>
                <c:pt idx="184">
                  <c:v>8.6300000000000008</c:v>
                </c:pt>
                <c:pt idx="185">
                  <c:v>8.6300000000000008</c:v>
                </c:pt>
                <c:pt idx="186">
                  <c:v>8.4309999999999992</c:v>
                </c:pt>
                <c:pt idx="187">
                  <c:v>8.5280000000000005</c:v>
                </c:pt>
                <c:pt idx="188">
                  <c:v>8.4830000000000005</c:v>
                </c:pt>
                <c:pt idx="189">
                  <c:v>8.5090000000000003</c:v>
                </c:pt>
                <c:pt idx="190">
                  <c:v>8.0139999999999993</c:v>
                </c:pt>
                <c:pt idx="191">
                  <c:v>7.6079999999999997</c:v>
                </c:pt>
                <c:pt idx="192">
                  <c:v>7.8449999999999998</c:v>
                </c:pt>
                <c:pt idx="193">
                  <c:v>8.34</c:v>
                </c:pt>
                <c:pt idx="194">
                  <c:v>8.2230000000000008</c:v>
                </c:pt>
                <c:pt idx="195">
                  <c:v>8.5299999999999994</c:v>
                </c:pt>
                <c:pt idx="196">
                  <c:v>8.1669999999999998</c:v>
                </c:pt>
                <c:pt idx="197">
                  <c:v>8.5719999999999992</c:v>
                </c:pt>
                <c:pt idx="198">
                  <c:v>8.4179999999999993</c:v>
                </c:pt>
                <c:pt idx="199">
                  <c:v>8.8970000000000002</c:v>
                </c:pt>
                <c:pt idx="200">
                  <c:v>9.3040000000000003</c:v>
                </c:pt>
                <c:pt idx="201">
                  <c:v>9.0299999999999994</c:v>
                </c:pt>
                <c:pt idx="202">
                  <c:v>9.2560000000000002</c:v>
                </c:pt>
                <c:pt idx="203">
                  <c:v>9.35</c:v>
                </c:pt>
                <c:pt idx="204">
                  <c:v>9.9220000000000006</c:v>
                </c:pt>
                <c:pt idx="205">
                  <c:v>9.8819999999999997</c:v>
                </c:pt>
                <c:pt idx="206">
                  <c:v>9.4480000000000004</c:v>
                </c:pt>
                <c:pt idx="207">
                  <c:v>9.86</c:v>
                </c:pt>
                <c:pt idx="208">
                  <c:v>9.3849999999999998</c:v>
                </c:pt>
                <c:pt idx="209">
                  <c:v>8.7629999999999999</c:v>
                </c:pt>
                <c:pt idx="210">
                  <c:v>9.109</c:v>
                </c:pt>
                <c:pt idx="211">
                  <c:v>9.93</c:v>
                </c:pt>
                <c:pt idx="212">
                  <c:v>8.9339999999999993</c:v>
                </c:pt>
                <c:pt idx="213">
                  <c:v>8.6679999999999993</c:v>
                </c:pt>
                <c:pt idx="214">
                  <c:v>8.3889999999999993</c:v>
                </c:pt>
                <c:pt idx="215">
                  <c:v>7.9409999999999998</c:v>
                </c:pt>
                <c:pt idx="216">
                  <c:v>8.0779999999999994</c:v>
                </c:pt>
                <c:pt idx="217">
                  <c:v>9.1300000000000008</c:v>
                </c:pt>
                <c:pt idx="218">
                  <c:v>8.8390000000000004</c:v>
                </c:pt>
                <c:pt idx="219">
                  <c:v>8.77</c:v>
                </c:pt>
                <c:pt idx="220">
                  <c:v>8.5679999999999996</c:v>
                </c:pt>
                <c:pt idx="221">
                  <c:v>10.724</c:v>
                </c:pt>
                <c:pt idx="222">
                  <c:v>10.733000000000001</c:v>
                </c:pt>
                <c:pt idx="223">
                  <c:v>10.821</c:v>
                </c:pt>
                <c:pt idx="224">
                  <c:v>11.821</c:v>
                </c:pt>
                <c:pt idx="225">
                  <c:v>11.981</c:v>
                </c:pt>
                <c:pt idx="226">
                  <c:v>12.542999999999999</c:v>
                </c:pt>
                <c:pt idx="227">
                  <c:v>12.436999999999999</c:v>
                </c:pt>
                <c:pt idx="228">
                  <c:v>11.861000000000001</c:v>
                </c:pt>
                <c:pt idx="229">
                  <c:v>11.273999999999999</c:v>
                </c:pt>
                <c:pt idx="230">
                  <c:v>11.233000000000001</c:v>
                </c:pt>
                <c:pt idx="231">
                  <c:v>12.374000000000001</c:v>
                </c:pt>
                <c:pt idx="232">
                  <c:v>13.023</c:v>
                </c:pt>
                <c:pt idx="233">
                  <c:v>12.836</c:v>
                </c:pt>
                <c:pt idx="234">
                  <c:v>13.371</c:v>
                </c:pt>
                <c:pt idx="235">
                  <c:v>14.861000000000001</c:v>
                </c:pt>
                <c:pt idx="236">
                  <c:v>15.205</c:v>
                </c:pt>
                <c:pt idx="237">
                  <c:v>16.268000000000001</c:v>
                </c:pt>
                <c:pt idx="238">
                  <c:v>14.628</c:v>
                </c:pt>
                <c:pt idx="239">
                  <c:v>14.047000000000001</c:v>
                </c:pt>
                <c:pt idx="240">
                  <c:v>13.68</c:v>
                </c:pt>
                <c:pt idx="241">
                  <c:v>13.843</c:v>
                </c:pt>
                <c:pt idx="242">
                  <c:v>12.785</c:v>
                </c:pt>
                <c:pt idx="243">
                  <c:v>12.172000000000001</c:v>
                </c:pt>
                <c:pt idx="244">
                  <c:v>13.247999999999999</c:v>
                </c:pt>
                <c:pt idx="245">
                  <c:v>14.510999999999999</c:v>
                </c:pt>
                <c:pt idx="246">
                  <c:v>15.739000000000001</c:v>
                </c:pt>
                <c:pt idx="247">
                  <c:v>14.388999999999999</c:v>
                </c:pt>
                <c:pt idx="248">
                  <c:v>14.191000000000001</c:v>
                </c:pt>
                <c:pt idx="249">
                  <c:v>11.69</c:v>
                </c:pt>
                <c:pt idx="250">
                  <c:v>13.59</c:v>
                </c:pt>
                <c:pt idx="251">
                  <c:v>15.065</c:v>
                </c:pt>
                <c:pt idx="252">
                  <c:v>17.989999999999998</c:v>
                </c:pt>
                <c:pt idx="253">
                  <c:v>16.099</c:v>
                </c:pt>
                <c:pt idx="254">
                  <c:v>24.800999999999998</c:v>
                </c:pt>
                <c:pt idx="255">
                  <c:v>21.681000000000001</c:v>
                </c:pt>
                <c:pt idx="256">
                  <c:v>24.452999999999999</c:v>
                </c:pt>
                <c:pt idx="257">
                  <c:v>23.564</c:v>
                </c:pt>
                <c:pt idx="258">
                  <c:v>27.706</c:v>
                </c:pt>
                <c:pt idx="259">
                  <c:v>24.407</c:v>
                </c:pt>
                <c:pt idx="260">
                  <c:v>25.823</c:v>
                </c:pt>
                <c:pt idx="261">
                  <c:v>28.98</c:v>
                </c:pt>
                <c:pt idx="262">
                  <c:v>28.768000000000001</c:v>
                </c:pt>
                <c:pt idx="263">
                  <c:v>25.609000000000002</c:v>
                </c:pt>
                <c:pt idx="264">
                  <c:v>26.98</c:v>
                </c:pt>
                <c:pt idx="265">
                  <c:v>25.282</c:v>
                </c:pt>
                <c:pt idx="266">
                  <c:v>25.324999999999999</c:v>
                </c:pt>
                <c:pt idx="267">
                  <c:v>25.922000000000001</c:v>
                </c:pt>
                <c:pt idx="268">
                  <c:v>24.082999999999998</c:v>
                </c:pt>
                <c:pt idx="269">
                  <c:v>26.698</c:v>
                </c:pt>
                <c:pt idx="270">
                  <c:v>25.792999999999999</c:v>
                </c:pt>
                <c:pt idx="271">
                  <c:v>26.847999999999999</c:v>
                </c:pt>
                <c:pt idx="272">
                  <c:v>25.402999999999999</c:v>
                </c:pt>
                <c:pt idx="273">
                  <c:v>24.957000000000001</c:v>
                </c:pt>
                <c:pt idx="274">
                  <c:v>25.052</c:v>
                </c:pt>
                <c:pt idx="275">
                  <c:v>26.085000000000001</c:v>
                </c:pt>
                <c:pt idx="276">
                  <c:v>25.062000000000001</c:v>
                </c:pt>
                <c:pt idx="277">
                  <c:v>23.288</c:v>
                </c:pt>
                <c:pt idx="278">
                  <c:v>20.725999999999999</c:v>
                </c:pt>
                <c:pt idx="279">
                  <c:v>23.283999999999999</c:v>
                </c:pt>
                <c:pt idx="280">
                  <c:v>25.120999999999999</c:v>
                </c:pt>
                <c:pt idx="281">
                  <c:v>25.367999999999999</c:v>
                </c:pt>
                <c:pt idx="282">
                  <c:v>28.253</c:v>
                </c:pt>
                <c:pt idx="283">
                  <c:v>26.73</c:v>
                </c:pt>
                <c:pt idx="284">
                  <c:v>32.840000000000003</c:v>
                </c:pt>
                <c:pt idx="285">
                  <c:v>28.477</c:v>
                </c:pt>
                <c:pt idx="286">
                  <c:v>29.023</c:v>
                </c:pt>
                <c:pt idx="287">
                  <c:v>29.73</c:v>
                </c:pt>
                <c:pt idx="288">
                  <c:v>26.593</c:v>
                </c:pt>
                <c:pt idx="289">
                  <c:v>26.646000000000001</c:v>
                </c:pt>
                <c:pt idx="290">
                  <c:v>27.221</c:v>
                </c:pt>
                <c:pt idx="291">
                  <c:v>27.027000000000001</c:v>
                </c:pt>
                <c:pt idx="292">
                  <c:v>28.093</c:v>
                </c:pt>
                <c:pt idx="293">
                  <c:v>24.635999999999999</c:v>
                </c:pt>
                <c:pt idx="294">
                  <c:v>24.388999999999999</c:v>
                </c:pt>
                <c:pt idx="295">
                  <c:v>23.167000000000002</c:v>
                </c:pt>
                <c:pt idx="296">
                  <c:v>25.318000000000001</c:v>
                </c:pt>
                <c:pt idx="297">
                  <c:v>26.184999999999999</c:v>
                </c:pt>
                <c:pt idx="298">
                  <c:v>25.466000000000001</c:v>
                </c:pt>
                <c:pt idx="299">
                  <c:v>24.609000000000002</c:v>
                </c:pt>
                <c:pt idx="300">
                  <c:v>25.38</c:v>
                </c:pt>
                <c:pt idx="301">
                  <c:v>24.117000000000001</c:v>
                </c:pt>
                <c:pt idx="302">
                  <c:v>24.701000000000001</c:v>
                </c:pt>
                <c:pt idx="303">
                  <c:v>23.123000000000001</c:v>
                </c:pt>
                <c:pt idx="304">
                  <c:v>22.727</c:v>
                </c:pt>
                <c:pt idx="305">
                  <c:v>21.655999999999999</c:v>
                </c:pt>
                <c:pt idx="306">
                  <c:v>21.765999999999998</c:v>
                </c:pt>
                <c:pt idx="307">
                  <c:v>22.856000000000002</c:v>
                </c:pt>
                <c:pt idx="308">
                  <c:v>19.902999999999999</c:v>
                </c:pt>
                <c:pt idx="309">
                  <c:v>20.661000000000001</c:v>
                </c:pt>
                <c:pt idx="310">
                  <c:v>22.983000000000001</c:v>
                </c:pt>
                <c:pt idx="311">
                  <c:v>23.558</c:v>
                </c:pt>
                <c:pt idx="312">
                  <c:v>25.212</c:v>
                </c:pt>
                <c:pt idx="313">
                  <c:v>25.385999999999999</c:v>
                </c:pt>
                <c:pt idx="314">
                  <c:v>25.472000000000001</c:v>
                </c:pt>
                <c:pt idx="315">
                  <c:v>24.198</c:v>
                </c:pt>
                <c:pt idx="316">
                  <c:v>23.861000000000001</c:v>
                </c:pt>
                <c:pt idx="317">
                  <c:v>24.14</c:v>
                </c:pt>
                <c:pt idx="318">
                  <c:v>23.92</c:v>
                </c:pt>
                <c:pt idx="319">
                  <c:v>24.15</c:v>
                </c:pt>
                <c:pt idx="320">
                  <c:v>25.497</c:v>
                </c:pt>
                <c:pt idx="321">
                  <c:v>22.693000000000001</c:v>
                </c:pt>
                <c:pt idx="322">
                  <c:v>24.439</c:v>
                </c:pt>
                <c:pt idx="323">
                  <c:v>25.3</c:v>
                </c:pt>
                <c:pt idx="324">
                  <c:v>27.276</c:v>
                </c:pt>
                <c:pt idx="325">
                  <c:v>26.954999999999998</c:v>
                </c:pt>
                <c:pt idx="326">
                  <c:v>22.216999999999999</c:v>
                </c:pt>
                <c:pt idx="327">
                  <c:v>22.140999999999998</c:v>
                </c:pt>
                <c:pt idx="328">
                  <c:v>20.082999999999998</c:v>
                </c:pt>
                <c:pt idx="329">
                  <c:v>20.859000000000002</c:v>
                </c:pt>
                <c:pt idx="330">
                  <c:v>21.806000000000001</c:v>
                </c:pt>
                <c:pt idx="331">
                  <c:v>21.276</c:v>
                </c:pt>
                <c:pt idx="332">
                  <c:v>20.71</c:v>
                </c:pt>
                <c:pt idx="333">
                  <c:v>19.463000000000001</c:v>
                </c:pt>
                <c:pt idx="334">
                  <c:v>20.361999999999998</c:v>
                </c:pt>
                <c:pt idx="335">
                  <c:v>19.797000000000001</c:v>
                </c:pt>
                <c:pt idx="336">
                  <c:v>19.658999999999999</c:v>
                </c:pt>
                <c:pt idx="337">
                  <c:v>22.100999999999999</c:v>
                </c:pt>
                <c:pt idx="338">
                  <c:v>21.824000000000002</c:v>
                </c:pt>
                <c:pt idx="339">
                  <c:v>23.622</c:v>
                </c:pt>
                <c:pt idx="340">
                  <c:v>26.765999999999998</c:v>
                </c:pt>
                <c:pt idx="341">
                  <c:v>26.876000000000001</c:v>
                </c:pt>
                <c:pt idx="342">
                  <c:v>25.652000000000001</c:v>
                </c:pt>
                <c:pt idx="343">
                  <c:v>27.52</c:v>
                </c:pt>
                <c:pt idx="344">
                  <c:v>27.73</c:v>
                </c:pt>
                <c:pt idx="345">
                  <c:v>25.582999999999998</c:v>
                </c:pt>
                <c:pt idx="346">
                  <c:v>26.163</c:v>
                </c:pt>
                <c:pt idx="347">
                  <c:v>29.007000000000001</c:v>
                </c:pt>
                <c:pt idx="348">
                  <c:v>29.646999999999998</c:v>
                </c:pt>
                <c:pt idx="349">
                  <c:v>31.068999999999999</c:v>
                </c:pt>
                <c:pt idx="350">
                  <c:v>29.111999999999998</c:v>
                </c:pt>
                <c:pt idx="351">
                  <c:v>28.861000000000001</c:v>
                </c:pt>
                <c:pt idx="352">
                  <c:v>28.922999999999998</c:v>
                </c:pt>
                <c:pt idx="353">
                  <c:v>28.675000000000001</c:v>
                </c:pt>
                <c:pt idx="354">
                  <c:v>28.41</c:v>
                </c:pt>
                <c:pt idx="355">
                  <c:v>29.814</c:v>
                </c:pt>
                <c:pt idx="356">
                  <c:v>32.167999999999999</c:v>
                </c:pt>
                <c:pt idx="357">
                  <c:v>33.902000000000001</c:v>
                </c:pt>
                <c:pt idx="358">
                  <c:v>27.899000000000001</c:v>
                </c:pt>
                <c:pt idx="359">
                  <c:v>16.670000000000002</c:v>
                </c:pt>
                <c:pt idx="360">
                  <c:v>11.238</c:v>
                </c:pt>
                <c:pt idx="361">
                  <c:v>11.098000000000001</c:v>
                </c:pt>
                <c:pt idx="362">
                  <c:v>11.164</c:v>
                </c:pt>
                <c:pt idx="363">
                  <c:v>10.731999999999999</c:v>
                </c:pt>
                <c:pt idx="364">
                  <c:v>10.49</c:v>
                </c:pt>
                <c:pt idx="365">
                  <c:v>9.9480000000000004</c:v>
                </c:pt>
                <c:pt idx="366">
                  <c:v>11.074999999999999</c:v>
                </c:pt>
                <c:pt idx="367">
                  <c:v>10.863</c:v>
                </c:pt>
                <c:pt idx="368">
                  <c:v>11.548999999999999</c:v>
                </c:pt>
                <c:pt idx="369">
                  <c:v>11.253</c:v>
                </c:pt>
                <c:pt idx="370">
                  <c:v>11.403</c:v>
                </c:pt>
                <c:pt idx="371">
                  <c:v>10.907999999999999</c:v>
                </c:pt>
                <c:pt idx="372">
                  <c:v>11.429</c:v>
                </c:pt>
                <c:pt idx="373">
                  <c:v>11.513</c:v>
                </c:pt>
                <c:pt idx="374">
                  <c:v>11.029</c:v>
                </c:pt>
                <c:pt idx="375">
                  <c:v>10.324</c:v>
                </c:pt>
                <c:pt idx="376">
                  <c:v>10.342000000000001</c:v>
                </c:pt>
                <c:pt idx="377">
                  <c:v>9.3209999999999997</c:v>
                </c:pt>
                <c:pt idx="378">
                  <c:v>9.2509999999999994</c:v>
                </c:pt>
                <c:pt idx="379">
                  <c:v>8.9499999999999993</c:v>
                </c:pt>
                <c:pt idx="380">
                  <c:v>8.1760000000000002</c:v>
                </c:pt>
                <c:pt idx="381">
                  <c:v>8.3650000000000002</c:v>
                </c:pt>
                <c:pt idx="382">
                  <c:v>9.4369999999999994</c:v>
                </c:pt>
                <c:pt idx="383">
                  <c:v>9.7460000000000004</c:v>
                </c:pt>
                <c:pt idx="384">
                  <c:v>9.64</c:v>
                </c:pt>
                <c:pt idx="385">
                  <c:v>9.9969999999999999</c:v>
                </c:pt>
                <c:pt idx="386">
                  <c:v>9.6549999999999994</c:v>
                </c:pt>
                <c:pt idx="387">
                  <c:v>9.2319999999999993</c:v>
                </c:pt>
                <c:pt idx="388">
                  <c:v>8.8109999999999999</c:v>
                </c:pt>
                <c:pt idx="389">
                  <c:v>8.3800000000000008</c:v>
                </c:pt>
                <c:pt idx="390">
                  <c:v>8.2810000000000006</c:v>
                </c:pt>
                <c:pt idx="391">
                  <c:v>7.9059999999999997</c:v>
                </c:pt>
                <c:pt idx="392">
                  <c:v>7.6219999999999999</c:v>
                </c:pt>
                <c:pt idx="393">
                  <c:v>7.8559999999999999</c:v>
                </c:pt>
                <c:pt idx="394">
                  <c:v>7.9889999999999999</c:v>
                </c:pt>
                <c:pt idx="395">
                  <c:v>7.9459999999999997</c:v>
                </c:pt>
                <c:pt idx="396">
                  <c:v>7.8840000000000003</c:v>
                </c:pt>
                <c:pt idx="397">
                  <c:v>7.8529999999999998</c:v>
                </c:pt>
                <c:pt idx="398">
                  <c:v>8.0549999999999997</c:v>
                </c:pt>
                <c:pt idx="399">
                  <c:v>8.1630000000000003</c:v>
                </c:pt>
                <c:pt idx="400">
                  <c:v>7.8659999999999997</c:v>
                </c:pt>
                <c:pt idx="401">
                  <c:v>8.9499999999999993</c:v>
                </c:pt>
                <c:pt idx="402">
                  <c:v>9.3290000000000006</c:v>
                </c:pt>
                <c:pt idx="403">
                  <c:v>7.7670000000000003</c:v>
                </c:pt>
                <c:pt idx="404">
                  <c:v>8.0909999999999993</c:v>
                </c:pt>
                <c:pt idx="405">
                  <c:v>8.4459999999999997</c:v>
                </c:pt>
                <c:pt idx="406">
                  <c:v>8.5760000000000005</c:v>
                </c:pt>
                <c:pt idx="407">
                  <c:v>9.1549999999999994</c:v>
                </c:pt>
                <c:pt idx="408">
                  <c:v>7.4450000000000003</c:v>
                </c:pt>
                <c:pt idx="409">
                  <c:v>7.3689999999999998</c:v>
                </c:pt>
                <c:pt idx="410">
                  <c:v>7.5039999999999996</c:v>
                </c:pt>
                <c:pt idx="411">
                  <c:v>7.2640000000000002</c:v>
                </c:pt>
                <c:pt idx="412">
                  <c:v>7.069</c:v>
                </c:pt>
                <c:pt idx="413">
                  <c:v>7.22</c:v>
                </c:pt>
                <c:pt idx="414">
                  <c:v>7.53</c:v>
                </c:pt>
                <c:pt idx="415">
                  <c:v>7.29</c:v>
                </c:pt>
                <c:pt idx="416">
                  <c:v>7.8559999999999999</c:v>
                </c:pt>
                <c:pt idx="417">
                  <c:v>7.9509999999999996</c:v>
                </c:pt>
                <c:pt idx="418">
                  <c:v>7.8230000000000004</c:v>
                </c:pt>
                <c:pt idx="419">
                  <c:v>7.4349999999999996</c:v>
                </c:pt>
                <c:pt idx="420">
                  <c:v>7.9779999999999998</c:v>
                </c:pt>
                <c:pt idx="421">
                  <c:v>7.9459999999999997</c:v>
                </c:pt>
                <c:pt idx="422">
                  <c:v>7.73</c:v>
                </c:pt>
                <c:pt idx="423">
                  <c:v>8.1159999999999997</c:v>
                </c:pt>
                <c:pt idx="424">
                  <c:v>8.1479999999999997</c:v>
                </c:pt>
                <c:pt idx="425">
                  <c:v>8.0150000000000006</c:v>
                </c:pt>
                <c:pt idx="426">
                  <c:v>7.5869999999999997</c:v>
                </c:pt>
                <c:pt idx="427">
                  <c:v>7.5540000000000003</c:v>
                </c:pt>
                <c:pt idx="428">
                  <c:v>8.26</c:v>
                </c:pt>
                <c:pt idx="429">
                  <c:v>9.093</c:v>
                </c:pt>
                <c:pt idx="430">
                  <c:v>8.5150000000000006</c:v>
                </c:pt>
                <c:pt idx="431">
                  <c:v>8.1440000000000001</c:v>
                </c:pt>
                <c:pt idx="432">
                  <c:v>8.5370000000000008</c:v>
                </c:pt>
                <c:pt idx="433">
                  <c:v>7.9820000000000002</c:v>
                </c:pt>
                <c:pt idx="434">
                  <c:v>7.7729999999999997</c:v>
                </c:pt>
                <c:pt idx="435">
                  <c:v>7.9640000000000004</c:v>
                </c:pt>
                <c:pt idx="436">
                  <c:v>8.1120000000000001</c:v>
                </c:pt>
                <c:pt idx="437">
                  <c:v>8.3079999999999998</c:v>
                </c:pt>
                <c:pt idx="438">
                  <c:v>8.4</c:v>
                </c:pt>
                <c:pt idx="439">
                  <c:v>8.2219999999999995</c:v>
                </c:pt>
                <c:pt idx="440">
                  <c:v>8.2119999999999997</c:v>
                </c:pt>
                <c:pt idx="441">
                  <c:v>7.7039999999999997</c:v>
                </c:pt>
                <c:pt idx="442">
                  <c:v>8.5589999999999993</c:v>
                </c:pt>
                <c:pt idx="443">
                  <c:v>7.6340000000000003</c:v>
                </c:pt>
                <c:pt idx="444">
                  <c:v>6.8949999999999996</c:v>
                </c:pt>
                <c:pt idx="445">
                  <c:v>7.2039999999999997</c:v>
                </c:pt>
                <c:pt idx="446">
                  <c:v>6.8609999999999998</c:v>
                </c:pt>
                <c:pt idx="447">
                  <c:v>7.4169999999999998</c:v>
                </c:pt>
                <c:pt idx="448">
                  <c:v>6.806</c:v>
                </c:pt>
                <c:pt idx="449">
                  <c:v>6.6340000000000003</c:v>
                </c:pt>
                <c:pt idx="450">
                  <c:v>6.6260000000000003</c:v>
                </c:pt>
                <c:pt idx="451">
                  <c:v>6.87</c:v>
                </c:pt>
                <c:pt idx="452">
                  <c:v>6.8890000000000002</c:v>
                </c:pt>
                <c:pt idx="453">
                  <c:v>6.7380000000000004</c:v>
                </c:pt>
                <c:pt idx="454">
                  <c:v>6.8440000000000003</c:v>
                </c:pt>
                <c:pt idx="455">
                  <c:v>7.2809999999999997</c:v>
                </c:pt>
                <c:pt idx="456">
                  <c:v>7.1559999999999997</c:v>
                </c:pt>
                <c:pt idx="457">
                  <c:v>7.1769999999999996</c:v>
                </c:pt>
                <c:pt idx="458">
                  <c:v>7.6849999999999996</c:v>
                </c:pt>
                <c:pt idx="459">
                  <c:v>7.82</c:v>
                </c:pt>
                <c:pt idx="460">
                  <c:v>8.25</c:v>
                </c:pt>
                <c:pt idx="461">
                  <c:v>8.0299999999999994</c:v>
                </c:pt>
                <c:pt idx="462">
                  <c:v>8.1769999999999996</c:v>
                </c:pt>
                <c:pt idx="463">
                  <c:v>8.14</c:v>
                </c:pt>
                <c:pt idx="464">
                  <c:v>8.0779999999999994</c:v>
                </c:pt>
                <c:pt idx="465">
                  <c:v>8.5589999999999993</c:v>
                </c:pt>
                <c:pt idx="466">
                  <c:v>9.1839999999999993</c:v>
                </c:pt>
                <c:pt idx="467">
                  <c:v>7.4580000000000002</c:v>
                </c:pt>
                <c:pt idx="468">
                  <c:v>7.609</c:v>
                </c:pt>
                <c:pt idx="469">
                  <c:v>8.1430000000000007</c:v>
                </c:pt>
                <c:pt idx="470">
                  <c:v>8.3699999999999992</c:v>
                </c:pt>
                <c:pt idx="471">
                  <c:v>9.1910000000000007</c:v>
                </c:pt>
                <c:pt idx="472">
                  <c:v>9.4600000000000009</c:v>
                </c:pt>
                <c:pt idx="473">
                  <c:v>8.7690000000000001</c:v>
                </c:pt>
                <c:pt idx="474">
                  <c:v>8.907</c:v>
                </c:pt>
                <c:pt idx="475">
                  <c:v>10.013</c:v>
                </c:pt>
                <c:pt idx="476">
                  <c:v>6.5570000000000004</c:v>
                </c:pt>
                <c:pt idx="477">
                  <c:v>5.9930000000000003</c:v>
                </c:pt>
                <c:pt idx="478">
                  <c:v>6.5449999999999999</c:v>
                </c:pt>
                <c:pt idx="479">
                  <c:v>7.1159999999999997</c:v>
                </c:pt>
                <c:pt idx="480">
                  <c:v>7.0430000000000001</c:v>
                </c:pt>
                <c:pt idx="481">
                  <c:v>7.96</c:v>
                </c:pt>
                <c:pt idx="482">
                  <c:v>7.8109999999999999</c:v>
                </c:pt>
                <c:pt idx="483">
                  <c:v>8.4160000000000004</c:v>
                </c:pt>
                <c:pt idx="484">
                  <c:v>8.8780000000000001</c:v>
                </c:pt>
                <c:pt idx="485">
                  <c:v>9.5</c:v>
                </c:pt>
                <c:pt idx="486">
                  <c:v>10.003</c:v>
                </c:pt>
                <c:pt idx="487">
                  <c:v>9.9390000000000001</c:v>
                </c:pt>
                <c:pt idx="488">
                  <c:v>10.42</c:v>
                </c:pt>
                <c:pt idx="489">
                  <c:v>10.385</c:v>
                </c:pt>
                <c:pt idx="490">
                  <c:v>10.269</c:v>
                </c:pt>
                <c:pt idx="491">
                  <c:v>8.8879999999999999</c:v>
                </c:pt>
                <c:pt idx="492">
                  <c:v>10.811999999999999</c:v>
                </c:pt>
                <c:pt idx="493">
                  <c:v>11.253</c:v>
                </c:pt>
                <c:pt idx="494">
                  <c:v>13.135999999999999</c:v>
                </c:pt>
                <c:pt idx="495">
                  <c:v>12.496</c:v>
                </c:pt>
                <c:pt idx="496">
                  <c:v>11.763999999999999</c:v>
                </c:pt>
                <c:pt idx="497">
                  <c:v>12.99</c:v>
                </c:pt>
                <c:pt idx="498">
                  <c:v>14.179</c:v>
                </c:pt>
                <c:pt idx="499">
                  <c:v>16.007000000000001</c:v>
                </c:pt>
                <c:pt idx="500">
                  <c:v>17.260999999999999</c:v>
                </c:pt>
                <c:pt idx="501">
                  <c:v>17.186</c:v>
                </c:pt>
                <c:pt idx="502">
                  <c:v>18.577999999999999</c:v>
                </c:pt>
                <c:pt idx="503">
                  <c:v>17.722999999999999</c:v>
                </c:pt>
                <c:pt idx="504">
                  <c:v>16.895</c:v>
                </c:pt>
                <c:pt idx="505">
                  <c:v>16.131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C0-4394-9298-56626618470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-0.26427537432370724</c:v>
                </c:pt>
                <c:pt idx="1">
                  <c:v>-0.26416385333556497</c:v>
                </c:pt>
                <c:pt idx="2">
                  <c:v>-0.2628966272494111</c:v>
                </c:pt>
                <c:pt idx="3">
                  <c:v>-0.26346000136183717</c:v>
                </c:pt>
                <c:pt idx="4">
                  <c:v>-0.26493869375414741</c:v>
                </c:pt>
                <c:pt idx="5">
                  <c:v>-0.26785519555006582</c:v>
                </c:pt>
                <c:pt idx="6">
                  <c:v>-0.26620037079709236</c:v>
                </c:pt>
                <c:pt idx="7">
                  <c:v>-0.26266507482266227</c:v>
                </c:pt>
                <c:pt idx="8">
                  <c:v>-0.25838607995870044</c:v>
                </c:pt>
                <c:pt idx="9">
                  <c:v>-0.25970942033644945</c:v>
                </c:pt>
                <c:pt idx="10">
                  <c:v>-0.25881431917907238</c:v>
                </c:pt>
                <c:pt idx="11">
                  <c:v>-0.25790209827522625</c:v>
                </c:pt>
                <c:pt idx="12">
                  <c:v>-0.25700741623551504</c:v>
                </c:pt>
                <c:pt idx="13">
                  <c:v>-0.25708513297411689</c:v>
                </c:pt>
                <c:pt idx="14">
                  <c:v>-0.25708513297411689</c:v>
                </c:pt>
                <c:pt idx="15">
                  <c:v>-0.25347458823785313</c:v>
                </c:pt>
                <c:pt idx="16">
                  <c:v>-0.25523617645968411</c:v>
                </c:pt>
                <c:pt idx="17">
                  <c:v>-0.25744706710869075</c:v>
                </c:pt>
                <c:pt idx="18">
                  <c:v>-0.2549570187995831</c:v>
                </c:pt>
                <c:pt idx="19">
                  <c:v>-0.25338256019193722</c:v>
                </c:pt>
                <c:pt idx="20">
                  <c:v>-0.24386562351108618</c:v>
                </c:pt>
                <c:pt idx="21">
                  <c:v>-0.23048900888889023</c:v>
                </c:pt>
                <c:pt idx="22">
                  <c:v>-0.21360047367149892</c:v>
                </c:pt>
                <c:pt idx="23">
                  <c:v>-0.21876303184294163</c:v>
                </c:pt>
                <c:pt idx="24">
                  <c:v>-0.2176008899096083</c:v>
                </c:pt>
                <c:pt idx="25">
                  <c:v>-0.21762753141998176</c:v>
                </c:pt>
                <c:pt idx="26">
                  <c:v>-0.21689499816004293</c:v>
                </c:pt>
                <c:pt idx="27">
                  <c:v>-0.21723198785559328</c:v>
                </c:pt>
                <c:pt idx="28">
                  <c:v>-0.21649014988156728</c:v>
                </c:pt>
                <c:pt idx="29">
                  <c:v>-0.21601825806092848</c:v>
                </c:pt>
                <c:pt idx="30">
                  <c:v>-0.21374899486068427</c:v>
                </c:pt>
                <c:pt idx="31">
                  <c:v>-0.20888300363830056</c:v>
                </c:pt>
                <c:pt idx="32">
                  <c:v>-0.2085638494604421</c:v>
                </c:pt>
                <c:pt idx="33">
                  <c:v>-0.21130685422249029</c:v>
                </c:pt>
                <c:pt idx="34">
                  <c:v>-0.21161618173677602</c:v>
                </c:pt>
                <c:pt idx="35">
                  <c:v>-0.20746604817685657</c:v>
                </c:pt>
                <c:pt idx="36">
                  <c:v>-0.2091271921506308</c:v>
                </c:pt>
                <c:pt idx="37">
                  <c:v>-0.21205266137911749</c:v>
                </c:pt>
                <c:pt idx="38">
                  <c:v>-0.21207032371156426</c:v>
                </c:pt>
                <c:pt idx="39">
                  <c:v>-0.21252919903479658</c:v>
                </c:pt>
                <c:pt idx="40">
                  <c:v>-0.21082275703135228</c:v>
                </c:pt>
                <c:pt idx="41">
                  <c:v>-0.21112214275999547</c:v>
                </c:pt>
                <c:pt idx="42">
                  <c:v>-0.21019116606768776</c:v>
                </c:pt>
                <c:pt idx="43">
                  <c:v>-0.21015773405155874</c:v>
                </c:pt>
                <c:pt idx="44">
                  <c:v>-0.20912839367461453</c:v>
                </c:pt>
                <c:pt idx="45">
                  <c:v>-0.20971284755080505</c:v>
                </c:pt>
                <c:pt idx="46">
                  <c:v>-0.20777731337814317</c:v>
                </c:pt>
                <c:pt idx="47">
                  <c:v>-0.20845714180613506</c:v>
                </c:pt>
                <c:pt idx="48">
                  <c:v>-0.2086296928532555</c:v>
                </c:pt>
                <c:pt idx="49">
                  <c:v>-0.20617331590087454</c:v>
                </c:pt>
                <c:pt idx="50">
                  <c:v>-0.20388168061596734</c:v>
                </c:pt>
                <c:pt idx="51">
                  <c:v>-0.20277290382662569</c:v>
                </c:pt>
                <c:pt idx="52">
                  <c:v>-0.20155441261683546</c:v>
                </c:pt>
                <c:pt idx="53">
                  <c:v>-0.20641307859214411</c:v>
                </c:pt>
                <c:pt idx="54">
                  <c:v>-0.20421370433812724</c:v>
                </c:pt>
                <c:pt idx="55">
                  <c:v>-0.20524115858439107</c:v>
                </c:pt>
                <c:pt idx="56">
                  <c:v>-0.20429549045754283</c:v>
                </c:pt>
                <c:pt idx="57">
                  <c:v>-0.20172821359327694</c:v>
                </c:pt>
                <c:pt idx="58">
                  <c:v>-0.1991529016918685</c:v>
                </c:pt>
                <c:pt idx="59">
                  <c:v>-0.19710531831515618</c:v>
                </c:pt>
                <c:pt idx="60">
                  <c:v>-0.19543881999668483</c:v>
                </c:pt>
                <c:pt idx="61">
                  <c:v>-0.19182594743188791</c:v>
                </c:pt>
                <c:pt idx="62">
                  <c:v>-0.19875057077176264</c:v>
                </c:pt>
                <c:pt idx="63">
                  <c:v>-0.19273042735325163</c:v>
                </c:pt>
                <c:pt idx="64">
                  <c:v>-0.19533936469693966</c:v>
                </c:pt>
                <c:pt idx="65">
                  <c:v>-0.19469039273031422</c:v>
                </c:pt>
                <c:pt idx="66">
                  <c:v>-0.19436996627604905</c:v>
                </c:pt>
                <c:pt idx="67">
                  <c:v>-0.19073345755473758</c:v>
                </c:pt>
                <c:pt idx="68">
                  <c:v>-0.1879839293298855</c:v>
                </c:pt>
                <c:pt idx="69">
                  <c:v>-0.18789989093423681</c:v>
                </c:pt>
                <c:pt idx="70">
                  <c:v>-0.18873962988304227</c:v>
                </c:pt>
                <c:pt idx="71">
                  <c:v>-0.17279304160878312</c:v>
                </c:pt>
                <c:pt idx="72">
                  <c:v>-0.16955330790768675</c:v>
                </c:pt>
                <c:pt idx="73">
                  <c:v>-0.1472933903780678</c:v>
                </c:pt>
                <c:pt idx="74">
                  <c:v>-0.16202094924628563</c:v>
                </c:pt>
                <c:pt idx="75">
                  <c:v>-0.16511195260510914</c:v>
                </c:pt>
                <c:pt idx="76">
                  <c:v>-0.15690706623842737</c:v>
                </c:pt>
                <c:pt idx="77">
                  <c:v>-0.14402782441005926</c:v>
                </c:pt>
                <c:pt idx="78">
                  <c:v>-0.18591006159187742</c:v>
                </c:pt>
                <c:pt idx="79">
                  <c:v>-0.17864488244908872</c:v>
                </c:pt>
                <c:pt idx="80">
                  <c:v>-0.15855159155172802</c:v>
                </c:pt>
                <c:pt idx="81">
                  <c:v>-0.12909915529848032</c:v>
                </c:pt>
                <c:pt idx="82">
                  <c:v>-0.11266807772373906</c:v>
                </c:pt>
                <c:pt idx="83">
                  <c:v>-0.11225285458111883</c:v>
                </c:pt>
                <c:pt idx="84">
                  <c:v>-0.11076273263236336</c:v>
                </c:pt>
                <c:pt idx="85">
                  <c:v>-0.11036575163236335</c:v>
                </c:pt>
                <c:pt idx="86">
                  <c:v>-0.1099614848656197</c:v>
                </c:pt>
                <c:pt idx="87">
                  <c:v>-0.11272584403463379</c:v>
                </c:pt>
                <c:pt idx="88">
                  <c:v>-0.11691197972448886</c:v>
                </c:pt>
                <c:pt idx="89">
                  <c:v>-0.11670453083661005</c:v>
                </c:pt>
                <c:pt idx="90">
                  <c:v>-0.11731611587578732</c:v>
                </c:pt>
                <c:pt idx="91">
                  <c:v>-0.11657965510041295</c:v>
                </c:pt>
                <c:pt idx="92">
                  <c:v>-0.11715386232118002</c:v>
                </c:pt>
                <c:pt idx="93">
                  <c:v>-0.11536012093895154</c:v>
                </c:pt>
                <c:pt idx="94">
                  <c:v>-0.11254314738225051</c:v>
                </c:pt>
                <c:pt idx="95">
                  <c:v>-0.11340645208209255</c:v>
                </c:pt>
                <c:pt idx="96">
                  <c:v>-0.11158058771944521</c:v>
                </c:pt>
                <c:pt idx="97">
                  <c:v>-0.11222901279867434</c:v>
                </c:pt>
                <c:pt idx="98">
                  <c:v>-0.11164115535063736</c:v>
                </c:pt>
                <c:pt idx="99">
                  <c:v>-0.10504251963397071</c:v>
                </c:pt>
                <c:pt idx="100">
                  <c:v>-8.5954370964626631E-2</c:v>
                </c:pt>
                <c:pt idx="101">
                  <c:v>-0.12857829904612442</c:v>
                </c:pt>
                <c:pt idx="102">
                  <c:v>-0.12931398160934282</c:v>
                </c:pt>
                <c:pt idx="103">
                  <c:v>-0.12913024730340672</c:v>
                </c:pt>
                <c:pt idx="104">
                  <c:v>-0.12479501992577303</c:v>
                </c:pt>
                <c:pt idx="105">
                  <c:v>-0.12507795943364292</c:v>
                </c:pt>
                <c:pt idx="106">
                  <c:v>-0.1274119308182583</c:v>
                </c:pt>
                <c:pt idx="107">
                  <c:v>-0.12888213412595062</c:v>
                </c:pt>
                <c:pt idx="108">
                  <c:v>-0.12873417657234437</c:v>
                </c:pt>
                <c:pt idx="109">
                  <c:v>-0.12702820384833002</c:v>
                </c:pt>
                <c:pt idx="110">
                  <c:v>-0.11956789514171615</c:v>
                </c:pt>
                <c:pt idx="111">
                  <c:v>-0.12896960218303849</c:v>
                </c:pt>
                <c:pt idx="112">
                  <c:v>-0.1264023477769082</c:v>
                </c:pt>
                <c:pt idx="113">
                  <c:v>-0.12623424730291977</c:v>
                </c:pt>
                <c:pt idx="114">
                  <c:v>-0.12697750862264767</c:v>
                </c:pt>
                <c:pt idx="115">
                  <c:v>-0.12749075610168961</c:v>
                </c:pt>
                <c:pt idx="116">
                  <c:v>-0.12671166937647713</c:v>
                </c:pt>
                <c:pt idx="117">
                  <c:v>-0.12721478053726146</c:v>
                </c:pt>
                <c:pt idx="118">
                  <c:v>-0.12642975556191899</c:v>
                </c:pt>
                <c:pt idx="119">
                  <c:v>-0.12764179736441617</c:v>
                </c:pt>
                <c:pt idx="120">
                  <c:v>-0.12947196518123857</c:v>
                </c:pt>
                <c:pt idx="121">
                  <c:v>-0.12749714833913331</c:v>
                </c:pt>
                <c:pt idx="122">
                  <c:v>-0.12471677981890211</c:v>
                </c:pt>
                <c:pt idx="123">
                  <c:v>-0.12140717296575525</c:v>
                </c:pt>
                <c:pt idx="124">
                  <c:v>-0.12282385154100355</c:v>
                </c:pt>
                <c:pt idx="125">
                  <c:v>-0.12324857566752</c:v>
                </c:pt>
                <c:pt idx="126">
                  <c:v>-0.12262374715766455</c:v>
                </c:pt>
                <c:pt idx="127">
                  <c:v>-0.12480533118001093</c:v>
                </c:pt>
                <c:pt idx="128">
                  <c:v>-0.1290523285412484</c:v>
                </c:pt>
                <c:pt idx="129">
                  <c:v>-0.11652757395449517</c:v>
                </c:pt>
                <c:pt idx="130">
                  <c:v>-0.11456426426377353</c:v>
                </c:pt>
                <c:pt idx="131">
                  <c:v>-0.11242313399576681</c:v>
                </c:pt>
                <c:pt idx="132">
                  <c:v>-0.11212475303693691</c:v>
                </c:pt>
                <c:pt idx="133">
                  <c:v>-0.10531281481694722</c:v>
                </c:pt>
                <c:pt idx="134">
                  <c:v>-9.9424319726482663E-2</c:v>
                </c:pt>
                <c:pt idx="135">
                  <c:v>-0.10332293818519825</c:v>
                </c:pt>
                <c:pt idx="136">
                  <c:v>-0.10247670828228929</c:v>
                </c:pt>
                <c:pt idx="137">
                  <c:v>-0.10226603380707064</c:v>
                </c:pt>
                <c:pt idx="138">
                  <c:v>-0.10316380082895457</c:v>
                </c:pt>
                <c:pt idx="139">
                  <c:v>-0.1018709551076431</c:v>
                </c:pt>
                <c:pt idx="140">
                  <c:v>-9.9204035080417211E-2</c:v>
                </c:pt>
                <c:pt idx="141">
                  <c:v>-9.5310617221733299E-2</c:v>
                </c:pt>
                <c:pt idx="142">
                  <c:v>-9.7137248824738939E-2</c:v>
                </c:pt>
                <c:pt idx="143">
                  <c:v>-9.2824391168516332E-2</c:v>
                </c:pt>
                <c:pt idx="144">
                  <c:v>-9.2307077320303188E-2</c:v>
                </c:pt>
                <c:pt idx="145">
                  <c:v>-9.480772675438319E-2</c:v>
                </c:pt>
                <c:pt idx="146">
                  <c:v>-9.5852179944038371E-2</c:v>
                </c:pt>
                <c:pt idx="147">
                  <c:v>-9.4969470332730954E-2</c:v>
                </c:pt>
                <c:pt idx="148">
                  <c:v>-9.452244930716705E-2</c:v>
                </c:pt>
                <c:pt idx="149">
                  <c:v>-9.8147160038161207E-2</c:v>
                </c:pt>
                <c:pt idx="150">
                  <c:v>-9.8001774824033175E-2</c:v>
                </c:pt>
                <c:pt idx="151">
                  <c:v>-9.6518774575478264E-2</c:v>
                </c:pt>
                <c:pt idx="152">
                  <c:v>-9.6314249029808036E-2</c:v>
                </c:pt>
                <c:pt idx="153">
                  <c:v>-9.8316040105777672E-2</c:v>
                </c:pt>
                <c:pt idx="154">
                  <c:v>-0.10217192879347665</c:v>
                </c:pt>
                <c:pt idx="155">
                  <c:v>-9.9345153732319613E-2</c:v>
                </c:pt>
                <c:pt idx="156">
                  <c:v>-9.9869516764283087E-2</c:v>
                </c:pt>
                <c:pt idx="157">
                  <c:v>-9.6333688914079868E-2</c:v>
                </c:pt>
                <c:pt idx="158">
                  <c:v>-9.2826545862966001E-2</c:v>
                </c:pt>
                <c:pt idx="159">
                  <c:v>-8.9949668615014106E-2</c:v>
                </c:pt>
                <c:pt idx="160">
                  <c:v>-9.9886375261634186E-2</c:v>
                </c:pt>
                <c:pt idx="161">
                  <c:v>-0.10405163163808102</c:v>
                </c:pt>
                <c:pt idx="162">
                  <c:v>-0.10751449481008102</c:v>
                </c:pt>
                <c:pt idx="163">
                  <c:v>-0.10558587480249482</c:v>
                </c:pt>
                <c:pt idx="164">
                  <c:v>-9.0289089305635201E-2</c:v>
                </c:pt>
                <c:pt idx="165">
                  <c:v>-8.5420792113491753E-2</c:v>
                </c:pt>
                <c:pt idx="166">
                  <c:v>-8.5513124047710887E-2</c:v>
                </c:pt>
                <c:pt idx="167">
                  <c:v>-8.930191248363642E-2</c:v>
                </c:pt>
                <c:pt idx="168">
                  <c:v>-9.2826051780404484E-2</c:v>
                </c:pt>
                <c:pt idx="169">
                  <c:v>-9.0567342965796785E-2</c:v>
                </c:pt>
                <c:pt idx="170">
                  <c:v>-8.47265700649249E-2</c:v>
                </c:pt>
                <c:pt idx="171">
                  <c:v>-8.177781697489786E-2</c:v>
                </c:pt>
                <c:pt idx="172">
                  <c:v>-9.021008764639156E-2</c:v>
                </c:pt>
                <c:pt idx="173">
                  <c:v>-8.5996762451186093E-2</c:v>
                </c:pt>
                <c:pt idx="174">
                  <c:v>-8.9351362614032898E-2</c:v>
                </c:pt>
                <c:pt idx="175">
                  <c:v>-8.8393965414765047E-2</c:v>
                </c:pt>
                <c:pt idx="176">
                  <c:v>-8.7030378414372153E-2</c:v>
                </c:pt>
                <c:pt idx="177">
                  <c:v>-8.9608680117734985E-2</c:v>
                </c:pt>
                <c:pt idx="178">
                  <c:v>-8.7385714150644847E-2</c:v>
                </c:pt>
                <c:pt idx="179">
                  <c:v>-8.6210460792888549E-2</c:v>
                </c:pt>
                <c:pt idx="180">
                  <c:v>-8.3835421793477791E-2</c:v>
                </c:pt>
                <c:pt idx="181">
                  <c:v>-8.5795748710155925E-2</c:v>
                </c:pt>
                <c:pt idx="182">
                  <c:v>-8.6394312516865884E-2</c:v>
                </c:pt>
                <c:pt idx="183">
                  <c:v>-8.7406481324065879E-2</c:v>
                </c:pt>
                <c:pt idx="184">
                  <c:v>-8.5921293012192812E-2</c:v>
                </c:pt>
                <c:pt idx="185">
                  <c:v>-8.6963802069335669E-2</c:v>
                </c:pt>
                <c:pt idx="186">
                  <c:v>-8.5390793760655254E-2</c:v>
                </c:pt>
                <c:pt idx="187">
                  <c:v>-8.6213015770826407E-2</c:v>
                </c:pt>
                <c:pt idx="188">
                  <c:v>-8.6515664783157017E-2</c:v>
                </c:pt>
                <c:pt idx="189">
                  <c:v>-8.7101367925995307E-2</c:v>
                </c:pt>
                <c:pt idx="190">
                  <c:v>-8.848895467229688E-2</c:v>
                </c:pt>
                <c:pt idx="191">
                  <c:v>-8.978208041547131E-2</c:v>
                </c:pt>
                <c:pt idx="192">
                  <c:v>-8.9663894203423106E-2</c:v>
                </c:pt>
                <c:pt idx="193">
                  <c:v>-8.7310412238535473E-2</c:v>
                </c:pt>
                <c:pt idx="194">
                  <c:v>-8.7130367292307401E-2</c:v>
                </c:pt>
                <c:pt idx="195">
                  <c:v>-8.6102567491437826E-2</c:v>
                </c:pt>
                <c:pt idx="196">
                  <c:v>-8.359932565509097E-2</c:v>
                </c:pt>
                <c:pt idx="197">
                  <c:v>-8.3117421362965793E-2</c:v>
                </c:pt>
                <c:pt idx="198">
                  <c:v>-8.3934569666029871E-2</c:v>
                </c:pt>
                <c:pt idx="199">
                  <c:v>-8.290132794206978E-2</c:v>
                </c:pt>
                <c:pt idx="200">
                  <c:v>-8.1783984163005655E-2</c:v>
                </c:pt>
                <c:pt idx="201">
                  <c:v>-8.2166260063621446E-2</c:v>
                </c:pt>
                <c:pt idx="202">
                  <c:v>-8.1756696150924429E-2</c:v>
                </c:pt>
                <c:pt idx="203">
                  <c:v>-8.2198882199138082E-2</c:v>
                </c:pt>
                <c:pt idx="204">
                  <c:v>-8.1034937065837837E-2</c:v>
                </c:pt>
                <c:pt idx="205">
                  <c:v>-7.9170085543796717E-2</c:v>
                </c:pt>
                <c:pt idx="206">
                  <c:v>-7.8606803140685813E-2</c:v>
                </c:pt>
                <c:pt idx="207">
                  <c:v>-7.8278580088163754E-2</c:v>
                </c:pt>
                <c:pt idx="208">
                  <c:v>-7.8369273667208431E-2</c:v>
                </c:pt>
                <c:pt idx="209">
                  <c:v>-7.9045283179336082E-2</c:v>
                </c:pt>
                <c:pt idx="210">
                  <c:v>-7.8974209549262389E-2</c:v>
                </c:pt>
                <c:pt idx="211">
                  <c:v>-7.7230150735511038E-2</c:v>
                </c:pt>
                <c:pt idx="212">
                  <c:v>-7.5660578463601053E-2</c:v>
                </c:pt>
                <c:pt idx="213">
                  <c:v>-7.5991177143227215E-2</c:v>
                </c:pt>
                <c:pt idx="214">
                  <c:v>-7.6499593818358788E-2</c:v>
                </c:pt>
                <c:pt idx="215">
                  <c:v>-7.8466309298358794E-2</c:v>
                </c:pt>
                <c:pt idx="216">
                  <c:v>-7.838011917396373E-2</c:v>
                </c:pt>
                <c:pt idx="217">
                  <c:v>-7.4191310157826165E-2</c:v>
                </c:pt>
                <c:pt idx="218">
                  <c:v>-7.5620068611466723E-2</c:v>
                </c:pt>
                <c:pt idx="219">
                  <c:v>-7.482886597733629E-2</c:v>
                </c:pt>
                <c:pt idx="220">
                  <c:v>-7.7540480610033657E-2</c:v>
                </c:pt>
                <c:pt idx="221">
                  <c:v>-7.4524876815984784E-2</c:v>
                </c:pt>
                <c:pt idx="222">
                  <c:v>-7.5226362312715844E-2</c:v>
                </c:pt>
                <c:pt idx="223">
                  <c:v>-7.4744081054902642E-2</c:v>
                </c:pt>
                <c:pt idx="224">
                  <c:v>-7.3636452277205347E-2</c:v>
                </c:pt>
                <c:pt idx="225">
                  <c:v>-7.2905651925205359E-2</c:v>
                </c:pt>
                <c:pt idx="226">
                  <c:v>-6.9620337029082907E-2</c:v>
                </c:pt>
                <c:pt idx="227">
                  <c:v>-6.9425772823773158E-2</c:v>
                </c:pt>
                <c:pt idx="228">
                  <c:v>-7.1762475757212132E-2</c:v>
                </c:pt>
                <c:pt idx="229">
                  <c:v>-7.3507201028435692E-2</c:v>
                </c:pt>
                <c:pt idx="230">
                  <c:v>-7.4273115485989083E-2</c:v>
                </c:pt>
                <c:pt idx="231">
                  <c:v>-7.2977780505155146E-2</c:v>
                </c:pt>
                <c:pt idx="232">
                  <c:v>-7.1897275427734261E-2</c:v>
                </c:pt>
                <c:pt idx="233">
                  <c:v>-7.2765721014087931E-2</c:v>
                </c:pt>
                <c:pt idx="234">
                  <c:v>-7.4788233160433676E-2</c:v>
                </c:pt>
                <c:pt idx="235">
                  <c:v>-7.119596320365533E-2</c:v>
                </c:pt>
                <c:pt idx="236">
                  <c:v>-6.8327666358776101E-2</c:v>
                </c:pt>
                <c:pt idx="237">
                  <c:v>-6.3660067453247551E-2</c:v>
                </c:pt>
                <c:pt idx="238">
                  <c:v>-6.3371513769760496E-2</c:v>
                </c:pt>
                <c:pt idx="239">
                  <c:v>-6.335359631711554E-2</c:v>
                </c:pt>
                <c:pt idx="240">
                  <c:v>-6.3609597224770803E-2</c:v>
                </c:pt>
                <c:pt idx="241">
                  <c:v>-6.3603226620586525E-2</c:v>
                </c:pt>
                <c:pt idx="242">
                  <c:v>-6.4683845267488813E-2</c:v>
                </c:pt>
                <c:pt idx="243">
                  <c:v>-6.4997718025371784E-2</c:v>
                </c:pt>
                <c:pt idx="244">
                  <c:v>-6.4251600836877448E-2</c:v>
                </c:pt>
                <c:pt idx="245">
                  <c:v>-6.3169335026651868E-2</c:v>
                </c:pt>
                <c:pt idx="246">
                  <c:v>-6.240739388113109E-2</c:v>
                </c:pt>
                <c:pt idx="247">
                  <c:v>-6.4689213311879268E-2</c:v>
                </c:pt>
                <c:pt idx="248">
                  <c:v>-6.5348220713748961E-2</c:v>
                </c:pt>
                <c:pt idx="249">
                  <c:v>-6.7545719637399651E-2</c:v>
                </c:pt>
                <c:pt idx="250">
                  <c:v>-6.7559913834591603E-2</c:v>
                </c:pt>
                <c:pt idx="251">
                  <c:v>-6.1208348395835277E-2</c:v>
                </c:pt>
                <c:pt idx="252">
                  <c:v>-5.989994281339716E-2</c:v>
                </c:pt>
                <c:pt idx="253">
                  <c:v>-6.1959301497883229E-2</c:v>
                </c:pt>
                <c:pt idx="254">
                  <c:v>-5.8024839469755111E-2</c:v>
                </c:pt>
                <c:pt idx="255">
                  <c:v>-5.9714784576794806E-2</c:v>
                </c:pt>
                <c:pt idx="256">
                  <c:v>-5.772023300748351E-2</c:v>
                </c:pt>
                <c:pt idx="257">
                  <c:v>-5.9231144269462348E-2</c:v>
                </c:pt>
                <c:pt idx="258">
                  <c:v>-5.58570405893501E-2</c:v>
                </c:pt>
                <c:pt idx="259">
                  <c:v>-5.9282563767398169E-2</c:v>
                </c:pt>
                <c:pt idx="260">
                  <c:v>-5.8296428444713805E-2</c:v>
                </c:pt>
                <c:pt idx="261">
                  <c:v>-5.3952855610123834E-2</c:v>
                </c:pt>
                <c:pt idx="262">
                  <c:v>-5.3140678061565909E-2</c:v>
                </c:pt>
                <c:pt idx="263">
                  <c:v>-5.4175130842954611E-2</c:v>
                </c:pt>
                <c:pt idx="264">
                  <c:v>-5.3253725871528969E-2</c:v>
                </c:pt>
                <c:pt idx="265">
                  <c:v>-5.5823470047857308E-2</c:v>
                </c:pt>
                <c:pt idx="266">
                  <c:v>-5.5744738354059839E-2</c:v>
                </c:pt>
                <c:pt idx="267">
                  <c:v>-5.5177378036755577E-2</c:v>
                </c:pt>
                <c:pt idx="268">
                  <c:v>-5.8189041122695823E-2</c:v>
                </c:pt>
                <c:pt idx="269">
                  <c:v>-5.6749448527690739E-2</c:v>
                </c:pt>
                <c:pt idx="270">
                  <c:v>-5.773211345175961E-2</c:v>
                </c:pt>
                <c:pt idx="271">
                  <c:v>-5.665779435218514E-2</c:v>
                </c:pt>
                <c:pt idx="272">
                  <c:v>-5.6412082135246247E-2</c:v>
                </c:pt>
                <c:pt idx="273">
                  <c:v>-5.6715982073440786E-2</c:v>
                </c:pt>
                <c:pt idx="274">
                  <c:v>-5.6407273109253614E-2</c:v>
                </c:pt>
                <c:pt idx="275">
                  <c:v>-5.5907767952106641E-2</c:v>
                </c:pt>
                <c:pt idx="276">
                  <c:v>-5.6612979229349165E-2</c:v>
                </c:pt>
                <c:pt idx="277">
                  <c:v>-5.6308145992245352E-2</c:v>
                </c:pt>
                <c:pt idx="278">
                  <c:v>-5.5219403859405311E-2</c:v>
                </c:pt>
                <c:pt idx="279">
                  <c:v>-5.240223679444686E-2</c:v>
                </c:pt>
                <c:pt idx="280">
                  <c:v>-5.2890754807965207E-2</c:v>
                </c:pt>
                <c:pt idx="281">
                  <c:v>-5.1562338516417734E-2</c:v>
                </c:pt>
                <c:pt idx="282">
                  <c:v>-4.8531154923657172E-2</c:v>
                </c:pt>
                <c:pt idx="283">
                  <c:v>-5.0778289158854586E-2</c:v>
                </c:pt>
                <c:pt idx="284">
                  <c:v>-4.3146713952907943E-2</c:v>
                </c:pt>
                <c:pt idx="285">
                  <c:v>-5.6049011817262399E-2</c:v>
                </c:pt>
                <c:pt idx="286">
                  <c:v>-5.3606176387363466E-2</c:v>
                </c:pt>
                <c:pt idx="287">
                  <c:v>-5.5381619192805709E-2</c:v>
                </c:pt>
                <c:pt idx="288">
                  <c:v>-5.7562817873116054E-2</c:v>
                </c:pt>
                <c:pt idx="289">
                  <c:v>-6.0392981819157851E-2</c:v>
                </c:pt>
                <c:pt idx="290">
                  <c:v>-5.9213780846039829E-2</c:v>
                </c:pt>
                <c:pt idx="291">
                  <c:v>-6.0971168818570246E-2</c:v>
                </c:pt>
                <c:pt idx="292">
                  <c:v>-5.8857130258606942E-2</c:v>
                </c:pt>
                <c:pt idx="293">
                  <c:v>-6.2048191047677372E-2</c:v>
                </c:pt>
                <c:pt idx="294">
                  <c:v>-6.1653530278954628E-2</c:v>
                </c:pt>
                <c:pt idx="295">
                  <c:v>-6.2157324086338631E-2</c:v>
                </c:pt>
                <c:pt idx="296">
                  <c:v>-6.119280306434173E-2</c:v>
                </c:pt>
                <c:pt idx="297">
                  <c:v>-5.8575280535997004E-2</c:v>
                </c:pt>
                <c:pt idx="298">
                  <c:v>-5.9859652570522795E-2</c:v>
                </c:pt>
                <c:pt idx="299">
                  <c:v>-6.0753697087646628E-2</c:v>
                </c:pt>
                <c:pt idx="300">
                  <c:v>-5.7470777294754791E-2</c:v>
                </c:pt>
                <c:pt idx="301">
                  <c:v>-5.8734725230930492E-2</c:v>
                </c:pt>
                <c:pt idx="302">
                  <c:v>-5.7879033901017909E-2</c:v>
                </c:pt>
                <c:pt idx="303">
                  <c:v>-5.8413443211144493E-2</c:v>
                </c:pt>
                <c:pt idx="304">
                  <c:v>-5.8188510195057538E-2</c:v>
                </c:pt>
                <c:pt idx="305">
                  <c:v>-5.8883604283952187E-2</c:v>
                </c:pt>
                <c:pt idx="306">
                  <c:v>-5.7927354290745366E-2</c:v>
                </c:pt>
                <c:pt idx="307">
                  <c:v>-5.6369955147694786E-2</c:v>
                </c:pt>
                <c:pt idx="308">
                  <c:v>-5.8469089927841396E-2</c:v>
                </c:pt>
                <c:pt idx="309">
                  <c:v>-5.7216899001262082E-2</c:v>
                </c:pt>
                <c:pt idx="310">
                  <c:v>-5.5703833755304126E-2</c:v>
                </c:pt>
                <c:pt idx="311">
                  <c:v>-5.4187899037995028E-2</c:v>
                </c:pt>
                <c:pt idx="312">
                  <c:v>-5.2048660451426768E-2</c:v>
                </c:pt>
                <c:pt idx="313">
                  <c:v>-5.2773853986181292E-2</c:v>
                </c:pt>
                <c:pt idx="314">
                  <c:v>-5.0110004630092783E-2</c:v>
                </c:pt>
                <c:pt idx="315">
                  <c:v>-5.1388866419868069E-2</c:v>
                </c:pt>
                <c:pt idx="316">
                  <c:v>-5.0106960895632054E-2</c:v>
                </c:pt>
                <c:pt idx="317">
                  <c:v>-4.9850592083972058E-2</c:v>
                </c:pt>
                <c:pt idx="318">
                  <c:v>-5.1187853755045615E-2</c:v>
                </c:pt>
                <c:pt idx="319">
                  <c:v>-5.0811528820790562E-2</c:v>
                </c:pt>
                <c:pt idx="320">
                  <c:v>-4.9238289445412413E-2</c:v>
                </c:pt>
                <c:pt idx="321">
                  <c:v>-5.0375273578354161E-2</c:v>
                </c:pt>
                <c:pt idx="322">
                  <c:v>-4.9405629415635949E-2</c:v>
                </c:pt>
                <c:pt idx="323">
                  <c:v>-4.9062111808248182E-2</c:v>
                </c:pt>
                <c:pt idx="324">
                  <c:v>-4.7955355101012224E-2</c:v>
                </c:pt>
                <c:pt idx="325">
                  <c:v>-4.8197662342888463E-2</c:v>
                </c:pt>
                <c:pt idx="326">
                  <c:v>-5.1873758969417441E-2</c:v>
                </c:pt>
                <c:pt idx="327">
                  <c:v>-5.26068422140228E-2</c:v>
                </c:pt>
                <c:pt idx="328">
                  <c:v>-5.4007665186544165E-2</c:v>
                </c:pt>
                <c:pt idx="329">
                  <c:v>-5.3902362264482306E-2</c:v>
                </c:pt>
                <c:pt idx="330">
                  <c:v>-5.3031471753315337E-2</c:v>
                </c:pt>
                <c:pt idx="331">
                  <c:v>-5.2900357849463918E-2</c:v>
                </c:pt>
                <c:pt idx="332">
                  <c:v>-5.2259175651548688E-2</c:v>
                </c:pt>
                <c:pt idx="333">
                  <c:v>-5.3214122562649173E-2</c:v>
                </c:pt>
                <c:pt idx="334">
                  <c:v>-5.3678476101000253E-2</c:v>
                </c:pt>
                <c:pt idx="335">
                  <c:v>-5.328037537146095E-2</c:v>
                </c:pt>
                <c:pt idx="336">
                  <c:v>-5.3238190649127617E-2</c:v>
                </c:pt>
                <c:pt idx="337">
                  <c:v>-5.2028532905957756E-2</c:v>
                </c:pt>
                <c:pt idx="338">
                  <c:v>-5.1513432173568748E-2</c:v>
                </c:pt>
                <c:pt idx="339">
                  <c:v>-5.3133395559687345E-2</c:v>
                </c:pt>
                <c:pt idx="340">
                  <c:v>-5.324565886512294E-2</c:v>
                </c:pt>
                <c:pt idx="341">
                  <c:v>-5.2205252315025229E-2</c:v>
                </c:pt>
                <c:pt idx="342">
                  <c:v>-5.0687760894518985E-2</c:v>
                </c:pt>
                <c:pt idx="343">
                  <c:v>-4.9636543439660348E-2</c:v>
                </c:pt>
                <c:pt idx="344">
                  <c:v>-4.8789929348760835E-2</c:v>
                </c:pt>
                <c:pt idx="345">
                  <c:v>-5.1358276028977703E-2</c:v>
                </c:pt>
                <c:pt idx="346">
                  <c:v>-5.0722571910346126E-2</c:v>
                </c:pt>
                <c:pt idx="347">
                  <c:v>-5.0461024579327302E-2</c:v>
                </c:pt>
                <c:pt idx="348">
                  <c:v>-4.896939268900443E-2</c:v>
                </c:pt>
                <c:pt idx="349">
                  <c:v>-4.7734095347365404E-2</c:v>
                </c:pt>
                <c:pt idx="350">
                  <c:v>-4.7522996678709434E-2</c:v>
                </c:pt>
                <c:pt idx="351">
                  <c:v>-4.7463535851639316E-2</c:v>
                </c:pt>
                <c:pt idx="352">
                  <c:v>-4.5951983143871965E-2</c:v>
                </c:pt>
                <c:pt idx="353">
                  <c:v>-4.7102280437662368E-2</c:v>
                </c:pt>
                <c:pt idx="354">
                  <c:v>-4.5373461638073119E-2</c:v>
                </c:pt>
                <c:pt idx="355">
                  <c:v>-4.5959355276139792E-2</c:v>
                </c:pt>
                <c:pt idx="356">
                  <c:v>-4.2771927264677205E-2</c:v>
                </c:pt>
                <c:pt idx="357">
                  <c:v>-4.0457173275143692E-2</c:v>
                </c:pt>
                <c:pt idx="358">
                  <c:v>-4.0546506715147153E-2</c:v>
                </c:pt>
                <c:pt idx="359">
                  <c:v>-4.8505367006749837E-2</c:v>
                </c:pt>
                <c:pt idx="360">
                  <c:v>-5.2743540310271265E-2</c:v>
                </c:pt>
                <c:pt idx="361">
                  <c:v>-5.3238348447028884E-2</c:v>
                </c:pt>
                <c:pt idx="362">
                  <c:v>-5.2639148278435431E-2</c:v>
                </c:pt>
                <c:pt idx="363">
                  <c:v>-5.3239280125280904E-2</c:v>
                </c:pt>
                <c:pt idx="364">
                  <c:v>-5.3854990325380166E-2</c:v>
                </c:pt>
                <c:pt idx="365">
                  <c:v>-5.4422274942675541E-2</c:v>
                </c:pt>
                <c:pt idx="366">
                  <c:v>-5.3457067863876793E-2</c:v>
                </c:pt>
                <c:pt idx="367">
                  <c:v>-5.4141440615884953E-2</c:v>
                </c:pt>
                <c:pt idx="368">
                  <c:v>-5.3197131578301152E-2</c:v>
                </c:pt>
                <c:pt idx="369">
                  <c:v>-5.3589836209070381E-2</c:v>
                </c:pt>
                <c:pt idx="370">
                  <c:v>-5.3199038417585914E-2</c:v>
                </c:pt>
                <c:pt idx="371">
                  <c:v>-5.2297991389595552E-2</c:v>
                </c:pt>
                <c:pt idx="372">
                  <c:v>-5.0338635197220045E-2</c:v>
                </c:pt>
                <c:pt idx="373">
                  <c:v>-5.2000430470291945E-2</c:v>
                </c:pt>
                <c:pt idx="374">
                  <c:v>-4.9526369840155259E-2</c:v>
                </c:pt>
                <c:pt idx="375">
                  <c:v>-5.1332403049434414E-2</c:v>
                </c:pt>
                <c:pt idx="376">
                  <c:v>-5.2794431196978658E-2</c:v>
                </c:pt>
                <c:pt idx="377">
                  <c:v>-5.2587736540154702E-2</c:v>
                </c:pt>
                <c:pt idx="378">
                  <c:v>-5.3224023005456721E-2</c:v>
                </c:pt>
                <c:pt idx="379">
                  <c:v>-5.335100460414044E-2</c:v>
                </c:pt>
                <c:pt idx="380">
                  <c:v>-5.4001863964936905E-2</c:v>
                </c:pt>
                <c:pt idx="381">
                  <c:v>-5.3531303630692993E-2</c:v>
                </c:pt>
                <c:pt idx="382">
                  <c:v>-5.3456616786325184E-2</c:v>
                </c:pt>
                <c:pt idx="383">
                  <c:v>-5.3120289237169563E-2</c:v>
                </c:pt>
                <c:pt idx="384">
                  <c:v>-5.2958243814669563E-2</c:v>
                </c:pt>
                <c:pt idx="385">
                  <c:v>-5.3130170578215896E-2</c:v>
                </c:pt>
                <c:pt idx="386">
                  <c:v>-5.1744016959626299E-2</c:v>
                </c:pt>
                <c:pt idx="387">
                  <c:v>-5.255944325512707E-2</c:v>
                </c:pt>
                <c:pt idx="388">
                  <c:v>-5.3971397589462046E-2</c:v>
                </c:pt>
                <c:pt idx="389">
                  <c:v>-5.2223505882031458E-2</c:v>
                </c:pt>
                <c:pt idx="390">
                  <c:v>-5.2371368604863321E-2</c:v>
                </c:pt>
                <c:pt idx="391">
                  <c:v>-5.2974751246050819E-2</c:v>
                </c:pt>
                <c:pt idx="392">
                  <c:v>-5.298816741031169E-2</c:v>
                </c:pt>
                <c:pt idx="393">
                  <c:v>-5.2637029184857138E-2</c:v>
                </c:pt>
                <c:pt idx="394">
                  <c:v>-5.212323402771428E-2</c:v>
                </c:pt>
                <c:pt idx="395">
                  <c:v>-5.2000786198392622E-2</c:v>
                </c:pt>
                <c:pt idx="396">
                  <c:v>-5.1070235226287355E-2</c:v>
                </c:pt>
                <c:pt idx="397">
                  <c:v>-5.0439082279710168E-2</c:v>
                </c:pt>
                <c:pt idx="398">
                  <c:v>-4.9960583458085669E-2</c:v>
                </c:pt>
                <c:pt idx="399">
                  <c:v>-4.9456534530532482E-2</c:v>
                </c:pt>
                <c:pt idx="400">
                  <c:v>-4.9964699692411879E-2</c:v>
                </c:pt>
                <c:pt idx="401">
                  <c:v>-4.715947773656283E-2</c:v>
                </c:pt>
                <c:pt idx="402">
                  <c:v>-2.9928227858930703E-2</c:v>
                </c:pt>
                <c:pt idx="403">
                  <c:v>-3.1464260946470778E-2</c:v>
                </c:pt>
                <c:pt idx="404">
                  <c:v>-3.1151494715398569E-2</c:v>
                </c:pt>
                <c:pt idx="405">
                  <c:v>-3.0400671545291805E-2</c:v>
                </c:pt>
                <c:pt idx="406">
                  <c:v>-3.0725993758124782E-2</c:v>
                </c:pt>
                <c:pt idx="407">
                  <c:v>-2.7704026578334814E-2</c:v>
                </c:pt>
                <c:pt idx="408">
                  <c:v>-2.6119464833901825E-2</c:v>
                </c:pt>
                <c:pt idx="409">
                  <c:v>-2.6057479211505655E-2</c:v>
                </c:pt>
                <c:pt idx="410">
                  <c:v>-2.6047840229740948E-2</c:v>
                </c:pt>
                <c:pt idx="411">
                  <c:v>-2.6157571510636832E-2</c:v>
                </c:pt>
                <c:pt idx="412">
                  <c:v>-2.2499421448815466E-2</c:v>
                </c:pt>
                <c:pt idx="413">
                  <c:v>-2.2554395478559051E-2</c:v>
                </c:pt>
                <c:pt idx="414">
                  <c:v>-2.2488222543051804E-2</c:v>
                </c:pt>
                <c:pt idx="415">
                  <c:v>-2.2852184546883446E-2</c:v>
                </c:pt>
                <c:pt idx="416">
                  <c:v>-2.2336266731744856E-2</c:v>
                </c:pt>
                <c:pt idx="417">
                  <c:v>-2.2328674064659836E-2</c:v>
                </c:pt>
                <c:pt idx="418">
                  <c:v>-2.2384352127340995E-2</c:v>
                </c:pt>
                <c:pt idx="419">
                  <c:v>-2.2479800455281626E-2</c:v>
                </c:pt>
                <c:pt idx="420">
                  <c:v>-2.2090311158826779E-2</c:v>
                </c:pt>
                <c:pt idx="421">
                  <c:v>-2.1996171922505536E-2</c:v>
                </c:pt>
                <c:pt idx="422">
                  <c:v>-2.2448169786056398E-2</c:v>
                </c:pt>
                <c:pt idx="423">
                  <c:v>-2.2366581349692757E-2</c:v>
                </c:pt>
                <c:pt idx="424">
                  <c:v>-2.2452898063692758E-2</c:v>
                </c:pt>
                <c:pt idx="425">
                  <c:v>-2.2509999628460689E-2</c:v>
                </c:pt>
                <c:pt idx="426">
                  <c:v>-2.2527015774992873E-2</c:v>
                </c:pt>
                <c:pt idx="427">
                  <c:v>-2.2563791996061573E-2</c:v>
                </c:pt>
                <c:pt idx="428">
                  <c:v>-2.2382102630322448E-2</c:v>
                </c:pt>
                <c:pt idx="429">
                  <c:v>-2.1927405781255779E-2</c:v>
                </c:pt>
                <c:pt idx="430">
                  <c:v>-2.3045267445647402E-2</c:v>
                </c:pt>
                <c:pt idx="431">
                  <c:v>-2.3432567099575974E-2</c:v>
                </c:pt>
                <c:pt idx="432">
                  <c:v>-2.3478511927207547E-2</c:v>
                </c:pt>
                <c:pt idx="433">
                  <c:v>-2.3881695864529724E-2</c:v>
                </c:pt>
                <c:pt idx="434">
                  <c:v>-2.377215549894833E-2</c:v>
                </c:pt>
                <c:pt idx="435">
                  <c:v>-2.3672637650529838E-2</c:v>
                </c:pt>
                <c:pt idx="436">
                  <c:v>-2.3760756426791527E-2</c:v>
                </c:pt>
                <c:pt idx="437">
                  <c:v>-2.2884367189594294E-2</c:v>
                </c:pt>
                <c:pt idx="438">
                  <c:v>-2.2964308722673174E-2</c:v>
                </c:pt>
                <c:pt idx="439">
                  <c:v>-2.2829743927711341E-2</c:v>
                </c:pt>
                <c:pt idx="440">
                  <c:v>-2.3099877542769775E-2</c:v>
                </c:pt>
                <c:pt idx="441">
                  <c:v>-2.3422730168692445E-2</c:v>
                </c:pt>
                <c:pt idx="442">
                  <c:v>-2.2739230982113251E-2</c:v>
                </c:pt>
                <c:pt idx="443">
                  <c:v>-2.3431633290616025E-2</c:v>
                </c:pt>
                <c:pt idx="444">
                  <c:v>-2.3806493520460117E-2</c:v>
                </c:pt>
                <c:pt idx="445">
                  <c:v>-2.3698631680760307E-2</c:v>
                </c:pt>
                <c:pt idx="446">
                  <c:v>-2.3618573692081063E-2</c:v>
                </c:pt>
                <c:pt idx="447">
                  <c:v>-2.283586671733713E-2</c:v>
                </c:pt>
                <c:pt idx="448">
                  <c:v>-2.3572174326342364E-2</c:v>
                </c:pt>
                <c:pt idx="449">
                  <c:v>-2.3282706906885667E-2</c:v>
                </c:pt>
                <c:pt idx="450">
                  <c:v>-2.3267165432903365E-2</c:v>
                </c:pt>
                <c:pt idx="451">
                  <c:v>-2.3265320395815241E-2</c:v>
                </c:pt>
                <c:pt idx="452">
                  <c:v>-2.3182967460477034E-2</c:v>
                </c:pt>
                <c:pt idx="453">
                  <c:v>-2.3445287581349762E-2</c:v>
                </c:pt>
                <c:pt idx="454">
                  <c:v>-2.301786096773395E-2</c:v>
                </c:pt>
                <c:pt idx="455">
                  <c:v>-2.2668772178500371E-2</c:v>
                </c:pt>
                <c:pt idx="456">
                  <c:v>-2.2216394710169968E-2</c:v>
                </c:pt>
                <c:pt idx="457">
                  <c:v>-2.0646350308516422E-2</c:v>
                </c:pt>
                <c:pt idx="458">
                  <c:v>-1.9420193417252884E-2</c:v>
                </c:pt>
                <c:pt idx="459">
                  <c:v>-1.9509156091840434E-2</c:v>
                </c:pt>
                <c:pt idx="460">
                  <c:v>-1.8905946909208857E-2</c:v>
                </c:pt>
                <c:pt idx="461">
                  <c:v>-1.9306374589904043E-2</c:v>
                </c:pt>
                <c:pt idx="462">
                  <c:v>-1.9285566357440269E-2</c:v>
                </c:pt>
                <c:pt idx="463">
                  <c:v>-1.9104126880911967E-2</c:v>
                </c:pt>
                <c:pt idx="464">
                  <c:v>-1.8588156871926467E-2</c:v>
                </c:pt>
                <c:pt idx="465">
                  <c:v>-1.7077224087145994E-2</c:v>
                </c:pt>
                <c:pt idx="466">
                  <c:v>-1.4936384291817963E-2</c:v>
                </c:pt>
                <c:pt idx="467">
                  <c:v>-1.6176712442213935E-2</c:v>
                </c:pt>
                <c:pt idx="468">
                  <c:v>-1.5869925220547268E-2</c:v>
                </c:pt>
                <c:pt idx="469">
                  <c:v>-1.538851013095913E-2</c:v>
                </c:pt>
                <c:pt idx="470">
                  <c:v>-1.5514467753844376E-2</c:v>
                </c:pt>
                <c:pt idx="471">
                  <c:v>-1.5029320776145747E-2</c:v>
                </c:pt>
                <c:pt idx="472">
                  <c:v>-1.5090636080855228E-2</c:v>
                </c:pt>
                <c:pt idx="473">
                  <c:v>-1.5413478566366375E-2</c:v>
                </c:pt>
                <c:pt idx="474">
                  <c:v>-1.4178334735129442E-2</c:v>
                </c:pt>
                <c:pt idx="475">
                  <c:v>-8.7270670393755946E-3</c:v>
                </c:pt>
                <c:pt idx="476">
                  <c:v>-9.488056841160877E-3</c:v>
                </c:pt>
                <c:pt idx="477">
                  <c:v>-1.061875938568335E-2</c:v>
                </c:pt>
                <c:pt idx="478">
                  <c:v>-1.0256413034915214E-2</c:v>
                </c:pt>
                <c:pt idx="479">
                  <c:v>-9.2393469234502475E-3</c:v>
                </c:pt>
                <c:pt idx="480">
                  <c:v>-9.3886368872174754E-3</c:v>
                </c:pt>
                <c:pt idx="481">
                  <c:v>-8.6148917428111003E-3</c:v>
                </c:pt>
                <c:pt idx="482">
                  <c:v>-8.8741780229689964E-3</c:v>
                </c:pt>
                <c:pt idx="483">
                  <c:v>-8.7339133746344288E-3</c:v>
                </c:pt>
                <c:pt idx="484">
                  <c:v>-8.2348265033026814E-3</c:v>
                </c:pt>
                <c:pt idx="485">
                  <c:v>-7.7712632716626824E-3</c:v>
                </c:pt>
                <c:pt idx="486">
                  <c:v>-7.5995744580586765E-3</c:v>
                </c:pt>
                <c:pt idx="487">
                  <c:v>-7.4323428079006992E-3</c:v>
                </c:pt>
                <c:pt idx="488">
                  <c:v>-7.0860368146873102E-3</c:v>
                </c:pt>
                <c:pt idx="489">
                  <c:v>-7.3296136894620851E-3</c:v>
                </c:pt>
                <c:pt idx="490">
                  <c:v>-7.3623402201051721E-3</c:v>
                </c:pt>
                <c:pt idx="491">
                  <c:v>-7.7950160410498572E-3</c:v>
                </c:pt>
                <c:pt idx="492">
                  <c:v>-7.0298313224454439E-3</c:v>
                </c:pt>
                <c:pt idx="493">
                  <c:v>-6.755554164303723E-3</c:v>
                </c:pt>
                <c:pt idx="494">
                  <c:v>-6.2238758354148339E-3</c:v>
                </c:pt>
                <c:pt idx="495">
                  <c:v>-3.5658771302938268E-3</c:v>
                </c:pt>
                <c:pt idx="496">
                  <c:v>-3.3972412829806199E-3</c:v>
                </c:pt>
                <c:pt idx="497">
                  <c:v>-2.1032644718314911E-3</c:v>
                </c:pt>
                <c:pt idx="498">
                  <c:v>-1.4349872196658855E-3</c:v>
                </c:pt>
                <c:pt idx="499">
                  <c:v>-9.3586721651176344E-4</c:v>
                </c:pt>
                <c:pt idx="500">
                  <c:v>-1.4538984771987127E-4</c:v>
                </c:pt>
                <c:pt idx="501">
                  <c:v>-2.3019669149901205E-4</c:v>
                </c:pt>
                <c:pt idx="502">
                  <c:v>-1.6847397810561524E-5</c:v>
                </c:pt>
                <c:pt idx="503">
                  <c:v>7.7263215637821708E-5</c:v>
                </c:pt>
                <c:pt idx="504">
                  <c:v>-1.0751256538407764E-3</c:v>
                </c:pt>
                <c:pt idx="505">
                  <c:v>-1.8034778658076735E-3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C0-4394-9298-566266184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5329536"/>
        <c:axId val="645330368"/>
      </c:lineChart>
      <c:dateAx>
        <c:axId val="6453295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30368"/>
        <c:crosses val="autoZero"/>
        <c:auto val="1"/>
        <c:lblOffset val="100"/>
        <c:baseTimeUnit val="days"/>
      </c:dateAx>
      <c:valAx>
        <c:axId val="64533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329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30F64F3-0A13-4C85-ABCB-1F303DBDA111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742314-F60B-40AA-9900-A7E7D4F006F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43.997999999999998</v>
      </c>
      <c r="D2" s="4">
        <f>MIN(D3:D1912)</f>
        <v>5.2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5.85</v>
      </c>
      <c r="C5">
        <v>5.9240000000000004</v>
      </c>
      <c r="D5">
        <v>5.6710000000000003</v>
      </c>
      <c r="E5">
        <v>5.6740000000000004</v>
      </c>
      <c r="F5">
        <v>11423</v>
      </c>
      <c r="G5">
        <v>5.6740000000000004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-0.97628458498023629</v>
      </c>
      <c r="Q5">
        <f t="shared" ref="Q5" si="1">F5*P5</f>
        <v>-11152.098814229239</v>
      </c>
      <c r="R5">
        <f t="shared" ref="R5" si="2">R6+Q5</f>
        <v>-26427537.432370726</v>
      </c>
      <c r="S5">
        <f t="shared" ref="S5" si="3">R5/100000</f>
        <v>-264.27537432370724</v>
      </c>
      <c r="T5">
        <f t="shared" ref="T5" si="4">S5/1000</f>
        <v>-0.26427537432370724</v>
      </c>
    </row>
    <row r="6" spans="1:20" x14ac:dyDescent="0.25">
      <c r="A6" s="5">
        <v>44587</v>
      </c>
      <c r="B6">
        <v>5.8949999999999996</v>
      </c>
      <c r="C6">
        <v>6.3449999999999998</v>
      </c>
      <c r="D6">
        <v>5.6950000000000003</v>
      </c>
      <c r="E6">
        <v>5.8609999999999998</v>
      </c>
      <c r="F6">
        <v>259024.2</v>
      </c>
      <c r="G6">
        <v>5.8609999999999998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-0.48923076923077041</v>
      </c>
      <c r="Q6">
        <f t="shared" ref="Q6" si="6">F6*P6</f>
        <v>-126722.60861538493</v>
      </c>
      <c r="R6">
        <f t="shared" ref="R6" si="7">R7+Q6</f>
        <v>-26416385.333556496</v>
      </c>
      <c r="S6">
        <f t="shared" ref="S6" si="8">R6/100000</f>
        <v>-264.16385333556497</v>
      </c>
      <c r="T6">
        <f t="shared" ref="T6" si="9">S6/1000</f>
        <v>-0.26416385333556497</v>
      </c>
    </row>
    <row r="7" spans="1:20" x14ac:dyDescent="0.25">
      <c r="A7" s="5">
        <v>44586</v>
      </c>
      <c r="B7">
        <v>5.923</v>
      </c>
      <c r="C7">
        <v>6.0330000000000004</v>
      </c>
      <c r="D7">
        <v>5.6950000000000003</v>
      </c>
      <c r="E7">
        <v>5.9189999999999996</v>
      </c>
      <c r="F7">
        <v>173109.5</v>
      </c>
      <c r="G7">
        <v>5.9189999999999996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0.32544378698224413</v>
      </c>
      <c r="Q7">
        <f t="shared" ref="Q7" si="11">F7*P7</f>
        <v>56337.411242602793</v>
      </c>
      <c r="R7">
        <f t="shared" ref="R7" si="12">R8+Q7</f>
        <v>-26289662.724941112</v>
      </c>
      <c r="S7">
        <f t="shared" ref="S7" si="13">R7/100000</f>
        <v>-262.8966272494111</v>
      </c>
      <c r="T7">
        <f t="shared" ref="T7" si="14">S7/1000</f>
        <v>-0.2628966272494111</v>
      </c>
    </row>
    <row r="8" spans="1:20" x14ac:dyDescent="0.25">
      <c r="A8" s="5">
        <v>44585</v>
      </c>
      <c r="B8">
        <v>6.3860000000000001</v>
      </c>
      <c r="C8">
        <v>6.3860000000000001</v>
      </c>
      <c r="D8">
        <v>5.2</v>
      </c>
      <c r="E8">
        <v>5.9390000000000001</v>
      </c>
      <c r="F8">
        <v>600592.18400000001</v>
      </c>
      <c r="G8">
        <v>5.9390000000000001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0.2462057335581786</v>
      </c>
      <c r="Q8">
        <f t="shared" ref="Q8" si="16">F8*P8</f>
        <v>147869.23923102856</v>
      </c>
      <c r="R8">
        <f t="shared" ref="R8" si="17">R9+Q8</f>
        <v>-26346000.136183716</v>
      </c>
      <c r="S8">
        <f t="shared" ref="S8" si="18">R8/100000</f>
        <v>-263.46000136183716</v>
      </c>
      <c r="T8">
        <f t="shared" ref="T8" si="19">S8/1000</f>
        <v>-0.26346000136183717</v>
      </c>
    </row>
    <row r="9" spans="1:20" x14ac:dyDescent="0.25">
      <c r="A9" s="5">
        <v>44584</v>
      </c>
      <c r="B9">
        <v>6.1040000000000001</v>
      </c>
      <c r="C9">
        <v>6.4509999999999996</v>
      </c>
      <c r="D9">
        <v>5.9610000000000003</v>
      </c>
      <c r="E9">
        <v>6.3860000000000001</v>
      </c>
      <c r="F9">
        <v>396968.3</v>
      </c>
      <c r="G9">
        <v>6.3860000000000001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0.73469387755102211</v>
      </c>
      <c r="Q9">
        <f t="shared" ref="Q9" si="21">F9*P9</f>
        <v>291650.1795918374</v>
      </c>
      <c r="R9">
        <f t="shared" ref="R9" si="22">R10+Q9</f>
        <v>-26493869.375414744</v>
      </c>
      <c r="S9">
        <f t="shared" ref="S9" si="23">R9/100000</f>
        <v>-264.93869375414744</v>
      </c>
      <c r="T9">
        <f t="shared" ref="T9" si="24">S9/1000</f>
        <v>-0.26493869375414741</v>
      </c>
    </row>
    <row r="10" spans="1:20" x14ac:dyDescent="0.25">
      <c r="A10" s="5">
        <v>44583</v>
      </c>
      <c r="B10">
        <v>6.5979999999999999</v>
      </c>
      <c r="C10">
        <v>6.827</v>
      </c>
      <c r="D10">
        <v>5.734</v>
      </c>
      <c r="E10">
        <v>6.0880000000000001</v>
      </c>
      <c r="F10">
        <v>469798.3</v>
      </c>
      <c r="G10">
        <v>6.0880000000000001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-0.3522415370539797</v>
      </c>
      <c r="Q10">
        <f t="shared" ref="Q10" si="26">F10*P10</f>
        <v>-165482.47529734668</v>
      </c>
      <c r="R10">
        <f t="shared" ref="R10" si="27">R11+Q10</f>
        <v>-26785519.555006582</v>
      </c>
      <c r="S10">
        <f t="shared" ref="S10" si="28">R10/100000</f>
        <v>-267.85519555006584</v>
      </c>
      <c r="T10">
        <f t="shared" ref="T10" si="29">S10/1000</f>
        <v>-0.26785519555006582</v>
      </c>
    </row>
    <row r="11" spans="1:20" x14ac:dyDescent="0.25">
      <c r="A11" s="5">
        <v>44582</v>
      </c>
      <c r="B11">
        <v>7.7569999999999997</v>
      </c>
      <c r="C11">
        <v>7.93</v>
      </c>
      <c r="D11">
        <v>6.3070000000000004</v>
      </c>
      <c r="E11">
        <v>6.5960000000000001</v>
      </c>
      <c r="F11">
        <v>549070.37</v>
      </c>
      <c r="G11">
        <v>6.5960000000000001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-0.64386937769562558</v>
      </c>
      <c r="Q11">
        <f t="shared" ref="Q11" si="31">F11*P11</f>
        <v>-353529.59744300687</v>
      </c>
      <c r="R11">
        <f t="shared" ref="R11" si="32">R12+Q11</f>
        <v>-26620037.079709236</v>
      </c>
      <c r="S11">
        <f t="shared" ref="S11" si="33">R11/100000</f>
        <v>-266.20037079709238</v>
      </c>
      <c r="T11">
        <f t="shared" ref="T11" si="34">S11/1000</f>
        <v>-0.26620037079709236</v>
      </c>
    </row>
    <row r="12" spans="1:20" x14ac:dyDescent="0.25">
      <c r="A12" s="5">
        <v>44581</v>
      </c>
      <c r="B12">
        <v>8.2490000000000006</v>
      </c>
      <c r="C12">
        <v>8.5419999999999998</v>
      </c>
      <c r="D12">
        <v>7.7039999999999997</v>
      </c>
      <c r="E12">
        <v>7.7469999999999999</v>
      </c>
      <c r="F12">
        <v>476834.8</v>
      </c>
      <c r="G12">
        <v>7.7469999999999999</v>
      </c>
      <c r="L12" t="s">
        <v>8</v>
      </c>
      <c r="M12" t="s">
        <v>7</v>
      </c>
      <c r="N12" t="s">
        <v>7</v>
      </c>
      <c r="P12">
        <f t="shared" ref="P12" si="35">IF(C12=D12,0,((E12-D12)-(C12-E12))/(C12-D12))</f>
        <v>-0.89737470167064404</v>
      </c>
      <c r="Q12">
        <f t="shared" ref="Q12" si="36">F12*P12</f>
        <v>-427899.48639618122</v>
      </c>
      <c r="R12">
        <f t="shared" ref="R12" si="37">R13+Q12</f>
        <v>-26266507.482266229</v>
      </c>
      <c r="S12">
        <f t="shared" ref="S12" si="38">R12/100000</f>
        <v>-262.66507482266229</v>
      </c>
      <c r="T12">
        <f t="shared" ref="T12" si="39">S12/1000</f>
        <v>-0.26266507482266227</v>
      </c>
    </row>
    <row r="13" spans="1:20" x14ac:dyDescent="0.25">
      <c r="A13" s="5">
        <v>44580</v>
      </c>
      <c r="B13">
        <v>7.923</v>
      </c>
      <c r="C13">
        <v>8.7569999999999997</v>
      </c>
      <c r="D13">
        <v>7.5620000000000003</v>
      </c>
      <c r="E13">
        <v>8.2490000000000006</v>
      </c>
      <c r="F13">
        <v>883459.07900000003</v>
      </c>
      <c r="G13">
        <v>8.2490000000000006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0.14979079497908054</v>
      </c>
      <c r="Q13">
        <f t="shared" ref="Q13" si="41">F13*P13</f>
        <v>132334.03777489634</v>
      </c>
      <c r="R13">
        <f t="shared" ref="R13" si="42">R14+Q13</f>
        <v>-25838607.995870046</v>
      </c>
      <c r="S13">
        <f t="shared" ref="S13" si="43">R13/100000</f>
        <v>-258.38607995870046</v>
      </c>
      <c r="T13">
        <f t="shared" ref="T13" si="44">S13/1000</f>
        <v>-0.25838607995870044</v>
      </c>
    </row>
    <row r="14" spans="1:20" x14ac:dyDescent="0.25">
      <c r="A14" s="5">
        <v>44579</v>
      </c>
      <c r="B14">
        <v>8.1359999999999992</v>
      </c>
      <c r="C14">
        <v>8.3439999999999994</v>
      </c>
      <c r="D14">
        <v>7.734</v>
      </c>
      <c r="E14">
        <v>7.9260000000000002</v>
      </c>
      <c r="F14">
        <v>241598.1</v>
      </c>
      <c r="G14">
        <v>7.9260000000000002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-0.37049180327868736</v>
      </c>
      <c r="Q14">
        <f t="shared" ref="Q14" si="46">F14*P14</f>
        <v>-89510.115737704633</v>
      </c>
      <c r="R14">
        <f t="shared" ref="R14" si="47">R15+Q14</f>
        <v>-25970942.033644944</v>
      </c>
      <c r="S14">
        <f t="shared" ref="S14" si="48">R14/100000</f>
        <v>-259.70942033644945</v>
      </c>
      <c r="T14">
        <f t="shared" ref="T14" si="49">S14/1000</f>
        <v>-0.25970942033644945</v>
      </c>
    </row>
    <row r="15" spans="1:20" x14ac:dyDescent="0.25">
      <c r="A15" s="5">
        <v>44578</v>
      </c>
      <c r="B15">
        <v>8.4009999999999998</v>
      </c>
      <c r="C15">
        <v>8.4960000000000004</v>
      </c>
      <c r="D15">
        <v>7.976</v>
      </c>
      <c r="E15">
        <v>8.1430000000000007</v>
      </c>
      <c r="F15">
        <v>255029.5</v>
      </c>
      <c r="G15">
        <v>8.1430000000000007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-0.35769230769230553</v>
      </c>
      <c r="Q15">
        <f t="shared" ref="Q15" si="51">F15*P15</f>
        <v>-91222.090384614829</v>
      </c>
      <c r="R15">
        <f t="shared" ref="R15" si="52">R16+Q15</f>
        <v>-25881431.917907238</v>
      </c>
      <c r="S15">
        <f t="shared" ref="S15" si="53">R15/100000</f>
        <v>-258.81431917907236</v>
      </c>
      <c r="T15">
        <f t="shared" ref="T15" si="54">S15/1000</f>
        <v>-0.25881431917907238</v>
      </c>
    </row>
    <row r="16" spans="1:20" x14ac:dyDescent="0.25">
      <c r="A16" s="5">
        <v>44577</v>
      </c>
      <c r="B16">
        <v>8.4529999999999994</v>
      </c>
      <c r="C16">
        <v>8.5990000000000002</v>
      </c>
      <c r="D16">
        <v>8.3219999999999992</v>
      </c>
      <c r="E16">
        <v>8.3930000000000007</v>
      </c>
      <c r="F16">
        <v>183575.5</v>
      </c>
      <c r="G16">
        <v>8.3930000000000007</v>
      </c>
      <c r="L16" t="s">
        <v>7</v>
      </c>
      <c r="M16" t="s">
        <v>7</v>
      </c>
      <c r="N16" t="s">
        <v>7</v>
      </c>
      <c r="P16">
        <f t="shared" ref="P16" si="55">IF(C16=D16,0,((E16-D16)-(C16-E16))/(C16-D16))</f>
        <v>-0.48736462093861915</v>
      </c>
      <c r="Q16">
        <f t="shared" ref="Q16" si="56">F16*P16</f>
        <v>-89468.203971117488</v>
      </c>
      <c r="R16">
        <f t="shared" ref="R16" si="57">R17+Q16</f>
        <v>-25790209.827522624</v>
      </c>
      <c r="S16">
        <f t="shared" ref="S16" si="58">R16/100000</f>
        <v>-257.90209827522625</v>
      </c>
      <c r="T16">
        <f t="shared" ref="T16" si="59">S16/1000</f>
        <v>-0.25790209827522625</v>
      </c>
    </row>
    <row r="17" spans="1:20" x14ac:dyDescent="0.25">
      <c r="A17" s="5">
        <v>44576</v>
      </c>
      <c r="B17">
        <v>8.3970000000000002</v>
      </c>
      <c r="C17">
        <v>8.6120000000000001</v>
      </c>
      <c r="D17">
        <v>8.2829999999999995</v>
      </c>
      <c r="E17">
        <v>8.4529999999999994</v>
      </c>
      <c r="F17">
        <v>232443.7</v>
      </c>
      <c r="G17">
        <v>8.4529999999999994</v>
      </c>
      <c r="L17" t="s">
        <v>7</v>
      </c>
      <c r="M17" t="s">
        <v>7</v>
      </c>
      <c r="N17" t="s">
        <v>7</v>
      </c>
      <c r="P17">
        <f t="shared" ref="P17" si="60">IF(C17=D17,0,((E17-D17)-(C17-E17))/(C17-D17))</f>
        <v>3.3434650455924655E-2</v>
      </c>
      <c r="Q17">
        <f t="shared" ref="Q17" si="61">F17*P17</f>
        <v>7771.6738601818142</v>
      </c>
      <c r="R17">
        <f t="shared" ref="R17" si="62">R18+Q17</f>
        <v>-25700741.623551507</v>
      </c>
      <c r="S17">
        <f t="shared" ref="S17" si="63">R17/100000</f>
        <v>-257.00741623551505</v>
      </c>
      <c r="T17">
        <f t="shared" ref="T17" si="64">S17/1000</f>
        <v>-0.25700741623551504</v>
      </c>
    </row>
    <row r="18" spans="1:20" x14ac:dyDescent="0.25">
      <c r="A18" s="5">
        <v>44575</v>
      </c>
      <c r="B18">
        <v>8.3079999999999998</v>
      </c>
      <c r="C18">
        <v>8.6329999999999991</v>
      </c>
      <c r="D18">
        <v>8.1609999999999996</v>
      </c>
      <c r="E18">
        <v>8.3970000000000002</v>
      </c>
      <c r="F18">
        <v>320024.2</v>
      </c>
      <c r="G18">
        <v>8.3970000000000002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3.7634678800852798E-15</v>
      </c>
      <c r="Q18">
        <f t="shared" ref="Q18" si="66">F18*P18</f>
        <v>1.2044007975499875E-9</v>
      </c>
      <c r="R18">
        <f t="shared" ref="R18" si="67">R19+Q18</f>
        <v>-25708513.297411688</v>
      </c>
      <c r="S18">
        <f t="shared" ref="S18" si="68">R18/100000</f>
        <v>-257.0851329741169</v>
      </c>
      <c r="T18">
        <f t="shared" ref="T18" si="69">S18/1000</f>
        <v>-0.25708513297411689</v>
      </c>
    </row>
    <row r="19" spans="1:20" x14ac:dyDescent="0.25">
      <c r="A19" s="5">
        <v>44574</v>
      </c>
      <c r="B19">
        <v>8.9060000000000006</v>
      </c>
      <c r="C19">
        <v>9.0030000000000001</v>
      </c>
      <c r="D19">
        <v>8.2750000000000004</v>
      </c>
      <c r="E19">
        <v>8.2970000000000006</v>
      </c>
      <c r="F19">
        <v>384280.2</v>
      </c>
      <c r="G19">
        <v>8.2970000000000006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-0.93956043956043889</v>
      </c>
      <c r="Q19">
        <f t="shared" ref="Q19" si="71">F19*P19</f>
        <v>-361054.47362637339</v>
      </c>
      <c r="R19">
        <f t="shared" ref="R19" si="72">R20+Q19</f>
        <v>-25708513.297411688</v>
      </c>
      <c r="S19">
        <f t="shared" ref="S19" si="73">R19/100000</f>
        <v>-257.0851329741169</v>
      </c>
      <c r="T19">
        <f t="shared" ref="T19" si="74">S19/1000</f>
        <v>-0.25708513297411689</v>
      </c>
    </row>
    <row r="20" spans="1:20" x14ac:dyDescent="0.25">
      <c r="A20" s="5">
        <v>44573</v>
      </c>
      <c r="B20">
        <v>8.6549999999999994</v>
      </c>
      <c r="C20">
        <v>9.0730000000000004</v>
      </c>
      <c r="D20">
        <v>8.5050000000000008</v>
      </c>
      <c r="E20">
        <v>8.9039999999999999</v>
      </c>
      <c r="F20">
        <v>435035.7</v>
      </c>
      <c r="G20">
        <v>8.9039999999999999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0.40492957746478664</v>
      </c>
      <c r="Q20">
        <f t="shared" ref="Q20" si="76">F20*P20</f>
        <v>176158.82218309768</v>
      </c>
      <c r="R20">
        <f t="shared" ref="R20" si="77">R21+Q20</f>
        <v>-25347458.823785312</v>
      </c>
      <c r="S20">
        <f t="shared" ref="S20" si="78">R20/100000</f>
        <v>-253.47458823785311</v>
      </c>
      <c r="T20">
        <f t="shared" ref="T20" si="79">S20/1000</f>
        <v>-0.25347458823785313</v>
      </c>
    </row>
    <row r="21" spans="1:20" x14ac:dyDescent="0.25">
      <c r="A21" s="5">
        <v>44572</v>
      </c>
      <c r="B21">
        <v>8.3829999999999991</v>
      </c>
      <c r="C21">
        <v>8.7110000000000003</v>
      </c>
      <c r="D21">
        <v>8.2579999999999991</v>
      </c>
      <c r="E21">
        <v>8.6539999999999999</v>
      </c>
      <c r="F21">
        <v>295437.59999999998</v>
      </c>
      <c r="G21">
        <v>8.6539999999999999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0.74834437086092609</v>
      </c>
      <c r="Q21">
        <f t="shared" ref="Q21" si="81">F21*P21</f>
        <v>221089.06490066191</v>
      </c>
      <c r="R21">
        <f t="shared" ref="R21" si="82">R22+Q21</f>
        <v>-25523617.645968411</v>
      </c>
      <c r="S21">
        <f t="shared" ref="S21" si="83">R21/100000</f>
        <v>-255.23617645968412</v>
      </c>
      <c r="T21">
        <f t="shared" ref="T21" si="84">S21/1000</f>
        <v>-0.25523617645968411</v>
      </c>
    </row>
    <row r="22" spans="1:20" x14ac:dyDescent="0.25">
      <c r="A22" s="5">
        <v>44571</v>
      </c>
      <c r="B22">
        <v>8.98</v>
      </c>
      <c r="C22">
        <v>9.1649999999999991</v>
      </c>
      <c r="D22">
        <v>8.0779999999999994</v>
      </c>
      <c r="E22">
        <v>8.3859999999999992</v>
      </c>
      <c r="F22">
        <v>574667.19999999995</v>
      </c>
      <c r="G22">
        <v>8.3859999999999992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-0.43330266789328448</v>
      </c>
      <c r="Q22">
        <f t="shared" ref="Q22" si="86">F22*P22</f>
        <v>-249004.83091076367</v>
      </c>
      <c r="R22">
        <f t="shared" ref="R22" si="87">R23+Q22</f>
        <v>-25744706.710869074</v>
      </c>
      <c r="S22">
        <f t="shared" ref="S22" si="88">R22/100000</f>
        <v>-257.44706710869076</v>
      </c>
      <c r="T22">
        <f t="shared" ref="T22" si="89">S22/1000</f>
        <v>-0.25744706710869075</v>
      </c>
    </row>
    <row r="23" spans="1:20" x14ac:dyDescent="0.25">
      <c r="A23" s="5">
        <v>44570</v>
      </c>
      <c r="B23">
        <v>8.8529999999999998</v>
      </c>
      <c r="C23">
        <v>9.2799999999999994</v>
      </c>
      <c r="D23">
        <v>8.7829999999999995</v>
      </c>
      <c r="E23">
        <v>8.968</v>
      </c>
      <c r="F23">
        <v>616146.4</v>
      </c>
      <c r="G23">
        <v>8.968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-0.25553319919516887</v>
      </c>
      <c r="Q23">
        <f t="shared" ref="Q23" si="91">F23*P23</f>
        <v>-157445.86076458619</v>
      </c>
      <c r="R23">
        <f t="shared" ref="R23" si="92">R24+Q23</f>
        <v>-25495701.879958309</v>
      </c>
      <c r="S23">
        <f t="shared" ref="S23" si="93">R23/100000</f>
        <v>-254.9570187995831</v>
      </c>
      <c r="T23">
        <f t="shared" ref="T23" si="94">S23/1000</f>
        <v>-0.2549570187995831</v>
      </c>
    </row>
    <row r="24" spans="1:20" x14ac:dyDescent="0.25">
      <c r="A24" s="5">
        <v>44569</v>
      </c>
      <c r="B24">
        <v>9.3979999999999997</v>
      </c>
      <c r="C24">
        <v>10.098000000000001</v>
      </c>
      <c r="D24">
        <v>8.6880000000000006</v>
      </c>
      <c r="E24">
        <v>8.8610000000000007</v>
      </c>
      <c r="F24">
        <v>1261173</v>
      </c>
      <c r="G24">
        <v>8.8610000000000007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-0.75460992907801416</v>
      </c>
      <c r="Q24">
        <f t="shared" ref="Q24" si="96">F24*P24</f>
        <v>-951693.6680851063</v>
      </c>
      <c r="R24">
        <f t="shared" ref="R24" si="97">R25+Q24</f>
        <v>-25338256.019193724</v>
      </c>
      <c r="S24">
        <f t="shared" ref="S24" si="98">R24/100000</f>
        <v>-253.38256019193724</v>
      </c>
      <c r="T24">
        <f t="shared" ref="T24" si="99">S24/1000</f>
        <v>-0.25338256019193722</v>
      </c>
    </row>
    <row r="25" spans="1:20" x14ac:dyDescent="0.25">
      <c r="A25" s="5">
        <v>44568</v>
      </c>
      <c r="B25">
        <v>9.76</v>
      </c>
      <c r="C25">
        <v>10.714</v>
      </c>
      <c r="D25">
        <v>9.02</v>
      </c>
      <c r="E25">
        <v>9.39</v>
      </c>
      <c r="F25">
        <v>2375260.5</v>
      </c>
      <c r="G25">
        <v>9.39</v>
      </c>
      <c r="L25" t="s">
        <v>7</v>
      </c>
      <c r="M25" t="s">
        <v>7</v>
      </c>
      <c r="N25" t="s">
        <v>8</v>
      </c>
      <c r="P25">
        <f t="shared" ref="P25" si="100">IF(C25=D25,0,((E25-D25)-(C25-E25))/(C25-D25))</f>
        <v>-0.56316410861865307</v>
      </c>
      <c r="Q25">
        <f t="shared" ref="Q25" si="101">F25*P25</f>
        <v>-1337661.4622195961</v>
      </c>
      <c r="R25">
        <f t="shared" ref="R25" si="102">R26+Q25</f>
        <v>-24386562.351108618</v>
      </c>
      <c r="S25">
        <f t="shared" ref="S25" si="103">R25/100000</f>
        <v>-243.86562351108617</v>
      </c>
      <c r="T25">
        <f t="shared" ref="T25" si="104">S25/1000</f>
        <v>-0.24386562351108618</v>
      </c>
    </row>
    <row r="26" spans="1:20" x14ac:dyDescent="0.25">
      <c r="A26" s="5">
        <v>44567</v>
      </c>
      <c r="B26">
        <v>11.006</v>
      </c>
      <c r="C26">
        <v>11.5</v>
      </c>
      <c r="D26">
        <v>8.9930000000000003</v>
      </c>
      <c r="E26">
        <v>9.7560000000000002</v>
      </c>
      <c r="F26">
        <v>4315959</v>
      </c>
      <c r="G26">
        <v>9.7560000000000002</v>
      </c>
      <c r="L26" t="s">
        <v>8</v>
      </c>
      <c r="M26" t="s">
        <v>7</v>
      </c>
      <c r="N26" t="s">
        <v>8</v>
      </c>
      <c r="P26">
        <f t="shared" ref="P26" si="105">IF(C26=D26,0,((E26-D26)-(C26-E26))/(C26-D26))</f>
        <v>-0.39130434782608697</v>
      </c>
      <c r="Q26">
        <f t="shared" ref="Q26" si="106">F26*P26</f>
        <v>-1688853.5217391306</v>
      </c>
      <c r="R26">
        <f t="shared" ref="R26" si="107">R27+Q26</f>
        <v>-23048900.888889022</v>
      </c>
      <c r="S26">
        <f t="shared" ref="S26" si="108">R26/100000</f>
        <v>-230.48900888889023</v>
      </c>
      <c r="T26">
        <f t="shared" ref="T26" si="109">S26/1000</f>
        <v>-0.23048900888889023</v>
      </c>
    </row>
    <row r="27" spans="1:20" x14ac:dyDescent="0.25">
      <c r="A27" s="5">
        <v>44566</v>
      </c>
      <c r="B27">
        <v>9.0459999999999994</v>
      </c>
      <c r="C27">
        <v>12.805999999999999</v>
      </c>
      <c r="D27">
        <v>8.7579999999999991</v>
      </c>
      <c r="E27">
        <v>11.025</v>
      </c>
      <c r="F27">
        <v>4300007.3</v>
      </c>
      <c r="G27">
        <v>11.025</v>
      </c>
      <c r="L27" t="s">
        <v>7</v>
      </c>
      <c r="M27" t="s">
        <v>8</v>
      </c>
      <c r="N27" t="s">
        <v>8</v>
      </c>
      <c r="P27">
        <f t="shared" ref="P27" si="110">IF(C27=D27,0,((E27-D27)-(C27-E27))/(C27-D27))</f>
        <v>0.12005928853755</v>
      </c>
      <c r="Q27">
        <f t="shared" ref="Q27" si="111">F27*P27</f>
        <v>516255.81714427134</v>
      </c>
      <c r="R27">
        <f t="shared" ref="R27" si="112">R28+Q27</f>
        <v>-21360047.367149893</v>
      </c>
      <c r="S27">
        <f t="shared" ref="S27" si="113">R27/100000</f>
        <v>-213.60047367149892</v>
      </c>
      <c r="T27">
        <f t="shared" ref="T27" si="114">S27/1000</f>
        <v>-0.21360047367149892</v>
      </c>
    </row>
    <row r="28" spans="1:20" x14ac:dyDescent="0.25">
      <c r="A28" s="5">
        <v>44565</v>
      </c>
      <c r="B28">
        <v>9.2750000000000004</v>
      </c>
      <c r="C28">
        <v>9.4359999999999999</v>
      </c>
      <c r="D28">
        <v>8.9860000000000007</v>
      </c>
      <c r="E28">
        <v>9.0459999999999994</v>
      </c>
      <c r="F28">
        <v>158473.9</v>
      </c>
      <c r="G28">
        <v>9.0459999999999994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-0.73333333333333861</v>
      </c>
      <c r="Q28">
        <f t="shared" ref="Q28" si="116">F28*P28</f>
        <v>-116214.19333333416</v>
      </c>
      <c r="R28">
        <f t="shared" ref="R28" si="117">R29+Q28</f>
        <v>-21876303.184294164</v>
      </c>
      <c r="S28">
        <f t="shared" ref="S28" si="118">R28/100000</f>
        <v>-218.76303184294164</v>
      </c>
      <c r="T28">
        <f t="shared" ref="T28" si="119">S28/1000</f>
        <v>-0.21876303184294163</v>
      </c>
    </row>
    <row r="29" spans="1:20" x14ac:dyDescent="0.25">
      <c r="A29" s="5">
        <v>44564</v>
      </c>
      <c r="B29">
        <v>9.4890000000000008</v>
      </c>
      <c r="C29">
        <v>9.5079999999999991</v>
      </c>
      <c r="D29">
        <v>9.0259999999999998</v>
      </c>
      <c r="E29">
        <v>9.2710000000000008</v>
      </c>
      <c r="F29">
        <v>160515.1</v>
      </c>
      <c r="G29">
        <v>9.2710000000000008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1.6597510373449548E-2</v>
      </c>
      <c r="Q29">
        <f t="shared" ref="Q29" si="121">F29*P29</f>
        <v>2664.1510373452916</v>
      </c>
      <c r="R29">
        <f t="shared" ref="R29" si="122">R30+Q29</f>
        <v>-21760088.990960829</v>
      </c>
      <c r="S29">
        <f t="shared" ref="S29" si="123">R29/100000</f>
        <v>-217.6008899096083</v>
      </c>
      <c r="T29">
        <f t="shared" ref="T29" si="124">S29/1000</f>
        <v>-0.2176008899096083</v>
      </c>
    </row>
    <row r="30" spans="1:20" x14ac:dyDescent="0.25">
      <c r="A30" s="5">
        <v>44563</v>
      </c>
      <c r="B30">
        <v>9.3490000000000002</v>
      </c>
      <c r="C30">
        <v>10.164</v>
      </c>
      <c r="D30">
        <v>9.1829999999999998</v>
      </c>
      <c r="E30">
        <v>9.4879999999999995</v>
      </c>
      <c r="F30">
        <v>193696.8</v>
      </c>
      <c r="G30">
        <v>9.4879999999999995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-0.3781855249745163</v>
      </c>
      <c r="Q30">
        <f t="shared" ref="Q30" si="126">F30*P30</f>
        <v>-73253.325993883889</v>
      </c>
      <c r="R30">
        <f t="shared" ref="R30" si="127">R31+Q30</f>
        <v>-21762753.141998176</v>
      </c>
      <c r="S30">
        <f t="shared" ref="S30" si="128">R30/100000</f>
        <v>-217.62753141998175</v>
      </c>
      <c r="T30">
        <f t="shared" ref="T30" si="129">S30/1000</f>
        <v>-0.21762753141998176</v>
      </c>
    </row>
    <row r="31" spans="1:20" x14ac:dyDescent="0.25">
      <c r="A31" s="5">
        <v>44562</v>
      </c>
      <c r="B31">
        <v>9.1259999999999994</v>
      </c>
      <c r="C31">
        <v>9.4990000000000006</v>
      </c>
      <c r="D31">
        <v>9.0719999999999992</v>
      </c>
      <c r="E31">
        <v>9.3330000000000002</v>
      </c>
      <c r="F31">
        <v>151468</v>
      </c>
      <c r="G31">
        <v>9.3330000000000002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0.22248243559719047</v>
      </c>
      <c r="Q31">
        <f t="shared" ref="Q31" si="131">F31*P31</f>
        <v>33698.969555035248</v>
      </c>
      <c r="R31">
        <f t="shared" ref="R31" si="132">R32+Q31</f>
        <v>-21689499.816004291</v>
      </c>
      <c r="S31">
        <f t="shared" ref="S31" si="133">R31/100000</f>
        <v>-216.89499816004292</v>
      </c>
      <c r="T31">
        <f t="shared" ref="T31" si="134">S31/1000</f>
        <v>-0.21689499816004293</v>
      </c>
    </row>
    <row r="32" spans="1:20" x14ac:dyDescent="0.25">
      <c r="A32" s="5">
        <v>44561</v>
      </c>
      <c r="B32">
        <v>9.3109999999999999</v>
      </c>
      <c r="C32">
        <v>9.577</v>
      </c>
      <c r="D32">
        <v>8.8840000000000003</v>
      </c>
      <c r="E32">
        <v>9.109</v>
      </c>
      <c r="F32">
        <v>211561.2</v>
      </c>
      <c r="G32">
        <v>9.109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-0.35064935064935132</v>
      </c>
      <c r="Q32">
        <f t="shared" ref="Q32" si="136">F32*P32</f>
        <v>-74183.797402597542</v>
      </c>
      <c r="R32">
        <f t="shared" ref="R32" si="137">R33+Q32</f>
        <v>-21723198.785559326</v>
      </c>
      <c r="S32">
        <f t="shared" ref="S32" si="138">R32/100000</f>
        <v>-217.23198785559327</v>
      </c>
      <c r="T32">
        <f t="shared" ref="T32" si="139">S32/1000</f>
        <v>-0.21723198785559328</v>
      </c>
    </row>
    <row r="33" spans="1:20" x14ac:dyDescent="0.25">
      <c r="A33" s="5">
        <v>44560</v>
      </c>
      <c r="B33">
        <v>9.2840000000000007</v>
      </c>
      <c r="C33">
        <v>9.5679999999999996</v>
      </c>
      <c r="D33">
        <v>9.1609999999999996</v>
      </c>
      <c r="E33">
        <v>9.3109999999999999</v>
      </c>
      <c r="F33">
        <v>179495.3</v>
      </c>
      <c r="G33">
        <v>9.3109999999999999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-0.26289926289926119</v>
      </c>
      <c r="Q33">
        <f t="shared" ref="Q33" si="141">F33*P33</f>
        <v>-47189.182063881752</v>
      </c>
      <c r="R33">
        <f t="shared" ref="R33" si="142">R34+Q33</f>
        <v>-21649014.988156728</v>
      </c>
      <c r="S33">
        <f t="shared" ref="S33" si="143">R33/100000</f>
        <v>-216.49014988156728</v>
      </c>
      <c r="T33">
        <f t="shared" ref="T33" si="144">S33/1000</f>
        <v>-0.21649014988156728</v>
      </c>
    </row>
    <row r="34" spans="1:20" x14ac:dyDescent="0.25">
      <c r="A34" s="5">
        <v>44559</v>
      </c>
      <c r="B34">
        <v>9.5779999999999994</v>
      </c>
      <c r="C34">
        <v>9.9969999999999999</v>
      </c>
      <c r="D34">
        <v>9.1780000000000008</v>
      </c>
      <c r="E34">
        <v>9.2840000000000007</v>
      </c>
      <c r="F34">
        <v>306182.3</v>
      </c>
      <c r="G34">
        <v>9.2840000000000007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-0.74114774114774118</v>
      </c>
      <c r="Q34">
        <f t="shared" ref="Q34" si="146">F34*P34</f>
        <v>-226926.32002442001</v>
      </c>
      <c r="R34">
        <f t="shared" ref="R34" si="147">R35+Q34</f>
        <v>-21601825.806092847</v>
      </c>
      <c r="S34">
        <f t="shared" ref="S34" si="148">R34/100000</f>
        <v>-216.01825806092847</v>
      </c>
      <c r="T34">
        <f t="shared" ref="T34" si="149">S34/1000</f>
        <v>-0.21601825806092848</v>
      </c>
    </row>
    <row r="35" spans="1:20" x14ac:dyDescent="0.25">
      <c r="A35" s="5">
        <v>44558</v>
      </c>
      <c r="B35">
        <v>10.747</v>
      </c>
      <c r="C35">
        <v>10.766</v>
      </c>
      <c r="D35">
        <v>9.39</v>
      </c>
      <c r="E35">
        <v>9.5950000000000006</v>
      </c>
      <c r="F35">
        <v>693126.7</v>
      </c>
      <c r="G35">
        <v>9.5950000000000006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-0.70203488372093004</v>
      </c>
      <c r="Q35">
        <f t="shared" ref="Q35" si="151">F35*P35</f>
        <v>-486599.12223837193</v>
      </c>
      <c r="R35">
        <f t="shared" ref="R35" si="152">R36+Q35</f>
        <v>-21374899.486068428</v>
      </c>
      <c r="S35">
        <f t="shared" ref="S35" si="153">R35/100000</f>
        <v>-213.74899486068426</v>
      </c>
      <c r="T35">
        <f t="shared" ref="T35" si="154">S35/1000</f>
        <v>-0.21374899486068427</v>
      </c>
    </row>
    <row r="36" spans="1:20" x14ac:dyDescent="0.25">
      <c r="A36" s="5">
        <v>44557</v>
      </c>
      <c r="B36">
        <v>10.388999999999999</v>
      </c>
      <c r="C36">
        <v>11.316000000000001</v>
      </c>
      <c r="D36">
        <v>10.214</v>
      </c>
      <c r="E36">
        <v>10.747</v>
      </c>
      <c r="F36">
        <v>976966.4</v>
      </c>
      <c r="G36">
        <v>10.747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-3.2667876588023011E-2</v>
      </c>
      <c r="Q36">
        <f t="shared" ref="Q36" si="156">F36*P36</f>
        <v>-31915.417785845126</v>
      </c>
      <c r="R36">
        <f t="shared" ref="R36" si="157">R37+Q36</f>
        <v>-20888300.363830056</v>
      </c>
      <c r="S36">
        <f t="shared" ref="S36" si="158">R36/100000</f>
        <v>-208.88300363830055</v>
      </c>
      <c r="T36">
        <f t="shared" ref="T36" si="159">S36/1000</f>
        <v>-0.20888300363830056</v>
      </c>
    </row>
    <row r="37" spans="1:20" x14ac:dyDescent="0.25">
      <c r="A37" s="5">
        <v>44556</v>
      </c>
      <c r="B37">
        <v>9.7769999999999992</v>
      </c>
      <c r="C37">
        <v>10.836</v>
      </c>
      <c r="D37">
        <v>9.5079999999999991</v>
      </c>
      <c r="E37">
        <v>10.414</v>
      </c>
      <c r="F37">
        <v>752626.1</v>
      </c>
      <c r="G37">
        <v>10.414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0.36445783132530085</v>
      </c>
      <c r="Q37">
        <f t="shared" ref="Q37" si="161">F37*P37</f>
        <v>274300.47620481899</v>
      </c>
      <c r="R37">
        <f t="shared" ref="R37" si="162">R38+Q37</f>
        <v>-20856384.94604421</v>
      </c>
      <c r="S37">
        <f t="shared" ref="S37" si="163">R37/100000</f>
        <v>-208.5638494604421</v>
      </c>
      <c r="T37">
        <f t="shared" ref="T37" si="164">S37/1000</f>
        <v>-0.2085638494604421</v>
      </c>
    </row>
    <row r="38" spans="1:20" x14ac:dyDescent="0.25">
      <c r="A38" s="5">
        <v>44555</v>
      </c>
      <c r="B38">
        <v>9.5739999999999998</v>
      </c>
      <c r="C38">
        <v>10.045999999999999</v>
      </c>
      <c r="D38">
        <v>9.4510000000000005</v>
      </c>
      <c r="E38">
        <v>9.7739999999999991</v>
      </c>
      <c r="F38">
        <v>360882.1</v>
      </c>
      <c r="G38">
        <v>9.7739999999999991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8.5714285714283162E-2</v>
      </c>
      <c r="Q38">
        <f t="shared" ref="Q38" si="166">F38*P38</f>
        <v>30932.751428570504</v>
      </c>
      <c r="R38">
        <f t="shared" ref="R38" si="167">R39+Q38</f>
        <v>-21130685.42224903</v>
      </c>
      <c r="S38">
        <f t="shared" ref="S38" si="168">R38/100000</f>
        <v>-211.3068542224903</v>
      </c>
      <c r="T38">
        <f t="shared" ref="T38" si="169">S38/1000</f>
        <v>-0.21130685422249029</v>
      </c>
    </row>
    <row r="39" spans="1:20" x14ac:dyDescent="0.25">
      <c r="A39" s="5">
        <v>44554</v>
      </c>
      <c r="B39">
        <v>9.8379999999999992</v>
      </c>
      <c r="C39">
        <v>10.523</v>
      </c>
      <c r="D39">
        <v>9.5299999999999994</v>
      </c>
      <c r="E39">
        <v>9.5589999999999993</v>
      </c>
      <c r="F39">
        <v>440757.5</v>
      </c>
      <c r="G39">
        <v>9.5589999999999993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-0.94159113796576055</v>
      </c>
      <c r="Q39">
        <f t="shared" ref="Q39" si="171">F39*P39</f>
        <v>-415013.35599194368</v>
      </c>
      <c r="R39">
        <f t="shared" ref="R39" si="172">R40+Q39</f>
        <v>-21161618.173677601</v>
      </c>
      <c r="S39">
        <f t="shared" ref="S39" si="173">R39/100000</f>
        <v>-211.61618173677601</v>
      </c>
      <c r="T39">
        <f t="shared" ref="T39" si="174">S39/1000</f>
        <v>-0.21161618173677602</v>
      </c>
    </row>
    <row r="40" spans="1:20" x14ac:dyDescent="0.25">
      <c r="A40" s="5">
        <v>44553</v>
      </c>
      <c r="B40">
        <v>9.4600000000000009</v>
      </c>
      <c r="C40">
        <v>10.058999999999999</v>
      </c>
      <c r="D40">
        <v>9.1820000000000004</v>
      </c>
      <c r="E40">
        <v>9.8379999999999992</v>
      </c>
      <c r="F40">
        <v>334901.90000000002</v>
      </c>
      <c r="G40">
        <v>9.8379999999999992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0.49600912200684066</v>
      </c>
      <c r="Q40">
        <f t="shared" ref="Q40" si="176">F40*P40</f>
        <v>166114.39737742275</v>
      </c>
      <c r="R40">
        <f t="shared" ref="R40" si="177">R41+Q40</f>
        <v>-20746604.817685656</v>
      </c>
      <c r="S40">
        <f t="shared" ref="S40" si="178">R40/100000</f>
        <v>-207.46604817685656</v>
      </c>
      <c r="T40">
        <f t="shared" ref="T40" si="179">S40/1000</f>
        <v>-0.20746604817685657</v>
      </c>
    </row>
    <row r="41" spans="1:20" x14ac:dyDescent="0.25">
      <c r="A41" s="5">
        <v>44552</v>
      </c>
      <c r="B41">
        <v>9</v>
      </c>
      <c r="C41">
        <v>9.6199999999999992</v>
      </c>
      <c r="D41">
        <v>8.9459999999999997</v>
      </c>
      <c r="E41">
        <v>9.4570000000000007</v>
      </c>
      <c r="F41">
        <v>566599.5</v>
      </c>
      <c r="G41">
        <v>9.4570000000000007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0.51632047477745224</v>
      </c>
      <c r="Q41">
        <f t="shared" ref="Q41" si="181">F41*P41</f>
        <v>292546.92284866708</v>
      </c>
      <c r="R41">
        <f t="shared" ref="R41" si="182">R42+Q41</f>
        <v>-20912719.21506308</v>
      </c>
      <c r="S41">
        <f t="shared" ref="S41" si="183">R41/100000</f>
        <v>-209.1271921506308</v>
      </c>
      <c r="T41">
        <f t="shared" ref="T41" si="184">S41/1000</f>
        <v>-0.2091271921506308</v>
      </c>
    </row>
    <row r="42" spans="1:20" x14ac:dyDescent="0.25">
      <c r="A42" s="5">
        <v>44551</v>
      </c>
      <c r="B42">
        <v>8.7460000000000004</v>
      </c>
      <c r="C42">
        <v>9.375</v>
      </c>
      <c r="D42">
        <v>8.6229999999999993</v>
      </c>
      <c r="E42">
        <v>9</v>
      </c>
      <c r="F42">
        <v>664103.69999999995</v>
      </c>
      <c r="G42">
        <v>9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2.6595744680859923E-3</v>
      </c>
      <c r="Q42">
        <f t="shared" ref="Q42" si="186">F42*P42</f>
        <v>1766.2332446814394</v>
      </c>
      <c r="R42">
        <f t="shared" ref="R42" si="187">R43+Q42</f>
        <v>-21205266.137911748</v>
      </c>
      <c r="S42">
        <f t="shared" ref="S42" si="188">R42/100000</f>
        <v>-212.0526613791175</v>
      </c>
      <c r="T42">
        <f t="shared" ref="T42" si="189">S42/1000</f>
        <v>-0.21205266137911749</v>
      </c>
    </row>
    <row r="43" spans="1:20" x14ac:dyDescent="0.25">
      <c r="A43" s="5">
        <v>44550</v>
      </c>
      <c r="B43">
        <v>9.077</v>
      </c>
      <c r="C43">
        <v>9.0950000000000006</v>
      </c>
      <c r="D43">
        <v>8.3030000000000008</v>
      </c>
      <c r="E43">
        <v>8.7449999999999992</v>
      </c>
      <c r="F43">
        <v>395031.8</v>
      </c>
      <c r="G43">
        <v>8.7449999999999992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0.11616161616161237</v>
      </c>
      <c r="Q43">
        <f t="shared" ref="Q43" si="191">F43*P43</f>
        <v>45887.532323230822</v>
      </c>
      <c r="R43">
        <f t="shared" ref="R43" si="192">R44+Q43</f>
        <v>-21207032.371156428</v>
      </c>
      <c r="S43">
        <f t="shared" ref="S43" si="193">R43/100000</f>
        <v>-212.07032371156427</v>
      </c>
      <c r="T43">
        <f t="shared" ref="T43" si="194">S43/1000</f>
        <v>-0.21207032371156426</v>
      </c>
    </row>
    <row r="44" spans="1:20" x14ac:dyDescent="0.25">
      <c r="A44" s="5">
        <v>44549</v>
      </c>
      <c r="B44">
        <v>8.9369999999999994</v>
      </c>
      <c r="C44">
        <v>9.6829999999999998</v>
      </c>
      <c r="D44">
        <v>8.8119999999999994</v>
      </c>
      <c r="E44">
        <v>9.0920000000000005</v>
      </c>
      <c r="F44">
        <v>477913.5</v>
      </c>
      <c r="G44">
        <v>9.0920000000000005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-0.35706084959816076</v>
      </c>
      <c r="Q44">
        <f t="shared" ref="Q44" si="196">F44*P44</f>
        <v>-170644.2003444306</v>
      </c>
      <c r="R44">
        <f t="shared" ref="R44" si="197">R45+Q44</f>
        <v>-21252919.903479658</v>
      </c>
      <c r="S44">
        <f t="shared" ref="S44" si="198">R44/100000</f>
        <v>-212.52919903479659</v>
      </c>
      <c r="T44">
        <f t="shared" ref="T44" si="199">S44/1000</f>
        <v>-0.21252919903479658</v>
      </c>
    </row>
    <row r="45" spans="1:20" x14ac:dyDescent="0.25">
      <c r="A45" s="5">
        <v>44548</v>
      </c>
      <c r="B45">
        <v>8.9139999999999997</v>
      </c>
      <c r="C45">
        <v>9.1180000000000003</v>
      </c>
      <c r="D45">
        <v>8.7200000000000006</v>
      </c>
      <c r="E45">
        <v>8.9390000000000001</v>
      </c>
      <c r="F45">
        <v>297888.8</v>
      </c>
      <c r="G45">
        <v>8.9390000000000001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0.10050251256281201</v>
      </c>
      <c r="Q45">
        <f t="shared" ref="Q45" si="201">F45*P45</f>
        <v>29938.572864320991</v>
      </c>
      <c r="R45">
        <f t="shared" ref="R45" si="202">R46+Q45</f>
        <v>-21082275.703135226</v>
      </c>
      <c r="S45">
        <f t="shared" ref="S45" si="203">R45/100000</f>
        <v>-210.82275703135227</v>
      </c>
      <c r="T45">
        <f t="shared" ref="T45" si="204">S45/1000</f>
        <v>-0.21082275703135228</v>
      </c>
    </row>
    <row r="46" spans="1:20" x14ac:dyDescent="0.25">
      <c r="A46" s="5">
        <v>44547</v>
      </c>
      <c r="B46">
        <v>9.4280000000000008</v>
      </c>
      <c r="C46">
        <v>9.5259999999999998</v>
      </c>
      <c r="D46">
        <v>8.5640000000000001</v>
      </c>
      <c r="E46">
        <v>8.9139999999999997</v>
      </c>
      <c r="F46">
        <v>341831.9</v>
      </c>
      <c r="G46">
        <v>8.9139999999999997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-0.27234927234927292</v>
      </c>
      <c r="Q46">
        <f t="shared" ref="Q46" si="206">F46*P46</f>
        <v>-93097.669230769432</v>
      </c>
      <c r="R46">
        <f t="shared" ref="R46" si="207">R47+Q46</f>
        <v>-21112214.275999546</v>
      </c>
      <c r="S46">
        <f t="shared" ref="S46" si="208">R46/100000</f>
        <v>-211.12214275999546</v>
      </c>
      <c r="T46">
        <f t="shared" ref="T46" si="209">S46/1000</f>
        <v>-0.21112214275999547</v>
      </c>
    </row>
    <row r="47" spans="1:20" x14ac:dyDescent="0.25">
      <c r="A47" s="5">
        <v>44546</v>
      </c>
      <c r="B47">
        <v>9.2530000000000001</v>
      </c>
      <c r="C47">
        <v>9.8030000000000008</v>
      </c>
      <c r="D47">
        <v>9.0589999999999993</v>
      </c>
      <c r="E47">
        <v>9.4280000000000008</v>
      </c>
      <c r="F47">
        <v>414557</v>
      </c>
      <c r="G47">
        <v>9.4280000000000008</v>
      </c>
      <c r="L47" t="s">
        <v>7</v>
      </c>
      <c r="M47" t="s">
        <v>7</v>
      </c>
      <c r="N47" t="s">
        <v>7</v>
      </c>
      <c r="P47">
        <f t="shared" ref="P47" si="210">IF(C47=D47,0,((E47-D47)-(C47-E47))/(C47-D47))</f>
        <v>-8.0645161290301588E-3</v>
      </c>
      <c r="Q47">
        <f t="shared" ref="Q47" si="211">F47*P47</f>
        <v>-3343.2016129023555</v>
      </c>
      <c r="R47">
        <f t="shared" ref="R47" si="212">R48+Q47</f>
        <v>-21019116.606768776</v>
      </c>
      <c r="S47">
        <f t="shared" ref="S47" si="213">R47/100000</f>
        <v>-210.19116606768776</v>
      </c>
      <c r="T47">
        <f t="shared" ref="T47" si="214">S47/1000</f>
        <v>-0.21019116606768776</v>
      </c>
    </row>
    <row r="48" spans="1:20" x14ac:dyDescent="0.25">
      <c r="A48" s="5">
        <v>44545</v>
      </c>
      <c r="B48">
        <v>8.8960000000000008</v>
      </c>
      <c r="C48">
        <v>9.8740000000000006</v>
      </c>
      <c r="D48">
        <v>8.7810000000000006</v>
      </c>
      <c r="E48">
        <v>9.2460000000000004</v>
      </c>
      <c r="F48">
        <v>690226.4</v>
      </c>
      <c r="G48">
        <v>9.2460000000000004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-0.14913083257090601</v>
      </c>
      <c r="Q48">
        <f t="shared" ref="Q48" si="216">F48*P48</f>
        <v>-102934.0376944192</v>
      </c>
      <c r="R48">
        <f t="shared" ref="R48" si="217">R49+Q48</f>
        <v>-21015773.405155875</v>
      </c>
      <c r="S48">
        <f t="shared" ref="S48" si="218">R48/100000</f>
        <v>-210.15773405155875</v>
      </c>
      <c r="T48">
        <f t="shared" ref="T48" si="219">S48/1000</f>
        <v>-0.21015773405155874</v>
      </c>
    </row>
    <row r="49" spans="1:20" x14ac:dyDescent="0.25">
      <c r="A49" s="5">
        <v>44544</v>
      </c>
      <c r="B49">
        <v>8.9469999999999992</v>
      </c>
      <c r="C49">
        <v>9.1010000000000009</v>
      </c>
      <c r="D49">
        <v>8.5760000000000005</v>
      </c>
      <c r="E49">
        <v>8.8960000000000008</v>
      </c>
      <c r="F49">
        <v>266815.90000000002</v>
      </c>
      <c r="G49">
        <v>8.8960000000000008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0.2190476190476193</v>
      </c>
      <c r="Q49">
        <f t="shared" ref="Q49" si="221">F49*P49</f>
        <v>58445.387619047688</v>
      </c>
      <c r="R49">
        <f t="shared" ref="R49" si="222">R50+Q49</f>
        <v>-20912839.367461454</v>
      </c>
      <c r="S49">
        <f t="shared" ref="S49" si="223">R49/100000</f>
        <v>-209.12839367461453</v>
      </c>
      <c r="T49">
        <f t="shared" ref="T49" si="224">S49/1000</f>
        <v>-0.20912839367461453</v>
      </c>
    </row>
    <row r="50" spans="1:20" x14ac:dyDescent="0.25">
      <c r="A50" s="5">
        <v>44543</v>
      </c>
      <c r="B50">
        <v>10.054</v>
      </c>
      <c r="C50">
        <v>10.112</v>
      </c>
      <c r="D50">
        <v>8.8610000000000007</v>
      </c>
      <c r="E50">
        <v>8.9380000000000006</v>
      </c>
      <c r="F50">
        <v>220725</v>
      </c>
      <c r="G50">
        <v>8.9380000000000006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-0.876898481215028</v>
      </c>
      <c r="Q50">
        <f t="shared" ref="Q50" si="226">F50*P50</f>
        <v>-193553.41726618705</v>
      </c>
      <c r="R50">
        <f t="shared" ref="R50" si="227">R51+Q50</f>
        <v>-20971284.755080502</v>
      </c>
      <c r="S50">
        <f t="shared" ref="S50" si="228">R50/100000</f>
        <v>-209.71284755080504</v>
      </c>
      <c r="T50">
        <f t="shared" ref="T50" si="229">S50/1000</f>
        <v>-0.20971284755080505</v>
      </c>
    </row>
    <row r="51" spans="1:20" x14ac:dyDescent="0.25">
      <c r="A51" s="5">
        <v>44542</v>
      </c>
      <c r="B51">
        <v>9.907</v>
      </c>
      <c r="C51">
        <v>10.202</v>
      </c>
      <c r="D51">
        <v>9.7089999999999996</v>
      </c>
      <c r="E51">
        <v>10.064</v>
      </c>
      <c r="F51">
        <v>154449.5</v>
      </c>
      <c r="G51">
        <v>10.064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0.44016227180527462</v>
      </c>
      <c r="Q51">
        <f t="shared" ref="Q51" si="231">F51*P51</f>
        <v>67982.842799188758</v>
      </c>
      <c r="R51">
        <f t="shared" ref="R51" si="232">R52+Q51</f>
        <v>-20777731.337814316</v>
      </c>
      <c r="S51">
        <f t="shared" ref="S51" si="233">R51/100000</f>
        <v>-207.77731337814316</v>
      </c>
      <c r="T51">
        <f t="shared" ref="T51" si="234">S51/1000</f>
        <v>-0.20777731337814317</v>
      </c>
    </row>
    <row r="52" spans="1:20" x14ac:dyDescent="0.25">
      <c r="A52" s="5">
        <v>44541</v>
      </c>
      <c r="B52">
        <v>9.5850000000000009</v>
      </c>
      <c r="C52">
        <v>9.7210000000000001</v>
      </c>
      <c r="D52">
        <v>9.3390000000000004</v>
      </c>
      <c r="E52">
        <v>9.68</v>
      </c>
      <c r="F52">
        <v>21971.5</v>
      </c>
      <c r="G52">
        <v>9.68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0.78534031413612349</v>
      </c>
      <c r="Q52">
        <f t="shared" ref="Q52" si="236">F52*P52</f>
        <v>17255.104712041837</v>
      </c>
      <c r="R52">
        <f t="shared" ref="R52" si="237">R53+Q52</f>
        <v>-20845714.180613507</v>
      </c>
      <c r="S52">
        <f t="shared" ref="S52" si="238">R52/100000</f>
        <v>-208.45714180613507</v>
      </c>
      <c r="T52">
        <f t="shared" ref="T52" si="239">S52/1000</f>
        <v>-0.20845714180613506</v>
      </c>
    </row>
    <row r="53" spans="1:20" x14ac:dyDescent="0.25">
      <c r="A53" s="5">
        <v>44540</v>
      </c>
      <c r="B53">
        <v>9.8350000000000009</v>
      </c>
      <c r="C53">
        <v>10.391999999999999</v>
      </c>
      <c r="D53">
        <v>9.51</v>
      </c>
      <c r="E53">
        <v>9.5939999999999994</v>
      </c>
      <c r="F53">
        <v>303434.8</v>
      </c>
      <c r="G53">
        <v>9.5939999999999994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-0.80952380952381031</v>
      </c>
      <c r="Q53">
        <f t="shared" ref="Q53" si="241">F53*P53</f>
        <v>-245637.69523809548</v>
      </c>
      <c r="R53">
        <f t="shared" ref="R53" si="242">R54+Q53</f>
        <v>-20862969.28532555</v>
      </c>
      <c r="S53">
        <f t="shared" ref="S53" si="243">R53/100000</f>
        <v>-208.62969285325551</v>
      </c>
      <c r="T53">
        <f t="shared" ref="T53" si="244">S53/1000</f>
        <v>-0.2086296928532555</v>
      </c>
    </row>
    <row r="54" spans="1:20" x14ac:dyDescent="0.25">
      <c r="A54" s="5">
        <v>44539</v>
      </c>
      <c r="B54">
        <v>10.875999999999999</v>
      </c>
      <c r="C54">
        <v>10.997999999999999</v>
      </c>
      <c r="D54">
        <v>9.7590000000000003</v>
      </c>
      <c r="E54">
        <v>9.8420000000000005</v>
      </c>
      <c r="F54">
        <v>264616.59999999998</v>
      </c>
      <c r="G54">
        <v>9.8420000000000005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-0.86602098466505206</v>
      </c>
      <c r="Q54">
        <f t="shared" ref="Q54" si="246">F54*P54</f>
        <v>-229163.52849071819</v>
      </c>
      <c r="R54">
        <f t="shared" ref="R54" si="247">R55+Q54</f>
        <v>-20617331.590087455</v>
      </c>
      <c r="S54">
        <f t="shared" ref="S54" si="248">R54/100000</f>
        <v>-206.17331590087454</v>
      </c>
      <c r="T54">
        <f t="shared" ref="T54" si="249">S54/1000</f>
        <v>-0.20617331590087454</v>
      </c>
    </row>
    <row r="55" spans="1:20" x14ac:dyDescent="0.25">
      <c r="A55" s="5">
        <v>44538</v>
      </c>
      <c r="B55">
        <v>10.375</v>
      </c>
      <c r="C55">
        <v>11.815</v>
      </c>
      <c r="D55">
        <v>10.220000000000001</v>
      </c>
      <c r="E55">
        <v>10.875999999999999</v>
      </c>
      <c r="F55">
        <v>624911.30000000005</v>
      </c>
      <c r="G55">
        <v>10.875999999999999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-0.17742946708464041</v>
      </c>
      <c r="Q55">
        <f t="shared" ref="Q55" si="251">F55*P55</f>
        <v>-110877.67893416986</v>
      </c>
      <c r="R55">
        <f t="shared" ref="R55" si="252">R56+Q55</f>
        <v>-20388168.061596736</v>
      </c>
      <c r="S55">
        <f t="shared" ref="S55" si="253">R55/100000</f>
        <v>-203.88168061596735</v>
      </c>
      <c r="T55">
        <f t="shared" ref="T55" si="254">S55/1000</f>
        <v>-0.20388168061596734</v>
      </c>
    </row>
    <row r="56" spans="1:20" x14ac:dyDescent="0.25">
      <c r="A56" s="5">
        <v>44537</v>
      </c>
      <c r="B56">
        <v>10.631</v>
      </c>
      <c r="C56">
        <v>10.784000000000001</v>
      </c>
      <c r="D56">
        <v>10.212</v>
      </c>
      <c r="E56">
        <v>10.375999999999999</v>
      </c>
      <c r="F56">
        <v>285646.3</v>
      </c>
      <c r="G56">
        <v>10.375999999999999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-0.42657342657342856</v>
      </c>
      <c r="Q56">
        <f t="shared" ref="Q56" si="256">F56*P56</f>
        <v>-121849.12097902154</v>
      </c>
      <c r="R56">
        <f t="shared" ref="R56" si="257">R57+Q56</f>
        <v>-20277290.382662568</v>
      </c>
      <c r="S56">
        <f t="shared" ref="S56" si="258">R56/100000</f>
        <v>-202.77290382662568</v>
      </c>
      <c r="T56">
        <f t="shared" ref="T56" si="259">S56/1000</f>
        <v>-0.20277290382662569</v>
      </c>
    </row>
    <row r="57" spans="1:20" x14ac:dyDescent="0.25">
      <c r="A57" s="5">
        <v>44536</v>
      </c>
      <c r="B57">
        <v>10.249000000000001</v>
      </c>
      <c r="C57">
        <v>10.662000000000001</v>
      </c>
      <c r="D57">
        <v>9.2040000000000006</v>
      </c>
      <c r="E57">
        <v>10.631</v>
      </c>
      <c r="F57">
        <v>507445.2</v>
      </c>
      <c r="G57">
        <v>10.631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0.95747599451303078</v>
      </c>
      <c r="Q57">
        <f t="shared" ref="Q57" si="261">F57*P57</f>
        <v>485866.59753086383</v>
      </c>
      <c r="R57">
        <f t="shared" ref="R57" si="262">R58+Q57</f>
        <v>-20155441.261683546</v>
      </c>
      <c r="S57">
        <f t="shared" ref="S57" si="263">R57/100000</f>
        <v>-201.55441261683546</v>
      </c>
      <c r="T57">
        <f t="shared" ref="T57" si="264">S57/1000</f>
        <v>-0.20155441261683546</v>
      </c>
    </row>
    <row r="58" spans="1:20" x14ac:dyDescent="0.25">
      <c r="A58" s="5">
        <v>44535</v>
      </c>
      <c r="B58">
        <v>10.835000000000001</v>
      </c>
      <c r="C58">
        <v>11.28</v>
      </c>
      <c r="D58">
        <v>9.9730000000000008</v>
      </c>
      <c r="E58">
        <v>10.214</v>
      </c>
      <c r="F58">
        <v>348434.2</v>
      </c>
      <c r="G58">
        <v>10.214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-0.63121652639632764</v>
      </c>
      <c r="Q58">
        <f t="shared" ref="Q58" si="266">F58*P58</f>
        <v>-219937.42540168331</v>
      </c>
      <c r="R58">
        <f t="shared" ref="R58" si="267">R59+Q58</f>
        <v>-20641307.85921441</v>
      </c>
      <c r="S58">
        <f t="shared" ref="S58" si="268">R58/100000</f>
        <v>-206.4130785921441</v>
      </c>
      <c r="T58">
        <f t="shared" ref="T58" si="269">S58/1000</f>
        <v>-0.20641307859214411</v>
      </c>
    </row>
    <row r="59" spans="1:20" x14ac:dyDescent="0.25">
      <c r="A59" s="5">
        <v>44534</v>
      </c>
      <c r="B59">
        <v>12.076000000000001</v>
      </c>
      <c r="C59">
        <v>12.132</v>
      </c>
      <c r="D59">
        <v>9.0540000000000003</v>
      </c>
      <c r="E59">
        <v>10.858000000000001</v>
      </c>
      <c r="F59">
        <v>596698.9</v>
      </c>
      <c r="G59">
        <v>10.858000000000001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0.17218973359324277</v>
      </c>
      <c r="Q59">
        <f t="shared" ref="Q59" si="271">F59*P59</f>
        <v>102745.42462638102</v>
      </c>
      <c r="R59">
        <f t="shared" ref="R59" si="272">R60+Q59</f>
        <v>-20421370.433812726</v>
      </c>
      <c r="S59">
        <f t="shared" ref="S59" si="273">R59/100000</f>
        <v>-204.21370433812726</v>
      </c>
      <c r="T59">
        <f t="shared" ref="T59" si="274">S59/1000</f>
        <v>-0.20421370433812724</v>
      </c>
    </row>
    <row r="60" spans="1:20" x14ac:dyDescent="0.25">
      <c r="A60" s="5">
        <v>44533</v>
      </c>
      <c r="B60">
        <v>12.439</v>
      </c>
      <c r="C60">
        <v>12.881</v>
      </c>
      <c r="D60">
        <v>11.596</v>
      </c>
      <c r="E60">
        <v>12.095000000000001</v>
      </c>
      <c r="F60">
        <v>423408.9</v>
      </c>
      <c r="G60">
        <v>12.095000000000001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-0.22334630350194476</v>
      </c>
      <c r="Q60">
        <f t="shared" ref="Q60" si="276">F60*P60</f>
        <v>-94566.812684824588</v>
      </c>
      <c r="R60">
        <f t="shared" ref="R60" si="277">R61+Q60</f>
        <v>-20524115.858439106</v>
      </c>
      <c r="S60">
        <f t="shared" ref="S60" si="278">R60/100000</f>
        <v>-205.24115858439106</v>
      </c>
      <c r="T60">
        <f t="shared" ref="T60" si="279">S60/1000</f>
        <v>-0.20524115858439107</v>
      </c>
    </row>
    <row r="61" spans="1:20" x14ac:dyDescent="0.25">
      <c r="A61" s="5">
        <v>44532</v>
      </c>
      <c r="B61">
        <v>12.853999999999999</v>
      </c>
      <c r="C61">
        <v>13.074</v>
      </c>
      <c r="D61">
        <v>12.352</v>
      </c>
      <c r="E61">
        <v>12.435</v>
      </c>
      <c r="F61">
        <v>333376.59999999998</v>
      </c>
      <c r="G61">
        <v>12.435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-0.7700831024930741</v>
      </c>
      <c r="Q61">
        <f t="shared" ref="Q61" si="281">F61*P61</f>
        <v>-256727.68642659255</v>
      </c>
      <c r="R61">
        <f t="shared" ref="R61" si="282">R62+Q61</f>
        <v>-20429549.045754284</v>
      </c>
      <c r="S61">
        <f t="shared" ref="S61" si="283">R61/100000</f>
        <v>-204.29549045754283</v>
      </c>
      <c r="T61">
        <f t="shared" ref="T61" si="284">S61/1000</f>
        <v>-0.20429549045754283</v>
      </c>
    </row>
    <row r="62" spans="1:20" x14ac:dyDescent="0.25">
      <c r="A62" s="5">
        <v>44531</v>
      </c>
      <c r="B62">
        <v>13.015000000000001</v>
      </c>
      <c r="C62">
        <v>13.5</v>
      </c>
      <c r="D62">
        <v>12.718999999999999</v>
      </c>
      <c r="E62">
        <v>12.852</v>
      </c>
      <c r="F62">
        <v>390547.3</v>
      </c>
      <c r="G62">
        <v>12.852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-0.65941101152368553</v>
      </c>
      <c r="Q62">
        <f t="shared" ref="Q62" si="286">F62*P62</f>
        <v>-257531.19014084426</v>
      </c>
      <c r="R62">
        <f t="shared" ref="R62" si="287">R63+Q62</f>
        <v>-20172821.359327693</v>
      </c>
      <c r="S62">
        <f t="shared" ref="S62" si="288">R62/100000</f>
        <v>-201.72821359327693</v>
      </c>
      <c r="T62">
        <f t="shared" ref="T62" si="289">S62/1000</f>
        <v>-0.20172821359327694</v>
      </c>
    </row>
    <row r="63" spans="1:20" x14ac:dyDescent="0.25">
      <c r="A63" s="5">
        <v>44530</v>
      </c>
      <c r="B63">
        <v>13.56</v>
      </c>
      <c r="C63">
        <v>13.756</v>
      </c>
      <c r="D63">
        <v>12.88</v>
      </c>
      <c r="E63">
        <v>13.015000000000001</v>
      </c>
      <c r="F63">
        <v>295987.3</v>
      </c>
      <c r="G63">
        <v>13.015000000000001</v>
      </c>
      <c r="L63" t="s">
        <v>7</v>
      </c>
      <c r="M63" t="s">
        <v>8</v>
      </c>
      <c r="N63" t="s">
        <v>7</v>
      </c>
      <c r="P63">
        <f t="shared" ref="P63" si="290">IF(C63=D63,0,((E63-D63)-(C63-E63))/(C63-D63))</f>
        <v>-0.69178082191780854</v>
      </c>
      <c r="Q63">
        <f t="shared" ref="Q63" si="291">F63*P63</f>
        <v>-204758.33767123296</v>
      </c>
      <c r="R63">
        <f t="shared" ref="R63" si="292">R64+Q63</f>
        <v>-19915290.169186849</v>
      </c>
      <c r="S63">
        <f t="shared" ref="S63" si="293">R63/100000</f>
        <v>-199.15290169186849</v>
      </c>
      <c r="T63">
        <f t="shared" ref="T63" si="294">S63/1000</f>
        <v>-0.1991529016918685</v>
      </c>
    </row>
    <row r="64" spans="1:20" x14ac:dyDescent="0.25">
      <c r="A64" s="5">
        <v>44529</v>
      </c>
      <c r="B64">
        <v>13.87</v>
      </c>
      <c r="C64">
        <v>14.141999999999999</v>
      </c>
      <c r="D64">
        <v>13.2</v>
      </c>
      <c r="E64">
        <v>13.539</v>
      </c>
      <c r="F64">
        <v>594636.9</v>
      </c>
      <c r="G64">
        <v>13.539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-0.28025477707006297</v>
      </c>
      <c r="Q64">
        <f t="shared" ref="Q64" si="296">F64*P64</f>
        <v>-166649.83184713332</v>
      </c>
      <c r="R64">
        <f t="shared" ref="R64" si="297">R65+Q64</f>
        <v>-19710531.831515618</v>
      </c>
      <c r="S64">
        <f t="shared" ref="S64" si="298">R64/100000</f>
        <v>-197.10531831515618</v>
      </c>
      <c r="T64">
        <f t="shared" ref="T64" si="299">S64/1000</f>
        <v>-0.19710531831515618</v>
      </c>
    </row>
    <row r="65" spans="1:20" x14ac:dyDescent="0.25">
      <c r="A65" s="5">
        <v>44528</v>
      </c>
      <c r="B65">
        <v>15.157999999999999</v>
      </c>
      <c r="C65">
        <v>15.167999999999999</v>
      </c>
      <c r="D65">
        <v>13.1</v>
      </c>
      <c r="E65">
        <v>13.872</v>
      </c>
      <c r="F65">
        <v>1425843.6</v>
      </c>
      <c r="G65">
        <v>13.872</v>
      </c>
      <c r="L65" t="s">
        <v>7</v>
      </c>
      <c r="M65" t="s">
        <v>8</v>
      </c>
      <c r="N65" t="s">
        <v>7</v>
      </c>
      <c r="P65">
        <f t="shared" ref="P65" si="300">IF(C65=D65,0,((E65-D65)-(C65-E65))/(C65-D65))</f>
        <v>-0.25338491295938065</v>
      </c>
      <c r="Q65">
        <f t="shared" ref="Q65" si="301">F65*P65</f>
        <v>-361287.25647968997</v>
      </c>
      <c r="R65">
        <f t="shared" ref="R65" si="302">R66+Q65</f>
        <v>-19543881.999668483</v>
      </c>
      <c r="S65">
        <f t="shared" ref="S65" si="303">R65/100000</f>
        <v>-195.43881999668483</v>
      </c>
      <c r="T65">
        <f t="shared" ref="T65" si="304">S65/1000</f>
        <v>-0.19543881999668483</v>
      </c>
    </row>
    <row r="66" spans="1:20" x14ac:dyDescent="0.25">
      <c r="A66" s="5">
        <v>44527</v>
      </c>
      <c r="B66">
        <v>12.961</v>
      </c>
      <c r="C66">
        <v>15.25</v>
      </c>
      <c r="D66">
        <v>12.855</v>
      </c>
      <c r="E66">
        <v>15.138999999999999</v>
      </c>
      <c r="F66">
        <v>763206.3</v>
      </c>
      <c r="G66">
        <v>15.138999999999999</v>
      </c>
      <c r="L66" t="s">
        <v>8</v>
      </c>
      <c r="M66" t="s">
        <v>8</v>
      </c>
      <c r="N66" t="s">
        <v>7</v>
      </c>
      <c r="P66">
        <f t="shared" ref="P66" si="305">IF(C66=D66,0,((E66-D66)-(C66-E66))/(C66-D66))</f>
        <v>0.90730688935281778</v>
      </c>
      <c r="Q66">
        <f t="shared" ref="Q66" si="306">F66*P66</f>
        <v>692462.33398747351</v>
      </c>
      <c r="R66">
        <f t="shared" ref="R66" si="307">R67+Q66</f>
        <v>-19182594.743188791</v>
      </c>
      <c r="S66">
        <f t="shared" ref="S66" si="308">R66/100000</f>
        <v>-191.8259474318879</v>
      </c>
      <c r="T66">
        <f t="shared" ref="T66" si="309">S66/1000</f>
        <v>-0.19182594743188791</v>
      </c>
    </row>
    <row r="67" spans="1:20" x14ac:dyDescent="0.25">
      <c r="A67" s="5">
        <v>44526</v>
      </c>
      <c r="B67">
        <v>14.577999999999999</v>
      </c>
      <c r="C67">
        <v>14.62</v>
      </c>
      <c r="D67">
        <v>12.632</v>
      </c>
      <c r="E67">
        <v>12.964</v>
      </c>
      <c r="F67">
        <v>903930.9</v>
      </c>
      <c r="G67">
        <v>12.964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-0.66599597585512993</v>
      </c>
      <c r="Q67">
        <f t="shared" ref="Q67" si="311">F67*P67</f>
        <v>-602014.34185110591</v>
      </c>
      <c r="R67">
        <f t="shared" ref="R67" si="312">R68+Q67</f>
        <v>-19875057.077176265</v>
      </c>
      <c r="S67">
        <f t="shared" ref="S67" si="313">R67/100000</f>
        <v>-198.75057077176265</v>
      </c>
      <c r="T67">
        <f t="shared" ref="T67" si="314">S67/1000</f>
        <v>-0.19875057077176264</v>
      </c>
    </row>
    <row r="68" spans="1:20" x14ac:dyDescent="0.25">
      <c r="A68" s="5">
        <v>44525</v>
      </c>
      <c r="B68">
        <v>13.631</v>
      </c>
      <c r="C68">
        <v>15.026</v>
      </c>
      <c r="D68">
        <v>13.513</v>
      </c>
      <c r="E68">
        <v>14.558</v>
      </c>
      <c r="F68">
        <v>684111.3</v>
      </c>
      <c r="G68">
        <v>14.558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0.38136153337739592</v>
      </c>
      <c r="Q68">
        <f t="shared" ref="Q68" si="316">F68*P68</f>
        <v>260893.73436880374</v>
      </c>
      <c r="R68">
        <f t="shared" ref="R68" si="317">R69+Q68</f>
        <v>-19273042.735325161</v>
      </c>
      <c r="S68">
        <f t="shared" ref="S68" si="318">R68/100000</f>
        <v>-192.73042735325163</v>
      </c>
      <c r="T68">
        <f t="shared" ref="T68" si="319">S68/1000</f>
        <v>-0.19273042735325163</v>
      </c>
    </row>
    <row r="69" spans="1:20" x14ac:dyDescent="0.25">
      <c r="A69" s="5">
        <v>44524</v>
      </c>
      <c r="B69">
        <v>14.82</v>
      </c>
      <c r="C69">
        <v>14.916</v>
      </c>
      <c r="D69">
        <v>14.106999999999999</v>
      </c>
      <c r="E69">
        <v>14.372999999999999</v>
      </c>
      <c r="F69">
        <v>189537.3</v>
      </c>
      <c r="G69">
        <v>14.372999999999999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-0.34239802224969179</v>
      </c>
      <c r="Q69">
        <f t="shared" ref="Q69" si="321">F69*P69</f>
        <v>-64897.196662546507</v>
      </c>
      <c r="R69">
        <f t="shared" ref="R69" si="322">R70+Q69</f>
        <v>-19533936.469693966</v>
      </c>
      <c r="S69">
        <f t="shared" ref="S69" si="323">R69/100000</f>
        <v>-195.33936469693967</v>
      </c>
      <c r="T69">
        <f t="shared" ref="T69" si="324">S69/1000</f>
        <v>-0.19533936469693966</v>
      </c>
    </row>
    <row r="70" spans="1:20" x14ac:dyDescent="0.25">
      <c r="A70" s="5">
        <v>44523</v>
      </c>
      <c r="B70">
        <v>14.76</v>
      </c>
      <c r="C70">
        <v>15.323</v>
      </c>
      <c r="D70">
        <v>14.35</v>
      </c>
      <c r="E70">
        <v>14.815</v>
      </c>
      <c r="F70">
        <v>725058</v>
      </c>
      <c r="G70">
        <v>14.815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-4.4193216855088389E-2</v>
      </c>
      <c r="Q70">
        <f t="shared" ref="Q70" si="326">F70*P70</f>
        <v>-32042.645426516676</v>
      </c>
      <c r="R70">
        <f t="shared" ref="R70" si="327">R71+Q70</f>
        <v>-19469039.273031421</v>
      </c>
      <c r="S70">
        <f t="shared" ref="S70" si="328">R70/100000</f>
        <v>-194.69039273031422</v>
      </c>
      <c r="T70">
        <f t="shared" ref="T70" si="329">S70/1000</f>
        <v>-0.19469039273031422</v>
      </c>
    </row>
    <row r="71" spans="1:20" x14ac:dyDescent="0.25">
      <c r="A71" s="5">
        <v>44522</v>
      </c>
      <c r="B71">
        <v>16.277999999999999</v>
      </c>
      <c r="C71">
        <v>16.297999999999998</v>
      </c>
      <c r="D71">
        <v>14.468</v>
      </c>
      <c r="E71">
        <v>14.773999999999999</v>
      </c>
      <c r="F71">
        <v>546372</v>
      </c>
      <c r="G71">
        <v>14.773999999999999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-0.66557377049180388</v>
      </c>
      <c r="Q71">
        <f t="shared" ref="Q71" si="331">F71*P71</f>
        <v>-363650.87213114789</v>
      </c>
      <c r="R71">
        <f t="shared" ref="R71" si="332">R72+Q71</f>
        <v>-19436996.627604906</v>
      </c>
      <c r="S71">
        <f t="shared" ref="S71" si="333">R71/100000</f>
        <v>-194.36996627604904</v>
      </c>
      <c r="T71">
        <f t="shared" ref="T71" si="334">S71/1000</f>
        <v>-0.19436996627604905</v>
      </c>
    </row>
    <row r="72" spans="1:20" x14ac:dyDescent="0.25">
      <c r="A72" s="5">
        <v>44521</v>
      </c>
      <c r="B72">
        <v>16.890999999999998</v>
      </c>
      <c r="C72">
        <v>16.96</v>
      </c>
      <c r="D72">
        <v>16.114999999999998</v>
      </c>
      <c r="E72">
        <v>16.280999999999999</v>
      </c>
      <c r="F72">
        <v>452895</v>
      </c>
      <c r="G72">
        <v>16.280999999999999</v>
      </c>
      <c r="L72" t="s">
        <v>7</v>
      </c>
      <c r="M72" t="s">
        <v>7</v>
      </c>
      <c r="N72" t="s">
        <v>7</v>
      </c>
      <c r="P72">
        <f t="shared" ref="P72" si="335">IF(C72=D72,0,((E72-D72)-(C72-E72))/(C72-D72))</f>
        <v>-0.60710059171597663</v>
      </c>
      <c r="Q72">
        <f t="shared" ref="Q72" si="336">F72*P72</f>
        <v>-274952.82248520723</v>
      </c>
      <c r="R72">
        <f t="shared" ref="R72" si="337">R73+Q72</f>
        <v>-19073345.755473759</v>
      </c>
      <c r="S72">
        <f t="shared" ref="S72" si="338">R72/100000</f>
        <v>-190.73345755473758</v>
      </c>
      <c r="T72">
        <f t="shared" ref="T72" si="339">S72/1000</f>
        <v>-0.19073345755473758</v>
      </c>
    </row>
    <row r="73" spans="1:20" x14ac:dyDescent="0.25">
      <c r="A73" s="5">
        <v>44520</v>
      </c>
      <c r="B73">
        <v>17.241</v>
      </c>
      <c r="C73">
        <v>17.533000000000001</v>
      </c>
      <c r="D73">
        <v>16.292000000000002</v>
      </c>
      <c r="E73">
        <v>16.907</v>
      </c>
      <c r="F73">
        <v>948105.9</v>
      </c>
      <c r="G73">
        <v>16.907</v>
      </c>
      <c r="L73" t="s">
        <v>7</v>
      </c>
      <c r="M73" t="s">
        <v>7</v>
      </c>
      <c r="N73" t="s">
        <v>7</v>
      </c>
      <c r="P73">
        <f t="shared" ref="P73" si="340">IF(C73=D73,0,((E73-D73)-(C73-E73))/(C73-D73))</f>
        <v>-8.8638195004051481E-3</v>
      </c>
      <c r="Q73">
        <f t="shared" ref="Q73" si="341">F73*P73</f>
        <v>-8403.839564869173</v>
      </c>
      <c r="R73">
        <f t="shared" ref="R73" si="342">R74+Q73</f>
        <v>-18798392.932988551</v>
      </c>
      <c r="S73">
        <f t="shared" ref="S73" si="343">R73/100000</f>
        <v>-187.98392932988551</v>
      </c>
      <c r="T73">
        <f t="shared" ref="T73" si="344">S73/1000</f>
        <v>-0.1879839293298855</v>
      </c>
    </row>
    <row r="74" spans="1:20" x14ac:dyDescent="0.25">
      <c r="A74" s="5">
        <v>44519</v>
      </c>
      <c r="B74">
        <v>16.515999999999998</v>
      </c>
      <c r="C74">
        <v>17.864000000000001</v>
      </c>
      <c r="D74">
        <v>16.399000000000001</v>
      </c>
      <c r="E74">
        <v>17.234999999999999</v>
      </c>
      <c r="F74">
        <v>594308</v>
      </c>
      <c r="G74">
        <v>17.234999999999999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0.14129692832764315</v>
      </c>
      <c r="Q74">
        <f t="shared" ref="Q74" si="346">F74*P74</f>
        <v>83973.894880544947</v>
      </c>
      <c r="R74">
        <f t="shared" ref="R74" si="347">R75+Q74</f>
        <v>-18789989.093423683</v>
      </c>
      <c r="S74">
        <f t="shared" ref="S74" si="348">R74/100000</f>
        <v>-187.89989093423682</v>
      </c>
      <c r="T74">
        <f t="shared" ref="T74" si="349">S74/1000</f>
        <v>-0.18789989093423681</v>
      </c>
    </row>
    <row r="75" spans="1:20" x14ac:dyDescent="0.25">
      <c r="A75" s="5">
        <v>44518</v>
      </c>
      <c r="B75">
        <v>18.727</v>
      </c>
      <c r="C75">
        <v>21.321999999999999</v>
      </c>
      <c r="D75">
        <v>16.158999999999999</v>
      </c>
      <c r="E75">
        <v>16.47</v>
      </c>
      <c r="F75">
        <v>1813086</v>
      </c>
      <c r="G75">
        <v>16.47</v>
      </c>
      <c r="L75" t="s">
        <v>8</v>
      </c>
      <c r="M75" t="s">
        <v>7</v>
      </c>
      <c r="N75" t="s">
        <v>7</v>
      </c>
      <c r="P75">
        <f t="shared" ref="P75" si="350">IF(C75=D75,0,((E75-D75)-(C75-E75))/(C75-D75))</f>
        <v>-0.87952740654658146</v>
      </c>
      <c r="Q75">
        <f t="shared" ref="Q75" si="351">F75*P75</f>
        <v>-1594658.8274259153</v>
      </c>
      <c r="R75">
        <f t="shared" ref="R75" si="352">R76+Q75</f>
        <v>-18873962.988304228</v>
      </c>
      <c r="S75">
        <f t="shared" ref="S75" si="353">R75/100000</f>
        <v>-188.73962988304228</v>
      </c>
      <c r="T75">
        <f t="shared" ref="T75" si="354">S75/1000</f>
        <v>-0.18873962988304227</v>
      </c>
    </row>
    <row r="76" spans="1:20" x14ac:dyDescent="0.25">
      <c r="A76" s="5">
        <v>44517</v>
      </c>
      <c r="B76">
        <v>19.021999999999998</v>
      </c>
      <c r="C76">
        <v>19.856999999999999</v>
      </c>
      <c r="D76">
        <v>18.123999999999999</v>
      </c>
      <c r="E76">
        <v>18.739999999999998</v>
      </c>
      <c r="F76">
        <v>1120650.3999999999</v>
      </c>
      <c r="G76">
        <v>18.739999999999998</v>
      </c>
      <c r="L76" t="s">
        <v>8</v>
      </c>
      <c r="M76" t="s">
        <v>7</v>
      </c>
      <c r="N76" t="s">
        <v>8</v>
      </c>
      <c r="P76">
        <f t="shared" ref="P76" si="355">IF(C76=D76,0,((E76-D76)-(C76-E76))/(C76-D76))</f>
        <v>-0.28909405654933701</v>
      </c>
      <c r="Q76">
        <f t="shared" ref="Q76" si="356">F76*P76</f>
        <v>-323973.37010963709</v>
      </c>
      <c r="R76">
        <f t="shared" ref="R76" si="357">R77+Q76</f>
        <v>-17279304.160878312</v>
      </c>
      <c r="S76">
        <f t="shared" ref="S76" si="358">R76/100000</f>
        <v>-172.79304160878311</v>
      </c>
      <c r="T76">
        <f t="shared" ref="T76" si="359">S76/1000</f>
        <v>-0.17279304160878312</v>
      </c>
    </row>
    <row r="77" spans="1:20" x14ac:dyDescent="0.25">
      <c r="A77" s="5">
        <v>44516</v>
      </c>
      <c r="B77">
        <v>20.6</v>
      </c>
      <c r="C77">
        <v>22.72</v>
      </c>
      <c r="D77">
        <v>18.178999999999998</v>
      </c>
      <c r="E77">
        <v>19.036000000000001</v>
      </c>
      <c r="F77">
        <v>3575602.6</v>
      </c>
      <c r="G77">
        <v>19.036000000000001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-0.6225500990971139</v>
      </c>
      <c r="Q77">
        <f t="shared" ref="Q77" si="361">F77*P77</f>
        <v>-2225991.7529618982</v>
      </c>
      <c r="R77">
        <f t="shared" ref="R77" si="362">R78+Q77</f>
        <v>-16955330.790768676</v>
      </c>
      <c r="S77">
        <f t="shared" ref="S77" si="363">R77/100000</f>
        <v>-169.55330790768676</v>
      </c>
      <c r="T77">
        <f t="shared" ref="T77" si="364">S77/1000</f>
        <v>-0.16955330790768675</v>
      </c>
    </row>
    <row r="78" spans="1:20" x14ac:dyDescent="0.25">
      <c r="A78" s="5">
        <v>44515</v>
      </c>
      <c r="B78">
        <v>16.611999999999998</v>
      </c>
      <c r="C78">
        <v>23.39</v>
      </c>
      <c r="D78">
        <v>16.32</v>
      </c>
      <c r="E78">
        <v>20.638000000000002</v>
      </c>
      <c r="F78">
        <v>6649032.0049999999</v>
      </c>
      <c r="G78">
        <v>20.638000000000002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0.22149929278642183</v>
      </c>
      <c r="Q78">
        <f t="shared" ref="Q78" si="366">F78*P78</f>
        <v>1472755.8868217843</v>
      </c>
      <c r="R78">
        <f t="shared" ref="R78" si="367">R79+Q78</f>
        <v>-14729339.037806777</v>
      </c>
      <c r="S78">
        <f t="shared" ref="S78" si="368">R78/100000</f>
        <v>-147.29339037806778</v>
      </c>
      <c r="T78">
        <f t="shared" ref="T78" si="369">S78/1000</f>
        <v>-0.1472933903780678</v>
      </c>
    </row>
    <row r="79" spans="1:20" x14ac:dyDescent="0.25">
      <c r="A79" s="5">
        <v>44514</v>
      </c>
      <c r="B79">
        <v>15.999000000000001</v>
      </c>
      <c r="C79">
        <v>16.920000000000002</v>
      </c>
      <c r="D79">
        <v>15.9</v>
      </c>
      <c r="E79">
        <v>16.629000000000001</v>
      </c>
      <c r="F79">
        <v>719822.7</v>
      </c>
      <c r="G79">
        <v>16.629000000000001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0.42941176470588238</v>
      </c>
      <c r="Q79">
        <f t="shared" ref="Q79" si="371">F79*P79</f>
        <v>309100.33588235296</v>
      </c>
      <c r="R79">
        <f t="shared" ref="R79" si="372">R80+Q79</f>
        <v>-16202094.924628561</v>
      </c>
      <c r="S79">
        <f t="shared" ref="S79" si="373">R79/100000</f>
        <v>-162.02094924628562</v>
      </c>
      <c r="T79">
        <f t="shared" ref="T79" si="374">S79/1000</f>
        <v>-0.16202094924628563</v>
      </c>
    </row>
    <row r="80" spans="1:20" x14ac:dyDescent="0.25">
      <c r="A80" s="5">
        <v>44513</v>
      </c>
      <c r="B80">
        <v>16.873000000000001</v>
      </c>
      <c r="C80">
        <v>17.989999999999998</v>
      </c>
      <c r="D80">
        <v>15.781000000000001</v>
      </c>
      <c r="E80">
        <v>15.986000000000001</v>
      </c>
      <c r="F80">
        <v>1007481.6</v>
      </c>
      <c r="G80">
        <v>15.986000000000001</v>
      </c>
      <c r="L80" t="s">
        <v>7</v>
      </c>
      <c r="M80" t="s">
        <v>7</v>
      </c>
      <c r="N80" t="s">
        <v>8</v>
      </c>
      <c r="P80">
        <f t="shared" ref="P80" si="375">IF(C80=D80,0,((E80-D80)-(C80-E80))/(C80-D80))</f>
        <v>-0.81439565414214554</v>
      </c>
      <c r="Q80">
        <f t="shared" ref="Q80" si="376">F80*P80</f>
        <v>-820488.63666817534</v>
      </c>
      <c r="R80">
        <f t="shared" ref="R80" si="377">R81+Q80</f>
        <v>-16511195.260510914</v>
      </c>
      <c r="S80">
        <f t="shared" ref="S80" si="378">R80/100000</f>
        <v>-165.11195260510914</v>
      </c>
      <c r="T80">
        <f t="shared" ref="T80" si="379">S80/1000</f>
        <v>-0.16511195260510914</v>
      </c>
    </row>
    <row r="81" spans="1:20" x14ac:dyDescent="0.25">
      <c r="A81" s="5">
        <v>44512</v>
      </c>
      <c r="B81">
        <v>19.55</v>
      </c>
      <c r="C81">
        <v>20.2</v>
      </c>
      <c r="D81">
        <v>15.702</v>
      </c>
      <c r="E81">
        <v>16.888000000000002</v>
      </c>
      <c r="F81">
        <v>2724874.4</v>
      </c>
      <c r="G81">
        <v>16.888000000000002</v>
      </c>
      <c r="L81" t="s">
        <v>8</v>
      </c>
      <c r="M81" t="s">
        <v>7</v>
      </c>
      <c r="N81" t="s">
        <v>8</v>
      </c>
      <c r="P81">
        <f t="shared" ref="P81" si="380">IF(C81=D81,0,((E81-D81)-(C81-E81))/(C81-D81))</f>
        <v>-0.47265451311694001</v>
      </c>
      <c r="Q81">
        <f t="shared" ref="Q81" si="381">F81*P81</f>
        <v>-1287924.1828368141</v>
      </c>
      <c r="R81">
        <f t="shared" ref="R81" si="382">R82+Q81</f>
        <v>-15690706.623842739</v>
      </c>
      <c r="S81">
        <f t="shared" ref="S81" si="383">R81/100000</f>
        <v>-156.90706623842738</v>
      </c>
      <c r="T81">
        <f t="shared" ref="T81" si="384">S81/1000</f>
        <v>-0.15690706623842737</v>
      </c>
    </row>
    <row r="82" spans="1:20" x14ac:dyDescent="0.25">
      <c r="A82" s="5">
        <v>44511</v>
      </c>
      <c r="B82">
        <v>14.154</v>
      </c>
      <c r="C82">
        <v>19.62</v>
      </c>
      <c r="D82">
        <v>13.9</v>
      </c>
      <c r="E82">
        <v>19.55</v>
      </c>
      <c r="F82">
        <v>4293304.5999999996</v>
      </c>
      <c r="G82">
        <v>19.55</v>
      </c>
      <c r="L82" t="s">
        <v>8</v>
      </c>
      <c r="M82" t="s">
        <v>8</v>
      </c>
      <c r="N82" t="s">
        <v>8</v>
      </c>
      <c r="P82">
        <f t="shared" ref="P82" si="385">IF(C82=D82,0,((E82-D82)-(C82-E82))/(C82-D82))</f>
        <v>0.97552447552447541</v>
      </c>
      <c r="Q82">
        <f t="shared" ref="Q82" si="386">F82*P82</f>
        <v>4188223.7181818173</v>
      </c>
      <c r="R82">
        <f t="shared" ref="R82" si="387">R83+Q82</f>
        <v>-14402782.441005925</v>
      </c>
      <c r="S82">
        <f t="shared" ref="S82" si="388">R82/100000</f>
        <v>-144.02782441005925</v>
      </c>
      <c r="T82">
        <f t="shared" ref="T82" si="389">S82/1000</f>
        <v>-0.14402782441005926</v>
      </c>
    </row>
    <row r="83" spans="1:20" x14ac:dyDescent="0.25">
      <c r="A83" s="5">
        <v>44510</v>
      </c>
      <c r="B83">
        <v>15.407999999999999</v>
      </c>
      <c r="C83">
        <v>15.94</v>
      </c>
      <c r="D83">
        <v>13.853</v>
      </c>
      <c r="E83">
        <v>14.148</v>
      </c>
      <c r="F83">
        <v>1012854.3</v>
      </c>
      <c r="G83">
        <v>14.148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-0.71729755630091041</v>
      </c>
      <c r="Q83">
        <f t="shared" ref="Q83" si="391">F83*P83</f>
        <v>-726517.91427886928</v>
      </c>
      <c r="R83">
        <f t="shared" ref="R83" si="392">R84+Q83</f>
        <v>-18591006.159187742</v>
      </c>
      <c r="S83">
        <f t="shared" ref="S83" si="393">R83/100000</f>
        <v>-185.91006159187742</v>
      </c>
      <c r="T83">
        <f t="shared" ref="T83" si="394">S83/1000</f>
        <v>-0.18591006159187742</v>
      </c>
    </row>
    <row r="84" spans="1:20" x14ac:dyDescent="0.25">
      <c r="A84" s="5">
        <v>44509</v>
      </c>
      <c r="B84">
        <v>16.658000000000001</v>
      </c>
      <c r="C84">
        <v>17.395</v>
      </c>
      <c r="D84">
        <v>15.349</v>
      </c>
      <c r="E84">
        <v>15.407999999999999</v>
      </c>
      <c r="F84">
        <v>2132306.7000000002</v>
      </c>
      <c r="G84">
        <v>15.407999999999999</v>
      </c>
      <c r="L84" t="s">
        <v>8</v>
      </c>
      <c r="M84" t="s">
        <v>8</v>
      </c>
      <c r="N84" t="s">
        <v>7</v>
      </c>
      <c r="P84">
        <f t="shared" ref="P84" si="395">IF(C84=D84,0,((E84-D84)-(C84-E84))/(C84-D84))</f>
        <v>-0.94232649071358821</v>
      </c>
      <c r="Q84">
        <f t="shared" ref="Q84" si="396">F84*P84</f>
        <v>-2009329.0897360721</v>
      </c>
      <c r="R84">
        <f t="shared" ref="R84" si="397">R85+Q84</f>
        <v>-17864488.244908873</v>
      </c>
      <c r="S84">
        <f t="shared" ref="S84" si="398">R84/100000</f>
        <v>-178.64488244908873</v>
      </c>
      <c r="T84">
        <f t="shared" ref="T84" si="399">S84/1000</f>
        <v>-0.17864488244908872</v>
      </c>
    </row>
    <row r="85" spans="1:20" x14ac:dyDescent="0.25">
      <c r="A85" s="5">
        <v>44508</v>
      </c>
      <c r="B85">
        <v>16.099</v>
      </c>
      <c r="C85">
        <v>20.99</v>
      </c>
      <c r="D85">
        <v>14.446999999999999</v>
      </c>
      <c r="E85">
        <v>16.669</v>
      </c>
      <c r="F85">
        <v>9180909.5</v>
      </c>
      <c r="G85">
        <v>16.669</v>
      </c>
      <c r="L85" t="s">
        <v>7</v>
      </c>
      <c r="M85" t="s">
        <v>7</v>
      </c>
      <c r="N85" t="s">
        <v>7</v>
      </c>
      <c r="P85">
        <f t="shared" ref="P85" si="400">IF(C85=D85,0,((E85-D85)-(C85-E85))/(C85-D85))</f>
        <v>-0.32080085587650875</v>
      </c>
      <c r="Q85">
        <f t="shared" ref="Q85" si="401">F85*P85</f>
        <v>-2945243.6253247699</v>
      </c>
      <c r="R85">
        <f t="shared" ref="R85" si="402">R86+Q85</f>
        <v>-15855159.155172803</v>
      </c>
      <c r="S85">
        <f t="shared" ref="S85" si="403">R85/100000</f>
        <v>-158.55159155172802</v>
      </c>
      <c r="T85">
        <f t="shared" ref="T85" si="404">S85/1000</f>
        <v>-0.15855159155172802</v>
      </c>
    </row>
    <row r="86" spans="1:20" x14ac:dyDescent="0.25">
      <c r="A86" s="5">
        <v>44507</v>
      </c>
      <c r="B86">
        <v>12.567</v>
      </c>
      <c r="C86">
        <v>21.9</v>
      </c>
      <c r="D86">
        <v>12.526999999999999</v>
      </c>
      <c r="E86">
        <v>16.081</v>
      </c>
      <c r="F86">
        <v>6799491.8370000003</v>
      </c>
      <c r="G86">
        <v>16.081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-0.24165155233116387</v>
      </c>
      <c r="Q86">
        <f t="shared" ref="Q86" si="406">F86*P86</f>
        <v>-1643107.757474127</v>
      </c>
      <c r="R86">
        <f t="shared" ref="R86" si="407">R87+Q86</f>
        <v>-12909915.529848032</v>
      </c>
      <c r="S86">
        <f t="shared" ref="S86" si="408">R86/100000</f>
        <v>-129.09915529848033</v>
      </c>
      <c r="T86">
        <f t="shared" ref="T86" si="409">S86/1000</f>
        <v>-0.12909915529848032</v>
      </c>
    </row>
    <row r="87" spans="1:20" x14ac:dyDescent="0.25">
      <c r="A87" s="5">
        <v>44506</v>
      </c>
      <c r="B87">
        <v>12.131</v>
      </c>
      <c r="C87">
        <v>13.2</v>
      </c>
      <c r="D87">
        <v>11.994</v>
      </c>
      <c r="E87">
        <v>12.56</v>
      </c>
      <c r="F87">
        <v>676701.5</v>
      </c>
      <c r="G87">
        <v>12.56</v>
      </c>
      <c r="L87" t="s">
        <v>8</v>
      </c>
      <c r="M87" t="s">
        <v>8</v>
      </c>
      <c r="N87" t="s">
        <v>7</v>
      </c>
      <c r="P87">
        <f t="shared" ref="P87" si="410">IF(C87=D87,0,((E87-D87)-(C87-E87))/(C87-D87))</f>
        <v>-6.1359867330015007E-2</v>
      </c>
      <c r="Q87">
        <f t="shared" ref="Q87" si="411">F87*P87</f>
        <v>-41522.314262022148</v>
      </c>
      <c r="R87">
        <f t="shared" ref="R87" si="412">R88+Q87</f>
        <v>-11266807.772373905</v>
      </c>
      <c r="S87">
        <f t="shared" ref="S87" si="413">R87/100000</f>
        <v>-112.66807772373906</v>
      </c>
      <c r="T87">
        <f t="shared" ref="T87" si="414">S87/1000</f>
        <v>-0.11266807772373906</v>
      </c>
    </row>
    <row r="88" spans="1:20" x14ac:dyDescent="0.25">
      <c r="A88" s="5">
        <v>44505</v>
      </c>
      <c r="B88">
        <v>11.77</v>
      </c>
      <c r="C88">
        <v>13</v>
      </c>
      <c r="D88">
        <v>11.634</v>
      </c>
      <c r="E88">
        <v>12.144</v>
      </c>
      <c r="F88">
        <v>588296.69999999995</v>
      </c>
      <c r="G88">
        <v>12.144</v>
      </c>
      <c r="L88" t="s">
        <v>8</v>
      </c>
      <c r="M88" t="s">
        <v>8</v>
      </c>
      <c r="N88" t="s">
        <v>7</v>
      </c>
      <c r="P88">
        <f t="shared" ref="P88" si="415">IF(C88=D88,0,((E88-D88)-(C88-E88))/(C88-D88))</f>
        <v>-0.25329428989751113</v>
      </c>
      <c r="Q88">
        <f t="shared" ref="Q88" si="416">F88*P88</f>
        <v>-149012.19487554912</v>
      </c>
      <c r="R88">
        <f t="shared" ref="R88" si="417">R89+Q88</f>
        <v>-11225285.458111884</v>
      </c>
      <c r="S88">
        <f t="shared" ref="S88" si="418">R88/100000</f>
        <v>-112.25285458111884</v>
      </c>
      <c r="T88">
        <f t="shared" ref="T88" si="419">S88/1000</f>
        <v>-0.11225285458111883</v>
      </c>
    </row>
    <row r="89" spans="1:20" x14ac:dyDescent="0.25">
      <c r="A89" s="5">
        <v>44504</v>
      </c>
      <c r="B89">
        <v>12.093999999999999</v>
      </c>
      <c r="C89">
        <v>12.302</v>
      </c>
      <c r="D89">
        <v>11.347</v>
      </c>
      <c r="E89">
        <v>11.757</v>
      </c>
      <c r="F89">
        <v>280827.3</v>
      </c>
      <c r="G89">
        <v>11.757</v>
      </c>
      <c r="L89" t="s">
        <v>7</v>
      </c>
      <c r="M89" t="s">
        <v>8</v>
      </c>
      <c r="N89" t="s">
        <v>7</v>
      </c>
      <c r="P89">
        <f t="shared" ref="P89" si="420">IF(C89=D89,0,((E89-D89)-(C89-E89))/(C89-D89))</f>
        <v>-0.14136125654450238</v>
      </c>
      <c r="Q89">
        <f t="shared" ref="Q89" si="421">F89*P89</f>
        <v>-39698.099999999933</v>
      </c>
      <c r="R89">
        <f t="shared" ref="R89" si="422">R90+Q89</f>
        <v>-11076273.263236335</v>
      </c>
      <c r="S89">
        <f t="shared" ref="S89" si="423">R89/100000</f>
        <v>-110.76273263236335</v>
      </c>
      <c r="T89">
        <f t="shared" ref="T89" si="424">S89/1000</f>
        <v>-0.11076273263236336</v>
      </c>
    </row>
    <row r="90" spans="1:20" x14ac:dyDescent="0.25">
      <c r="A90" s="5">
        <v>44503</v>
      </c>
      <c r="B90">
        <v>12.48</v>
      </c>
      <c r="C90">
        <v>12.576000000000001</v>
      </c>
      <c r="D90">
        <v>11.71</v>
      </c>
      <c r="E90">
        <v>12.087999999999999</v>
      </c>
      <c r="F90">
        <v>318268.2</v>
      </c>
      <c r="G90">
        <v>12.087999999999999</v>
      </c>
      <c r="L90" t="s">
        <v>7</v>
      </c>
      <c r="M90" t="s">
        <v>8</v>
      </c>
      <c r="N90" t="s">
        <v>7</v>
      </c>
      <c r="P90">
        <f t="shared" ref="P90" si="425">IF(C90=D90,0,((E90-D90)-(C90-E90))/(C90-D90))</f>
        <v>-0.12702078521940302</v>
      </c>
      <c r="Q90">
        <f t="shared" ref="Q90" si="426">F90*P90</f>
        <v>-40426.676674366005</v>
      </c>
      <c r="R90">
        <f t="shared" ref="R90" si="427">R91+Q90</f>
        <v>-11036575.163236335</v>
      </c>
      <c r="S90">
        <f t="shared" ref="S90" si="428">R90/100000</f>
        <v>-110.36575163236336</v>
      </c>
      <c r="T90">
        <f t="shared" ref="T90" si="429">S90/1000</f>
        <v>-0.11036575163236335</v>
      </c>
    </row>
    <row r="91" spans="1:20" x14ac:dyDescent="0.25">
      <c r="A91" s="5">
        <v>44502</v>
      </c>
      <c r="B91">
        <v>12.316000000000001</v>
      </c>
      <c r="C91">
        <v>12.657</v>
      </c>
      <c r="D91">
        <v>11.805</v>
      </c>
      <c r="E91">
        <v>12.489000000000001</v>
      </c>
      <c r="F91">
        <v>456440.7</v>
      </c>
      <c r="G91">
        <v>12.489000000000001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0.60563380281690327</v>
      </c>
      <c r="Q91">
        <f t="shared" ref="Q91" si="431">F91*P91</f>
        <v>276435.91690140928</v>
      </c>
      <c r="R91">
        <f t="shared" ref="R91" si="432">R92+Q91</f>
        <v>-10996148.486561969</v>
      </c>
      <c r="S91">
        <f t="shared" ref="S91" si="433">R91/100000</f>
        <v>-109.9614848656197</v>
      </c>
      <c r="T91">
        <f t="shared" ref="T91" si="434">S91/1000</f>
        <v>-0.1099614848656197</v>
      </c>
    </row>
    <row r="92" spans="1:20" x14ac:dyDescent="0.25">
      <c r="A92" s="5">
        <v>44501</v>
      </c>
      <c r="B92">
        <v>11.363</v>
      </c>
      <c r="C92">
        <v>12.38</v>
      </c>
      <c r="D92">
        <v>11</v>
      </c>
      <c r="E92">
        <v>12.324</v>
      </c>
      <c r="F92">
        <v>455588.9</v>
      </c>
      <c r="G92">
        <v>12.324</v>
      </c>
      <c r="L92" t="s">
        <v>8</v>
      </c>
      <c r="M92" t="s">
        <v>7</v>
      </c>
      <c r="N92" t="s">
        <v>7</v>
      </c>
      <c r="P92">
        <f t="shared" ref="P92" si="435">IF(C92=D92,0,((E92-D92)-(C92-E92))/(C92-D92))</f>
        <v>0.91884057971014366</v>
      </c>
      <c r="Q92">
        <f t="shared" ref="Q92" si="436">F92*P92</f>
        <v>418613.56898550672</v>
      </c>
      <c r="R92">
        <f t="shared" ref="R92" si="437">R93+Q92</f>
        <v>-11272584.403463379</v>
      </c>
      <c r="S92">
        <f t="shared" ref="S92" si="438">R92/100000</f>
        <v>-112.72584403463378</v>
      </c>
      <c r="T92">
        <f t="shared" ref="T92" si="439">S92/1000</f>
        <v>-0.11272584403463379</v>
      </c>
    </row>
    <row r="93" spans="1:20" x14ac:dyDescent="0.25">
      <c r="A93" s="5">
        <v>44500</v>
      </c>
      <c r="B93">
        <v>11.319000000000001</v>
      </c>
      <c r="C93">
        <v>11.71</v>
      </c>
      <c r="D93">
        <v>11.05</v>
      </c>
      <c r="E93">
        <v>11.363</v>
      </c>
      <c r="F93">
        <v>402694.9</v>
      </c>
      <c r="G93">
        <v>11.363</v>
      </c>
      <c r="L93" t="s">
        <v>8</v>
      </c>
      <c r="M93" t="s">
        <v>7</v>
      </c>
      <c r="N93" t="s">
        <v>7</v>
      </c>
      <c r="P93">
        <f t="shared" ref="P93" si="440">IF(C93=D93,0,((E93-D93)-(C93-E93))/(C93-D93))</f>
        <v>-5.1515151515155254E-2</v>
      </c>
      <c r="Q93">
        <f t="shared" ref="Q93" si="441">F93*P93</f>
        <v>-20744.888787880296</v>
      </c>
      <c r="R93">
        <f t="shared" ref="R93" si="442">R94+Q93</f>
        <v>-11691197.972448885</v>
      </c>
      <c r="S93">
        <f t="shared" ref="S93" si="443">R93/100000</f>
        <v>-116.91197972448886</v>
      </c>
      <c r="T93">
        <f t="shared" ref="T93" si="444">S93/1000</f>
        <v>-0.11691197972448886</v>
      </c>
    </row>
    <row r="94" spans="1:20" x14ac:dyDescent="0.25">
      <c r="A94" s="5">
        <v>44499</v>
      </c>
      <c r="B94">
        <v>11.423999999999999</v>
      </c>
      <c r="C94">
        <v>11.739000000000001</v>
      </c>
      <c r="D94">
        <v>10.718</v>
      </c>
      <c r="E94">
        <v>11.295999999999999</v>
      </c>
      <c r="F94">
        <v>462539.5</v>
      </c>
      <c r="G94">
        <v>11.295999999999999</v>
      </c>
      <c r="L94" t="s">
        <v>7</v>
      </c>
      <c r="M94" t="s">
        <v>7</v>
      </c>
      <c r="N94" t="s">
        <v>7</v>
      </c>
      <c r="P94">
        <f t="shared" ref="P94" si="445">IF(C94=D94,0,((E94-D94)-(C94-E94))/(C94-D94))</f>
        <v>0.13222331047991959</v>
      </c>
      <c r="Q94">
        <f t="shared" ref="Q94" si="446">F94*P94</f>
        <v>61158.503917726768</v>
      </c>
      <c r="R94">
        <f t="shared" ref="R94" si="447">R95+Q94</f>
        <v>-11670453.083661005</v>
      </c>
      <c r="S94">
        <f t="shared" ref="S94" si="448">R94/100000</f>
        <v>-116.70453083661005</v>
      </c>
      <c r="T94">
        <f t="shared" ref="T94" si="449">S94/1000</f>
        <v>-0.11670453083661005</v>
      </c>
    </row>
    <row r="95" spans="1:20" x14ac:dyDescent="0.25">
      <c r="A95" s="5">
        <v>44498</v>
      </c>
      <c r="B95">
        <v>11.307</v>
      </c>
      <c r="C95">
        <v>11.791</v>
      </c>
      <c r="D95">
        <v>11.19</v>
      </c>
      <c r="E95">
        <v>11.401999999999999</v>
      </c>
      <c r="F95">
        <v>250063.8</v>
      </c>
      <c r="G95">
        <v>11.401999999999999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-0.29450915141431133</v>
      </c>
      <c r="Q95">
        <f t="shared" ref="Q95" si="451">F95*P95</f>
        <v>-73646.077537438061</v>
      </c>
      <c r="R95">
        <f t="shared" ref="R95" si="452">R96+Q95</f>
        <v>-11731611.587578733</v>
      </c>
      <c r="S95">
        <f t="shared" ref="S95" si="453">R95/100000</f>
        <v>-117.31611587578732</v>
      </c>
      <c r="T95">
        <f t="shared" ref="T95" si="454">S95/1000</f>
        <v>-0.11731611587578732</v>
      </c>
    </row>
    <row r="96" spans="1:20" x14ac:dyDescent="0.25">
      <c r="A96" s="5">
        <v>44497</v>
      </c>
      <c r="B96">
        <v>11.077</v>
      </c>
      <c r="C96">
        <v>11.769</v>
      </c>
      <c r="D96">
        <v>10.7</v>
      </c>
      <c r="E96">
        <v>11.316000000000001</v>
      </c>
      <c r="F96">
        <v>376581.3</v>
      </c>
      <c r="G96">
        <v>11.316000000000001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0.15247895229186334</v>
      </c>
      <c r="Q96">
        <f t="shared" ref="Q96" si="456">F96*P96</f>
        <v>57420.722076707876</v>
      </c>
      <c r="R96">
        <f t="shared" ref="R96" si="457">R97+Q96</f>
        <v>-11657965.510041295</v>
      </c>
      <c r="S96">
        <f t="shared" ref="S96" si="458">R96/100000</f>
        <v>-116.57965510041295</v>
      </c>
      <c r="T96">
        <f t="shared" ref="T96" si="459">S96/1000</f>
        <v>-0.11657965510041295</v>
      </c>
    </row>
    <row r="97" spans="1:20" x14ac:dyDescent="0.25">
      <c r="A97" s="5">
        <v>44496</v>
      </c>
      <c r="B97">
        <v>11.699</v>
      </c>
      <c r="C97">
        <v>12.037000000000001</v>
      </c>
      <c r="D97">
        <v>10.619</v>
      </c>
      <c r="E97">
        <v>11.087999999999999</v>
      </c>
      <c r="F97">
        <v>529901.1</v>
      </c>
      <c r="G97">
        <v>11.087999999999999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-0.33850493653032571</v>
      </c>
      <c r="Q97">
        <f t="shared" ref="Q97" si="461">F97*P97</f>
        <v>-179374.13822284975</v>
      </c>
      <c r="R97">
        <f t="shared" ref="R97" si="462">R98+Q97</f>
        <v>-11715386.232118003</v>
      </c>
      <c r="S97">
        <f t="shared" ref="S97" si="463">R97/100000</f>
        <v>-117.15386232118003</v>
      </c>
      <c r="T97">
        <f t="shared" ref="T97" si="464">S97/1000</f>
        <v>-0.11715386232118002</v>
      </c>
    </row>
    <row r="98" spans="1:20" x14ac:dyDescent="0.25">
      <c r="A98" s="5">
        <v>44495</v>
      </c>
      <c r="B98">
        <v>11.815</v>
      </c>
      <c r="C98">
        <v>12.353999999999999</v>
      </c>
      <c r="D98">
        <v>11.675000000000001</v>
      </c>
      <c r="E98">
        <v>11.712999999999999</v>
      </c>
      <c r="F98">
        <v>317201.5</v>
      </c>
      <c r="G98">
        <v>11.712999999999999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-0.88807069219440782</v>
      </c>
      <c r="Q98">
        <f t="shared" ref="Q98" si="466">F98*P98</f>
        <v>-281697.35567010444</v>
      </c>
      <c r="R98">
        <f t="shared" ref="R98" si="467">R99+Q98</f>
        <v>-11536012.093895154</v>
      </c>
      <c r="S98">
        <f t="shared" ref="S98" si="468">R98/100000</f>
        <v>-115.36012093895154</v>
      </c>
      <c r="T98">
        <f t="shared" ref="T98" si="469">S98/1000</f>
        <v>-0.11536012093895154</v>
      </c>
    </row>
    <row r="99" spans="1:20" x14ac:dyDescent="0.25">
      <c r="A99" s="5">
        <v>44494</v>
      </c>
      <c r="B99">
        <v>11.446999999999999</v>
      </c>
      <c r="C99">
        <v>12.042</v>
      </c>
      <c r="D99">
        <v>11.409000000000001</v>
      </c>
      <c r="E99">
        <v>11.803000000000001</v>
      </c>
      <c r="F99">
        <v>352562.5</v>
      </c>
      <c r="G99">
        <v>11.803000000000001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0.24486571879937022</v>
      </c>
      <c r="Q99">
        <f t="shared" ref="Q99" si="471">F99*P99</f>
        <v>86330.469984202966</v>
      </c>
      <c r="R99">
        <f t="shared" ref="R99" si="472">R100+Q99</f>
        <v>-11254314.73822505</v>
      </c>
      <c r="S99">
        <f t="shared" ref="S99" si="473">R99/100000</f>
        <v>-112.54314738225051</v>
      </c>
      <c r="T99">
        <f t="shared" ref="T99" si="474">S99/1000</f>
        <v>-0.11254314738225051</v>
      </c>
    </row>
    <row r="100" spans="1:20" x14ac:dyDescent="0.25">
      <c r="A100" s="5">
        <v>44493</v>
      </c>
      <c r="B100">
        <v>12.018000000000001</v>
      </c>
      <c r="C100">
        <v>12.321999999999999</v>
      </c>
      <c r="D100">
        <v>11.218999999999999</v>
      </c>
      <c r="E100">
        <v>11.445</v>
      </c>
      <c r="F100">
        <v>309359.2</v>
      </c>
      <c r="G100">
        <v>11.445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-0.59020852221214704</v>
      </c>
      <c r="Q100">
        <f t="shared" ref="Q100" si="476">F100*P100</f>
        <v>-182586.43626473204</v>
      </c>
      <c r="R100">
        <f t="shared" ref="R100" si="477">R101+Q100</f>
        <v>-11340645.208209254</v>
      </c>
      <c r="S100">
        <f t="shared" ref="S100" si="478">R100/100000</f>
        <v>-113.40645208209254</v>
      </c>
      <c r="T100">
        <f t="shared" ref="T100" si="479">S100/1000</f>
        <v>-0.11340645208209255</v>
      </c>
    </row>
    <row r="101" spans="1:20" x14ac:dyDescent="0.25">
      <c r="A101" s="5">
        <v>44492</v>
      </c>
      <c r="B101">
        <v>12.156000000000001</v>
      </c>
      <c r="C101">
        <v>12.177</v>
      </c>
      <c r="D101">
        <v>11.71</v>
      </c>
      <c r="E101">
        <v>12.015000000000001</v>
      </c>
      <c r="F101">
        <v>211758.4</v>
      </c>
      <c r="G101">
        <v>12.015000000000001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0.30620985010706864</v>
      </c>
      <c r="Q101">
        <f t="shared" ref="Q101" si="481">F101*P101</f>
        <v>64842.507922912679</v>
      </c>
      <c r="R101">
        <f t="shared" ref="R101" si="482">R102+Q101</f>
        <v>-11158058.771944521</v>
      </c>
      <c r="S101">
        <f t="shared" ref="S101" si="483">R101/100000</f>
        <v>-111.58058771944521</v>
      </c>
      <c r="T101">
        <f t="shared" ref="T101" si="484">S101/1000</f>
        <v>-0.11158058771944521</v>
      </c>
    </row>
    <row r="102" spans="1:20" x14ac:dyDescent="0.25">
      <c r="A102" s="5">
        <v>44491</v>
      </c>
      <c r="B102">
        <v>12.023</v>
      </c>
      <c r="C102">
        <v>12.666</v>
      </c>
      <c r="D102">
        <v>11.8</v>
      </c>
      <c r="E102">
        <v>12.157999999999999</v>
      </c>
      <c r="F102">
        <v>339389.7</v>
      </c>
      <c r="G102">
        <v>12.157999999999999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-0.17321016166282008</v>
      </c>
      <c r="Q102">
        <f t="shared" ref="Q102" si="486">F102*P102</f>
        <v>-58785.744803696012</v>
      </c>
      <c r="R102">
        <f t="shared" ref="R102" si="487">R103+Q102</f>
        <v>-11222901.279867433</v>
      </c>
      <c r="S102">
        <f t="shared" ref="S102" si="488">R102/100000</f>
        <v>-112.22901279867433</v>
      </c>
      <c r="T102">
        <f t="shared" ref="T102" si="489">S102/1000</f>
        <v>-0.11222901279867434</v>
      </c>
    </row>
    <row r="103" spans="1:20" x14ac:dyDescent="0.25">
      <c r="A103" s="5">
        <v>44490</v>
      </c>
      <c r="B103">
        <v>12.875</v>
      </c>
      <c r="C103">
        <v>13.099</v>
      </c>
      <c r="D103">
        <v>12.019</v>
      </c>
      <c r="E103">
        <v>12.028</v>
      </c>
      <c r="F103">
        <v>671047.69999999995</v>
      </c>
      <c r="G103">
        <v>12.028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-0.98333333333333273</v>
      </c>
      <c r="Q103">
        <f t="shared" ref="Q103" si="491">F103*P103</f>
        <v>-659863.57166666619</v>
      </c>
      <c r="R103">
        <f t="shared" ref="R103" si="492">R104+Q103</f>
        <v>-11164115.535063736</v>
      </c>
      <c r="S103">
        <f t="shared" ref="S103" si="493">R103/100000</f>
        <v>-111.64115535063736</v>
      </c>
      <c r="T103">
        <f t="shared" ref="T103" si="494">S103/1000</f>
        <v>-0.11164115535063736</v>
      </c>
    </row>
    <row r="104" spans="1:20" x14ac:dyDescent="0.25">
      <c r="A104" s="5">
        <v>44489</v>
      </c>
      <c r="B104">
        <v>13.972</v>
      </c>
      <c r="C104">
        <v>14.698</v>
      </c>
      <c r="D104">
        <v>12.457000000000001</v>
      </c>
      <c r="E104">
        <v>12.866</v>
      </c>
      <c r="F104">
        <v>3006081.6</v>
      </c>
      <c r="G104">
        <v>12.866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-0.63498438197233464</v>
      </c>
      <c r="Q104">
        <f t="shared" ref="Q104" si="496">F104*P104</f>
        <v>-1908814.866934407</v>
      </c>
      <c r="R104">
        <f t="shared" ref="R104" si="497">R105+Q104</f>
        <v>-10504251.963397071</v>
      </c>
      <c r="S104">
        <f t="shared" ref="S104" si="498">R104/100000</f>
        <v>-105.04251963397071</v>
      </c>
      <c r="T104">
        <f t="shared" ref="T104" si="499">S104/1000</f>
        <v>-0.10504251963397071</v>
      </c>
    </row>
    <row r="105" spans="1:20" x14ac:dyDescent="0.25">
      <c r="A105" s="5">
        <v>44488</v>
      </c>
      <c r="B105">
        <v>10.788</v>
      </c>
      <c r="C105">
        <v>14.3</v>
      </c>
      <c r="D105">
        <v>10.667999999999999</v>
      </c>
      <c r="E105">
        <v>13.971</v>
      </c>
      <c r="F105">
        <v>5205450.8</v>
      </c>
      <c r="G105">
        <v>13.971</v>
      </c>
      <c r="L105" t="s">
        <v>8</v>
      </c>
      <c r="M105" t="s">
        <v>8</v>
      </c>
      <c r="N105" t="s">
        <v>8</v>
      </c>
      <c r="P105">
        <f t="shared" ref="P105" si="500">IF(C105=D105,0,((E105-D105)-(C105-E105))/(C105-D105))</f>
        <v>0.81883259911894246</v>
      </c>
      <c r="Q105">
        <f t="shared" ref="Q105" si="501">F105*P105</f>
        <v>4262392.8081497783</v>
      </c>
      <c r="R105">
        <f t="shared" ref="R105" si="502">R106+Q105</f>
        <v>-8595437.0964626633</v>
      </c>
      <c r="S105">
        <f t="shared" ref="S105" si="503">R105/100000</f>
        <v>-85.954370964626634</v>
      </c>
      <c r="T105">
        <f t="shared" ref="T105" si="504">S105/1000</f>
        <v>-8.5954370964626631E-2</v>
      </c>
    </row>
    <row r="106" spans="1:20" x14ac:dyDescent="0.25">
      <c r="A106" s="5">
        <v>44487</v>
      </c>
      <c r="B106">
        <v>10.558999999999999</v>
      </c>
      <c r="C106">
        <v>11.000999999999999</v>
      </c>
      <c r="D106">
        <v>10.218</v>
      </c>
      <c r="E106">
        <v>10.798999999999999</v>
      </c>
      <c r="F106">
        <v>151989.29999999999</v>
      </c>
      <c r="G106">
        <v>10.798999999999999</v>
      </c>
      <c r="L106" t="s">
        <v>8</v>
      </c>
      <c r="M106" t="s">
        <v>8</v>
      </c>
      <c r="N106" t="s">
        <v>8</v>
      </c>
      <c r="P106">
        <f t="shared" ref="P106" si="505">IF(C106=D106,0,((E106-D106)-(C106-E106))/(C106-D106))</f>
        <v>0.4840357598978286</v>
      </c>
      <c r="Q106">
        <f t="shared" ref="Q106" si="506">F106*P106</f>
        <v>73568.256321839028</v>
      </c>
      <c r="R106">
        <f t="shared" ref="R106" si="507">R107+Q106</f>
        <v>-12857829.904612442</v>
      </c>
      <c r="S106">
        <f t="shared" ref="S106" si="508">R106/100000</f>
        <v>-128.57829904612441</v>
      </c>
      <c r="T106">
        <f t="shared" ref="T106" si="509">S106/1000</f>
        <v>-0.12857829904612442</v>
      </c>
    </row>
    <row r="107" spans="1:20" x14ac:dyDescent="0.25">
      <c r="A107" s="5">
        <v>44486</v>
      </c>
      <c r="B107">
        <v>11.012</v>
      </c>
      <c r="C107">
        <v>11.145</v>
      </c>
      <c r="D107">
        <v>10.050000000000001</v>
      </c>
      <c r="E107">
        <v>10.558999999999999</v>
      </c>
      <c r="F107">
        <v>261284.5</v>
      </c>
      <c r="G107">
        <v>10.558999999999999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-7.0319634703198006E-2</v>
      </c>
      <c r="Q107">
        <f t="shared" ref="Q107" si="511">F107*P107</f>
        <v>-18373.43059360774</v>
      </c>
      <c r="R107">
        <f t="shared" ref="R107" si="512">R108+Q107</f>
        <v>-12931398.160934281</v>
      </c>
      <c r="S107">
        <f t="shared" ref="S107" si="513">R107/100000</f>
        <v>-129.31398160934282</v>
      </c>
      <c r="T107">
        <f t="shared" ref="T107" si="514">S107/1000</f>
        <v>-0.12931398160934282</v>
      </c>
    </row>
    <row r="108" spans="1:20" x14ac:dyDescent="0.25">
      <c r="A108" s="5">
        <v>44485</v>
      </c>
      <c r="B108">
        <v>10.962999999999999</v>
      </c>
      <c r="C108">
        <v>11.565</v>
      </c>
      <c r="D108">
        <v>10.948</v>
      </c>
      <c r="E108">
        <v>11.005000000000001</v>
      </c>
      <c r="F108">
        <v>531776.4</v>
      </c>
      <c r="G108">
        <v>11.005000000000001</v>
      </c>
      <c r="L108" t="s">
        <v>7</v>
      </c>
      <c r="M108" t="s">
        <v>8</v>
      </c>
      <c r="N108" t="s">
        <v>8</v>
      </c>
      <c r="P108">
        <f t="shared" ref="P108" si="515">IF(C108=D108,0,((E108-D108)-(C108-E108))/(C108-D108))</f>
        <v>-0.81523500810372618</v>
      </c>
      <c r="Q108">
        <f t="shared" ref="Q108" si="516">F108*P108</f>
        <v>-433522.73776337033</v>
      </c>
      <c r="R108">
        <f t="shared" ref="R108" si="517">R109+Q108</f>
        <v>-12913024.730340673</v>
      </c>
      <c r="S108">
        <f t="shared" ref="S108" si="518">R108/100000</f>
        <v>-129.13024730340672</v>
      </c>
      <c r="T108">
        <f t="shared" ref="T108" si="519">S108/1000</f>
        <v>-0.12913024730340672</v>
      </c>
    </row>
    <row r="109" spans="1:20" x14ac:dyDescent="0.25">
      <c r="A109" s="5">
        <v>44484</v>
      </c>
      <c r="B109">
        <v>10.234999999999999</v>
      </c>
      <c r="C109">
        <v>11.9</v>
      </c>
      <c r="D109">
        <v>9.9939999999999998</v>
      </c>
      <c r="E109">
        <v>10.97</v>
      </c>
      <c r="F109">
        <v>1172353.7</v>
      </c>
      <c r="G109">
        <v>10.97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2.413431269674771E-2</v>
      </c>
      <c r="Q109">
        <f t="shared" ref="Q109" si="521">F109*P109</f>
        <v>28293.950786989153</v>
      </c>
      <c r="R109">
        <f t="shared" ref="R109" si="522">R110+Q109</f>
        <v>-12479501.992577303</v>
      </c>
      <c r="S109">
        <f t="shared" ref="S109" si="523">R109/100000</f>
        <v>-124.79501992577303</v>
      </c>
      <c r="T109">
        <f t="shared" ref="T109" si="524">S109/1000</f>
        <v>-0.12479501992577303</v>
      </c>
    </row>
    <row r="110" spans="1:20" x14ac:dyDescent="0.25">
      <c r="A110" s="5">
        <v>44483</v>
      </c>
      <c r="B110">
        <v>9.9879999999999995</v>
      </c>
      <c r="C110">
        <v>10.36</v>
      </c>
      <c r="D110">
        <v>9.8919999999999995</v>
      </c>
      <c r="E110">
        <v>10.234</v>
      </c>
      <c r="F110">
        <v>505693.8</v>
      </c>
      <c r="G110">
        <v>10.234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0.4615384615384639</v>
      </c>
      <c r="Q110">
        <f t="shared" ref="Q110" si="526">F110*P110</f>
        <v>233397.13846153964</v>
      </c>
      <c r="R110">
        <f t="shared" ref="R110" si="527">R111+Q110</f>
        <v>-12507795.943364292</v>
      </c>
      <c r="S110">
        <f t="shared" ref="S110" si="528">R110/100000</f>
        <v>-125.07795943364292</v>
      </c>
      <c r="T110">
        <f t="shared" ref="T110" si="529">S110/1000</f>
        <v>-0.12507795943364292</v>
      </c>
    </row>
    <row r="111" spans="1:20" x14ac:dyDescent="0.25">
      <c r="A111" s="5">
        <v>44482</v>
      </c>
      <c r="B111">
        <v>9.7129999999999992</v>
      </c>
      <c r="C111">
        <v>10.063000000000001</v>
      </c>
      <c r="D111">
        <v>9.4909999999999997</v>
      </c>
      <c r="E111">
        <v>9.9749999999999996</v>
      </c>
      <c r="F111">
        <v>212362.7</v>
      </c>
      <c r="G111">
        <v>9.9749999999999996</v>
      </c>
      <c r="L111" t="s">
        <v>7</v>
      </c>
      <c r="M111" t="s">
        <v>7</v>
      </c>
      <c r="N111" t="s">
        <v>8</v>
      </c>
      <c r="P111">
        <f t="shared" ref="P111" si="530">IF(C111=D111,0,((E111-D111)-(C111-E111))/(C111-D111))</f>
        <v>0.6923076923076894</v>
      </c>
      <c r="Q111">
        <f t="shared" ref="Q111" si="531">F111*P111</f>
        <v>147020.33076923018</v>
      </c>
      <c r="R111">
        <f t="shared" ref="R111" si="532">R112+Q111</f>
        <v>-12741193.081825832</v>
      </c>
      <c r="S111">
        <f t="shared" ref="S111" si="533">R111/100000</f>
        <v>-127.41193081825831</v>
      </c>
      <c r="T111">
        <f t="shared" ref="T111" si="534">S111/1000</f>
        <v>-0.1274119308182583</v>
      </c>
    </row>
    <row r="112" spans="1:20" x14ac:dyDescent="0.25">
      <c r="A112" s="5">
        <v>44481</v>
      </c>
      <c r="B112">
        <v>9.9589999999999996</v>
      </c>
      <c r="C112">
        <v>10</v>
      </c>
      <c r="D112">
        <v>9.4870000000000001</v>
      </c>
      <c r="E112">
        <v>9.7260000000000009</v>
      </c>
      <c r="F112">
        <v>216863.5</v>
      </c>
      <c r="G112">
        <v>9.7260000000000009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-6.8226120857696637E-2</v>
      </c>
      <c r="Q112">
        <f t="shared" ref="Q112" si="536">F112*P112</f>
        <v>-14795.755360623094</v>
      </c>
      <c r="R112">
        <f t="shared" ref="R112" si="537">R113+Q112</f>
        <v>-12888213.412595062</v>
      </c>
      <c r="S112">
        <f t="shared" ref="S112" si="538">R112/100000</f>
        <v>-128.88213412595061</v>
      </c>
      <c r="T112">
        <f t="shared" ref="T112" si="539">S112/1000</f>
        <v>-0.12888213412595062</v>
      </c>
    </row>
    <row r="113" spans="1:20" x14ac:dyDescent="0.25">
      <c r="A113" s="5">
        <v>44480</v>
      </c>
      <c r="B113">
        <v>10.212</v>
      </c>
      <c r="C113">
        <v>10.648</v>
      </c>
      <c r="D113">
        <v>9.8109999999999999</v>
      </c>
      <c r="E113">
        <v>9.9589999999999996</v>
      </c>
      <c r="F113">
        <v>263937</v>
      </c>
      <c r="G113">
        <v>9.9589999999999996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-0.64635603345280823</v>
      </c>
      <c r="Q113">
        <f t="shared" ref="Q113" si="541">F113*P113</f>
        <v>-170597.27240143385</v>
      </c>
      <c r="R113">
        <f t="shared" ref="R113" si="542">R114+Q113</f>
        <v>-12873417.657234438</v>
      </c>
      <c r="S113">
        <f t="shared" ref="S113" si="543">R113/100000</f>
        <v>-128.73417657234438</v>
      </c>
      <c r="T113">
        <f t="shared" ref="T113" si="544">S113/1000</f>
        <v>-0.12873417657234437</v>
      </c>
    </row>
    <row r="114" spans="1:20" x14ac:dyDescent="0.25">
      <c r="A114" s="5">
        <v>44479</v>
      </c>
      <c r="B114">
        <v>11.321999999999999</v>
      </c>
      <c r="C114">
        <v>11.959</v>
      </c>
      <c r="D114">
        <v>10.19</v>
      </c>
      <c r="E114">
        <v>10.223000000000001</v>
      </c>
      <c r="F114">
        <v>774943.4</v>
      </c>
      <c r="G114">
        <v>10.223000000000001</v>
      </c>
      <c r="L114" t="s">
        <v>8</v>
      </c>
      <c r="M114" t="s">
        <v>8</v>
      </c>
      <c r="N114" t="s">
        <v>8</v>
      </c>
      <c r="P114">
        <f t="shared" ref="P114" si="545">IF(C114=D114,0,((E114-D114)-(C114-E114))/(C114-D114))</f>
        <v>-0.96269078575466227</v>
      </c>
      <c r="Q114">
        <f t="shared" ref="Q114" si="546">F114*P114</f>
        <v>-746030.87066138955</v>
      </c>
      <c r="R114">
        <f t="shared" ref="R114" si="547">R115+Q114</f>
        <v>-12702820.384833004</v>
      </c>
      <c r="S114">
        <f t="shared" ref="S114" si="548">R114/100000</f>
        <v>-127.02820384833004</v>
      </c>
      <c r="T114">
        <f t="shared" ref="T114" si="549">S114/1000</f>
        <v>-0.12702820384833002</v>
      </c>
    </row>
    <row r="115" spans="1:20" x14ac:dyDescent="0.25">
      <c r="A115" s="5">
        <v>44478</v>
      </c>
      <c r="B115">
        <v>9.7929999999999993</v>
      </c>
      <c r="C115">
        <v>11.798999999999999</v>
      </c>
      <c r="D115">
        <v>9.7420000000000009</v>
      </c>
      <c r="E115">
        <v>11.319000000000001</v>
      </c>
      <c r="F115">
        <v>1762927.2</v>
      </c>
      <c r="G115">
        <v>11.319000000000001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0.53330092367525628</v>
      </c>
      <c r="Q115">
        <f t="shared" ref="Q115" si="551">F115*P115</f>
        <v>940170.70413223328</v>
      </c>
      <c r="R115">
        <f t="shared" ref="R115" si="552">R116+Q115</f>
        <v>-11956789.514171615</v>
      </c>
      <c r="S115">
        <f t="shared" ref="S115" si="553">R115/100000</f>
        <v>-119.56789514171615</v>
      </c>
      <c r="T115">
        <f t="shared" ref="T115" si="554">S115/1000</f>
        <v>-0.11956789514171615</v>
      </c>
    </row>
    <row r="116" spans="1:20" x14ac:dyDescent="0.25">
      <c r="A116" s="5">
        <v>44477</v>
      </c>
      <c r="B116">
        <v>9.9130000000000003</v>
      </c>
      <c r="C116">
        <v>10.23</v>
      </c>
      <c r="D116">
        <v>9.7080000000000002</v>
      </c>
      <c r="E116">
        <v>9.7690000000000001</v>
      </c>
      <c r="F116">
        <v>335026.7</v>
      </c>
      <c r="G116">
        <v>9.7690000000000001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-0.76628352490421492</v>
      </c>
      <c r="Q116">
        <f t="shared" ref="Q116" si="556">F116*P116</f>
        <v>-256725.44061302696</v>
      </c>
      <c r="R116">
        <f t="shared" ref="R116" si="557">R117+Q116</f>
        <v>-12896960.218303848</v>
      </c>
      <c r="S116">
        <f t="shared" ref="S116" si="558">R116/100000</f>
        <v>-128.96960218303849</v>
      </c>
      <c r="T116">
        <f t="shared" ref="T116" si="559">S116/1000</f>
        <v>-0.12896960218303849</v>
      </c>
    </row>
    <row r="117" spans="1:20" x14ac:dyDescent="0.25">
      <c r="A117" s="5">
        <v>44476</v>
      </c>
      <c r="B117">
        <v>9.8610000000000007</v>
      </c>
      <c r="C117">
        <v>10.276999999999999</v>
      </c>
      <c r="D117">
        <v>9.5850000000000009</v>
      </c>
      <c r="E117">
        <v>9.9090000000000007</v>
      </c>
      <c r="F117">
        <v>264376.2</v>
      </c>
      <c r="G117">
        <v>9.9090000000000007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-6.3583815028900009E-2</v>
      </c>
      <c r="Q117">
        <f t="shared" ref="Q117" si="561">F117*P117</f>
        <v>-16810.047398843475</v>
      </c>
      <c r="R117">
        <f t="shared" ref="R117" si="562">R118+Q117</f>
        <v>-12640234.77769082</v>
      </c>
      <c r="S117">
        <f t="shared" ref="S117" si="563">R117/100000</f>
        <v>-126.4023477769082</v>
      </c>
      <c r="T117">
        <f t="shared" ref="T117" si="564">S117/1000</f>
        <v>-0.1264023477769082</v>
      </c>
    </row>
    <row r="118" spans="1:20" x14ac:dyDescent="0.25">
      <c r="A118" s="5">
        <v>44475</v>
      </c>
      <c r="B118">
        <v>10.018000000000001</v>
      </c>
      <c r="C118">
        <v>10.154999999999999</v>
      </c>
      <c r="D118">
        <v>9.42</v>
      </c>
      <c r="E118">
        <v>9.86</v>
      </c>
      <c r="F118">
        <v>376756.6</v>
      </c>
      <c r="G118">
        <v>9.86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0.19727891156462543</v>
      </c>
      <c r="Q118">
        <f t="shared" ref="Q118" si="566">F118*P118</f>
        <v>74326.131972788949</v>
      </c>
      <c r="R118">
        <f t="shared" ref="R118" si="567">R119+Q118</f>
        <v>-12623424.730291978</v>
      </c>
      <c r="S118">
        <f t="shared" ref="S118" si="568">R118/100000</f>
        <v>-126.23424730291977</v>
      </c>
      <c r="T118">
        <f t="shared" ref="T118" si="569">S118/1000</f>
        <v>-0.12623424730291977</v>
      </c>
    </row>
    <row r="119" spans="1:20" x14ac:dyDescent="0.25">
      <c r="A119" s="5">
        <v>44474</v>
      </c>
      <c r="B119">
        <v>9.7040000000000006</v>
      </c>
      <c r="C119">
        <v>10.303000000000001</v>
      </c>
      <c r="D119">
        <v>9.6349999999999998</v>
      </c>
      <c r="E119">
        <v>10.015000000000001</v>
      </c>
      <c r="F119">
        <v>372662.3</v>
      </c>
      <c r="G119">
        <v>10.015000000000001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0.13772455089820418</v>
      </c>
      <c r="Q119">
        <f t="shared" ref="Q119" si="571">F119*P119</f>
        <v>51324.747904191834</v>
      </c>
      <c r="R119">
        <f t="shared" ref="R119" si="572">R120+Q119</f>
        <v>-12697750.862264767</v>
      </c>
      <c r="S119">
        <f t="shared" ref="S119" si="573">R119/100000</f>
        <v>-126.97750862264768</v>
      </c>
      <c r="T119">
        <f t="shared" ref="T119" si="574">S119/1000</f>
        <v>-0.12697750862264767</v>
      </c>
    </row>
    <row r="120" spans="1:20" x14ac:dyDescent="0.25">
      <c r="A120" s="5">
        <v>44473</v>
      </c>
      <c r="B120">
        <v>10.156000000000001</v>
      </c>
      <c r="C120">
        <v>10.16</v>
      </c>
      <c r="D120">
        <v>9.4540000000000006</v>
      </c>
      <c r="E120">
        <v>9.7490000000000006</v>
      </c>
      <c r="F120">
        <v>474168.3</v>
      </c>
      <c r="G120">
        <v>9.7490000000000006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-0.16430594900849821</v>
      </c>
      <c r="Q120">
        <f t="shared" ref="Q120" si="576">F120*P120</f>
        <v>-77908.672521246277</v>
      </c>
      <c r="R120">
        <f t="shared" ref="R120" si="577">R121+Q120</f>
        <v>-12749075.61016896</v>
      </c>
      <c r="S120">
        <f t="shared" ref="S120" si="578">R120/100000</f>
        <v>-127.4907561016896</v>
      </c>
      <c r="T120">
        <f t="shared" ref="T120" si="579">S120/1000</f>
        <v>-0.12749075610168961</v>
      </c>
    </row>
    <row r="121" spans="1:20" x14ac:dyDescent="0.25">
      <c r="A121" s="5">
        <v>44472</v>
      </c>
      <c r="B121">
        <v>9.8780000000000001</v>
      </c>
      <c r="C121">
        <v>10.4</v>
      </c>
      <c r="D121">
        <v>9.6349999999999998</v>
      </c>
      <c r="E121">
        <v>10.079000000000001</v>
      </c>
      <c r="F121">
        <v>312910.59999999998</v>
      </c>
      <c r="G121">
        <v>10.079000000000001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0.16078431372549151</v>
      </c>
      <c r="Q121">
        <f t="shared" ref="Q121" si="581">F121*P121</f>
        <v>50311.116078431784</v>
      </c>
      <c r="R121">
        <f t="shared" ref="R121" si="582">R122+Q121</f>
        <v>-12671166.937647713</v>
      </c>
      <c r="S121">
        <f t="shared" ref="S121" si="583">R121/100000</f>
        <v>-126.71166937647713</v>
      </c>
      <c r="T121">
        <f t="shared" ref="T121" si="584">S121/1000</f>
        <v>-0.12671166937647713</v>
      </c>
    </row>
    <row r="122" spans="1:20" x14ac:dyDescent="0.25">
      <c r="A122" s="5">
        <v>44471</v>
      </c>
      <c r="B122">
        <v>9.5549999999999997</v>
      </c>
      <c r="C122">
        <v>10.519</v>
      </c>
      <c r="D122">
        <v>9.4239999999999995</v>
      </c>
      <c r="E122">
        <v>9.8780000000000001</v>
      </c>
      <c r="F122">
        <v>459680.4</v>
      </c>
      <c r="G122">
        <v>9.8780000000000001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-0.17077625570776189</v>
      </c>
      <c r="Q122">
        <f t="shared" ref="Q122" si="586">F122*P122</f>
        <v>-78502.497534246271</v>
      </c>
      <c r="R122">
        <f t="shared" ref="R122" si="587">R123+Q122</f>
        <v>-12721478.053726146</v>
      </c>
      <c r="S122">
        <f t="shared" ref="S122" si="588">R122/100000</f>
        <v>-127.21478053726146</v>
      </c>
      <c r="T122">
        <f t="shared" ref="T122" si="589">S122/1000</f>
        <v>-0.12721478053726146</v>
      </c>
    </row>
    <row r="123" spans="1:20" x14ac:dyDescent="0.25">
      <c r="A123" s="5">
        <v>44470</v>
      </c>
      <c r="B123">
        <v>9.077</v>
      </c>
      <c r="C123">
        <v>9.8569999999999993</v>
      </c>
      <c r="D123">
        <v>8.9760000000000009</v>
      </c>
      <c r="E123">
        <v>9.5500000000000007</v>
      </c>
      <c r="F123">
        <v>399928.4</v>
      </c>
      <c r="G123">
        <v>9.5500000000000007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0.30306469920545032</v>
      </c>
      <c r="Q123">
        <f t="shared" ref="Q123" si="591">F123*P123</f>
        <v>121204.18024971703</v>
      </c>
      <c r="R123">
        <f t="shared" ref="R123" si="592">R124+Q123</f>
        <v>-12642975.556191899</v>
      </c>
      <c r="S123">
        <f t="shared" ref="S123" si="593">R123/100000</f>
        <v>-126.42975556191899</v>
      </c>
      <c r="T123">
        <f t="shared" ref="T123" si="594">S123/1000</f>
        <v>-0.12642975556191899</v>
      </c>
    </row>
    <row r="124" spans="1:20" x14ac:dyDescent="0.25">
      <c r="A124" s="5">
        <v>44469</v>
      </c>
      <c r="B124">
        <v>8.6869999999999994</v>
      </c>
      <c r="C124">
        <v>9.16</v>
      </c>
      <c r="D124">
        <v>8.625</v>
      </c>
      <c r="E124">
        <v>9.0389999999999997</v>
      </c>
      <c r="F124">
        <v>334177.40000000002</v>
      </c>
      <c r="G124">
        <v>9.0389999999999997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0.54766355140186762</v>
      </c>
      <c r="Q124">
        <f t="shared" ref="Q124" si="596">F124*P124</f>
        <v>183016.78168224249</v>
      </c>
      <c r="R124">
        <f t="shared" ref="R124" si="597">R125+Q124</f>
        <v>-12764179.736441616</v>
      </c>
      <c r="S124">
        <f t="shared" ref="S124" si="598">R124/100000</f>
        <v>-127.64179736441616</v>
      </c>
      <c r="T124">
        <f t="shared" ref="T124" si="599">S124/1000</f>
        <v>-0.12764179736441617</v>
      </c>
    </row>
    <row r="125" spans="1:20" x14ac:dyDescent="0.25">
      <c r="A125" s="5">
        <v>44468</v>
      </c>
      <c r="B125">
        <v>8.5850000000000009</v>
      </c>
      <c r="C125">
        <v>9.1590000000000007</v>
      </c>
      <c r="D125">
        <v>8.5129999999999999</v>
      </c>
      <c r="E125">
        <v>8.6660000000000004</v>
      </c>
      <c r="F125">
        <v>375215.2</v>
      </c>
      <c r="G125">
        <v>8.6660000000000004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-0.52631578947368329</v>
      </c>
      <c r="Q125">
        <f t="shared" ref="Q125" si="601">F125*P125</f>
        <v>-197481.68421052597</v>
      </c>
      <c r="R125">
        <f t="shared" ref="R125" si="602">R126+Q125</f>
        <v>-12947196.518123858</v>
      </c>
      <c r="S125">
        <f t="shared" ref="S125" si="603">R125/100000</f>
        <v>-129.47196518123857</v>
      </c>
      <c r="T125">
        <f t="shared" ref="T125" si="604">S125/1000</f>
        <v>-0.12947196518123857</v>
      </c>
    </row>
    <row r="126" spans="1:20" x14ac:dyDescent="0.25">
      <c r="A126" s="5">
        <v>44467</v>
      </c>
      <c r="B126">
        <v>8.8130000000000006</v>
      </c>
      <c r="C126">
        <v>9.0760000000000005</v>
      </c>
      <c r="D126">
        <v>8.5570000000000004</v>
      </c>
      <c r="E126">
        <v>8.5660000000000007</v>
      </c>
      <c r="F126">
        <v>288026.2</v>
      </c>
      <c r="G126">
        <v>8.5660000000000007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-0.96531791907514319</v>
      </c>
      <c r="Q126">
        <f t="shared" ref="Q126" si="606">F126*P126</f>
        <v>-278036.85202312103</v>
      </c>
      <c r="R126">
        <f t="shared" ref="R126" si="607">R127+Q126</f>
        <v>-12749714.833913332</v>
      </c>
      <c r="S126">
        <f t="shared" ref="S126" si="608">R126/100000</f>
        <v>-127.49714833913332</v>
      </c>
      <c r="T126">
        <f t="shared" ref="T126" si="609">S126/1000</f>
        <v>-0.12749714833913331</v>
      </c>
    </row>
    <row r="127" spans="1:20" x14ac:dyDescent="0.25">
      <c r="A127" s="5">
        <v>44466</v>
      </c>
      <c r="B127">
        <v>9.3689999999999998</v>
      </c>
      <c r="C127">
        <v>9.6760000000000002</v>
      </c>
      <c r="D127">
        <v>8.8179999999999996</v>
      </c>
      <c r="E127">
        <v>8.827</v>
      </c>
      <c r="F127">
        <v>338052.7</v>
      </c>
      <c r="G127">
        <v>8.827</v>
      </c>
      <c r="L127" t="s">
        <v>7</v>
      </c>
      <c r="M127" t="s">
        <v>7</v>
      </c>
      <c r="N127" t="s">
        <v>7</v>
      </c>
      <c r="P127">
        <f t="shared" ref="P127" si="610">IF(C127=D127,0,((E127-D127)-(C127-E127))/(C127-D127))</f>
        <v>-0.97902097902097829</v>
      </c>
      <c r="Q127">
        <f t="shared" ref="Q127" si="611">F127*P127</f>
        <v>-330960.68531468511</v>
      </c>
      <c r="R127">
        <f t="shared" ref="R127" si="612">R128+Q127</f>
        <v>-12471677.981890211</v>
      </c>
      <c r="S127">
        <f t="shared" ref="S127" si="613">R127/100000</f>
        <v>-124.71677981890211</v>
      </c>
      <c r="T127">
        <f t="shared" ref="T127" si="614">S127/1000</f>
        <v>-0.12471677981890211</v>
      </c>
    </row>
    <row r="128" spans="1:20" x14ac:dyDescent="0.25">
      <c r="A128" s="5">
        <v>44465</v>
      </c>
      <c r="B128">
        <v>9.18</v>
      </c>
      <c r="C128">
        <v>9.81</v>
      </c>
      <c r="D128">
        <v>8.5009999999999994</v>
      </c>
      <c r="E128">
        <v>9.4</v>
      </c>
      <c r="F128">
        <v>379229.5</v>
      </c>
      <c r="G128">
        <v>9.4</v>
      </c>
      <c r="L128" t="s">
        <v>8</v>
      </c>
      <c r="M128" t="s">
        <v>7</v>
      </c>
      <c r="N128" t="s">
        <v>7</v>
      </c>
      <c r="P128">
        <f t="shared" ref="P128" si="615">IF(C128=D128,0,((E128-D128)-(C128-E128))/(C128-D128))</f>
        <v>0.3735676088617268</v>
      </c>
      <c r="Q128">
        <f t="shared" ref="Q128" si="616">F128*P128</f>
        <v>141667.85752482823</v>
      </c>
      <c r="R128">
        <f t="shared" ref="R128" si="617">R129+Q128</f>
        <v>-12140717.296575526</v>
      </c>
      <c r="S128">
        <f t="shared" ref="S128" si="618">R128/100000</f>
        <v>-121.40717296575525</v>
      </c>
      <c r="T128">
        <f t="shared" ref="T128" si="619">S128/1000</f>
        <v>-0.12140717296575525</v>
      </c>
    </row>
    <row r="129" spans="1:20" x14ac:dyDescent="0.25">
      <c r="A129" s="5">
        <v>44464</v>
      </c>
      <c r="B129">
        <v>9.3179999999999996</v>
      </c>
      <c r="C129">
        <v>9.4480000000000004</v>
      </c>
      <c r="D129">
        <v>8.8710000000000004</v>
      </c>
      <c r="E129">
        <v>9.1989999999999998</v>
      </c>
      <c r="F129">
        <v>310209.90000000002</v>
      </c>
      <c r="G129">
        <v>9.1989999999999998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0.1369150779895994</v>
      </c>
      <c r="Q129">
        <f t="shared" ref="Q129" si="621">F129*P129</f>
        <v>42472.412651645835</v>
      </c>
      <c r="R129">
        <f t="shared" ref="R129" si="622">R130+Q129</f>
        <v>-12282385.154100355</v>
      </c>
      <c r="S129">
        <f t="shared" ref="S129" si="623">R129/100000</f>
        <v>-122.82385154100355</v>
      </c>
      <c r="T129">
        <f t="shared" ref="T129" si="624">S129/1000</f>
        <v>-0.12282385154100355</v>
      </c>
    </row>
    <row r="130" spans="1:20" x14ac:dyDescent="0.25">
      <c r="A130" s="5">
        <v>44463</v>
      </c>
      <c r="B130">
        <v>10.121</v>
      </c>
      <c r="C130">
        <v>10.18</v>
      </c>
      <c r="D130">
        <v>8.5890000000000004</v>
      </c>
      <c r="E130">
        <v>9.3010000000000002</v>
      </c>
      <c r="F130">
        <v>595270.75399999996</v>
      </c>
      <c r="G130">
        <v>9.3010000000000002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-0.10496543054682582</v>
      </c>
      <c r="Q130">
        <f t="shared" ref="Q130" si="626">F130*P130</f>
        <v>-62482.850985543635</v>
      </c>
      <c r="R130">
        <f t="shared" ref="R130" si="627">R131+Q130</f>
        <v>-12324857.566752</v>
      </c>
      <c r="S130">
        <f t="shared" ref="S130" si="628">R130/100000</f>
        <v>-123.24857566752</v>
      </c>
      <c r="T130">
        <f t="shared" ref="T130" si="629">S130/1000</f>
        <v>-0.12324857566752</v>
      </c>
    </row>
    <row r="131" spans="1:20" x14ac:dyDescent="0.25">
      <c r="A131" s="5">
        <v>44462</v>
      </c>
      <c r="B131">
        <v>10.162000000000001</v>
      </c>
      <c r="C131">
        <v>10.278</v>
      </c>
      <c r="D131">
        <v>9.7409999999999997</v>
      </c>
      <c r="E131">
        <v>10.132</v>
      </c>
      <c r="F131">
        <v>478167.6</v>
      </c>
      <c r="G131">
        <v>10.132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0.45623836126629208</v>
      </c>
      <c r="Q131">
        <f t="shared" ref="Q131" si="631">F131*P131</f>
        <v>218158.40223463584</v>
      </c>
      <c r="R131">
        <f t="shared" ref="R131" si="632">R132+Q131</f>
        <v>-12262374.715766456</v>
      </c>
      <c r="S131">
        <f t="shared" ref="S131" si="633">R131/100000</f>
        <v>-122.62374715766455</v>
      </c>
      <c r="T131">
        <f t="shared" ref="T131" si="634">S131/1000</f>
        <v>-0.12262374715766455</v>
      </c>
    </row>
    <row r="132" spans="1:20" x14ac:dyDescent="0.25">
      <c r="A132" s="5">
        <v>44461</v>
      </c>
      <c r="B132">
        <v>9.3030000000000008</v>
      </c>
      <c r="C132">
        <v>10.25</v>
      </c>
      <c r="D132">
        <v>9.1509999999999998</v>
      </c>
      <c r="E132">
        <v>10.163</v>
      </c>
      <c r="F132">
        <v>504589.2</v>
      </c>
      <c r="G132">
        <v>10.163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0.84167424931756196</v>
      </c>
      <c r="Q132">
        <f t="shared" ref="Q132" si="636">F132*P132</f>
        <v>424699.73612374917</v>
      </c>
      <c r="R132">
        <f t="shared" ref="R132" si="637">R133+Q132</f>
        <v>-12480533.118001092</v>
      </c>
      <c r="S132">
        <f t="shared" ref="S132" si="638">R132/100000</f>
        <v>-124.80533118001092</v>
      </c>
      <c r="T132">
        <f t="shared" ref="T132" si="639">S132/1000</f>
        <v>-0.12480533118001093</v>
      </c>
    </row>
    <row r="133" spans="1:20" x14ac:dyDescent="0.25">
      <c r="A133" s="5">
        <v>44460</v>
      </c>
      <c r="B133">
        <v>9.6649999999999991</v>
      </c>
      <c r="C133">
        <v>11.5</v>
      </c>
      <c r="D133">
        <v>9.0359999999999996</v>
      </c>
      <c r="E133">
        <v>9.2899999999999991</v>
      </c>
      <c r="F133">
        <v>1577760.496</v>
      </c>
      <c r="G133">
        <v>9.2899999999999991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-0.79383116883116922</v>
      </c>
      <c r="Q133">
        <f t="shared" ref="Q133" si="641">F133*P133</f>
        <v>-1252475.4586753254</v>
      </c>
      <c r="R133">
        <f t="shared" ref="R133" si="642">R134+Q133</f>
        <v>-12905232.854124842</v>
      </c>
      <c r="S133">
        <f t="shared" ref="S133" si="643">R133/100000</f>
        <v>-129.05232854124841</v>
      </c>
      <c r="T133">
        <f t="shared" ref="T133" si="644">S133/1000</f>
        <v>-0.1290523285412484</v>
      </c>
    </row>
    <row r="134" spans="1:20" x14ac:dyDescent="0.25">
      <c r="A134" s="5">
        <v>44459</v>
      </c>
      <c r="B134">
        <v>11.04</v>
      </c>
      <c r="C134">
        <v>11.061</v>
      </c>
      <c r="D134">
        <v>9.8970000000000002</v>
      </c>
      <c r="E134">
        <v>10.239000000000001</v>
      </c>
      <c r="F134">
        <v>476102.6</v>
      </c>
      <c r="G134">
        <v>10.239000000000001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-0.41237113402061748</v>
      </c>
      <c r="Q134">
        <f t="shared" ref="Q134" si="646">F134*P134</f>
        <v>-196330.96907216441</v>
      </c>
      <c r="R134">
        <f t="shared" ref="R134" si="647">R135+Q134</f>
        <v>-11652757.395449517</v>
      </c>
      <c r="S134">
        <f t="shared" ref="S134" si="648">R134/100000</f>
        <v>-116.52757395449517</v>
      </c>
      <c r="T134">
        <f t="shared" ref="T134" si="649">S134/1000</f>
        <v>-0.11652757395449517</v>
      </c>
    </row>
    <row r="135" spans="1:20" x14ac:dyDescent="0.25">
      <c r="A135" s="5">
        <v>44458</v>
      </c>
      <c r="B135">
        <v>11.260999999999999</v>
      </c>
      <c r="C135">
        <v>11.456</v>
      </c>
      <c r="D135">
        <v>10.859</v>
      </c>
      <c r="E135">
        <v>11.04</v>
      </c>
      <c r="F135">
        <v>543938.19999999995</v>
      </c>
      <c r="G135">
        <v>11.04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-0.39363484087102413</v>
      </c>
      <c r="Q135">
        <f t="shared" ref="Q135" si="651">F135*P135</f>
        <v>-214113.02680067127</v>
      </c>
      <c r="R135">
        <f t="shared" ref="R135" si="652">R136+Q135</f>
        <v>-11456426.426377352</v>
      </c>
      <c r="S135">
        <f t="shared" ref="S135" si="653">R135/100000</f>
        <v>-114.56426426377352</v>
      </c>
      <c r="T135">
        <f t="shared" ref="T135" si="654">S135/1000</f>
        <v>-0.11456426426377353</v>
      </c>
    </row>
    <row r="136" spans="1:20" x14ac:dyDescent="0.25">
      <c r="A136" s="5">
        <v>44457</v>
      </c>
      <c r="B136">
        <v>11.105</v>
      </c>
      <c r="C136">
        <v>11.746</v>
      </c>
      <c r="D136">
        <v>10.823</v>
      </c>
      <c r="E136">
        <v>11.262</v>
      </c>
      <c r="F136">
        <v>612012.5</v>
      </c>
      <c r="G136">
        <v>11.262</v>
      </c>
      <c r="L136" t="s">
        <v>8</v>
      </c>
      <c r="M136" t="s">
        <v>7</v>
      </c>
      <c r="N136" t="s">
        <v>8</v>
      </c>
      <c r="P136">
        <f t="shared" ref="P136" si="655">IF(C136=D136,0,((E136-D136)-(C136-E136))/(C136-D136))</f>
        <v>-4.8754062838569805E-2</v>
      </c>
      <c r="Q136">
        <f t="shared" ref="Q136" si="656">F136*P136</f>
        <v>-29838.095882990201</v>
      </c>
      <c r="R136">
        <f t="shared" ref="R136" si="657">R137+Q136</f>
        <v>-11242313.399576681</v>
      </c>
      <c r="S136">
        <f t="shared" ref="S136" si="658">R136/100000</f>
        <v>-112.4231339957668</v>
      </c>
      <c r="T136">
        <f t="shared" ref="T136" si="659">S136/1000</f>
        <v>-0.11242313399576681</v>
      </c>
    </row>
    <row r="137" spans="1:20" x14ac:dyDescent="0.25">
      <c r="A137" s="5">
        <v>44456</v>
      </c>
      <c r="B137">
        <v>11.95</v>
      </c>
      <c r="C137">
        <v>12.904</v>
      </c>
      <c r="D137">
        <v>10.962999999999999</v>
      </c>
      <c r="E137">
        <v>11.111000000000001</v>
      </c>
      <c r="F137">
        <v>803767.3</v>
      </c>
      <c r="G137">
        <v>11.111000000000001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-0.84750128799587698</v>
      </c>
      <c r="Q137">
        <f t="shared" ref="Q137" si="661">F137*P137</f>
        <v>-681193.82199896849</v>
      </c>
      <c r="R137">
        <f t="shared" ref="R137" si="662">R138+Q137</f>
        <v>-11212475.303693691</v>
      </c>
      <c r="S137">
        <f t="shared" ref="S137" si="663">R137/100000</f>
        <v>-112.12475303693691</v>
      </c>
      <c r="T137">
        <f t="shared" ref="T137" si="664">S137/1000</f>
        <v>-0.11212475303693691</v>
      </c>
    </row>
    <row r="138" spans="1:20" x14ac:dyDescent="0.25">
      <c r="A138" s="5">
        <v>44455</v>
      </c>
      <c r="B138">
        <v>11.897</v>
      </c>
      <c r="C138">
        <v>13.49</v>
      </c>
      <c r="D138">
        <v>11.445</v>
      </c>
      <c r="E138">
        <v>11.95</v>
      </c>
      <c r="F138">
        <v>1163475.6000000001</v>
      </c>
      <c r="G138">
        <v>11.95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-0.50611246943765376</v>
      </c>
      <c r="Q138">
        <f t="shared" ref="Q138" si="666">F138*P138</f>
        <v>-588849.50904645596</v>
      </c>
      <c r="R138">
        <f t="shared" ref="R138" si="667">R139+Q138</f>
        <v>-10531281.481694723</v>
      </c>
      <c r="S138">
        <f t="shared" ref="S138" si="668">R138/100000</f>
        <v>-105.31281481694722</v>
      </c>
      <c r="T138">
        <f t="shared" ref="T138" si="669">S138/1000</f>
        <v>-0.10531281481694722</v>
      </c>
    </row>
    <row r="139" spans="1:20" x14ac:dyDescent="0.25">
      <c r="A139" s="5">
        <v>44454</v>
      </c>
      <c r="B139">
        <v>11.377000000000001</v>
      </c>
      <c r="C139">
        <v>12.154</v>
      </c>
      <c r="D139">
        <v>11.064</v>
      </c>
      <c r="E139">
        <v>11.898999999999999</v>
      </c>
      <c r="F139">
        <v>732671.4</v>
      </c>
      <c r="G139">
        <v>11.898999999999999</v>
      </c>
      <c r="L139" t="s">
        <v>7</v>
      </c>
      <c r="M139" t="s">
        <v>8</v>
      </c>
      <c r="N139" t="s">
        <v>7</v>
      </c>
      <c r="P139">
        <f t="shared" ref="P139" si="670">IF(C139=D139,0,((E139-D139)-(C139-E139))/(C139-D139))</f>
        <v>0.53211009174311774</v>
      </c>
      <c r="Q139">
        <f t="shared" ref="Q139" si="671">F139*P139</f>
        <v>389861.84587155853</v>
      </c>
      <c r="R139">
        <f t="shared" ref="R139" si="672">R140+Q139</f>
        <v>-9942431.9726482667</v>
      </c>
      <c r="S139">
        <f t="shared" ref="S139" si="673">R139/100000</f>
        <v>-99.424319726482665</v>
      </c>
      <c r="T139">
        <f t="shared" ref="T139" si="674">S139/1000</f>
        <v>-9.9424319726482663E-2</v>
      </c>
    </row>
    <row r="140" spans="1:20" x14ac:dyDescent="0.25">
      <c r="A140" s="5">
        <v>44453</v>
      </c>
      <c r="B140">
        <v>10.348000000000001</v>
      </c>
      <c r="C140">
        <v>12.808</v>
      </c>
      <c r="D140">
        <v>10.161</v>
      </c>
      <c r="E140">
        <v>11.372999999999999</v>
      </c>
      <c r="F140">
        <v>1004471.1</v>
      </c>
      <c r="G140">
        <v>11.372999999999999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-8.4246316584813269E-2</v>
      </c>
      <c r="Q140">
        <f t="shared" ref="Q140" si="676">F140*P140</f>
        <v>-84622.990290895628</v>
      </c>
      <c r="R140">
        <f t="shared" ref="R140" si="677">R141+Q140</f>
        <v>-10332293.818519825</v>
      </c>
      <c r="S140">
        <f t="shared" ref="S140" si="678">R140/100000</f>
        <v>-103.32293818519825</v>
      </c>
      <c r="T140">
        <f t="shared" ref="T140" si="679">S140/1000</f>
        <v>-0.10332293818519825</v>
      </c>
    </row>
    <row r="141" spans="1:20" x14ac:dyDescent="0.25">
      <c r="A141" s="5">
        <v>44452</v>
      </c>
      <c r="B141">
        <v>10.813000000000001</v>
      </c>
      <c r="C141">
        <v>10.879</v>
      </c>
      <c r="D141">
        <v>9.85</v>
      </c>
      <c r="E141">
        <v>10.345000000000001</v>
      </c>
      <c r="F141">
        <v>555856.5</v>
      </c>
      <c r="G141">
        <v>10.345000000000001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-3.7900874635566503E-2</v>
      </c>
      <c r="Q141">
        <f t="shared" ref="Q141" si="681">F141*P141</f>
        <v>-21067.447521864771</v>
      </c>
      <c r="R141">
        <f t="shared" ref="R141" si="682">R142+Q141</f>
        <v>-10247670.82822893</v>
      </c>
      <c r="S141">
        <f t="shared" ref="S141" si="683">R141/100000</f>
        <v>-102.47670828228929</v>
      </c>
      <c r="T141">
        <f t="shared" ref="T141" si="684">S141/1000</f>
        <v>-0.10247670828228929</v>
      </c>
    </row>
    <row r="142" spans="1:20" x14ac:dyDescent="0.25">
      <c r="A142" s="5">
        <v>44451</v>
      </c>
      <c r="B142">
        <v>10.44</v>
      </c>
      <c r="C142">
        <v>11.231999999999999</v>
      </c>
      <c r="D142">
        <v>10.180999999999999</v>
      </c>
      <c r="E142">
        <v>10.818</v>
      </c>
      <c r="F142">
        <v>423118</v>
      </c>
      <c r="G142">
        <v>10.818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0.21217887725975329</v>
      </c>
      <c r="Q142">
        <f t="shared" ref="Q142" si="686">F142*P142</f>
        <v>89776.702188392286</v>
      </c>
      <c r="R142">
        <f t="shared" ref="R142" si="687">R143+Q142</f>
        <v>-10226603.380707065</v>
      </c>
      <c r="S142">
        <f t="shared" ref="S142" si="688">R142/100000</f>
        <v>-102.26603380707064</v>
      </c>
      <c r="T142">
        <f t="shared" ref="T142" si="689">S142/1000</f>
        <v>-0.10226603380707064</v>
      </c>
    </row>
    <row r="143" spans="1:20" x14ac:dyDescent="0.25">
      <c r="A143" s="5">
        <v>44450</v>
      </c>
      <c r="B143">
        <v>10.455</v>
      </c>
      <c r="C143">
        <v>10.84</v>
      </c>
      <c r="D143">
        <v>10.23</v>
      </c>
      <c r="E143">
        <v>10.43</v>
      </c>
      <c r="F143">
        <v>375540.9</v>
      </c>
      <c r="G143">
        <v>10.43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-0.34426229508196893</v>
      </c>
      <c r="Q143">
        <f t="shared" ref="Q143" si="691">F143*P143</f>
        <v>-129284.57213114819</v>
      </c>
      <c r="R143">
        <f t="shared" ref="R143" si="692">R144+Q143</f>
        <v>-10316380.082895458</v>
      </c>
      <c r="S143">
        <f t="shared" ref="S143" si="693">R143/100000</f>
        <v>-103.16380082895458</v>
      </c>
      <c r="T143">
        <f t="shared" ref="T143" si="694">S143/1000</f>
        <v>-0.10316380082895457</v>
      </c>
    </row>
    <row r="144" spans="1:20" x14ac:dyDescent="0.25">
      <c r="A144" s="5">
        <v>44449</v>
      </c>
      <c r="B144">
        <v>11.076000000000001</v>
      </c>
      <c r="C144">
        <v>11.558999999999999</v>
      </c>
      <c r="D144">
        <v>10.199999999999999</v>
      </c>
      <c r="E144">
        <v>10.423</v>
      </c>
      <c r="F144">
        <v>396970.9</v>
      </c>
      <c r="G144">
        <v>10.423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-0.67181751287711444</v>
      </c>
      <c r="Q144">
        <f t="shared" ref="Q144" si="696">F144*P144</f>
        <v>-266692.00272258971</v>
      </c>
      <c r="R144">
        <f t="shared" ref="R144" si="697">R145+Q144</f>
        <v>-10187095.51076431</v>
      </c>
      <c r="S144">
        <f t="shared" ref="S144" si="698">R144/100000</f>
        <v>-101.8709551076431</v>
      </c>
      <c r="T144">
        <f t="shared" ref="T144" si="699">S144/1000</f>
        <v>-0.1018709551076431</v>
      </c>
    </row>
    <row r="145" spans="1:20" x14ac:dyDescent="0.25">
      <c r="A145" s="5">
        <v>44448</v>
      </c>
      <c r="B145">
        <v>11.048999999999999</v>
      </c>
      <c r="C145">
        <v>11.726000000000001</v>
      </c>
      <c r="D145">
        <v>10.798999999999999</v>
      </c>
      <c r="E145">
        <v>11.076000000000001</v>
      </c>
      <c r="F145">
        <v>967613.5</v>
      </c>
      <c r="G145">
        <v>11.076000000000001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-0.40237324703343991</v>
      </c>
      <c r="Q145">
        <f t="shared" ref="Q145" si="701">F145*P145</f>
        <v>-389341.78586839139</v>
      </c>
      <c r="R145">
        <f t="shared" ref="R145" si="702">R146+Q145</f>
        <v>-9920403.5080417208</v>
      </c>
      <c r="S145">
        <f t="shared" ref="S145" si="703">R145/100000</f>
        <v>-99.204035080417214</v>
      </c>
      <c r="T145">
        <f t="shared" ref="T145" si="704">S145/1000</f>
        <v>-9.9204035080417211E-2</v>
      </c>
    </row>
    <row r="146" spans="1:20" x14ac:dyDescent="0.25">
      <c r="A146" s="5">
        <v>44447</v>
      </c>
      <c r="B146">
        <v>10.968999999999999</v>
      </c>
      <c r="C146">
        <v>11.632</v>
      </c>
      <c r="D146">
        <v>10.035</v>
      </c>
      <c r="E146">
        <v>11.045</v>
      </c>
      <c r="F146">
        <v>689629</v>
      </c>
      <c r="G146">
        <v>11.045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0.26487163431433947</v>
      </c>
      <c r="Q146">
        <f t="shared" ref="Q146" si="706">F146*P146</f>
        <v>182663.16030056361</v>
      </c>
      <c r="R146">
        <f t="shared" ref="R146" si="707">R147+Q146</f>
        <v>-9531061.7221733294</v>
      </c>
      <c r="S146">
        <f t="shared" ref="S146" si="708">R146/100000</f>
        <v>-95.310617221733295</v>
      </c>
      <c r="T146">
        <f t="shared" ref="T146" si="709">S146/1000</f>
        <v>-9.5310617221733299E-2</v>
      </c>
    </row>
    <row r="147" spans="1:20" x14ac:dyDescent="0.25">
      <c r="A147" s="5">
        <v>44446</v>
      </c>
      <c r="B147">
        <v>14.032</v>
      </c>
      <c r="C147">
        <v>14.4</v>
      </c>
      <c r="D147">
        <v>9.6560000000000006</v>
      </c>
      <c r="E147">
        <v>10.962</v>
      </c>
      <c r="F147">
        <v>959671.51599999995</v>
      </c>
      <c r="G147">
        <v>10.962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-0.44940978077571703</v>
      </c>
      <c r="Q147">
        <f t="shared" ref="Q147" si="711">F147*P147</f>
        <v>-431285.76562225999</v>
      </c>
      <c r="R147">
        <f t="shared" ref="R147" si="712">R148+Q147</f>
        <v>-9713724.8824738935</v>
      </c>
      <c r="S147">
        <f t="shared" ref="S147" si="713">R147/100000</f>
        <v>-97.137248824738933</v>
      </c>
      <c r="T147">
        <f t="shared" ref="T147" si="714">S147/1000</f>
        <v>-9.7137248824738939E-2</v>
      </c>
    </row>
    <row r="148" spans="1:20" x14ac:dyDescent="0.25">
      <c r="A148" s="5">
        <v>44445</v>
      </c>
      <c r="B148">
        <v>14.112</v>
      </c>
      <c r="C148">
        <v>14.865</v>
      </c>
      <c r="D148">
        <v>13.298</v>
      </c>
      <c r="E148">
        <v>14.004</v>
      </c>
      <c r="F148">
        <v>522987.61300000001</v>
      </c>
      <c r="G148">
        <v>14.004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-9.8915124441608882E-2</v>
      </c>
      <c r="Q148">
        <f t="shared" ref="Q148" si="716">F148*P148</f>
        <v>-51731.38482131499</v>
      </c>
      <c r="R148">
        <f t="shared" ref="R148" si="717">R149+Q148</f>
        <v>-9282439.1168516334</v>
      </c>
      <c r="S148">
        <f t="shared" ref="S148" si="718">R148/100000</f>
        <v>-92.824391168516328</v>
      </c>
      <c r="T148">
        <f t="shared" ref="T148" si="719">S148/1000</f>
        <v>-9.2824391168516332E-2</v>
      </c>
    </row>
    <row r="149" spans="1:20" x14ac:dyDescent="0.25">
      <c r="A149" s="5">
        <v>44444</v>
      </c>
      <c r="B149">
        <v>13.228</v>
      </c>
      <c r="C149">
        <v>14.45</v>
      </c>
      <c r="D149">
        <v>13.2</v>
      </c>
      <c r="E149">
        <v>14.119</v>
      </c>
      <c r="F149">
        <v>531600.64500000002</v>
      </c>
      <c r="G149">
        <v>14.119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0.47040000000000076</v>
      </c>
      <c r="Q149">
        <f t="shared" ref="Q149" si="721">F149*P149</f>
        <v>250064.9434080004</v>
      </c>
      <c r="R149">
        <f t="shared" ref="R149" si="722">R150+Q149</f>
        <v>-9230707.732030319</v>
      </c>
      <c r="S149">
        <f t="shared" ref="S149" si="723">R149/100000</f>
        <v>-92.307077320303193</v>
      </c>
      <c r="T149">
        <f t="shared" ref="T149" si="724">S149/1000</f>
        <v>-9.2307077320303188E-2</v>
      </c>
    </row>
    <row r="150" spans="1:20" x14ac:dyDescent="0.25">
      <c r="A150" s="5">
        <v>44443</v>
      </c>
      <c r="B150">
        <v>12.782999999999999</v>
      </c>
      <c r="C150">
        <v>13.494999999999999</v>
      </c>
      <c r="D150">
        <v>12.683</v>
      </c>
      <c r="E150">
        <v>13.228</v>
      </c>
      <c r="F150">
        <v>305070.5</v>
      </c>
      <c r="G150">
        <v>13.228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0.34236453201970529</v>
      </c>
      <c r="Q150">
        <f t="shared" ref="Q150" si="726">F150*P150</f>
        <v>104445.31896551751</v>
      </c>
      <c r="R150">
        <f t="shared" ref="R150" si="727">R151+Q150</f>
        <v>-9480772.6754383203</v>
      </c>
      <c r="S150">
        <f t="shared" ref="S150" si="728">R150/100000</f>
        <v>-94.807726754383197</v>
      </c>
      <c r="T150">
        <f t="shared" ref="T150" si="729">S150/1000</f>
        <v>-9.480772675438319E-2</v>
      </c>
    </row>
    <row r="151" spans="1:20" x14ac:dyDescent="0.25">
      <c r="A151" s="5">
        <v>44442</v>
      </c>
      <c r="B151">
        <v>12.772</v>
      </c>
      <c r="C151">
        <v>13.308</v>
      </c>
      <c r="D151">
        <v>12.459</v>
      </c>
      <c r="E151">
        <v>12.782999999999999</v>
      </c>
      <c r="F151">
        <v>372846</v>
      </c>
      <c r="G151">
        <v>12.782999999999999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-0.2367491166077744</v>
      </c>
      <c r="Q151">
        <f t="shared" ref="Q151" si="731">F151*P151</f>
        <v>-88270.961130742246</v>
      </c>
      <c r="R151">
        <f t="shared" ref="R151" si="732">R152+Q151</f>
        <v>-9585217.9944038372</v>
      </c>
      <c r="S151">
        <f t="shared" ref="S151" si="733">R151/100000</f>
        <v>-95.852179944038369</v>
      </c>
      <c r="T151">
        <f t="shared" ref="T151" si="734">S151/1000</f>
        <v>-9.5852179944038371E-2</v>
      </c>
    </row>
    <row r="152" spans="1:20" x14ac:dyDescent="0.25">
      <c r="A152" s="5">
        <v>44441</v>
      </c>
      <c r="B152">
        <v>13.188000000000001</v>
      </c>
      <c r="C152">
        <v>13.5</v>
      </c>
      <c r="D152">
        <v>12.17</v>
      </c>
      <c r="E152">
        <v>12.773999999999999</v>
      </c>
      <c r="F152">
        <v>487326.2</v>
      </c>
      <c r="G152">
        <v>12.773999999999999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-9.1729323308271923E-2</v>
      </c>
      <c r="Q152">
        <f t="shared" ref="Q152" si="736">F152*P152</f>
        <v>-44702.102556391583</v>
      </c>
      <c r="R152">
        <f t="shared" ref="R152" si="737">R153+Q152</f>
        <v>-9496947.0332730953</v>
      </c>
      <c r="S152">
        <f t="shared" ref="S152" si="738">R152/100000</f>
        <v>-94.96947033273095</v>
      </c>
      <c r="T152">
        <f t="shared" ref="T152" si="739">S152/1000</f>
        <v>-9.4969470332730954E-2</v>
      </c>
    </row>
    <row r="153" spans="1:20" x14ac:dyDescent="0.25">
      <c r="A153" s="5">
        <v>44440</v>
      </c>
      <c r="B153">
        <v>12.757</v>
      </c>
      <c r="C153">
        <v>13.218</v>
      </c>
      <c r="D153">
        <v>12.363</v>
      </c>
      <c r="E153">
        <v>13.175000000000001</v>
      </c>
      <c r="F153">
        <v>403007.5</v>
      </c>
      <c r="G153">
        <v>13.175000000000001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0.89941520467836433</v>
      </c>
      <c r="Q153">
        <f t="shared" ref="Q153" si="741">F153*P153</f>
        <v>362471.07309941592</v>
      </c>
      <c r="R153">
        <f t="shared" ref="R153" si="742">R154+Q153</f>
        <v>-9452244.9307167046</v>
      </c>
      <c r="S153">
        <f t="shared" ref="S153" si="743">R153/100000</f>
        <v>-94.522449307167051</v>
      </c>
      <c r="T153">
        <f t="shared" ref="T153" si="744">S153/1000</f>
        <v>-9.452244930716705E-2</v>
      </c>
    </row>
    <row r="154" spans="1:20" x14ac:dyDescent="0.25">
      <c r="A154" s="5">
        <v>44439</v>
      </c>
      <c r="B154">
        <v>12.446</v>
      </c>
      <c r="C154">
        <v>13.474</v>
      </c>
      <c r="D154">
        <v>12.115</v>
      </c>
      <c r="E154">
        <v>12.771000000000001</v>
      </c>
      <c r="F154">
        <v>420379.8</v>
      </c>
      <c r="G154">
        <v>12.771000000000001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-3.4584253127298618E-2</v>
      </c>
      <c r="Q154">
        <f t="shared" ref="Q154" si="746">F154*P154</f>
        <v>-14538.521412803168</v>
      </c>
      <c r="R154">
        <f t="shared" ref="R154" si="747">R155+Q154</f>
        <v>-9814716.0038161203</v>
      </c>
      <c r="S154">
        <f t="shared" ref="S154" si="748">R154/100000</f>
        <v>-98.147160038161203</v>
      </c>
      <c r="T154">
        <f t="shared" ref="T154" si="749">S154/1000</f>
        <v>-9.8147160038161207E-2</v>
      </c>
    </row>
    <row r="155" spans="1:20" x14ac:dyDescent="0.25">
      <c r="A155" s="5">
        <v>44438</v>
      </c>
      <c r="B155">
        <v>13.167999999999999</v>
      </c>
      <c r="C155">
        <v>13.26</v>
      </c>
      <c r="D155">
        <v>12.222</v>
      </c>
      <c r="E155">
        <v>12.442</v>
      </c>
      <c r="F155">
        <v>257417.1</v>
      </c>
      <c r="G155">
        <v>12.442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-0.57610789980732069</v>
      </c>
      <c r="Q155">
        <f t="shared" ref="Q155" si="751">F155*P155</f>
        <v>-148300.02485549106</v>
      </c>
      <c r="R155">
        <f t="shared" ref="R155" si="752">R156+Q155</f>
        <v>-9800177.4824033175</v>
      </c>
      <c r="S155">
        <f t="shared" ref="S155" si="753">R155/100000</f>
        <v>-98.001774824033177</v>
      </c>
      <c r="T155">
        <f t="shared" ref="T155" si="754">S155/1000</f>
        <v>-9.8001774824033175E-2</v>
      </c>
    </row>
    <row r="156" spans="1:20" x14ac:dyDescent="0.25">
      <c r="A156" s="5">
        <v>44437</v>
      </c>
      <c r="B156">
        <v>13.465</v>
      </c>
      <c r="C156">
        <v>13.628</v>
      </c>
      <c r="D156">
        <v>12.785</v>
      </c>
      <c r="E156">
        <v>13.173999999999999</v>
      </c>
      <c r="F156">
        <v>265253.90000000002</v>
      </c>
      <c r="G156">
        <v>13.173999999999999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-7.710557532621741E-2</v>
      </c>
      <c r="Q156">
        <f t="shared" ref="Q156" si="756">F156*P156</f>
        <v>-20452.55456702294</v>
      </c>
      <c r="R156">
        <f t="shared" ref="R156" si="757">R157+Q156</f>
        <v>-9651877.4575478267</v>
      </c>
      <c r="S156">
        <f t="shared" ref="S156" si="758">R156/100000</f>
        <v>-96.518774575478261</v>
      </c>
      <c r="T156">
        <f t="shared" ref="T156" si="759">S156/1000</f>
        <v>-9.6518774575478264E-2</v>
      </c>
    </row>
    <row r="157" spans="1:20" x14ac:dyDescent="0.25">
      <c r="A157" s="5">
        <v>44436</v>
      </c>
      <c r="B157">
        <v>13.034000000000001</v>
      </c>
      <c r="C157">
        <v>13.789</v>
      </c>
      <c r="D157">
        <v>12.603</v>
      </c>
      <c r="E157">
        <v>13.468999999999999</v>
      </c>
      <c r="F157">
        <v>434821.28499999997</v>
      </c>
      <c r="G157">
        <v>13.468999999999999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0.46037099494097755</v>
      </c>
      <c r="Q157">
        <f t="shared" ref="Q157" si="761">F157*P157</f>
        <v>200179.10759696434</v>
      </c>
      <c r="R157">
        <f t="shared" ref="R157" si="762">R158+Q157</f>
        <v>-9631424.9029808044</v>
      </c>
      <c r="S157">
        <f t="shared" ref="S157" si="763">R157/100000</f>
        <v>-96.314249029808039</v>
      </c>
      <c r="T157">
        <f t="shared" ref="T157" si="764">S157/1000</f>
        <v>-9.6314249029808036E-2</v>
      </c>
    </row>
    <row r="158" spans="1:20" x14ac:dyDescent="0.25">
      <c r="A158" s="5">
        <v>44435</v>
      </c>
      <c r="B158">
        <v>12.092000000000001</v>
      </c>
      <c r="C158">
        <v>13.07</v>
      </c>
      <c r="D158">
        <v>11.688000000000001</v>
      </c>
      <c r="E158">
        <v>13.04</v>
      </c>
      <c r="F158">
        <v>403089.12</v>
      </c>
      <c r="G158">
        <v>13.04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0.95658465991316766</v>
      </c>
      <c r="Q158">
        <f t="shared" ref="Q158" si="766">F158*P158</f>
        <v>385588.86876989802</v>
      </c>
      <c r="R158">
        <f t="shared" ref="R158" si="767">R159+Q158</f>
        <v>-9831604.0105777681</v>
      </c>
      <c r="S158">
        <f t="shared" ref="S158" si="768">R158/100000</f>
        <v>-98.316040105777674</v>
      </c>
      <c r="T158">
        <f t="shared" ref="T158" si="769">S158/1000</f>
        <v>-9.8316040105777672E-2</v>
      </c>
    </row>
    <row r="159" spans="1:20" x14ac:dyDescent="0.25">
      <c r="A159" s="5">
        <v>44434</v>
      </c>
      <c r="B159">
        <v>13</v>
      </c>
      <c r="C159">
        <v>13.131</v>
      </c>
      <c r="D159">
        <v>11.8</v>
      </c>
      <c r="E159">
        <v>12.068</v>
      </c>
      <c r="F159">
        <v>473262.592</v>
      </c>
      <c r="G159">
        <v>12.068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-0.59729526671675581</v>
      </c>
      <c r="Q159">
        <f t="shared" ref="Q159" si="771">F159*P159</f>
        <v>-282677.5061157032</v>
      </c>
      <c r="R159">
        <f t="shared" ref="R159" si="772">R160+Q159</f>
        <v>-10217192.879347665</v>
      </c>
      <c r="S159">
        <f t="shared" ref="S159" si="773">R159/100000</f>
        <v>-102.17192879347665</v>
      </c>
      <c r="T159">
        <f t="shared" ref="T159" si="774">S159/1000</f>
        <v>-0.10217192879347665</v>
      </c>
    </row>
    <row r="160" spans="1:20" x14ac:dyDescent="0.25">
      <c r="A160" s="5">
        <v>44433</v>
      </c>
      <c r="B160">
        <v>12.728999999999999</v>
      </c>
      <c r="C160">
        <v>13.577</v>
      </c>
      <c r="D160">
        <v>12.263</v>
      </c>
      <c r="E160">
        <v>13</v>
      </c>
      <c r="F160">
        <v>430633.14</v>
      </c>
      <c r="G160">
        <v>13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0.12176560121765612</v>
      </c>
      <c r="Q160">
        <f t="shared" ref="Q160" si="776">F160*P160</f>
        <v>52436.303196347078</v>
      </c>
      <c r="R160">
        <f t="shared" ref="R160" si="777">R161+Q160</f>
        <v>-9934515.3732319623</v>
      </c>
      <c r="S160">
        <f t="shared" ref="S160" si="778">R160/100000</f>
        <v>-99.345153732319616</v>
      </c>
      <c r="T160">
        <f t="shared" ref="T160" si="779">S160/1000</f>
        <v>-9.9345153732319613E-2</v>
      </c>
    </row>
    <row r="161" spans="1:20" x14ac:dyDescent="0.25">
      <c r="A161" s="5">
        <v>44432</v>
      </c>
      <c r="B161">
        <v>14.25</v>
      </c>
      <c r="C161">
        <v>14.387</v>
      </c>
      <c r="D161">
        <v>12.516999999999999</v>
      </c>
      <c r="E161">
        <v>12.728999999999999</v>
      </c>
      <c r="F161">
        <v>457261.27799999999</v>
      </c>
      <c r="G161">
        <v>12.728999999999999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-0.77326203208556188</v>
      </c>
      <c r="Q161">
        <f t="shared" ref="Q161" si="781">F161*P161</f>
        <v>-353582.78502032103</v>
      </c>
      <c r="R161">
        <f t="shared" ref="R161" si="782">R162+Q161</f>
        <v>-9986951.6764283087</v>
      </c>
      <c r="S161">
        <f t="shared" ref="S161" si="783">R161/100000</f>
        <v>-99.869516764283091</v>
      </c>
      <c r="T161">
        <f t="shared" ref="T161" si="784">S161/1000</f>
        <v>-9.9869516764283087E-2</v>
      </c>
    </row>
    <row r="162" spans="1:20" x14ac:dyDescent="0.25">
      <c r="A162" s="5">
        <v>44431</v>
      </c>
      <c r="B162">
        <v>14.385</v>
      </c>
      <c r="C162">
        <v>15.303000000000001</v>
      </c>
      <c r="D162">
        <v>13.696</v>
      </c>
      <c r="E162">
        <v>14.25</v>
      </c>
      <c r="F162">
        <v>1129454.686</v>
      </c>
      <c r="G162">
        <v>14.25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-0.3105164903546983</v>
      </c>
      <c r="Q162">
        <f t="shared" ref="Q162" si="786">F162*P162</f>
        <v>-350714.3051113878</v>
      </c>
      <c r="R162">
        <f t="shared" ref="R162" si="787">R163+Q162</f>
        <v>-9633368.8914079871</v>
      </c>
      <c r="S162">
        <f t="shared" ref="S162" si="788">R162/100000</f>
        <v>-96.333688914079872</v>
      </c>
      <c r="T162">
        <f t="shared" ref="T162" si="789">S162/1000</f>
        <v>-9.6333688914079868E-2</v>
      </c>
    </row>
    <row r="163" spans="1:20" x14ac:dyDescent="0.25">
      <c r="A163" s="5">
        <v>44430</v>
      </c>
      <c r="B163">
        <v>14.686999999999999</v>
      </c>
      <c r="C163">
        <v>14.9</v>
      </c>
      <c r="D163">
        <v>13.445</v>
      </c>
      <c r="E163">
        <v>13.756</v>
      </c>
      <c r="F163">
        <v>502503.76899999997</v>
      </c>
      <c r="G163">
        <v>13.756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-0.57250859106529217</v>
      </c>
      <c r="Q163">
        <f t="shared" ref="Q163" si="791">F163*P163</f>
        <v>-287687.72479518905</v>
      </c>
      <c r="R163">
        <f t="shared" ref="R163" si="792">R164+Q163</f>
        <v>-9282654.5862965994</v>
      </c>
      <c r="S163">
        <f t="shared" ref="S163" si="793">R163/100000</f>
        <v>-92.826545862966</v>
      </c>
      <c r="T163">
        <f t="shared" ref="T163" si="794">S163/1000</f>
        <v>-9.2826545862966001E-2</v>
      </c>
    </row>
    <row r="164" spans="1:20" x14ac:dyDescent="0.25">
      <c r="A164" s="5">
        <v>44429</v>
      </c>
      <c r="B164">
        <v>12.727</v>
      </c>
      <c r="C164">
        <v>15.3</v>
      </c>
      <c r="D164">
        <v>12.223000000000001</v>
      </c>
      <c r="E164">
        <v>14.682</v>
      </c>
      <c r="F164">
        <v>1660795.5649999999</v>
      </c>
      <c r="G164">
        <v>14.682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0.59831004224894357</v>
      </c>
      <c r="Q164">
        <f t="shared" ref="Q164" si="796">F164*P164</f>
        <v>993670.66466200806</v>
      </c>
      <c r="R164">
        <f t="shared" ref="R164" si="797">R165+Q164</f>
        <v>-8994966.8615014106</v>
      </c>
      <c r="S164">
        <f t="shared" ref="S164" si="798">R164/100000</f>
        <v>-89.949668615014104</v>
      </c>
      <c r="T164">
        <f t="shared" ref="T164" si="799">S164/1000</f>
        <v>-8.9949668615014106E-2</v>
      </c>
    </row>
    <row r="165" spans="1:20" x14ac:dyDescent="0.25">
      <c r="A165" s="5">
        <v>44428</v>
      </c>
      <c r="B165">
        <v>12.331</v>
      </c>
      <c r="C165">
        <v>12.789</v>
      </c>
      <c r="D165">
        <v>12.045999999999999</v>
      </c>
      <c r="E165">
        <v>12.744999999999999</v>
      </c>
      <c r="F165">
        <v>472486.33399999997</v>
      </c>
      <c r="G165">
        <v>12.744999999999999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0.88156123822341736</v>
      </c>
      <c r="Q165">
        <f t="shared" ref="Q165" si="801">F165*P165</f>
        <v>416525.63764468313</v>
      </c>
      <c r="R165">
        <f t="shared" ref="R165" si="802">R166+Q165</f>
        <v>-9988637.5261634178</v>
      </c>
      <c r="S165">
        <f t="shared" ref="S165" si="803">R165/100000</f>
        <v>-99.886375261634186</v>
      </c>
      <c r="T165">
        <f t="shared" ref="T165" si="804">S165/1000</f>
        <v>-9.9886375261634186E-2</v>
      </c>
    </row>
    <row r="166" spans="1:20" x14ac:dyDescent="0.25">
      <c r="A166" s="5">
        <v>44427</v>
      </c>
      <c r="B166">
        <v>11.329000000000001</v>
      </c>
      <c r="C166">
        <v>12.628</v>
      </c>
      <c r="D166">
        <v>11.153</v>
      </c>
      <c r="E166">
        <v>12.333</v>
      </c>
      <c r="F166">
        <v>577143.86199999996</v>
      </c>
      <c r="G166">
        <v>12.333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0.6</v>
      </c>
      <c r="Q166">
        <f t="shared" ref="Q166" si="806">F166*P166</f>
        <v>346286.31719999999</v>
      </c>
      <c r="R166">
        <f t="shared" ref="R166" si="807">R167+Q166</f>
        <v>-10405163.163808102</v>
      </c>
      <c r="S166">
        <f t="shared" ref="S166" si="808">R166/100000</f>
        <v>-104.05163163808102</v>
      </c>
      <c r="T166">
        <f t="shared" ref="T166" si="809">S166/1000</f>
        <v>-0.10405163163808102</v>
      </c>
    </row>
    <row r="167" spans="1:20" x14ac:dyDescent="0.25">
      <c r="A167" s="5">
        <v>44426</v>
      </c>
      <c r="B167">
        <v>11.349</v>
      </c>
      <c r="C167">
        <v>12.061</v>
      </c>
      <c r="D167">
        <v>10.901</v>
      </c>
      <c r="E167">
        <v>11.33</v>
      </c>
      <c r="F167">
        <v>740794.44</v>
      </c>
      <c r="G167">
        <v>11.33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-0.26034482758620653</v>
      </c>
      <c r="Q167">
        <f t="shared" ref="Q167" si="811">F167*P167</f>
        <v>-192862.00075862042</v>
      </c>
      <c r="R167">
        <f t="shared" ref="R167" si="812">R168+Q167</f>
        <v>-10751449.481008101</v>
      </c>
      <c r="S167">
        <f t="shared" ref="S167" si="813">R167/100000</f>
        <v>-107.51449481008102</v>
      </c>
      <c r="T167">
        <f t="shared" ref="T167" si="814">S167/1000</f>
        <v>-0.10751449481008102</v>
      </c>
    </row>
    <row r="168" spans="1:20" x14ac:dyDescent="0.25">
      <c r="A168" s="5">
        <v>44425</v>
      </c>
      <c r="B168">
        <v>11.702999999999999</v>
      </c>
      <c r="C168">
        <v>14.039</v>
      </c>
      <c r="D168">
        <v>11.24</v>
      </c>
      <c r="E168">
        <v>11.37</v>
      </c>
      <c r="F168">
        <v>1686321.4890000001</v>
      </c>
      <c r="G168">
        <v>11.37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-0.90710968202929687</v>
      </c>
      <c r="Q168">
        <f t="shared" ref="Q168" si="816">F168*P168</f>
        <v>-1529678.5496859604</v>
      </c>
      <c r="R168">
        <f t="shared" ref="R168" si="817">R169+Q168</f>
        <v>-10558587.480249481</v>
      </c>
      <c r="S168">
        <f t="shared" ref="S168" si="818">R168/100000</f>
        <v>-105.58587480249481</v>
      </c>
      <c r="T168">
        <f t="shared" ref="T168" si="819">S168/1000</f>
        <v>-0.10558587480249482</v>
      </c>
    </row>
    <row r="169" spans="1:20" x14ac:dyDescent="0.25">
      <c r="A169" s="5">
        <v>44424</v>
      </c>
      <c r="B169">
        <v>12.221</v>
      </c>
      <c r="C169">
        <v>12.86</v>
      </c>
      <c r="D169">
        <v>11.619</v>
      </c>
      <c r="E169">
        <v>11.7</v>
      </c>
      <c r="F169">
        <v>559921.85499999998</v>
      </c>
      <c r="G169">
        <v>11.7</v>
      </c>
      <c r="L169" t="s">
        <v>7</v>
      </c>
      <c r="M169" t="s">
        <v>8</v>
      </c>
      <c r="N169" t="s">
        <v>8</v>
      </c>
      <c r="P169">
        <f t="shared" ref="P169" si="820">IF(C169=D169,0,((E169-D169)-(C169-E169))/(C169-D169))</f>
        <v>-0.86946011281224889</v>
      </c>
      <c r="Q169">
        <f t="shared" ref="Q169" si="821">F169*P169</f>
        <v>-486829.71921434364</v>
      </c>
      <c r="R169">
        <f t="shared" ref="R169" si="822">R170+Q169</f>
        <v>-9028908.9305635206</v>
      </c>
      <c r="S169">
        <f t="shared" ref="S169" si="823">R169/100000</f>
        <v>-90.289089305635201</v>
      </c>
      <c r="T169">
        <f t="shared" ref="T169" si="824">S169/1000</f>
        <v>-9.0289089305635201E-2</v>
      </c>
    </row>
    <row r="170" spans="1:20" x14ac:dyDescent="0.25">
      <c r="A170" s="5">
        <v>44423</v>
      </c>
      <c r="B170">
        <v>11.939</v>
      </c>
      <c r="C170">
        <v>12.808</v>
      </c>
      <c r="D170">
        <v>11.585000000000001</v>
      </c>
      <c r="E170">
        <v>12.204000000000001</v>
      </c>
      <c r="F170">
        <v>752813.03700000001</v>
      </c>
      <c r="G170">
        <v>12.204000000000001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1.2264922322159101E-2</v>
      </c>
      <c r="Q170">
        <f t="shared" ref="Q170" si="826">F170*P170</f>
        <v>9233.1934219136856</v>
      </c>
      <c r="R170">
        <f t="shared" ref="R170" si="827">R171+Q170</f>
        <v>-8542079.2113491762</v>
      </c>
      <c r="S170">
        <f t="shared" ref="S170" si="828">R170/100000</f>
        <v>-85.420792113491757</v>
      </c>
      <c r="T170">
        <f t="shared" ref="T170" si="829">S170/1000</f>
        <v>-8.5420792113491753E-2</v>
      </c>
    </row>
    <row r="171" spans="1:20" x14ac:dyDescent="0.25">
      <c r="A171" s="5">
        <v>44422</v>
      </c>
      <c r="B171">
        <v>11.912000000000001</v>
      </c>
      <c r="C171">
        <v>12</v>
      </c>
      <c r="D171">
        <v>11.087</v>
      </c>
      <c r="E171">
        <v>11.926</v>
      </c>
      <c r="F171">
        <v>452178.28</v>
      </c>
      <c r="G171">
        <v>11.926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0.83789704271632026</v>
      </c>
      <c r="Q171">
        <f t="shared" ref="Q171" si="831">F171*P171</f>
        <v>378878.84359255224</v>
      </c>
      <c r="R171">
        <f t="shared" ref="R171" si="832">R172+Q171</f>
        <v>-8551312.4047710896</v>
      </c>
      <c r="S171">
        <f t="shared" ref="S171" si="833">R171/100000</f>
        <v>-85.513124047710889</v>
      </c>
      <c r="T171">
        <f t="shared" ref="T171" si="834">S171/1000</f>
        <v>-8.5513124047710887E-2</v>
      </c>
    </row>
    <row r="172" spans="1:20" x14ac:dyDescent="0.25">
      <c r="A172" s="5">
        <v>44421</v>
      </c>
      <c r="B172">
        <v>10.734</v>
      </c>
      <c r="C172">
        <v>12.2</v>
      </c>
      <c r="D172">
        <v>10.622</v>
      </c>
      <c r="E172">
        <v>11.917999999999999</v>
      </c>
      <c r="F172">
        <v>548431.14500000002</v>
      </c>
      <c r="G172">
        <v>11.917999999999999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0.64258555133079831</v>
      </c>
      <c r="Q172">
        <f t="shared" ref="Q172" si="836">F172*P172</f>
        <v>352413.92967680603</v>
      </c>
      <c r="R172">
        <f t="shared" ref="R172" si="837">R173+Q172</f>
        <v>-8930191.248363642</v>
      </c>
      <c r="S172">
        <f t="shared" ref="S172" si="838">R172/100000</f>
        <v>-89.301912483636414</v>
      </c>
      <c r="T172">
        <f t="shared" ref="T172" si="839">S172/1000</f>
        <v>-8.930191248363642E-2</v>
      </c>
    </row>
    <row r="173" spans="1:20" x14ac:dyDescent="0.25">
      <c r="A173" s="5">
        <v>44420</v>
      </c>
      <c r="B173">
        <v>11.196999999999999</v>
      </c>
      <c r="C173">
        <v>11.673</v>
      </c>
      <c r="D173">
        <v>10.271000000000001</v>
      </c>
      <c r="E173">
        <v>10.724</v>
      </c>
      <c r="F173">
        <v>638449.54799999995</v>
      </c>
      <c r="G173">
        <v>10.724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-0.35378031383737568</v>
      </c>
      <c r="Q173">
        <f t="shared" ref="Q173" si="841">F173*P173</f>
        <v>-225870.88146077064</v>
      </c>
      <c r="R173">
        <f t="shared" ref="R173" si="842">R174+Q173</f>
        <v>-9282605.1780404486</v>
      </c>
      <c r="S173">
        <f t="shared" ref="S173" si="843">R173/100000</f>
        <v>-92.826051780404484</v>
      </c>
      <c r="T173">
        <f t="shared" ref="T173" si="844">S173/1000</f>
        <v>-9.2826051780404484E-2</v>
      </c>
    </row>
    <row r="174" spans="1:20" x14ac:dyDescent="0.25">
      <c r="A174" s="5">
        <v>44419</v>
      </c>
      <c r="B174">
        <v>11.132</v>
      </c>
      <c r="C174">
        <v>12.3</v>
      </c>
      <c r="D174">
        <v>10.981</v>
      </c>
      <c r="E174">
        <v>11.202999999999999</v>
      </c>
      <c r="F174">
        <v>880454.79500000004</v>
      </c>
      <c r="G174">
        <v>11.202999999999999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-0.6633813495072034</v>
      </c>
      <c r="Q174">
        <f t="shared" ref="Q174" si="846">F174*P174</f>
        <v>-584077.29008718813</v>
      </c>
      <c r="R174">
        <f t="shared" ref="R174" si="847">R175+Q174</f>
        <v>-9056734.2965796776</v>
      </c>
      <c r="S174">
        <f t="shared" ref="S174" si="848">R174/100000</f>
        <v>-90.567342965796783</v>
      </c>
      <c r="T174">
        <f t="shared" ref="T174" si="849">S174/1000</f>
        <v>-9.0567342965796785E-2</v>
      </c>
    </row>
    <row r="175" spans="1:20" x14ac:dyDescent="0.25">
      <c r="A175" s="5">
        <v>44418</v>
      </c>
      <c r="B175">
        <v>11.675000000000001</v>
      </c>
      <c r="C175">
        <v>12.098000000000001</v>
      </c>
      <c r="D175">
        <v>10.618</v>
      </c>
      <c r="E175">
        <v>11.148999999999999</v>
      </c>
      <c r="F175">
        <v>1044056.118</v>
      </c>
      <c r="G175">
        <v>11.148999999999999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-0.28243243243243427</v>
      </c>
      <c r="Q175">
        <f t="shared" ref="Q175" si="851">F175*P175</f>
        <v>-294875.30900270463</v>
      </c>
      <c r="R175">
        <f t="shared" ref="R175" si="852">R176+Q175</f>
        <v>-8472657.0064924899</v>
      </c>
      <c r="S175">
        <f t="shared" ref="S175" si="853">R175/100000</f>
        <v>-84.7265700649249</v>
      </c>
      <c r="T175">
        <f t="shared" ref="T175" si="854">S175/1000</f>
        <v>-8.47265700649249E-2</v>
      </c>
    </row>
    <row r="176" spans="1:20" x14ac:dyDescent="0.25">
      <c r="A176" s="5">
        <v>44417</v>
      </c>
      <c r="B176">
        <v>9.4619999999999997</v>
      </c>
      <c r="C176">
        <v>12.247999999999999</v>
      </c>
      <c r="D176">
        <v>9.1549999999999994</v>
      </c>
      <c r="E176">
        <v>11.69</v>
      </c>
      <c r="F176">
        <v>1319221.709</v>
      </c>
      <c r="G176">
        <v>11.69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0.6391852570320079</v>
      </c>
      <c r="Q176">
        <f t="shared" ref="Q176" si="856">F176*P176</f>
        <v>843227.06714936974</v>
      </c>
      <c r="R176">
        <f t="shared" ref="R176" si="857">R177+Q176</f>
        <v>-8177781.697489786</v>
      </c>
      <c r="S176">
        <f t="shared" ref="S176" si="858">R176/100000</f>
        <v>-81.77781697489786</v>
      </c>
      <c r="T176">
        <f t="shared" ref="T176" si="859">S176/1000</f>
        <v>-8.177781697489786E-2</v>
      </c>
    </row>
    <row r="177" spans="1:20" x14ac:dyDescent="0.25">
      <c r="A177" s="5">
        <v>44416</v>
      </c>
      <c r="B177">
        <v>10.273</v>
      </c>
      <c r="C177">
        <v>10.39</v>
      </c>
      <c r="D177">
        <v>9.2949999999999999</v>
      </c>
      <c r="E177">
        <v>9.4610000000000003</v>
      </c>
      <c r="F177">
        <v>604664.625</v>
      </c>
      <c r="G177">
        <v>9.4610000000000003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-0.69680365296803604</v>
      </c>
      <c r="Q177">
        <f t="shared" ref="Q177" si="861">F177*P177</f>
        <v>-421332.51952054765</v>
      </c>
      <c r="R177">
        <f t="shared" ref="R177" si="862">R178+Q177</f>
        <v>-9021008.7646391559</v>
      </c>
      <c r="S177">
        <f t="shared" ref="S177" si="863">R177/100000</f>
        <v>-90.210087646391557</v>
      </c>
      <c r="T177">
        <f t="shared" ref="T177" si="864">S177/1000</f>
        <v>-9.021008764639156E-2</v>
      </c>
    </row>
    <row r="178" spans="1:20" x14ac:dyDescent="0.25">
      <c r="A178" s="5">
        <v>44415</v>
      </c>
      <c r="B178">
        <v>9.9139999999999997</v>
      </c>
      <c r="C178">
        <v>10.52</v>
      </c>
      <c r="D178">
        <v>9.6910000000000007</v>
      </c>
      <c r="E178">
        <v>10.292999999999999</v>
      </c>
      <c r="F178">
        <v>741590.27599999995</v>
      </c>
      <c r="G178">
        <v>10.292999999999999</v>
      </c>
      <c r="L178" t="s">
        <v>7</v>
      </c>
      <c r="M178" t="s">
        <v>8</v>
      </c>
      <c r="N178" t="s">
        <v>8</v>
      </c>
      <c r="P178">
        <f t="shared" ref="P178" si="865">IF(C178=D178,0,((E178-D178)-(C178-E178))/(C178-D178))</f>
        <v>0.45235223160434107</v>
      </c>
      <c r="Q178">
        <f t="shared" ref="Q178" si="866">F178*P178</f>
        <v>335460.01628467918</v>
      </c>
      <c r="R178">
        <f t="shared" ref="R178" si="867">R179+Q178</f>
        <v>-8599676.2451186087</v>
      </c>
      <c r="S178">
        <f t="shared" ref="S178" si="868">R178/100000</f>
        <v>-85.996762451186086</v>
      </c>
      <c r="T178">
        <f t="shared" ref="T178" si="869">S178/1000</f>
        <v>-8.5996762451186093E-2</v>
      </c>
    </row>
    <row r="179" spans="1:20" x14ac:dyDescent="0.25">
      <c r="A179" s="5">
        <v>44414</v>
      </c>
      <c r="B179">
        <v>9.5350000000000001</v>
      </c>
      <c r="C179">
        <v>10.53</v>
      </c>
      <c r="D179">
        <v>9.41</v>
      </c>
      <c r="E179">
        <v>9.9090000000000007</v>
      </c>
      <c r="F179">
        <v>878922.01899999997</v>
      </c>
      <c r="G179">
        <v>9.9090000000000007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-0.10892857142856982</v>
      </c>
      <c r="Q179">
        <f t="shared" ref="Q179" si="871">F179*P179</f>
        <v>-95739.719926784295</v>
      </c>
      <c r="R179">
        <f t="shared" ref="R179" si="872">R180+Q179</f>
        <v>-8935136.2614032887</v>
      </c>
      <c r="S179">
        <f t="shared" ref="S179" si="873">R179/100000</f>
        <v>-89.351362614032894</v>
      </c>
      <c r="T179">
        <f t="shared" ref="T179" si="874">S179/1000</f>
        <v>-8.9351362614032898E-2</v>
      </c>
    </row>
    <row r="180" spans="1:20" x14ac:dyDescent="0.25">
      <c r="A180" s="5">
        <v>44413</v>
      </c>
      <c r="B180">
        <v>9.2050000000000001</v>
      </c>
      <c r="C180">
        <v>10.146000000000001</v>
      </c>
      <c r="D180">
        <v>9.077</v>
      </c>
      <c r="E180">
        <v>9.5220000000000002</v>
      </c>
      <c r="F180">
        <v>814343.29799999995</v>
      </c>
      <c r="G180">
        <v>9.5220000000000002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-0.16744621141253521</v>
      </c>
      <c r="Q180">
        <f t="shared" ref="Q180" si="876">F180*P180</f>
        <v>-136358.70003928916</v>
      </c>
      <c r="R180">
        <f t="shared" ref="R180" si="877">R181+Q180</f>
        <v>-8839396.5414765049</v>
      </c>
      <c r="S180">
        <f t="shared" ref="S180" si="878">R180/100000</f>
        <v>-88.393965414765049</v>
      </c>
      <c r="T180">
        <f t="shared" ref="T180" si="879">S180/1000</f>
        <v>-8.8393965414765047E-2</v>
      </c>
    </row>
    <row r="181" spans="1:20" x14ac:dyDescent="0.25">
      <c r="A181" s="5">
        <v>44412</v>
      </c>
      <c r="B181">
        <v>8.4489999999999998</v>
      </c>
      <c r="C181">
        <v>9.4079999999999995</v>
      </c>
      <c r="D181">
        <v>8.2780000000000005</v>
      </c>
      <c r="E181">
        <v>9.2080000000000002</v>
      </c>
      <c r="F181">
        <v>399106.97600000002</v>
      </c>
      <c r="G181">
        <v>9.2080000000000002</v>
      </c>
      <c r="L181" t="s">
        <v>7</v>
      </c>
      <c r="M181" t="s">
        <v>8</v>
      </c>
      <c r="N181" t="s">
        <v>7</v>
      </c>
      <c r="P181">
        <f t="shared" ref="P181" si="880">IF(C181=D181,0,((E181-D181)-(C181-E181))/(C181-D181))</f>
        <v>0.64601769911504514</v>
      </c>
      <c r="Q181">
        <f t="shared" ref="Q181" si="881">F181*P181</f>
        <v>257830.17033628357</v>
      </c>
      <c r="R181">
        <f t="shared" ref="R181" si="882">R182+Q181</f>
        <v>-8703037.841437215</v>
      </c>
      <c r="S181">
        <f t="shared" ref="S181" si="883">R181/100000</f>
        <v>-87.030378414372151</v>
      </c>
      <c r="T181">
        <f t="shared" ref="T181" si="884">S181/1000</f>
        <v>-8.7030378414372153E-2</v>
      </c>
    </row>
    <row r="182" spans="1:20" x14ac:dyDescent="0.25">
      <c r="A182" s="5">
        <v>44411</v>
      </c>
      <c r="B182">
        <v>8.6630000000000003</v>
      </c>
      <c r="C182">
        <v>8.8800000000000008</v>
      </c>
      <c r="D182">
        <v>8.3919999999999995</v>
      </c>
      <c r="E182">
        <v>8.4290000000000003</v>
      </c>
      <c r="F182">
        <v>262030.77100000001</v>
      </c>
      <c r="G182">
        <v>8.4290000000000003</v>
      </c>
      <c r="L182" t="s">
        <v>7</v>
      </c>
      <c r="M182" t="s">
        <v>8</v>
      </c>
      <c r="N182" t="s">
        <v>7</v>
      </c>
      <c r="P182">
        <f t="shared" ref="P182" si="885">IF(C182=D182,0,((E182-D182)-(C182-E182))/(C182-D182))</f>
        <v>-0.84836065573770203</v>
      </c>
      <c r="Q182">
        <f t="shared" ref="Q182" si="886">F182*P182</f>
        <v>-222296.59670901563</v>
      </c>
      <c r="R182">
        <f t="shared" ref="R182" si="887">R183+Q182</f>
        <v>-8960868.0117734987</v>
      </c>
      <c r="S182">
        <f t="shared" ref="S182" si="888">R182/100000</f>
        <v>-89.608680117734991</v>
      </c>
      <c r="T182">
        <f t="shared" ref="T182" si="889">S182/1000</f>
        <v>-8.9608680117734985E-2</v>
      </c>
    </row>
    <row r="183" spans="1:20" x14ac:dyDescent="0.25">
      <c r="A183" s="5">
        <v>44410</v>
      </c>
      <c r="B183">
        <v>8.8010000000000002</v>
      </c>
      <c r="C183">
        <v>9.0670000000000002</v>
      </c>
      <c r="D183">
        <v>8.5500000000000007</v>
      </c>
      <c r="E183">
        <v>8.6769999999999996</v>
      </c>
      <c r="F183">
        <v>231028.89199999999</v>
      </c>
      <c r="G183">
        <v>8.6769999999999996</v>
      </c>
      <c r="L183" t="s">
        <v>7</v>
      </c>
      <c r="M183" t="s">
        <v>8</v>
      </c>
      <c r="N183" t="s">
        <v>7</v>
      </c>
      <c r="P183">
        <f t="shared" ref="P183" si="890">IF(C183=D183,0,((E183-D183)-(C183-E183))/(C183-D183))</f>
        <v>-0.50870406189555506</v>
      </c>
      <c r="Q183">
        <f t="shared" ref="Q183" si="891">F183*P183</f>
        <v>-117525.3357756295</v>
      </c>
      <c r="R183">
        <f t="shared" ref="R183" si="892">R184+Q183</f>
        <v>-8738571.4150644839</v>
      </c>
      <c r="S183">
        <f t="shared" ref="S183" si="893">R183/100000</f>
        <v>-87.385714150644844</v>
      </c>
      <c r="T183">
        <f t="shared" ref="T183" si="894">S183/1000</f>
        <v>-8.7385714150644847E-2</v>
      </c>
    </row>
    <row r="184" spans="1:20" x14ac:dyDescent="0.25">
      <c r="A184" s="5">
        <v>44409</v>
      </c>
      <c r="B184">
        <v>9.0679999999999996</v>
      </c>
      <c r="C184">
        <v>9.31</v>
      </c>
      <c r="D184">
        <v>8.7330000000000005</v>
      </c>
      <c r="E184">
        <v>8.7899999999999991</v>
      </c>
      <c r="F184">
        <v>295982.18199999997</v>
      </c>
      <c r="G184">
        <v>8.7899999999999991</v>
      </c>
      <c r="L184" t="s">
        <v>8</v>
      </c>
      <c r="M184" t="s">
        <v>8</v>
      </c>
      <c r="N184" t="s">
        <v>7</v>
      </c>
      <c r="P184">
        <f t="shared" ref="P184" si="895">IF(C184=D184,0,((E184-D184)-(C184-E184))/(C184-D184))</f>
        <v>-0.80242634315425088</v>
      </c>
      <c r="Q184">
        <f t="shared" ref="Q184" si="896">F184*P184</f>
        <v>-237503.89994107591</v>
      </c>
      <c r="R184">
        <f t="shared" ref="R184" si="897">R185+Q184</f>
        <v>-8621046.0792888552</v>
      </c>
      <c r="S184">
        <f t="shared" ref="S184" si="898">R184/100000</f>
        <v>-86.210460792888554</v>
      </c>
      <c r="T184">
        <f t="shared" ref="T184" si="899">S184/1000</f>
        <v>-8.6210460792888549E-2</v>
      </c>
    </row>
    <row r="185" spans="1:20" x14ac:dyDescent="0.25">
      <c r="A185" s="5">
        <v>44408</v>
      </c>
      <c r="B185">
        <v>8.8580000000000005</v>
      </c>
      <c r="C185">
        <v>9.1720000000000006</v>
      </c>
      <c r="D185">
        <v>8.5909999999999993</v>
      </c>
      <c r="E185">
        <v>9.0909999999999993</v>
      </c>
      <c r="F185">
        <v>271825.761</v>
      </c>
      <c r="G185">
        <v>9.0909999999999993</v>
      </c>
      <c r="L185" t="s">
        <v>8</v>
      </c>
      <c r="M185" t="s">
        <v>8</v>
      </c>
      <c r="N185" t="s">
        <v>7</v>
      </c>
      <c r="P185">
        <f t="shared" ref="P185" si="900">IF(C185=D185,0,((E185-D185)-(C185-E185))/(C185-D185))</f>
        <v>0.72117039586918719</v>
      </c>
      <c r="Q185">
        <f t="shared" ref="Q185" si="901">F185*P185</f>
        <v>196032.69166781305</v>
      </c>
      <c r="R185">
        <f t="shared" ref="R185" si="902">R186+Q185</f>
        <v>-8383542.1793477787</v>
      </c>
      <c r="S185">
        <f t="shared" ref="S185" si="903">R185/100000</f>
        <v>-83.835421793477792</v>
      </c>
      <c r="T185">
        <f t="shared" ref="T185" si="904">S185/1000</f>
        <v>-8.3835421793477791E-2</v>
      </c>
    </row>
    <row r="186" spans="1:20" x14ac:dyDescent="0.25">
      <c r="A186" s="5">
        <v>44407</v>
      </c>
      <c r="B186">
        <v>8.968</v>
      </c>
      <c r="C186">
        <v>9.1999999999999993</v>
      </c>
      <c r="D186">
        <v>8.2759999999999998</v>
      </c>
      <c r="E186">
        <v>8.8239999999999998</v>
      </c>
      <c r="F186">
        <v>321554.04499999998</v>
      </c>
      <c r="G186">
        <v>8.8239999999999998</v>
      </c>
      <c r="L186" t="s">
        <v>7</v>
      </c>
      <c r="M186" t="s">
        <v>8</v>
      </c>
      <c r="N186" t="s">
        <v>7</v>
      </c>
      <c r="P186">
        <f t="shared" ref="P186" si="905">IF(C186=D186,0,((E186-D186)-(C186-E186))/(C186-D186))</f>
        <v>0.18614718614718689</v>
      </c>
      <c r="Q186">
        <f t="shared" ref="Q186" si="906">F186*P186</f>
        <v>59856.38067099591</v>
      </c>
      <c r="R186">
        <f t="shared" ref="R186" si="907">R187+Q186</f>
        <v>-8579574.8710155915</v>
      </c>
      <c r="S186">
        <f t="shared" ref="S186" si="908">R186/100000</f>
        <v>-85.79574871015592</v>
      </c>
      <c r="T186">
        <f t="shared" ref="T186" si="909">S186/1000</f>
        <v>-8.5795748710155925E-2</v>
      </c>
    </row>
    <row r="187" spans="1:20" x14ac:dyDescent="0.25">
      <c r="A187" s="5">
        <v>44406</v>
      </c>
      <c r="B187">
        <v>8.548</v>
      </c>
      <c r="C187">
        <v>9.0640000000000001</v>
      </c>
      <c r="D187">
        <v>8.4390000000000001</v>
      </c>
      <c r="E187">
        <v>8.9640000000000004</v>
      </c>
      <c r="F187">
        <v>148848.35399999999</v>
      </c>
      <c r="G187">
        <v>8.9640000000000004</v>
      </c>
      <c r="L187" t="s">
        <v>7</v>
      </c>
      <c r="M187" t="s">
        <v>8</v>
      </c>
      <c r="N187" t="s">
        <v>7</v>
      </c>
      <c r="P187">
        <f t="shared" ref="P187" si="910">IF(C187=D187,0,((E187-D187)-(C187-E187))/(C187-D187))</f>
        <v>0.68000000000000116</v>
      </c>
      <c r="Q187">
        <f t="shared" ref="Q187" si="911">F187*P187</f>
        <v>101216.88072000016</v>
      </c>
      <c r="R187">
        <f t="shared" ref="R187" si="912">R188+Q187</f>
        <v>-8639431.2516865879</v>
      </c>
      <c r="S187">
        <f t="shared" ref="S187" si="913">R187/100000</f>
        <v>-86.394312516865881</v>
      </c>
      <c r="T187">
        <f t="shared" ref="T187" si="914">S187/1000</f>
        <v>-8.6394312516865884E-2</v>
      </c>
    </row>
    <row r="188" spans="1:20" x14ac:dyDescent="0.25">
      <c r="A188" s="5">
        <v>44405</v>
      </c>
      <c r="B188">
        <v>8.6270000000000007</v>
      </c>
      <c r="C188">
        <v>9.3089999999999993</v>
      </c>
      <c r="D188">
        <v>8.3320000000000007</v>
      </c>
      <c r="E188">
        <v>8.5670000000000002</v>
      </c>
      <c r="F188">
        <v>286199.01</v>
      </c>
      <c r="G188">
        <v>8.5670000000000002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-0.51893551688843442</v>
      </c>
      <c r="Q188">
        <f t="shared" ref="Q188" si="916">F188*P188</f>
        <v>-148518.83118730821</v>
      </c>
      <c r="R188">
        <f t="shared" ref="R188" si="917">R189+Q188</f>
        <v>-8740648.1324065886</v>
      </c>
      <c r="S188">
        <f t="shared" ref="S188" si="918">R188/100000</f>
        <v>-87.406481324065879</v>
      </c>
      <c r="T188">
        <f t="shared" ref="T188" si="919">S188/1000</f>
        <v>-8.7406481324065879E-2</v>
      </c>
    </row>
    <row r="189" spans="1:20" x14ac:dyDescent="0.25">
      <c r="A189" s="5">
        <v>44404</v>
      </c>
      <c r="B189">
        <v>8.6140000000000008</v>
      </c>
      <c r="C189">
        <v>8.7349999999999994</v>
      </c>
      <c r="D189">
        <v>8.2449999999999992</v>
      </c>
      <c r="E189">
        <v>8.6300000000000008</v>
      </c>
      <c r="F189">
        <v>182439.08499999999</v>
      </c>
      <c r="G189">
        <v>8.6300000000000008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0.57142857142857717</v>
      </c>
      <c r="Q189">
        <f t="shared" ref="Q189" si="921">F189*P189</f>
        <v>104250.90571428675</v>
      </c>
      <c r="R189">
        <f t="shared" ref="R189" si="922">R190+Q189</f>
        <v>-8592129.3012192808</v>
      </c>
      <c r="S189">
        <f t="shared" ref="S189" si="923">R189/100000</f>
        <v>-85.921293012192805</v>
      </c>
      <c r="T189">
        <f t="shared" ref="T189" si="924">S189/1000</f>
        <v>-8.5921293012192812E-2</v>
      </c>
    </row>
    <row r="190" spans="1:20" x14ac:dyDescent="0.25">
      <c r="A190" s="5">
        <v>44403</v>
      </c>
      <c r="B190">
        <v>8.4469999999999992</v>
      </c>
      <c r="C190">
        <v>9.3420000000000005</v>
      </c>
      <c r="D190">
        <v>8.3719999999999999</v>
      </c>
      <c r="E190">
        <v>8.6300000000000008</v>
      </c>
      <c r="F190">
        <v>336083.27299999999</v>
      </c>
      <c r="G190">
        <v>8.6300000000000008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-0.46804123711340057</v>
      </c>
      <c r="Q190">
        <f t="shared" ref="Q190" si="926">F190*P190</f>
        <v>-157300.83086804074</v>
      </c>
      <c r="R190">
        <f t="shared" ref="R190" si="927">R191+Q190</f>
        <v>-8696380.2069335673</v>
      </c>
      <c r="S190">
        <f t="shared" ref="S190" si="928">R190/100000</f>
        <v>-86.963802069335671</v>
      </c>
      <c r="T190">
        <f t="shared" ref="T190" si="929">S190/1000</f>
        <v>-8.6963802069335669E-2</v>
      </c>
    </row>
    <row r="191" spans="1:20" x14ac:dyDescent="0.25">
      <c r="A191" s="5">
        <v>44402</v>
      </c>
      <c r="B191">
        <v>8.5229999999999997</v>
      </c>
      <c r="C191">
        <v>8.56</v>
      </c>
      <c r="D191">
        <v>8.1509999999999998</v>
      </c>
      <c r="E191">
        <v>8.4309999999999992</v>
      </c>
      <c r="F191">
        <v>222707.81599999999</v>
      </c>
      <c r="G191">
        <v>8.4309999999999992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0.36919315403422437</v>
      </c>
      <c r="Q191">
        <f t="shared" ref="Q191" si="931">F191*P191</f>
        <v>82222.201017113694</v>
      </c>
      <c r="R191">
        <f t="shared" ref="R191" si="932">R192+Q191</f>
        <v>-8539079.3760655262</v>
      </c>
      <c r="S191">
        <f t="shared" ref="S191" si="933">R191/100000</f>
        <v>-85.390793760655257</v>
      </c>
      <c r="T191">
        <f t="shared" ref="T191:T197" si="934">S191/1000</f>
        <v>-8.5390793760655254E-2</v>
      </c>
    </row>
    <row r="192" spans="1:20" x14ac:dyDescent="0.25">
      <c r="A192" s="5">
        <v>44401</v>
      </c>
      <c r="B192">
        <v>8.4730000000000008</v>
      </c>
      <c r="C192">
        <v>8.6549999999999994</v>
      </c>
      <c r="D192">
        <v>8.2859999999999996</v>
      </c>
      <c r="E192">
        <v>8.5280000000000005</v>
      </c>
      <c r="F192">
        <v>97110.857000000004</v>
      </c>
      <c r="G192">
        <v>8.5280000000000005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0.31165311653117089</v>
      </c>
      <c r="Q192">
        <f t="shared" ref="Q192" si="936">F192*P192</f>
        <v>30264.901233062872</v>
      </c>
      <c r="R192">
        <f t="shared" ref="R192" si="937">R193+Q192</f>
        <v>-8621301.5770826396</v>
      </c>
      <c r="S192">
        <f t="shared" ref="S192" si="938">R192/100000</f>
        <v>-86.213015770826402</v>
      </c>
      <c r="T192">
        <f t="shared" si="934"/>
        <v>-8.6213015770826407E-2</v>
      </c>
    </row>
    <row r="193" spans="1:20" x14ac:dyDescent="0.25">
      <c r="A193" s="5">
        <v>44400</v>
      </c>
      <c r="B193">
        <v>8.5079999999999991</v>
      </c>
      <c r="C193">
        <v>8.6620000000000008</v>
      </c>
      <c r="D193">
        <v>8.0559999999999992</v>
      </c>
      <c r="E193">
        <v>8.4830000000000005</v>
      </c>
      <c r="F193">
        <v>143119.397</v>
      </c>
      <c r="G193">
        <v>8.4830000000000005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0.40924092409240997</v>
      </c>
      <c r="Q193">
        <f t="shared" ref="Q193" si="940">F193*P193</f>
        <v>58570.314283828484</v>
      </c>
      <c r="R193">
        <f t="shared" ref="R193" si="941">R194+Q193</f>
        <v>-8651566.4783157017</v>
      </c>
      <c r="S193">
        <f t="shared" ref="S193" si="942">R193/100000</f>
        <v>-86.515664783157021</v>
      </c>
      <c r="T193">
        <f t="shared" si="934"/>
        <v>-8.6515664783157017E-2</v>
      </c>
    </row>
    <row r="194" spans="1:20" x14ac:dyDescent="0.25">
      <c r="A194" s="5">
        <v>44399</v>
      </c>
      <c r="B194">
        <v>8.0280000000000005</v>
      </c>
      <c r="C194">
        <v>8.6059999999999999</v>
      </c>
      <c r="D194">
        <v>7.9029999999999996</v>
      </c>
      <c r="E194">
        <v>8.5090000000000003</v>
      </c>
      <c r="F194">
        <v>191645.08499999999</v>
      </c>
      <c r="G194">
        <v>8.5090000000000003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0.7240398293029886</v>
      </c>
      <c r="Q194">
        <f t="shared" ref="Q194" si="944">F194*P194</f>
        <v>138758.67463015675</v>
      </c>
      <c r="R194">
        <f t="shared" ref="R194" si="945">R195+Q194</f>
        <v>-8710136.7925995309</v>
      </c>
      <c r="S194">
        <f t="shared" ref="S194" si="946">R194/100000</f>
        <v>-87.101367925995305</v>
      </c>
      <c r="T194">
        <f t="shared" si="934"/>
        <v>-8.7101367925995307E-2</v>
      </c>
    </row>
    <row r="195" spans="1:20" x14ac:dyDescent="0.25">
      <c r="A195" s="5">
        <v>44398</v>
      </c>
      <c r="B195">
        <v>7.6130000000000004</v>
      </c>
      <c r="C195">
        <v>8.2330000000000005</v>
      </c>
      <c r="D195">
        <v>7.31</v>
      </c>
      <c r="E195">
        <v>8.0139999999999993</v>
      </c>
      <c r="F195">
        <v>246093.82699999999</v>
      </c>
      <c r="G195">
        <v>8.0139999999999993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0.52546045503791772</v>
      </c>
      <c r="Q195">
        <f t="shared" ref="Q195" si="948">F195*P195</f>
        <v>129312.5743174426</v>
      </c>
      <c r="R195">
        <f t="shared" ref="R195" si="949">R196+Q195</f>
        <v>-8848895.4672296885</v>
      </c>
      <c r="S195">
        <f t="shared" ref="S195" si="950">R195/100000</f>
        <v>-88.488954672296884</v>
      </c>
      <c r="T195">
        <f t="shared" si="934"/>
        <v>-8.848895467229688E-2</v>
      </c>
    </row>
    <row r="196" spans="1:20" x14ac:dyDescent="0.25">
      <c r="A196" s="5">
        <v>44397</v>
      </c>
      <c r="B196">
        <v>7.835</v>
      </c>
      <c r="C196">
        <v>8.0239999999999991</v>
      </c>
      <c r="D196">
        <v>7.2770000000000001</v>
      </c>
      <c r="E196">
        <v>7.6079999999999997</v>
      </c>
      <c r="F196">
        <v>103864.82399999999</v>
      </c>
      <c r="G196">
        <v>7.6079999999999997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-0.1137884872824633</v>
      </c>
      <c r="Q196">
        <f t="shared" ref="Q196" si="952">F196*P196</f>
        <v>-11818.621204819288</v>
      </c>
      <c r="R196">
        <f t="shared" ref="R196" si="953">R197+Q196</f>
        <v>-8978208.0415471308</v>
      </c>
      <c r="S196">
        <f t="shared" ref="S196" si="954">R196/100000</f>
        <v>-89.782080415471313</v>
      </c>
      <c r="T196">
        <f t="shared" si="934"/>
        <v>-8.978208041547131E-2</v>
      </c>
    </row>
    <row r="197" spans="1:20" x14ac:dyDescent="0.25">
      <c r="A197" s="5">
        <v>44396</v>
      </c>
      <c r="B197">
        <v>8.34</v>
      </c>
      <c r="C197">
        <v>8.5510000000000002</v>
      </c>
      <c r="D197">
        <v>7.8390000000000004</v>
      </c>
      <c r="E197">
        <v>7.8449999999999998</v>
      </c>
      <c r="F197">
        <v>239382.73699999999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-0.98314606741573218</v>
      </c>
      <c r="Q197">
        <f t="shared" ref="Q197" si="956">F197*P197</f>
        <v>-235348.19648876449</v>
      </c>
      <c r="R197">
        <f t="shared" ref="R197" si="957">R198+Q197</f>
        <v>-8966389.4203423113</v>
      </c>
      <c r="S197">
        <f t="shared" ref="S197" si="958">R197/100000</f>
        <v>-89.663894203423112</v>
      </c>
      <c r="T197">
        <f t="shared" si="934"/>
        <v>-8.9663894203423106E-2</v>
      </c>
    </row>
    <row r="198" spans="1:20" x14ac:dyDescent="0.25">
      <c r="A198" s="5">
        <v>44395</v>
      </c>
      <c r="B198">
        <v>8.2240000000000002</v>
      </c>
      <c r="C198">
        <v>8.6140000000000008</v>
      </c>
      <c r="D198">
        <v>8.1579999999999995</v>
      </c>
      <c r="E198">
        <v>8.34</v>
      </c>
      <c r="F198">
        <v>89239.668999999994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-0.20175438596491285</v>
      </c>
      <c r="Q198">
        <f t="shared" ref="Q198:Q261" si="960">F198*P198</f>
        <v>-18004.494622807066</v>
      </c>
      <c r="R198">
        <f t="shared" ref="R198:R261" si="961">R199+Q198</f>
        <v>-8731041.2238535471</v>
      </c>
      <c r="S198">
        <f t="shared" ref="S198:S261" si="962">R198/100000</f>
        <v>-87.310412238535477</v>
      </c>
      <c r="T198">
        <f t="shared" ref="T198:T261" si="963">S198/1000</f>
        <v>-8.7310412238535473E-2</v>
      </c>
    </row>
    <row r="199" spans="1:20" x14ac:dyDescent="0.25">
      <c r="A199" s="5">
        <v>44394</v>
      </c>
      <c r="B199">
        <v>8.5129999999999999</v>
      </c>
      <c r="C199">
        <v>8.6630000000000003</v>
      </c>
      <c r="D199">
        <v>8.1110000000000007</v>
      </c>
      <c r="E199">
        <v>8.2230000000000008</v>
      </c>
      <c r="F199">
        <v>172971.18599999999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-0.59420289855072395</v>
      </c>
      <c r="Q199">
        <f t="shared" si="960"/>
        <v>-102779.98008695639</v>
      </c>
      <c r="R199">
        <f t="shared" si="961"/>
        <v>-8713036.7292307392</v>
      </c>
      <c r="S199">
        <f t="shared" si="962"/>
        <v>-87.130367292307398</v>
      </c>
      <c r="T199">
        <f t="shared" si="963"/>
        <v>-8.7130367292307401E-2</v>
      </c>
    </row>
    <row r="200" spans="1:20" x14ac:dyDescent="0.25">
      <c r="A200" s="5">
        <v>44393</v>
      </c>
      <c r="B200">
        <v>8.1739999999999995</v>
      </c>
      <c r="C200">
        <v>9.4990000000000006</v>
      </c>
      <c r="D200">
        <v>8.1440000000000001</v>
      </c>
      <c r="E200">
        <v>8.5299999999999994</v>
      </c>
      <c r="F200">
        <v>581799.77500000002</v>
      </c>
      <c r="G200">
        <v>0</v>
      </c>
      <c r="L200" t="s">
        <v>8</v>
      </c>
      <c r="M200" t="s">
        <v>8</v>
      </c>
      <c r="N200" t="s">
        <v>7</v>
      </c>
      <c r="P200">
        <f t="shared" si="959"/>
        <v>-0.43025830258302716</v>
      </c>
      <c r="Q200">
        <f t="shared" si="960"/>
        <v>-250324.18363468713</v>
      </c>
      <c r="R200">
        <f t="shared" si="961"/>
        <v>-8610256.749143783</v>
      </c>
      <c r="S200">
        <f t="shared" si="962"/>
        <v>-86.102567491437824</v>
      </c>
      <c r="T200">
        <f t="shared" si="963"/>
        <v>-8.6102567491437826E-2</v>
      </c>
    </row>
    <row r="201" spans="1:20" x14ac:dyDescent="0.25">
      <c r="A201" s="5">
        <v>44392</v>
      </c>
      <c r="B201">
        <v>8.5719999999999992</v>
      </c>
      <c r="C201">
        <v>8.7420000000000009</v>
      </c>
      <c r="D201">
        <v>7.9749999999999996</v>
      </c>
      <c r="E201">
        <v>8.1669999999999998</v>
      </c>
      <c r="F201">
        <v>96506.682000000001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-0.49934810951760139</v>
      </c>
      <c r="Q201">
        <f t="shared" si="960"/>
        <v>-48190.429212516334</v>
      </c>
      <c r="R201">
        <f t="shared" si="961"/>
        <v>-8359932.5655090967</v>
      </c>
      <c r="S201">
        <f t="shared" si="962"/>
        <v>-83.599325655090965</v>
      </c>
      <c r="T201">
        <f t="shared" si="963"/>
        <v>-8.359932565509097E-2</v>
      </c>
    </row>
    <row r="202" spans="1:20" x14ac:dyDescent="0.25">
      <c r="A202" s="5">
        <v>44391</v>
      </c>
      <c r="B202">
        <v>8.4369999999999994</v>
      </c>
      <c r="C202">
        <v>8.7210000000000001</v>
      </c>
      <c r="D202">
        <v>8.0030000000000001</v>
      </c>
      <c r="E202">
        <v>8.5719999999999992</v>
      </c>
      <c r="F202">
        <v>139693.448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0.58495821727019248</v>
      </c>
      <c r="Q202">
        <f t="shared" si="960"/>
        <v>81714.830306406337</v>
      </c>
      <c r="R202">
        <f t="shared" si="961"/>
        <v>-8311742.1362965805</v>
      </c>
      <c r="S202">
        <f t="shared" si="962"/>
        <v>-83.1174213629658</v>
      </c>
      <c r="T202">
        <f t="shared" si="963"/>
        <v>-8.3117421362965793E-2</v>
      </c>
    </row>
    <row r="203" spans="1:20" x14ac:dyDescent="0.25">
      <c r="A203" s="5">
        <v>44390</v>
      </c>
      <c r="B203">
        <v>8.9120000000000008</v>
      </c>
      <c r="C203">
        <v>8.9459999999999997</v>
      </c>
      <c r="D203">
        <v>8.3450000000000006</v>
      </c>
      <c r="E203">
        <v>8.4179999999999993</v>
      </c>
      <c r="F203">
        <v>136478.742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-0.75707154742096927</v>
      </c>
      <c r="Q203">
        <f t="shared" si="960"/>
        <v>-103324.17239600723</v>
      </c>
      <c r="R203">
        <f t="shared" si="961"/>
        <v>-8393456.9666029867</v>
      </c>
      <c r="S203">
        <f t="shared" si="962"/>
        <v>-83.934569666029873</v>
      </c>
      <c r="T203">
        <f t="shared" si="963"/>
        <v>-8.3934569666029871E-2</v>
      </c>
    </row>
    <row r="204" spans="1:20" x14ac:dyDescent="0.25">
      <c r="A204" s="5">
        <v>44389</v>
      </c>
      <c r="B204">
        <v>9.3219999999999992</v>
      </c>
      <c r="C204">
        <v>9.8719999999999999</v>
      </c>
      <c r="D204">
        <v>8.718</v>
      </c>
      <c r="E204">
        <v>8.8970000000000002</v>
      </c>
      <c r="F204">
        <v>161986.774</v>
      </c>
      <c r="G204">
        <v>0</v>
      </c>
      <c r="L204" t="s">
        <v>8</v>
      </c>
      <c r="M204" t="s">
        <v>7</v>
      </c>
      <c r="N204" t="s">
        <v>8</v>
      </c>
      <c r="P204">
        <f t="shared" si="959"/>
        <v>-0.68977469670710523</v>
      </c>
      <c r="Q204">
        <f t="shared" si="960"/>
        <v>-111734.3779064124</v>
      </c>
      <c r="R204">
        <f t="shared" si="961"/>
        <v>-8290132.7942069788</v>
      </c>
      <c r="S204">
        <f t="shared" si="962"/>
        <v>-82.901327942069784</v>
      </c>
      <c r="T204">
        <f t="shared" si="963"/>
        <v>-8.290132794206978E-2</v>
      </c>
    </row>
    <row r="205" spans="1:20" x14ac:dyDescent="0.25">
      <c r="A205" s="5">
        <v>44388</v>
      </c>
      <c r="B205">
        <v>9.0280000000000005</v>
      </c>
      <c r="C205">
        <v>9.548</v>
      </c>
      <c r="D205">
        <v>8.8010000000000002</v>
      </c>
      <c r="E205">
        <v>9.3040000000000003</v>
      </c>
      <c r="F205">
        <v>110254.864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0.34672021419009424</v>
      </c>
      <c r="Q205">
        <f t="shared" si="960"/>
        <v>38227.590061579715</v>
      </c>
      <c r="R205">
        <f t="shared" si="961"/>
        <v>-8178398.4163005659</v>
      </c>
      <c r="S205">
        <f t="shared" si="962"/>
        <v>-81.783984163005655</v>
      </c>
      <c r="T205">
        <f t="shared" si="963"/>
        <v>-8.1783984163005655E-2</v>
      </c>
    </row>
    <row r="206" spans="1:20" x14ac:dyDescent="0.25">
      <c r="A206" s="5">
        <v>44387</v>
      </c>
      <c r="B206">
        <v>9.2550000000000008</v>
      </c>
      <c r="C206">
        <v>9.4380000000000006</v>
      </c>
      <c r="D206">
        <v>8.8670000000000009</v>
      </c>
      <c r="E206">
        <v>9.0299999999999994</v>
      </c>
      <c r="F206">
        <v>95453.467000000004</v>
      </c>
      <c r="G206">
        <v>0</v>
      </c>
      <c r="L206" t="s">
        <v>7</v>
      </c>
      <c r="M206" t="s">
        <v>7</v>
      </c>
      <c r="N206" t="s">
        <v>8</v>
      </c>
      <c r="P206">
        <f t="shared" si="959"/>
        <v>-0.42907180385289473</v>
      </c>
      <c r="Q206">
        <f t="shared" si="960"/>
        <v>-40956.391269702763</v>
      </c>
      <c r="R206">
        <f t="shared" si="961"/>
        <v>-8216626.0063621458</v>
      </c>
      <c r="S206">
        <f t="shared" si="962"/>
        <v>-82.166260063621451</v>
      </c>
      <c r="T206">
        <f t="shared" si="963"/>
        <v>-8.2166260063621446E-2</v>
      </c>
    </row>
    <row r="207" spans="1:20" x14ac:dyDescent="0.25">
      <c r="A207" s="5">
        <v>44386</v>
      </c>
      <c r="B207">
        <v>9.3190000000000008</v>
      </c>
      <c r="C207">
        <v>9.4830000000000005</v>
      </c>
      <c r="D207">
        <v>8.9120000000000008</v>
      </c>
      <c r="E207">
        <v>9.2560000000000002</v>
      </c>
      <c r="F207">
        <v>215801.90900000001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0.20490367775831728</v>
      </c>
      <c r="Q207">
        <f t="shared" si="960"/>
        <v>44218.604821365712</v>
      </c>
      <c r="R207">
        <f t="shared" si="961"/>
        <v>-8175669.6150924433</v>
      </c>
      <c r="S207">
        <f t="shared" si="962"/>
        <v>-81.756696150924427</v>
      </c>
      <c r="T207">
        <f t="shared" si="963"/>
        <v>-8.1756696150924429E-2</v>
      </c>
    </row>
    <row r="208" spans="1:20" x14ac:dyDescent="0.25">
      <c r="A208" s="5">
        <v>44385</v>
      </c>
      <c r="B208">
        <v>9.9019999999999992</v>
      </c>
      <c r="C208">
        <v>9.9260000000000002</v>
      </c>
      <c r="D208">
        <v>9.1199999999999992</v>
      </c>
      <c r="E208">
        <v>9.35</v>
      </c>
      <c r="F208">
        <v>271138.66399999999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-0.42928039702233212</v>
      </c>
      <c r="Q208">
        <f t="shared" si="960"/>
        <v>-116394.51333002471</v>
      </c>
      <c r="R208">
        <f t="shared" si="961"/>
        <v>-8219888.2199138086</v>
      </c>
      <c r="S208">
        <f t="shared" si="962"/>
        <v>-82.198882199138083</v>
      </c>
      <c r="T208">
        <f t="shared" si="963"/>
        <v>-8.2198882199138082E-2</v>
      </c>
    </row>
    <row r="209" spans="1:20" x14ac:dyDescent="0.25">
      <c r="A209" s="5">
        <v>44384</v>
      </c>
      <c r="B209">
        <v>9.8520000000000003</v>
      </c>
      <c r="C209">
        <v>11</v>
      </c>
      <c r="D209">
        <v>9.6869999999999994</v>
      </c>
      <c r="E209">
        <v>9.9220000000000006</v>
      </c>
      <c r="F209">
        <v>290456.70799999998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-0.64204112718964035</v>
      </c>
      <c r="Q209">
        <f t="shared" si="960"/>
        <v>-186485.15220411221</v>
      </c>
      <c r="R209">
        <f t="shared" si="961"/>
        <v>-8103493.706583784</v>
      </c>
      <c r="S209">
        <f t="shared" si="962"/>
        <v>-81.034937065837838</v>
      </c>
      <c r="T209">
        <f t="shared" si="963"/>
        <v>-8.1034937065837837E-2</v>
      </c>
    </row>
    <row r="210" spans="1:20" x14ac:dyDescent="0.25">
      <c r="A210" s="5">
        <v>44383</v>
      </c>
      <c r="B210">
        <v>9.4529999999999994</v>
      </c>
      <c r="C210">
        <v>10.558</v>
      </c>
      <c r="D210">
        <v>9.4489999999999998</v>
      </c>
      <c r="E210">
        <v>9.8819999999999997</v>
      </c>
      <c r="F210">
        <v>257070.035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-0.21911632100991915</v>
      </c>
      <c r="Q210">
        <f t="shared" si="960"/>
        <v>-56328.240311091155</v>
      </c>
      <c r="R210">
        <f t="shared" si="961"/>
        <v>-7917008.5543796718</v>
      </c>
      <c r="S210">
        <f t="shared" si="962"/>
        <v>-79.170085543796716</v>
      </c>
      <c r="T210">
        <f t="shared" si="963"/>
        <v>-7.9170085543796717E-2</v>
      </c>
    </row>
    <row r="211" spans="1:20" x14ac:dyDescent="0.25">
      <c r="A211" s="5">
        <v>44382</v>
      </c>
      <c r="B211">
        <v>9.85</v>
      </c>
      <c r="C211">
        <v>9.9329999999999998</v>
      </c>
      <c r="D211">
        <v>9.14</v>
      </c>
      <c r="E211">
        <v>9.4480000000000004</v>
      </c>
      <c r="F211">
        <v>147051.345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-0.22320302648171472</v>
      </c>
      <c r="Q211">
        <f t="shared" si="960"/>
        <v>-32822.305252206766</v>
      </c>
      <c r="R211">
        <f t="shared" si="961"/>
        <v>-7860680.314068581</v>
      </c>
      <c r="S211">
        <f t="shared" si="962"/>
        <v>-78.606803140685813</v>
      </c>
      <c r="T211">
        <f t="shared" si="963"/>
        <v>-7.8606803140685813E-2</v>
      </c>
    </row>
    <row r="212" spans="1:20" x14ac:dyDescent="0.25">
      <c r="A212" s="5">
        <v>44381</v>
      </c>
      <c r="B212">
        <v>9.4030000000000005</v>
      </c>
      <c r="C212">
        <v>10.481</v>
      </c>
      <c r="D212">
        <v>9.1829999999999998</v>
      </c>
      <c r="E212">
        <v>9.86</v>
      </c>
      <c r="F212">
        <v>210214.76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4.3143297380584866E-2</v>
      </c>
      <c r="Q212">
        <f t="shared" si="960"/>
        <v>9069.3579044682774</v>
      </c>
      <c r="R212">
        <f t="shared" si="961"/>
        <v>-7827858.0088163745</v>
      </c>
      <c r="S212">
        <f t="shared" si="962"/>
        <v>-78.27858008816375</v>
      </c>
      <c r="T212">
        <f t="shared" si="963"/>
        <v>-7.8278580088163754E-2</v>
      </c>
    </row>
    <row r="213" spans="1:20" x14ac:dyDescent="0.25">
      <c r="A213" s="5">
        <v>44380</v>
      </c>
      <c r="B213">
        <v>8.7829999999999995</v>
      </c>
      <c r="C213">
        <v>9.6449999999999996</v>
      </c>
      <c r="D213">
        <v>8.7050000000000001</v>
      </c>
      <c r="E213">
        <v>9.3849999999999998</v>
      </c>
      <c r="F213">
        <v>151297.367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0.44680851063829802</v>
      </c>
      <c r="Q213">
        <f t="shared" si="960"/>
        <v>67600.951212765984</v>
      </c>
      <c r="R213">
        <f t="shared" si="961"/>
        <v>-7836927.3667208431</v>
      </c>
      <c r="S213">
        <f t="shared" si="962"/>
        <v>-78.369273667208432</v>
      </c>
      <c r="T213">
        <f t="shared" si="963"/>
        <v>-7.8369273667208431E-2</v>
      </c>
    </row>
    <row r="214" spans="1:20" x14ac:dyDescent="0.25">
      <c r="A214" s="5">
        <v>44379</v>
      </c>
      <c r="B214">
        <v>9.1020000000000003</v>
      </c>
      <c r="C214">
        <v>9.1839999999999993</v>
      </c>
      <c r="D214">
        <v>8.3699999999999992</v>
      </c>
      <c r="E214">
        <v>8.7629999999999999</v>
      </c>
      <c r="F214">
        <v>206621.196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-3.4398034398032788E-2</v>
      </c>
      <c r="Q214">
        <f t="shared" si="960"/>
        <v>-7107.3630073706745</v>
      </c>
      <c r="R214">
        <f t="shared" si="961"/>
        <v>-7904528.3179336088</v>
      </c>
      <c r="S214">
        <f t="shared" si="962"/>
        <v>-79.045283179336082</v>
      </c>
      <c r="T214">
        <f t="shared" si="963"/>
        <v>-7.9045283179336082E-2</v>
      </c>
    </row>
    <row r="215" spans="1:20" x14ac:dyDescent="0.25">
      <c r="A215" s="5">
        <v>44378</v>
      </c>
      <c r="B215">
        <v>9.9250000000000007</v>
      </c>
      <c r="C215">
        <v>9.9260000000000002</v>
      </c>
      <c r="D215">
        <v>9.0009999999999994</v>
      </c>
      <c r="E215">
        <v>9.109</v>
      </c>
      <c r="F215">
        <v>227539.408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-0.76648648648648554</v>
      </c>
      <c r="Q215">
        <f t="shared" si="960"/>
        <v>-174405.88137513492</v>
      </c>
      <c r="R215">
        <f t="shared" si="961"/>
        <v>-7897420.9549262384</v>
      </c>
      <c r="S215">
        <f t="shared" si="962"/>
        <v>-78.974209549262383</v>
      </c>
      <c r="T215">
        <f t="shared" si="963"/>
        <v>-7.8974209549262389E-2</v>
      </c>
    </row>
    <row r="216" spans="1:20" x14ac:dyDescent="0.25">
      <c r="A216" s="5">
        <v>44377</v>
      </c>
      <c r="B216">
        <v>8.9369999999999994</v>
      </c>
      <c r="C216">
        <v>11.398</v>
      </c>
      <c r="D216">
        <v>8.843</v>
      </c>
      <c r="E216">
        <v>9.93</v>
      </c>
      <c r="F216">
        <v>1052560.933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-0.14911937377690812</v>
      </c>
      <c r="Q216">
        <f t="shared" si="960"/>
        <v>-156957.22719099815</v>
      </c>
      <c r="R216">
        <f t="shared" si="961"/>
        <v>-7723015.0735511035</v>
      </c>
      <c r="S216">
        <f t="shared" si="962"/>
        <v>-77.230150735511032</v>
      </c>
      <c r="T216">
        <f t="shared" si="963"/>
        <v>-7.7230150735511038E-2</v>
      </c>
    </row>
    <row r="217" spans="1:20" x14ac:dyDescent="0.25">
      <c r="A217" s="5">
        <v>44376</v>
      </c>
      <c r="B217">
        <v>8.6839999999999993</v>
      </c>
      <c r="C217">
        <v>9.2070000000000007</v>
      </c>
      <c r="D217">
        <v>8.5649999999999995</v>
      </c>
      <c r="E217">
        <v>8.9339999999999993</v>
      </c>
      <c r="F217">
        <v>221087.867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0.14953271028037091</v>
      </c>
      <c r="Q217">
        <f t="shared" si="960"/>
        <v>33059.867962616176</v>
      </c>
      <c r="R217">
        <f t="shared" si="961"/>
        <v>-7566057.8463601051</v>
      </c>
      <c r="S217">
        <f t="shared" si="962"/>
        <v>-75.660578463601055</v>
      </c>
      <c r="T217">
        <f t="shared" si="963"/>
        <v>-7.5660578463601053E-2</v>
      </c>
    </row>
    <row r="218" spans="1:20" x14ac:dyDescent="0.25">
      <c r="A218" s="5">
        <v>44375</v>
      </c>
      <c r="B218">
        <v>8.3789999999999996</v>
      </c>
      <c r="C218">
        <v>8.89</v>
      </c>
      <c r="D218">
        <v>8.282</v>
      </c>
      <c r="E218">
        <v>8.6679999999999993</v>
      </c>
      <c r="F218">
        <v>188486.182</v>
      </c>
      <c r="G218">
        <v>0</v>
      </c>
      <c r="L218" t="s">
        <v>8</v>
      </c>
      <c r="M218" t="s">
        <v>7</v>
      </c>
      <c r="N218" t="s">
        <v>7</v>
      </c>
      <c r="P218">
        <f t="shared" si="959"/>
        <v>0.2697368421052595</v>
      </c>
      <c r="Q218">
        <f t="shared" si="960"/>
        <v>50841.667513157205</v>
      </c>
      <c r="R218">
        <f t="shared" si="961"/>
        <v>-7599117.7143227216</v>
      </c>
      <c r="S218">
        <f t="shared" si="962"/>
        <v>-75.991177143227219</v>
      </c>
      <c r="T218">
        <f t="shared" si="963"/>
        <v>-7.5991177143227215E-2</v>
      </c>
    </row>
    <row r="219" spans="1:20" x14ac:dyDescent="0.25">
      <c r="A219" s="5">
        <v>44374</v>
      </c>
      <c r="B219">
        <v>7.9569999999999999</v>
      </c>
      <c r="C219">
        <v>8.3889999999999993</v>
      </c>
      <c r="D219">
        <v>7.8410000000000002</v>
      </c>
      <c r="E219">
        <v>8.3889999999999993</v>
      </c>
      <c r="F219">
        <v>196671.54800000001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1</v>
      </c>
      <c r="Q219">
        <f t="shared" si="960"/>
        <v>196671.54800000001</v>
      </c>
      <c r="R219">
        <f t="shared" si="961"/>
        <v>-7649959.3818358788</v>
      </c>
      <c r="S219">
        <f t="shared" si="962"/>
        <v>-76.49959381835879</v>
      </c>
      <c r="T219">
        <f t="shared" si="963"/>
        <v>-7.6499593818358788E-2</v>
      </c>
    </row>
    <row r="220" spans="1:20" x14ac:dyDescent="0.25">
      <c r="A220" s="5">
        <v>44373</v>
      </c>
      <c r="B220">
        <v>8.0790000000000006</v>
      </c>
      <c r="C220">
        <v>8.36</v>
      </c>
      <c r="D220">
        <v>7.55</v>
      </c>
      <c r="E220">
        <v>7.9409999999999998</v>
      </c>
      <c r="F220">
        <v>249335.717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-3.4567901234567398E-2</v>
      </c>
      <c r="Q220">
        <f t="shared" si="960"/>
        <v>-8619.0124395060484</v>
      </c>
      <c r="R220">
        <f t="shared" si="961"/>
        <v>-7846630.9298358792</v>
      </c>
      <c r="S220">
        <f t="shared" si="962"/>
        <v>-78.466309298358794</v>
      </c>
      <c r="T220">
        <f t="shared" si="963"/>
        <v>-7.8466309298358794E-2</v>
      </c>
    </row>
    <row r="221" spans="1:20" x14ac:dyDescent="0.25">
      <c r="A221" s="5">
        <v>44372</v>
      </c>
      <c r="B221">
        <v>9.1430000000000007</v>
      </c>
      <c r="C221">
        <v>9.4440000000000008</v>
      </c>
      <c r="D221">
        <v>7.9320000000000004</v>
      </c>
      <c r="E221">
        <v>8.0779999999999994</v>
      </c>
      <c r="F221">
        <v>519137.64199999999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-0.80687830687830819</v>
      </c>
      <c r="Q221">
        <f t="shared" si="960"/>
        <v>-418880.90161375731</v>
      </c>
      <c r="R221">
        <f t="shared" si="961"/>
        <v>-7838011.9173963731</v>
      </c>
      <c r="S221">
        <f t="shared" si="962"/>
        <v>-78.380119173963735</v>
      </c>
      <c r="T221">
        <f t="shared" si="963"/>
        <v>-7.838011917396373E-2</v>
      </c>
    </row>
    <row r="222" spans="1:20" x14ac:dyDescent="0.25">
      <c r="A222" s="5">
        <v>44371</v>
      </c>
      <c r="B222">
        <v>8.8390000000000004</v>
      </c>
      <c r="C222">
        <v>9.19</v>
      </c>
      <c r="D222">
        <v>8.5389999999999997</v>
      </c>
      <c r="E222">
        <v>9.1300000000000008</v>
      </c>
      <c r="F222">
        <v>175164.17199999999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0.81566820276498087</v>
      </c>
      <c r="Q222">
        <f t="shared" si="960"/>
        <v>142875.84536405597</v>
      </c>
      <c r="R222">
        <f t="shared" si="961"/>
        <v>-7419131.0157826161</v>
      </c>
      <c r="S222">
        <f t="shared" si="962"/>
        <v>-74.191310157826166</v>
      </c>
      <c r="T222">
        <f t="shared" si="963"/>
        <v>-7.4191310157826165E-2</v>
      </c>
    </row>
    <row r="223" spans="1:20" x14ac:dyDescent="0.25">
      <c r="A223" s="5">
        <v>44370</v>
      </c>
      <c r="B223">
        <v>8.7850000000000001</v>
      </c>
      <c r="C223">
        <v>9.4220000000000006</v>
      </c>
      <c r="D223">
        <v>8.5939999999999994</v>
      </c>
      <c r="E223">
        <v>8.8390000000000004</v>
      </c>
      <c r="F223">
        <v>193821.23699999999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-0.40821256038647186</v>
      </c>
      <c r="Q223">
        <f t="shared" si="960"/>
        <v>-79120.263413043169</v>
      </c>
      <c r="R223">
        <f t="shared" si="961"/>
        <v>-7562006.8611466717</v>
      </c>
      <c r="S223">
        <f t="shared" si="962"/>
        <v>-75.620068611466721</v>
      </c>
      <c r="T223">
        <f t="shared" si="963"/>
        <v>-7.5620068611466723E-2</v>
      </c>
    </row>
    <row r="224" spans="1:20" x14ac:dyDescent="0.25">
      <c r="A224" s="5">
        <v>44369</v>
      </c>
      <c r="B224">
        <v>8.5380000000000003</v>
      </c>
      <c r="C224">
        <v>8.9949999999999992</v>
      </c>
      <c r="D224">
        <v>7.4749999999999996</v>
      </c>
      <c r="E224">
        <v>8.77</v>
      </c>
      <c r="F224">
        <v>385201.33100000001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0.70394736842105299</v>
      </c>
      <c r="Q224">
        <f t="shared" si="960"/>
        <v>271161.46326973697</v>
      </c>
      <c r="R224">
        <f t="shared" si="961"/>
        <v>-7482886.5977336289</v>
      </c>
      <c r="S224">
        <f t="shared" si="962"/>
        <v>-74.828865977336292</v>
      </c>
      <c r="T224">
        <f t="shared" si="963"/>
        <v>-7.482886597733629E-2</v>
      </c>
    </row>
    <row r="225" spans="1:20" x14ac:dyDescent="0.25">
      <c r="A225" s="5">
        <v>44368</v>
      </c>
      <c r="B225">
        <v>10.74</v>
      </c>
      <c r="C225">
        <v>10.792</v>
      </c>
      <c r="D225">
        <v>8.5</v>
      </c>
      <c r="E225">
        <v>8.5679999999999996</v>
      </c>
      <c r="F225">
        <v>320582.74099999998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-0.94066317626527085</v>
      </c>
      <c r="Q225">
        <f t="shared" si="960"/>
        <v>-301560.37940488663</v>
      </c>
      <c r="R225">
        <f t="shared" si="961"/>
        <v>-7754048.0610033656</v>
      </c>
      <c r="S225">
        <f t="shared" si="962"/>
        <v>-77.540480610033654</v>
      </c>
      <c r="T225">
        <f t="shared" si="963"/>
        <v>-7.7540480610033657E-2</v>
      </c>
    </row>
    <row r="226" spans="1:20" x14ac:dyDescent="0.25">
      <c r="A226" s="5">
        <v>44367</v>
      </c>
      <c r="B226">
        <v>10.731999999999999</v>
      </c>
      <c r="C226">
        <v>11.074</v>
      </c>
      <c r="D226">
        <v>9.7279999999999998</v>
      </c>
      <c r="E226">
        <v>10.724</v>
      </c>
      <c r="F226">
        <v>146160.91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0.47994056463595897</v>
      </c>
      <c r="Q226">
        <f t="shared" si="960"/>
        <v>70148.54967310559</v>
      </c>
      <c r="R226">
        <f t="shared" si="961"/>
        <v>-7452487.6815984789</v>
      </c>
      <c r="S226">
        <f t="shared" si="962"/>
        <v>-74.524876815984783</v>
      </c>
      <c r="T226">
        <f t="shared" si="963"/>
        <v>-7.4524876815984784E-2</v>
      </c>
    </row>
    <row r="227" spans="1:20" x14ac:dyDescent="0.25">
      <c r="A227" s="5">
        <v>44366</v>
      </c>
      <c r="B227">
        <v>10.845000000000001</v>
      </c>
      <c r="C227">
        <v>11.083</v>
      </c>
      <c r="D227">
        <v>10.644</v>
      </c>
      <c r="E227">
        <v>10.733000000000001</v>
      </c>
      <c r="F227">
        <v>81119.338000000003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-0.59453302961275445</v>
      </c>
      <c r="Q227">
        <f t="shared" si="960"/>
        <v>-48228.12578132104</v>
      </c>
      <c r="R227">
        <f t="shared" si="961"/>
        <v>-7522636.2312715845</v>
      </c>
      <c r="S227">
        <f t="shared" si="962"/>
        <v>-75.22636231271585</v>
      </c>
      <c r="T227">
        <f t="shared" si="963"/>
        <v>-7.5226362312715844E-2</v>
      </c>
    </row>
    <row r="228" spans="1:20" x14ac:dyDescent="0.25">
      <c r="A228" s="5">
        <v>44365</v>
      </c>
      <c r="B228">
        <v>11.817</v>
      </c>
      <c r="C228">
        <v>11.98</v>
      </c>
      <c r="D228">
        <v>10.433999999999999</v>
      </c>
      <c r="E228">
        <v>10.821</v>
      </c>
      <c r="F228">
        <v>221812.70600000001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-0.49935316946959873</v>
      </c>
      <c r="Q228">
        <f t="shared" si="960"/>
        <v>-110762.87776972828</v>
      </c>
      <c r="R228">
        <f t="shared" si="961"/>
        <v>-7474408.1054902636</v>
      </c>
      <c r="S228">
        <f t="shared" si="962"/>
        <v>-74.744081054902637</v>
      </c>
      <c r="T228">
        <f t="shared" si="963"/>
        <v>-7.4744081054902642E-2</v>
      </c>
    </row>
    <row r="229" spans="1:20" x14ac:dyDescent="0.25">
      <c r="A229" s="5">
        <v>44364</v>
      </c>
      <c r="B229">
        <v>11.978</v>
      </c>
      <c r="C229">
        <v>12.388</v>
      </c>
      <c r="D229">
        <v>11.443</v>
      </c>
      <c r="E229">
        <v>11.821</v>
      </c>
      <c r="F229">
        <v>365400.17599999998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-0.2</v>
      </c>
      <c r="Q229">
        <f t="shared" si="960"/>
        <v>-73080.035199999998</v>
      </c>
      <c r="R229">
        <f t="shared" si="961"/>
        <v>-7363645.2277205354</v>
      </c>
      <c r="S229">
        <f t="shared" si="962"/>
        <v>-73.63645227720535</v>
      </c>
      <c r="T229">
        <f t="shared" si="963"/>
        <v>-7.3636452277205347E-2</v>
      </c>
    </row>
    <row r="230" spans="1:20" x14ac:dyDescent="0.25">
      <c r="A230" s="5">
        <v>44363</v>
      </c>
      <c r="B230">
        <v>12.542999999999999</v>
      </c>
      <c r="C230">
        <v>13.141999999999999</v>
      </c>
      <c r="D230">
        <v>11.819000000000001</v>
      </c>
      <c r="E230">
        <v>11.981</v>
      </c>
      <c r="F230">
        <v>435082.24300000002</v>
      </c>
      <c r="G230">
        <v>0</v>
      </c>
      <c r="L230" t="s">
        <v>8</v>
      </c>
      <c r="M230" t="s">
        <v>8</v>
      </c>
      <c r="N230" t="s">
        <v>7</v>
      </c>
      <c r="P230">
        <f t="shared" si="959"/>
        <v>-0.7551020408163277</v>
      </c>
      <c r="Q230">
        <f t="shared" si="960"/>
        <v>-328531.48961224541</v>
      </c>
      <c r="R230">
        <f t="shared" si="961"/>
        <v>-7290565.1925205356</v>
      </c>
      <c r="S230">
        <f t="shared" si="962"/>
        <v>-72.905651925205362</v>
      </c>
      <c r="T230">
        <f t="shared" si="963"/>
        <v>-7.2905651925205359E-2</v>
      </c>
    </row>
    <row r="231" spans="1:20" x14ac:dyDescent="0.25">
      <c r="A231" s="5">
        <v>44362</v>
      </c>
      <c r="B231">
        <v>12.457000000000001</v>
      </c>
      <c r="C231">
        <v>13.015000000000001</v>
      </c>
      <c r="D231">
        <v>12.111000000000001</v>
      </c>
      <c r="E231">
        <v>12.542999999999999</v>
      </c>
      <c r="F231">
        <v>439715.10399999999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-4.4247787610622459E-2</v>
      </c>
      <c r="Q231">
        <f t="shared" si="960"/>
        <v>-19456.420530974767</v>
      </c>
      <c r="R231">
        <f t="shared" si="961"/>
        <v>-6962033.7029082906</v>
      </c>
      <c r="S231">
        <f t="shared" si="962"/>
        <v>-69.620337029082904</v>
      </c>
      <c r="T231">
        <f t="shared" si="963"/>
        <v>-6.9620337029082907E-2</v>
      </c>
    </row>
    <row r="232" spans="1:20" x14ac:dyDescent="0.25">
      <c r="A232" s="5">
        <v>44361</v>
      </c>
      <c r="B232">
        <v>11.856</v>
      </c>
      <c r="C232">
        <v>12.618</v>
      </c>
      <c r="D232">
        <v>11.356</v>
      </c>
      <c r="E232">
        <v>12.436999999999999</v>
      </c>
      <c r="F232">
        <v>327657.67800000001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0.71315372424722523</v>
      </c>
      <c r="Q232">
        <f t="shared" si="960"/>
        <v>233670.29334389811</v>
      </c>
      <c r="R232">
        <f t="shared" si="961"/>
        <v>-6942577.2823773157</v>
      </c>
      <c r="S232">
        <f t="shared" si="962"/>
        <v>-69.425772823773158</v>
      </c>
      <c r="T232">
        <f t="shared" si="963"/>
        <v>-6.9425772823773158E-2</v>
      </c>
    </row>
    <row r="233" spans="1:20" x14ac:dyDescent="0.25">
      <c r="A233" s="5">
        <v>44360</v>
      </c>
      <c r="B233">
        <v>11.302</v>
      </c>
      <c r="C233">
        <v>11.976000000000001</v>
      </c>
      <c r="D233">
        <v>10.888999999999999</v>
      </c>
      <c r="E233">
        <v>11.861000000000001</v>
      </c>
      <c r="F233">
        <v>221297.12599999999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0.78840846366145345</v>
      </c>
      <c r="Q233">
        <f t="shared" si="960"/>
        <v>174472.52712235507</v>
      </c>
      <c r="R233">
        <f t="shared" si="961"/>
        <v>-7176247.5757212136</v>
      </c>
      <c r="S233">
        <f t="shared" si="962"/>
        <v>-71.76247575721213</v>
      </c>
      <c r="T233">
        <f t="shared" si="963"/>
        <v>-7.1762475757212132E-2</v>
      </c>
    </row>
    <row r="234" spans="1:20" x14ac:dyDescent="0.25">
      <c r="A234" s="5">
        <v>44359</v>
      </c>
      <c r="B234">
        <v>11.265000000000001</v>
      </c>
      <c r="C234">
        <v>11.654999999999999</v>
      </c>
      <c r="D234">
        <v>10.625</v>
      </c>
      <c r="E234">
        <v>11.273999999999999</v>
      </c>
      <c r="F234">
        <v>294362.64600000001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0.26019417475728063</v>
      </c>
      <c r="Q234">
        <f t="shared" si="960"/>
        <v>76591.445755339533</v>
      </c>
      <c r="R234">
        <f t="shared" si="961"/>
        <v>-7350720.1028435687</v>
      </c>
      <c r="S234">
        <f t="shared" si="962"/>
        <v>-73.507201028435688</v>
      </c>
      <c r="T234">
        <f t="shared" si="963"/>
        <v>-7.3507201028435692E-2</v>
      </c>
    </row>
    <row r="235" spans="1:20" x14ac:dyDescent="0.25">
      <c r="A235" s="5">
        <v>44358</v>
      </c>
      <c r="B235">
        <v>12.359</v>
      </c>
      <c r="C235">
        <v>12.54</v>
      </c>
      <c r="D235">
        <v>11.137</v>
      </c>
      <c r="E235">
        <v>11.233000000000001</v>
      </c>
      <c r="F235">
        <v>150070.601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-0.86315039201710597</v>
      </c>
      <c r="Q235">
        <f t="shared" si="960"/>
        <v>-129533.4980833927</v>
      </c>
      <c r="R235">
        <f t="shared" si="961"/>
        <v>-7427311.5485989079</v>
      </c>
      <c r="S235">
        <f t="shared" si="962"/>
        <v>-74.273115485989081</v>
      </c>
      <c r="T235">
        <f t="shared" si="963"/>
        <v>-7.4273115485989083E-2</v>
      </c>
    </row>
    <row r="236" spans="1:20" x14ac:dyDescent="0.25">
      <c r="A236" s="5">
        <v>44357</v>
      </c>
      <c r="B236">
        <v>13.044</v>
      </c>
      <c r="C236">
        <v>13.641999999999999</v>
      </c>
      <c r="D236">
        <v>11.967000000000001</v>
      </c>
      <c r="E236">
        <v>12.374000000000001</v>
      </c>
      <c r="F236">
        <v>210202.788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-0.51402985074626828</v>
      </c>
      <c r="Q236">
        <f t="shared" si="960"/>
        <v>-108050.50774208947</v>
      </c>
      <c r="R236">
        <f t="shared" si="961"/>
        <v>-7297778.0505155148</v>
      </c>
      <c r="S236">
        <f t="shared" si="962"/>
        <v>-72.977780505155152</v>
      </c>
      <c r="T236">
        <f t="shared" si="963"/>
        <v>-7.2977780505155146E-2</v>
      </c>
    </row>
    <row r="237" spans="1:20" x14ac:dyDescent="0.25">
      <c r="A237" s="5">
        <v>44356</v>
      </c>
      <c r="B237">
        <v>12.843</v>
      </c>
      <c r="C237">
        <v>13.510999999999999</v>
      </c>
      <c r="D237">
        <v>12.233000000000001</v>
      </c>
      <c r="E237">
        <v>13.023</v>
      </c>
      <c r="F237">
        <v>367507.76799999998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0.23630672926447568</v>
      </c>
      <c r="Q237">
        <f t="shared" si="960"/>
        <v>86844.558635367735</v>
      </c>
      <c r="R237">
        <f t="shared" si="961"/>
        <v>-7189727.5427734256</v>
      </c>
      <c r="S237">
        <f t="shared" si="962"/>
        <v>-71.897275427734257</v>
      </c>
      <c r="T237">
        <f t="shared" si="963"/>
        <v>-7.1897275427734261E-2</v>
      </c>
    </row>
    <row r="238" spans="1:20" x14ac:dyDescent="0.25">
      <c r="A238" s="5">
        <v>44355</v>
      </c>
      <c r="B238">
        <v>13.394</v>
      </c>
      <c r="C238">
        <v>13.606</v>
      </c>
      <c r="D238">
        <v>11.778</v>
      </c>
      <c r="E238">
        <v>12.836</v>
      </c>
      <c r="F238">
        <v>1283733.4040000001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0.1575492341356676</v>
      </c>
      <c r="Q238">
        <f t="shared" si="960"/>
        <v>202251.21463457358</v>
      </c>
      <c r="R238">
        <f t="shared" si="961"/>
        <v>-7276572.1014087936</v>
      </c>
      <c r="S238">
        <f t="shared" si="962"/>
        <v>-72.76572101408793</v>
      </c>
      <c r="T238">
        <f t="shared" si="963"/>
        <v>-7.2765721014087931E-2</v>
      </c>
    </row>
    <row r="239" spans="1:20" x14ac:dyDescent="0.25">
      <c r="A239" s="5">
        <v>44354</v>
      </c>
      <c r="B239">
        <v>14.861000000000001</v>
      </c>
      <c r="C239">
        <v>15.61</v>
      </c>
      <c r="D239">
        <v>13.132999999999999</v>
      </c>
      <c r="E239">
        <v>13.371</v>
      </c>
      <c r="F239">
        <v>444680.29399999999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-0.80783205490512611</v>
      </c>
      <c r="Q239">
        <f t="shared" si="960"/>
        <v>-359226.9956778356</v>
      </c>
      <c r="R239">
        <f t="shared" si="961"/>
        <v>-7478823.3160433676</v>
      </c>
      <c r="S239">
        <f t="shared" si="962"/>
        <v>-74.788233160433677</v>
      </c>
      <c r="T239">
        <f t="shared" si="963"/>
        <v>-7.4788233160433676E-2</v>
      </c>
    </row>
    <row r="240" spans="1:20" x14ac:dyDescent="0.25">
      <c r="A240" s="5">
        <v>44353</v>
      </c>
      <c r="B240">
        <v>15.205</v>
      </c>
      <c r="C240">
        <v>15.598000000000001</v>
      </c>
      <c r="D240">
        <v>14.77</v>
      </c>
      <c r="E240">
        <v>14.861000000000001</v>
      </c>
      <c r="F240">
        <v>367639.28600000002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-0.78019323671497354</v>
      </c>
      <c r="Q240">
        <f t="shared" si="960"/>
        <v>-286829.68448792188</v>
      </c>
      <c r="R240">
        <f t="shared" si="961"/>
        <v>-7119596.3203655323</v>
      </c>
      <c r="S240">
        <f t="shared" si="962"/>
        <v>-71.195963203655324</v>
      </c>
      <c r="T240">
        <f t="shared" si="963"/>
        <v>-7.119596320365533E-2</v>
      </c>
    </row>
    <row r="241" spans="1:20" x14ac:dyDescent="0.25">
      <c r="A241" s="5">
        <v>44352</v>
      </c>
      <c r="B241">
        <v>16.259</v>
      </c>
      <c r="C241">
        <v>16.768000000000001</v>
      </c>
      <c r="D241">
        <v>14.999000000000001</v>
      </c>
      <c r="E241">
        <v>15.205</v>
      </c>
      <c r="F241">
        <v>608473.28399999999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-0.76710005652911306</v>
      </c>
      <c r="Q241">
        <f t="shared" si="960"/>
        <v>-466759.89055285504</v>
      </c>
      <c r="R241">
        <f t="shared" si="961"/>
        <v>-6832766.6358776102</v>
      </c>
      <c r="S241">
        <f t="shared" si="962"/>
        <v>-68.327666358776099</v>
      </c>
      <c r="T241">
        <f t="shared" si="963"/>
        <v>-6.8327666358776101E-2</v>
      </c>
    </row>
    <row r="242" spans="1:20" x14ac:dyDescent="0.25">
      <c r="A242" s="5">
        <v>44351</v>
      </c>
      <c r="B242">
        <v>14.62</v>
      </c>
      <c r="C242">
        <v>17.981000000000002</v>
      </c>
      <c r="D242">
        <v>14.62</v>
      </c>
      <c r="E242">
        <v>16.268000000000001</v>
      </c>
      <c r="F242">
        <v>1492044.5079999999</v>
      </c>
      <c r="G242">
        <v>0</v>
      </c>
      <c r="L242" t="s">
        <v>8</v>
      </c>
      <c r="M242" t="s">
        <v>8</v>
      </c>
      <c r="N242" t="s">
        <v>8</v>
      </c>
      <c r="P242">
        <f t="shared" si="959"/>
        <v>-1.9339482296935273E-2</v>
      </c>
      <c r="Q242">
        <f t="shared" si="960"/>
        <v>-28855.368348705499</v>
      </c>
      <c r="R242">
        <f t="shared" si="961"/>
        <v>-6366006.7453247551</v>
      </c>
      <c r="S242">
        <f t="shared" si="962"/>
        <v>-63.660067453247549</v>
      </c>
      <c r="T242">
        <f t="shared" si="963"/>
        <v>-6.3660067453247551E-2</v>
      </c>
    </row>
    <row r="243" spans="1:20" x14ac:dyDescent="0.25">
      <c r="A243" s="5">
        <v>44350</v>
      </c>
      <c r="B243">
        <v>14.047000000000001</v>
      </c>
      <c r="C243">
        <v>15.4</v>
      </c>
      <c r="D243">
        <v>13.865</v>
      </c>
      <c r="E243">
        <v>14.628</v>
      </c>
      <c r="F243">
        <v>305592.109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-5.8631921824106453E-3</v>
      </c>
      <c r="Q243">
        <f t="shared" si="960"/>
        <v>-1791.7452644951818</v>
      </c>
      <c r="R243">
        <f t="shared" si="961"/>
        <v>-6337151.3769760495</v>
      </c>
      <c r="S243">
        <f t="shared" si="962"/>
        <v>-63.371513769760497</v>
      </c>
      <c r="T243">
        <f t="shared" si="963"/>
        <v>-6.3371513769760496E-2</v>
      </c>
    </row>
    <row r="244" spans="1:20" x14ac:dyDescent="0.25">
      <c r="A244" s="5">
        <v>44349</v>
      </c>
      <c r="B244">
        <v>13.677</v>
      </c>
      <c r="C244">
        <v>14.73</v>
      </c>
      <c r="D244">
        <v>13.151999999999999</v>
      </c>
      <c r="E244">
        <v>14.047000000000001</v>
      </c>
      <c r="F244">
        <v>190551.61900000001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0.13434727503168653</v>
      </c>
      <c r="Q244">
        <f t="shared" si="960"/>
        <v>25600.090765526147</v>
      </c>
      <c r="R244">
        <f t="shared" si="961"/>
        <v>-6335359.6317115547</v>
      </c>
      <c r="S244">
        <f t="shared" si="962"/>
        <v>-63.353596317115546</v>
      </c>
      <c r="T244">
        <f t="shared" si="963"/>
        <v>-6.335359631711554E-2</v>
      </c>
    </row>
    <row r="245" spans="1:20" x14ac:dyDescent="0.25">
      <c r="A245" s="5">
        <v>44348</v>
      </c>
      <c r="B245">
        <v>13.864000000000001</v>
      </c>
      <c r="C245">
        <v>14.345000000000001</v>
      </c>
      <c r="D245">
        <v>13.021000000000001</v>
      </c>
      <c r="E245">
        <v>13.68</v>
      </c>
      <c r="F245">
        <v>140577.99900000001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-4.5317220543821786E-3</v>
      </c>
      <c r="Q245">
        <f t="shared" si="960"/>
        <v>-637.06041842921593</v>
      </c>
      <c r="R245">
        <f t="shared" si="961"/>
        <v>-6360959.7224770812</v>
      </c>
      <c r="S245">
        <f t="shared" si="962"/>
        <v>-63.609597224770809</v>
      </c>
      <c r="T245">
        <f t="shared" si="963"/>
        <v>-6.3609597224770803E-2</v>
      </c>
    </row>
    <row r="246" spans="1:20" x14ac:dyDescent="0.25">
      <c r="A246" s="5">
        <v>44347</v>
      </c>
      <c r="B246">
        <v>12.73</v>
      </c>
      <c r="C246">
        <v>14.061</v>
      </c>
      <c r="D246">
        <v>12.137</v>
      </c>
      <c r="E246">
        <v>13.843</v>
      </c>
      <c r="F246">
        <v>139725.15299999999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0.77338877338877332</v>
      </c>
      <c r="Q246">
        <f t="shared" si="960"/>
        <v>108061.86469022867</v>
      </c>
      <c r="R246">
        <f t="shared" si="961"/>
        <v>-6360322.6620586524</v>
      </c>
      <c r="S246">
        <f t="shared" si="962"/>
        <v>-63.603226620586526</v>
      </c>
      <c r="T246">
        <f t="shared" si="963"/>
        <v>-6.3603226620586525E-2</v>
      </c>
    </row>
    <row r="247" spans="1:20" x14ac:dyDescent="0.25">
      <c r="A247" s="5">
        <v>44346</v>
      </c>
      <c r="B247">
        <v>12.146000000000001</v>
      </c>
      <c r="C247">
        <v>13.433999999999999</v>
      </c>
      <c r="D247">
        <v>11.554</v>
      </c>
      <c r="E247">
        <v>12.785</v>
      </c>
      <c r="F247">
        <v>101388.451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0.30957446808510691</v>
      </c>
      <c r="Q247">
        <f t="shared" si="960"/>
        <v>31387.275788297928</v>
      </c>
      <c r="R247">
        <f t="shared" si="961"/>
        <v>-6468384.5267488807</v>
      </c>
      <c r="S247">
        <f t="shared" si="962"/>
        <v>-64.683845267488806</v>
      </c>
      <c r="T247">
        <f t="shared" si="963"/>
        <v>-6.4683845267488813E-2</v>
      </c>
    </row>
    <row r="248" spans="1:20" x14ac:dyDescent="0.25">
      <c r="A248" s="5">
        <v>44345</v>
      </c>
      <c r="B248">
        <v>13.233000000000001</v>
      </c>
      <c r="C248">
        <v>13.847</v>
      </c>
      <c r="D248">
        <v>11.548999999999999</v>
      </c>
      <c r="E248">
        <v>12.172000000000001</v>
      </c>
      <c r="F248">
        <v>162982.633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-0.45778938207136544</v>
      </c>
      <c r="Q248">
        <f t="shared" si="960"/>
        <v>-74611.718849434139</v>
      </c>
      <c r="R248">
        <f t="shared" si="961"/>
        <v>-6499771.8025371786</v>
      </c>
      <c r="S248">
        <f t="shared" si="962"/>
        <v>-64.997718025371782</v>
      </c>
      <c r="T248">
        <f t="shared" si="963"/>
        <v>-6.4997718025371784E-2</v>
      </c>
    </row>
    <row r="249" spans="1:20" x14ac:dyDescent="0.25">
      <c r="A249" s="5">
        <v>44344</v>
      </c>
      <c r="B249">
        <v>14.468999999999999</v>
      </c>
      <c r="C249">
        <v>15.05</v>
      </c>
      <c r="D249">
        <v>12.789</v>
      </c>
      <c r="E249">
        <v>13.247999999999999</v>
      </c>
      <c r="F249">
        <v>182204.24400000001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-0.5939849624060155</v>
      </c>
      <c r="Q249">
        <f t="shared" si="960"/>
        <v>-108226.58102255648</v>
      </c>
      <c r="R249">
        <f t="shared" si="961"/>
        <v>-6425160.0836877441</v>
      </c>
      <c r="S249">
        <f t="shared" si="962"/>
        <v>-64.251600836877444</v>
      </c>
      <c r="T249">
        <f t="shared" si="963"/>
        <v>-6.4251600836877448E-2</v>
      </c>
    </row>
    <row r="250" spans="1:20" x14ac:dyDescent="0.25">
      <c r="A250" s="5">
        <v>44343</v>
      </c>
      <c r="B250">
        <v>15.718</v>
      </c>
      <c r="C250">
        <v>15.855</v>
      </c>
      <c r="D250">
        <v>14.002000000000001</v>
      </c>
      <c r="E250">
        <v>14.510999999999999</v>
      </c>
      <c r="F250">
        <v>169087.05900000001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-0.45062061521856595</v>
      </c>
      <c r="Q250">
        <f t="shared" si="960"/>
        <v>-76194.114552077968</v>
      </c>
      <c r="R250">
        <f t="shared" si="961"/>
        <v>-6316933.5026651872</v>
      </c>
      <c r="S250">
        <f t="shared" si="962"/>
        <v>-63.169335026651872</v>
      </c>
      <c r="T250">
        <f t="shared" si="963"/>
        <v>-6.3169335026651868E-2</v>
      </c>
    </row>
    <row r="251" spans="1:20" x14ac:dyDescent="0.25">
      <c r="A251" s="5">
        <v>44342</v>
      </c>
      <c r="B251">
        <v>14.4</v>
      </c>
      <c r="C251">
        <v>16.190000000000001</v>
      </c>
      <c r="D251">
        <v>13.997999999999999</v>
      </c>
      <c r="E251">
        <v>15.739000000000001</v>
      </c>
      <c r="F251">
        <v>387732.41800000001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0.58850364963503643</v>
      </c>
      <c r="Q251">
        <f t="shared" si="960"/>
        <v>228181.94307481751</v>
      </c>
      <c r="R251">
        <f t="shared" si="961"/>
        <v>-6240739.3881131094</v>
      </c>
      <c r="S251">
        <f t="shared" si="962"/>
        <v>-62.407393881131092</v>
      </c>
      <c r="T251">
        <f t="shared" si="963"/>
        <v>-6.240739388113109E-2</v>
      </c>
    </row>
    <row r="252" spans="1:20" x14ac:dyDescent="0.25">
      <c r="A252" s="5">
        <v>44341</v>
      </c>
      <c r="B252">
        <v>14.22</v>
      </c>
      <c r="C252">
        <v>14.95</v>
      </c>
      <c r="D252">
        <v>12.832000000000001</v>
      </c>
      <c r="E252">
        <v>14.388999999999999</v>
      </c>
      <c r="F252">
        <v>140138.321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0.47025495750708185</v>
      </c>
      <c r="Q252">
        <f t="shared" si="960"/>
        <v>65900.740186968789</v>
      </c>
      <c r="R252">
        <f t="shared" si="961"/>
        <v>-6468921.3311879272</v>
      </c>
      <c r="S252">
        <f t="shared" si="962"/>
        <v>-64.689213311879271</v>
      </c>
      <c r="T252">
        <f t="shared" si="963"/>
        <v>-6.4689213311879268E-2</v>
      </c>
    </row>
    <row r="253" spans="1:20" x14ac:dyDescent="0.25">
      <c r="A253" s="5">
        <v>44340</v>
      </c>
      <c r="B253">
        <v>11.718</v>
      </c>
      <c r="C253">
        <v>14.417999999999999</v>
      </c>
      <c r="D253">
        <v>11.057</v>
      </c>
      <c r="E253">
        <v>14.191000000000001</v>
      </c>
      <c r="F253">
        <v>254069.277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0.86492115441832873</v>
      </c>
      <c r="Q253">
        <f t="shared" si="960"/>
        <v>219749.89236507015</v>
      </c>
      <c r="R253">
        <f t="shared" si="961"/>
        <v>-6534822.071374896</v>
      </c>
      <c r="S253">
        <f t="shared" si="962"/>
        <v>-65.348220713748958</v>
      </c>
      <c r="T253">
        <f t="shared" si="963"/>
        <v>-6.5348220713748961E-2</v>
      </c>
    </row>
    <row r="254" spans="1:20" x14ac:dyDescent="0.25">
      <c r="A254" s="5">
        <v>44339</v>
      </c>
      <c r="B254">
        <v>13.601000000000001</v>
      </c>
      <c r="C254">
        <v>14.006</v>
      </c>
      <c r="D254">
        <v>9.3480000000000008</v>
      </c>
      <c r="E254">
        <v>11.69</v>
      </c>
      <c r="F254">
        <v>254294.50200000001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5.5817947616998769E-3</v>
      </c>
      <c r="Q254">
        <f t="shared" si="960"/>
        <v>1419.4197191926789</v>
      </c>
      <c r="R254">
        <f t="shared" si="961"/>
        <v>-6754571.963739966</v>
      </c>
      <c r="S254">
        <f t="shared" si="962"/>
        <v>-67.545719637399657</v>
      </c>
      <c r="T254">
        <f t="shared" si="963"/>
        <v>-6.7545719637399651E-2</v>
      </c>
    </row>
    <row r="255" spans="1:20" x14ac:dyDescent="0.25">
      <c r="A255" s="5">
        <v>44338</v>
      </c>
      <c r="B255">
        <v>15.07</v>
      </c>
      <c r="C255">
        <v>15.487</v>
      </c>
      <c r="D255">
        <v>13.308</v>
      </c>
      <c r="E255">
        <v>13.59</v>
      </c>
      <c r="F255">
        <v>856969.72699999996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-0.74116567232675545</v>
      </c>
      <c r="Q255">
        <f t="shared" si="960"/>
        <v>-635156.54387563106</v>
      </c>
      <c r="R255">
        <f t="shared" si="961"/>
        <v>-6755991.3834591592</v>
      </c>
      <c r="S255">
        <f t="shared" si="962"/>
        <v>-67.559913834591597</v>
      </c>
      <c r="T255">
        <f t="shared" si="963"/>
        <v>-6.7559913834591603E-2</v>
      </c>
    </row>
    <row r="256" spans="1:20" x14ac:dyDescent="0.25">
      <c r="A256" s="5">
        <v>44337</v>
      </c>
      <c r="B256">
        <v>17.989000000000001</v>
      </c>
      <c r="C256">
        <v>18.611999999999998</v>
      </c>
      <c r="D256">
        <v>13.481</v>
      </c>
      <c r="E256">
        <v>15.065</v>
      </c>
      <c r="F256">
        <v>341998.42300000001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-0.38257649580978365</v>
      </c>
      <c r="Q256">
        <f t="shared" si="960"/>
        <v>-130840.55824381212</v>
      </c>
      <c r="R256">
        <f t="shared" si="961"/>
        <v>-6120834.8395835282</v>
      </c>
      <c r="S256">
        <f t="shared" si="962"/>
        <v>-61.20834839583528</v>
      </c>
      <c r="T256">
        <f t="shared" si="963"/>
        <v>-6.1208348395835277E-2</v>
      </c>
    </row>
    <row r="257" spans="1:20" x14ac:dyDescent="0.25">
      <c r="A257" s="5">
        <v>44336</v>
      </c>
      <c r="B257">
        <v>16.068999999999999</v>
      </c>
      <c r="C257">
        <v>18.913</v>
      </c>
      <c r="D257">
        <v>14.749000000000001</v>
      </c>
      <c r="E257">
        <v>17.989999999999998</v>
      </c>
      <c r="F257">
        <v>369938.29</v>
      </c>
      <c r="G257">
        <v>0</v>
      </c>
      <c r="L257" t="s">
        <v>8</v>
      </c>
      <c r="M257" t="s">
        <v>8</v>
      </c>
      <c r="N257" t="s">
        <v>7</v>
      </c>
      <c r="P257">
        <f t="shared" si="959"/>
        <v>0.55667627281460041</v>
      </c>
      <c r="Q257">
        <f t="shared" si="960"/>
        <v>205935.86844860675</v>
      </c>
      <c r="R257">
        <f t="shared" si="961"/>
        <v>-5989994.2813397162</v>
      </c>
      <c r="S257">
        <f t="shared" si="962"/>
        <v>-59.899942813397161</v>
      </c>
      <c r="T257">
        <f t="shared" si="963"/>
        <v>-5.989994281339716E-2</v>
      </c>
    </row>
    <row r="258" spans="1:20" x14ac:dyDescent="0.25">
      <c r="A258" s="5">
        <v>44335</v>
      </c>
      <c r="B258">
        <v>24.867000000000001</v>
      </c>
      <c r="C258">
        <v>25.689</v>
      </c>
      <c r="D258">
        <v>13.263</v>
      </c>
      <c r="E258">
        <v>16.099</v>
      </c>
      <c r="F258">
        <v>723861.78799999994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-0.54353774344117167</v>
      </c>
      <c r="Q258">
        <f t="shared" si="960"/>
        <v>-393446.20281281177</v>
      </c>
      <c r="R258">
        <f t="shared" si="961"/>
        <v>-6195930.1497883229</v>
      </c>
      <c r="S258">
        <f t="shared" si="962"/>
        <v>-61.959301497883231</v>
      </c>
      <c r="T258">
        <f t="shared" si="963"/>
        <v>-6.1959301497883229E-2</v>
      </c>
    </row>
    <row r="259" spans="1:20" x14ac:dyDescent="0.25">
      <c r="A259" s="5">
        <v>44334</v>
      </c>
      <c r="B259">
        <v>21.754000000000001</v>
      </c>
      <c r="C259">
        <v>26.085000000000001</v>
      </c>
      <c r="D259">
        <v>21.474</v>
      </c>
      <c r="E259">
        <v>24.800999999999998</v>
      </c>
      <c r="F259">
        <v>381416.39199999999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0.44307091737150195</v>
      </c>
      <c r="Q259">
        <f t="shared" si="960"/>
        <v>168994.51070396841</v>
      </c>
      <c r="R259">
        <f t="shared" si="961"/>
        <v>-5802483.9469755115</v>
      </c>
      <c r="S259">
        <f t="shared" si="962"/>
        <v>-58.024839469755115</v>
      </c>
      <c r="T259">
        <f t="shared" si="963"/>
        <v>-5.8024839469755111E-2</v>
      </c>
    </row>
    <row r="260" spans="1:20" x14ac:dyDescent="0.25">
      <c r="A260" s="5">
        <v>44333</v>
      </c>
      <c r="B260">
        <v>24.503</v>
      </c>
      <c r="C260">
        <v>24.556999999999999</v>
      </c>
      <c r="D260">
        <v>20.927</v>
      </c>
      <c r="E260">
        <v>21.681000000000001</v>
      </c>
      <c r="F260">
        <v>341198.03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-0.58457300275482005</v>
      </c>
      <c r="Q260">
        <f t="shared" si="960"/>
        <v>-199455.1569311292</v>
      </c>
      <c r="R260">
        <f t="shared" si="961"/>
        <v>-5971478.4576794803</v>
      </c>
      <c r="S260">
        <f t="shared" si="962"/>
        <v>-59.714784576794806</v>
      </c>
      <c r="T260">
        <f t="shared" si="963"/>
        <v>-5.9714784576794806E-2</v>
      </c>
    </row>
    <row r="261" spans="1:20" x14ac:dyDescent="0.25">
      <c r="A261" s="5">
        <v>44332</v>
      </c>
      <c r="B261">
        <v>23.585000000000001</v>
      </c>
      <c r="C261">
        <v>25.456</v>
      </c>
      <c r="D261">
        <v>22.242000000000001</v>
      </c>
      <c r="E261">
        <v>24.452999999999999</v>
      </c>
      <c r="F261">
        <v>401992.45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0.37585563161169849</v>
      </c>
      <c r="Q261">
        <f t="shared" si="960"/>
        <v>151091.12619788412</v>
      </c>
      <c r="R261">
        <f t="shared" si="961"/>
        <v>-5772023.300748351</v>
      </c>
      <c r="S261">
        <f t="shared" si="962"/>
        <v>-57.720233007483507</v>
      </c>
      <c r="T261">
        <f t="shared" si="963"/>
        <v>-5.772023300748351E-2</v>
      </c>
    </row>
    <row r="262" spans="1:20" x14ac:dyDescent="0.25">
      <c r="A262" s="5">
        <v>44331</v>
      </c>
      <c r="B262">
        <v>27.687000000000001</v>
      </c>
      <c r="C262">
        <v>27.687000000000001</v>
      </c>
      <c r="D262">
        <v>23.5</v>
      </c>
      <c r="E262">
        <v>23.564</v>
      </c>
      <c r="F262">
        <v>348050.55699999997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-0.96942918557439695</v>
      </c>
      <c r="Q262">
        <f t="shared" ref="Q262:Q325" si="965">F262*P262</f>
        <v>-337410.36801122519</v>
      </c>
      <c r="R262">
        <f t="shared" ref="R262:R325" si="966">R263+Q262</f>
        <v>-5923114.4269462349</v>
      </c>
      <c r="S262">
        <f t="shared" ref="S262:S325" si="967">R262/100000</f>
        <v>-59.231144269462348</v>
      </c>
      <c r="T262">
        <f t="shared" ref="T262:T325" si="968">S262/1000</f>
        <v>-5.9231144269462348E-2</v>
      </c>
    </row>
    <row r="263" spans="1:20" x14ac:dyDescent="0.25">
      <c r="A263" s="5">
        <v>44330</v>
      </c>
      <c r="B263">
        <v>24.448</v>
      </c>
      <c r="C263">
        <v>27.721</v>
      </c>
      <c r="D263">
        <v>24.309000000000001</v>
      </c>
      <c r="E263">
        <v>27.706</v>
      </c>
      <c r="F263">
        <v>345590.92499999999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0.99120750293083204</v>
      </c>
      <c r="Q263">
        <f t="shared" si="965"/>
        <v>342552.31780480646</v>
      </c>
      <c r="R263">
        <f t="shared" si="966"/>
        <v>-5585704.0589350099</v>
      </c>
      <c r="S263">
        <f t="shared" si="967"/>
        <v>-55.857040589350099</v>
      </c>
      <c r="T263">
        <f t="shared" si="968"/>
        <v>-5.58570405893501E-2</v>
      </c>
    </row>
    <row r="264" spans="1:20" x14ac:dyDescent="0.25">
      <c r="A264" s="5">
        <v>44329</v>
      </c>
      <c r="B264">
        <v>25.754999999999999</v>
      </c>
      <c r="C264">
        <v>27.361000000000001</v>
      </c>
      <c r="D264">
        <v>22.614999999999998</v>
      </c>
      <c r="E264">
        <v>24.407</v>
      </c>
      <c r="F264">
        <v>402770.93300000002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-0.24483775811209407</v>
      </c>
      <c r="Q264">
        <f t="shared" si="965"/>
        <v>-98613.532268436451</v>
      </c>
      <c r="R264">
        <f t="shared" si="966"/>
        <v>-5928256.3767398167</v>
      </c>
      <c r="S264">
        <f t="shared" si="967"/>
        <v>-59.282563767398166</v>
      </c>
      <c r="T264">
        <f t="shared" si="968"/>
        <v>-5.9282563767398169E-2</v>
      </c>
    </row>
    <row r="265" spans="1:20" x14ac:dyDescent="0.25">
      <c r="A265" s="5">
        <v>44328</v>
      </c>
      <c r="B265">
        <v>28.983000000000001</v>
      </c>
      <c r="C265">
        <v>30.475999999999999</v>
      </c>
      <c r="D265">
        <v>25.574000000000002</v>
      </c>
      <c r="E265">
        <v>25.823</v>
      </c>
      <c r="F265">
        <v>483473.97899999999</v>
      </c>
      <c r="G265">
        <v>0</v>
      </c>
      <c r="L265" t="s">
        <v>7</v>
      </c>
      <c r="M265" t="s">
        <v>8</v>
      </c>
      <c r="N265" t="s">
        <v>8</v>
      </c>
      <c r="P265">
        <f t="shared" si="964"/>
        <v>-0.89840881272949857</v>
      </c>
      <c r="Q265">
        <f t="shared" si="965"/>
        <v>-434357.28345899651</v>
      </c>
      <c r="R265">
        <f t="shared" si="966"/>
        <v>-5829642.8444713801</v>
      </c>
      <c r="S265">
        <f t="shared" si="967"/>
        <v>-58.296428444713804</v>
      </c>
      <c r="T265">
        <f t="shared" si="968"/>
        <v>-5.8296428444713805E-2</v>
      </c>
    </row>
    <row r="266" spans="1:20" x14ac:dyDescent="0.25">
      <c r="A266" s="5">
        <v>44327</v>
      </c>
      <c r="B266">
        <v>28.768999999999998</v>
      </c>
      <c r="C266">
        <v>32.203000000000003</v>
      </c>
      <c r="D266">
        <v>26.065999999999999</v>
      </c>
      <c r="E266">
        <v>28.98</v>
      </c>
      <c r="F266">
        <v>1613052.95</v>
      </c>
      <c r="G266">
        <v>0</v>
      </c>
      <c r="L266" t="s">
        <v>8</v>
      </c>
      <c r="M266" t="s">
        <v>7</v>
      </c>
      <c r="N266" t="s">
        <v>8</v>
      </c>
      <c r="P266">
        <f t="shared" si="964"/>
        <v>-5.0350334039433085E-2</v>
      </c>
      <c r="Q266">
        <f t="shared" si="965"/>
        <v>-81217.754855792955</v>
      </c>
      <c r="R266">
        <f t="shared" si="966"/>
        <v>-5395285.5610123836</v>
      </c>
      <c r="S266">
        <f t="shared" si="967"/>
        <v>-53.952855610123834</v>
      </c>
      <c r="T266">
        <f t="shared" si="968"/>
        <v>-5.3952855610123834E-2</v>
      </c>
    </row>
    <row r="267" spans="1:20" x14ac:dyDescent="0.25">
      <c r="A267" s="5">
        <v>44326</v>
      </c>
      <c r="B267">
        <v>25.608000000000001</v>
      </c>
      <c r="C267">
        <v>32.200000000000003</v>
      </c>
      <c r="D267">
        <v>24.567</v>
      </c>
      <c r="E267">
        <v>28.768000000000001</v>
      </c>
      <c r="F267">
        <v>1026785.186</v>
      </c>
      <c r="G267">
        <v>0</v>
      </c>
      <c r="L267" t="s">
        <v>7</v>
      </c>
      <c r="M267" t="s">
        <v>8</v>
      </c>
      <c r="N267" t="s">
        <v>8</v>
      </c>
      <c r="P267">
        <f t="shared" si="964"/>
        <v>0.10074675750032727</v>
      </c>
      <c r="Q267">
        <f t="shared" si="965"/>
        <v>103445.27813887043</v>
      </c>
      <c r="R267">
        <f t="shared" si="966"/>
        <v>-5314067.8061565906</v>
      </c>
      <c r="S267">
        <f t="shared" si="967"/>
        <v>-53.140678061565907</v>
      </c>
      <c r="T267">
        <f t="shared" si="968"/>
        <v>-5.3140678061565909E-2</v>
      </c>
    </row>
    <row r="268" spans="1:20" x14ac:dyDescent="0.25">
      <c r="A268" s="5">
        <v>44325</v>
      </c>
      <c r="B268">
        <v>26.972000000000001</v>
      </c>
      <c r="C268">
        <v>27.05</v>
      </c>
      <c r="D268">
        <v>25.1</v>
      </c>
      <c r="E268">
        <v>25.609000000000002</v>
      </c>
      <c r="F268">
        <v>192783.22899999999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-0.47794871794871741</v>
      </c>
      <c r="Q268">
        <f t="shared" si="965"/>
        <v>-92140.497142563996</v>
      </c>
      <c r="R268">
        <f t="shared" si="966"/>
        <v>-5417513.084295461</v>
      </c>
      <c r="S268">
        <f t="shared" si="967"/>
        <v>-54.175130842954609</v>
      </c>
      <c r="T268">
        <f t="shared" si="968"/>
        <v>-5.4175130842954611E-2</v>
      </c>
    </row>
    <row r="269" spans="1:20" x14ac:dyDescent="0.25">
      <c r="A269" s="5">
        <v>44324</v>
      </c>
      <c r="B269">
        <v>25.308</v>
      </c>
      <c r="C269">
        <v>27.347000000000001</v>
      </c>
      <c r="D269">
        <v>24.745999999999999</v>
      </c>
      <c r="E269">
        <v>26.98</v>
      </c>
      <c r="F269">
        <v>358002.38900000002</v>
      </c>
      <c r="G269">
        <v>0</v>
      </c>
      <c r="L269" t="s">
        <v>8</v>
      </c>
      <c r="M269" t="s">
        <v>7</v>
      </c>
      <c r="N269" t="s">
        <v>8</v>
      </c>
      <c r="P269">
        <f t="shared" si="964"/>
        <v>0.7178008458285271</v>
      </c>
      <c r="Q269">
        <f t="shared" si="965"/>
        <v>256974.41763283341</v>
      </c>
      <c r="R269">
        <f t="shared" si="966"/>
        <v>-5325372.5871528974</v>
      </c>
      <c r="S269">
        <f t="shared" si="967"/>
        <v>-53.253725871528971</v>
      </c>
      <c r="T269">
        <f t="shared" si="968"/>
        <v>-5.3253725871528969E-2</v>
      </c>
    </row>
    <row r="270" spans="1:20" x14ac:dyDescent="0.25">
      <c r="A270" s="5">
        <v>44323</v>
      </c>
      <c r="B270">
        <v>25.326000000000001</v>
      </c>
      <c r="C270">
        <v>26.5</v>
      </c>
      <c r="D270">
        <v>24.13</v>
      </c>
      <c r="E270">
        <v>25.282</v>
      </c>
      <c r="F270">
        <v>282718.35499999998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-2.784810126582233E-2</v>
      </c>
      <c r="Q270">
        <f t="shared" si="965"/>
        <v>-7873.169379746706</v>
      </c>
      <c r="R270">
        <f t="shared" si="966"/>
        <v>-5582347.0047857305</v>
      </c>
      <c r="S270">
        <f t="shared" si="967"/>
        <v>-55.823470047857306</v>
      </c>
      <c r="T270">
        <f t="shared" si="968"/>
        <v>-5.5823470047857308E-2</v>
      </c>
    </row>
    <row r="271" spans="1:20" x14ac:dyDescent="0.25">
      <c r="A271" s="5">
        <v>44322</v>
      </c>
      <c r="B271">
        <v>25.850999999999999</v>
      </c>
      <c r="C271">
        <v>26.51</v>
      </c>
      <c r="D271">
        <v>24.492000000000001</v>
      </c>
      <c r="E271">
        <v>25.324999999999999</v>
      </c>
      <c r="F271">
        <v>325265.09100000001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-0.17443012884043793</v>
      </c>
      <c r="Q271">
        <f t="shared" si="965"/>
        <v>-56736.031730426774</v>
      </c>
      <c r="R271">
        <f t="shared" si="966"/>
        <v>-5574473.835405984</v>
      </c>
      <c r="S271">
        <f t="shared" si="967"/>
        <v>-55.744738354059841</v>
      </c>
      <c r="T271">
        <f t="shared" si="968"/>
        <v>-5.5744738354059839E-2</v>
      </c>
    </row>
    <row r="272" spans="1:20" x14ac:dyDescent="0.25">
      <c r="A272" s="5">
        <v>44321</v>
      </c>
      <c r="B272">
        <v>23.962</v>
      </c>
      <c r="C272">
        <v>26</v>
      </c>
      <c r="D272">
        <v>23.724</v>
      </c>
      <c r="E272">
        <v>25.922000000000001</v>
      </c>
      <c r="F272">
        <v>323327.603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0.93145869947275972</v>
      </c>
      <c r="Q272">
        <f t="shared" si="965"/>
        <v>301166.30859402474</v>
      </c>
      <c r="R272">
        <f t="shared" si="966"/>
        <v>-5517737.8036755575</v>
      </c>
      <c r="S272">
        <f t="shared" si="967"/>
        <v>-55.177378036755577</v>
      </c>
      <c r="T272">
        <f t="shared" si="968"/>
        <v>-5.5177378036755577E-2</v>
      </c>
    </row>
    <row r="273" spans="1:20" x14ac:dyDescent="0.25">
      <c r="A273" s="5">
        <v>44320</v>
      </c>
      <c r="B273">
        <v>26.765000000000001</v>
      </c>
      <c r="C273">
        <v>26.966000000000001</v>
      </c>
      <c r="D273">
        <v>23.026</v>
      </c>
      <c r="E273">
        <v>24.082999999999998</v>
      </c>
      <c r="F273">
        <v>310624.03200000001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-0.46345177664974707</v>
      </c>
      <c r="Q273">
        <f t="shared" si="965"/>
        <v>-143959.25950050788</v>
      </c>
      <c r="R273">
        <f t="shared" si="966"/>
        <v>-5818904.1122695822</v>
      </c>
      <c r="S273">
        <f t="shared" si="967"/>
        <v>-58.189041122695819</v>
      </c>
      <c r="T273">
        <f t="shared" si="968"/>
        <v>-5.8189041122695823E-2</v>
      </c>
    </row>
    <row r="274" spans="1:20" x14ac:dyDescent="0.25">
      <c r="A274" s="5">
        <v>44319</v>
      </c>
      <c r="B274">
        <v>25.797999999999998</v>
      </c>
      <c r="C274">
        <v>27.152000000000001</v>
      </c>
      <c r="D274">
        <v>25.728999999999999</v>
      </c>
      <c r="E274">
        <v>26.698</v>
      </c>
      <c r="F274">
        <v>271520.81300000002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0.3619114546732255</v>
      </c>
      <c r="Q274">
        <f t="shared" si="965"/>
        <v>98266.492406886842</v>
      </c>
      <c r="R274">
        <f t="shared" si="966"/>
        <v>-5674944.852769074</v>
      </c>
      <c r="S274">
        <f t="shared" si="967"/>
        <v>-56.749448527690738</v>
      </c>
      <c r="T274">
        <f t="shared" si="968"/>
        <v>-5.6749448527690739E-2</v>
      </c>
    </row>
    <row r="275" spans="1:20" x14ac:dyDescent="0.25">
      <c r="A275" s="5">
        <v>44318</v>
      </c>
      <c r="B275">
        <v>26.846</v>
      </c>
      <c r="C275">
        <v>27.193000000000001</v>
      </c>
      <c r="D275">
        <v>25.219000000000001</v>
      </c>
      <c r="E275">
        <v>25.792999999999999</v>
      </c>
      <c r="F275">
        <v>256744.05600000001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-0.41843971631205873</v>
      </c>
      <c r="Q275">
        <f t="shared" si="965"/>
        <v>-107431.90995744732</v>
      </c>
      <c r="R275">
        <f t="shared" si="966"/>
        <v>-5773211.345175961</v>
      </c>
      <c r="S275">
        <f t="shared" si="967"/>
        <v>-57.732113451759609</v>
      </c>
      <c r="T275">
        <f t="shared" si="968"/>
        <v>-5.773211345175961E-2</v>
      </c>
    </row>
    <row r="276" spans="1:20" x14ac:dyDescent="0.25">
      <c r="A276" s="5">
        <v>44317</v>
      </c>
      <c r="B276">
        <v>25.338000000000001</v>
      </c>
      <c r="C276">
        <v>28.785</v>
      </c>
      <c r="D276">
        <v>25.087</v>
      </c>
      <c r="E276">
        <v>26.847999999999999</v>
      </c>
      <c r="F276">
        <v>516274.87400000001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-4.7593293672255788E-2</v>
      </c>
      <c r="Q276">
        <f t="shared" si="965"/>
        <v>-24571.221693888856</v>
      </c>
      <c r="R276">
        <f t="shared" si="966"/>
        <v>-5665779.4352185139</v>
      </c>
      <c r="S276">
        <f t="shared" si="967"/>
        <v>-56.657794352185142</v>
      </c>
      <c r="T276">
        <f t="shared" si="968"/>
        <v>-5.665779435218514E-2</v>
      </c>
    </row>
    <row r="277" spans="1:20" x14ac:dyDescent="0.25">
      <c r="A277" s="5">
        <v>44316</v>
      </c>
      <c r="B277">
        <v>24.978000000000002</v>
      </c>
      <c r="C277">
        <v>25.992999999999999</v>
      </c>
      <c r="D277">
        <v>24.564</v>
      </c>
      <c r="E277">
        <v>25.402999999999999</v>
      </c>
      <c r="F277">
        <v>174406.83199999999</v>
      </c>
      <c r="G277">
        <v>0</v>
      </c>
      <c r="L277" t="s">
        <v>8</v>
      </c>
      <c r="M277" t="s">
        <v>7</v>
      </c>
      <c r="N277" t="s">
        <v>7</v>
      </c>
      <c r="P277">
        <f t="shared" si="964"/>
        <v>0.17424772568229463</v>
      </c>
      <c r="Q277">
        <f t="shared" si="965"/>
        <v>30389.993819454045</v>
      </c>
      <c r="R277">
        <f t="shared" si="966"/>
        <v>-5641208.2135246247</v>
      </c>
      <c r="S277">
        <f t="shared" si="967"/>
        <v>-56.412082135246244</v>
      </c>
      <c r="T277">
        <f t="shared" si="968"/>
        <v>-5.6412082135246247E-2</v>
      </c>
    </row>
    <row r="278" spans="1:20" x14ac:dyDescent="0.25">
      <c r="A278" s="5">
        <v>44315</v>
      </c>
      <c r="B278">
        <v>25.077999999999999</v>
      </c>
      <c r="C278">
        <v>26.123000000000001</v>
      </c>
      <c r="D278">
        <v>24.05</v>
      </c>
      <c r="E278">
        <v>24.957000000000001</v>
      </c>
      <c r="F278">
        <v>247086.364</v>
      </c>
      <c r="G278">
        <v>0</v>
      </c>
      <c r="L278" t="s">
        <v>8</v>
      </c>
      <c r="M278" t="s">
        <v>7</v>
      </c>
      <c r="N278" t="s">
        <v>7</v>
      </c>
      <c r="P278">
        <f t="shared" si="964"/>
        <v>-0.12493970091654621</v>
      </c>
      <c r="Q278">
        <f t="shared" si="965"/>
        <v>-30870.896418716871</v>
      </c>
      <c r="R278">
        <f t="shared" si="966"/>
        <v>-5671598.2073440785</v>
      </c>
      <c r="S278">
        <f t="shared" si="967"/>
        <v>-56.715982073440784</v>
      </c>
      <c r="T278">
        <f t="shared" si="968"/>
        <v>-5.6715982073440786E-2</v>
      </c>
    </row>
    <row r="279" spans="1:20" x14ac:dyDescent="0.25">
      <c r="A279" s="5">
        <v>44314</v>
      </c>
      <c r="B279">
        <v>26.087</v>
      </c>
      <c r="C279">
        <v>26.571000000000002</v>
      </c>
      <c r="D279">
        <v>24.141999999999999</v>
      </c>
      <c r="E279">
        <v>25.052</v>
      </c>
      <c r="F279">
        <v>199227.91899999999</v>
      </c>
      <c r="G279">
        <v>0</v>
      </c>
      <c r="L279" t="s">
        <v>7</v>
      </c>
      <c r="M279" t="s">
        <v>7</v>
      </c>
      <c r="N279" t="s">
        <v>7</v>
      </c>
      <c r="P279">
        <f t="shared" si="964"/>
        <v>-0.25072046109510138</v>
      </c>
      <c r="Q279">
        <f t="shared" si="965"/>
        <v>-49950.515714697503</v>
      </c>
      <c r="R279">
        <f t="shared" si="966"/>
        <v>-5640727.3109253617</v>
      </c>
      <c r="S279">
        <f t="shared" si="967"/>
        <v>-56.407273109253616</v>
      </c>
      <c r="T279">
        <f t="shared" si="968"/>
        <v>-5.6407273109253614E-2</v>
      </c>
    </row>
    <row r="280" spans="1:20" x14ac:dyDescent="0.25">
      <c r="A280" s="5">
        <v>44313</v>
      </c>
      <c r="B280">
        <v>25.018999999999998</v>
      </c>
      <c r="C280">
        <v>26.811</v>
      </c>
      <c r="D280">
        <v>24.704000000000001</v>
      </c>
      <c r="E280">
        <v>26.085000000000001</v>
      </c>
      <c r="F280">
        <v>226851.93299999999</v>
      </c>
      <c r="G280">
        <v>0</v>
      </c>
      <c r="L280" t="s">
        <v>7</v>
      </c>
      <c r="M280" t="s">
        <v>7</v>
      </c>
      <c r="N280" t="s">
        <v>7</v>
      </c>
      <c r="P280">
        <f t="shared" si="964"/>
        <v>0.31086853345989623</v>
      </c>
      <c r="Q280">
        <f t="shared" si="965"/>
        <v>70521.127724252641</v>
      </c>
      <c r="R280">
        <f t="shared" si="966"/>
        <v>-5590776.7952106642</v>
      </c>
      <c r="S280">
        <f t="shared" si="967"/>
        <v>-55.907767952106639</v>
      </c>
      <c r="T280">
        <f t="shared" si="968"/>
        <v>-5.5907767952106641E-2</v>
      </c>
    </row>
    <row r="281" spans="1:20" x14ac:dyDescent="0.25">
      <c r="A281" s="5">
        <v>44312</v>
      </c>
      <c r="B281">
        <v>23.277000000000001</v>
      </c>
      <c r="C281">
        <v>27.218</v>
      </c>
      <c r="D281">
        <v>23.192</v>
      </c>
      <c r="E281">
        <v>25.062000000000001</v>
      </c>
      <c r="F281">
        <v>429111.40299999999</v>
      </c>
      <c r="G281">
        <v>0</v>
      </c>
      <c r="L281" t="s">
        <v>8</v>
      </c>
      <c r="M281" t="s">
        <v>7</v>
      </c>
      <c r="N281" t="s">
        <v>7</v>
      </c>
      <c r="P281">
        <f t="shared" si="964"/>
        <v>-7.1038251366119673E-2</v>
      </c>
      <c r="Q281">
        <f t="shared" si="965"/>
        <v>-30483.323710382279</v>
      </c>
      <c r="R281">
        <f t="shared" si="966"/>
        <v>-5661297.9229349168</v>
      </c>
      <c r="S281">
        <f t="shared" si="967"/>
        <v>-56.612979229349165</v>
      </c>
      <c r="T281">
        <f t="shared" si="968"/>
        <v>-5.6612979229349165E-2</v>
      </c>
    </row>
    <row r="282" spans="1:20" x14ac:dyDescent="0.25">
      <c r="A282" s="5">
        <v>44311</v>
      </c>
      <c r="B282">
        <v>20.699000000000002</v>
      </c>
      <c r="C282">
        <v>27.728000000000002</v>
      </c>
      <c r="D282">
        <v>20.213999999999999</v>
      </c>
      <c r="E282">
        <v>23.288</v>
      </c>
      <c r="F282">
        <v>598887.87600000005</v>
      </c>
      <c r="G282">
        <v>0</v>
      </c>
      <c r="L282" t="s">
        <v>7</v>
      </c>
      <c r="M282" t="s">
        <v>8</v>
      </c>
      <c r="N282" t="s">
        <v>7</v>
      </c>
      <c r="P282">
        <f t="shared" si="964"/>
        <v>-0.18179398456215054</v>
      </c>
      <c r="Q282">
        <f t="shared" si="965"/>
        <v>-108874.21328400314</v>
      </c>
      <c r="R282">
        <f t="shared" si="966"/>
        <v>-5630814.5992245348</v>
      </c>
      <c r="S282">
        <f t="shared" si="967"/>
        <v>-56.30814599224535</v>
      </c>
      <c r="T282">
        <f t="shared" si="968"/>
        <v>-5.6308145992245352E-2</v>
      </c>
    </row>
    <row r="283" spans="1:20" x14ac:dyDescent="0.25">
      <c r="A283" s="5">
        <v>44310</v>
      </c>
      <c r="B283">
        <v>23.276</v>
      </c>
      <c r="C283">
        <v>23.38</v>
      </c>
      <c r="D283">
        <v>20.492000000000001</v>
      </c>
      <c r="E283">
        <v>20.725999999999999</v>
      </c>
      <c r="F283">
        <v>336197.45799999998</v>
      </c>
      <c r="G283">
        <v>0</v>
      </c>
      <c r="L283" t="s">
        <v>7</v>
      </c>
      <c r="M283" t="s">
        <v>7</v>
      </c>
      <c r="N283" t="s">
        <v>7</v>
      </c>
      <c r="P283">
        <f t="shared" si="964"/>
        <v>-0.83795013850415623</v>
      </c>
      <c r="Q283">
        <f t="shared" si="965"/>
        <v>-281716.70649584522</v>
      </c>
      <c r="R283">
        <f t="shared" si="966"/>
        <v>-5521940.3859405313</v>
      </c>
      <c r="S283">
        <f t="shared" si="967"/>
        <v>-55.219403859405311</v>
      </c>
      <c r="T283">
        <f t="shared" si="968"/>
        <v>-5.5219403859405311E-2</v>
      </c>
    </row>
    <row r="284" spans="1:20" x14ac:dyDescent="0.25">
      <c r="A284" s="5">
        <v>44309</v>
      </c>
      <c r="B284">
        <v>25.157</v>
      </c>
      <c r="C284">
        <v>25.231000000000002</v>
      </c>
      <c r="D284">
        <v>20.763000000000002</v>
      </c>
      <c r="E284">
        <v>23.283999999999999</v>
      </c>
      <c r="F284">
        <v>380261.06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0.12846911369740252</v>
      </c>
      <c r="Q284">
        <f t="shared" si="965"/>
        <v>48851.801351834802</v>
      </c>
      <c r="R284">
        <f t="shared" si="966"/>
        <v>-5240223.6794446856</v>
      </c>
      <c r="S284">
        <f t="shared" si="967"/>
        <v>-52.402236794446857</v>
      </c>
      <c r="T284">
        <f t="shared" si="968"/>
        <v>-5.240223679444686E-2</v>
      </c>
    </row>
    <row r="285" spans="1:20" x14ac:dyDescent="0.25">
      <c r="A285" s="5">
        <v>44308</v>
      </c>
      <c r="B285">
        <v>25.364999999999998</v>
      </c>
      <c r="C285">
        <v>27.294</v>
      </c>
      <c r="D285">
        <v>24.05</v>
      </c>
      <c r="E285">
        <v>25.120999999999999</v>
      </c>
      <c r="F285">
        <v>391051.03899999999</v>
      </c>
      <c r="G285">
        <v>0</v>
      </c>
      <c r="L285" t="s">
        <v>7</v>
      </c>
      <c r="M285" t="s">
        <v>7</v>
      </c>
      <c r="N285" t="s">
        <v>8</v>
      </c>
      <c r="P285">
        <f t="shared" si="964"/>
        <v>-0.33970406905055611</v>
      </c>
      <c r="Q285">
        <f t="shared" si="965"/>
        <v>-132841.6291547477</v>
      </c>
      <c r="R285">
        <f t="shared" si="966"/>
        <v>-5289075.4807965206</v>
      </c>
      <c r="S285">
        <f t="shared" si="967"/>
        <v>-52.890754807965209</v>
      </c>
      <c r="T285">
        <f t="shared" si="968"/>
        <v>-5.2890754807965207E-2</v>
      </c>
    </row>
    <row r="286" spans="1:20" x14ac:dyDescent="0.25">
      <c r="A286" s="5">
        <v>44307</v>
      </c>
      <c r="B286">
        <v>28.254999999999999</v>
      </c>
      <c r="C286">
        <v>29.167000000000002</v>
      </c>
      <c r="D286">
        <v>24.907</v>
      </c>
      <c r="E286">
        <v>25.367999999999999</v>
      </c>
      <c r="F286">
        <v>386843.68199999997</v>
      </c>
      <c r="G286">
        <v>0</v>
      </c>
      <c r="L286" t="s">
        <v>8</v>
      </c>
      <c r="M286" t="s">
        <v>7</v>
      </c>
      <c r="N286" t="s">
        <v>8</v>
      </c>
      <c r="P286">
        <f t="shared" si="964"/>
        <v>-0.7835680751173717</v>
      </c>
      <c r="Q286">
        <f t="shared" si="965"/>
        <v>-303118.35927605664</v>
      </c>
      <c r="R286">
        <f t="shared" si="966"/>
        <v>-5156233.8516417732</v>
      </c>
      <c r="S286">
        <f t="shared" si="967"/>
        <v>-51.562338516417732</v>
      </c>
      <c r="T286">
        <f t="shared" si="968"/>
        <v>-5.1562338516417734E-2</v>
      </c>
    </row>
    <row r="287" spans="1:20" x14ac:dyDescent="0.25">
      <c r="A287" s="5">
        <v>44306</v>
      </c>
      <c r="B287">
        <v>26.731000000000002</v>
      </c>
      <c r="C287">
        <v>29.52</v>
      </c>
      <c r="D287">
        <v>25.189</v>
      </c>
      <c r="E287">
        <v>28.253</v>
      </c>
      <c r="F287">
        <v>541588.11199999996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0.41491572385130471</v>
      </c>
      <c r="Q287">
        <f t="shared" si="965"/>
        <v>224713.42351974148</v>
      </c>
      <c r="R287">
        <f t="shared" si="966"/>
        <v>-4853115.492365717</v>
      </c>
      <c r="S287">
        <f t="shared" si="967"/>
        <v>-48.531154923657169</v>
      </c>
      <c r="T287">
        <f t="shared" si="968"/>
        <v>-4.8531154923657172E-2</v>
      </c>
    </row>
    <row r="288" spans="1:20" x14ac:dyDescent="0.25">
      <c r="A288" s="5">
        <v>44305</v>
      </c>
      <c r="B288">
        <v>32.847000000000001</v>
      </c>
      <c r="C288">
        <v>33.47</v>
      </c>
      <c r="D288">
        <v>25.710999999999999</v>
      </c>
      <c r="E288">
        <v>26.73</v>
      </c>
      <c r="F288">
        <v>1035018.214</v>
      </c>
      <c r="G288">
        <v>0</v>
      </c>
      <c r="L288" t="s">
        <v>8</v>
      </c>
      <c r="M288" t="s">
        <v>7</v>
      </c>
      <c r="N288" t="s">
        <v>8</v>
      </c>
      <c r="P288">
        <f t="shared" si="964"/>
        <v>-0.73733728573269708</v>
      </c>
      <c r="Q288">
        <f t="shared" si="965"/>
        <v>-763157.5205946638</v>
      </c>
      <c r="R288">
        <f t="shared" si="966"/>
        <v>-5077828.9158854587</v>
      </c>
      <c r="S288">
        <f t="shared" si="967"/>
        <v>-50.778289158854584</v>
      </c>
      <c r="T288">
        <f t="shared" si="968"/>
        <v>-5.0778289158854586E-2</v>
      </c>
    </row>
    <row r="289" spans="1:20" x14ac:dyDescent="0.25">
      <c r="A289" s="5">
        <v>44304</v>
      </c>
      <c r="B289">
        <v>28.442</v>
      </c>
      <c r="C289">
        <v>32.987000000000002</v>
      </c>
      <c r="D289">
        <v>22.74</v>
      </c>
      <c r="E289">
        <v>32.840000000000003</v>
      </c>
      <c r="F289">
        <v>1328341.6680000001</v>
      </c>
      <c r="G289">
        <v>0</v>
      </c>
      <c r="L289" t="s">
        <v>8</v>
      </c>
      <c r="M289" t="s">
        <v>8</v>
      </c>
      <c r="N289" t="s">
        <v>7</v>
      </c>
      <c r="P289">
        <f t="shared" si="964"/>
        <v>0.97130867570996415</v>
      </c>
      <c r="Q289">
        <f t="shared" si="965"/>
        <v>1290229.7864354448</v>
      </c>
      <c r="R289">
        <f t="shared" si="966"/>
        <v>-4314671.3952907948</v>
      </c>
      <c r="S289">
        <f t="shared" si="967"/>
        <v>-43.146713952907945</v>
      </c>
      <c r="T289">
        <f t="shared" si="968"/>
        <v>-4.3146713952907943E-2</v>
      </c>
    </row>
    <row r="290" spans="1:20" x14ac:dyDescent="0.25">
      <c r="A290" s="5">
        <v>44303</v>
      </c>
      <c r="B290">
        <v>29.029</v>
      </c>
      <c r="C290">
        <v>31</v>
      </c>
      <c r="D290">
        <v>27.734999999999999</v>
      </c>
      <c r="E290">
        <v>28.477</v>
      </c>
      <c r="F290">
        <v>447830.30200000003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-0.54548238897396584</v>
      </c>
      <c r="Q290">
        <f t="shared" si="965"/>
        <v>-244283.54298989259</v>
      </c>
      <c r="R290">
        <f t="shared" si="966"/>
        <v>-5604901.1817262396</v>
      </c>
      <c r="S290">
        <f t="shared" si="967"/>
        <v>-56.049011817262397</v>
      </c>
      <c r="T290">
        <f t="shared" si="968"/>
        <v>-5.6049011817262399E-2</v>
      </c>
    </row>
    <row r="291" spans="1:20" x14ac:dyDescent="0.25">
      <c r="A291" s="5">
        <v>44302</v>
      </c>
      <c r="B291">
        <v>29.731000000000002</v>
      </c>
      <c r="C291">
        <v>30</v>
      </c>
      <c r="D291">
        <v>27.117000000000001</v>
      </c>
      <c r="E291">
        <v>29.023</v>
      </c>
      <c r="F291">
        <v>550979.72100000002</v>
      </c>
      <c r="G291">
        <v>0</v>
      </c>
      <c r="L291" t="s">
        <v>7</v>
      </c>
      <c r="M291" t="s">
        <v>8</v>
      </c>
      <c r="N291" t="s">
        <v>8</v>
      </c>
      <c r="P291">
        <f t="shared" si="964"/>
        <v>0.32223378425251431</v>
      </c>
      <c r="Q291">
        <f t="shared" si="965"/>
        <v>177544.28054422454</v>
      </c>
      <c r="R291">
        <f t="shared" si="966"/>
        <v>-5360617.6387363467</v>
      </c>
      <c r="S291">
        <f t="shared" si="967"/>
        <v>-53.606176387363469</v>
      </c>
      <c r="T291">
        <f t="shared" si="968"/>
        <v>-5.3606176387363466E-2</v>
      </c>
    </row>
    <row r="292" spans="1:20" x14ac:dyDescent="0.25">
      <c r="A292" s="5">
        <v>44301</v>
      </c>
      <c r="B292">
        <v>26.634</v>
      </c>
      <c r="C292">
        <v>31.8</v>
      </c>
      <c r="D292">
        <v>26</v>
      </c>
      <c r="E292">
        <v>29.73</v>
      </c>
      <c r="F292">
        <v>762105.56299999997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0.28620689655172415</v>
      </c>
      <c r="Q292">
        <f t="shared" si="965"/>
        <v>218119.86803103448</v>
      </c>
      <c r="R292">
        <f t="shared" si="966"/>
        <v>-5538161.9192805709</v>
      </c>
      <c r="S292">
        <f t="shared" si="967"/>
        <v>-55.381619192805708</v>
      </c>
      <c r="T292">
        <f t="shared" si="968"/>
        <v>-5.5381619192805709E-2</v>
      </c>
    </row>
    <row r="293" spans="1:20" x14ac:dyDescent="0.25">
      <c r="A293" s="5">
        <v>44300</v>
      </c>
      <c r="B293">
        <v>26.721</v>
      </c>
      <c r="C293">
        <v>26.721</v>
      </c>
      <c r="D293">
        <v>25.141999999999999</v>
      </c>
      <c r="E293">
        <v>26.593</v>
      </c>
      <c r="F293">
        <v>337779.96</v>
      </c>
      <c r="G293">
        <v>0</v>
      </c>
      <c r="L293" t="s">
        <v>7</v>
      </c>
      <c r="M293" t="s">
        <v>8</v>
      </c>
      <c r="N293" t="s">
        <v>8</v>
      </c>
      <c r="P293">
        <f t="shared" si="964"/>
        <v>0.83787207093096894</v>
      </c>
      <c r="Q293">
        <f t="shared" si="965"/>
        <v>283016.39460417989</v>
      </c>
      <c r="R293">
        <f t="shared" si="966"/>
        <v>-5756281.7873116052</v>
      </c>
      <c r="S293">
        <f t="shared" si="967"/>
        <v>-57.562817873116053</v>
      </c>
      <c r="T293">
        <f t="shared" si="968"/>
        <v>-5.7562817873116054E-2</v>
      </c>
    </row>
    <row r="294" spans="1:20" x14ac:dyDescent="0.25">
      <c r="A294" s="5">
        <v>44299</v>
      </c>
      <c r="B294">
        <v>27.193000000000001</v>
      </c>
      <c r="C294">
        <v>27.937999999999999</v>
      </c>
      <c r="D294">
        <v>26.234999999999999</v>
      </c>
      <c r="E294">
        <v>26.646000000000001</v>
      </c>
      <c r="F294">
        <v>227943.16200000001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-0.51732237228420253</v>
      </c>
      <c r="Q294">
        <f t="shared" si="965"/>
        <v>-117920.0973118023</v>
      </c>
      <c r="R294">
        <f t="shared" si="966"/>
        <v>-6039298.1819157852</v>
      </c>
      <c r="S294">
        <f t="shared" si="967"/>
        <v>-60.392981819157853</v>
      </c>
      <c r="T294">
        <f t="shared" si="968"/>
        <v>-6.0392981819157851E-2</v>
      </c>
    </row>
    <row r="295" spans="1:20" x14ac:dyDescent="0.25">
      <c r="A295" s="5">
        <v>44298</v>
      </c>
      <c r="B295">
        <v>27.102</v>
      </c>
      <c r="C295">
        <v>27.696000000000002</v>
      </c>
      <c r="D295">
        <v>25.640999999999998</v>
      </c>
      <c r="E295">
        <v>27.221</v>
      </c>
      <c r="F295">
        <v>326826.451</v>
      </c>
      <c r="G295">
        <v>0</v>
      </c>
      <c r="L295" t="s">
        <v>7</v>
      </c>
      <c r="M295" t="s">
        <v>8</v>
      </c>
      <c r="N295" t="s">
        <v>8</v>
      </c>
      <c r="P295">
        <f t="shared" si="964"/>
        <v>0.5377128953771283</v>
      </c>
      <c r="Q295">
        <f t="shared" si="965"/>
        <v>175738.79725304115</v>
      </c>
      <c r="R295">
        <f t="shared" si="966"/>
        <v>-5921378.084603983</v>
      </c>
      <c r="S295">
        <f t="shared" si="967"/>
        <v>-59.213780846039832</v>
      </c>
      <c r="T295">
        <f t="shared" si="968"/>
        <v>-5.9213780846039829E-2</v>
      </c>
    </row>
    <row r="296" spans="1:20" x14ac:dyDescent="0.25">
      <c r="A296" s="5">
        <v>44297</v>
      </c>
      <c r="B296">
        <v>28.058</v>
      </c>
      <c r="C296">
        <v>29.242000000000001</v>
      </c>
      <c r="D296">
        <v>26.516999999999999</v>
      </c>
      <c r="E296">
        <v>27.027000000000001</v>
      </c>
      <c r="F296">
        <v>337874.19799999997</v>
      </c>
      <c r="G296">
        <v>0</v>
      </c>
      <c r="L296" t="s">
        <v>7</v>
      </c>
      <c r="M296" t="s">
        <v>8</v>
      </c>
      <c r="N296" t="s">
        <v>8</v>
      </c>
      <c r="P296">
        <f t="shared" si="964"/>
        <v>-0.6256880733944945</v>
      </c>
      <c r="Q296">
        <f t="shared" si="965"/>
        <v>-211403.85599632995</v>
      </c>
      <c r="R296">
        <f t="shared" si="966"/>
        <v>-6097116.8818570245</v>
      </c>
      <c r="S296">
        <f t="shared" si="967"/>
        <v>-60.971168818570249</v>
      </c>
      <c r="T296">
        <f t="shared" si="968"/>
        <v>-6.0971168818570246E-2</v>
      </c>
    </row>
    <row r="297" spans="1:20" x14ac:dyDescent="0.25">
      <c r="A297" s="5">
        <v>44296</v>
      </c>
      <c r="B297">
        <v>24.638999999999999</v>
      </c>
      <c r="C297">
        <v>29.376999999999999</v>
      </c>
      <c r="D297">
        <v>24.407</v>
      </c>
      <c r="E297">
        <v>28.093</v>
      </c>
      <c r="F297">
        <v>660265.28399999999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0.48329979879275686</v>
      </c>
      <c r="Q297">
        <f t="shared" si="965"/>
        <v>319106.07890704245</v>
      </c>
      <c r="R297">
        <f t="shared" si="966"/>
        <v>-5885713.0258606942</v>
      </c>
      <c r="S297">
        <f t="shared" si="967"/>
        <v>-58.857130258606944</v>
      </c>
      <c r="T297">
        <f t="shared" si="968"/>
        <v>-5.8857130258606942E-2</v>
      </c>
    </row>
    <row r="298" spans="1:20" x14ac:dyDescent="0.25">
      <c r="A298" s="5">
        <v>44295</v>
      </c>
      <c r="B298">
        <v>24.388999999999999</v>
      </c>
      <c r="C298">
        <v>25.773</v>
      </c>
      <c r="D298">
        <v>23.847000000000001</v>
      </c>
      <c r="E298">
        <v>24.635999999999999</v>
      </c>
      <c r="F298">
        <v>218424.32199999999</v>
      </c>
      <c r="G298">
        <v>0</v>
      </c>
      <c r="L298" t="s">
        <v>8</v>
      </c>
      <c r="M298" t="s">
        <v>7</v>
      </c>
      <c r="N298" t="s">
        <v>7</v>
      </c>
      <c r="P298">
        <f t="shared" si="964"/>
        <v>-0.18068535825545318</v>
      </c>
      <c r="Q298">
        <f t="shared" si="965"/>
        <v>-39466.076872274461</v>
      </c>
      <c r="R298">
        <f t="shared" si="966"/>
        <v>-6204819.104767737</v>
      </c>
      <c r="S298">
        <f t="shared" si="967"/>
        <v>-62.048191047677371</v>
      </c>
      <c r="T298">
        <f t="shared" si="968"/>
        <v>-6.2048191047677372E-2</v>
      </c>
    </row>
    <row r="299" spans="1:20" x14ac:dyDescent="0.25">
      <c r="A299" s="5">
        <v>44294</v>
      </c>
      <c r="B299">
        <v>23.15</v>
      </c>
      <c r="C299">
        <v>24.814</v>
      </c>
      <c r="D299">
        <v>23.024999999999999</v>
      </c>
      <c r="E299">
        <v>24.388999999999999</v>
      </c>
      <c r="F299">
        <v>95983.718999999997</v>
      </c>
      <c r="G299">
        <v>0</v>
      </c>
      <c r="L299" t="s">
        <v>8</v>
      </c>
      <c r="M299" t="s">
        <v>7</v>
      </c>
      <c r="N299" t="s">
        <v>7</v>
      </c>
      <c r="P299">
        <f t="shared" si="964"/>
        <v>0.52487423141419742</v>
      </c>
      <c r="Q299">
        <f t="shared" si="965"/>
        <v>50379.380738401298</v>
      </c>
      <c r="R299">
        <f t="shared" si="966"/>
        <v>-6165353.0278954627</v>
      </c>
      <c r="S299">
        <f t="shared" si="967"/>
        <v>-61.653530278954626</v>
      </c>
      <c r="T299">
        <f t="shared" si="968"/>
        <v>-6.1653530278954628E-2</v>
      </c>
    </row>
    <row r="300" spans="1:20" x14ac:dyDescent="0.25">
      <c r="A300" s="5">
        <v>44293</v>
      </c>
      <c r="B300">
        <v>25.292999999999999</v>
      </c>
      <c r="C300">
        <v>25.393000000000001</v>
      </c>
      <c r="D300">
        <v>22.158000000000001</v>
      </c>
      <c r="E300">
        <v>23.167000000000002</v>
      </c>
      <c r="F300">
        <v>256386.64799999999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-0.37619783616692393</v>
      </c>
      <c r="Q300">
        <f t="shared" si="965"/>
        <v>-96452.102199690795</v>
      </c>
      <c r="R300">
        <f t="shared" si="966"/>
        <v>-6215732.4086338636</v>
      </c>
      <c r="S300">
        <f t="shared" si="967"/>
        <v>-62.157324086338633</v>
      </c>
      <c r="T300">
        <f t="shared" si="968"/>
        <v>-6.2157324086338631E-2</v>
      </c>
    </row>
    <row r="301" spans="1:20" x14ac:dyDescent="0.25">
      <c r="A301" s="5">
        <v>44292</v>
      </c>
      <c r="B301">
        <v>26.195</v>
      </c>
      <c r="C301">
        <v>27.334</v>
      </c>
      <c r="D301">
        <v>25.140999999999998</v>
      </c>
      <c r="E301">
        <v>25.318000000000001</v>
      </c>
      <c r="F301">
        <v>312138.49400000001</v>
      </c>
      <c r="G301">
        <v>0</v>
      </c>
      <c r="L301" t="s">
        <v>8</v>
      </c>
      <c r="M301" t="s">
        <v>8</v>
      </c>
      <c r="N301" t="s">
        <v>7</v>
      </c>
      <c r="P301">
        <f t="shared" si="964"/>
        <v>-0.83857729138166615</v>
      </c>
      <c r="Q301">
        <f t="shared" si="965"/>
        <v>-261752.25283447246</v>
      </c>
      <c r="R301">
        <f t="shared" si="966"/>
        <v>-6119280.3064341731</v>
      </c>
      <c r="S301">
        <f t="shared" si="967"/>
        <v>-61.192803064341732</v>
      </c>
      <c r="T301">
        <f t="shared" si="968"/>
        <v>-6.119280306434173E-2</v>
      </c>
    </row>
    <row r="302" spans="1:20" x14ac:dyDescent="0.25">
      <c r="A302" s="5">
        <v>44291</v>
      </c>
      <c r="B302">
        <v>25.477</v>
      </c>
      <c r="C302">
        <v>26.561</v>
      </c>
      <c r="D302">
        <v>24.526</v>
      </c>
      <c r="E302">
        <v>26.184999999999999</v>
      </c>
      <c r="F302">
        <v>203717.622</v>
      </c>
      <c r="G302">
        <v>0</v>
      </c>
      <c r="L302" t="s">
        <v>8</v>
      </c>
      <c r="M302" t="s">
        <v>8</v>
      </c>
      <c r="N302" t="s">
        <v>7</v>
      </c>
      <c r="P302">
        <f t="shared" si="964"/>
        <v>0.63046683046682928</v>
      </c>
      <c r="Q302">
        <f t="shared" si="965"/>
        <v>128437.20345257962</v>
      </c>
      <c r="R302">
        <f t="shared" si="966"/>
        <v>-5857528.0535997003</v>
      </c>
      <c r="S302">
        <f t="shared" si="967"/>
        <v>-58.575280535997003</v>
      </c>
      <c r="T302">
        <f t="shared" si="968"/>
        <v>-5.8575280535997004E-2</v>
      </c>
    </row>
    <row r="303" spans="1:20" x14ac:dyDescent="0.25">
      <c r="A303" s="5">
        <v>44290</v>
      </c>
      <c r="B303">
        <v>24.620999999999999</v>
      </c>
      <c r="C303">
        <v>26</v>
      </c>
      <c r="D303">
        <v>23.972999999999999</v>
      </c>
      <c r="E303">
        <v>25.466000000000001</v>
      </c>
      <c r="F303">
        <v>188970.61900000001</v>
      </c>
      <c r="G303">
        <v>0</v>
      </c>
      <c r="L303" t="s">
        <v>7</v>
      </c>
      <c r="M303" t="s">
        <v>8</v>
      </c>
      <c r="N303" t="s">
        <v>7</v>
      </c>
      <c r="P303">
        <f t="shared" si="964"/>
        <v>0.47311297483966586</v>
      </c>
      <c r="Q303">
        <f t="shared" si="965"/>
        <v>89404.451712383088</v>
      </c>
      <c r="R303">
        <f t="shared" si="966"/>
        <v>-5985965.25705228</v>
      </c>
      <c r="S303">
        <f t="shared" si="967"/>
        <v>-59.859652570522798</v>
      </c>
      <c r="T303">
        <f t="shared" si="968"/>
        <v>-5.9859652570522795E-2</v>
      </c>
    </row>
    <row r="304" spans="1:20" x14ac:dyDescent="0.25">
      <c r="A304" s="5">
        <v>44289</v>
      </c>
      <c r="B304">
        <v>25.379000000000001</v>
      </c>
      <c r="C304">
        <v>27.5</v>
      </c>
      <c r="D304">
        <v>24.495000000000001</v>
      </c>
      <c r="E304">
        <v>24.609000000000002</v>
      </c>
      <c r="F304">
        <v>355245.73200000002</v>
      </c>
      <c r="G304">
        <v>0</v>
      </c>
      <c r="L304" t="s">
        <v>8</v>
      </c>
      <c r="M304" t="s">
        <v>8</v>
      </c>
      <c r="N304" t="s">
        <v>7</v>
      </c>
      <c r="P304">
        <f t="shared" si="964"/>
        <v>-0.92412645590682141</v>
      </c>
      <c r="Q304">
        <f t="shared" si="965"/>
        <v>-328291.9792891845</v>
      </c>
      <c r="R304">
        <f t="shared" si="966"/>
        <v>-6075369.708764663</v>
      </c>
      <c r="S304">
        <f t="shared" si="967"/>
        <v>-60.753697087646628</v>
      </c>
      <c r="T304">
        <f t="shared" si="968"/>
        <v>-6.0753697087646628E-2</v>
      </c>
    </row>
    <row r="305" spans="1:20" x14ac:dyDescent="0.25">
      <c r="A305" s="5">
        <v>44288</v>
      </c>
      <c r="B305">
        <v>24.114999999999998</v>
      </c>
      <c r="C305">
        <v>25.922000000000001</v>
      </c>
      <c r="D305">
        <v>23.6</v>
      </c>
      <c r="E305">
        <v>25.38</v>
      </c>
      <c r="F305">
        <v>237066.81</v>
      </c>
      <c r="G305">
        <v>0</v>
      </c>
      <c r="L305" t="s">
        <v>8</v>
      </c>
      <c r="M305" t="s">
        <v>8</v>
      </c>
      <c r="N305" t="s">
        <v>7</v>
      </c>
      <c r="P305">
        <f t="shared" si="964"/>
        <v>0.53316106804478747</v>
      </c>
      <c r="Q305">
        <f t="shared" si="965"/>
        <v>126394.7936175707</v>
      </c>
      <c r="R305">
        <f t="shared" si="966"/>
        <v>-5747077.7294754786</v>
      </c>
      <c r="S305">
        <f t="shared" si="967"/>
        <v>-57.470777294754789</v>
      </c>
      <c r="T305">
        <f t="shared" si="968"/>
        <v>-5.7470777294754791E-2</v>
      </c>
    </row>
    <row r="306" spans="1:20" x14ac:dyDescent="0.25">
      <c r="A306" s="5">
        <v>44287</v>
      </c>
      <c r="B306">
        <v>24.756</v>
      </c>
      <c r="C306">
        <v>25.734999999999999</v>
      </c>
      <c r="D306">
        <v>23.446999999999999</v>
      </c>
      <c r="E306">
        <v>24.117000000000001</v>
      </c>
      <c r="F306">
        <v>206521.283</v>
      </c>
      <c r="G306">
        <v>0</v>
      </c>
      <c r="L306" t="s">
        <v>7</v>
      </c>
      <c r="M306" t="s">
        <v>8</v>
      </c>
      <c r="N306" t="s">
        <v>7</v>
      </c>
      <c r="P306">
        <f t="shared" si="964"/>
        <v>-0.41433566433566293</v>
      </c>
      <c r="Q306">
        <f t="shared" si="965"/>
        <v>-85569.132991258448</v>
      </c>
      <c r="R306">
        <f t="shared" si="966"/>
        <v>-5873472.5230930494</v>
      </c>
      <c r="S306">
        <f t="shared" si="967"/>
        <v>-58.734725230930493</v>
      </c>
      <c r="T306">
        <f t="shared" si="968"/>
        <v>-5.8734725230930492E-2</v>
      </c>
    </row>
    <row r="307" spans="1:20" x14ac:dyDescent="0.25">
      <c r="A307" s="5">
        <v>44286</v>
      </c>
      <c r="B307">
        <v>23.126999999999999</v>
      </c>
      <c r="C307">
        <v>26.277000000000001</v>
      </c>
      <c r="D307">
        <v>22.564</v>
      </c>
      <c r="E307">
        <v>24.701000000000001</v>
      </c>
      <c r="F307">
        <v>353700.85</v>
      </c>
      <c r="G307">
        <v>0</v>
      </c>
      <c r="L307" t="s">
        <v>8</v>
      </c>
      <c r="M307" t="s">
        <v>8</v>
      </c>
      <c r="N307" t="s">
        <v>7</v>
      </c>
      <c r="P307">
        <f t="shared" si="964"/>
        <v>0.15109076218691081</v>
      </c>
      <c r="Q307">
        <f t="shared" si="965"/>
        <v>53440.931012658206</v>
      </c>
      <c r="R307">
        <f t="shared" si="966"/>
        <v>-5787903.3901017914</v>
      </c>
      <c r="S307">
        <f t="shared" si="967"/>
        <v>-57.879033901017912</v>
      </c>
      <c r="T307">
        <f t="shared" si="968"/>
        <v>-5.7879033901017909E-2</v>
      </c>
    </row>
    <row r="308" spans="1:20" x14ac:dyDescent="0.25">
      <c r="A308" s="5">
        <v>44285</v>
      </c>
      <c r="B308">
        <v>22.725000000000001</v>
      </c>
      <c r="C308">
        <v>23.914000000000001</v>
      </c>
      <c r="D308">
        <v>22.533999999999999</v>
      </c>
      <c r="E308">
        <v>23.123000000000001</v>
      </c>
      <c r="F308">
        <v>153667.10999999999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-0.14637681159420132</v>
      </c>
      <c r="Q308">
        <f t="shared" si="965"/>
        <v>-22493.301608695409</v>
      </c>
      <c r="R308">
        <f t="shared" si="966"/>
        <v>-5841344.3211144498</v>
      </c>
      <c r="S308">
        <f t="shared" si="967"/>
        <v>-58.413443211144497</v>
      </c>
      <c r="T308">
        <f t="shared" si="968"/>
        <v>-5.8413443211144493E-2</v>
      </c>
    </row>
    <row r="309" spans="1:20" x14ac:dyDescent="0.25">
      <c r="A309" s="5">
        <v>44284</v>
      </c>
      <c r="B309">
        <v>21.684000000000001</v>
      </c>
      <c r="C309">
        <v>23.3</v>
      </c>
      <c r="D309">
        <v>21.562999999999999</v>
      </c>
      <c r="E309">
        <v>22.727</v>
      </c>
      <c r="F309">
        <v>204294.15100000001</v>
      </c>
      <c r="G309">
        <v>0</v>
      </c>
      <c r="L309" t="s">
        <v>8</v>
      </c>
      <c r="M309" t="s">
        <v>7</v>
      </c>
      <c r="N309" t="s">
        <v>7</v>
      </c>
      <c r="P309">
        <f t="shared" si="964"/>
        <v>0.34024179620034567</v>
      </c>
      <c r="Q309">
        <f t="shared" si="965"/>
        <v>69509.408889464656</v>
      </c>
      <c r="R309">
        <f t="shared" si="966"/>
        <v>-5818851.0195057541</v>
      </c>
      <c r="S309">
        <f t="shared" si="967"/>
        <v>-58.188510195057539</v>
      </c>
      <c r="T309">
        <f t="shared" si="968"/>
        <v>-5.8188510195057538E-2</v>
      </c>
    </row>
    <row r="310" spans="1:20" x14ac:dyDescent="0.25">
      <c r="A310" s="5">
        <v>44283</v>
      </c>
      <c r="B310">
        <v>21.765999999999998</v>
      </c>
      <c r="C310">
        <v>22.454000000000001</v>
      </c>
      <c r="D310">
        <v>21.4</v>
      </c>
      <c r="E310">
        <v>21.655999999999999</v>
      </c>
      <c r="F310">
        <v>185957.10200000001</v>
      </c>
      <c r="G310">
        <v>0</v>
      </c>
      <c r="L310" t="s">
        <v>7</v>
      </c>
      <c r="M310" t="s">
        <v>7</v>
      </c>
      <c r="N310" t="s">
        <v>7</v>
      </c>
      <c r="P310">
        <f t="shared" si="964"/>
        <v>-0.51423149905123389</v>
      </c>
      <c r="Q310">
        <f t="shared" si="965"/>
        <v>-95624.999320683215</v>
      </c>
      <c r="R310">
        <f t="shared" si="966"/>
        <v>-5888360.4283952191</v>
      </c>
      <c r="S310">
        <f t="shared" si="967"/>
        <v>-58.883604283952188</v>
      </c>
      <c r="T310">
        <f t="shared" si="968"/>
        <v>-5.8883604283952187E-2</v>
      </c>
    </row>
    <row r="311" spans="1:20" x14ac:dyDescent="0.25">
      <c r="A311" s="5">
        <v>44282</v>
      </c>
      <c r="B311">
        <v>22.821000000000002</v>
      </c>
      <c r="C311">
        <v>23.5</v>
      </c>
      <c r="D311">
        <v>21.661000000000001</v>
      </c>
      <c r="E311">
        <v>21.765999999999998</v>
      </c>
      <c r="F311">
        <v>175816.883</v>
      </c>
      <c r="G311">
        <v>0</v>
      </c>
      <c r="L311" t="s">
        <v>8</v>
      </c>
      <c r="M311" t="s">
        <v>7</v>
      </c>
      <c r="N311" t="s">
        <v>7</v>
      </c>
      <c r="P311">
        <f t="shared" si="964"/>
        <v>-0.88580750407830677</v>
      </c>
      <c r="Q311">
        <f t="shared" si="965"/>
        <v>-155739.9143050577</v>
      </c>
      <c r="R311">
        <f t="shared" si="966"/>
        <v>-5792735.4290745361</v>
      </c>
      <c r="S311">
        <f t="shared" si="967"/>
        <v>-57.927354290745363</v>
      </c>
      <c r="T311">
        <f t="shared" si="968"/>
        <v>-5.7927354290745366E-2</v>
      </c>
    </row>
    <row r="312" spans="1:20" x14ac:dyDescent="0.25">
      <c r="A312" s="5">
        <v>44281</v>
      </c>
      <c r="B312">
        <v>19.870999999999999</v>
      </c>
      <c r="C312">
        <v>23.123000000000001</v>
      </c>
      <c r="D312">
        <v>19.849</v>
      </c>
      <c r="E312">
        <v>22.856000000000002</v>
      </c>
      <c r="F312">
        <v>250823.62299999999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0.83689676237018973</v>
      </c>
      <c r="Q312">
        <f t="shared" si="965"/>
        <v>209913.47801466106</v>
      </c>
      <c r="R312">
        <f t="shared" si="966"/>
        <v>-5636995.5147694787</v>
      </c>
      <c r="S312">
        <f t="shared" si="967"/>
        <v>-56.369955147694789</v>
      </c>
      <c r="T312">
        <f t="shared" si="968"/>
        <v>-5.6369955147694786E-2</v>
      </c>
    </row>
    <row r="313" spans="1:20" x14ac:dyDescent="0.25">
      <c r="A313" s="5">
        <v>44280</v>
      </c>
      <c r="B313">
        <v>20.734000000000002</v>
      </c>
      <c r="C313">
        <v>21.259</v>
      </c>
      <c r="D313">
        <v>19.809000000000001</v>
      </c>
      <c r="E313">
        <v>19.902999999999999</v>
      </c>
      <c r="F313">
        <v>143872.967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-0.87034482758621012</v>
      </c>
      <c r="Q313">
        <f t="shared" si="965"/>
        <v>-125219.0926579315</v>
      </c>
      <c r="R313">
        <f t="shared" si="966"/>
        <v>-5846908.9927841397</v>
      </c>
      <c r="S313">
        <f t="shared" si="967"/>
        <v>-58.469089927841395</v>
      </c>
      <c r="T313">
        <f t="shared" si="968"/>
        <v>-5.8469089927841396E-2</v>
      </c>
    </row>
    <row r="314" spans="1:20" x14ac:dyDescent="0.25">
      <c r="A314" s="5">
        <v>44279</v>
      </c>
      <c r="B314">
        <v>22.978000000000002</v>
      </c>
      <c r="C314">
        <v>23.641999999999999</v>
      </c>
      <c r="D314">
        <v>20.312000000000001</v>
      </c>
      <c r="E314">
        <v>20.661000000000001</v>
      </c>
      <c r="F314">
        <v>191432.647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-0.79039039039039016</v>
      </c>
      <c r="Q314">
        <f t="shared" si="965"/>
        <v>-151306.52459579575</v>
      </c>
      <c r="R314">
        <f t="shared" si="966"/>
        <v>-5721689.9001262086</v>
      </c>
      <c r="S314">
        <f t="shared" si="967"/>
        <v>-57.216899001262085</v>
      </c>
      <c r="T314">
        <f t="shared" si="968"/>
        <v>-5.7216899001262082E-2</v>
      </c>
    </row>
    <row r="315" spans="1:20" x14ac:dyDescent="0.25">
      <c r="A315" s="5">
        <v>44278</v>
      </c>
      <c r="B315">
        <v>23.52</v>
      </c>
      <c r="C315">
        <v>24.199000000000002</v>
      </c>
      <c r="D315">
        <v>22.824000000000002</v>
      </c>
      <c r="E315">
        <v>22.983000000000001</v>
      </c>
      <c r="F315">
        <v>197200.59</v>
      </c>
      <c r="G315">
        <v>0</v>
      </c>
      <c r="L315" t="s">
        <v>7</v>
      </c>
      <c r="M315" t="s">
        <v>8</v>
      </c>
      <c r="N315" t="s">
        <v>8</v>
      </c>
      <c r="P315">
        <f t="shared" si="964"/>
        <v>-0.76872727272727426</v>
      </c>
      <c r="Q315">
        <f t="shared" si="965"/>
        <v>-151593.4717309094</v>
      </c>
      <c r="R315">
        <f t="shared" si="966"/>
        <v>-5570383.3755304124</v>
      </c>
      <c r="S315">
        <f t="shared" si="967"/>
        <v>-55.703833755304125</v>
      </c>
      <c r="T315">
        <f t="shared" si="968"/>
        <v>-5.5703833755304126E-2</v>
      </c>
    </row>
    <row r="316" spans="1:20" x14ac:dyDescent="0.25">
      <c r="A316" s="5">
        <v>44277</v>
      </c>
      <c r="B316">
        <v>25.212</v>
      </c>
      <c r="C316">
        <v>25.574999999999999</v>
      </c>
      <c r="D316">
        <v>23.407</v>
      </c>
      <c r="E316">
        <v>23.558</v>
      </c>
      <c r="F316">
        <v>248546.04800000001</v>
      </c>
      <c r="G316">
        <v>0</v>
      </c>
      <c r="L316" t="s">
        <v>7</v>
      </c>
      <c r="M316" t="s">
        <v>8</v>
      </c>
      <c r="N316" t="s">
        <v>8</v>
      </c>
      <c r="P316">
        <f t="shared" si="964"/>
        <v>-0.86070110701107028</v>
      </c>
      <c r="Q316">
        <f t="shared" si="965"/>
        <v>-213923.8586568266</v>
      </c>
      <c r="R316">
        <f t="shared" si="966"/>
        <v>-5418789.9037995031</v>
      </c>
      <c r="S316">
        <f t="shared" si="967"/>
        <v>-54.187899037995031</v>
      </c>
      <c r="T316">
        <f t="shared" si="968"/>
        <v>-5.4187899037995028E-2</v>
      </c>
    </row>
    <row r="317" spans="1:20" x14ac:dyDescent="0.25">
      <c r="A317" s="5">
        <v>44276</v>
      </c>
      <c r="B317">
        <v>25.369</v>
      </c>
      <c r="C317">
        <v>25.61</v>
      </c>
      <c r="D317">
        <v>24.449000000000002</v>
      </c>
      <c r="E317">
        <v>25.212</v>
      </c>
      <c r="F317">
        <v>230671.149</v>
      </c>
      <c r="G317">
        <v>0</v>
      </c>
      <c r="L317" t="s">
        <v>7</v>
      </c>
      <c r="M317" t="s">
        <v>8</v>
      </c>
      <c r="N317" t="s">
        <v>8</v>
      </c>
      <c r="P317">
        <f t="shared" si="964"/>
        <v>0.31438415159345318</v>
      </c>
      <c r="Q317">
        <f t="shared" si="965"/>
        <v>72519.353475452022</v>
      </c>
      <c r="R317">
        <f t="shared" si="966"/>
        <v>-5204866.0451426767</v>
      </c>
      <c r="S317">
        <f t="shared" si="967"/>
        <v>-52.04866045142677</v>
      </c>
      <c r="T317">
        <f t="shared" si="968"/>
        <v>-5.2048660451426768E-2</v>
      </c>
    </row>
    <row r="318" spans="1:20" x14ac:dyDescent="0.25">
      <c r="A318" s="5">
        <v>44275</v>
      </c>
      <c r="B318">
        <v>25.436</v>
      </c>
      <c r="C318">
        <v>26.5</v>
      </c>
      <c r="D318">
        <v>25.37</v>
      </c>
      <c r="E318">
        <v>25.385999999999999</v>
      </c>
      <c r="F318">
        <v>274148.43099999998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-0.97168141592920665</v>
      </c>
      <c r="Q318">
        <f t="shared" si="965"/>
        <v>-266384.93560885038</v>
      </c>
      <c r="R318">
        <f t="shared" si="966"/>
        <v>-5277385.3986181291</v>
      </c>
      <c r="S318">
        <f t="shared" si="967"/>
        <v>-52.773853986181294</v>
      </c>
      <c r="T318">
        <f t="shared" si="968"/>
        <v>-5.2773853986181292E-2</v>
      </c>
    </row>
    <row r="319" spans="1:20" x14ac:dyDescent="0.25">
      <c r="A319" s="5">
        <v>44274</v>
      </c>
      <c r="B319">
        <v>24.14</v>
      </c>
      <c r="C319">
        <v>26.042000000000002</v>
      </c>
      <c r="D319">
        <v>23.905999999999999</v>
      </c>
      <c r="E319">
        <v>25.472000000000001</v>
      </c>
      <c r="F319">
        <v>274261.92599999998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0.46629213483146109</v>
      </c>
      <c r="Q319">
        <f t="shared" si="965"/>
        <v>127886.17897752819</v>
      </c>
      <c r="R319">
        <f t="shared" si="966"/>
        <v>-5011000.4630092783</v>
      </c>
      <c r="S319">
        <f t="shared" si="967"/>
        <v>-50.110004630092781</v>
      </c>
      <c r="T319">
        <f t="shared" si="968"/>
        <v>-5.0110004630092783E-2</v>
      </c>
    </row>
    <row r="320" spans="1:20" x14ac:dyDescent="0.25">
      <c r="A320" s="5">
        <v>44273</v>
      </c>
      <c r="B320">
        <v>23.896999999999998</v>
      </c>
      <c r="C320">
        <v>25.763000000000002</v>
      </c>
      <c r="D320">
        <v>23.78</v>
      </c>
      <c r="E320">
        <v>24.198</v>
      </c>
      <c r="F320">
        <v>221623.24799999999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-0.57841654059505887</v>
      </c>
      <c r="Q320">
        <f t="shared" si="965"/>
        <v>-128190.55242360079</v>
      </c>
      <c r="R320">
        <f t="shared" si="966"/>
        <v>-5138886.6419868069</v>
      </c>
      <c r="S320">
        <f t="shared" si="967"/>
        <v>-51.388866419868066</v>
      </c>
      <c r="T320">
        <f t="shared" si="968"/>
        <v>-5.1388866419868069E-2</v>
      </c>
    </row>
    <row r="321" spans="1:20" x14ac:dyDescent="0.25">
      <c r="A321" s="5">
        <v>44272</v>
      </c>
      <c r="B321">
        <v>24.087</v>
      </c>
      <c r="C321">
        <v>25</v>
      </c>
      <c r="D321">
        <v>23</v>
      </c>
      <c r="E321">
        <v>23.861000000000001</v>
      </c>
      <c r="F321">
        <v>184437.99400000001</v>
      </c>
      <c r="G321">
        <v>0</v>
      </c>
      <c r="L321" t="s">
        <v>8</v>
      </c>
      <c r="M321" t="s">
        <v>7</v>
      </c>
      <c r="N321" t="s">
        <v>8</v>
      </c>
      <c r="P321">
        <f t="shared" si="964"/>
        <v>-0.13899999999999935</v>
      </c>
      <c r="Q321">
        <f t="shared" si="965"/>
        <v>-25636.881165999879</v>
      </c>
      <c r="R321">
        <f t="shared" si="966"/>
        <v>-5010696.0895632058</v>
      </c>
      <c r="S321">
        <f t="shared" si="967"/>
        <v>-50.106960895632056</v>
      </c>
      <c r="T321">
        <f t="shared" si="968"/>
        <v>-5.0106960895632054E-2</v>
      </c>
    </row>
    <row r="322" spans="1:20" x14ac:dyDescent="0.25">
      <c r="A322" s="5">
        <v>44271</v>
      </c>
      <c r="B322">
        <v>23.864999999999998</v>
      </c>
      <c r="C322">
        <v>24.324000000000002</v>
      </c>
      <c r="D322">
        <v>22.312000000000001</v>
      </c>
      <c r="E322">
        <v>24.14</v>
      </c>
      <c r="F322">
        <v>163660.005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0.81709741550695725</v>
      </c>
      <c r="Q322">
        <f t="shared" si="965"/>
        <v>133726.16710735569</v>
      </c>
      <c r="R322">
        <f t="shared" si="966"/>
        <v>-4985059.2083972059</v>
      </c>
      <c r="S322">
        <f t="shared" si="967"/>
        <v>-49.85059208397206</v>
      </c>
      <c r="T322">
        <f t="shared" si="968"/>
        <v>-4.9850592083972058E-2</v>
      </c>
    </row>
    <row r="323" spans="1:20" x14ac:dyDescent="0.25">
      <c r="A323" s="5">
        <v>44270</v>
      </c>
      <c r="B323">
        <v>24.15</v>
      </c>
      <c r="C323">
        <v>25.788</v>
      </c>
      <c r="D323">
        <v>22.526</v>
      </c>
      <c r="E323">
        <v>23.92</v>
      </c>
      <c r="F323">
        <v>258981.421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-0.14530962599632022</v>
      </c>
      <c r="Q323">
        <f t="shared" si="965"/>
        <v>-37632.493425505549</v>
      </c>
      <c r="R323">
        <f t="shared" si="966"/>
        <v>-5118785.3755045617</v>
      </c>
      <c r="S323">
        <f t="shared" si="967"/>
        <v>-51.187853755045616</v>
      </c>
      <c r="T323">
        <f t="shared" si="968"/>
        <v>-5.1187853755045615E-2</v>
      </c>
    </row>
    <row r="324" spans="1:20" x14ac:dyDescent="0.25">
      <c r="A324" s="5">
        <v>44269</v>
      </c>
      <c r="B324">
        <v>25.459</v>
      </c>
      <c r="C324">
        <v>26.486999999999998</v>
      </c>
      <c r="D324">
        <v>23.631</v>
      </c>
      <c r="E324">
        <v>24.15</v>
      </c>
      <c r="F324">
        <v>247149.15599999999</v>
      </c>
      <c r="G324">
        <v>0</v>
      </c>
      <c r="L324" t="s">
        <v>7</v>
      </c>
      <c r="M324" t="s">
        <v>8</v>
      </c>
      <c r="N324" t="s">
        <v>8</v>
      </c>
      <c r="P324">
        <f t="shared" si="964"/>
        <v>-0.63655462184874045</v>
      </c>
      <c r="Q324">
        <f t="shared" si="965"/>
        <v>-157323.93753781536</v>
      </c>
      <c r="R324">
        <f t="shared" si="966"/>
        <v>-5081152.8820790565</v>
      </c>
      <c r="S324">
        <f t="shared" si="967"/>
        <v>-50.811528820790564</v>
      </c>
      <c r="T324">
        <f t="shared" si="968"/>
        <v>-5.0811528820790562E-2</v>
      </c>
    </row>
    <row r="325" spans="1:20" x14ac:dyDescent="0.25">
      <c r="A325" s="5">
        <v>44268</v>
      </c>
      <c r="B325">
        <v>22.686</v>
      </c>
      <c r="C325">
        <v>27.1</v>
      </c>
      <c r="D325">
        <v>22.001000000000001</v>
      </c>
      <c r="E325">
        <v>25.497</v>
      </c>
      <c r="F325">
        <v>306258.95899999997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0.37124926456167817</v>
      </c>
      <c r="Q325">
        <f t="shared" si="965"/>
        <v>113698.41329417514</v>
      </c>
      <c r="R325">
        <f t="shared" si="966"/>
        <v>-4923828.944541241</v>
      </c>
      <c r="S325">
        <f t="shared" si="967"/>
        <v>-49.238289445412413</v>
      </c>
      <c r="T325">
        <f t="shared" si="968"/>
        <v>-4.9238289445412413E-2</v>
      </c>
    </row>
    <row r="326" spans="1:20" x14ac:dyDescent="0.25">
      <c r="A326" s="5">
        <v>44267</v>
      </c>
      <c r="B326">
        <v>24.48</v>
      </c>
      <c r="C326">
        <v>24.620999999999999</v>
      </c>
      <c r="D326">
        <v>22.215</v>
      </c>
      <c r="E326">
        <v>22.693000000000001</v>
      </c>
      <c r="F326">
        <v>160894.05900000001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-0.60266001662510238</v>
      </c>
      <c r="Q326">
        <f t="shared" ref="Q326:Q389" si="970">F326*P326</f>
        <v>-96964.416271820213</v>
      </c>
      <c r="R326">
        <f t="shared" ref="R326:R389" si="971">R327+Q326</f>
        <v>-5037527.3578354158</v>
      </c>
      <c r="S326">
        <f t="shared" ref="S326:S389" si="972">R326/100000</f>
        <v>-50.375273578354161</v>
      </c>
      <c r="T326">
        <f t="shared" ref="T326:T389" si="973">S326/1000</f>
        <v>-5.0375273578354161E-2</v>
      </c>
    </row>
    <row r="327" spans="1:20" x14ac:dyDescent="0.25">
      <c r="A327" s="5">
        <v>44266</v>
      </c>
      <c r="B327">
        <v>25.32</v>
      </c>
      <c r="C327">
        <v>25.553999999999998</v>
      </c>
      <c r="D327">
        <v>23.704999999999998</v>
      </c>
      <c r="E327">
        <v>24.439</v>
      </c>
      <c r="F327">
        <v>166709.726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-0.20605732828555795</v>
      </c>
      <c r="Q327">
        <f t="shared" si="970"/>
        <v>-34351.760738777411</v>
      </c>
      <c r="R327">
        <f t="shared" si="971"/>
        <v>-4940562.9415635951</v>
      </c>
      <c r="S327">
        <f t="shared" si="972"/>
        <v>-49.40562941563595</v>
      </c>
      <c r="T327">
        <f t="shared" si="973"/>
        <v>-4.9405629415635949E-2</v>
      </c>
    </row>
    <row r="328" spans="1:20" x14ac:dyDescent="0.25">
      <c r="A328" s="5">
        <v>44265</v>
      </c>
      <c r="B328">
        <v>27.292000000000002</v>
      </c>
      <c r="C328">
        <v>27.338999999999999</v>
      </c>
      <c r="D328">
        <v>24.669</v>
      </c>
      <c r="E328">
        <v>25.3</v>
      </c>
      <c r="F328">
        <v>209875.02900000001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-0.52734082397003701</v>
      </c>
      <c r="Q328">
        <f t="shared" si="970"/>
        <v>-110675.67072359542</v>
      </c>
      <c r="R328">
        <f t="shared" si="971"/>
        <v>-4906211.1808248181</v>
      </c>
      <c r="S328">
        <f t="shared" si="972"/>
        <v>-49.062111808248183</v>
      </c>
      <c r="T328">
        <f t="shared" si="973"/>
        <v>-4.9062111808248182E-2</v>
      </c>
    </row>
    <row r="329" spans="1:20" x14ac:dyDescent="0.25">
      <c r="A329" s="5">
        <v>44264</v>
      </c>
      <c r="B329">
        <v>26.939</v>
      </c>
      <c r="C329">
        <v>28.954999999999998</v>
      </c>
      <c r="D329">
        <v>25.416</v>
      </c>
      <c r="E329">
        <v>27.276</v>
      </c>
      <c r="F329">
        <v>473770.9</v>
      </c>
      <c r="G329">
        <v>0</v>
      </c>
      <c r="L329" t="s">
        <v>7</v>
      </c>
      <c r="M329" t="s">
        <v>8</v>
      </c>
      <c r="N329" t="s">
        <v>8</v>
      </c>
      <c r="P329">
        <f t="shared" si="969"/>
        <v>5.1144391070924285E-2</v>
      </c>
      <c r="Q329">
        <f t="shared" si="970"/>
        <v>24230.724187623764</v>
      </c>
      <c r="R329">
        <f t="shared" si="971"/>
        <v>-4795535.5101012224</v>
      </c>
      <c r="S329">
        <f t="shared" si="972"/>
        <v>-47.955355101012223</v>
      </c>
      <c r="T329">
        <f t="shared" si="973"/>
        <v>-4.7955355101012224E-2</v>
      </c>
    </row>
    <row r="330" spans="1:20" x14ac:dyDescent="0.25">
      <c r="A330" s="5">
        <v>44263</v>
      </c>
      <c r="B330">
        <v>22.253</v>
      </c>
      <c r="C330">
        <v>28.49</v>
      </c>
      <c r="D330">
        <v>22.195</v>
      </c>
      <c r="E330">
        <v>26.954999999999998</v>
      </c>
      <c r="F330">
        <v>717551.26399999997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0.51231135822080998</v>
      </c>
      <c r="Q330">
        <f t="shared" si="970"/>
        <v>367609.66265289899</v>
      </c>
      <c r="R330">
        <f t="shared" si="971"/>
        <v>-4819766.2342888461</v>
      </c>
      <c r="S330">
        <f t="shared" si="972"/>
        <v>-48.197662342888464</v>
      </c>
      <c r="T330">
        <f t="shared" si="973"/>
        <v>-4.8197662342888463E-2</v>
      </c>
    </row>
    <row r="331" spans="1:20" x14ac:dyDescent="0.25">
      <c r="A331" s="5">
        <v>44262</v>
      </c>
      <c r="B331">
        <v>22.105</v>
      </c>
      <c r="C331">
        <v>22.542999999999999</v>
      </c>
      <c r="D331">
        <v>21.161999999999999</v>
      </c>
      <c r="E331">
        <v>22.216999999999999</v>
      </c>
      <c r="F331">
        <v>138873.51999999999</v>
      </c>
      <c r="G331">
        <v>0</v>
      </c>
      <c r="L331" t="s">
        <v>7</v>
      </c>
      <c r="M331" t="s">
        <v>8</v>
      </c>
      <c r="N331" t="s">
        <v>7</v>
      </c>
      <c r="P331">
        <f t="shared" si="969"/>
        <v>0.52787834902244679</v>
      </c>
      <c r="Q331">
        <f t="shared" si="970"/>
        <v>73308.324460535732</v>
      </c>
      <c r="R331">
        <f t="shared" si="971"/>
        <v>-5187375.8969417447</v>
      </c>
      <c r="S331">
        <f t="shared" si="972"/>
        <v>-51.873758969417445</v>
      </c>
      <c r="T331">
        <f t="shared" si="973"/>
        <v>-5.1873758969417441E-2</v>
      </c>
    </row>
    <row r="332" spans="1:20" x14ac:dyDescent="0.25">
      <c r="A332" s="5">
        <v>44261</v>
      </c>
      <c r="B332">
        <v>20.119</v>
      </c>
      <c r="C332">
        <v>22.927</v>
      </c>
      <c r="D332">
        <v>20.119</v>
      </c>
      <c r="E332">
        <v>22.140999999999998</v>
      </c>
      <c r="F332">
        <v>318245.21899999998</v>
      </c>
      <c r="G332">
        <v>0</v>
      </c>
      <c r="L332" t="s">
        <v>8</v>
      </c>
      <c r="M332" t="s">
        <v>8</v>
      </c>
      <c r="N332" t="s">
        <v>7</v>
      </c>
      <c r="P332">
        <f t="shared" si="969"/>
        <v>0.44017094017093916</v>
      </c>
      <c r="Q332">
        <f t="shared" si="970"/>
        <v>140082.29725213643</v>
      </c>
      <c r="R332">
        <f t="shared" si="971"/>
        <v>-5260684.22140228</v>
      </c>
      <c r="S332">
        <f t="shared" si="972"/>
        <v>-52.606842214022798</v>
      </c>
      <c r="T332">
        <f t="shared" si="973"/>
        <v>-5.26068422140228E-2</v>
      </c>
    </row>
    <row r="333" spans="1:20" x14ac:dyDescent="0.25">
      <c r="A333" s="5">
        <v>44260</v>
      </c>
      <c r="B333">
        <v>20.922999999999998</v>
      </c>
      <c r="C333">
        <v>20.922999999999998</v>
      </c>
      <c r="D333">
        <v>19.370999999999999</v>
      </c>
      <c r="E333">
        <v>20.082999999999998</v>
      </c>
      <c r="F333">
        <v>127679.79300000001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-8.2474226804123807E-2</v>
      </c>
      <c r="Q333">
        <f t="shared" si="970"/>
        <v>-10530.292206185579</v>
      </c>
      <c r="R333">
        <f t="shared" si="971"/>
        <v>-5400766.5186544163</v>
      </c>
      <c r="S333">
        <f t="shared" si="972"/>
        <v>-54.007665186544166</v>
      </c>
      <c r="T333">
        <f t="shared" si="973"/>
        <v>-5.4007665186544165E-2</v>
      </c>
    </row>
    <row r="334" spans="1:20" x14ac:dyDescent="0.25">
      <c r="A334" s="5">
        <v>44259</v>
      </c>
      <c r="B334">
        <v>21.802</v>
      </c>
      <c r="C334">
        <v>22.428999999999998</v>
      </c>
      <c r="D334">
        <v>20.201000000000001</v>
      </c>
      <c r="E334">
        <v>20.859000000000002</v>
      </c>
      <c r="F334">
        <v>212757.024</v>
      </c>
      <c r="G334">
        <v>0</v>
      </c>
      <c r="L334" t="s">
        <v>7</v>
      </c>
      <c r="M334" t="s">
        <v>8</v>
      </c>
      <c r="N334" t="s">
        <v>7</v>
      </c>
      <c r="P334">
        <f t="shared" si="969"/>
        <v>-0.4093357271095136</v>
      </c>
      <c r="Q334">
        <f t="shared" si="970"/>
        <v>-87089.051116696239</v>
      </c>
      <c r="R334">
        <f t="shared" si="971"/>
        <v>-5390236.2264482304</v>
      </c>
      <c r="S334">
        <f t="shared" si="972"/>
        <v>-53.902362264482306</v>
      </c>
      <c r="T334">
        <f t="shared" si="973"/>
        <v>-5.3902362264482306E-2</v>
      </c>
    </row>
    <row r="335" spans="1:20" x14ac:dyDescent="0.25">
      <c r="A335" s="5">
        <v>44258</v>
      </c>
      <c r="B335">
        <v>21.247</v>
      </c>
      <c r="C335">
        <v>22.763999999999999</v>
      </c>
      <c r="D335">
        <v>21.013999999999999</v>
      </c>
      <c r="E335">
        <v>21.806000000000001</v>
      </c>
      <c r="F335">
        <v>138222.489</v>
      </c>
      <c r="G335">
        <v>0</v>
      </c>
      <c r="L335" t="s">
        <v>7</v>
      </c>
      <c r="M335" t="s">
        <v>8</v>
      </c>
      <c r="N335" t="s">
        <v>7</v>
      </c>
      <c r="P335">
        <f t="shared" si="969"/>
        <v>-9.4857142857141044E-2</v>
      </c>
      <c r="Q335">
        <f t="shared" si="970"/>
        <v>-13111.390385142608</v>
      </c>
      <c r="R335">
        <f t="shared" si="971"/>
        <v>-5303147.1753315339</v>
      </c>
      <c r="S335">
        <f t="shared" si="972"/>
        <v>-53.031471753315337</v>
      </c>
      <c r="T335">
        <f t="shared" si="973"/>
        <v>-5.3031471753315337E-2</v>
      </c>
    </row>
    <row r="336" spans="1:20" x14ac:dyDescent="0.25">
      <c r="A336" s="5">
        <v>44257</v>
      </c>
      <c r="B336">
        <v>20.754999999999999</v>
      </c>
      <c r="C336">
        <v>23.135000000000002</v>
      </c>
      <c r="D336">
        <v>20.257000000000001</v>
      </c>
      <c r="E336">
        <v>21.276</v>
      </c>
      <c r="F336">
        <v>219681.234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-0.29186935371786082</v>
      </c>
      <c r="Q336">
        <f t="shared" si="970"/>
        <v>-64118.219791522155</v>
      </c>
      <c r="R336">
        <f t="shared" si="971"/>
        <v>-5290035.7849463914</v>
      </c>
      <c r="S336">
        <f t="shared" si="972"/>
        <v>-52.900357849463916</v>
      </c>
      <c r="T336">
        <f t="shared" si="973"/>
        <v>-5.2900357849463918E-2</v>
      </c>
    </row>
    <row r="337" spans="1:20" x14ac:dyDescent="0.25">
      <c r="A337" s="5">
        <v>44256</v>
      </c>
      <c r="B337">
        <v>19.556999999999999</v>
      </c>
      <c r="C337">
        <v>20.898</v>
      </c>
      <c r="D337">
        <v>19.225999999999999</v>
      </c>
      <c r="E337">
        <v>20.71</v>
      </c>
      <c r="F337">
        <v>123199.94100000001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0.77511961722488187</v>
      </c>
      <c r="Q337">
        <f t="shared" si="970"/>
        <v>95494.691110048036</v>
      </c>
      <c r="R337">
        <f t="shared" si="971"/>
        <v>-5225917.5651548691</v>
      </c>
      <c r="S337">
        <f t="shared" si="972"/>
        <v>-52.259175651548688</v>
      </c>
      <c r="T337">
        <f t="shared" si="973"/>
        <v>-5.2259175651548688E-2</v>
      </c>
    </row>
    <row r="338" spans="1:20" x14ac:dyDescent="0.25">
      <c r="A338" s="5">
        <v>44255</v>
      </c>
      <c r="B338">
        <v>20.361999999999998</v>
      </c>
      <c r="C338">
        <v>20.515000000000001</v>
      </c>
      <c r="D338">
        <v>17.416</v>
      </c>
      <c r="E338">
        <v>19.463000000000001</v>
      </c>
      <c r="F338">
        <v>144626.29300000001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0.32107131332687994</v>
      </c>
      <c r="Q338">
        <f t="shared" si="970"/>
        <v>46435.353835108144</v>
      </c>
      <c r="R338">
        <f t="shared" si="971"/>
        <v>-5321412.2562649176</v>
      </c>
      <c r="S338">
        <f t="shared" si="972"/>
        <v>-53.214122562649173</v>
      </c>
      <c r="T338">
        <f t="shared" si="973"/>
        <v>-5.3214122562649173E-2</v>
      </c>
    </row>
    <row r="339" spans="1:20" x14ac:dyDescent="0.25">
      <c r="A339" s="5">
        <v>44254</v>
      </c>
      <c r="B339">
        <v>19.771000000000001</v>
      </c>
      <c r="C339">
        <v>21.724</v>
      </c>
      <c r="D339">
        <v>19.510000000000002</v>
      </c>
      <c r="E339">
        <v>20.361999999999998</v>
      </c>
      <c r="F339">
        <v>172822.552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-0.23035230352303768</v>
      </c>
      <c r="Q339">
        <f t="shared" si="970"/>
        <v>-39810.072953929965</v>
      </c>
      <c r="R339">
        <f t="shared" si="971"/>
        <v>-5367847.6101000253</v>
      </c>
      <c r="S339">
        <f t="shared" si="972"/>
        <v>-53.67847610100025</v>
      </c>
      <c r="T339">
        <f t="shared" si="973"/>
        <v>-5.3678476101000253E-2</v>
      </c>
    </row>
    <row r="340" spans="1:20" x14ac:dyDescent="0.25">
      <c r="A340" s="5">
        <v>44253</v>
      </c>
      <c r="B340">
        <v>19.702000000000002</v>
      </c>
      <c r="C340">
        <v>21.158000000000001</v>
      </c>
      <c r="D340">
        <v>18.518000000000001</v>
      </c>
      <c r="E340">
        <v>19.797000000000001</v>
      </c>
      <c r="F340">
        <v>135814.228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-3.1060606060606333E-2</v>
      </c>
      <c r="Q340">
        <f t="shared" si="970"/>
        <v>-4218.4722333333702</v>
      </c>
      <c r="R340">
        <f t="shared" si="971"/>
        <v>-5328037.5371460952</v>
      </c>
      <c r="S340">
        <f t="shared" si="972"/>
        <v>-53.280375371460948</v>
      </c>
      <c r="T340">
        <f t="shared" si="973"/>
        <v>-5.328037537146095E-2</v>
      </c>
    </row>
    <row r="341" spans="1:20" x14ac:dyDescent="0.25">
      <c r="A341" s="5">
        <v>44252</v>
      </c>
      <c r="B341">
        <v>22.187000000000001</v>
      </c>
      <c r="C341">
        <v>22.687000000000001</v>
      </c>
      <c r="D341">
        <v>19.608000000000001</v>
      </c>
      <c r="E341">
        <v>19.658999999999999</v>
      </c>
      <c r="F341">
        <v>125110.386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-0.96687236115622066</v>
      </c>
      <c r="Q341">
        <f t="shared" si="970"/>
        <v>-120965.77431698618</v>
      </c>
      <c r="R341">
        <f t="shared" si="971"/>
        <v>-5323819.0649127616</v>
      </c>
      <c r="S341">
        <f t="shared" si="972"/>
        <v>-53.238190649127617</v>
      </c>
      <c r="T341">
        <f t="shared" si="973"/>
        <v>-5.3238190649127617E-2</v>
      </c>
    </row>
    <row r="342" spans="1:20" x14ac:dyDescent="0.25">
      <c r="A342" s="5">
        <v>44251</v>
      </c>
      <c r="B342">
        <v>21.829000000000001</v>
      </c>
      <c r="C342">
        <v>24.465</v>
      </c>
      <c r="D342">
        <v>20.681000000000001</v>
      </c>
      <c r="E342">
        <v>22.100999999999999</v>
      </c>
      <c r="F342">
        <v>206476.81899999999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-0.24947145877378513</v>
      </c>
      <c r="Q342">
        <f t="shared" si="970"/>
        <v>-51510.07323890079</v>
      </c>
      <c r="R342">
        <f t="shared" si="971"/>
        <v>-5202853.2905957755</v>
      </c>
      <c r="S342">
        <f t="shared" si="972"/>
        <v>-52.028532905957753</v>
      </c>
      <c r="T342">
        <f t="shared" si="973"/>
        <v>-5.2028532905957756E-2</v>
      </c>
    </row>
    <row r="343" spans="1:20" x14ac:dyDescent="0.25">
      <c r="A343" s="5">
        <v>44250</v>
      </c>
      <c r="B343">
        <v>23.64</v>
      </c>
      <c r="C343">
        <v>23.69</v>
      </c>
      <c r="D343">
        <v>17.382999999999999</v>
      </c>
      <c r="E343">
        <v>21.824000000000002</v>
      </c>
      <c r="F343">
        <v>396780.935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0.40827651815443189</v>
      </c>
      <c r="Q343">
        <f t="shared" si="970"/>
        <v>161996.33861185994</v>
      </c>
      <c r="R343">
        <f t="shared" si="971"/>
        <v>-5151343.2173568746</v>
      </c>
      <c r="S343">
        <f t="shared" si="972"/>
        <v>-51.513432173568745</v>
      </c>
      <c r="T343">
        <f t="shared" si="973"/>
        <v>-5.1513432173568748E-2</v>
      </c>
    </row>
    <row r="344" spans="1:20" x14ac:dyDescent="0.25">
      <c r="A344" s="5">
        <v>44249</v>
      </c>
      <c r="B344">
        <v>26.751000000000001</v>
      </c>
      <c r="C344">
        <v>26.809000000000001</v>
      </c>
      <c r="D344">
        <v>20.14</v>
      </c>
      <c r="E344">
        <v>23.622</v>
      </c>
      <c r="F344">
        <v>253791.18100000001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4.4234517918728164E-2</v>
      </c>
      <c r="Q344">
        <f t="shared" si="970"/>
        <v>11226.330543559683</v>
      </c>
      <c r="R344">
        <f t="shared" si="971"/>
        <v>-5313339.5559687344</v>
      </c>
      <c r="S344">
        <f t="shared" si="972"/>
        <v>-53.133395559687344</v>
      </c>
      <c r="T344">
        <f t="shared" si="973"/>
        <v>-5.3133395559687345E-2</v>
      </c>
    </row>
    <row r="345" spans="1:20" x14ac:dyDescent="0.25">
      <c r="A345" s="5">
        <v>44248</v>
      </c>
      <c r="B345">
        <v>26.902000000000001</v>
      </c>
      <c r="C345">
        <v>28.745999999999999</v>
      </c>
      <c r="D345">
        <v>26.29</v>
      </c>
      <c r="E345">
        <v>26.765999999999998</v>
      </c>
      <c r="F345">
        <v>169896.17600000001</v>
      </c>
      <c r="G345">
        <v>0</v>
      </c>
      <c r="L345" t="s">
        <v>7</v>
      </c>
      <c r="M345" t="s">
        <v>8</v>
      </c>
      <c r="N345" t="s">
        <v>7</v>
      </c>
      <c r="P345">
        <f t="shared" si="969"/>
        <v>-0.61237785016286717</v>
      </c>
      <c r="Q345">
        <f t="shared" si="970"/>
        <v>-104040.65500977212</v>
      </c>
      <c r="R345">
        <f t="shared" si="971"/>
        <v>-5324565.8865122944</v>
      </c>
      <c r="S345">
        <f t="shared" si="972"/>
        <v>-53.245658865122941</v>
      </c>
      <c r="T345">
        <f t="shared" si="973"/>
        <v>-5.324565886512294E-2</v>
      </c>
    </row>
    <row r="346" spans="1:20" x14ac:dyDescent="0.25">
      <c r="A346" s="5">
        <v>44247</v>
      </c>
      <c r="B346">
        <v>25.658000000000001</v>
      </c>
      <c r="C346">
        <v>30.062999999999999</v>
      </c>
      <c r="D346">
        <v>25.5</v>
      </c>
      <c r="E346">
        <v>26.876000000000001</v>
      </c>
      <c r="F346">
        <v>382347.50699999998</v>
      </c>
      <c r="G346">
        <v>0</v>
      </c>
      <c r="L346" t="s">
        <v>8</v>
      </c>
      <c r="M346" t="s">
        <v>8</v>
      </c>
      <c r="N346" t="s">
        <v>7</v>
      </c>
      <c r="P346">
        <f t="shared" si="969"/>
        <v>-0.39688801227262699</v>
      </c>
      <c r="Q346">
        <f t="shared" si="970"/>
        <v>-151749.14205062433</v>
      </c>
      <c r="R346">
        <f t="shared" si="971"/>
        <v>-5220525.2315025227</v>
      </c>
      <c r="S346">
        <f t="shared" si="972"/>
        <v>-52.205252315025227</v>
      </c>
      <c r="T346">
        <f t="shared" si="973"/>
        <v>-5.2205252315025229E-2</v>
      </c>
    </row>
    <row r="347" spans="1:20" x14ac:dyDescent="0.25">
      <c r="A347" s="5">
        <v>44246</v>
      </c>
      <c r="B347">
        <v>27.472000000000001</v>
      </c>
      <c r="C347">
        <v>27.7</v>
      </c>
      <c r="D347">
        <v>25.401</v>
      </c>
      <c r="E347">
        <v>25.652000000000001</v>
      </c>
      <c r="F347">
        <v>134487.976</v>
      </c>
      <c r="G347">
        <v>0</v>
      </c>
      <c r="L347" t="s">
        <v>7</v>
      </c>
      <c r="M347" t="s">
        <v>8</v>
      </c>
      <c r="N347" t="s">
        <v>7</v>
      </c>
      <c r="P347">
        <f t="shared" si="969"/>
        <v>-0.7816441931274456</v>
      </c>
      <c r="Q347">
        <f t="shared" si="970"/>
        <v>-105121.74548586327</v>
      </c>
      <c r="R347">
        <f t="shared" si="971"/>
        <v>-5068776.0894518988</v>
      </c>
      <c r="S347">
        <f t="shared" si="972"/>
        <v>-50.687760894518988</v>
      </c>
      <c r="T347">
        <f t="shared" si="973"/>
        <v>-5.0687760894518985E-2</v>
      </c>
    </row>
    <row r="348" spans="1:20" x14ac:dyDescent="0.25">
      <c r="A348" s="5">
        <v>44245</v>
      </c>
      <c r="B348">
        <v>27.73</v>
      </c>
      <c r="C348">
        <v>29.007999999999999</v>
      </c>
      <c r="D348">
        <v>26.917999999999999</v>
      </c>
      <c r="E348">
        <v>27.52</v>
      </c>
      <c r="F348">
        <v>199709.193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-0.4239234449760762</v>
      </c>
      <c r="Q348">
        <f t="shared" si="970"/>
        <v>-84661.409089952082</v>
      </c>
      <c r="R348">
        <f t="shared" si="971"/>
        <v>-4963654.3439660352</v>
      </c>
      <c r="S348">
        <f t="shared" si="972"/>
        <v>-49.63654343966035</v>
      </c>
      <c r="T348">
        <f t="shared" si="973"/>
        <v>-4.9636543439660348E-2</v>
      </c>
    </row>
    <row r="349" spans="1:20" x14ac:dyDescent="0.25">
      <c r="A349" s="5">
        <v>44244</v>
      </c>
      <c r="B349">
        <v>25.584</v>
      </c>
      <c r="C349">
        <v>28.06</v>
      </c>
      <c r="D349">
        <v>23.91</v>
      </c>
      <c r="E349">
        <v>27.73</v>
      </c>
      <c r="F349">
        <v>305405.12099999998</v>
      </c>
      <c r="G349">
        <v>0</v>
      </c>
      <c r="L349" t="s">
        <v>8</v>
      </c>
      <c r="M349" t="s">
        <v>8</v>
      </c>
      <c r="N349" t="s">
        <v>7</v>
      </c>
      <c r="P349">
        <f t="shared" si="969"/>
        <v>0.8409638554216875</v>
      </c>
      <c r="Q349">
        <f t="shared" si="970"/>
        <v>256834.66802168696</v>
      </c>
      <c r="R349">
        <f t="shared" si="971"/>
        <v>-4878992.9348760834</v>
      </c>
      <c r="S349">
        <f t="shared" si="972"/>
        <v>-48.789929348760836</v>
      </c>
      <c r="T349">
        <f t="shared" si="973"/>
        <v>-4.8789929348760835E-2</v>
      </c>
    </row>
    <row r="350" spans="1:20" x14ac:dyDescent="0.25">
      <c r="A350" s="5">
        <v>44243</v>
      </c>
      <c r="B350">
        <v>26.178000000000001</v>
      </c>
      <c r="C350">
        <v>27.8</v>
      </c>
      <c r="D350">
        <v>24.664999999999999</v>
      </c>
      <c r="E350">
        <v>25.582999999999998</v>
      </c>
      <c r="F350">
        <v>153420.50899999999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-0.4143540669856467</v>
      </c>
      <c r="Q350">
        <f t="shared" si="970"/>
        <v>-63570.411863158006</v>
      </c>
      <c r="R350">
        <f t="shared" si="971"/>
        <v>-5135827.6028977707</v>
      </c>
      <c r="S350">
        <f t="shared" si="972"/>
        <v>-51.358276028977706</v>
      </c>
      <c r="T350">
        <f t="shared" si="973"/>
        <v>-5.1358276028977703E-2</v>
      </c>
    </row>
    <row r="351" spans="1:20" x14ac:dyDescent="0.25">
      <c r="A351" s="5">
        <v>44242</v>
      </c>
      <c r="B351">
        <v>29.013000000000002</v>
      </c>
      <c r="C351">
        <v>29.5</v>
      </c>
      <c r="D351">
        <v>23.335999999999999</v>
      </c>
      <c r="E351">
        <v>26.163</v>
      </c>
      <c r="F351">
        <v>316113.28399999999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-8.2738481505515563E-2</v>
      </c>
      <c r="Q351">
        <f t="shared" si="970"/>
        <v>-26154.733101881786</v>
      </c>
      <c r="R351">
        <f t="shared" si="971"/>
        <v>-5072257.1910346122</v>
      </c>
      <c r="S351">
        <f t="shared" si="972"/>
        <v>-50.722571910346126</v>
      </c>
      <c r="T351">
        <f t="shared" si="973"/>
        <v>-5.0722571910346126E-2</v>
      </c>
    </row>
    <row r="352" spans="1:20" x14ac:dyDescent="0.25">
      <c r="A352" s="5">
        <v>44241</v>
      </c>
      <c r="B352">
        <v>29.617999999999999</v>
      </c>
      <c r="C352">
        <v>32.5</v>
      </c>
      <c r="D352">
        <v>28.102</v>
      </c>
      <c r="E352">
        <v>29.007000000000001</v>
      </c>
      <c r="F352">
        <v>253485.20300000001</v>
      </c>
      <c r="G352">
        <v>0</v>
      </c>
      <c r="L352" t="s">
        <v>8</v>
      </c>
      <c r="M352" t="s">
        <v>7</v>
      </c>
      <c r="N352" t="s">
        <v>7</v>
      </c>
      <c r="P352">
        <f t="shared" si="969"/>
        <v>-0.58844929513415134</v>
      </c>
      <c r="Q352">
        <f t="shared" si="970"/>
        <v>-149163.18903228728</v>
      </c>
      <c r="R352">
        <f t="shared" si="971"/>
        <v>-5046102.4579327302</v>
      </c>
      <c r="S352">
        <f t="shared" si="972"/>
        <v>-50.461024579327301</v>
      </c>
      <c r="T352">
        <f t="shared" si="973"/>
        <v>-5.0461024579327302E-2</v>
      </c>
    </row>
    <row r="353" spans="1:20" x14ac:dyDescent="0.25">
      <c r="A353" s="5">
        <v>44240</v>
      </c>
      <c r="B353">
        <v>31.079000000000001</v>
      </c>
      <c r="C353">
        <v>32.899000000000001</v>
      </c>
      <c r="D353">
        <v>28.256</v>
      </c>
      <c r="E353">
        <v>29.646999999999998</v>
      </c>
      <c r="F353">
        <v>308193.74300000002</v>
      </c>
      <c r="G353">
        <v>0</v>
      </c>
      <c r="L353" t="s">
        <v>7</v>
      </c>
      <c r="M353" t="s">
        <v>7</v>
      </c>
      <c r="N353" t="s">
        <v>7</v>
      </c>
      <c r="P353">
        <f t="shared" si="969"/>
        <v>-0.40081843635580527</v>
      </c>
      <c r="Q353">
        <f t="shared" si="970"/>
        <v>-123529.73416390292</v>
      </c>
      <c r="R353">
        <f t="shared" si="971"/>
        <v>-4896939.2689004429</v>
      </c>
      <c r="S353">
        <f t="shared" si="972"/>
        <v>-48.96939268900443</v>
      </c>
      <c r="T353">
        <f t="shared" si="973"/>
        <v>-4.896939268900443E-2</v>
      </c>
    </row>
    <row r="354" spans="1:20" x14ac:dyDescent="0.25">
      <c r="A354" s="5">
        <v>44239</v>
      </c>
      <c r="B354">
        <v>29.172999999999998</v>
      </c>
      <c r="C354">
        <v>33.668999999999997</v>
      </c>
      <c r="D354">
        <v>28.684000000000001</v>
      </c>
      <c r="E354">
        <v>31.068999999999999</v>
      </c>
      <c r="F354">
        <v>489454.35499999998</v>
      </c>
      <c r="G354">
        <v>0</v>
      </c>
      <c r="L354" t="s">
        <v>8</v>
      </c>
      <c r="M354" t="s">
        <v>8</v>
      </c>
      <c r="N354" t="s">
        <v>7</v>
      </c>
      <c r="P354">
        <f t="shared" si="969"/>
        <v>-4.3129388164493486E-2</v>
      </c>
      <c r="Q354">
        <f t="shared" si="970"/>
        <v>-21109.866865596792</v>
      </c>
      <c r="R354">
        <f t="shared" si="971"/>
        <v>-4773409.5347365402</v>
      </c>
      <c r="S354">
        <f t="shared" si="972"/>
        <v>-47.734095347365404</v>
      </c>
      <c r="T354">
        <f t="shared" si="973"/>
        <v>-4.7734095347365404E-2</v>
      </c>
    </row>
    <row r="355" spans="1:20" x14ac:dyDescent="0.25">
      <c r="A355" s="5">
        <v>44238</v>
      </c>
      <c r="B355">
        <v>28.82</v>
      </c>
      <c r="C355">
        <v>30.338999999999999</v>
      </c>
      <c r="D355">
        <v>27.943000000000001</v>
      </c>
      <c r="E355">
        <v>29.111999999999998</v>
      </c>
      <c r="F355">
        <v>245634.72700000001</v>
      </c>
      <c r="G355">
        <v>0</v>
      </c>
      <c r="L355" t="s">
        <v>8</v>
      </c>
      <c r="M355" t="s">
        <v>8</v>
      </c>
      <c r="N355" t="s">
        <v>7</v>
      </c>
      <c r="P355">
        <f t="shared" si="969"/>
        <v>-2.4207011686145013E-2</v>
      </c>
      <c r="Q355">
        <f t="shared" si="970"/>
        <v>-5946.0827070120404</v>
      </c>
      <c r="R355">
        <f t="shared" si="971"/>
        <v>-4752299.6678709434</v>
      </c>
      <c r="S355">
        <f t="shared" si="972"/>
        <v>-47.522996678709433</v>
      </c>
      <c r="T355">
        <f t="shared" si="973"/>
        <v>-4.7522996678709434E-2</v>
      </c>
    </row>
    <row r="356" spans="1:20" x14ac:dyDescent="0.25">
      <c r="A356" s="5">
        <v>44237</v>
      </c>
      <c r="B356">
        <v>28.931999999999999</v>
      </c>
      <c r="C356">
        <v>32.829000000000001</v>
      </c>
      <c r="D356">
        <v>26.76</v>
      </c>
      <c r="E356">
        <v>28.861000000000001</v>
      </c>
      <c r="F356">
        <v>491355.83199999999</v>
      </c>
      <c r="G356">
        <v>0</v>
      </c>
      <c r="L356" t="s">
        <v>7</v>
      </c>
      <c r="M356" t="s">
        <v>8</v>
      </c>
      <c r="N356" t="s">
        <v>7</v>
      </c>
      <c r="P356">
        <f t="shared" si="969"/>
        <v>-0.30762893392651197</v>
      </c>
      <c r="Q356">
        <f t="shared" si="970"/>
        <v>-151155.27077673431</v>
      </c>
      <c r="R356">
        <f t="shared" si="971"/>
        <v>-4746353.5851639314</v>
      </c>
      <c r="S356">
        <f t="shared" si="972"/>
        <v>-47.463535851639314</v>
      </c>
      <c r="T356">
        <f t="shared" si="973"/>
        <v>-4.7463535851639316E-2</v>
      </c>
    </row>
    <row r="357" spans="1:20" x14ac:dyDescent="0.25">
      <c r="A357" s="5">
        <v>44236</v>
      </c>
      <c r="B357">
        <v>28.716999999999999</v>
      </c>
      <c r="C357">
        <v>29.591999999999999</v>
      </c>
      <c r="D357">
        <v>27.55</v>
      </c>
      <c r="E357">
        <v>28.922999999999998</v>
      </c>
      <c r="F357">
        <v>333651.57299999997</v>
      </c>
      <c r="G357">
        <v>0</v>
      </c>
      <c r="L357" t="s">
        <v>7</v>
      </c>
      <c r="M357" t="s">
        <v>8</v>
      </c>
      <c r="N357" t="s">
        <v>7</v>
      </c>
      <c r="P357">
        <f t="shared" si="969"/>
        <v>0.3447600391772761</v>
      </c>
      <c r="Q357">
        <f t="shared" si="970"/>
        <v>115029.72937903978</v>
      </c>
      <c r="R357">
        <f t="shared" si="971"/>
        <v>-4595198.3143871967</v>
      </c>
      <c r="S357">
        <f t="shared" si="972"/>
        <v>-45.951983143871963</v>
      </c>
      <c r="T357">
        <f t="shared" si="973"/>
        <v>-4.5951983143871965E-2</v>
      </c>
    </row>
    <row r="358" spans="1:20" x14ac:dyDescent="0.25">
      <c r="A358" s="5">
        <v>44235</v>
      </c>
      <c r="B358">
        <v>28.384</v>
      </c>
      <c r="C358">
        <v>30.748999999999999</v>
      </c>
      <c r="D358">
        <v>28.071000000000002</v>
      </c>
      <c r="E358">
        <v>28.675000000000001</v>
      </c>
      <c r="F358">
        <v>314950.799</v>
      </c>
      <c r="G358">
        <v>0</v>
      </c>
      <c r="L358" t="s">
        <v>8</v>
      </c>
      <c r="M358" t="s">
        <v>8</v>
      </c>
      <c r="N358" t="s">
        <v>7</v>
      </c>
      <c r="P358">
        <f t="shared" si="969"/>
        <v>-0.54891710231516067</v>
      </c>
      <c r="Q358">
        <f t="shared" si="970"/>
        <v>-172881.8799589246</v>
      </c>
      <c r="R358">
        <f t="shared" si="971"/>
        <v>-4710228.0437662369</v>
      </c>
      <c r="S358">
        <f t="shared" si="972"/>
        <v>-47.102280437662365</v>
      </c>
      <c r="T358">
        <f t="shared" si="973"/>
        <v>-4.7102280437662368E-2</v>
      </c>
    </row>
    <row r="359" spans="1:20" x14ac:dyDescent="0.25">
      <c r="A359" s="5">
        <v>44234</v>
      </c>
      <c r="B359">
        <v>29.811</v>
      </c>
      <c r="C359">
        <v>31</v>
      </c>
      <c r="D359">
        <v>25</v>
      </c>
      <c r="E359">
        <v>28.41</v>
      </c>
      <c r="F359">
        <v>428702.66200000001</v>
      </c>
      <c r="G359">
        <v>0</v>
      </c>
      <c r="L359" t="s">
        <v>7</v>
      </c>
      <c r="M359" t="s">
        <v>7</v>
      </c>
      <c r="N359" t="s">
        <v>7</v>
      </c>
      <c r="P359">
        <f t="shared" si="969"/>
        <v>0.13666666666666671</v>
      </c>
      <c r="Q359">
        <f t="shared" si="970"/>
        <v>58589.36380666669</v>
      </c>
      <c r="R359">
        <f t="shared" si="971"/>
        <v>-4537346.163807312</v>
      </c>
      <c r="S359">
        <f t="shared" si="972"/>
        <v>-45.373461638073117</v>
      </c>
      <c r="T359">
        <f t="shared" si="973"/>
        <v>-4.5373461638073119E-2</v>
      </c>
    </row>
    <row r="360" spans="1:20" x14ac:dyDescent="0.25">
      <c r="A360" s="5">
        <v>44233</v>
      </c>
      <c r="B360">
        <v>32.192999999999998</v>
      </c>
      <c r="C360">
        <v>34.1</v>
      </c>
      <c r="D360">
        <v>28.22</v>
      </c>
      <c r="E360">
        <v>29.814</v>
      </c>
      <c r="F360">
        <v>696213.84499999997</v>
      </c>
      <c r="G360">
        <v>0</v>
      </c>
      <c r="L360" t="s">
        <v>7</v>
      </c>
      <c r="M360" t="s">
        <v>7</v>
      </c>
      <c r="N360" t="s">
        <v>7</v>
      </c>
      <c r="P360">
        <f t="shared" si="969"/>
        <v>-0.45782312925170049</v>
      </c>
      <c r="Q360">
        <f t="shared" si="970"/>
        <v>-318742.80114625837</v>
      </c>
      <c r="R360">
        <f t="shared" si="971"/>
        <v>-4595935.5276139788</v>
      </c>
      <c r="S360">
        <f t="shared" si="972"/>
        <v>-45.959355276139789</v>
      </c>
      <c r="T360">
        <f t="shared" si="973"/>
        <v>-4.5959355276139792E-2</v>
      </c>
    </row>
    <row r="361" spans="1:20" x14ac:dyDescent="0.25">
      <c r="A361" s="5">
        <v>44232</v>
      </c>
      <c r="B361">
        <v>33.881</v>
      </c>
      <c r="C361">
        <v>36.5</v>
      </c>
      <c r="D361">
        <v>29.04</v>
      </c>
      <c r="E361">
        <v>32.167999999999999</v>
      </c>
      <c r="F361">
        <v>1434224.648</v>
      </c>
      <c r="G361">
        <v>0</v>
      </c>
      <c r="L361" t="s">
        <v>7</v>
      </c>
      <c r="M361" t="s">
        <v>7</v>
      </c>
      <c r="N361" t="s">
        <v>7</v>
      </c>
      <c r="P361">
        <f t="shared" si="969"/>
        <v>-0.16139410187667566</v>
      </c>
      <c r="Q361">
        <f t="shared" si="970"/>
        <v>-231475.39895335131</v>
      </c>
      <c r="R361">
        <f t="shared" si="971"/>
        <v>-4277192.7264677202</v>
      </c>
      <c r="S361">
        <f t="shared" si="972"/>
        <v>-42.771927264677203</v>
      </c>
      <c r="T361">
        <f t="shared" si="973"/>
        <v>-4.2771927264677205E-2</v>
      </c>
    </row>
    <row r="362" spans="1:20" x14ac:dyDescent="0.25">
      <c r="A362" s="5">
        <v>44231</v>
      </c>
      <c r="B362">
        <v>27.898</v>
      </c>
      <c r="C362">
        <v>43.997999999999998</v>
      </c>
      <c r="D362">
        <v>23.771000000000001</v>
      </c>
      <c r="E362">
        <v>33.902000000000001</v>
      </c>
      <c r="F362">
        <v>5162707.1169999996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1.7303604093540168E-3</v>
      </c>
      <c r="Q362">
        <f t="shared" si="970"/>
        <v>8933.344000347015</v>
      </c>
      <c r="R362">
        <f t="shared" si="971"/>
        <v>-4045717.3275143686</v>
      </c>
      <c r="S362">
        <f t="shared" si="972"/>
        <v>-40.457173275143688</v>
      </c>
      <c r="T362">
        <f t="shared" si="973"/>
        <v>-4.0457173275143692E-2</v>
      </c>
    </row>
    <row r="363" spans="1:20" x14ac:dyDescent="0.25">
      <c r="A363" s="5">
        <v>44230</v>
      </c>
      <c r="B363">
        <v>16.699000000000002</v>
      </c>
      <c r="C363">
        <v>36.734999999999999</v>
      </c>
      <c r="D363">
        <v>14.31</v>
      </c>
      <c r="E363">
        <v>27.899000000000001</v>
      </c>
      <c r="F363">
        <v>3755048.2230000002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0.21195094760312164</v>
      </c>
      <c r="Q363">
        <f t="shared" si="970"/>
        <v>795886.02916026802</v>
      </c>
      <c r="R363">
        <f t="shared" si="971"/>
        <v>-4054650.6715147155</v>
      </c>
      <c r="S363">
        <f t="shared" si="972"/>
        <v>-40.546506715147153</v>
      </c>
      <c r="T363">
        <f t="shared" si="973"/>
        <v>-4.0546506715147153E-2</v>
      </c>
    </row>
    <row r="364" spans="1:20" x14ac:dyDescent="0.25">
      <c r="A364" s="5">
        <v>44229</v>
      </c>
      <c r="B364">
        <v>11.234</v>
      </c>
      <c r="C364">
        <v>18.748000000000001</v>
      </c>
      <c r="D364">
        <v>11.234</v>
      </c>
      <c r="E364">
        <v>16.670000000000002</v>
      </c>
      <c r="F364">
        <v>948351.22699999996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0.44689912163960632</v>
      </c>
      <c r="Q364">
        <f t="shared" si="970"/>
        <v>423817.33035214286</v>
      </c>
      <c r="R364">
        <f t="shared" si="971"/>
        <v>-4850536.7006749837</v>
      </c>
      <c r="S364">
        <f t="shared" si="972"/>
        <v>-48.505367006749836</v>
      </c>
      <c r="T364">
        <f t="shared" si="973"/>
        <v>-4.8505367006749837E-2</v>
      </c>
    </row>
    <row r="365" spans="1:20" x14ac:dyDescent="0.25">
      <c r="A365" s="5">
        <v>44228</v>
      </c>
      <c r="B365">
        <v>11.098000000000001</v>
      </c>
      <c r="C365">
        <v>11.374000000000001</v>
      </c>
      <c r="D365">
        <v>10.750999999999999</v>
      </c>
      <c r="E365">
        <v>11.238</v>
      </c>
      <c r="F365">
        <v>87824.92</v>
      </c>
      <c r="G365">
        <v>0</v>
      </c>
      <c r="L365" t="s">
        <v>7</v>
      </c>
      <c r="M365" t="s">
        <v>8</v>
      </c>
      <c r="N365" t="s">
        <v>7</v>
      </c>
      <c r="P365">
        <f t="shared" si="969"/>
        <v>0.56340288924558346</v>
      </c>
      <c r="Q365">
        <f t="shared" si="970"/>
        <v>49480.813675762227</v>
      </c>
      <c r="R365">
        <f t="shared" si="971"/>
        <v>-5274354.0310271261</v>
      </c>
      <c r="S365">
        <f t="shared" si="972"/>
        <v>-52.743540310271264</v>
      </c>
      <c r="T365">
        <f t="shared" si="973"/>
        <v>-5.2743540310271265E-2</v>
      </c>
    </row>
    <row r="366" spans="1:20" x14ac:dyDescent="0.25">
      <c r="A366" s="5">
        <v>44227</v>
      </c>
      <c r="B366">
        <v>11.173</v>
      </c>
      <c r="C366">
        <v>12.138999999999999</v>
      </c>
      <c r="D366">
        <v>10.582000000000001</v>
      </c>
      <c r="E366">
        <v>11.098000000000001</v>
      </c>
      <c r="F366">
        <v>177705.65</v>
      </c>
      <c r="G366">
        <v>0</v>
      </c>
      <c r="L366" t="s">
        <v>8</v>
      </c>
      <c r="M366" t="s">
        <v>8</v>
      </c>
      <c r="N366" t="s">
        <v>7</v>
      </c>
      <c r="P366">
        <f t="shared" si="969"/>
        <v>-0.3371868978805389</v>
      </c>
      <c r="Q366">
        <f t="shared" si="970"/>
        <v>-59920.016859344789</v>
      </c>
      <c r="R366">
        <f t="shared" si="971"/>
        <v>-5323834.8447028883</v>
      </c>
      <c r="S366">
        <f t="shared" si="972"/>
        <v>-53.238348447028883</v>
      </c>
      <c r="T366">
        <f t="shared" si="973"/>
        <v>-5.3238348447028884E-2</v>
      </c>
    </row>
    <row r="367" spans="1:20" x14ac:dyDescent="0.25">
      <c r="A367" s="5">
        <v>44226</v>
      </c>
      <c r="B367">
        <v>10.734999999999999</v>
      </c>
      <c r="C367">
        <v>11.5</v>
      </c>
      <c r="D367">
        <v>10.250999999999999</v>
      </c>
      <c r="E367">
        <v>11.164</v>
      </c>
      <c r="F367">
        <v>129907.223</v>
      </c>
      <c r="G367">
        <v>0</v>
      </c>
      <c r="L367" t="s">
        <v>8</v>
      </c>
      <c r="M367" t="s">
        <v>8</v>
      </c>
      <c r="N367" t="s">
        <v>7</v>
      </c>
      <c r="P367">
        <f t="shared" si="969"/>
        <v>0.46196957566052821</v>
      </c>
      <c r="Q367">
        <f t="shared" si="970"/>
        <v>60013.18468454761</v>
      </c>
      <c r="R367">
        <f t="shared" si="971"/>
        <v>-5263914.8278435431</v>
      </c>
      <c r="S367">
        <f t="shared" si="972"/>
        <v>-52.639148278435428</v>
      </c>
      <c r="T367">
        <f t="shared" si="973"/>
        <v>-5.2639148278435431E-2</v>
      </c>
    </row>
    <row r="368" spans="1:20" x14ac:dyDescent="0.25">
      <c r="A368" s="5">
        <v>44225</v>
      </c>
      <c r="B368">
        <v>10.49</v>
      </c>
      <c r="C368">
        <v>10.997999999999999</v>
      </c>
      <c r="D368">
        <v>10.192</v>
      </c>
      <c r="E368">
        <v>10.731999999999999</v>
      </c>
      <c r="F368">
        <v>181117.67199999999</v>
      </c>
      <c r="G368">
        <v>0</v>
      </c>
      <c r="L368" t="s">
        <v>8</v>
      </c>
      <c r="M368" t="s">
        <v>7</v>
      </c>
      <c r="N368" t="s">
        <v>7</v>
      </c>
      <c r="P368">
        <f t="shared" si="969"/>
        <v>0.33995037220843599</v>
      </c>
      <c r="Q368">
        <f t="shared" si="970"/>
        <v>61571.020009925422</v>
      </c>
      <c r="R368">
        <f t="shared" si="971"/>
        <v>-5323928.0125280907</v>
      </c>
      <c r="S368">
        <f t="shared" si="972"/>
        <v>-53.239280125280906</v>
      </c>
      <c r="T368">
        <f t="shared" si="973"/>
        <v>-5.3239280125280904E-2</v>
      </c>
    </row>
    <row r="369" spans="1:20" x14ac:dyDescent="0.25">
      <c r="A369" s="5">
        <v>44224</v>
      </c>
      <c r="B369">
        <v>9.94</v>
      </c>
      <c r="C369">
        <v>10.888</v>
      </c>
      <c r="D369">
        <v>9.7639999999999993</v>
      </c>
      <c r="E369">
        <v>10.49</v>
      </c>
      <c r="F369">
        <v>194398.753</v>
      </c>
      <c r="G369">
        <v>0</v>
      </c>
      <c r="L369" t="s">
        <v>8</v>
      </c>
      <c r="M369" t="s">
        <v>7</v>
      </c>
      <c r="N369" t="s">
        <v>7</v>
      </c>
      <c r="P369">
        <f t="shared" si="969"/>
        <v>0.29181494661921797</v>
      </c>
      <c r="Q369">
        <f t="shared" si="970"/>
        <v>56728.461729537536</v>
      </c>
      <c r="R369">
        <f t="shared" si="971"/>
        <v>-5385499.0325380163</v>
      </c>
      <c r="S369">
        <f t="shared" si="972"/>
        <v>-53.854990325380165</v>
      </c>
      <c r="T369">
        <f t="shared" si="973"/>
        <v>-5.3854990325380166E-2</v>
      </c>
    </row>
    <row r="370" spans="1:20" x14ac:dyDescent="0.25">
      <c r="A370" s="5">
        <v>44223</v>
      </c>
      <c r="B370">
        <v>11.042</v>
      </c>
      <c r="C370">
        <v>11.042</v>
      </c>
      <c r="D370">
        <v>9.76</v>
      </c>
      <c r="E370">
        <v>9.9480000000000004</v>
      </c>
      <c r="F370">
        <v>136577.867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-0.7067082683307323</v>
      </c>
      <c r="Q370">
        <f t="shared" si="970"/>
        <v>-96520.707879875074</v>
      </c>
      <c r="R370">
        <f t="shared" si="971"/>
        <v>-5442227.494267554</v>
      </c>
      <c r="S370">
        <f t="shared" si="972"/>
        <v>-54.422274942675543</v>
      </c>
      <c r="T370">
        <f t="shared" si="973"/>
        <v>-5.4422274942675541E-2</v>
      </c>
    </row>
    <row r="371" spans="1:20" x14ac:dyDescent="0.25">
      <c r="A371" s="5">
        <v>44222</v>
      </c>
      <c r="B371">
        <v>10.853</v>
      </c>
      <c r="C371">
        <v>11.209</v>
      </c>
      <c r="D371">
        <v>10.228</v>
      </c>
      <c r="E371">
        <v>11.074999999999999</v>
      </c>
      <c r="F371">
        <v>94161.244000000006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0.72680937818552427</v>
      </c>
      <c r="Q371">
        <f t="shared" si="970"/>
        <v>68437.275200815435</v>
      </c>
      <c r="R371">
        <f t="shared" si="971"/>
        <v>-5345706.7863876792</v>
      </c>
      <c r="S371">
        <f t="shared" si="972"/>
        <v>-53.457067863876794</v>
      </c>
      <c r="T371">
        <f t="shared" si="973"/>
        <v>-5.3457067863876793E-2</v>
      </c>
    </row>
    <row r="372" spans="1:20" x14ac:dyDescent="0.25">
      <c r="A372" s="5">
        <v>44221</v>
      </c>
      <c r="B372">
        <v>11.547000000000001</v>
      </c>
      <c r="C372">
        <v>12.298999999999999</v>
      </c>
      <c r="D372">
        <v>10.3</v>
      </c>
      <c r="E372">
        <v>10.863</v>
      </c>
      <c r="F372">
        <v>216228.38099999999</v>
      </c>
      <c r="G372">
        <v>0</v>
      </c>
      <c r="L372" t="s">
        <v>8</v>
      </c>
      <c r="M372" t="s">
        <v>7</v>
      </c>
      <c r="N372" t="s">
        <v>8</v>
      </c>
      <c r="P372">
        <f t="shared" si="969"/>
        <v>-0.43671835917959062</v>
      </c>
      <c r="Q372">
        <f t="shared" si="970"/>
        <v>-94430.903758379369</v>
      </c>
      <c r="R372">
        <f t="shared" si="971"/>
        <v>-5414144.061588495</v>
      </c>
      <c r="S372">
        <f t="shared" si="972"/>
        <v>-54.141440615884953</v>
      </c>
      <c r="T372">
        <f t="shared" si="973"/>
        <v>-5.4141440615884953E-2</v>
      </c>
    </row>
    <row r="373" spans="1:20" x14ac:dyDescent="0.25">
      <c r="A373" s="5">
        <v>44220</v>
      </c>
      <c r="B373">
        <v>11.196</v>
      </c>
      <c r="C373">
        <v>11.769</v>
      </c>
      <c r="D373">
        <v>11.054</v>
      </c>
      <c r="E373">
        <v>11.548999999999999</v>
      </c>
      <c r="F373">
        <v>102103.204</v>
      </c>
      <c r="G373">
        <v>0</v>
      </c>
      <c r="L373" t="s">
        <v>8</v>
      </c>
      <c r="M373" t="s">
        <v>7</v>
      </c>
      <c r="N373" t="s">
        <v>8</v>
      </c>
      <c r="P373">
        <f t="shared" si="969"/>
        <v>0.38461538461538269</v>
      </c>
      <c r="Q373">
        <f t="shared" si="970"/>
        <v>39270.463076922882</v>
      </c>
      <c r="R373">
        <f t="shared" si="971"/>
        <v>-5319713.1578301154</v>
      </c>
      <c r="S373">
        <f t="shared" si="972"/>
        <v>-53.197131578301153</v>
      </c>
      <c r="T373">
        <f t="shared" si="973"/>
        <v>-5.3197131578301152E-2</v>
      </c>
    </row>
    <row r="374" spans="1:20" x14ac:dyDescent="0.25">
      <c r="A374" s="5">
        <v>44219</v>
      </c>
      <c r="B374">
        <v>11.419</v>
      </c>
      <c r="C374">
        <v>11.794</v>
      </c>
      <c r="D374">
        <v>10.925000000000001</v>
      </c>
      <c r="E374">
        <v>11.253</v>
      </c>
      <c r="F374">
        <v>159438.16</v>
      </c>
      <c r="G374">
        <v>0</v>
      </c>
      <c r="L374" t="s">
        <v>7</v>
      </c>
      <c r="M374" t="s">
        <v>7</v>
      </c>
      <c r="N374" t="s">
        <v>8</v>
      </c>
      <c r="P374">
        <f t="shared" si="969"/>
        <v>-0.24510932105868932</v>
      </c>
      <c r="Q374">
        <f t="shared" si="970"/>
        <v>-39079.77914844668</v>
      </c>
      <c r="R374">
        <f t="shared" si="971"/>
        <v>-5358983.6209070385</v>
      </c>
      <c r="S374">
        <f t="shared" si="972"/>
        <v>-53.589836209070384</v>
      </c>
      <c r="T374">
        <f t="shared" si="973"/>
        <v>-5.3589836209070381E-2</v>
      </c>
    </row>
    <row r="375" spans="1:20" x14ac:dyDescent="0.25">
      <c r="A375" s="5">
        <v>44218</v>
      </c>
      <c r="B375">
        <v>10.907999999999999</v>
      </c>
      <c r="C375">
        <v>13.379</v>
      </c>
      <c r="D375">
        <v>10.055</v>
      </c>
      <c r="E375">
        <v>11.403</v>
      </c>
      <c r="F375">
        <v>476923.61800000002</v>
      </c>
      <c r="G375">
        <v>0</v>
      </c>
      <c r="L375" t="s">
        <v>8</v>
      </c>
      <c r="M375" t="s">
        <v>8</v>
      </c>
      <c r="N375" t="s">
        <v>8</v>
      </c>
      <c r="P375">
        <f t="shared" si="969"/>
        <v>-0.18892900120336895</v>
      </c>
      <c r="Q375">
        <f t="shared" si="970"/>
        <v>-90104.70279903707</v>
      </c>
      <c r="R375">
        <f t="shared" si="971"/>
        <v>-5319903.8417585921</v>
      </c>
      <c r="S375">
        <f t="shared" si="972"/>
        <v>-53.199038417585918</v>
      </c>
      <c r="T375">
        <f t="shared" si="973"/>
        <v>-5.3199038417585914E-2</v>
      </c>
    </row>
    <row r="376" spans="1:20" x14ac:dyDescent="0.25">
      <c r="A376" s="5">
        <v>44217</v>
      </c>
      <c r="B376">
        <v>11.442</v>
      </c>
      <c r="C376">
        <v>12.997</v>
      </c>
      <c r="D376">
        <v>9.7639999999999993</v>
      </c>
      <c r="E376">
        <v>10.907999999999999</v>
      </c>
      <c r="F376">
        <v>670327.89099999995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-0.29229817506959482</v>
      </c>
      <c r="Q376">
        <f t="shared" si="970"/>
        <v>-195935.61923755027</v>
      </c>
      <c r="R376">
        <f t="shared" si="971"/>
        <v>-5229799.138959555</v>
      </c>
      <c r="S376">
        <f t="shared" si="972"/>
        <v>-52.297991389595552</v>
      </c>
      <c r="T376">
        <f t="shared" si="973"/>
        <v>-5.2297991389595552E-2</v>
      </c>
    </row>
    <row r="377" spans="1:20" x14ac:dyDescent="0.25">
      <c r="A377" s="5">
        <v>44216</v>
      </c>
      <c r="B377">
        <v>11.513</v>
      </c>
      <c r="C377">
        <v>11.763999999999999</v>
      </c>
      <c r="D377">
        <v>10.234</v>
      </c>
      <c r="E377">
        <v>11.429</v>
      </c>
      <c r="F377">
        <v>295644.973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0.56209150326797486</v>
      </c>
      <c r="Q377">
        <f t="shared" si="970"/>
        <v>166179.52730718983</v>
      </c>
      <c r="R377">
        <f t="shared" si="971"/>
        <v>-5033863.5197220044</v>
      </c>
      <c r="S377">
        <f t="shared" si="972"/>
        <v>-50.338635197220043</v>
      </c>
      <c r="T377">
        <f t="shared" si="973"/>
        <v>-5.0338635197220045E-2</v>
      </c>
    </row>
    <row r="378" spans="1:20" x14ac:dyDescent="0.25">
      <c r="A378" s="5">
        <v>44215</v>
      </c>
      <c r="B378">
        <v>11.048999999999999</v>
      </c>
      <c r="C378">
        <v>12.8</v>
      </c>
      <c r="D378">
        <v>11.044</v>
      </c>
      <c r="E378">
        <v>11.513</v>
      </c>
      <c r="F378">
        <v>531106.41399999999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-0.46583143507972741</v>
      </c>
      <c r="Q378">
        <f t="shared" si="970"/>
        <v>-247406.06301366782</v>
      </c>
      <c r="R378">
        <f t="shared" si="971"/>
        <v>-5200043.0470291944</v>
      </c>
      <c r="S378">
        <f t="shared" si="972"/>
        <v>-52.000430470291946</v>
      </c>
      <c r="T378">
        <f t="shared" si="973"/>
        <v>-5.2000430470291945E-2</v>
      </c>
    </row>
    <row r="379" spans="1:20" x14ac:dyDescent="0.25">
      <c r="A379" s="5">
        <v>44214</v>
      </c>
      <c r="B379">
        <v>10.324</v>
      </c>
      <c r="C379">
        <v>11.375</v>
      </c>
      <c r="D379">
        <v>9.9600000000000009</v>
      </c>
      <c r="E379">
        <v>11.029</v>
      </c>
      <c r="F379">
        <v>353462.93099999998</v>
      </c>
      <c r="G379">
        <v>0</v>
      </c>
      <c r="L379" t="s">
        <v>8</v>
      </c>
      <c r="M379" t="s">
        <v>7</v>
      </c>
      <c r="N379" t="s">
        <v>8</v>
      </c>
      <c r="P379">
        <f t="shared" si="969"/>
        <v>0.51095406360423989</v>
      </c>
      <c r="Q379">
        <f t="shared" si="970"/>
        <v>180603.32092791505</v>
      </c>
      <c r="R379">
        <f t="shared" si="971"/>
        <v>-4952636.9840155263</v>
      </c>
      <c r="S379">
        <f t="shared" si="972"/>
        <v>-49.526369840155262</v>
      </c>
      <c r="T379">
        <f t="shared" si="973"/>
        <v>-4.9526369840155259E-2</v>
      </c>
    </row>
    <row r="380" spans="1:20" x14ac:dyDescent="0.25">
      <c r="A380" s="5">
        <v>44213</v>
      </c>
      <c r="B380">
        <v>10.342000000000001</v>
      </c>
      <c r="C380">
        <v>10.535</v>
      </c>
      <c r="D380">
        <v>9.6310000000000002</v>
      </c>
      <c r="E380">
        <v>10.324</v>
      </c>
      <c r="F380">
        <v>274206.109</v>
      </c>
      <c r="G380">
        <v>0</v>
      </c>
      <c r="L380" t="s">
        <v>7</v>
      </c>
      <c r="M380" t="s">
        <v>7</v>
      </c>
      <c r="N380" t="s">
        <v>8</v>
      </c>
      <c r="P380">
        <f t="shared" si="969"/>
        <v>0.53318584070796393</v>
      </c>
      <c r="Q380">
        <f t="shared" si="970"/>
        <v>146202.81475442459</v>
      </c>
      <c r="R380">
        <f t="shared" si="971"/>
        <v>-5133240.3049434414</v>
      </c>
      <c r="S380">
        <f t="shared" si="972"/>
        <v>-51.332403049434411</v>
      </c>
      <c r="T380">
        <f t="shared" si="973"/>
        <v>-5.1332403049434414E-2</v>
      </c>
    </row>
    <row r="381" spans="1:20" x14ac:dyDescent="0.25">
      <c r="A381" s="5">
        <v>44212</v>
      </c>
      <c r="B381">
        <v>9.3219999999999992</v>
      </c>
      <c r="C381">
        <v>11.616</v>
      </c>
      <c r="D381">
        <v>9.1790000000000003</v>
      </c>
      <c r="E381">
        <v>10.342000000000001</v>
      </c>
      <c r="F381">
        <v>453797.18800000002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-4.5547804677882192E-2</v>
      </c>
      <c r="Q381">
        <f t="shared" si="970"/>
        <v>-20669.465682396185</v>
      </c>
      <c r="R381">
        <f t="shared" si="971"/>
        <v>-5279443.119697866</v>
      </c>
      <c r="S381">
        <f t="shared" si="972"/>
        <v>-52.794431196978657</v>
      </c>
      <c r="T381">
        <f t="shared" si="973"/>
        <v>-5.2794431196978658E-2</v>
      </c>
    </row>
    <row r="382" spans="1:20" x14ac:dyDescent="0.25">
      <c r="A382" s="5">
        <v>44211</v>
      </c>
      <c r="B382">
        <v>9.25</v>
      </c>
      <c r="C382">
        <v>9.6029999999999998</v>
      </c>
      <c r="D382">
        <v>8.56</v>
      </c>
      <c r="E382">
        <v>9.3209999999999997</v>
      </c>
      <c r="F382">
        <v>138548.389</v>
      </c>
      <c r="G382">
        <v>0</v>
      </c>
      <c r="L382" t="s">
        <v>7</v>
      </c>
      <c r="M382" t="s">
        <v>8</v>
      </c>
      <c r="N382" t="s">
        <v>7</v>
      </c>
      <c r="P382">
        <f t="shared" si="969"/>
        <v>0.45925215723873397</v>
      </c>
      <c r="Q382">
        <f t="shared" si="970"/>
        <v>63628.64653020128</v>
      </c>
      <c r="R382">
        <f t="shared" si="971"/>
        <v>-5258773.6540154703</v>
      </c>
      <c r="S382">
        <f t="shared" si="972"/>
        <v>-52.587736540154701</v>
      </c>
      <c r="T382">
        <f t="shared" si="973"/>
        <v>-5.2587736540154702E-2</v>
      </c>
    </row>
    <row r="383" spans="1:20" x14ac:dyDescent="0.25">
      <c r="A383" s="5">
        <v>44210</v>
      </c>
      <c r="B383">
        <v>8.9550000000000001</v>
      </c>
      <c r="C383">
        <v>9.7200000000000006</v>
      </c>
      <c r="D383">
        <v>8.6259999999999994</v>
      </c>
      <c r="E383">
        <v>9.2509999999999994</v>
      </c>
      <c r="F383">
        <v>89049.915999999997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0.14259597806215599</v>
      </c>
      <c r="Q383">
        <f t="shared" si="970"/>
        <v>12698.159868372833</v>
      </c>
      <c r="R383">
        <f t="shared" si="971"/>
        <v>-5322402.300545672</v>
      </c>
      <c r="S383">
        <f t="shared" si="972"/>
        <v>-53.224023005456722</v>
      </c>
      <c r="T383">
        <f t="shared" si="973"/>
        <v>-5.3224023005456721E-2</v>
      </c>
    </row>
    <row r="384" spans="1:20" x14ac:dyDescent="0.25">
      <c r="A384" s="5">
        <v>44209</v>
      </c>
      <c r="B384">
        <v>8.1790000000000003</v>
      </c>
      <c r="C384">
        <v>9</v>
      </c>
      <c r="D384">
        <v>7.87</v>
      </c>
      <c r="E384">
        <v>8.9499999999999993</v>
      </c>
      <c r="F384">
        <v>71404.959000000003</v>
      </c>
      <c r="G384">
        <v>0</v>
      </c>
      <c r="L384" t="s">
        <v>7</v>
      </c>
      <c r="M384" t="s">
        <v>8</v>
      </c>
      <c r="N384" t="s">
        <v>7</v>
      </c>
      <c r="P384">
        <f t="shared" si="969"/>
        <v>0.91150442477875981</v>
      </c>
      <c r="Q384">
        <f t="shared" si="970"/>
        <v>65085.93607964593</v>
      </c>
      <c r="R384">
        <f t="shared" si="971"/>
        <v>-5335100.4604140446</v>
      </c>
      <c r="S384">
        <f t="shared" si="972"/>
        <v>-53.351004604140442</v>
      </c>
      <c r="T384">
        <f t="shared" si="973"/>
        <v>-5.335100460414044E-2</v>
      </c>
    </row>
    <row r="385" spans="1:20" x14ac:dyDescent="0.25">
      <c r="A385" s="5">
        <v>44208</v>
      </c>
      <c r="B385">
        <v>8.3629999999999995</v>
      </c>
      <c r="C385">
        <v>8.8699999999999992</v>
      </c>
      <c r="D385">
        <v>8.0500000000000007</v>
      </c>
      <c r="E385">
        <v>8.1760000000000002</v>
      </c>
      <c r="F385">
        <v>67933.005999999994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-0.69268292682926913</v>
      </c>
      <c r="Q385">
        <f t="shared" si="970"/>
        <v>-47056.033424390298</v>
      </c>
      <c r="R385">
        <f t="shared" si="971"/>
        <v>-5400186.3964936901</v>
      </c>
      <c r="S385">
        <f t="shared" si="972"/>
        <v>-54.001863964936902</v>
      </c>
      <c r="T385">
        <f t="shared" si="973"/>
        <v>-5.4001863964936905E-2</v>
      </c>
    </row>
    <row r="386" spans="1:20" x14ac:dyDescent="0.25">
      <c r="A386" s="5">
        <v>44207</v>
      </c>
      <c r="B386">
        <v>9.4510000000000005</v>
      </c>
      <c r="C386">
        <v>9.4510000000000005</v>
      </c>
      <c r="D386">
        <v>7.3630000000000004</v>
      </c>
      <c r="E386">
        <v>8.3650000000000002</v>
      </c>
      <c r="F386">
        <v>185650.15599999999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-4.0229885057471514E-2</v>
      </c>
      <c r="Q386">
        <f t="shared" si="970"/>
        <v>-7468.6844367816548</v>
      </c>
      <c r="R386">
        <f t="shared" si="971"/>
        <v>-5353130.3630692996</v>
      </c>
      <c r="S386">
        <f t="shared" si="972"/>
        <v>-53.531303630692996</v>
      </c>
      <c r="T386">
        <f t="shared" si="973"/>
        <v>-5.3531303630692993E-2</v>
      </c>
    </row>
    <row r="387" spans="1:20" x14ac:dyDescent="0.25">
      <c r="A387" s="5">
        <v>44206</v>
      </c>
      <c r="B387">
        <v>9.7560000000000002</v>
      </c>
      <c r="C387">
        <v>10.333</v>
      </c>
      <c r="D387">
        <v>8.9</v>
      </c>
      <c r="E387">
        <v>9.4369999999999994</v>
      </c>
      <c r="F387">
        <v>134249.96599999999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-0.25052337752965931</v>
      </c>
      <c r="Q387">
        <f t="shared" si="970"/>
        <v>-33632.75491556192</v>
      </c>
      <c r="R387">
        <f t="shared" si="971"/>
        <v>-5345661.6786325183</v>
      </c>
      <c r="S387">
        <f t="shared" si="972"/>
        <v>-53.456616786325185</v>
      </c>
      <c r="T387">
        <f t="shared" si="973"/>
        <v>-5.3456616786325184E-2</v>
      </c>
    </row>
    <row r="388" spans="1:20" x14ac:dyDescent="0.25">
      <c r="A388" s="5">
        <v>44205</v>
      </c>
      <c r="B388">
        <v>9.6470000000000002</v>
      </c>
      <c r="C388">
        <v>10.394</v>
      </c>
      <c r="D388">
        <v>9.2420000000000009</v>
      </c>
      <c r="E388">
        <v>9.7460000000000004</v>
      </c>
      <c r="F388">
        <v>129636.338</v>
      </c>
      <c r="G388">
        <v>0</v>
      </c>
      <c r="L388" t="s">
        <v>8</v>
      </c>
      <c r="M388" t="s">
        <v>7</v>
      </c>
      <c r="N388" t="s">
        <v>8</v>
      </c>
      <c r="P388">
        <f t="shared" si="969"/>
        <v>-0.12500000000000019</v>
      </c>
      <c r="Q388">
        <f t="shared" si="970"/>
        <v>-16204.542250000026</v>
      </c>
      <c r="R388">
        <f t="shared" si="971"/>
        <v>-5312028.9237169567</v>
      </c>
      <c r="S388">
        <f t="shared" si="972"/>
        <v>-53.120289237169565</v>
      </c>
      <c r="T388">
        <f t="shared" si="973"/>
        <v>-5.3120289237169563E-2</v>
      </c>
    </row>
    <row r="389" spans="1:20" x14ac:dyDescent="0.25">
      <c r="A389" s="5">
        <v>44204</v>
      </c>
      <c r="B389">
        <v>9.9819999999999993</v>
      </c>
      <c r="C389">
        <v>10.151999999999999</v>
      </c>
      <c r="D389">
        <v>8.9</v>
      </c>
      <c r="E389">
        <v>9.64</v>
      </c>
      <c r="F389">
        <v>94408.907000000007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0.18210862619808446</v>
      </c>
      <c r="Q389">
        <f t="shared" si="970"/>
        <v>17192.67635463272</v>
      </c>
      <c r="R389">
        <f t="shared" si="971"/>
        <v>-5295824.3814669568</v>
      </c>
      <c r="S389">
        <f t="shared" si="972"/>
        <v>-52.958243814669565</v>
      </c>
      <c r="T389">
        <f t="shared" si="973"/>
        <v>-5.2958243814669563E-2</v>
      </c>
    </row>
    <row r="390" spans="1:20" x14ac:dyDescent="0.25">
      <c r="A390" s="5">
        <v>44203</v>
      </c>
      <c r="B390">
        <v>9.6549999999999994</v>
      </c>
      <c r="C390">
        <v>11.3</v>
      </c>
      <c r="D390">
        <v>9.57</v>
      </c>
      <c r="E390">
        <v>9.9969999999999999</v>
      </c>
      <c r="F390">
        <v>273749.516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-0.50635838150289081</v>
      </c>
      <c r="Q390">
        <f t="shared" ref="Q390:Q453" si="975">F390*P390</f>
        <v>-138615.36185895972</v>
      </c>
      <c r="R390">
        <f t="shared" ref="R390:R453" si="976">R391+Q390</f>
        <v>-5313017.0578215895</v>
      </c>
      <c r="S390">
        <f t="shared" ref="S390:S453" si="977">R390/100000</f>
        <v>-53.130170578215896</v>
      </c>
      <c r="T390">
        <f t="shared" ref="T390:T453" si="978">S390/1000</f>
        <v>-5.3130170578215896E-2</v>
      </c>
    </row>
    <row r="391" spans="1:20" x14ac:dyDescent="0.25">
      <c r="A391" s="5">
        <v>44202</v>
      </c>
      <c r="B391">
        <v>9.2530000000000001</v>
      </c>
      <c r="C391">
        <v>9.9819999999999993</v>
      </c>
      <c r="D391">
        <v>8.6839999999999993</v>
      </c>
      <c r="E391">
        <v>9.6549999999999994</v>
      </c>
      <c r="F391">
        <v>164351.44899999999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0.49614791987673351</v>
      </c>
      <c r="Q391">
        <f t="shared" si="975"/>
        <v>81542.62955007705</v>
      </c>
      <c r="R391">
        <f t="shared" si="976"/>
        <v>-5174401.6959626302</v>
      </c>
      <c r="S391">
        <f t="shared" si="977"/>
        <v>-51.7440169596263</v>
      </c>
      <c r="T391">
        <f t="shared" si="978"/>
        <v>-5.1744016959626299E-2</v>
      </c>
    </row>
    <row r="392" spans="1:20" x14ac:dyDescent="0.25">
      <c r="A392" s="5">
        <v>44201</v>
      </c>
      <c r="B392">
        <v>8.8109999999999999</v>
      </c>
      <c r="C392">
        <v>9.49</v>
      </c>
      <c r="D392">
        <v>8.2720000000000002</v>
      </c>
      <c r="E392">
        <v>9.2319999999999993</v>
      </c>
      <c r="F392">
        <v>244980.111</v>
      </c>
      <c r="G392">
        <v>0</v>
      </c>
      <c r="L392" t="s">
        <v>7</v>
      </c>
      <c r="M392" t="s">
        <v>7</v>
      </c>
      <c r="N392" t="s">
        <v>7</v>
      </c>
      <c r="P392">
        <f t="shared" si="974"/>
        <v>0.57635467980295418</v>
      </c>
      <c r="Q392">
        <f t="shared" si="975"/>
        <v>141195.43343349718</v>
      </c>
      <c r="R392">
        <f t="shared" si="976"/>
        <v>-5255944.3255127072</v>
      </c>
      <c r="S392">
        <f t="shared" si="977"/>
        <v>-52.559443255127071</v>
      </c>
      <c r="T392">
        <f t="shared" si="978"/>
        <v>-5.255944325512707E-2</v>
      </c>
    </row>
    <row r="393" spans="1:20" x14ac:dyDescent="0.25">
      <c r="A393" s="5">
        <v>44200</v>
      </c>
      <c r="B393">
        <v>8.3960000000000008</v>
      </c>
      <c r="C393">
        <v>10.669</v>
      </c>
      <c r="D393">
        <v>8.1120000000000001</v>
      </c>
      <c r="E393">
        <v>8.8109999999999999</v>
      </c>
      <c r="F393">
        <v>385622.01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-0.45326554556120474</v>
      </c>
      <c r="Q393">
        <f t="shared" si="975"/>
        <v>-174789.17074305835</v>
      </c>
      <c r="R393">
        <f t="shared" si="976"/>
        <v>-5397139.7589462046</v>
      </c>
      <c r="S393">
        <f t="shared" si="977"/>
        <v>-53.971397589462043</v>
      </c>
      <c r="T393">
        <f t="shared" si="978"/>
        <v>-5.3971397589462046E-2</v>
      </c>
    </row>
    <row r="394" spans="1:20" x14ac:dyDescent="0.25">
      <c r="A394" s="5">
        <v>44199</v>
      </c>
      <c r="B394">
        <v>8.2959999999999994</v>
      </c>
      <c r="C394">
        <v>8.6709999999999994</v>
      </c>
      <c r="D394">
        <v>7.9930000000000003</v>
      </c>
      <c r="E394">
        <v>8.3800000000000008</v>
      </c>
      <c r="F394">
        <v>104428.048</v>
      </c>
      <c r="G394">
        <v>0</v>
      </c>
      <c r="L394" t="s">
        <v>8</v>
      </c>
      <c r="M394" t="s">
        <v>7</v>
      </c>
      <c r="N394" t="s">
        <v>7</v>
      </c>
      <c r="P394">
        <f t="shared" si="974"/>
        <v>0.14159292035398524</v>
      </c>
      <c r="Q394">
        <f t="shared" si="975"/>
        <v>14786.272283186147</v>
      </c>
      <c r="R394">
        <f t="shared" si="976"/>
        <v>-5222350.5882031461</v>
      </c>
      <c r="S394">
        <f t="shared" si="977"/>
        <v>-52.223505882031461</v>
      </c>
      <c r="T394">
        <f t="shared" si="978"/>
        <v>-5.2223505882031458E-2</v>
      </c>
    </row>
    <row r="395" spans="1:20" x14ac:dyDescent="0.25">
      <c r="A395" s="5">
        <v>44198</v>
      </c>
      <c r="B395">
        <v>7.9059999999999997</v>
      </c>
      <c r="C395">
        <v>8.4</v>
      </c>
      <c r="D395">
        <v>7.76</v>
      </c>
      <c r="E395">
        <v>8.2810000000000006</v>
      </c>
      <c r="F395">
        <v>96060.918000000005</v>
      </c>
      <c r="G395">
        <v>0</v>
      </c>
      <c r="L395" t="s">
        <v>8</v>
      </c>
      <c r="M395" t="s">
        <v>7</v>
      </c>
      <c r="N395" t="s">
        <v>7</v>
      </c>
      <c r="P395">
        <f t="shared" si="974"/>
        <v>0.62812500000000104</v>
      </c>
      <c r="Q395">
        <f t="shared" si="975"/>
        <v>60338.264118750107</v>
      </c>
      <c r="R395">
        <f t="shared" si="976"/>
        <v>-5237136.8604863323</v>
      </c>
      <c r="S395">
        <f t="shared" si="977"/>
        <v>-52.371368604863321</v>
      </c>
      <c r="T395">
        <f t="shared" si="978"/>
        <v>-5.2371368604863321E-2</v>
      </c>
    </row>
    <row r="396" spans="1:20" x14ac:dyDescent="0.25">
      <c r="A396" s="5">
        <v>44197</v>
      </c>
      <c r="B396">
        <v>7.5979999999999999</v>
      </c>
      <c r="C396">
        <v>8.3049999999999997</v>
      </c>
      <c r="D396">
        <v>7.5</v>
      </c>
      <c r="E396">
        <v>7.9059999999999997</v>
      </c>
      <c r="F396">
        <v>154285.889</v>
      </c>
      <c r="G396">
        <v>0</v>
      </c>
      <c r="L396" t="s">
        <v>7</v>
      </c>
      <c r="M396" t="s">
        <v>7</v>
      </c>
      <c r="N396" t="s">
        <v>7</v>
      </c>
      <c r="P396">
        <f t="shared" si="974"/>
        <v>8.6956521739126411E-3</v>
      </c>
      <c r="Q396">
        <f t="shared" si="975"/>
        <v>1341.6164260868943</v>
      </c>
      <c r="R396">
        <f t="shared" si="976"/>
        <v>-5297475.124605082</v>
      </c>
      <c r="S396">
        <f t="shared" si="977"/>
        <v>-52.974751246050822</v>
      </c>
      <c r="T396">
        <f t="shared" si="978"/>
        <v>-5.2974751246050819E-2</v>
      </c>
    </row>
    <row r="397" spans="1:20" x14ac:dyDescent="0.25">
      <c r="A397" s="5">
        <v>44196</v>
      </c>
      <c r="B397">
        <v>7.8490000000000002</v>
      </c>
      <c r="C397">
        <v>7.8739999999999997</v>
      </c>
      <c r="D397">
        <v>7.5659999999999998</v>
      </c>
      <c r="E397">
        <v>7.6219999999999999</v>
      </c>
      <c r="F397">
        <v>55178.864000000001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-0.6363636363636358</v>
      </c>
      <c r="Q397">
        <f t="shared" si="975"/>
        <v>-35113.822545454517</v>
      </c>
      <c r="R397">
        <f t="shared" si="976"/>
        <v>-5298816.741031169</v>
      </c>
      <c r="S397">
        <f t="shared" si="977"/>
        <v>-52.988167410311689</v>
      </c>
      <c r="T397">
        <f t="shared" si="978"/>
        <v>-5.298816741031169E-2</v>
      </c>
    </row>
    <row r="398" spans="1:20" x14ac:dyDescent="0.25">
      <c r="A398" s="5">
        <v>44195</v>
      </c>
      <c r="B398">
        <v>7.9809999999999999</v>
      </c>
      <c r="C398">
        <v>8.16</v>
      </c>
      <c r="D398">
        <v>7.7960000000000003</v>
      </c>
      <c r="E398">
        <v>7.8559999999999999</v>
      </c>
      <c r="F398">
        <v>76648.13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-0.67032967032967239</v>
      </c>
      <c r="Q398">
        <f t="shared" si="975"/>
        <v>-51379.515714285873</v>
      </c>
      <c r="R398">
        <f t="shared" si="976"/>
        <v>-5263702.9184857141</v>
      </c>
      <c r="S398">
        <f t="shared" si="977"/>
        <v>-52.637029184857141</v>
      </c>
      <c r="T398">
        <f t="shared" si="978"/>
        <v>-5.2637029184857138E-2</v>
      </c>
    </row>
    <row r="399" spans="1:20" x14ac:dyDescent="0.25">
      <c r="A399" s="5">
        <v>44194</v>
      </c>
      <c r="B399">
        <v>7.9409999999999998</v>
      </c>
      <c r="C399">
        <v>8.4879999999999995</v>
      </c>
      <c r="D399">
        <v>7.5739999999999998</v>
      </c>
      <c r="E399">
        <v>7.9889999999999999</v>
      </c>
      <c r="F399">
        <v>133234.9</v>
      </c>
      <c r="G399">
        <v>0</v>
      </c>
      <c r="L399" t="s">
        <v>8</v>
      </c>
      <c r="M399" t="s">
        <v>7</v>
      </c>
      <c r="N399" t="s">
        <v>7</v>
      </c>
      <c r="P399">
        <f t="shared" si="974"/>
        <v>-9.1903719912472273E-2</v>
      </c>
      <c r="Q399">
        <f t="shared" si="975"/>
        <v>-12244.782932166252</v>
      </c>
      <c r="R399">
        <f t="shared" si="976"/>
        <v>-5212323.4027714282</v>
      </c>
      <c r="S399">
        <f t="shared" si="977"/>
        <v>-52.123234027714282</v>
      </c>
      <c r="T399">
        <f t="shared" si="978"/>
        <v>-5.212323402771428E-2</v>
      </c>
    </row>
    <row r="400" spans="1:20" x14ac:dyDescent="0.25">
      <c r="A400" s="5">
        <v>44193</v>
      </c>
      <c r="B400">
        <v>7.8849999999999998</v>
      </c>
      <c r="C400">
        <v>8.3000000000000007</v>
      </c>
      <c r="D400">
        <v>7.8440000000000003</v>
      </c>
      <c r="E400">
        <v>7.9459999999999997</v>
      </c>
      <c r="F400">
        <v>168385.41399999999</v>
      </c>
      <c r="G400">
        <v>0</v>
      </c>
      <c r="L400" t="s">
        <v>8</v>
      </c>
      <c r="M400" t="s">
        <v>7</v>
      </c>
      <c r="N400" t="s">
        <v>7</v>
      </c>
      <c r="P400">
        <f t="shared" si="974"/>
        <v>-0.55263157894737136</v>
      </c>
      <c r="Q400">
        <f t="shared" si="975"/>
        <v>-93055.097210526801</v>
      </c>
      <c r="R400">
        <f t="shared" si="976"/>
        <v>-5200078.6198392622</v>
      </c>
      <c r="S400">
        <f t="shared" si="977"/>
        <v>-52.000786198392625</v>
      </c>
      <c r="T400">
        <f t="shared" si="978"/>
        <v>-5.2000786198392622E-2</v>
      </c>
    </row>
    <row r="401" spans="1:20" x14ac:dyDescent="0.25">
      <c r="A401" s="5">
        <v>44192</v>
      </c>
      <c r="B401">
        <v>7.8310000000000004</v>
      </c>
      <c r="C401">
        <v>8.5440000000000005</v>
      </c>
      <c r="D401">
        <v>7.65</v>
      </c>
      <c r="E401">
        <v>7.8840000000000003</v>
      </c>
      <c r="F401">
        <v>132453.22399999999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-0.47651006711409405</v>
      </c>
      <c r="Q401">
        <f t="shared" si="975"/>
        <v>-63115.294657718128</v>
      </c>
      <c r="R401">
        <f t="shared" si="976"/>
        <v>-5107023.5226287358</v>
      </c>
      <c r="S401">
        <f t="shared" si="977"/>
        <v>-51.070235226287359</v>
      </c>
      <c r="T401">
        <f t="shared" si="978"/>
        <v>-5.1070235226287355E-2</v>
      </c>
    </row>
    <row r="402" spans="1:20" x14ac:dyDescent="0.25">
      <c r="A402" s="5">
        <v>44191</v>
      </c>
      <c r="B402">
        <v>8.09</v>
      </c>
      <c r="C402">
        <v>8.4920000000000009</v>
      </c>
      <c r="D402">
        <v>7.7409999999999997</v>
      </c>
      <c r="E402">
        <v>7.8529999999999998</v>
      </c>
      <c r="F402">
        <v>68188.351999999999</v>
      </c>
      <c r="G402">
        <v>0</v>
      </c>
      <c r="L402" t="s">
        <v>7</v>
      </c>
      <c r="M402" t="s">
        <v>7</v>
      </c>
      <c r="N402" t="s">
        <v>7</v>
      </c>
      <c r="P402">
        <f t="shared" si="974"/>
        <v>-0.70173102529960074</v>
      </c>
      <c r="Q402">
        <f t="shared" si="975"/>
        <v>-47849.882162450078</v>
      </c>
      <c r="R402">
        <f t="shared" si="976"/>
        <v>-5043908.2279710174</v>
      </c>
      <c r="S402">
        <f t="shared" si="977"/>
        <v>-50.439082279710171</v>
      </c>
      <c r="T402">
        <f t="shared" si="978"/>
        <v>-5.0439082279710168E-2</v>
      </c>
    </row>
    <row r="403" spans="1:20" x14ac:dyDescent="0.25">
      <c r="A403" s="5">
        <v>44190</v>
      </c>
      <c r="B403">
        <v>8.1790000000000003</v>
      </c>
      <c r="C403">
        <v>8.7200000000000006</v>
      </c>
      <c r="D403">
        <v>7.968</v>
      </c>
      <c r="E403">
        <v>8.0549999999999997</v>
      </c>
      <c r="F403">
        <v>65578.683999999994</v>
      </c>
      <c r="G403">
        <v>0</v>
      </c>
      <c r="L403" t="s">
        <v>8</v>
      </c>
      <c r="M403" t="s">
        <v>7</v>
      </c>
      <c r="N403" t="s">
        <v>7</v>
      </c>
      <c r="P403">
        <f t="shared" si="974"/>
        <v>-0.76861702127659659</v>
      </c>
      <c r="Q403">
        <f t="shared" si="975"/>
        <v>-50404.892755319197</v>
      </c>
      <c r="R403">
        <f t="shared" si="976"/>
        <v>-4996058.3458085675</v>
      </c>
      <c r="S403">
        <f t="shared" si="977"/>
        <v>-49.960583458085672</v>
      </c>
      <c r="T403">
        <f t="shared" si="978"/>
        <v>-4.9960583458085669E-2</v>
      </c>
    </row>
    <row r="404" spans="1:20" x14ac:dyDescent="0.25">
      <c r="A404" s="5">
        <v>44189</v>
      </c>
      <c r="B404">
        <v>7.8719999999999999</v>
      </c>
      <c r="C404">
        <v>8.4949999999999992</v>
      </c>
      <c r="D404">
        <v>7.5</v>
      </c>
      <c r="E404">
        <v>8.1630000000000003</v>
      </c>
      <c r="F404">
        <v>152756.59700000001</v>
      </c>
      <c r="G404">
        <v>0</v>
      </c>
      <c r="L404" t="s">
        <v>7</v>
      </c>
      <c r="M404" t="s">
        <v>7</v>
      </c>
      <c r="N404" t="s">
        <v>7</v>
      </c>
      <c r="P404">
        <f t="shared" si="974"/>
        <v>0.33266331658291615</v>
      </c>
      <c r="Q404">
        <f t="shared" si="975"/>
        <v>50816.516187939938</v>
      </c>
      <c r="R404">
        <f t="shared" si="976"/>
        <v>-4945653.4530532481</v>
      </c>
      <c r="S404">
        <f t="shared" si="977"/>
        <v>-49.45653453053248</v>
      </c>
      <c r="T404">
        <f t="shared" si="978"/>
        <v>-4.9456534530532482E-2</v>
      </c>
    </row>
    <row r="405" spans="1:20" x14ac:dyDescent="0.25">
      <c r="A405" s="5">
        <v>44188</v>
      </c>
      <c r="B405">
        <v>8.9499999999999993</v>
      </c>
      <c r="C405">
        <v>9.0839999999999996</v>
      </c>
      <c r="D405">
        <v>7.6</v>
      </c>
      <c r="E405">
        <v>7.8659999999999997</v>
      </c>
      <c r="F405">
        <v>437284.59899999999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-0.64150943396226412</v>
      </c>
      <c r="Q405">
        <f t="shared" si="975"/>
        <v>-280522.19558490562</v>
      </c>
      <c r="R405">
        <f t="shared" si="976"/>
        <v>-4996469.9692411879</v>
      </c>
      <c r="S405">
        <f t="shared" si="977"/>
        <v>-49.964699692411877</v>
      </c>
      <c r="T405">
        <f t="shared" si="978"/>
        <v>-4.9964699692411879E-2</v>
      </c>
    </row>
    <row r="406" spans="1:20" x14ac:dyDescent="0.25">
      <c r="A406" s="5">
        <v>44187</v>
      </c>
      <c r="B406">
        <v>9.3290000000000006</v>
      </c>
      <c r="C406">
        <v>12.79</v>
      </c>
      <c r="D406">
        <v>8.343</v>
      </c>
      <c r="E406">
        <v>8.9499999999999993</v>
      </c>
      <c r="F406">
        <v>2370162.9509999999</v>
      </c>
      <c r="G406">
        <v>0</v>
      </c>
      <c r="L406" t="s">
        <v>8</v>
      </c>
      <c r="M406" t="s">
        <v>8</v>
      </c>
      <c r="N406" t="s">
        <v>8</v>
      </c>
      <c r="P406">
        <f t="shared" si="974"/>
        <v>-0.72700697099167999</v>
      </c>
      <c r="Q406">
        <f t="shared" si="975"/>
        <v>-1723124.9877632116</v>
      </c>
      <c r="R406">
        <f t="shared" si="976"/>
        <v>-4715947.7736562826</v>
      </c>
      <c r="S406">
        <f t="shared" si="977"/>
        <v>-47.159477736562827</v>
      </c>
      <c r="T406">
        <f t="shared" si="978"/>
        <v>-4.715947773656283E-2</v>
      </c>
    </row>
    <row r="407" spans="1:20" x14ac:dyDescent="0.25">
      <c r="A407" s="5">
        <v>44186</v>
      </c>
      <c r="B407">
        <v>7.72</v>
      </c>
      <c r="C407">
        <v>10.37</v>
      </c>
      <c r="D407">
        <v>7.5</v>
      </c>
      <c r="E407">
        <v>9.3290000000000006</v>
      </c>
      <c r="F407">
        <v>559443.52300000004</v>
      </c>
      <c r="G407">
        <v>0</v>
      </c>
      <c r="L407" t="s">
        <v>7</v>
      </c>
      <c r="M407" t="s">
        <v>8</v>
      </c>
      <c r="N407" t="s">
        <v>7</v>
      </c>
      <c r="P407">
        <f t="shared" si="974"/>
        <v>0.27456445993031436</v>
      </c>
      <c r="Q407">
        <f t="shared" si="975"/>
        <v>153603.30875400742</v>
      </c>
      <c r="R407">
        <f t="shared" si="976"/>
        <v>-2992822.7858930705</v>
      </c>
      <c r="S407">
        <f t="shared" si="977"/>
        <v>-29.928227858930704</v>
      </c>
      <c r="T407">
        <f t="shared" si="978"/>
        <v>-2.9928227858930703E-2</v>
      </c>
    </row>
    <row r="408" spans="1:20" x14ac:dyDescent="0.25">
      <c r="A408" s="5">
        <v>44185</v>
      </c>
      <c r="B408">
        <v>8.0950000000000006</v>
      </c>
      <c r="C408">
        <v>8.1039999999999992</v>
      </c>
      <c r="D408">
        <v>7.6470000000000002</v>
      </c>
      <c r="E408">
        <v>7.7670000000000003</v>
      </c>
      <c r="F408">
        <v>65868.28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-0.47483588621444034</v>
      </c>
      <c r="Q408">
        <f t="shared" si="975"/>
        <v>-31276.623107220898</v>
      </c>
      <c r="R408">
        <f t="shared" si="976"/>
        <v>-3146426.0946470778</v>
      </c>
      <c r="S408">
        <f t="shared" si="977"/>
        <v>-31.464260946470777</v>
      </c>
      <c r="T408">
        <f t="shared" si="978"/>
        <v>-3.1464260946470778E-2</v>
      </c>
    </row>
    <row r="409" spans="1:20" x14ac:dyDescent="0.25">
      <c r="A409" s="5">
        <v>44184</v>
      </c>
      <c r="B409">
        <v>8.4589999999999996</v>
      </c>
      <c r="C409">
        <v>8.8049999999999997</v>
      </c>
      <c r="D409">
        <v>7.9619999999999997</v>
      </c>
      <c r="E409">
        <v>8.0909999999999993</v>
      </c>
      <c r="F409">
        <v>108195.54399999999</v>
      </c>
      <c r="G409">
        <v>0</v>
      </c>
      <c r="L409" t="s">
        <v>7</v>
      </c>
      <c r="M409" t="s">
        <v>7</v>
      </c>
      <c r="N409" t="s">
        <v>7</v>
      </c>
      <c r="P409">
        <f t="shared" si="974"/>
        <v>-0.69395017793594405</v>
      </c>
      <c r="Q409">
        <f t="shared" si="975"/>
        <v>-75082.317010676255</v>
      </c>
      <c r="R409">
        <f t="shared" si="976"/>
        <v>-3115149.4715398569</v>
      </c>
      <c r="S409">
        <f t="shared" si="977"/>
        <v>-31.15149471539857</v>
      </c>
      <c r="T409">
        <f t="shared" si="978"/>
        <v>-3.1151494715398569E-2</v>
      </c>
    </row>
    <row r="410" spans="1:20" x14ac:dyDescent="0.25">
      <c r="A410" s="5">
        <v>44183</v>
      </c>
      <c r="B410">
        <v>8.5760000000000005</v>
      </c>
      <c r="C410">
        <v>8.6240000000000006</v>
      </c>
      <c r="D410">
        <v>8.1509999999999998</v>
      </c>
      <c r="E410">
        <v>8.4459999999999997</v>
      </c>
      <c r="F410">
        <v>131519.15100000001</v>
      </c>
      <c r="G410">
        <v>0</v>
      </c>
      <c r="L410" t="s">
        <v>7</v>
      </c>
      <c r="M410" t="s">
        <v>7</v>
      </c>
      <c r="N410" t="s">
        <v>8</v>
      </c>
      <c r="P410">
        <f t="shared" si="974"/>
        <v>0.2473572938689195</v>
      </c>
      <c r="Q410">
        <f t="shared" si="975"/>
        <v>32532.2212832978</v>
      </c>
      <c r="R410">
        <f t="shared" si="976"/>
        <v>-3040067.1545291804</v>
      </c>
      <c r="S410">
        <f t="shared" si="977"/>
        <v>-30.400671545291804</v>
      </c>
      <c r="T410">
        <f t="shared" si="978"/>
        <v>-3.0400671545291805E-2</v>
      </c>
    </row>
    <row r="411" spans="1:20" x14ac:dyDescent="0.25">
      <c r="A411" s="5">
        <v>44182</v>
      </c>
      <c r="B411">
        <v>9.1560000000000006</v>
      </c>
      <c r="C411">
        <v>9.3460000000000001</v>
      </c>
      <c r="D411">
        <v>8.4890000000000008</v>
      </c>
      <c r="E411">
        <v>8.5760000000000005</v>
      </c>
      <c r="F411">
        <v>379183.87599999999</v>
      </c>
      <c r="G411">
        <v>0</v>
      </c>
      <c r="L411" t="s">
        <v>7</v>
      </c>
      <c r="M411" t="s">
        <v>7</v>
      </c>
      <c r="N411" t="s">
        <v>8</v>
      </c>
      <c r="P411">
        <f t="shared" si="974"/>
        <v>-0.79696616102683826</v>
      </c>
      <c r="Q411">
        <f t="shared" si="975"/>
        <v>-302196.71797899669</v>
      </c>
      <c r="R411">
        <f t="shared" si="976"/>
        <v>-3072599.3758124784</v>
      </c>
      <c r="S411">
        <f t="shared" si="977"/>
        <v>-30.725993758124783</v>
      </c>
      <c r="T411">
        <f t="shared" si="978"/>
        <v>-3.0725993758124782E-2</v>
      </c>
    </row>
    <row r="412" spans="1:20" x14ac:dyDescent="0.25">
      <c r="A412" s="5">
        <v>44181</v>
      </c>
      <c r="B412">
        <v>7.46</v>
      </c>
      <c r="C412">
        <v>11.28</v>
      </c>
      <c r="D412">
        <v>7.4</v>
      </c>
      <c r="E412">
        <v>9.1549999999999994</v>
      </c>
      <c r="F412">
        <v>1661648.5319999999</v>
      </c>
      <c r="G412">
        <v>0</v>
      </c>
      <c r="L412" t="s">
        <v>8</v>
      </c>
      <c r="M412" t="s">
        <v>8</v>
      </c>
      <c r="N412" t="s">
        <v>8</v>
      </c>
      <c r="P412">
        <f t="shared" si="974"/>
        <v>-9.5360824742268327E-2</v>
      </c>
      <c r="Q412">
        <f t="shared" si="975"/>
        <v>-158456.17444329945</v>
      </c>
      <c r="R412">
        <f t="shared" si="976"/>
        <v>-2770402.6578334817</v>
      </c>
      <c r="S412">
        <f t="shared" si="977"/>
        <v>-27.704026578334815</v>
      </c>
      <c r="T412">
        <f t="shared" si="978"/>
        <v>-2.7704026578334814E-2</v>
      </c>
    </row>
    <row r="413" spans="1:20" x14ac:dyDescent="0.25">
      <c r="A413" s="5">
        <v>44180</v>
      </c>
      <c r="B413">
        <v>7.37</v>
      </c>
      <c r="C413">
        <v>7.6230000000000002</v>
      </c>
      <c r="D413">
        <v>7.31</v>
      </c>
      <c r="E413">
        <v>7.4450000000000003</v>
      </c>
      <c r="F413">
        <v>45119.767</v>
      </c>
      <c r="G413">
        <v>0</v>
      </c>
      <c r="L413" t="s">
        <v>7</v>
      </c>
      <c r="M413" t="s">
        <v>7</v>
      </c>
      <c r="N413" t="s">
        <v>8</v>
      </c>
      <c r="P413">
        <f t="shared" si="974"/>
        <v>-0.13738019169328811</v>
      </c>
      <c r="Q413">
        <f t="shared" si="975"/>
        <v>-6198.5622396164945</v>
      </c>
      <c r="R413">
        <f t="shared" si="976"/>
        <v>-2611946.4833901823</v>
      </c>
      <c r="S413">
        <f t="shared" si="977"/>
        <v>-26.119464833901823</v>
      </c>
      <c r="T413">
        <f t="shared" si="978"/>
        <v>-2.6119464833901825E-2</v>
      </c>
    </row>
    <row r="414" spans="1:20" x14ac:dyDescent="0.25">
      <c r="A414" s="5">
        <v>44179</v>
      </c>
      <c r="B414">
        <v>7.4850000000000003</v>
      </c>
      <c r="C414">
        <v>7.5039999999999996</v>
      </c>
      <c r="D414">
        <v>7.2489999999999997</v>
      </c>
      <c r="E414">
        <v>7.3689999999999998</v>
      </c>
      <c r="F414">
        <v>16386.269</v>
      </c>
      <c r="G414">
        <v>0</v>
      </c>
      <c r="L414" t="s">
        <v>7</v>
      </c>
      <c r="M414" t="s">
        <v>7</v>
      </c>
      <c r="N414" t="s">
        <v>8</v>
      </c>
      <c r="P414">
        <f t="shared" si="974"/>
        <v>-5.8823529411763477E-2</v>
      </c>
      <c r="Q414">
        <f t="shared" si="975"/>
        <v>-963.89817647056816</v>
      </c>
      <c r="R414">
        <f t="shared" si="976"/>
        <v>-2605747.9211505656</v>
      </c>
      <c r="S414">
        <f t="shared" si="977"/>
        <v>-26.057479211505655</v>
      </c>
      <c r="T414">
        <f t="shared" si="978"/>
        <v>-2.6057479211505655E-2</v>
      </c>
    </row>
    <row r="415" spans="1:20" x14ac:dyDescent="0.25">
      <c r="A415" s="5">
        <v>44178</v>
      </c>
      <c r="B415">
        <v>7.2990000000000004</v>
      </c>
      <c r="C415">
        <v>7.6139999999999999</v>
      </c>
      <c r="D415">
        <v>7.2009999999999996</v>
      </c>
      <c r="E415">
        <v>7.5039999999999996</v>
      </c>
      <c r="F415">
        <v>23481.357</v>
      </c>
      <c r="G415">
        <v>0</v>
      </c>
      <c r="L415" t="s">
        <v>7</v>
      </c>
      <c r="M415" t="s">
        <v>7</v>
      </c>
      <c r="N415" t="s">
        <v>8</v>
      </c>
      <c r="P415">
        <f t="shared" si="974"/>
        <v>0.46731234866827964</v>
      </c>
      <c r="Q415">
        <f t="shared" si="975"/>
        <v>10973.128089588348</v>
      </c>
      <c r="R415">
        <f t="shared" si="976"/>
        <v>-2604784.0229740948</v>
      </c>
      <c r="S415">
        <f t="shared" si="977"/>
        <v>-26.047840229740949</v>
      </c>
      <c r="T415">
        <f t="shared" si="978"/>
        <v>-2.6047840229740948E-2</v>
      </c>
    </row>
    <row r="416" spans="1:20" x14ac:dyDescent="0.25">
      <c r="A416" s="5">
        <v>44177</v>
      </c>
      <c r="B416">
        <v>7.0739999999999998</v>
      </c>
      <c r="C416">
        <v>8.7100000000000009</v>
      </c>
      <c r="D416">
        <v>6.9969999999999999</v>
      </c>
      <c r="E416">
        <v>7.2640000000000002</v>
      </c>
      <c r="F416">
        <v>531502.21</v>
      </c>
      <c r="G416">
        <v>0</v>
      </c>
      <c r="L416" t="s">
        <v>8</v>
      </c>
      <c r="M416" t="s">
        <v>8</v>
      </c>
      <c r="N416" t="s">
        <v>8</v>
      </c>
      <c r="P416">
        <f t="shared" si="974"/>
        <v>-0.68826619964973712</v>
      </c>
      <c r="Q416">
        <f t="shared" si="975"/>
        <v>-365815.00618213648</v>
      </c>
      <c r="R416">
        <f t="shared" si="976"/>
        <v>-2615757.151063683</v>
      </c>
      <c r="S416">
        <f t="shared" si="977"/>
        <v>-26.157571510636831</v>
      </c>
      <c r="T416">
        <f t="shared" si="978"/>
        <v>-2.6157571510636832E-2</v>
      </c>
    </row>
    <row r="417" spans="1:20" x14ac:dyDescent="0.25">
      <c r="A417" s="5">
        <v>44176</v>
      </c>
      <c r="B417">
        <v>7.2770000000000001</v>
      </c>
      <c r="C417">
        <v>7.2770000000000001</v>
      </c>
      <c r="D417">
        <v>6.77</v>
      </c>
      <c r="E417">
        <v>7.069</v>
      </c>
      <c r="F417">
        <v>30628.387999999999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0.17948717948717965</v>
      </c>
      <c r="Q417">
        <f t="shared" si="975"/>
        <v>5497.402974358979</v>
      </c>
      <c r="R417">
        <f t="shared" si="976"/>
        <v>-2249942.1448815465</v>
      </c>
      <c r="S417">
        <f t="shared" si="977"/>
        <v>-22.499421448815465</v>
      </c>
      <c r="T417">
        <f t="shared" si="978"/>
        <v>-2.2499421448815466E-2</v>
      </c>
    </row>
    <row r="418" spans="1:20" x14ac:dyDescent="0.25">
      <c r="A418" s="5">
        <v>44175</v>
      </c>
      <c r="B418">
        <v>7.5140000000000002</v>
      </c>
      <c r="C418">
        <v>7.5140000000000002</v>
      </c>
      <c r="D418">
        <v>7.1</v>
      </c>
      <c r="E418">
        <v>7.22</v>
      </c>
      <c r="F418">
        <v>15744.594999999999</v>
      </c>
      <c r="G418">
        <v>0</v>
      </c>
      <c r="L418" t="s">
        <v>8</v>
      </c>
      <c r="M418" t="s">
        <v>7</v>
      </c>
      <c r="N418" t="s">
        <v>8</v>
      </c>
      <c r="P418">
        <f t="shared" si="974"/>
        <v>-0.42028985507246408</v>
      </c>
      <c r="Q418">
        <f t="shared" si="975"/>
        <v>-6617.293550724642</v>
      </c>
      <c r="R418">
        <f t="shared" si="976"/>
        <v>-2255439.5478559053</v>
      </c>
      <c r="S418">
        <f t="shared" si="977"/>
        <v>-22.554395478559051</v>
      </c>
      <c r="T418">
        <f t="shared" si="978"/>
        <v>-2.2554395478559051E-2</v>
      </c>
    </row>
    <row r="419" spans="1:20" x14ac:dyDescent="0.25">
      <c r="A419" s="5">
        <v>44174</v>
      </c>
      <c r="B419">
        <v>7.2809999999999997</v>
      </c>
      <c r="C419">
        <v>7.56</v>
      </c>
      <c r="D419">
        <v>6.8710000000000004</v>
      </c>
      <c r="E419">
        <v>7.53</v>
      </c>
      <c r="F419">
        <v>39868.016000000003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0.91291727140783918</v>
      </c>
      <c r="Q419">
        <f t="shared" si="975"/>
        <v>36396.200383164076</v>
      </c>
      <c r="R419">
        <f t="shared" si="976"/>
        <v>-2248822.2543051806</v>
      </c>
      <c r="S419">
        <f t="shared" si="977"/>
        <v>-22.488222543051805</v>
      </c>
      <c r="T419">
        <f t="shared" si="978"/>
        <v>-2.2488222543051804E-2</v>
      </c>
    </row>
    <row r="420" spans="1:20" x14ac:dyDescent="0.25">
      <c r="A420" s="5">
        <v>44173</v>
      </c>
      <c r="B420">
        <v>7.8559999999999999</v>
      </c>
      <c r="C420">
        <v>8.1289999999999996</v>
      </c>
      <c r="D420">
        <v>7.1909999999999998</v>
      </c>
      <c r="E420">
        <v>7.29</v>
      </c>
      <c r="F420">
        <v>65396.069000000003</v>
      </c>
      <c r="G420">
        <v>0</v>
      </c>
      <c r="L420" t="s">
        <v>7</v>
      </c>
      <c r="M420" t="s">
        <v>8</v>
      </c>
      <c r="N420" t="s">
        <v>8</v>
      </c>
      <c r="P420">
        <f t="shared" si="974"/>
        <v>-0.78891257995735564</v>
      </c>
      <c r="Q420">
        <f t="shared" si="975"/>
        <v>-51591.781513859249</v>
      </c>
      <c r="R420">
        <f t="shared" si="976"/>
        <v>-2285218.4546883446</v>
      </c>
      <c r="S420">
        <f t="shared" si="977"/>
        <v>-22.852184546883446</v>
      </c>
      <c r="T420">
        <f t="shared" si="978"/>
        <v>-2.2852184546883446E-2</v>
      </c>
    </row>
    <row r="421" spans="1:20" x14ac:dyDescent="0.25">
      <c r="A421" s="5">
        <v>44172</v>
      </c>
      <c r="B421">
        <v>7.95</v>
      </c>
      <c r="C421">
        <v>7.984</v>
      </c>
      <c r="D421">
        <v>7.7370000000000001</v>
      </c>
      <c r="E421">
        <v>7.8559999999999999</v>
      </c>
      <c r="F421">
        <v>20837.652999999998</v>
      </c>
      <c r="G421">
        <v>0</v>
      </c>
      <c r="L421" t="s">
        <v>8</v>
      </c>
      <c r="M421" t="s">
        <v>8</v>
      </c>
      <c r="N421" t="s">
        <v>8</v>
      </c>
      <c r="P421">
        <f t="shared" si="974"/>
        <v>-3.6437246963564152E-2</v>
      </c>
      <c r="Q421">
        <f t="shared" si="975"/>
        <v>-759.26670850205335</v>
      </c>
      <c r="R421">
        <f t="shared" si="976"/>
        <v>-2233626.6731744856</v>
      </c>
      <c r="S421">
        <f t="shared" si="977"/>
        <v>-22.336266731744857</v>
      </c>
      <c r="T421">
        <f t="shared" si="978"/>
        <v>-2.2336266731744856E-2</v>
      </c>
    </row>
    <row r="422" spans="1:20" x14ac:dyDescent="0.25">
      <c r="A422" s="5">
        <v>44171</v>
      </c>
      <c r="B422">
        <v>7.8550000000000004</v>
      </c>
      <c r="C422">
        <v>8.0239999999999991</v>
      </c>
      <c r="D422">
        <v>7.7480000000000002</v>
      </c>
      <c r="E422">
        <v>7.9509999999999996</v>
      </c>
      <c r="F422">
        <v>11820.880999999999</v>
      </c>
      <c r="G422">
        <v>0</v>
      </c>
      <c r="L422" t="s">
        <v>8</v>
      </c>
      <c r="M422" t="s">
        <v>8</v>
      </c>
      <c r="N422" t="s">
        <v>8</v>
      </c>
      <c r="P422">
        <f t="shared" si="974"/>
        <v>0.47101449275362467</v>
      </c>
      <c r="Q422">
        <f t="shared" si="975"/>
        <v>5567.806268115959</v>
      </c>
      <c r="R422">
        <f t="shared" si="976"/>
        <v>-2232867.4064659835</v>
      </c>
      <c r="S422">
        <f t="shared" si="977"/>
        <v>-22.328674064659836</v>
      </c>
      <c r="T422">
        <f t="shared" si="978"/>
        <v>-2.2328674064659836E-2</v>
      </c>
    </row>
    <row r="423" spans="1:20" x14ac:dyDescent="0.25">
      <c r="A423" s="5">
        <v>44170</v>
      </c>
      <c r="B423">
        <v>7.43</v>
      </c>
      <c r="C423">
        <v>7.9409999999999998</v>
      </c>
      <c r="D423">
        <v>7.4020000000000001</v>
      </c>
      <c r="E423">
        <v>7.8230000000000004</v>
      </c>
      <c r="F423">
        <v>16979.092000000001</v>
      </c>
      <c r="G423">
        <v>0</v>
      </c>
      <c r="L423" t="s">
        <v>7</v>
      </c>
      <c r="M423" t="s">
        <v>8</v>
      </c>
      <c r="N423" t="s">
        <v>8</v>
      </c>
      <c r="P423">
        <f t="shared" si="974"/>
        <v>0.56215213358070681</v>
      </c>
      <c r="Q423">
        <f t="shared" si="975"/>
        <v>9544.8327940631116</v>
      </c>
      <c r="R423">
        <f t="shared" si="976"/>
        <v>-2238435.2127340995</v>
      </c>
      <c r="S423">
        <f t="shared" si="977"/>
        <v>-22.384352127340996</v>
      </c>
      <c r="T423">
        <f t="shared" si="978"/>
        <v>-2.2384352127340995E-2</v>
      </c>
    </row>
    <row r="424" spans="1:20" x14ac:dyDescent="0.25">
      <c r="A424" s="5">
        <v>44169</v>
      </c>
      <c r="B424">
        <v>7.9390000000000001</v>
      </c>
      <c r="C424">
        <v>8.0310000000000006</v>
      </c>
      <c r="D424">
        <v>7.4329999999999998</v>
      </c>
      <c r="E424">
        <v>7.4349999999999996</v>
      </c>
      <c r="F424">
        <v>39211.212</v>
      </c>
      <c r="G424">
        <v>0</v>
      </c>
      <c r="L424" t="s">
        <v>7</v>
      </c>
      <c r="M424" t="s">
        <v>8</v>
      </c>
      <c r="N424" t="s">
        <v>8</v>
      </c>
      <c r="P424">
        <f t="shared" si="974"/>
        <v>-0.99331103678929844</v>
      </c>
      <c r="Q424">
        <f t="shared" si="975"/>
        <v>-38948.929645484983</v>
      </c>
      <c r="R424">
        <f t="shared" si="976"/>
        <v>-2247980.0455281627</v>
      </c>
      <c r="S424">
        <f t="shared" si="977"/>
        <v>-22.479800455281627</v>
      </c>
      <c r="T424">
        <f t="shared" si="978"/>
        <v>-2.2479800455281626E-2</v>
      </c>
    </row>
    <row r="425" spans="1:20" x14ac:dyDescent="0.25">
      <c r="A425" s="5">
        <v>44168</v>
      </c>
      <c r="B425">
        <v>7.9470000000000001</v>
      </c>
      <c r="C425">
        <v>8.2989999999999995</v>
      </c>
      <c r="D425">
        <v>7.72</v>
      </c>
      <c r="E425">
        <v>7.9779999999999998</v>
      </c>
      <c r="F425">
        <v>86518.441000000006</v>
      </c>
      <c r="G425">
        <v>0</v>
      </c>
      <c r="L425" t="s">
        <v>8</v>
      </c>
      <c r="M425" t="s">
        <v>8</v>
      </c>
      <c r="N425" t="s">
        <v>8</v>
      </c>
      <c r="P425">
        <f t="shared" si="974"/>
        <v>-0.10880829015543998</v>
      </c>
      <c r="Q425">
        <f t="shared" si="975"/>
        <v>-9413.9236321243152</v>
      </c>
      <c r="R425">
        <f t="shared" si="976"/>
        <v>-2209031.115882678</v>
      </c>
      <c r="S425">
        <f t="shared" si="977"/>
        <v>-22.090311158826779</v>
      </c>
      <c r="T425">
        <f t="shared" si="978"/>
        <v>-2.2090311158826779E-2</v>
      </c>
    </row>
    <row r="426" spans="1:20" x14ac:dyDescent="0.25">
      <c r="A426" s="5">
        <v>44167</v>
      </c>
      <c r="B426">
        <v>7.6920000000000002</v>
      </c>
      <c r="C426">
        <v>7.9820000000000002</v>
      </c>
      <c r="D426">
        <v>7.4610000000000003</v>
      </c>
      <c r="E426">
        <v>7.9459999999999997</v>
      </c>
      <c r="F426">
        <v>52447.858999999997</v>
      </c>
      <c r="G426">
        <v>0</v>
      </c>
      <c r="L426" t="s">
        <v>8</v>
      </c>
      <c r="M426" t="s">
        <v>8</v>
      </c>
      <c r="N426" t="s">
        <v>8</v>
      </c>
      <c r="P426">
        <f t="shared" si="974"/>
        <v>0.86180422264875056</v>
      </c>
      <c r="Q426">
        <f t="shared" si="975"/>
        <v>45199.786355086275</v>
      </c>
      <c r="R426">
        <f t="shared" si="976"/>
        <v>-2199617.1922505535</v>
      </c>
      <c r="S426">
        <f t="shared" si="977"/>
        <v>-21.996171922505535</v>
      </c>
      <c r="T426">
        <f t="shared" si="978"/>
        <v>-2.1996171922505536E-2</v>
      </c>
    </row>
    <row r="427" spans="1:20" x14ac:dyDescent="0.25">
      <c r="A427" s="5">
        <v>44166</v>
      </c>
      <c r="B427">
        <v>8.1170000000000009</v>
      </c>
      <c r="C427">
        <v>8.3040000000000003</v>
      </c>
      <c r="D427">
        <v>7.3029999999999999</v>
      </c>
      <c r="E427">
        <v>7.73</v>
      </c>
      <c r="F427">
        <v>55557.84</v>
      </c>
      <c r="G427">
        <v>0</v>
      </c>
      <c r="L427" t="s">
        <v>7</v>
      </c>
      <c r="M427" t="s">
        <v>8</v>
      </c>
      <c r="N427" t="s">
        <v>8</v>
      </c>
      <c r="P427">
        <f t="shared" si="974"/>
        <v>-0.14685314685314615</v>
      </c>
      <c r="Q427">
        <f t="shared" si="975"/>
        <v>-8158.8436363635974</v>
      </c>
      <c r="R427">
        <f t="shared" si="976"/>
        <v>-2244816.9786056397</v>
      </c>
      <c r="S427">
        <f t="shared" si="977"/>
        <v>-22.448169786056397</v>
      </c>
      <c r="T427">
        <f t="shared" si="978"/>
        <v>-2.2448169786056398E-2</v>
      </c>
    </row>
    <row r="428" spans="1:20" x14ac:dyDescent="0.25">
      <c r="A428" s="5">
        <v>44165</v>
      </c>
      <c r="B428">
        <v>8.125</v>
      </c>
      <c r="C428">
        <v>8.34</v>
      </c>
      <c r="D428">
        <v>7.82</v>
      </c>
      <c r="E428">
        <v>8.1159999999999997</v>
      </c>
      <c r="F428">
        <v>62339.849000000002</v>
      </c>
      <c r="G428">
        <v>0</v>
      </c>
      <c r="L428" t="s">
        <v>7</v>
      </c>
      <c r="M428" t="s">
        <v>8</v>
      </c>
      <c r="N428" t="s">
        <v>8</v>
      </c>
      <c r="P428">
        <f t="shared" si="974"/>
        <v>0.138461538461537</v>
      </c>
      <c r="Q428">
        <f t="shared" si="975"/>
        <v>8631.6713999999083</v>
      </c>
      <c r="R428">
        <f t="shared" si="976"/>
        <v>-2236658.1349692759</v>
      </c>
      <c r="S428">
        <f t="shared" si="977"/>
        <v>-22.366581349692758</v>
      </c>
      <c r="T428">
        <f t="shared" si="978"/>
        <v>-2.2366581349692757E-2</v>
      </c>
    </row>
    <row r="429" spans="1:20" x14ac:dyDescent="0.25">
      <c r="A429" s="5">
        <v>44164</v>
      </c>
      <c r="B429">
        <v>8.0190000000000001</v>
      </c>
      <c r="C429">
        <v>8.32</v>
      </c>
      <c r="D429">
        <v>7.8460000000000001</v>
      </c>
      <c r="E429">
        <v>8.1479999999999997</v>
      </c>
      <c r="F429">
        <v>20820.109</v>
      </c>
      <c r="G429">
        <v>0</v>
      </c>
      <c r="L429" t="s">
        <v>7</v>
      </c>
      <c r="M429" t="s">
        <v>8</v>
      </c>
      <c r="N429" t="s">
        <v>8</v>
      </c>
      <c r="P429">
        <f t="shared" si="974"/>
        <v>0.27426160337552519</v>
      </c>
      <c r="Q429">
        <f t="shared" si="975"/>
        <v>5710.1564767932023</v>
      </c>
      <c r="R429">
        <f t="shared" si="976"/>
        <v>-2245289.8063692758</v>
      </c>
      <c r="S429">
        <f t="shared" si="977"/>
        <v>-22.452898063692757</v>
      </c>
      <c r="T429">
        <f t="shared" si="978"/>
        <v>-2.2452898063692758E-2</v>
      </c>
    </row>
    <row r="430" spans="1:20" x14ac:dyDescent="0.25">
      <c r="A430" s="5">
        <v>44163</v>
      </c>
      <c r="B430">
        <v>7.5620000000000003</v>
      </c>
      <c r="C430">
        <v>8.4939999999999998</v>
      </c>
      <c r="D430">
        <v>7.4530000000000003</v>
      </c>
      <c r="E430">
        <v>8.0150000000000006</v>
      </c>
      <c r="F430">
        <v>21341.937999999998</v>
      </c>
      <c r="G430">
        <v>0</v>
      </c>
      <c r="L430" t="s">
        <v>8</v>
      </c>
      <c r="M430" t="s">
        <v>8</v>
      </c>
      <c r="N430" t="s">
        <v>8</v>
      </c>
      <c r="P430">
        <f t="shared" si="974"/>
        <v>7.9731027857830081E-2</v>
      </c>
      <c r="Q430">
        <f t="shared" si="975"/>
        <v>1701.6146532180824</v>
      </c>
      <c r="R430">
        <f t="shared" si="976"/>
        <v>-2250999.9628460691</v>
      </c>
      <c r="S430">
        <f t="shared" si="977"/>
        <v>-22.50999962846069</v>
      </c>
      <c r="T430">
        <f t="shared" si="978"/>
        <v>-2.2509999628460689E-2</v>
      </c>
    </row>
    <row r="431" spans="1:20" x14ac:dyDescent="0.25">
      <c r="A431" s="5">
        <v>44162</v>
      </c>
      <c r="B431">
        <v>7.5369999999999999</v>
      </c>
      <c r="C431">
        <v>7.8049999999999997</v>
      </c>
      <c r="D431">
        <v>7.2809999999999997</v>
      </c>
      <c r="E431">
        <v>7.5869999999999997</v>
      </c>
      <c r="F431">
        <v>21898.567999999999</v>
      </c>
      <c r="G431">
        <v>0</v>
      </c>
      <c r="L431" t="s">
        <v>8</v>
      </c>
      <c r="M431" t="s">
        <v>7</v>
      </c>
      <c r="N431" t="s">
        <v>8</v>
      </c>
      <c r="P431">
        <f t="shared" si="974"/>
        <v>0.16793893129771006</v>
      </c>
      <c r="Q431">
        <f t="shared" si="975"/>
        <v>3677.6221068702321</v>
      </c>
      <c r="R431">
        <f t="shared" si="976"/>
        <v>-2252701.5774992872</v>
      </c>
      <c r="S431">
        <f t="shared" si="977"/>
        <v>-22.527015774992872</v>
      </c>
      <c r="T431">
        <f t="shared" si="978"/>
        <v>-2.2527015774992873E-2</v>
      </c>
    </row>
    <row r="432" spans="1:20" x14ac:dyDescent="0.25">
      <c r="A432" s="5">
        <v>44161</v>
      </c>
      <c r="B432">
        <v>8.2569999999999997</v>
      </c>
      <c r="C432">
        <v>8.4949999999999992</v>
      </c>
      <c r="D432">
        <v>7</v>
      </c>
      <c r="E432">
        <v>7.5540000000000003</v>
      </c>
      <c r="F432">
        <v>70187.494000000006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-0.25886287625417986</v>
      </c>
      <c r="Q432">
        <f t="shared" si="975"/>
        <v>-18168.936573912993</v>
      </c>
      <c r="R432">
        <f t="shared" si="976"/>
        <v>-2256379.1996061574</v>
      </c>
      <c r="S432">
        <f t="shared" si="977"/>
        <v>-22.563791996061575</v>
      </c>
      <c r="T432">
        <f t="shared" si="978"/>
        <v>-2.2563791996061573E-2</v>
      </c>
    </row>
    <row r="433" spans="1:20" x14ac:dyDescent="0.25">
      <c r="A433" s="5">
        <v>44160</v>
      </c>
      <c r="B433">
        <v>9.0869999999999997</v>
      </c>
      <c r="C433">
        <v>9.1159999999999997</v>
      </c>
      <c r="D433">
        <v>7.9160000000000004</v>
      </c>
      <c r="E433">
        <v>8.26</v>
      </c>
      <c r="F433">
        <v>106569.57399999999</v>
      </c>
      <c r="G433">
        <v>0</v>
      </c>
      <c r="L433" t="s">
        <v>7</v>
      </c>
      <c r="M433" t="s">
        <v>8</v>
      </c>
      <c r="N433" t="s">
        <v>8</v>
      </c>
      <c r="P433">
        <f t="shared" si="974"/>
        <v>-0.4266666666666673</v>
      </c>
      <c r="Q433">
        <f t="shared" si="975"/>
        <v>-45469.684906666735</v>
      </c>
      <c r="R433">
        <f t="shared" si="976"/>
        <v>-2238210.2630322445</v>
      </c>
      <c r="S433">
        <f t="shared" si="977"/>
        <v>-22.382102630322446</v>
      </c>
      <c r="T433">
        <f t="shared" si="978"/>
        <v>-2.2382102630322448E-2</v>
      </c>
    </row>
    <row r="434" spans="1:20" x14ac:dyDescent="0.25">
      <c r="A434" s="5">
        <v>44159</v>
      </c>
      <c r="B434">
        <v>8.532</v>
      </c>
      <c r="C434">
        <v>9.3170000000000002</v>
      </c>
      <c r="D434">
        <v>8.0760000000000005</v>
      </c>
      <c r="E434">
        <v>9.093</v>
      </c>
      <c r="F434">
        <v>174939.00700000001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0.63900080580177232</v>
      </c>
      <c r="Q434">
        <f t="shared" si="975"/>
        <v>111786.1664391619</v>
      </c>
      <c r="R434">
        <f t="shared" si="976"/>
        <v>-2192740.5781255779</v>
      </c>
      <c r="S434">
        <f t="shared" si="977"/>
        <v>-21.927405781255779</v>
      </c>
      <c r="T434">
        <f t="shared" si="978"/>
        <v>-2.1927405781255779E-2</v>
      </c>
    </row>
    <row r="435" spans="1:20" x14ac:dyDescent="0.25">
      <c r="A435" s="5">
        <v>44158</v>
      </c>
      <c r="B435">
        <v>8.173</v>
      </c>
      <c r="C435">
        <v>8.6</v>
      </c>
      <c r="D435">
        <v>8.0399999999999991</v>
      </c>
      <c r="E435">
        <v>8.5150000000000006</v>
      </c>
      <c r="F435">
        <v>55612.258000000002</v>
      </c>
      <c r="G435">
        <v>0</v>
      </c>
      <c r="L435" t="s">
        <v>8</v>
      </c>
      <c r="M435" t="s">
        <v>7</v>
      </c>
      <c r="N435" t="s">
        <v>8</v>
      </c>
      <c r="P435">
        <f t="shared" si="974"/>
        <v>0.69642857142857495</v>
      </c>
      <c r="Q435">
        <f t="shared" si="975"/>
        <v>38729.965392857339</v>
      </c>
      <c r="R435">
        <f t="shared" si="976"/>
        <v>-2304526.74456474</v>
      </c>
      <c r="S435">
        <f t="shared" si="977"/>
        <v>-23.045267445647401</v>
      </c>
      <c r="T435">
        <f t="shared" si="978"/>
        <v>-2.3045267445647402E-2</v>
      </c>
    </row>
    <row r="436" spans="1:20" x14ac:dyDescent="0.25">
      <c r="A436" s="5">
        <v>44157</v>
      </c>
      <c r="B436">
        <v>8.5190000000000001</v>
      </c>
      <c r="C436">
        <v>8.57</v>
      </c>
      <c r="D436">
        <v>7.6580000000000004</v>
      </c>
      <c r="E436">
        <v>8.1440000000000001</v>
      </c>
      <c r="F436">
        <v>69836.138000000006</v>
      </c>
      <c r="G436">
        <v>0</v>
      </c>
      <c r="L436" t="s">
        <v>7</v>
      </c>
      <c r="M436" t="s">
        <v>7</v>
      </c>
      <c r="N436" t="s">
        <v>8</v>
      </c>
      <c r="P436">
        <f t="shared" si="974"/>
        <v>6.5789473684210106E-2</v>
      </c>
      <c r="Q436">
        <f t="shared" si="975"/>
        <v>4594.4827631578655</v>
      </c>
      <c r="R436">
        <f t="shared" si="976"/>
        <v>-2343256.7099575973</v>
      </c>
      <c r="S436">
        <f t="shared" si="977"/>
        <v>-23.432567099575973</v>
      </c>
      <c r="T436">
        <f t="shared" si="978"/>
        <v>-2.3432567099575974E-2</v>
      </c>
    </row>
    <row r="437" spans="1:20" x14ac:dyDescent="0.25">
      <c r="A437" s="5">
        <v>44156</v>
      </c>
      <c r="B437">
        <v>7.9909999999999997</v>
      </c>
      <c r="C437">
        <v>8.657</v>
      </c>
      <c r="D437">
        <v>7.94</v>
      </c>
      <c r="E437">
        <v>8.5370000000000008</v>
      </c>
      <c r="F437">
        <v>60604.377999999997</v>
      </c>
      <c r="G437">
        <v>0</v>
      </c>
      <c r="L437" t="s">
        <v>8</v>
      </c>
      <c r="M437" t="s">
        <v>7</v>
      </c>
      <c r="N437" t="s">
        <v>8</v>
      </c>
      <c r="P437">
        <f t="shared" si="974"/>
        <v>0.66527196652719867</v>
      </c>
      <c r="Q437">
        <f t="shared" si="975"/>
        <v>40318.393732217693</v>
      </c>
      <c r="R437">
        <f t="shared" si="976"/>
        <v>-2347851.192720755</v>
      </c>
      <c r="S437">
        <f t="shared" si="977"/>
        <v>-23.478511927207549</v>
      </c>
      <c r="T437">
        <f t="shared" si="978"/>
        <v>-2.3478511927207547E-2</v>
      </c>
    </row>
    <row r="438" spans="1:20" x14ac:dyDescent="0.25">
      <c r="A438" s="5">
        <v>44155</v>
      </c>
      <c r="B438">
        <v>7.7729999999999997</v>
      </c>
      <c r="C438">
        <v>8.4</v>
      </c>
      <c r="D438">
        <v>7.7549999999999999</v>
      </c>
      <c r="E438">
        <v>7.9820000000000002</v>
      </c>
      <c r="F438">
        <v>36991.379999999997</v>
      </c>
      <c r="G438">
        <v>0</v>
      </c>
      <c r="L438" t="s">
        <v>8</v>
      </c>
      <c r="M438" t="s">
        <v>7</v>
      </c>
      <c r="N438" t="s">
        <v>8</v>
      </c>
      <c r="P438">
        <f t="shared" si="974"/>
        <v>-0.29612403100775148</v>
      </c>
      <c r="Q438">
        <f t="shared" si="975"/>
        <v>-10954.036558139516</v>
      </c>
      <c r="R438">
        <f t="shared" si="976"/>
        <v>-2388169.5864529726</v>
      </c>
      <c r="S438">
        <f t="shared" si="977"/>
        <v>-23.881695864529725</v>
      </c>
      <c r="T438">
        <f t="shared" si="978"/>
        <v>-2.3881695864529724E-2</v>
      </c>
    </row>
    <row r="439" spans="1:20" x14ac:dyDescent="0.25">
      <c r="A439" s="5">
        <v>44154</v>
      </c>
      <c r="B439">
        <v>7.9619999999999997</v>
      </c>
      <c r="C439">
        <v>8.0389999999999997</v>
      </c>
      <c r="D439">
        <v>7.6280000000000001</v>
      </c>
      <c r="E439">
        <v>7.7729999999999997</v>
      </c>
      <c r="F439">
        <v>33803.17</v>
      </c>
      <c r="G439">
        <v>0</v>
      </c>
      <c r="L439" t="s">
        <v>8</v>
      </c>
      <c r="M439" t="s">
        <v>7</v>
      </c>
      <c r="N439" t="s">
        <v>8</v>
      </c>
      <c r="P439">
        <f t="shared" si="974"/>
        <v>-0.29440389294404029</v>
      </c>
      <c r="Q439">
        <f t="shared" si="975"/>
        <v>-9951.784841849194</v>
      </c>
      <c r="R439">
        <f t="shared" si="976"/>
        <v>-2377215.549894833</v>
      </c>
      <c r="S439">
        <f t="shared" si="977"/>
        <v>-23.772155498948329</v>
      </c>
      <c r="T439">
        <f t="shared" si="978"/>
        <v>-2.377215549894833E-2</v>
      </c>
    </row>
    <row r="440" spans="1:20" x14ac:dyDescent="0.25">
      <c r="A440" s="5">
        <v>44153</v>
      </c>
      <c r="B440">
        <v>8.1120000000000001</v>
      </c>
      <c r="C440">
        <v>8.3559999999999999</v>
      </c>
      <c r="D440">
        <v>7.5</v>
      </c>
      <c r="E440">
        <v>7.9640000000000004</v>
      </c>
      <c r="F440">
        <v>104763.43399999999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8.41121495327114E-2</v>
      </c>
      <c r="Q440">
        <f t="shared" si="975"/>
        <v>8811.8776261683415</v>
      </c>
      <c r="R440">
        <f t="shared" si="976"/>
        <v>-2367263.765052984</v>
      </c>
      <c r="S440">
        <f t="shared" si="977"/>
        <v>-23.67263765052984</v>
      </c>
      <c r="T440">
        <f t="shared" si="978"/>
        <v>-2.3672637650529838E-2</v>
      </c>
    </row>
    <row r="441" spans="1:20" x14ac:dyDescent="0.25">
      <c r="A441" s="5">
        <v>44152</v>
      </c>
      <c r="B441">
        <v>8.3019999999999996</v>
      </c>
      <c r="C441">
        <v>8.9130000000000003</v>
      </c>
      <c r="D441">
        <v>8.0459999999999994</v>
      </c>
      <c r="E441">
        <v>8.1120000000000001</v>
      </c>
      <c r="F441">
        <v>103378.159</v>
      </c>
      <c r="G441">
        <v>0</v>
      </c>
      <c r="L441" t="s">
        <v>8</v>
      </c>
      <c r="M441" t="s">
        <v>7</v>
      </c>
      <c r="N441" t="s">
        <v>8</v>
      </c>
      <c r="P441">
        <f t="shared" si="974"/>
        <v>-0.84775086505190156</v>
      </c>
      <c r="Q441">
        <f t="shared" si="975"/>
        <v>-87638.923719723025</v>
      </c>
      <c r="R441">
        <f t="shared" si="976"/>
        <v>-2376075.6426791525</v>
      </c>
      <c r="S441">
        <f t="shared" si="977"/>
        <v>-23.760756426791527</v>
      </c>
      <c r="T441">
        <f t="shared" si="978"/>
        <v>-2.3760756426791527E-2</v>
      </c>
    </row>
    <row r="442" spans="1:20" x14ac:dyDescent="0.25">
      <c r="A442" s="5">
        <v>44151</v>
      </c>
      <c r="B442">
        <v>8.4</v>
      </c>
      <c r="C442">
        <v>8.6630000000000003</v>
      </c>
      <c r="D442">
        <v>7.8769999999999998</v>
      </c>
      <c r="E442">
        <v>8.3079999999999998</v>
      </c>
      <c r="F442">
        <v>82676.375</v>
      </c>
      <c r="G442">
        <v>0</v>
      </c>
      <c r="L442" t="s">
        <v>7</v>
      </c>
      <c r="M442" t="s">
        <v>7</v>
      </c>
      <c r="N442" t="s">
        <v>8</v>
      </c>
      <c r="P442">
        <f t="shared" si="974"/>
        <v>9.6692111959286994E-2</v>
      </c>
      <c r="Q442">
        <f t="shared" si="975"/>
        <v>7994.1533078879966</v>
      </c>
      <c r="R442">
        <f t="shared" si="976"/>
        <v>-2288436.7189594293</v>
      </c>
      <c r="S442">
        <f t="shared" si="977"/>
        <v>-22.884367189594293</v>
      </c>
      <c r="T442">
        <f t="shared" si="978"/>
        <v>-2.2884367189594294E-2</v>
      </c>
    </row>
    <row r="443" spans="1:20" x14ac:dyDescent="0.25">
      <c r="A443" s="5">
        <v>44150</v>
      </c>
      <c r="B443">
        <v>8.2219999999999995</v>
      </c>
      <c r="C443">
        <v>8.98</v>
      </c>
      <c r="D443">
        <v>7.9320000000000004</v>
      </c>
      <c r="E443">
        <v>8.4</v>
      </c>
      <c r="F443">
        <v>125914.201</v>
      </c>
      <c r="G443">
        <v>0</v>
      </c>
      <c r="L443" t="s">
        <v>8</v>
      </c>
      <c r="M443" t="s">
        <v>7</v>
      </c>
      <c r="N443" t="s">
        <v>8</v>
      </c>
      <c r="P443">
        <f t="shared" si="974"/>
        <v>-0.10687022900763368</v>
      </c>
      <c r="Q443">
        <f t="shared" si="975"/>
        <v>-13456.479496183218</v>
      </c>
      <c r="R443">
        <f t="shared" si="976"/>
        <v>-2296430.8722673175</v>
      </c>
      <c r="S443">
        <f t="shared" si="977"/>
        <v>-22.964308722673174</v>
      </c>
      <c r="T443">
        <f t="shared" si="978"/>
        <v>-2.2964308722673174E-2</v>
      </c>
    </row>
    <row r="444" spans="1:20" x14ac:dyDescent="0.25">
      <c r="A444" s="5">
        <v>44149</v>
      </c>
      <c r="B444">
        <v>8.24</v>
      </c>
      <c r="C444">
        <v>8.3019999999999996</v>
      </c>
      <c r="D444">
        <v>7.7030000000000003</v>
      </c>
      <c r="E444">
        <v>8.2219999999999995</v>
      </c>
      <c r="F444">
        <v>36858.777999999998</v>
      </c>
      <c r="G444">
        <v>0</v>
      </c>
      <c r="L444" t="s">
        <v>8</v>
      </c>
      <c r="M444" t="s">
        <v>7</v>
      </c>
      <c r="N444" t="s">
        <v>8</v>
      </c>
      <c r="P444">
        <f t="shared" si="974"/>
        <v>0.7328881469115186</v>
      </c>
      <c r="Q444">
        <f t="shared" si="975"/>
        <v>27013.361505843048</v>
      </c>
      <c r="R444">
        <f t="shared" si="976"/>
        <v>-2282974.3927711342</v>
      </c>
      <c r="S444">
        <f t="shared" si="977"/>
        <v>-22.829743927711341</v>
      </c>
      <c r="T444">
        <f t="shared" si="978"/>
        <v>-2.2829743927711341E-2</v>
      </c>
    </row>
    <row r="445" spans="1:20" x14ac:dyDescent="0.25">
      <c r="A445" s="5">
        <v>44148</v>
      </c>
      <c r="B445">
        <v>7.726</v>
      </c>
      <c r="C445">
        <v>8.2650000000000006</v>
      </c>
      <c r="D445">
        <v>7.6959999999999997</v>
      </c>
      <c r="E445">
        <v>8.2119999999999997</v>
      </c>
      <c r="F445">
        <v>39676.705000000002</v>
      </c>
      <c r="G445">
        <v>0</v>
      </c>
      <c r="L445" t="s">
        <v>8</v>
      </c>
      <c r="M445" t="s">
        <v>7</v>
      </c>
      <c r="N445" t="s">
        <v>8</v>
      </c>
      <c r="P445">
        <f t="shared" si="974"/>
        <v>0.8137082601054455</v>
      </c>
      <c r="Q445">
        <f t="shared" si="975"/>
        <v>32285.26259226703</v>
      </c>
      <c r="R445">
        <f t="shared" si="976"/>
        <v>-2309987.7542769774</v>
      </c>
      <c r="S445">
        <f t="shared" si="977"/>
        <v>-23.099877542769775</v>
      </c>
      <c r="T445">
        <f t="shared" si="978"/>
        <v>-2.3099877542769775E-2</v>
      </c>
    </row>
    <row r="446" spans="1:20" x14ac:dyDescent="0.25">
      <c r="A446" s="5">
        <v>44147</v>
      </c>
      <c r="B446">
        <v>8.5570000000000004</v>
      </c>
      <c r="C446">
        <v>8.5670000000000002</v>
      </c>
      <c r="D446">
        <v>7.5</v>
      </c>
      <c r="E446">
        <v>7.7039999999999997</v>
      </c>
      <c r="F446">
        <v>110666.712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-0.61761949390815429</v>
      </c>
      <c r="Q446">
        <f t="shared" si="975"/>
        <v>-68349.918657919465</v>
      </c>
      <c r="R446">
        <f t="shared" si="976"/>
        <v>-2342273.0168692446</v>
      </c>
      <c r="S446">
        <f t="shared" si="977"/>
        <v>-23.422730168692446</v>
      </c>
      <c r="T446">
        <f t="shared" si="978"/>
        <v>-2.3422730168692445E-2</v>
      </c>
    </row>
    <row r="447" spans="1:20" x14ac:dyDescent="0.25">
      <c r="A447" s="5">
        <v>44146</v>
      </c>
      <c r="B447">
        <v>7.601</v>
      </c>
      <c r="C447">
        <v>9.1679999999999993</v>
      </c>
      <c r="D447">
        <v>7.5449999999999999</v>
      </c>
      <c r="E447">
        <v>8.5589999999999993</v>
      </c>
      <c r="F447">
        <v>277473.81400000001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0.24953789279112726</v>
      </c>
      <c r="Q447">
        <f t="shared" si="975"/>
        <v>69240.230850277192</v>
      </c>
      <c r="R447">
        <f t="shared" si="976"/>
        <v>-2273923.0982113252</v>
      </c>
      <c r="S447">
        <f t="shared" si="977"/>
        <v>-22.739230982113252</v>
      </c>
      <c r="T447">
        <f t="shared" si="978"/>
        <v>-2.2739230982113251E-2</v>
      </c>
    </row>
    <row r="448" spans="1:20" x14ac:dyDescent="0.25">
      <c r="A448" s="5">
        <v>44145</v>
      </c>
      <c r="B448">
        <v>6.94</v>
      </c>
      <c r="C448">
        <v>7.7629999999999999</v>
      </c>
      <c r="D448">
        <v>6.8650000000000002</v>
      </c>
      <c r="E448">
        <v>7.6340000000000003</v>
      </c>
      <c r="F448">
        <v>52597.576000000001</v>
      </c>
      <c r="G448">
        <v>0</v>
      </c>
      <c r="L448" t="s">
        <v>8</v>
      </c>
      <c r="M448" t="s">
        <v>7</v>
      </c>
      <c r="N448" t="s">
        <v>7</v>
      </c>
      <c r="P448">
        <f t="shared" si="974"/>
        <v>0.71269487750556881</v>
      </c>
      <c r="Q448">
        <f t="shared" si="975"/>
        <v>37486.02298440985</v>
      </c>
      <c r="R448">
        <f t="shared" si="976"/>
        <v>-2343163.3290616022</v>
      </c>
      <c r="S448">
        <f t="shared" si="977"/>
        <v>-23.431633290616023</v>
      </c>
      <c r="T448">
        <f t="shared" si="978"/>
        <v>-2.3431633290616025E-2</v>
      </c>
    </row>
    <row r="449" spans="1:20" x14ac:dyDescent="0.25">
      <c r="A449" s="5">
        <v>44144</v>
      </c>
      <c r="B449">
        <v>7.2030000000000003</v>
      </c>
      <c r="C449">
        <v>7.3010000000000002</v>
      </c>
      <c r="D449">
        <v>6.7679999999999998</v>
      </c>
      <c r="E449">
        <v>6.8949999999999996</v>
      </c>
      <c r="F449">
        <v>20605.864000000001</v>
      </c>
      <c r="G449">
        <v>0</v>
      </c>
      <c r="L449" t="s">
        <v>7</v>
      </c>
      <c r="M449" t="s">
        <v>7</v>
      </c>
      <c r="N449" t="s">
        <v>7</v>
      </c>
      <c r="P449">
        <f t="shared" si="974"/>
        <v>-0.52345215759850017</v>
      </c>
      <c r="Q449">
        <f t="shared" si="975"/>
        <v>-10786.183969981263</v>
      </c>
      <c r="R449">
        <f t="shared" si="976"/>
        <v>-2380649.3520460119</v>
      </c>
      <c r="S449">
        <f t="shared" si="977"/>
        <v>-23.806493520460119</v>
      </c>
      <c r="T449">
        <f t="shared" si="978"/>
        <v>-2.3806493520460117E-2</v>
      </c>
    </row>
    <row r="450" spans="1:20" x14ac:dyDescent="0.25">
      <c r="A450" s="5">
        <v>44143</v>
      </c>
      <c r="B450">
        <v>6.8940000000000001</v>
      </c>
      <c r="C450">
        <v>7.7</v>
      </c>
      <c r="D450">
        <v>6.8520000000000003</v>
      </c>
      <c r="E450">
        <v>7.2039999999999997</v>
      </c>
      <c r="F450">
        <v>47145.26</v>
      </c>
      <c r="G450">
        <v>0</v>
      </c>
      <c r="L450" t="s">
        <v>7</v>
      </c>
      <c r="M450" t="s">
        <v>7</v>
      </c>
      <c r="N450" t="s">
        <v>7</v>
      </c>
      <c r="P450">
        <f t="shared" si="974"/>
        <v>-0.16981132075471822</v>
      </c>
      <c r="Q450">
        <f t="shared" si="975"/>
        <v>-8005.7988679245873</v>
      </c>
      <c r="R450">
        <f t="shared" si="976"/>
        <v>-2369863.1680760309</v>
      </c>
      <c r="S450">
        <f t="shared" si="977"/>
        <v>-23.698631680760307</v>
      </c>
      <c r="T450">
        <f t="shared" si="978"/>
        <v>-2.3698631680760307E-2</v>
      </c>
    </row>
    <row r="451" spans="1:20" x14ac:dyDescent="0.25">
      <c r="A451" s="5">
        <v>44142</v>
      </c>
      <c r="B451">
        <v>7.4569999999999999</v>
      </c>
      <c r="C451">
        <v>7.843</v>
      </c>
      <c r="D451">
        <v>6.73</v>
      </c>
      <c r="E451">
        <v>6.8609999999999998</v>
      </c>
      <c r="F451">
        <v>102368.139</v>
      </c>
      <c r="G451">
        <v>0</v>
      </c>
      <c r="L451" t="s">
        <v>8</v>
      </c>
      <c r="M451" t="s">
        <v>7</v>
      </c>
      <c r="N451" t="s">
        <v>7</v>
      </c>
      <c r="P451">
        <f t="shared" si="974"/>
        <v>-0.76460017969452043</v>
      </c>
      <c r="Q451">
        <f t="shared" si="975"/>
        <v>-78270.697474393644</v>
      </c>
      <c r="R451">
        <f t="shared" si="976"/>
        <v>-2361857.3692081063</v>
      </c>
      <c r="S451">
        <f t="shared" si="977"/>
        <v>-23.618573692081064</v>
      </c>
      <c r="T451">
        <f t="shared" si="978"/>
        <v>-2.3618573692081063E-2</v>
      </c>
    </row>
    <row r="452" spans="1:20" x14ac:dyDescent="0.25">
      <c r="A452" s="5">
        <v>44141</v>
      </c>
      <c r="B452">
        <v>6.7670000000000003</v>
      </c>
      <c r="C452">
        <v>7.4850000000000003</v>
      </c>
      <c r="D452">
        <v>6.7210000000000001</v>
      </c>
      <c r="E452">
        <v>7.4169999999999998</v>
      </c>
      <c r="F452">
        <v>89576.275999999998</v>
      </c>
      <c r="G452">
        <v>0</v>
      </c>
      <c r="L452" t="s">
        <v>7</v>
      </c>
      <c r="M452" t="s">
        <v>7</v>
      </c>
      <c r="N452" t="s">
        <v>7</v>
      </c>
      <c r="P452">
        <f t="shared" si="974"/>
        <v>0.82198952879581022</v>
      </c>
      <c r="Q452">
        <f t="shared" si="975"/>
        <v>73630.760900523441</v>
      </c>
      <c r="R452">
        <f t="shared" si="976"/>
        <v>-2283586.6717337128</v>
      </c>
      <c r="S452">
        <f t="shared" si="977"/>
        <v>-22.835866717337129</v>
      </c>
      <c r="T452">
        <f t="shared" si="978"/>
        <v>-2.283586671733713E-2</v>
      </c>
    </row>
    <row r="453" spans="1:20" x14ac:dyDescent="0.25">
      <c r="A453" s="5">
        <v>44140</v>
      </c>
      <c r="B453">
        <v>6.6189999999999998</v>
      </c>
      <c r="C453">
        <v>8.3000000000000007</v>
      </c>
      <c r="D453">
        <v>6.4409999999999998</v>
      </c>
      <c r="E453">
        <v>6.806</v>
      </c>
      <c r="F453">
        <v>47663.413</v>
      </c>
      <c r="G453">
        <v>0</v>
      </c>
      <c r="L453" t="s">
        <v>8</v>
      </c>
      <c r="M453" t="s">
        <v>8</v>
      </c>
      <c r="N453" t="s">
        <v>7</v>
      </c>
      <c r="P453">
        <f t="shared" si="974"/>
        <v>-0.60731576116191499</v>
      </c>
      <c r="Q453">
        <f t="shared" si="975"/>
        <v>-28946.741945669713</v>
      </c>
      <c r="R453">
        <f t="shared" si="976"/>
        <v>-2357217.4326342363</v>
      </c>
      <c r="S453">
        <f t="shared" si="977"/>
        <v>-23.572174326342363</v>
      </c>
      <c r="T453">
        <f t="shared" si="978"/>
        <v>-2.3572174326342364E-2</v>
      </c>
    </row>
    <row r="454" spans="1:20" x14ac:dyDescent="0.25">
      <c r="A454" s="5">
        <v>44139</v>
      </c>
      <c r="B454">
        <v>6.6260000000000003</v>
      </c>
      <c r="C454">
        <v>6.9889999999999999</v>
      </c>
      <c r="D454">
        <v>6.3109999999999999</v>
      </c>
      <c r="E454">
        <v>6.6340000000000003</v>
      </c>
      <c r="F454">
        <v>32928.498</v>
      </c>
      <c r="G454">
        <v>0</v>
      </c>
      <c r="L454" t="s">
        <v>8</v>
      </c>
      <c r="M454" t="s">
        <v>7</v>
      </c>
      <c r="N454" t="s">
        <v>7</v>
      </c>
      <c r="P454">
        <f t="shared" ref="P454:P517" si="979">IF(C454=D454,0,((E454-D454)-(C454-E454))/(C454-D454))</f>
        <v>-4.7197640117992837E-2</v>
      </c>
      <c r="Q454">
        <f t="shared" ref="Q454:Q517" si="980">F454*P454</f>
        <v>-1554.147398230047</v>
      </c>
      <c r="R454">
        <f t="shared" ref="R454:R517" si="981">R455+Q454</f>
        <v>-2328270.6906885668</v>
      </c>
      <c r="S454">
        <f t="shared" ref="S454:S517" si="982">R454/100000</f>
        <v>-23.282706906885668</v>
      </c>
      <c r="T454">
        <f t="shared" ref="T454:T517" si="983">S454/1000</f>
        <v>-2.3282706906885667E-2</v>
      </c>
    </row>
    <row r="455" spans="1:20" x14ac:dyDescent="0.25">
      <c r="A455" s="5">
        <v>44138</v>
      </c>
      <c r="B455">
        <v>6.88</v>
      </c>
      <c r="C455">
        <v>6.8890000000000002</v>
      </c>
      <c r="D455">
        <v>6.367</v>
      </c>
      <c r="E455">
        <v>6.6260000000000003</v>
      </c>
      <c r="F455">
        <v>24077.734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-7.6628352490412978E-3</v>
      </c>
      <c r="Q455">
        <f t="shared" si="980"/>
        <v>-184.50370881224012</v>
      </c>
      <c r="R455">
        <f t="shared" si="981"/>
        <v>-2326716.5432903366</v>
      </c>
      <c r="S455">
        <f t="shared" si="982"/>
        <v>-23.267165432903365</v>
      </c>
      <c r="T455">
        <f t="shared" si="983"/>
        <v>-2.3267165432903365E-2</v>
      </c>
    </row>
    <row r="456" spans="1:20" x14ac:dyDescent="0.25">
      <c r="A456" s="5">
        <v>44137</v>
      </c>
      <c r="B456">
        <v>6.89</v>
      </c>
      <c r="C456">
        <v>7.2</v>
      </c>
      <c r="D456">
        <v>6.6529999999999996</v>
      </c>
      <c r="E456">
        <v>6.87</v>
      </c>
      <c r="F456">
        <v>39864.650999999998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-0.20658135283363696</v>
      </c>
      <c r="Q456">
        <f t="shared" si="980"/>
        <v>-8235.293533820799</v>
      </c>
      <c r="R456">
        <f t="shared" si="981"/>
        <v>-2326532.0395815242</v>
      </c>
      <c r="S456">
        <f t="shared" si="982"/>
        <v>-23.265320395815241</v>
      </c>
      <c r="T456">
        <f t="shared" si="983"/>
        <v>-2.3265320395815241E-2</v>
      </c>
    </row>
    <row r="457" spans="1:20" x14ac:dyDescent="0.25">
      <c r="A457" s="5">
        <v>44136</v>
      </c>
      <c r="B457">
        <v>6.726</v>
      </c>
      <c r="C457">
        <v>6.89</v>
      </c>
      <c r="D457">
        <v>6.6150000000000002</v>
      </c>
      <c r="E457">
        <v>6.8890000000000002</v>
      </c>
      <c r="F457">
        <v>26424.187999999998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0.99272727272727679</v>
      </c>
      <c r="Q457">
        <f t="shared" si="980"/>
        <v>26232.012087272833</v>
      </c>
      <c r="R457">
        <f t="shared" si="981"/>
        <v>-2318296.7460477035</v>
      </c>
      <c r="S457">
        <f t="shared" si="982"/>
        <v>-23.182967460477034</v>
      </c>
      <c r="T457">
        <f t="shared" si="983"/>
        <v>-2.3182967460477034E-2</v>
      </c>
    </row>
    <row r="458" spans="1:20" x14ac:dyDescent="0.25">
      <c r="A458" s="5">
        <v>44135</v>
      </c>
      <c r="B458">
        <v>6.851</v>
      </c>
      <c r="C458">
        <v>7.0339999999999998</v>
      </c>
      <c r="D458">
        <v>6.68</v>
      </c>
      <c r="E458">
        <v>6.7380000000000004</v>
      </c>
      <c r="F458">
        <v>63575.218999999997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-0.67231638418078699</v>
      </c>
      <c r="Q458">
        <f t="shared" si="980"/>
        <v>-42742.661361581668</v>
      </c>
      <c r="R458">
        <f t="shared" si="981"/>
        <v>-2344528.7581349765</v>
      </c>
      <c r="S458">
        <f t="shared" si="982"/>
        <v>-23.445287581349763</v>
      </c>
      <c r="T458">
        <f t="shared" si="983"/>
        <v>-2.3445287581349762E-2</v>
      </c>
    </row>
    <row r="459" spans="1:20" x14ac:dyDescent="0.25">
      <c r="A459" s="5">
        <v>44134</v>
      </c>
      <c r="B459">
        <v>7.2919999999999998</v>
      </c>
      <c r="C459">
        <v>7.3609999999999998</v>
      </c>
      <c r="D459">
        <v>6.8129999999999997</v>
      </c>
      <c r="E459">
        <v>6.8440000000000003</v>
      </c>
      <c r="F459">
        <v>39362.275000000001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-0.886861313868611</v>
      </c>
      <c r="Q459">
        <f t="shared" si="980"/>
        <v>-34908.878923357581</v>
      </c>
      <c r="R459">
        <f t="shared" si="981"/>
        <v>-2301786.0967733948</v>
      </c>
      <c r="S459">
        <f t="shared" si="982"/>
        <v>-23.017860967733949</v>
      </c>
      <c r="T459">
        <f t="shared" si="983"/>
        <v>-2.301786096773395E-2</v>
      </c>
    </row>
    <row r="460" spans="1:20" x14ac:dyDescent="0.25">
      <c r="A460" s="5">
        <v>44133</v>
      </c>
      <c r="B460">
        <v>7.1609999999999996</v>
      </c>
      <c r="C460">
        <v>8.1579999999999995</v>
      </c>
      <c r="D460">
        <v>7.02</v>
      </c>
      <c r="E460">
        <v>7.2809999999999997</v>
      </c>
      <c r="F460">
        <v>83572.331000000006</v>
      </c>
      <c r="G460">
        <v>0</v>
      </c>
      <c r="L460" t="s">
        <v>8</v>
      </c>
      <c r="M460" t="s">
        <v>8</v>
      </c>
      <c r="N460" t="s">
        <v>7</v>
      </c>
      <c r="P460">
        <f t="shared" si="979"/>
        <v>-0.54130052724077304</v>
      </c>
      <c r="Q460">
        <f t="shared" si="980"/>
        <v>-45237.746833040408</v>
      </c>
      <c r="R460">
        <f t="shared" si="981"/>
        <v>-2266877.2178500374</v>
      </c>
      <c r="S460">
        <f t="shared" si="982"/>
        <v>-22.668772178500372</v>
      </c>
      <c r="T460">
        <f t="shared" si="983"/>
        <v>-2.2668772178500371E-2</v>
      </c>
    </row>
    <row r="461" spans="1:20" x14ac:dyDescent="0.25">
      <c r="A461" s="5">
        <v>44132</v>
      </c>
      <c r="B461">
        <v>7.2519999999999998</v>
      </c>
      <c r="C461">
        <v>7.9770000000000003</v>
      </c>
      <c r="D461">
        <v>6.9610000000000003</v>
      </c>
      <c r="E461">
        <v>7.1559999999999997</v>
      </c>
      <c r="F461">
        <v>254818.70800000001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-0.6161417322834658</v>
      </c>
      <c r="Q461">
        <f t="shared" si="980"/>
        <v>-157004.44016535467</v>
      </c>
      <c r="R461">
        <f t="shared" si="981"/>
        <v>-2221639.471016997</v>
      </c>
      <c r="S461">
        <f t="shared" si="982"/>
        <v>-22.216394710169968</v>
      </c>
      <c r="T461">
        <f t="shared" si="983"/>
        <v>-2.2216394710169968E-2</v>
      </c>
    </row>
    <row r="462" spans="1:20" x14ac:dyDescent="0.25">
      <c r="A462" s="5">
        <v>44131</v>
      </c>
      <c r="B462">
        <v>7.6849999999999996</v>
      </c>
      <c r="C462">
        <v>7.6920000000000002</v>
      </c>
      <c r="D462">
        <v>7.1379999999999999</v>
      </c>
      <c r="E462">
        <v>7.1769999999999996</v>
      </c>
      <c r="F462">
        <v>142708.17600000001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-0.85920577617328631</v>
      </c>
      <c r="Q462">
        <f t="shared" si="980"/>
        <v>-122615.68912635396</v>
      </c>
      <c r="R462">
        <f t="shared" si="981"/>
        <v>-2064635.0308516421</v>
      </c>
      <c r="S462">
        <f t="shared" si="982"/>
        <v>-20.646350308516421</v>
      </c>
      <c r="T462">
        <f t="shared" si="983"/>
        <v>-2.0646350308516422E-2</v>
      </c>
    </row>
    <row r="463" spans="1:20" x14ac:dyDescent="0.25">
      <c r="A463" s="5">
        <v>44130</v>
      </c>
      <c r="B463">
        <v>7.8209999999999997</v>
      </c>
      <c r="C463">
        <v>7.9690000000000003</v>
      </c>
      <c r="D463">
        <v>7.2779999999999996</v>
      </c>
      <c r="E463">
        <v>7.6849999999999996</v>
      </c>
      <c r="F463">
        <v>49978.218000000001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0.17800289435600464</v>
      </c>
      <c r="Q463">
        <f t="shared" si="980"/>
        <v>8896.2674587553702</v>
      </c>
      <c r="R463">
        <f t="shared" si="981"/>
        <v>-1942019.3417252882</v>
      </c>
      <c r="S463">
        <f t="shared" si="982"/>
        <v>-19.420193417252882</v>
      </c>
      <c r="T463">
        <f t="shared" si="983"/>
        <v>-1.9420193417252884E-2</v>
      </c>
    </row>
    <row r="464" spans="1:20" x14ac:dyDescent="0.25">
      <c r="A464" s="5">
        <v>44129</v>
      </c>
      <c r="B464">
        <v>8.25</v>
      </c>
      <c r="C464">
        <v>8.4700000000000006</v>
      </c>
      <c r="D464">
        <v>7.7290000000000001</v>
      </c>
      <c r="E464">
        <v>7.82</v>
      </c>
      <c r="F464">
        <v>79960.286999999997</v>
      </c>
      <c r="G464">
        <v>0</v>
      </c>
      <c r="L464" t="s">
        <v>8</v>
      </c>
      <c r="M464" t="s">
        <v>7</v>
      </c>
      <c r="N464" t="s">
        <v>8</v>
      </c>
      <c r="P464">
        <f t="shared" si="979"/>
        <v>-0.75438596491228038</v>
      </c>
      <c r="Q464">
        <f t="shared" si="980"/>
        <v>-60320.918263157866</v>
      </c>
      <c r="R464">
        <f t="shared" si="981"/>
        <v>-1950915.6091840435</v>
      </c>
      <c r="S464">
        <f t="shared" si="982"/>
        <v>-19.509156091840435</v>
      </c>
      <c r="T464">
        <f t="shared" si="983"/>
        <v>-1.9509156091840434E-2</v>
      </c>
    </row>
    <row r="465" spans="1:20" x14ac:dyDescent="0.25">
      <c r="A465" s="5">
        <v>44128</v>
      </c>
      <c r="B465">
        <v>8.0370000000000008</v>
      </c>
      <c r="C465">
        <v>8.3000000000000007</v>
      </c>
      <c r="D465">
        <v>7.9260000000000002</v>
      </c>
      <c r="E465">
        <v>8.25</v>
      </c>
      <c r="F465">
        <v>54656.917000000001</v>
      </c>
      <c r="G465">
        <v>0</v>
      </c>
      <c r="L465" t="s">
        <v>7</v>
      </c>
      <c r="M465" t="s">
        <v>7</v>
      </c>
      <c r="N465" t="s">
        <v>8</v>
      </c>
      <c r="P465">
        <f t="shared" si="979"/>
        <v>0.73262032085561157</v>
      </c>
      <c r="Q465">
        <f t="shared" si="980"/>
        <v>40042.768069518534</v>
      </c>
      <c r="R465">
        <f t="shared" si="981"/>
        <v>-1890594.6909208857</v>
      </c>
      <c r="S465">
        <f t="shared" si="982"/>
        <v>-18.905946909208858</v>
      </c>
      <c r="T465">
        <f t="shared" si="983"/>
        <v>-1.8905946909208857E-2</v>
      </c>
    </row>
    <row r="466" spans="1:20" x14ac:dyDescent="0.25">
      <c r="A466" s="5">
        <v>44127</v>
      </c>
      <c r="B466">
        <v>8.2110000000000003</v>
      </c>
      <c r="C466">
        <v>8.2430000000000003</v>
      </c>
      <c r="D466">
        <v>7.8289999999999997</v>
      </c>
      <c r="E466">
        <v>8.0299999999999994</v>
      </c>
      <c r="F466">
        <v>71788.402000000002</v>
      </c>
      <c r="G466">
        <v>0</v>
      </c>
      <c r="L466" t="s">
        <v>7</v>
      </c>
      <c r="M466" t="s">
        <v>7</v>
      </c>
      <c r="N466" t="s">
        <v>8</v>
      </c>
      <c r="P466">
        <f t="shared" si="979"/>
        <v>-2.8985507246380014E-2</v>
      </c>
      <c r="Q466">
        <f t="shared" si="980"/>
        <v>-2080.8232463770414</v>
      </c>
      <c r="R466">
        <f t="shared" si="981"/>
        <v>-1930637.4589904041</v>
      </c>
      <c r="S466">
        <f t="shared" si="982"/>
        <v>-19.306374589904042</v>
      </c>
      <c r="T466">
        <f t="shared" si="983"/>
        <v>-1.9306374589904043E-2</v>
      </c>
    </row>
    <row r="467" spans="1:20" x14ac:dyDescent="0.25">
      <c r="A467" s="5">
        <v>44126</v>
      </c>
      <c r="B467">
        <v>8.1489999999999991</v>
      </c>
      <c r="C467">
        <v>8.49</v>
      </c>
      <c r="D467">
        <v>7.96</v>
      </c>
      <c r="E467">
        <v>8.1769999999999996</v>
      </c>
      <c r="F467">
        <v>100169.711</v>
      </c>
      <c r="G467">
        <v>0</v>
      </c>
      <c r="L467" t="s">
        <v>7</v>
      </c>
      <c r="M467" t="s">
        <v>7</v>
      </c>
      <c r="N467" t="s">
        <v>8</v>
      </c>
      <c r="P467">
        <f t="shared" si="979"/>
        <v>-0.18113207547169988</v>
      </c>
      <c r="Q467">
        <f t="shared" si="980"/>
        <v>-18143.947652830364</v>
      </c>
      <c r="R467">
        <f t="shared" si="981"/>
        <v>-1928556.6357440271</v>
      </c>
      <c r="S467">
        <f t="shared" si="982"/>
        <v>-19.28556635744027</v>
      </c>
      <c r="T467">
        <f t="shared" si="983"/>
        <v>-1.9285566357440269E-2</v>
      </c>
    </row>
    <row r="468" spans="1:20" x14ac:dyDescent="0.25">
      <c r="A468" s="5">
        <v>44125</v>
      </c>
      <c r="B468">
        <v>8.0760000000000005</v>
      </c>
      <c r="C468">
        <v>8.5809999999999995</v>
      </c>
      <c r="D468">
        <v>7.96</v>
      </c>
      <c r="E468">
        <v>8.14</v>
      </c>
      <c r="F468">
        <v>122765.27800000001</v>
      </c>
      <c r="G468">
        <v>0</v>
      </c>
      <c r="L468" t="s">
        <v>8</v>
      </c>
      <c r="M468" t="s">
        <v>7</v>
      </c>
      <c r="N468" t="s">
        <v>8</v>
      </c>
      <c r="P468">
        <f t="shared" si="979"/>
        <v>-0.42028985507246142</v>
      </c>
      <c r="Q468">
        <f t="shared" si="980"/>
        <v>-51597.000898550439</v>
      </c>
      <c r="R468">
        <f t="shared" si="981"/>
        <v>-1910412.6880911968</v>
      </c>
      <c r="S468">
        <f t="shared" si="982"/>
        <v>-19.104126880911966</v>
      </c>
      <c r="T468">
        <f t="shared" si="983"/>
        <v>-1.9104126880911967E-2</v>
      </c>
    </row>
    <row r="469" spans="1:20" x14ac:dyDescent="0.25">
      <c r="A469" s="5">
        <v>44124</v>
      </c>
      <c r="B469">
        <v>8.5589999999999993</v>
      </c>
      <c r="C469">
        <v>10.4</v>
      </c>
      <c r="D469">
        <v>7.9630000000000001</v>
      </c>
      <c r="E469">
        <v>8.0779999999999994</v>
      </c>
      <c r="F469">
        <v>166839.29300000001</v>
      </c>
      <c r="G469">
        <v>0</v>
      </c>
      <c r="L469" t="s">
        <v>7</v>
      </c>
      <c r="M469" t="s">
        <v>7</v>
      </c>
      <c r="N469" t="s">
        <v>8</v>
      </c>
      <c r="P469">
        <f t="shared" si="979"/>
        <v>-0.90562166598276628</v>
      </c>
      <c r="Q469">
        <f t="shared" si="980"/>
        <v>-151093.27847804688</v>
      </c>
      <c r="R469">
        <f t="shared" si="981"/>
        <v>-1858815.6871926463</v>
      </c>
      <c r="S469">
        <f t="shared" si="982"/>
        <v>-18.588156871926465</v>
      </c>
      <c r="T469">
        <f t="shared" si="983"/>
        <v>-1.8588156871926467E-2</v>
      </c>
    </row>
    <row r="470" spans="1:20" x14ac:dyDescent="0.25">
      <c r="A470" s="5">
        <v>44123</v>
      </c>
      <c r="B470">
        <v>9.1839999999999993</v>
      </c>
      <c r="C470">
        <v>9.4429999999999996</v>
      </c>
      <c r="D470">
        <v>8.4369999999999994</v>
      </c>
      <c r="E470">
        <v>8.5589999999999993</v>
      </c>
      <c r="F470">
        <v>282635.80499999999</v>
      </c>
      <c r="G470">
        <v>0</v>
      </c>
      <c r="L470" t="s">
        <v>7</v>
      </c>
      <c r="M470" t="s">
        <v>7</v>
      </c>
      <c r="N470" t="s">
        <v>8</v>
      </c>
      <c r="P470">
        <f t="shared" si="979"/>
        <v>-0.75745526838966226</v>
      </c>
      <c r="Q470">
        <f t="shared" si="980"/>
        <v>-214083.97953280323</v>
      </c>
      <c r="R470">
        <f t="shared" si="981"/>
        <v>-1707722.4087145994</v>
      </c>
      <c r="S470">
        <f t="shared" si="982"/>
        <v>-17.077224087145993</v>
      </c>
      <c r="T470">
        <f t="shared" si="983"/>
        <v>-1.7077224087145994E-2</v>
      </c>
    </row>
    <row r="471" spans="1:20" x14ac:dyDescent="0.25">
      <c r="A471" s="5">
        <v>44122</v>
      </c>
      <c r="B471">
        <v>7.4580000000000002</v>
      </c>
      <c r="C471">
        <v>10.483000000000001</v>
      </c>
      <c r="D471">
        <v>7.3010000000000002</v>
      </c>
      <c r="E471">
        <v>9.1839999999999993</v>
      </c>
      <c r="F471">
        <v>675808.93400000001</v>
      </c>
      <c r="G471">
        <v>0</v>
      </c>
      <c r="L471" t="s">
        <v>8</v>
      </c>
      <c r="M471" t="s">
        <v>8</v>
      </c>
      <c r="N471" t="s">
        <v>8</v>
      </c>
      <c r="P471">
        <f t="shared" si="979"/>
        <v>0.1835323695788805</v>
      </c>
      <c r="Q471">
        <f t="shared" si="980"/>
        <v>124032.81503959726</v>
      </c>
      <c r="R471">
        <f t="shared" si="981"/>
        <v>-1493638.4291817963</v>
      </c>
      <c r="S471">
        <f t="shared" si="982"/>
        <v>-14.936384291817962</v>
      </c>
      <c r="T471">
        <f t="shared" si="983"/>
        <v>-1.4936384291817963E-2</v>
      </c>
    </row>
    <row r="472" spans="1:20" x14ac:dyDescent="0.25">
      <c r="A472" s="5">
        <v>44121</v>
      </c>
      <c r="B472">
        <v>7.6070000000000002</v>
      </c>
      <c r="C472">
        <v>7.8070000000000004</v>
      </c>
      <c r="D472">
        <v>7.327</v>
      </c>
      <c r="E472">
        <v>7.4580000000000002</v>
      </c>
      <c r="F472">
        <v>67549.48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-0.45416666666666622</v>
      </c>
      <c r="Q472">
        <f t="shared" si="980"/>
        <v>-30678.722166666634</v>
      </c>
      <c r="R472">
        <f t="shared" si="981"/>
        <v>-1617671.2442213935</v>
      </c>
      <c r="S472">
        <f t="shared" si="982"/>
        <v>-16.176712442213933</v>
      </c>
      <c r="T472">
        <f t="shared" si="983"/>
        <v>-1.6176712442213935E-2</v>
      </c>
    </row>
    <row r="473" spans="1:20" x14ac:dyDescent="0.25">
      <c r="A473" s="5">
        <v>44120</v>
      </c>
      <c r="B473">
        <v>8.17</v>
      </c>
      <c r="C473">
        <v>8.1739999999999995</v>
      </c>
      <c r="D473">
        <v>7.5670000000000002</v>
      </c>
      <c r="E473">
        <v>7.609</v>
      </c>
      <c r="F473">
        <v>55873.606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-0.86161449752883079</v>
      </c>
      <c r="Q473">
        <f t="shared" si="980"/>
        <v>-48141.508958813865</v>
      </c>
      <c r="R473">
        <f t="shared" si="981"/>
        <v>-1586992.522054727</v>
      </c>
      <c r="S473">
        <f t="shared" si="982"/>
        <v>-15.86992522054727</v>
      </c>
      <c r="T473">
        <f t="shared" si="983"/>
        <v>-1.5869925220547268E-2</v>
      </c>
    </row>
    <row r="474" spans="1:20" x14ac:dyDescent="0.25">
      <c r="A474" s="5">
        <v>44119</v>
      </c>
      <c r="B474">
        <v>8.3710000000000004</v>
      </c>
      <c r="C474">
        <v>8.3970000000000002</v>
      </c>
      <c r="D474">
        <v>7.7869999999999999</v>
      </c>
      <c r="E474">
        <v>8.1430000000000007</v>
      </c>
      <c r="F474">
        <v>75327.597999999998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0.16721311475410025</v>
      </c>
      <c r="Q474">
        <f t="shared" si="980"/>
        <v>12595.762288524733</v>
      </c>
      <c r="R474">
        <f t="shared" si="981"/>
        <v>-1538851.013095913</v>
      </c>
      <c r="S474">
        <f t="shared" si="982"/>
        <v>-15.38851013095913</v>
      </c>
      <c r="T474">
        <f t="shared" si="983"/>
        <v>-1.538851013095913E-2</v>
      </c>
    </row>
    <row r="475" spans="1:20" x14ac:dyDescent="0.25">
      <c r="A475" s="5">
        <v>44118</v>
      </c>
      <c r="B475">
        <v>9.1999999999999993</v>
      </c>
      <c r="C475">
        <v>9.2129999999999992</v>
      </c>
      <c r="D475">
        <v>8.1180000000000003</v>
      </c>
      <c r="E475">
        <v>8.3699999999999992</v>
      </c>
      <c r="F475">
        <v>89887.638000000006</v>
      </c>
      <c r="G475">
        <v>0</v>
      </c>
      <c r="L475" t="s">
        <v>7</v>
      </c>
      <c r="M475" t="s">
        <v>7</v>
      </c>
      <c r="N475" t="s">
        <v>7</v>
      </c>
      <c r="P475">
        <f t="shared" si="979"/>
        <v>-0.53972602739726183</v>
      </c>
      <c r="Q475">
        <f t="shared" si="980"/>
        <v>-48514.69776986316</v>
      </c>
      <c r="R475">
        <f t="shared" si="981"/>
        <v>-1551446.7753844378</v>
      </c>
      <c r="S475">
        <f t="shared" si="982"/>
        <v>-15.514467753844377</v>
      </c>
      <c r="T475">
        <f t="shared" si="983"/>
        <v>-1.5514467753844376E-2</v>
      </c>
    </row>
    <row r="476" spans="1:20" x14ac:dyDescent="0.25">
      <c r="A476" s="5">
        <v>44117</v>
      </c>
      <c r="B476">
        <v>9.4489999999999998</v>
      </c>
      <c r="C476">
        <v>9.6509999999999998</v>
      </c>
      <c r="D476">
        <v>8.67</v>
      </c>
      <c r="E476">
        <v>9.1910000000000007</v>
      </c>
      <c r="F476">
        <v>98607.072</v>
      </c>
      <c r="G476">
        <v>0</v>
      </c>
      <c r="L476" t="s">
        <v>7</v>
      </c>
      <c r="M476" t="s">
        <v>8</v>
      </c>
      <c r="N476" t="s">
        <v>7</v>
      </c>
      <c r="P476">
        <f t="shared" si="979"/>
        <v>6.2181447502550183E-2</v>
      </c>
      <c r="Q476">
        <f t="shared" si="980"/>
        <v>6131.5304709481861</v>
      </c>
      <c r="R476">
        <f t="shared" si="981"/>
        <v>-1502932.0776145747</v>
      </c>
      <c r="S476">
        <f t="shared" si="982"/>
        <v>-15.029320776145747</v>
      </c>
      <c r="T476">
        <f t="shared" si="983"/>
        <v>-1.5029320776145747E-2</v>
      </c>
    </row>
    <row r="477" spans="1:20" x14ac:dyDescent="0.25">
      <c r="A477" s="5">
        <v>44116</v>
      </c>
      <c r="B477">
        <v>8.7810000000000006</v>
      </c>
      <c r="C477">
        <v>9.98</v>
      </c>
      <c r="D477">
        <v>8.6790000000000003</v>
      </c>
      <c r="E477">
        <v>9.4600000000000009</v>
      </c>
      <c r="F477">
        <v>160926.465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0.20061491160645734</v>
      </c>
      <c r="Q477">
        <f t="shared" si="980"/>
        <v>32284.248551114648</v>
      </c>
      <c r="R477">
        <f t="shared" si="981"/>
        <v>-1509063.6080855229</v>
      </c>
      <c r="S477">
        <f t="shared" si="982"/>
        <v>-15.090636080855228</v>
      </c>
      <c r="T477">
        <f t="shared" si="983"/>
        <v>-1.5090636080855228E-2</v>
      </c>
    </row>
    <row r="478" spans="1:20" x14ac:dyDescent="0.25">
      <c r="A478" s="5">
        <v>44115</v>
      </c>
      <c r="B478">
        <v>8.907</v>
      </c>
      <c r="C478">
        <v>9.6</v>
      </c>
      <c r="D478">
        <v>8.452</v>
      </c>
      <c r="E478">
        <v>8.7690000000000001</v>
      </c>
      <c r="F478">
        <v>275864.80900000001</v>
      </c>
      <c r="G478">
        <v>0</v>
      </c>
      <c r="L478" t="s">
        <v>7</v>
      </c>
      <c r="M478" t="s">
        <v>7</v>
      </c>
      <c r="N478" t="s">
        <v>7</v>
      </c>
      <c r="P478">
        <f t="shared" si="979"/>
        <v>-0.4477351916376302</v>
      </c>
      <c r="Q478">
        <f t="shared" si="980"/>
        <v>-123514.38312369326</v>
      </c>
      <c r="R478">
        <f t="shared" si="981"/>
        <v>-1541347.8566366376</v>
      </c>
      <c r="S478">
        <f t="shared" si="982"/>
        <v>-15.413478566366376</v>
      </c>
      <c r="T478">
        <f t="shared" si="983"/>
        <v>-1.5413478566366375E-2</v>
      </c>
    </row>
    <row r="479" spans="1:20" x14ac:dyDescent="0.25">
      <c r="A479" s="5">
        <v>44114</v>
      </c>
      <c r="B479">
        <v>9.9749999999999996</v>
      </c>
      <c r="C479">
        <v>10.85</v>
      </c>
      <c r="D479">
        <v>8.9</v>
      </c>
      <c r="E479">
        <v>8.907</v>
      </c>
      <c r="F479">
        <v>549068.80200000003</v>
      </c>
      <c r="G479">
        <v>0</v>
      </c>
      <c r="L479" t="s">
        <v>7</v>
      </c>
      <c r="M479" t="s">
        <v>7</v>
      </c>
      <c r="N479" t="s">
        <v>7</v>
      </c>
      <c r="P479">
        <f t="shared" si="979"/>
        <v>-0.9928205128205132</v>
      </c>
      <c r="Q479">
        <f t="shared" si="980"/>
        <v>-545126.76957538479</v>
      </c>
      <c r="R479">
        <f t="shared" si="981"/>
        <v>-1417833.4735129443</v>
      </c>
      <c r="S479">
        <f t="shared" si="982"/>
        <v>-14.178334735129443</v>
      </c>
      <c r="T479">
        <f t="shared" si="983"/>
        <v>-1.4178334735129442E-2</v>
      </c>
    </row>
    <row r="480" spans="1:20" x14ac:dyDescent="0.25">
      <c r="A480" s="5">
        <v>44113</v>
      </c>
      <c r="B480">
        <v>6.5679999999999996</v>
      </c>
      <c r="C480">
        <v>13.195</v>
      </c>
      <c r="D480">
        <v>6.5629999999999997</v>
      </c>
      <c r="E480">
        <v>10.013</v>
      </c>
      <c r="F480">
        <v>1883165.808</v>
      </c>
      <c r="G480">
        <v>0</v>
      </c>
      <c r="L480" t="s">
        <v>8</v>
      </c>
      <c r="M480" t="s">
        <v>8</v>
      </c>
      <c r="N480" t="s">
        <v>8</v>
      </c>
      <c r="P480">
        <f t="shared" si="979"/>
        <v>4.0410132689987902E-2</v>
      </c>
      <c r="Q480">
        <f t="shared" si="980"/>
        <v>76098.980178528276</v>
      </c>
      <c r="R480">
        <f t="shared" si="981"/>
        <v>-872706.70393755939</v>
      </c>
      <c r="S480">
        <f t="shared" si="982"/>
        <v>-8.7270670393755942</v>
      </c>
      <c r="T480">
        <f t="shared" si="983"/>
        <v>-8.7270670393755946E-3</v>
      </c>
    </row>
    <row r="481" spans="1:20" x14ac:dyDescent="0.25">
      <c r="A481" s="5">
        <v>44112</v>
      </c>
      <c r="B481">
        <v>5.9909999999999997</v>
      </c>
      <c r="C481">
        <v>6.5679999999999996</v>
      </c>
      <c r="D481">
        <v>5.8559999999999999</v>
      </c>
      <c r="E481">
        <v>6.5570000000000004</v>
      </c>
      <c r="F481">
        <v>116675.393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0.96910112359550771</v>
      </c>
      <c r="Q481">
        <f t="shared" si="980"/>
        <v>113070.25445224743</v>
      </c>
      <c r="R481">
        <f t="shared" si="981"/>
        <v>-948805.68411608762</v>
      </c>
      <c r="S481">
        <f t="shared" si="982"/>
        <v>-9.4880568411608763</v>
      </c>
      <c r="T481">
        <f t="shared" si="983"/>
        <v>-9.488056841160877E-3</v>
      </c>
    </row>
    <row r="482" spans="1:20" x14ac:dyDescent="0.25">
      <c r="A482" s="5">
        <v>44111</v>
      </c>
      <c r="B482">
        <v>6.53</v>
      </c>
      <c r="C482">
        <v>6.5579999999999998</v>
      </c>
      <c r="D482">
        <v>5.8550000000000004</v>
      </c>
      <c r="E482">
        <v>5.9930000000000003</v>
      </c>
      <c r="F482">
        <v>59655.616999999998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-0.60739687055476521</v>
      </c>
      <c r="Q482">
        <f t="shared" si="980"/>
        <v>-36234.635076813647</v>
      </c>
      <c r="R482">
        <f t="shared" si="981"/>
        <v>-1061875.938568335</v>
      </c>
      <c r="S482">
        <f t="shared" si="982"/>
        <v>-10.618759385683351</v>
      </c>
      <c r="T482">
        <f t="shared" si="983"/>
        <v>-1.061875938568335E-2</v>
      </c>
    </row>
    <row r="483" spans="1:20" x14ac:dyDescent="0.25">
      <c r="A483" s="5">
        <v>44110</v>
      </c>
      <c r="B483">
        <v>7.1520000000000001</v>
      </c>
      <c r="C483">
        <v>7.3</v>
      </c>
      <c r="D483">
        <v>6.5149999999999997</v>
      </c>
      <c r="E483">
        <v>6.5449999999999999</v>
      </c>
      <c r="F483">
        <v>110123.71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-0.92356687898089107</v>
      </c>
      <c r="Q483">
        <f t="shared" si="980"/>
        <v>-101706.61114649675</v>
      </c>
      <c r="R483">
        <f t="shared" si="981"/>
        <v>-1025641.3034915214</v>
      </c>
      <c r="S483">
        <f t="shared" si="982"/>
        <v>-10.256413034915214</v>
      </c>
      <c r="T483">
        <f t="shared" si="983"/>
        <v>-1.0256413034915214E-2</v>
      </c>
    </row>
    <row r="484" spans="1:20" x14ac:dyDescent="0.25">
      <c r="A484" s="5">
        <v>44109</v>
      </c>
      <c r="B484">
        <v>7.0449999999999999</v>
      </c>
      <c r="C484">
        <v>7.3529999999999998</v>
      </c>
      <c r="D484">
        <v>6.7</v>
      </c>
      <c r="E484">
        <v>7.1159999999999997</v>
      </c>
      <c r="F484">
        <v>54461.646000000001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0.27411944869831467</v>
      </c>
      <c r="Q484">
        <f t="shared" si="980"/>
        <v>14928.996376722775</v>
      </c>
      <c r="R484">
        <f t="shared" si="981"/>
        <v>-923934.69234502467</v>
      </c>
      <c r="S484">
        <f t="shared" si="982"/>
        <v>-9.2393469234502472</v>
      </c>
      <c r="T484">
        <f t="shared" si="983"/>
        <v>-9.2393469234502475E-3</v>
      </c>
    </row>
    <row r="485" spans="1:20" x14ac:dyDescent="0.25">
      <c r="A485" s="5">
        <v>44108</v>
      </c>
      <c r="B485">
        <v>7.98</v>
      </c>
      <c r="C485">
        <v>8.0500000000000007</v>
      </c>
      <c r="D485">
        <v>6.7949999999999999</v>
      </c>
      <c r="E485">
        <v>7.0430000000000001</v>
      </c>
      <c r="F485">
        <v>127938.09699999999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-0.60478087649402379</v>
      </c>
      <c r="Q485">
        <f t="shared" si="980"/>
        <v>-77374.514440637431</v>
      </c>
      <c r="R485">
        <f t="shared" si="981"/>
        <v>-938863.68872174749</v>
      </c>
      <c r="S485">
        <f t="shared" si="982"/>
        <v>-9.3886368872174746</v>
      </c>
      <c r="T485">
        <f t="shared" si="983"/>
        <v>-9.3886368872174754E-3</v>
      </c>
    </row>
    <row r="486" spans="1:20" x14ac:dyDescent="0.25">
      <c r="A486" s="5">
        <v>44107</v>
      </c>
      <c r="B486">
        <v>7.8090000000000002</v>
      </c>
      <c r="C486">
        <v>8.0329999999999995</v>
      </c>
      <c r="D486">
        <v>7.6529999999999996</v>
      </c>
      <c r="E486">
        <v>7.96</v>
      </c>
      <c r="F486">
        <v>42106.319000000003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0.615789473684213</v>
      </c>
      <c r="Q486">
        <f t="shared" si="980"/>
        <v>25928.628015789578</v>
      </c>
      <c r="R486">
        <f t="shared" si="981"/>
        <v>-861489.17428111006</v>
      </c>
      <c r="S486">
        <f t="shared" si="982"/>
        <v>-8.6148917428110998</v>
      </c>
      <c r="T486">
        <f t="shared" si="983"/>
        <v>-8.6148917428111003E-3</v>
      </c>
    </row>
    <row r="487" spans="1:20" x14ac:dyDescent="0.25">
      <c r="A487" s="5">
        <v>44106</v>
      </c>
      <c r="B487">
        <v>8.42</v>
      </c>
      <c r="C487">
        <v>8.5649999999999995</v>
      </c>
      <c r="D487">
        <v>7.2140000000000004</v>
      </c>
      <c r="E487">
        <v>7.8109999999999999</v>
      </c>
      <c r="F487">
        <v>120699.07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-0.11621021465581061</v>
      </c>
      <c r="Q487">
        <f t="shared" si="980"/>
        <v>-14026.464833456712</v>
      </c>
      <c r="R487">
        <f t="shared" si="981"/>
        <v>-887417.80229689961</v>
      </c>
      <c r="S487">
        <f t="shared" si="982"/>
        <v>-8.8741780229689962</v>
      </c>
      <c r="T487">
        <f t="shared" si="983"/>
        <v>-8.8741780229689964E-3</v>
      </c>
    </row>
    <row r="488" spans="1:20" x14ac:dyDescent="0.25">
      <c r="A488" s="5">
        <v>44105</v>
      </c>
      <c r="B488">
        <v>8.8780000000000001</v>
      </c>
      <c r="C488">
        <v>9.1750000000000007</v>
      </c>
      <c r="D488">
        <v>8.3339999999999996</v>
      </c>
      <c r="E488">
        <v>8.4160000000000004</v>
      </c>
      <c r="F488">
        <v>61998.826999999997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-0.80499405469678798</v>
      </c>
      <c r="Q488">
        <f t="shared" si="980"/>
        <v>-49908.687133174695</v>
      </c>
      <c r="R488">
        <f t="shared" si="981"/>
        <v>-873391.33746344293</v>
      </c>
      <c r="S488">
        <f t="shared" si="982"/>
        <v>-8.7339133746344295</v>
      </c>
      <c r="T488">
        <f t="shared" si="983"/>
        <v>-8.7339133746344288E-3</v>
      </c>
    </row>
    <row r="489" spans="1:20" x14ac:dyDescent="0.25">
      <c r="A489" s="5">
        <v>44104</v>
      </c>
      <c r="B489">
        <v>9.4990000000000006</v>
      </c>
      <c r="C489">
        <v>9.5</v>
      </c>
      <c r="D489">
        <v>8.5</v>
      </c>
      <c r="E489">
        <v>8.8780000000000001</v>
      </c>
      <c r="F489">
        <v>189984.93100000001</v>
      </c>
      <c r="G489">
        <v>0</v>
      </c>
      <c r="L489" t="s">
        <v>7</v>
      </c>
      <c r="M489" t="s">
        <v>7</v>
      </c>
      <c r="N489" t="s">
        <v>7</v>
      </c>
      <c r="P489">
        <f t="shared" si="979"/>
        <v>-0.24399999999999977</v>
      </c>
      <c r="Q489">
        <f t="shared" si="980"/>
        <v>-46356.323163999958</v>
      </c>
      <c r="R489">
        <f t="shared" si="981"/>
        <v>-823482.6503302682</v>
      </c>
      <c r="S489">
        <f t="shared" si="982"/>
        <v>-8.2348265033026813</v>
      </c>
      <c r="T489">
        <f t="shared" si="983"/>
        <v>-8.2348265033026814E-3</v>
      </c>
    </row>
    <row r="490" spans="1:20" x14ac:dyDescent="0.25">
      <c r="A490" s="5">
        <v>44103</v>
      </c>
      <c r="B490">
        <v>9.968</v>
      </c>
      <c r="C490">
        <v>10</v>
      </c>
      <c r="D490">
        <v>9.1010000000000009</v>
      </c>
      <c r="E490">
        <v>9.5</v>
      </c>
      <c r="F490">
        <v>152820.04300000001</v>
      </c>
      <c r="G490">
        <v>0</v>
      </c>
      <c r="L490" t="s">
        <v>7</v>
      </c>
      <c r="M490" t="s">
        <v>8</v>
      </c>
      <c r="N490" t="s">
        <v>7</v>
      </c>
      <c r="P490">
        <f t="shared" si="979"/>
        <v>-0.11234705228031253</v>
      </c>
      <c r="Q490">
        <f t="shared" si="980"/>
        <v>-17168.88136040061</v>
      </c>
      <c r="R490">
        <f t="shared" si="981"/>
        <v>-777126.32716626825</v>
      </c>
      <c r="S490">
        <f t="shared" si="982"/>
        <v>-7.7712632716626828</v>
      </c>
      <c r="T490">
        <f t="shared" si="983"/>
        <v>-7.7712632716626824E-3</v>
      </c>
    </row>
    <row r="491" spans="1:20" x14ac:dyDescent="0.25">
      <c r="A491" s="5">
        <v>44102</v>
      </c>
      <c r="B491">
        <v>9.9459999999999997</v>
      </c>
      <c r="C491">
        <v>10.538</v>
      </c>
      <c r="D491">
        <v>9.9049999999999994</v>
      </c>
      <c r="E491">
        <v>10.003</v>
      </c>
      <c r="F491">
        <v>24223.715</v>
      </c>
      <c r="G491">
        <v>0</v>
      </c>
      <c r="L491" t="s">
        <v>7</v>
      </c>
      <c r="M491" t="s">
        <v>8</v>
      </c>
      <c r="N491" t="s">
        <v>7</v>
      </c>
      <c r="P491">
        <f t="shared" si="979"/>
        <v>-0.69036334913111974</v>
      </c>
      <c r="Q491">
        <f t="shared" si="980"/>
        <v>-16723.165015797742</v>
      </c>
      <c r="R491">
        <f t="shared" si="981"/>
        <v>-759957.44580586767</v>
      </c>
      <c r="S491">
        <f t="shared" si="982"/>
        <v>-7.5995744580586768</v>
      </c>
      <c r="T491">
        <f t="shared" si="983"/>
        <v>-7.5995744580586765E-3</v>
      </c>
    </row>
    <row r="492" spans="1:20" x14ac:dyDescent="0.25">
      <c r="A492" s="5">
        <v>44101</v>
      </c>
      <c r="B492">
        <v>10.404</v>
      </c>
      <c r="C492">
        <v>10.91</v>
      </c>
      <c r="D492">
        <v>9.7149999999999999</v>
      </c>
      <c r="E492">
        <v>9.9390000000000001</v>
      </c>
      <c r="F492">
        <v>55399.686999999998</v>
      </c>
      <c r="G492">
        <v>0</v>
      </c>
      <c r="L492" t="s">
        <v>8</v>
      </c>
      <c r="M492" t="s">
        <v>8</v>
      </c>
      <c r="N492" t="s">
        <v>7</v>
      </c>
      <c r="P492">
        <f t="shared" si="979"/>
        <v>-0.62510460251045996</v>
      </c>
      <c r="Q492">
        <f t="shared" si="980"/>
        <v>-34630.599321338894</v>
      </c>
      <c r="R492">
        <f t="shared" si="981"/>
        <v>-743234.28079006996</v>
      </c>
      <c r="S492">
        <f t="shared" si="982"/>
        <v>-7.4323428079006995</v>
      </c>
      <c r="T492">
        <f t="shared" si="983"/>
        <v>-7.4323428079006992E-3</v>
      </c>
    </row>
    <row r="493" spans="1:20" x14ac:dyDescent="0.25">
      <c r="A493" s="5">
        <v>44100</v>
      </c>
      <c r="B493">
        <v>10.378</v>
      </c>
      <c r="C493">
        <v>10.488</v>
      </c>
      <c r="D493">
        <v>10.044</v>
      </c>
      <c r="E493">
        <v>10.42</v>
      </c>
      <c r="F493">
        <v>35113.03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0.69369369369369482</v>
      </c>
      <c r="Q493">
        <f t="shared" si="980"/>
        <v>24357.687477477517</v>
      </c>
      <c r="R493">
        <f t="shared" si="981"/>
        <v>-708603.68146873103</v>
      </c>
      <c r="S493">
        <f t="shared" si="982"/>
        <v>-7.0860368146873105</v>
      </c>
      <c r="T493">
        <f t="shared" si="983"/>
        <v>-7.0860368146873102E-3</v>
      </c>
    </row>
    <row r="494" spans="1:20" x14ac:dyDescent="0.25">
      <c r="A494" s="5">
        <v>44099</v>
      </c>
      <c r="B494">
        <v>10.285</v>
      </c>
      <c r="C494">
        <v>10.673</v>
      </c>
      <c r="D494">
        <v>10.051</v>
      </c>
      <c r="E494">
        <v>10.385</v>
      </c>
      <c r="F494">
        <v>44251.961000000003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7.3954983922828593E-2</v>
      </c>
      <c r="Q494">
        <f t="shared" si="980"/>
        <v>3272.653064308638</v>
      </c>
      <c r="R494">
        <f t="shared" si="981"/>
        <v>-732961.3689462085</v>
      </c>
      <c r="S494">
        <f t="shared" si="982"/>
        <v>-7.3296136894620849</v>
      </c>
      <c r="T494">
        <f t="shared" si="983"/>
        <v>-7.3296136894620851E-3</v>
      </c>
    </row>
    <row r="495" spans="1:20" x14ac:dyDescent="0.25">
      <c r="A495" s="5">
        <v>44098</v>
      </c>
      <c r="B495">
        <v>8.8879999999999999</v>
      </c>
      <c r="C495">
        <v>10.396000000000001</v>
      </c>
      <c r="D495">
        <v>8.7870000000000008</v>
      </c>
      <c r="E495">
        <v>10.269</v>
      </c>
      <c r="F495">
        <v>51378.258000000002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0.84213797389682954</v>
      </c>
      <c r="Q495">
        <f t="shared" si="980"/>
        <v>43267.582094468577</v>
      </c>
      <c r="R495">
        <f t="shared" si="981"/>
        <v>-736234.02201051719</v>
      </c>
      <c r="S495">
        <f t="shared" si="982"/>
        <v>-7.362340220105172</v>
      </c>
      <c r="T495">
        <f t="shared" si="983"/>
        <v>-7.3623402201051721E-3</v>
      </c>
    </row>
    <row r="496" spans="1:20" x14ac:dyDescent="0.25">
      <c r="A496" s="5">
        <v>44097</v>
      </c>
      <c r="B496">
        <v>10.808</v>
      </c>
      <c r="C496">
        <v>10.808</v>
      </c>
      <c r="D496">
        <v>8.859</v>
      </c>
      <c r="E496">
        <v>8.8879999999999999</v>
      </c>
      <c r="F496">
        <v>78865.415999999997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-0.97024114930733718</v>
      </c>
      <c r="Q496">
        <f t="shared" si="980"/>
        <v>-76518.471860441263</v>
      </c>
      <c r="R496">
        <f t="shared" si="981"/>
        <v>-779501.60410498572</v>
      </c>
      <c r="S496">
        <f t="shared" si="982"/>
        <v>-7.7950160410498572</v>
      </c>
      <c r="T496">
        <f t="shared" si="983"/>
        <v>-7.7950160410498572E-3</v>
      </c>
    </row>
    <row r="497" spans="1:20" x14ac:dyDescent="0.25">
      <c r="A497" s="5">
        <v>44096</v>
      </c>
      <c r="B497">
        <v>11.201000000000001</v>
      </c>
      <c r="C497">
        <v>11.803000000000001</v>
      </c>
      <c r="D497">
        <v>10.42</v>
      </c>
      <c r="E497">
        <v>10.811999999999999</v>
      </c>
      <c r="F497">
        <v>63326.428999999996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-0.43311641359363817</v>
      </c>
      <c r="Q497">
        <f t="shared" si="980"/>
        <v>-27427.715814172159</v>
      </c>
      <c r="R497">
        <f t="shared" si="981"/>
        <v>-702983.13224454445</v>
      </c>
      <c r="S497">
        <f t="shared" si="982"/>
        <v>-7.0298313224454443</v>
      </c>
      <c r="T497">
        <f t="shared" si="983"/>
        <v>-7.0298313224454439E-3</v>
      </c>
    </row>
    <row r="498" spans="1:20" x14ac:dyDescent="0.25">
      <c r="A498" s="5">
        <v>44095</v>
      </c>
      <c r="B498">
        <v>13.154</v>
      </c>
      <c r="C498">
        <v>13.222</v>
      </c>
      <c r="D498">
        <v>10</v>
      </c>
      <c r="E498">
        <v>11.253</v>
      </c>
      <c r="F498">
        <v>239255.24799999999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-0.22222222222222204</v>
      </c>
      <c r="Q498">
        <f t="shared" si="980"/>
        <v>-53167.832888888843</v>
      </c>
      <c r="R498">
        <f t="shared" si="981"/>
        <v>-675555.41643037228</v>
      </c>
      <c r="S498">
        <f t="shared" si="982"/>
        <v>-6.7555541643037227</v>
      </c>
      <c r="T498">
        <f t="shared" si="983"/>
        <v>-6.755554164303723E-3</v>
      </c>
    </row>
    <row r="499" spans="1:20" x14ac:dyDescent="0.25">
      <c r="A499" s="5">
        <v>44094</v>
      </c>
      <c r="B499">
        <v>12.496</v>
      </c>
      <c r="C499">
        <v>16.3</v>
      </c>
      <c r="D499">
        <v>12.167999999999999</v>
      </c>
      <c r="E499">
        <v>13.135999999999999</v>
      </c>
      <c r="F499">
        <v>500129.81099999999</v>
      </c>
      <c r="G499">
        <v>0</v>
      </c>
      <c r="L499" t="s">
        <v>8</v>
      </c>
      <c r="M499" t="s">
        <v>8</v>
      </c>
      <c r="N499" t="s">
        <v>8</v>
      </c>
      <c r="P499">
        <f t="shared" si="979"/>
        <v>-0.53146176185866423</v>
      </c>
      <c r="Q499">
        <f t="shared" si="980"/>
        <v>-265799.87051210075</v>
      </c>
      <c r="R499">
        <f t="shared" si="981"/>
        <v>-622387.58354148339</v>
      </c>
      <c r="S499">
        <f t="shared" si="982"/>
        <v>-6.2238758354148338</v>
      </c>
      <c r="T499">
        <f t="shared" si="983"/>
        <v>-6.2238758354148339E-3</v>
      </c>
    </row>
    <row r="500" spans="1:20" x14ac:dyDescent="0.25">
      <c r="A500" s="5">
        <v>44093</v>
      </c>
      <c r="B500">
        <v>11.743</v>
      </c>
      <c r="C500">
        <v>14</v>
      </c>
      <c r="D500">
        <v>11.35</v>
      </c>
      <c r="E500">
        <v>12.496</v>
      </c>
      <c r="F500">
        <v>124828.211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-0.13509433962264103</v>
      </c>
      <c r="Q500">
        <f t="shared" si="980"/>
        <v>-16863.584731320694</v>
      </c>
      <c r="R500">
        <f t="shared" si="981"/>
        <v>-356587.71302938269</v>
      </c>
      <c r="S500">
        <f t="shared" si="982"/>
        <v>-3.5658771302938268</v>
      </c>
      <c r="T500">
        <f t="shared" si="983"/>
        <v>-3.5658771302938268E-3</v>
      </c>
    </row>
    <row r="501" spans="1:20" x14ac:dyDescent="0.25">
      <c r="A501" s="5">
        <v>44092</v>
      </c>
      <c r="B501">
        <v>12.964</v>
      </c>
      <c r="C501">
        <v>13.231999999999999</v>
      </c>
      <c r="D501">
        <v>11.683</v>
      </c>
      <c r="E501">
        <v>11.763999999999999</v>
      </c>
      <c r="F501">
        <v>144511.18100000001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-0.89541639767592052</v>
      </c>
      <c r="Q501">
        <f t="shared" si="980"/>
        <v>-129397.68111491294</v>
      </c>
      <c r="R501">
        <f t="shared" si="981"/>
        <v>-339724.12829806202</v>
      </c>
      <c r="S501">
        <f t="shared" si="982"/>
        <v>-3.39724128298062</v>
      </c>
      <c r="T501">
        <f t="shared" si="983"/>
        <v>-3.3972412829806199E-3</v>
      </c>
    </row>
    <row r="502" spans="1:20" x14ac:dyDescent="0.25">
      <c r="A502" s="5">
        <v>44091</v>
      </c>
      <c r="B502">
        <v>14.212</v>
      </c>
      <c r="C502">
        <v>14.978999999999999</v>
      </c>
      <c r="D502">
        <v>12.938000000000001</v>
      </c>
      <c r="E502">
        <v>12.99</v>
      </c>
      <c r="F502">
        <v>70415.790999999997</v>
      </c>
      <c r="G502">
        <v>0</v>
      </c>
      <c r="L502" t="s">
        <v>7</v>
      </c>
      <c r="M502" t="s">
        <v>7</v>
      </c>
      <c r="N502" t="s">
        <v>7</v>
      </c>
      <c r="P502">
        <f t="shared" si="979"/>
        <v>-0.94904458598726149</v>
      </c>
      <c r="Q502">
        <f t="shared" si="980"/>
        <v>-66827.725216560531</v>
      </c>
      <c r="R502">
        <f t="shared" si="981"/>
        <v>-210326.44718314908</v>
      </c>
      <c r="S502">
        <f t="shared" si="982"/>
        <v>-2.103264471831491</v>
      </c>
      <c r="T502">
        <f t="shared" si="983"/>
        <v>-2.1032644718314911E-3</v>
      </c>
    </row>
    <row r="503" spans="1:20" x14ac:dyDescent="0.25">
      <c r="A503" s="5">
        <v>44090</v>
      </c>
      <c r="B503">
        <v>16.007000000000001</v>
      </c>
      <c r="C503">
        <v>16.856000000000002</v>
      </c>
      <c r="D503">
        <v>14.066000000000001</v>
      </c>
      <c r="E503">
        <v>14.179</v>
      </c>
      <c r="F503">
        <v>54311.42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-0.91899641577060964</v>
      </c>
      <c r="Q503">
        <f t="shared" si="980"/>
        <v>-49912.000315412202</v>
      </c>
      <c r="R503">
        <f t="shared" si="981"/>
        <v>-143498.72196658855</v>
      </c>
      <c r="S503">
        <f t="shared" si="982"/>
        <v>-1.4349872196658855</v>
      </c>
      <c r="T503">
        <f t="shared" si="983"/>
        <v>-1.4349872196658855E-3</v>
      </c>
    </row>
    <row r="504" spans="1:20" x14ac:dyDescent="0.25">
      <c r="A504" s="5">
        <v>44089</v>
      </c>
      <c r="B504">
        <v>17.260999999999999</v>
      </c>
      <c r="C504">
        <v>17.952000000000002</v>
      </c>
      <c r="D504">
        <v>15.385999999999999</v>
      </c>
      <c r="E504">
        <v>16.007000000000001</v>
      </c>
      <c r="F504">
        <v>153199.76800000001</v>
      </c>
      <c r="G504">
        <v>0</v>
      </c>
      <c r="L504" t="s">
        <v>7</v>
      </c>
      <c r="M504" t="s">
        <v>7</v>
      </c>
      <c r="N504" t="s">
        <v>8</v>
      </c>
      <c r="P504">
        <f t="shared" si="979"/>
        <v>-0.51597817614964803</v>
      </c>
      <c r="Q504">
        <f t="shared" si="980"/>
        <v>-79047.736879189222</v>
      </c>
      <c r="R504">
        <f t="shared" si="981"/>
        <v>-93586.72165117634</v>
      </c>
      <c r="S504">
        <f t="shared" si="982"/>
        <v>-0.93586721651176341</v>
      </c>
      <c r="T504">
        <f t="shared" si="983"/>
        <v>-9.3586721651176344E-4</v>
      </c>
    </row>
    <row r="505" spans="1:20" x14ac:dyDescent="0.25">
      <c r="A505" s="5">
        <v>44088</v>
      </c>
      <c r="B505">
        <v>17.149000000000001</v>
      </c>
      <c r="C505">
        <v>17.928000000000001</v>
      </c>
      <c r="D505">
        <v>16.297999999999998</v>
      </c>
      <c r="E505">
        <v>17.260999999999999</v>
      </c>
      <c r="F505">
        <v>46701.065999999999</v>
      </c>
      <c r="G505">
        <v>0</v>
      </c>
      <c r="L505" t="s">
        <v>8</v>
      </c>
      <c r="M505" t="s">
        <v>7</v>
      </c>
      <c r="N505" t="s">
        <v>8</v>
      </c>
      <c r="P505">
        <f t="shared" si="979"/>
        <v>0.18159509202453922</v>
      </c>
      <c r="Q505">
        <f t="shared" si="980"/>
        <v>8480.68437791408</v>
      </c>
      <c r="R505">
        <f t="shared" si="981"/>
        <v>-14538.984771987125</v>
      </c>
      <c r="S505">
        <f t="shared" si="982"/>
        <v>-0.14538984771987126</v>
      </c>
      <c r="T505">
        <f t="shared" si="983"/>
        <v>-1.4538984771987127E-4</v>
      </c>
    </row>
    <row r="506" spans="1:20" x14ac:dyDescent="0.25">
      <c r="A506" s="5">
        <v>44087</v>
      </c>
      <c r="B506">
        <v>18.684999999999999</v>
      </c>
      <c r="C506">
        <v>19.146999999999998</v>
      </c>
      <c r="D506">
        <v>15.795999999999999</v>
      </c>
      <c r="E506">
        <v>17.186</v>
      </c>
      <c r="F506">
        <v>125207.265</v>
      </c>
      <c r="G506">
        <v>0</v>
      </c>
      <c r="L506" t="s">
        <v>7</v>
      </c>
      <c r="M506" t="s">
        <v>7</v>
      </c>
      <c r="N506" t="s">
        <v>8</v>
      </c>
      <c r="P506">
        <f t="shared" si="979"/>
        <v>-0.17039689644882069</v>
      </c>
      <c r="Q506">
        <f t="shared" si="980"/>
        <v>-21334.929368845053</v>
      </c>
      <c r="R506">
        <f t="shared" si="981"/>
        <v>-23019.669149901205</v>
      </c>
      <c r="S506">
        <f t="shared" si="982"/>
        <v>-0.23019669149901206</v>
      </c>
      <c r="T506">
        <f t="shared" si="983"/>
        <v>-2.3019669149901205E-4</v>
      </c>
    </row>
    <row r="507" spans="1:20" x14ac:dyDescent="0.25">
      <c r="A507" s="5">
        <v>44086</v>
      </c>
      <c r="B507">
        <v>17.593</v>
      </c>
      <c r="C507">
        <v>20.315000000000001</v>
      </c>
      <c r="D507">
        <v>17.07</v>
      </c>
      <c r="E507">
        <v>18.577999999999999</v>
      </c>
      <c r="F507">
        <v>133357.61600000001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-7.0570107858244274E-2</v>
      </c>
      <c r="Q507">
        <f t="shared" si="980"/>
        <v>-9411.0613448383228</v>
      </c>
      <c r="R507">
        <f t="shared" si="981"/>
        <v>-1684.7397810561524</v>
      </c>
      <c r="S507">
        <f t="shared" si="982"/>
        <v>-1.6847397810561524E-2</v>
      </c>
      <c r="T507">
        <f t="shared" si="983"/>
        <v>-1.6847397810561524E-5</v>
      </c>
    </row>
    <row r="508" spans="1:20" x14ac:dyDescent="0.25">
      <c r="A508" s="5">
        <v>44085</v>
      </c>
      <c r="B508">
        <v>16.928999999999998</v>
      </c>
      <c r="C508">
        <v>18</v>
      </c>
      <c r="D508">
        <v>15.43</v>
      </c>
      <c r="E508">
        <v>17.722999999999999</v>
      </c>
      <c r="F508">
        <v>146906.71599999999</v>
      </c>
      <c r="G508">
        <v>0</v>
      </c>
      <c r="L508" t="s">
        <v>8</v>
      </c>
      <c r="M508" t="s">
        <v>8</v>
      </c>
      <c r="N508" t="s">
        <v>8</v>
      </c>
      <c r="P508">
        <f t="shared" si="979"/>
        <v>0.78443579766536886</v>
      </c>
      <c r="Q508">
        <f t="shared" si="980"/>
        <v>115238.88694785979</v>
      </c>
      <c r="R508">
        <f t="shared" si="981"/>
        <v>7726.3215637821704</v>
      </c>
      <c r="S508">
        <f t="shared" si="982"/>
        <v>7.7263215637821708E-2</v>
      </c>
      <c r="T508">
        <f t="shared" si="983"/>
        <v>7.7263215637821708E-5</v>
      </c>
    </row>
    <row r="509" spans="1:20" x14ac:dyDescent="0.25">
      <c r="A509" s="5">
        <v>44084</v>
      </c>
      <c r="B509">
        <v>16.184000000000001</v>
      </c>
      <c r="C509">
        <v>17.503</v>
      </c>
      <c r="D509">
        <v>15.932</v>
      </c>
      <c r="E509">
        <v>16.895</v>
      </c>
      <c r="F509">
        <v>322321.5</v>
      </c>
      <c r="G509">
        <v>0</v>
      </c>
      <c r="L509" t="s">
        <v>8</v>
      </c>
      <c r="M509" t="s">
        <v>8</v>
      </c>
      <c r="N509" t="s">
        <v>8</v>
      </c>
      <c r="P509">
        <f t="shared" si="979"/>
        <v>0.22597071928707749</v>
      </c>
      <c r="Q509">
        <f t="shared" si="980"/>
        <v>72835.221196689745</v>
      </c>
      <c r="R509">
        <f t="shared" si="981"/>
        <v>-107512.56538407762</v>
      </c>
      <c r="S509">
        <f t="shared" si="982"/>
        <v>-1.0751256538407763</v>
      </c>
      <c r="T509">
        <f t="shared" si="983"/>
        <v>-1.0751256538407764E-3</v>
      </c>
    </row>
    <row r="510" spans="1:20" x14ac:dyDescent="0.25">
      <c r="A510" s="5">
        <v>44083</v>
      </c>
      <c r="B510">
        <v>15.83</v>
      </c>
      <c r="C510">
        <v>19.329999999999998</v>
      </c>
      <c r="D510">
        <v>15.108000000000001</v>
      </c>
      <c r="E510">
        <v>16.131</v>
      </c>
      <c r="F510">
        <v>349921.11900000001</v>
      </c>
      <c r="G510">
        <v>0</v>
      </c>
      <c r="P510">
        <f t="shared" si="979"/>
        <v>-0.51539554713405955</v>
      </c>
      <c r="Q510">
        <f t="shared" si="980"/>
        <v>-180347.78658076737</v>
      </c>
      <c r="R510">
        <f t="shared" si="981"/>
        <v>-180347.78658076737</v>
      </c>
      <c r="S510">
        <f t="shared" si="982"/>
        <v>-1.8034778658076736</v>
      </c>
      <c r="T510">
        <f t="shared" si="983"/>
        <v>-1.8034778658076735E-3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JD499" sqref="JD499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$A$498</v>
      </c>
      <c r="D111" s="1" t="str">
        <f>ADDRESS(C121-1,D121,1,1)</f>
        <v>$JD$498</v>
      </c>
      <c r="E111"/>
    </row>
    <row r="112" spans="1:5" x14ac:dyDescent="0.25">
      <c r="A112" s="7">
        <v>12164.144957890772</v>
      </c>
      <c r="C112" s="1" t="str">
        <f>ADDRESS(C121,1,1,1)</f>
        <v>$A$499</v>
      </c>
      <c r="D112" s="1" t="str">
        <f>ADDRESS(C121,D121-1,1,1)</f>
        <v>$JC$499</v>
      </c>
      <c r="E112"/>
    </row>
    <row r="113" spans="1:5" x14ac:dyDescent="0.25">
      <c r="A113" s="7">
        <v>11925.63231165762</v>
      </c>
      <c r="C113" s="1" t="str">
        <f>ADDRESS(C121+1,1,1,1)</f>
        <v>$A$500</v>
      </c>
      <c r="D113" s="1" t="str">
        <f>ADDRESS(C121-1,D121+1,1,1)</f>
        <v>$JE$498</v>
      </c>
    </row>
    <row r="114" spans="1:5" x14ac:dyDescent="0.25">
      <c r="A114" s="7">
        <v>11691.796383978059</v>
      </c>
      <c r="C114" s="1" t="str">
        <f>ADDRESS(C121,D121,1,1)</f>
        <v>$JD$499</v>
      </c>
      <c r="D114" s="1" t="str">
        <f>ADDRESS(C121+1,D121+1,1,1)</f>
        <v>$JE$500</v>
      </c>
    </row>
    <row r="115" spans="1:5" x14ac:dyDescent="0.25">
      <c r="A115" s="7">
        <v>11462.545474488292</v>
      </c>
      <c r="C115" s="1" t="str">
        <f>ADDRESS(C121+1,D121,1,1)</f>
        <v>$JD$500</v>
      </c>
    </row>
    <row r="116" spans="1:5" x14ac:dyDescent="0.25">
      <c r="A116" s="7">
        <v>11237.789680870874</v>
      </c>
      <c r="C116" s="1">
        <f>C117-1</f>
        <v>498</v>
      </c>
    </row>
    <row r="117" spans="1:5" x14ac:dyDescent="0.25">
      <c r="A117" s="7">
        <v>11017.440863598895</v>
      </c>
      <c r="C117" s="1">
        <f>C121</f>
        <v>499</v>
      </c>
      <c r="D117" s="1">
        <f>D121</f>
        <v>264</v>
      </c>
    </row>
    <row r="118" spans="1:5" x14ac:dyDescent="0.25">
      <c r="A118" s="7">
        <v>10801.412611371465</v>
      </c>
      <c r="C118" s="1">
        <f>C117+1</f>
        <v>500</v>
      </c>
      <c r="D118" s="1">
        <f>D117+1</f>
        <v>265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499</v>
      </c>
      <c r="D121" s="19">
        <v>264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R499</v>
      </c>
      <c r="D123" s="1" t="str">
        <f>"C"&amp;D121</f>
        <v>C264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5.7123540237461112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86" x14ac:dyDescent="0.25">
      <c r="A385" s="7">
        <v>54.605287232808607</v>
      </c>
      <c r="B385"/>
      <c r="C385"/>
      <c r="D385"/>
      <c r="E385"/>
    </row>
    <row r="386" spans="1:86" x14ac:dyDescent="0.25">
      <c r="A386" s="7">
        <v>53.534595326282947</v>
      </c>
      <c r="B386"/>
      <c r="C386"/>
      <c r="D386"/>
      <c r="E386"/>
    </row>
    <row r="387" spans="1:86" x14ac:dyDescent="0.25">
      <c r="A387" s="7">
        <v>52.484897378708773</v>
      </c>
      <c r="B387"/>
      <c r="C387"/>
      <c r="D387"/>
      <c r="E387"/>
    </row>
    <row r="388" spans="1:86" x14ac:dyDescent="0.25">
      <c r="A388" s="7">
        <v>51.455781743832127</v>
      </c>
      <c r="B388"/>
      <c r="C388"/>
      <c r="D388"/>
      <c r="E388"/>
    </row>
    <row r="389" spans="1:86" x14ac:dyDescent="0.25">
      <c r="A389" s="7">
        <v>50.446844846894244</v>
      </c>
      <c r="B389"/>
      <c r="C389"/>
      <c r="D389"/>
      <c r="E389"/>
    </row>
    <row r="390" spans="1:86" x14ac:dyDescent="0.25">
      <c r="A390" s="7">
        <v>49.457691026366902</v>
      </c>
      <c r="B390"/>
      <c r="C390"/>
      <c r="D390"/>
      <c r="E390"/>
    </row>
    <row r="391" spans="1:86" x14ac:dyDescent="0.25">
      <c r="A391" s="7">
        <v>48.487932378791079</v>
      </c>
      <c r="B391"/>
      <c r="C391"/>
      <c r="D391"/>
      <c r="E391"/>
    </row>
    <row r="392" spans="1:86" x14ac:dyDescent="0.25">
      <c r="A392" s="7">
        <v>47.537188606657921</v>
      </c>
      <c r="B392"/>
      <c r="C392"/>
      <c r="D392"/>
      <c r="E392"/>
    </row>
    <row r="393" spans="1:86" x14ac:dyDescent="0.25">
      <c r="A393" s="7">
        <v>46.605086869272469</v>
      </c>
      <c r="B393"/>
      <c r="C393"/>
      <c r="D393"/>
      <c r="E393"/>
    </row>
    <row r="394" spans="1:86" x14ac:dyDescent="0.25">
      <c r="A394" s="7">
        <v>45.691261636541633</v>
      </c>
      <c r="B394"/>
      <c r="C394"/>
      <c r="D394"/>
      <c r="E394"/>
    </row>
    <row r="395" spans="1:86" x14ac:dyDescent="0.25">
      <c r="A395" s="7">
        <v>44.795354545629053</v>
      </c>
      <c r="B395"/>
      <c r="C395"/>
      <c r="D395"/>
      <c r="E395"/>
    </row>
    <row r="396" spans="1:86" x14ac:dyDescent="0.25">
      <c r="A396" s="7">
        <v>43.917014260420636</v>
      </c>
      <c r="B396"/>
      <c r="C396"/>
      <c r="D396"/>
      <c r="E396"/>
      <c r="CG396" s="27" t="s">
        <v>8</v>
      </c>
    </row>
    <row r="397" spans="1:86" x14ac:dyDescent="0.25">
      <c r="A397" s="7">
        <v>43.055896333745721</v>
      </c>
      <c r="B397"/>
      <c r="C397"/>
      <c r="D397"/>
      <c r="E397"/>
      <c r="CG397" s="27" t="s">
        <v>8</v>
      </c>
      <c r="CH397" s="27" t="s">
        <v>7</v>
      </c>
    </row>
    <row r="398" spans="1:86" x14ac:dyDescent="0.25">
      <c r="A398" s="7">
        <v>42.211663072299729</v>
      </c>
      <c r="B398"/>
      <c r="C398"/>
      <c r="D398"/>
      <c r="E398"/>
      <c r="CG398" s="27" t="s">
        <v>8</v>
      </c>
      <c r="CH398" s="27" t="s">
        <v>7</v>
      </c>
    </row>
    <row r="399" spans="1:86" x14ac:dyDescent="0.25">
      <c r="A399" s="7">
        <v>41.383983404215421</v>
      </c>
      <c r="B399"/>
      <c r="C399"/>
      <c r="D399"/>
      <c r="E399"/>
      <c r="CG399" s="27" t="s">
        <v>8</v>
      </c>
      <c r="CH399" s="27" t="s">
        <v>7</v>
      </c>
    </row>
    <row r="400" spans="1:86" x14ac:dyDescent="0.25">
      <c r="A400" s="7">
        <v>40.572532749230803</v>
      </c>
      <c r="B400"/>
      <c r="C400"/>
      <c r="D400"/>
      <c r="E400"/>
      <c r="CG400" s="27" t="s">
        <v>8</v>
      </c>
      <c r="CH400" s="27" t="s">
        <v>7</v>
      </c>
    </row>
    <row r="401" spans="1:142" x14ac:dyDescent="0.25">
      <c r="A401" s="7">
        <v>39.776992891402749</v>
      </c>
      <c r="B401"/>
      <c r="C401"/>
      <c r="D401"/>
      <c r="E401"/>
      <c r="CG401" s="27" t="s">
        <v>8</v>
      </c>
      <c r="CH401" s="27" t="s">
        <v>7</v>
      </c>
    </row>
    <row r="402" spans="1:142" x14ac:dyDescent="0.25">
      <c r="A402" s="7">
        <v>38.997051854316418</v>
      </c>
      <c r="B402"/>
      <c r="C402"/>
      <c r="D402"/>
      <c r="E402"/>
      <c r="CG402" s="27" t="s">
        <v>8</v>
      </c>
      <c r="CH402" s="27" t="s">
        <v>7</v>
      </c>
    </row>
    <row r="403" spans="1:142" x14ac:dyDescent="0.25">
      <c r="A403" s="7">
        <v>38.232403778741585</v>
      </c>
      <c r="B403"/>
      <c r="C403"/>
      <c r="D403"/>
      <c r="E403"/>
      <c r="CG403" s="27" t="s">
        <v>8</v>
      </c>
      <c r="CH403" s="27" t="s">
        <v>7</v>
      </c>
    </row>
    <row r="404" spans="1:142" x14ac:dyDescent="0.25">
      <c r="A404" s="7">
        <v>37.48274880268783</v>
      </c>
      <c r="B404"/>
      <c r="C404"/>
      <c r="D404"/>
      <c r="E404"/>
      <c r="CG404" s="27" t="s">
        <v>8</v>
      </c>
      <c r="CH404" s="27" t="s">
        <v>7</v>
      </c>
    </row>
    <row r="405" spans="1:142" x14ac:dyDescent="0.25">
      <c r="A405" s="7">
        <v>36.747792943811596</v>
      </c>
      <c r="B405"/>
      <c r="C405"/>
      <c r="D405"/>
      <c r="E405"/>
      <c r="CG405" s="27" t="s">
        <v>8</v>
      </c>
      <c r="CH405" s="27" t="s">
        <v>7</v>
      </c>
    </row>
    <row r="406" spans="1:142" x14ac:dyDescent="0.25">
      <c r="A406" s="7">
        <v>36.027247984129012</v>
      </c>
      <c r="B406"/>
      <c r="C406"/>
      <c r="D406"/>
      <c r="E406"/>
      <c r="CG406" s="27" t="s">
        <v>8</v>
      </c>
      <c r="CH406" s="27" t="s">
        <v>7</v>
      </c>
    </row>
    <row r="407" spans="1:142" x14ac:dyDescent="0.25">
      <c r="A407" s="7">
        <v>35.320831356989224</v>
      </c>
      <c r="B407"/>
      <c r="C407"/>
      <c r="D407"/>
      <c r="E407"/>
      <c r="CG407" s="27" t="s">
        <v>8</v>
      </c>
      <c r="CH407" s="27" t="s">
        <v>7</v>
      </c>
    </row>
    <row r="408" spans="1:142" x14ac:dyDescent="0.25">
      <c r="A408" s="7">
        <v>34.628266036263945</v>
      </c>
      <c r="B408"/>
      <c r="C408"/>
      <c r="D408"/>
      <c r="E408"/>
      <c r="CG408" s="27" t="s">
        <v>8</v>
      </c>
      <c r="CH408" s="27" t="s">
        <v>7</v>
      </c>
    </row>
    <row r="409" spans="1:142" x14ac:dyDescent="0.25">
      <c r="A409" s="7">
        <v>33.949280427709752</v>
      </c>
      <c r="B409"/>
      <c r="C409"/>
      <c r="D409"/>
      <c r="E409"/>
      <c r="CG409" s="27" t="s">
        <v>8</v>
      </c>
      <c r="CH409" s="27" t="s">
        <v>7</v>
      </c>
    </row>
    <row r="410" spans="1:142" x14ac:dyDescent="0.25">
      <c r="A410" s="7">
        <v>33.28360826246054</v>
      </c>
      <c r="B410"/>
      <c r="C410"/>
      <c r="D410"/>
      <c r="E410"/>
      <c r="CG410" s="27" t="s">
        <v>8</v>
      </c>
      <c r="CH410" s="27" t="s">
        <v>7</v>
      </c>
      <c r="CK410" s="27" t="s">
        <v>8</v>
      </c>
      <c r="DW410" s="27" t="s">
        <v>8</v>
      </c>
    </row>
    <row r="411" spans="1:142" x14ac:dyDescent="0.25">
      <c r="A411" s="7">
        <v>32.630988492608374</v>
      </c>
      <c r="B411"/>
      <c r="C411"/>
      <c r="D411"/>
      <c r="E411"/>
      <c r="CG411" s="27" t="s">
        <v>8</v>
      </c>
      <c r="CH411" s="27" t="s">
        <v>7</v>
      </c>
      <c r="CK411" s="27" t="s">
        <v>8</v>
      </c>
      <c r="CL411" s="27" t="s">
        <v>7</v>
      </c>
      <c r="DW411" s="27" t="s">
        <v>8</v>
      </c>
      <c r="DX411" s="27" t="s">
        <v>7</v>
      </c>
    </row>
    <row r="412" spans="1:142" x14ac:dyDescent="0.25">
      <c r="A412" s="7">
        <v>31.99116518883174</v>
      </c>
      <c r="B412"/>
      <c r="C412"/>
      <c r="D412"/>
      <c r="E412"/>
      <c r="CG412" s="27" t="s">
        <v>8</v>
      </c>
      <c r="CH412" s="27" t="s">
        <v>7</v>
      </c>
      <c r="CK412" s="27" t="s">
        <v>8</v>
      </c>
      <c r="CL412" s="27" t="s">
        <v>7</v>
      </c>
      <c r="CM412" s="27" t="s">
        <v>8</v>
      </c>
      <c r="DW412" s="27" t="s">
        <v>8</v>
      </c>
      <c r="DX412" s="27" t="s">
        <v>7</v>
      </c>
      <c r="EK412" s="27" t="s">
        <v>8</v>
      </c>
    </row>
    <row r="413" spans="1:142" x14ac:dyDescent="0.25">
      <c r="A413" s="7">
        <v>31.363887440031117</v>
      </c>
      <c r="B413"/>
      <c r="C413"/>
      <c r="D413"/>
      <c r="E413"/>
      <c r="CG413" s="27" t="s">
        <v>8</v>
      </c>
      <c r="CH413" s="27" t="s">
        <v>7</v>
      </c>
      <c r="CK413" s="27" t="s">
        <v>8</v>
      </c>
      <c r="CL413" s="27" t="s">
        <v>7</v>
      </c>
      <c r="CM413" s="27" t="s">
        <v>8</v>
      </c>
      <c r="CN413" s="27" t="s">
        <v>7</v>
      </c>
      <c r="DU413" s="27" t="s">
        <v>8</v>
      </c>
      <c r="DW413" s="27" t="s">
        <v>8</v>
      </c>
      <c r="DX413" s="27" t="s">
        <v>7</v>
      </c>
      <c r="EK413" s="27" t="s">
        <v>8</v>
      </c>
      <c r="EL413" s="27" t="s">
        <v>7</v>
      </c>
    </row>
    <row r="414" spans="1:142" x14ac:dyDescent="0.25">
      <c r="A414" s="7">
        <v>30.748909254932467</v>
      </c>
      <c r="B414"/>
      <c r="C414"/>
      <c r="D414"/>
      <c r="E414"/>
      <c r="CG414" s="27" t="s">
        <v>8</v>
      </c>
      <c r="CH414" s="27" t="s">
        <v>7</v>
      </c>
      <c r="CI414" s="27" t="s">
        <v>8</v>
      </c>
      <c r="CK414" s="27" t="s">
        <v>8</v>
      </c>
      <c r="CL414" s="27" t="s">
        <v>7</v>
      </c>
      <c r="CM414" s="27" t="s">
        <v>8</v>
      </c>
      <c r="CN414" s="27" t="s">
        <v>7</v>
      </c>
      <c r="DU414" s="27" t="s">
        <v>8</v>
      </c>
      <c r="DV414" s="27" t="s">
        <v>7</v>
      </c>
      <c r="DW414" s="27" t="s">
        <v>8</v>
      </c>
      <c r="DX414" s="27" t="s">
        <v>7</v>
      </c>
      <c r="EK414" s="27" t="s">
        <v>8</v>
      </c>
      <c r="EL414" s="27" t="s">
        <v>7</v>
      </c>
    </row>
    <row r="415" spans="1:142" x14ac:dyDescent="0.25">
      <c r="A415" s="7">
        <v>30.145989465620065</v>
      </c>
      <c r="B415"/>
      <c r="C415"/>
      <c r="D415"/>
      <c r="E415"/>
      <c r="CG415" s="27" t="s">
        <v>8</v>
      </c>
      <c r="CH415" s="27" t="s">
        <v>7</v>
      </c>
      <c r="CI415" s="27" t="s">
        <v>8</v>
      </c>
      <c r="CJ415" s="27" t="s">
        <v>7</v>
      </c>
      <c r="CK415" s="27" t="s">
        <v>8</v>
      </c>
      <c r="CL415" s="27" t="s">
        <v>7</v>
      </c>
      <c r="CM415" s="27" t="s">
        <v>8</v>
      </c>
      <c r="CN415" s="27" t="s">
        <v>7</v>
      </c>
      <c r="DU415" s="27" t="s">
        <v>8</v>
      </c>
      <c r="DV415" s="27" t="s">
        <v>7</v>
      </c>
      <c r="DW415" s="27" t="s">
        <v>8</v>
      </c>
      <c r="DX415" s="27" t="s">
        <v>7</v>
      </c>
      <c r="EK415" s="27" t="s">
        <v>8</v>
      </c>
      <c r="EL415" s="27" t="s">
        <v>7</v>
      </c>
    </row>
    <row r="416" spans="1:142" x14ac:dyDescent="0.25">
      <c r="A416" s="7">
        <v>29.55489163296085</v>
      </c>
      <c r="B416"/>
      <c r="C416"/>
      <c r="D416"/>
      <c r="E416"/>
      <c r="CG416" s="27" t="s">
        <v>8</v>
      </c>
      <c r="CH416" s="27" t="s">
        <v>7</v>
      </c>
      <c r="CI416" s="27" t="s">
        <v>8</v>
      </c>
      <c r="CJ416" s="27" t="s">
        <v>7</v>
      </c>
      <c r="CK416" s="27" t="s">
        <v>8</v>
      </c>
      <c r="CL416" s="27" t="s">
        <v>7</v>
      </c>
      <c r="CM416" s="27" t="s">
        <v>8</v>
      </c>
      <c r="CN416" s="27" t="s">
        <v>7</v>
      </c>
      <c r="CQ416" s="27" t="s">
        <v>8</v>
      </c>
      <c r="DU416" s="27" t="s">
        <v>8</v>
      </c>
      <c r="DV416" s="27" t="s">
        <v>7</v>
      </c>
      <c r="DW416" s="27" t="s">
        <v>8</v>
      </c>
      <c r="DX416" s="27" t="s">
        <v>7</v>
      </c>
      <c r="EK416" s="27" t="s">
        <v>8</v>
      </c>
      <c r="EL416" s="27" t="s">
        <v>7</v>
      </c>
    </row>
    <row r="417" spans="1:232" x14ac:dyDescent="0.25">
      <c r="A417" s="7">
        <v>28.975383953883185</v>
      </c>
      <c r="B417"/>
      <c r="C417"/>
      <c r="D417"/>
      <c r="E417"/>
      <c r="CG417" s="27" t="s">
        <v>8</v>
      </c>
      <c r="CH417" s="27" t="s">
        <v>7</v>
      </c>
      <c r="CI417" s="27" t="s">
        <v>8</v>
      </c>
      <c r="CJ417" s="27" t="s">
        <v>7</v>
      </c>
      <c r="CK417" s="27" t="s">
        <v>8</v>
      </c>
      <c r="CL417" s="27" t="s">
        <v>7</v>
      </c>
      <c r="CM417" s="27" t="s">
        <v>8</v>
      </c>
      <c r="CN417" s="27" t="s">
        <v>7</v>
      </c>
      <c r="CO417" s="27" t="s">
        <v>8</v>
      </c>
      <c r="CQ417" s="27" t="s">
        <v>8</v>
      </c>
      <c r="CR417" s="27" t="s">
        <v>7</v>
      </c>
      <c r="DQ417" s="27" t="s">
        <v>8</v>
      </c>
      <c r="DU417" s="27" t="s">
        <v>8</v>
      </c>
      <c r="DV417" s="27" t="s">
        <v>7</v>
      </c>
      <c r="DW417" s="27" t="s">
        <v>8</v>
      </c>
      <c r="DX417" s="27" t="s">
        <v>7</v>
      </c>
      <c r="DY417" s="27" t="s">
        <v>8</v>
      </c>
      <c r="EK417" s="27" t="s">
        <v>8</v>
      </c>
      <c r="EL417" s="27" t="s">
        <v>7</v>
      </c>
    </row>
    <row r="418" spans="1:232" x14ac:dyDescent="0.25">
      <c r="A418" s="7">
        <v>28.407239170473709</v>
      </c>
      <c r="B418"/>
      <c r="C418"/>
      <c r="D418"/>
      <c r="E418"/>
      <c r="CG418" s="27" t="s">
        <v>8</v>
      </c>
      <c r="CH418" s="27" t="s">
        <v>7</v>
      </c>
      <c r="CI418" s="27" t="s">
        <v>8</v>
      </c>
      <c r="CJ418" s="27" t="s">
        <v>7</v>
      </c>
      <c r="CK418" s="27" t="s">
        <v>8</v>
      </c>
      <c r="CL418" s="27" t="s">
        <v>7</v>
      </c>
      <c r="CN418" s="27" t="s">
        <v>7</v>
      </c>
      <c r="CO418" s="27" t="s">
        <v>8</v>
      </c>
      <c r="CP418" s="27" t="s">
        <v>7</v>
      </c>
      <c r="CQ418" s="27" t="s">
        <v>8</v>
      </c>
      <c r="CR418" s="27" t="s">
        <v>7</v>
      </c>
      <c r="DA418" s="27" t="s">
        <v>8</v>
      </c>
      <c r="DQ418" s="27" t="s">
        <v>8</v>
      </c>
      <c r="DR418" s="27" t="s">
        <v>7</v>
      </c>
      <c r="DU418" s="27" t="s">
        <v>8</v>
      </c>
      <c r="DV418" s="27" t="s">
        <v>7</v>
      </c>
      <c r="DW418" s="27" t="s">
        <v>8</v>
      </c>
      <c r="DX418" s="27" t="s">
        <v>7</v>
      </c>
      <c r="DY418" s="27" t="s">
        <v>8</v>
      </c>
      <c r="DZ418" s="27" t="s">
        <v>7</v>
      </c>
      <c r="EC418" s="27" t="s">
        <v>8</v>
      </c>
      <c r="EK418" s="27" t="s">
        <v>8</v>
      </c>
      <c r="EL418" s="27" t="s">
        <v>7</v>
      </c>
    </row>
    <row r="419" spans="1:232" x14ac:dyDescent="0.25">
      <c r="A419" s="7">
        <v>27.850234480856578</v>
      </c>
      <c r="B419"/>
      <c r="C419"/>
      <c r="D419"/>
      <c r="E419"/>
      <c r="CG419" s="27" t="s">
        <v>8</v>
      </c>
      <c r="CH419" s="27" t="s">
        <v>7</v>
      </c>
      <c r="CI419" s="27" t="s">
        <v>8</v>
      </c>
      <c r="CJ419" s="27" t="s">
        <v>7</v>
      </c>
      <c r="CK419" s="27" t="s">
        <v>8</v>
      </c>
      <c r="CN419" s="27" t="s">
        <v>7</v>
      </c>
      <c r="CO419" s="27" t="s">
        <v>8</v>
      </c>
      <c r="CP419" s="27" t="s">
        <v>7</v>
      </c>
      <c r="CQ419" s="27" t="s">
        <v>8</v>
      </c>
      <c r="CR419" s="27" t="s">
        <v>7</v>
      </c>
      <c r="DA419" s="27" t="s">
        <v>8</v>
      </c>
      <c r="DB419" s="27" t="s">
        <v>7</v>
      </c>
      <c r="DQ419" s="27" t="s">
        <v>8</v>
      </c>
      <c r="DR419" s="27" t="s">
        <v>7</v>
      </c>
      <c r="DS419" s="27" t="s">
        <v>8</v>
      </c>
      <c r="DU419" s="27" t="s">
        <v>8</v>
      </c>
      <c r="DV419" s="27" t="s">
        <v>7</v>
      </c>
      <c r="DW419" s="27" t="s">
        <v>8</v>
      </c>
      <c r="DX419" s="27" t="s">
        <v>7</v>
      </c>
      <c r="DY419" s="27" t="s">
        <v>8</v>
      </c>
      <c r="DZ419" s="27" t="s">
        <v>7</v>
      </c>
      <c r="EC419" s="27" t="s">
        <v>8</v>
      </c>
      <c r="ED419" s="27" t="s">
        <v>7</v>
      </c>
      <c r="EK419" s="27" t="s">
        <v>8</v>
      </c>
      <c r="EL419" s="27" t="s">
        <v>7</v>
      </c>
    </row>
    <row r="420" spans="1:232" x14ac:dyDescent="0.25">
      <c r="A420" s="7">
        <v>27.304151451820175</v>
      </c>
      <c r="B420"/>
      <c r="C420"/>
      <c r="D420"/>
      <c r="E420"/>
      <c r="CG420" s="27" t="s">
        <v>8</v>
      </c>
      <c r="CH420" s="27" t="s">
        <v>7</v>
      </c>
      <c r="CI420" s="27" t="s">
        <v>8</v>
      </c>
      <c r="CJ420" s="27" t="s">
        <v>7</v>
      </c>
      <c r="CK420" s="27" t="s">
        <v>8</v>
      </c>
      <c r="CN420" s="27" t="s">
        <v>7</v>
      </c>
      <c r="CO420" s="27" t="s">
        <v>8</v>
      </c>
      <c r="CP420" s="27" t="s">
        <v>7</v>
      </c>
      <c r="CQ420" s="27" t="s">
        <v>8</v>
      </c>
      <c r="CR420" s="27" t="s">
        <v>7</v>
      </c>
      <c r="DA420" s="27" t="s">
        <v>8</v>
      </c>
      <c r="DB420" s="27" t="s">
        <v>7</v>
      </c>
      <c r="DM420" s="27" t="s">
        <v>8</v>
      </c>
      <c r="DO420" s="27" t="s">
        <v>8</v>
      </c>
      <c r="DQ420" s="27" t="s">
        <v>8</v>
      </c>
      <c r="DR420" s="27" t="s">
        <v>7</v>
      </c>
      <c r="DS420" s="27" t="s">
        <v>8</v>
      </c>
      <c r="DT420" s="27" t="s">
        <v>7</v>
      </c>
      <c r="DU420" s="27" t="s">
        <v>8</v>
      </c>
      <c r="DV420" s="27" t="s">
        <v>7</v>
      </c>
      <c r="DX420" s="27" t="s">
        <v>7</v>
      </c>
      <c r="DY420" s="27" t="s">
        <v>8</v>
      </c>
      <c r="DZ420" s="27" t="s">
        <v>7</v>
      </c>
      <c r="EC420" s="27" t="s">
        <v>8</v>
      </c>
      <c r="ED420" s="27" t="s">
        <v>7</v>
      </c>
      <c r="EI420" s="27" t="s">
        <v>8</v>
      </c>
      <c r="EK420" s="27" t="s">
        <v>8</v>
      </c>
      <c r="EL420" s="27" t="s">
        <v>7</v>
      </c>
      <c r="EM420" s="27" t="s">
        <v>8</v>
      </c>
    </row>
    <row r="421" spans="1:232" x14ac:dyDescent="0.25">
      <c r="A421" s="7">
        <v>26.768775933157034</v>
      </c>
      <c r="B421"/>
      <c r="C421"/>
      <c r="D421"/>
      <c r="E421"/>
      <c r="CG421" s="27" t="s">
        <v>8</v>
      </c>
      <c r="CH421" s="27" t="s">
        <v>7</v>
      </c>
      <c r="CI421" s="27" t="s">
        <v>8</v>
      </c>
      <c r="CJ421" s="27" t="s">
        <v>7</v>
      </c>
      <c r="CN421" s="27" t="s">
        <v>7</v>
      </c>
      <c r="CO421" s="27" t="s">
        <v>8</v>
      </c>
      <c r="CP421" s="27" t="s">
        <v>7</v>
      </c>
      <c r="CQ421" s="27" t="s">
        <v>8</v>
      </c>
      <c r="CR421" s="27" t="s">
        <v>7</v>
      </c>
      <c r="DA421" s="27" t="s">
        <v>8</v>
      </c>
      <c r="DB421" s="27" t="s">
        <v>7</v>
      </c>
      <c r="DC421" s="27" t="s">
        <v>8</v>
      </c>
      <c r="DM421" s="27" t="s">
        <v>8</v>
      </c>
      <c r="DN421" s="27" t="s">
        <v>7</v>
      </c>
      <c r="DO421" s="27" t="s">
        <v>8</v>
      </c>
      <c r="DP421" s="27" t="s">
        <v>7</v>
      </c>
      <c r="DQ421" s="27" t="s">
        <v>8</v>
      </c>
      <c r="DR421" s="27" t="s">
        <v>7</v>
      </c>
      <c r="DS421" s="27" t="s">
        <v>8</v>
      </c>
      <c r="DT421" s="27" t="s">
        <v>7</v>
      </c>
      <c r="DU421" s="27" t="s">
        <v>8</v>
      </c>
      <c r="DX421" s="27" t="s">
        <v>7</v>
      </c>
      <c r="DY421" s="27" t="s">
        <v>8</v>
      </c>
      <c r="DZ421" s="27" t="s">
        <v>7</v>
      </c>
      <c r="EA421" s="27" t="s">
        <v>8</v>
      </c>
      <c r="EC421" s="27" t="s">
        <v>8</v>
      </c>
      <c r="ED421" s="27" t="s">
        <v>7</v>
      </c>
      <c r="EE421" s="27" t="s">
        <v>8</v>
      </c>
      <c r="EI421" s="27" t="s">
        <v>8</v>
      </c>
      <c r="EJ421" s="27" t="s">
        <v>7</v>
      </c>
      <c r="EK421" s="27" t="s">
        <v>8</v>
      </c>
      <c r="EL421" s="27" t="s">
        <v>7</v>
      </c>
      <c r="EM421" s="27" t="s">
        <v>8</v>
      </c>
      <c r="EN421" s="27" t="s">
        <v>7</v>
      </c>
    </row>
    <row r="422" spans="1:232" x14ac:dyDescent="0.25">
      <c r="A422" s="7">
        <v>26.243897973683367</v>
      </c>
      <c r="B422"/>
      <c r="C422"/>
      <c r="D422"/>
      <c r="E422"/>
      <c r="CG422" s="27" t="s">
        <v>8</v>
      </c>
      <c r="CH422" s="27" t="s">
        <v>7</v>
      </c>
      <c r="CI422" s="27" t="s">
        <v>8</v>
      </c>
      <c r="CN422" s="27" t="s">
        <v>7</v>
      </c>
      <c r="CO422" s="27" t="s">
        <v>8</v>
      </c>
      <c r="CP422" s="27" t="s">
        <v>7</v>
      </c>
      <c r="CQ422" s="27" t="s">
        <v>8</v>
      </c>
      <c r="CR422" s="27" t="s">
        <v>7</v>
      </c>
      <c r="DA422" s="27" t="s">
        <v>8</v>
      </c>
      <c r="DB422" s="27" t="s">
        <v>7</v>
      </c>
      <c r="DC422" s="27" t="s">
        <v>8</v>
      </c>
      <c r="DD422" s="27" t="s">
        <v>7</v>
      </c>
      <c r="DG422" s="27" t="s">
        <v>8</v>
      </c>
      <c r="DK422" s="27" t="s">
        <v>8</v>
      </c>
      <c r="DM422" s="27" t="s">
        <v>8</v>
      </c>
      <c r="DN422" s="27" t="s">
        <v>7</v>
      </c>
      <c r="DO422" s="27" t="s">
        <v>8</v>
      </c>
      <c r="DP422" s="27" t="s">
        <v>7</v>
      </c>
      <c r="DQ422" s="27" t="s">
        <v>8</v>
      </c>
      <c r="DR422" s="27" t="s">
        <v>7</v>
      </c>
      <c r="DS422" s="27" t="s">
        <v>8</v>
      </c>
      <c r="DT422" s="27" t="s">
        <v>7</v>
      </c>
      <c r="DU422" s="27" t="s">
        <v>8</v>
      </c>
      <c r="DX422" s="27" t="s">
        <v>7</v>
      </c>
      <c r="DY422" s="27" t="s">
        <v>8</v>
      </c>
      <c r="DZ422" s="27" t="s">
        <v>7</v>
      </c>
      <c r="EA422" s="27" t="s">
        <v>8</v>
      </c>
      <c r="EB422" s="27" t="s">
        <v>7</v>
      </c>
      <c r="EC422" s="27" t="s">
        <v>8</v>
      </c>
      <c r="ED422" s="27" t="s">
        <v>7</v>
      </c>
      <c r="EE422" s="27" t="s">
        <v>8</v>
      </c>
      <c r="EF422" s="27" t="s">
        <v>7</v>
      </c>
      <c r="EG422" s="27" t="s">
        <v>8</v>
      </c>
      <c r="EI422" s="27" t="s">
        <v>8</v>
      </c>
      <c r="EJ422" s="27" t="s">
        <v>7</v>
      </c>
      <c r="EK422" s="27" t="s">
        <v>8</v>
      </c>
      <c r="EL422" s="27" t="s">
        <v>7</v>
      </c>
      <c r="EM422" s="27" t="s">
        <v>8</v>
      </c>
      <c r="EN422" s="27" t="s">
        <v>7</v>
      </c>
    </row>
    <row r="423" spans="1:232" x14ac:dyDescent="0.25">
      <c r="A423" s="7">
        <v>25.729311738905263</v>
      </c>
      <c r="B423"/>
      <c r="C423"/>
      <c r="D423"/>
      <c r="E423"/>
      <c r="CG423" s="27" t="s">
        <v>8</v>
      </c>
      <c r="CH423" s="27" t="s">
        <v>7</v>
      </c>
      <c r="CI423" s="27" t="s">
        <v>8</v>
      </c>
      <c r="CN423" s="27" t="s">
        <v>7</v>
      </c>
      <c r="CO423" s="27" t="s">
        <v>8</v>
      </c>
      <c r="CP423" s="27" t="s">
        <v>7</v>
      </c>
      <c r="CR423" s="27" t="s">
        <v>7</v>
      </c>
      <c r="DA423" s="27" t="s">
        <v>8</v>
      </c>
      <c r="DB423" s="27" t="s">
        <v>7</v>
      </c>
      <c r="DC423" s="27" t="s">
        <v>8</v>
      </c>
      <c r="DD423" s="27" t="s">
        <v>7</v>
      </c>
      <c r="DE423" s="27" t="s">
        <v>8</v>
      </c>
      <c r="DG423" s="27" t="s">
        <v>8</v>
      </c>
      <c r="DH423" s="27" t="s">
        <v>7</v>
      </c>
      <c r="DK423" s="27" t="s">
        <v>8</v>
      </c>
      <c r="DL423" s="27" t="s">
        <v>7</v>
      </c>
      <c r="DM423" s="27" t="s">
        <v>8</v>
      </c>
      <c r="DN423" s="27" t="s">
        <v>7</v>
      </c>
      <c r="DO423" s="27" t="s">
        <v>8</v>
      </c>
      <c r="DP423" s="27" t="s">
        <v>7</v>
      </c>
      <c r="DQ423" s="27" t="s">
        <v>8</v>
      </c>
      <c r="DR423" s="27" t="s">
        <v>7</v>
      </c>
      <c r="DT423" s="27" t="s">
        <v>7</v>
      </c>
      <c r="DU423" s="27" t="s">
        <v>8</v>
      </c>
      <c r="DX423" s="27" t="s">
        <v>7</v>
      </c>
      <c r="DY423" s="27" t="s">
        <v>8</v>
      </c>
      <c r="DZ423" s="27" t="s">
        <v>7</v>
      </c>
      <c r="EA423" s="27" t="s">
        <v>8</v>
      </c>
      <c r="EB423" s="27" t="s">
        <v>7</v>
      </c>
      <c r="EC423" s="27" t="s">
        <v>8</v>
      </c>
      <c r="ED423" s="27" t="s">
        <v>7</v>
      </c>
      <c r="EE423" s="27" t="s">
        <v>8</v>
      </c>
      <c r="EF423" s="27" t="s">
        <v>7</v>
      </c>
      <c r="EG423" s="27" t="s">
        <v>8</v>
      </c>
      <c r="EH423" s="27" t="s">
        <v>7</v>
      </c>
      <c r="EI423" s="27" t="s">
        <v>8</v>
      </c>
      <c r="EJ423" s="27" t="s">
        <v>7</v>
      </c>
      <c r="EK423" s="27" t="s">
        <v>8</v>
      </c>
      <c r="EL423" s="27" t="s">
        <v>7</v>
      </c>
      <c r="EM423" s="27" t="s">
        <v>8</v>
      </c>
      <c r="EN423" s="27" t="s">
        <v>7</v>
      </c>
      <c r="EO423" s="27" t="s">
        <v>8</v>
      </c>
    </row>
    <row r="424" spans="1:232" x14ac:dyDescent="0.25">
      <c r="A424" s="7">
        <v>25.224815430299277</v>
      </c>
      <c r="B424"/>
      <c r="C424"/>
      <c r="D424"/>
      <c r="E424"/>
      <c r="CG424" s="27" t="s">
        <v>8</v>
      </c>
      <c r="CH424" s="27" t="s">
        <v>7</v>
      </c>
      <c r="CN424" s="27" t="s">
        <v>7</v>
      </c>
      <c r="CO424" s="27" t="s">
        <v>8</v>
      </c>
      <c r="CR424" s="27" t="s">
        <v>7</v>
      </c>
      <c r="DA424" s="27" t="s">
        <v>8</v>
      </c>
      <c r="DB424" s="27" t="s">
        <v>7</v>
      </c>
      <c r="DC424" s="27" t="s">
        <v>8</v>
      </c>
      <c r="DD424" s="27" t="s">
        <v>7</v>
      </c>
      <c r="DE424" s="27" t="s">
        <v>8</v>
      </c>
      <c r="DF424" s="27" t="s">
        <v>7</v>
      </c>
      <c r="DG424" s="27" t="s">
        <v>8</v>
      </c>
      <c r="DH424" s="27" t="s">
        <v>7</v>
      </c>
      <c r="DK424" s="27" t="s">
        <v>8</v>
      </c>
      <c r="DL424" s="27" t="s">
        <v>7</v>
      </c>
      <c r="DM424" s="27" t="s">
        <v>8</v>
      </c>
      <c r="DN424" s="27" t="s">
        <v>7</v>
      </c>
      <c r="DO424" s="27" t="s">
        <v>8</v>
      </c>
      <c r="DP424" s="27" t="s">
        <v>7</v>
      </c>
      <c r="DQ424" s="27" t="s">
        <v>8</v>
      </c>
      <c r="DT424" s="27" t="s">
        <v>7</v>
      </c>
      <c r="DX424" s="27" t="s">
        <v>7</v>
      </c>
      <c r="DZ424" s="27" t="s">
        <v>7</v>
      </c>
      <c r="EA424" s="27" t="s">
        <v>8</v>
      </c>
      <c r="EB424" s="27" t="s">
        <v>7</v>
      </c>
      <c r="EC424" s="27" t="s">
        <v>8</v>
      </c>
      <c r="ED424" s="27" t="s">
        <v>7</v>
      </c>
      <c r="EF424" s="27" t="s">
        <v>7</v>
      </c>
      <c r="EG424" s="27" t="s">
        <v>8</v>
      </c>
      <c r="EH424" s="27" t="s">
        <v>7</v>
      </c>
      <c r="EI424" s="27" t="s">
        <v>8</v>
      </c>
      <c r="EJ424" s="27" t="s">
        <v>7</v>
      </c>
      <c r="EK424" s="27" t="s">
        <v>8</v>
      </c>
      <c r="EL424" s="27" t="s">
        <v>7</v>
      </c>
      <c r="EM424" s="27" t="s">
        <v>8</v>
      </c>
      <c r="EN424" s="27" t="s">
        <v>7</v>
      </c>
      <c r="EO424" s="27" t="s">
        <v>8</v>
      </c>
      <c r="EP424" s="27" t="s">
        <v>7</v>
      </c>
    </row>
    <row r="425" spans="1:232" x14ac:dyDescent="0.25">
      <c r="A425" s="7">
        <v>24.73021120617576</v>
      </c>
      <c r="B425"/>
      <c r="C425"/>
      <c r="D425"/>
      <c r="E425"/>
      <c r="CG425" s="27" t="s">
        <v>8</v>
      </c>
      <c r="CN425" s="27" t="s">
        <v>7</v>
      </c>
      <c r="CO425" s="27" t="s">
        <v>8</v>
      </c>
      <c r="CR425" s="27" t="s">
        <v>7</v>
      </c>
      <c r="DA425" s="27" t="s">
        <v>8</v>
      </c>
      <c r="DB425" s="27" t="s">
        <v>7</v>
      </c>
      <c r="DC425" s="27" t="s">
        <v>8</v>
      </c>
      <c r="DD425" s="27" t="s">
        <v>7</v>
      </c>
      <c r="DE425" s="27" t="s">
        <v>8</v>
      </c>
      <c r="DF425" s="27" t="s">
        <v>7</v>
      </c>
      <c r="DG425" s="27" t="s">
        <v>8</v>
      </c>
      <c r="DH425" s="27" t="s">
        <v>7</v>
      </c>
      <c r="DK425" s="27" t="s">
        <v>8</v>
      </c>
      <c r="DL425" s="27" t="s">
        <v>7</v>
      </c>
      <c r="DM425" s="27" t="s">
        <v>8</v>
      </c>
      <c r="DN425" s="27" t="s">
        <v>7</v>
      </c>
      <c r="DO425" s="27" t="s">
        <v>8</v>
      </c>
      <c r="DP425" s="27" t="s">
        <v>7</v>
      </c>
      <c r="DQ425" s="27" t="s">
        <v>8</v>
      </c>
      <c r="DZ425" s="27" t="s">
        <v>7</v>
      </c>
      <c r="EA425" s="27" t="s">
        <v>8</v>
      </c>
      <c r="EB425" s="27" t="s">
        <v>7</v>
      </c>
      <c r="EC425" s="27" t="s">
        <v>8</v>
      </c>
      <c r="EF425" s="27" t="s">
        <v>7</v>
      </c>
      <c r="EG425" s="27" t="s">
        <v>8</v>
      </c>
      <c r="EH425" s="27" t="s">
        <v>7</v>
      </c>
      <c r="EI425" s="27" t="s">
        <v>8</v>
      </c>
      <c r="EJ425" s="27" t="s">
        <v>7</v>
      </c>
      <c r="EL425" s="27" t="s">
        <v>7</v>
      </c>
      <c r="EM425" s="27" t="s">
        <v>8</v>
      </c>
      <c r="EN425" s="27" t="s">
        <v>7</v>
      </c>
      <c r="EO425" s="27" t="s">
        <v>8</v>
      </c>
      <c r="EP425" s="27" t="s">
        <v>7</v>
      </c>
    </row>
    <row r="426" spans="1:232" x14ac:dyDescent="0.25">
      <c r="A426" s="7">
        <v>24.24530510409388</v>
      </c>
      <c r="B426"/>
      <c r="C426"/>
      <c r="D426"/>
      <c r="E426"/>
      <c r="CG426" s="27" t="s">
        <v>8</v>
      </c>
      <c r="CN426" s="27" t="s">
        <v>7</v>
      </c>
      <c r="CO426" s="27" t="s">
        <v>8</v>
      </c>
      <c r="CR426" s="27" t="s">
        <v>7</v>
      </c>
      <c r="CS426" s="27" t="s">
        <v>8</v>
      </c>
      <c r="DA426" s="27" t="s">
        <v>8</v>
      </c>
      <c r="DB426" s="27" t="s">
        <v>7</v>
      </c>
      <c r="DC426" s="27" t="s">
        <v>8</v>
      </c>
      <c r="DD426" s="27" t="s">
        <v>7</v>
      </c>
      <c r="DE426" s="27" t="s">
        <v>8</v>
      </c>
      <c r="DF426" s="27" t="s">
        <v>7</v>
      </c>
      <c r="DH426" s="27" t="s">
        <v>7</v>
      </c>
      <c r="DK426" s="27" t="s">
        <v>8</v>
      </c>
      <c r="DL426" s="27" t="s">
        <v>7</v>
      </c>
      <c r="DM426" s="27" t="s">
        <v>8</v>
      </c>
      <c r="DN426" s="27" t="s">
        <v>7</v>
      </c>
      <c r="DP426" s="27" t="s">
        <v>7</v>
      </c>
      <c r="DQ426" s="27" t="s">
        <v>8</v>
      </c>
      <c r="DZ426" s="27" t="s">
        <v>7</v>
      </c>
      <c r="EA426" s="27" t="s">
        <v>8</v>
      </c>
      <c r="EB426" s="27" t="s">
        <v>7</v>
      </c>
      <c r="EF426" s="27" t="s">
        <v>7</v>
      </c>
      <c r="EG426" s="27" t="s">
        <v>8</v>
      </c>
      <c r="EH426" s="27" t="s">
        <v>7</v>
      </c>
      <c r="EL426" s="27" t="s">
        <v>7</v>
      </c>
      <c r="EM426" s="27" t="s">
        <v>8</v>
      </c>
      <c r="EN426" s="27" t="s">
        <v>7</v>
      </c>
      <c r="EO426" s="27" t="s">
        <v>8</v>
      </c>
      <c r="EP426" s="27" t="s">
        <v>7</v>
      </c>
    </row>
    <row r="427" spans="1:232" x14ac:dyDescent="0.25">
      <c r="A427" s="7">
        <v>23.769906964797922</v>
      </c>
      <c r="B427"/>
      <c r="C427"/>
      <c r="D427"/>
      <c r="E427"/>
      <c r="CG427" s="27" t="s">
        <v>8</v>
      </c>
      <c r="CN427" s="27" t="s">
        <v>7</v>
      </c>
      <c r="CR427" s="27" t="s">
        <v>7</v>
      </c>
      <c r="CS427" s="27" t="s">
        <v>8</v>
      </c>
      <c r="CT427" s="27" t="s">
        <v>7</v>
      </c>
      <c r="DA427" s="27" t="s">
        <v>8</v>
      </c>
      <c r="DB427" s="27" t="s">
        <v>7</v>
      </c>
      <c r="DC427" s="27" t="s">
        <v>8</v>
      </c>
      <c r="DD427" s="27" t="s">
        <v>7</v>
      </c>
      <c r="DE427" s="27" t="s">
        <v>8</v>
      </c>
      <c r="DH427" s="27" t="s">
        <v>7</v>
      </c>
      <c r="DK427" s="27" t="s">
        <v>8</v>
      </c>
      <c r="DL427" s="27" t="s">
        <v>7</v>
      </c>
      <c r="DP427" s="27" t="s">
        <v>7</v>
      </c>
      <c r="DQ427" s="27" t="s">
        <v>8</v>
      </c>
      <c r="DZ427" s="27" t="s">
        <v>7</v>
      </c>
      <c r="EA427" s="27" t="s">
        <v>8</v>
      </c>
      <c r="EF427" s="27" t="s">
        <v>7</v>
      </c>
      <c r="EG427" s="27" t="s">
        <v>8</v>
      </c>
      <c r="EL427" s="27" t="s">
        <v>7</v>
      </c>
      <c r="EM427" s="27" t="s">
        <v>8</v>
      </c>
      <c r="EN427" s="27" t="s">
        <v>7</v>
      </c>
      <c r="EO427" s="27" t="s">
        <v>8</v>
      </c>
      <c r="EP427" s="27" t="s">
        <v>7</v>
      </c>
    </row>
    <row r="428" spans="1:232" x14ac:dyDescent="0.25">
      <c r="A428" s="7">
        <v>23.303830357645023</v>
      </c>
      <c r="B428"/>
      <c r="C428"/>
      <c r="D428"/>
      <c r="E428"/>
      <c r="CG428" s="27" t="s">
        <v>8</v>
      </c>
      <c r="CR428" s="27" t="s">
        <v>7</v>
      </c>
      <c r="CS428" s="27" t="s">
        <v>8</v>
      </c>
      <c r="CT428" s="27" t="s">
        <v>7</v>
      </c>
      <c r="DA428" s="27" t="s">
        <v>8</v>
      </c>
      <c r="DB428" s="27" t="s">
        <v>7</v>
      </c>
      <c r="DC428" s="27" t="s">
        <v>8</v>
      </c>
      <c r="DD428" s="27" t="s">
        <v>7</v>
      </c>
      <c r="DE428" s="27" t="s">
        <v>8</v>
      </c>
      <c r="DH428" s="27" t="s">
        <v>7</v>
      </c>
      <c r="DI428" s="27" t="s">
        <v>8</v>
      </c>
      <c r="DK428" s="27" t="s">
        <v>8</v>
      </c>
      <c r="DP428" s="27" t="s">
        <v>7</v>
      </c>
      <c r="DQ428" s="27" t="s">
        <v>8</v>
      </c>
      <c r="DZ428" s="27" t="s">
        <v>7</v>
      </c>
      <c r="EA428" s="27" t="s">
        <v>8</v>
      </c>
      <c r="EF428" s="27" t="s">
        <v>7</v>
      </c>
      <c r="EL428" s="27" t="s">
        <v>7</v>
      </c>
      <c r="EM428" s="27" t="s">
        <v>8</v>
      </c>
      <c r="EN428" s="27" t="s">
        <v>7</v>
      </c>
      <c r="EO428" s="27" t="s">
        <v>8</v>
      </c>
      <c r="EP428" s="27" t="s">
        <v>7</v>
      </c>
      <c r="HW428" s="27" t="s">
        <v>8</v>
      </c>
    </row>
    <row r="429" spans="1:232" x14ac:dyDescent="0.25">
      <c r="A429" s="7">
        <v>22.84689250749512</v>
      </c>
      <c r="B429"/>
      <c r="C429"/>
      <c r="D429"/>
      <c r="E429"/>
      <c r="CG429" s="27" t="s">
        <v>8</v>
      </c>
      <c r="CR429" s="27" t="s">
        <v>7</v>
      </c>
      <c r="CS429" s="27" t="s">
        <v>8</v>
      </c>
      <c r="CT429" s="27" t="s">
        <v>7</v>
      </c>
      <c r="CW429" s="27" t="s">
        <v>8</v>
      </c>
      <c r="CY429" s="27" t="s">
        <v>8</v>
      </c>
      <c r="DA429" s="27" t="s">
        <v>8</v>
      </c>
      <c r="DB429" s="27" t="s">
        <v>7</v>
      </c>
      <c r="DC429" s="27" t="s">
        <v>8</v>
      </c>
      <c r="DD429" s="27" t="s">
        <v>7</v>
      </c>
      <c r="DE429" s="27" t="s">
        <v>8</v>
      </c>
      <c r="DH429" s="27" t="s">
        <v>7</v>
      </c>
      <c r="DI429" s="27" t="s">
        <v>8</v>
      </c>
      <c r="DJ429" s="27" t="s">
        <v>7</v>
      </c>
      <c r="DK429" s="27" t="s">
        <v>8</v>
      </c>
      <c r="DP429" s="27" t="s">
        <v>7</v>
      </c>
      <c r="DQ429" s="27" t="s">
        <v>8</v>
      </c>
      <c r="DZ429" s="27" t="s">
        <v>7</v>
      </c>
      <c r="EA429" s="27" t="s">
        <v>8</v>
      </c>
      <c r="EL429" s="27" t="s">
        <v>7</v>
      </c>
      <c r="EN429" s="27" t="s">
        <v>7</v>
      </c>
      <c r="EO429" s="27" t="s">
        <v>8</v>
      </c>
      <c r="EP429" s="27" t="s">
        <v>7</v>
      </c>
      <c r="HW429" s="27" t="s">
        <v>8</v>
      </c>
      <c r="HX429" s="27" t="s">
        <v>7</v>
      </c>
    </row>
    <row r="430" spans="1:232" x14ac:dyDescent="0.25">
      <c r="A430" s="7">
        <v>22.398914223034431</v>
      </c>
      <c r="B430"/>
      <c r="C430"/>
      <c r="D430"/>
      <c r="E430"/>
      <c r="CG430" s="27" t="s">
        <v>8</v>
      </c>
      <c r="CR430" s="27" t="s">
        <v>7</v>
      </c>
      <c r="CS430" s="27" t="s">
        <v>8</v>
      </c>
      <c r="CT430" s="27" t="s">
        <v>7</v>
      </c>
      <c r="CW430" s="27" t="s">
        <v>8</v>
      </c>
      <c r="CX430" s="27" t="s">
        <v>7</v>
      </c>
      <c r="CY430" s="27" t="s">
        <v>8</v>
      </c>
      <c r="CZ430" s="27" t="s">
        <v>7</v>
      </c>
      <c r="DA430" s="27" t="s">
        <v>8</v>
      </c>
      <c r="DB430" s="27" t="s">
        <v>7</v>
      </c>
      <c r="DD430" s="27" t="s">
        <v>7</v>
      </c>
      <c r="DH430" s="27" t="s">
        <v>7</v>
      </c>
      <c r="DI430" s="27" t="s">
        <v>8</v>
      </c>
      <c r="DJ430" s="27" t="s">
        <v>7</v>
      </c>
      <c r="DK430" s="27" t="s">
        <v>8</v>
      </c>
      <c r="DP430" s="27" t="s">
        <v>7</v>
      </c>
      <c r="DZ430" s="27" t="s">
        <v>7</v>
      </c>
      <c r="EA430" s="27" t="s">
        <v>8</v>
      </c>
      <c r="EN430" s="27" t="s">
        <v>7</v>
      </c>
      <c r="EO430" s="27" t="s">
        <v>8</v>
      </c>
      <c r="EP430" s="27" t="s">
        <v>7</v>
      </c>
      <c r="HW430" s="27" t="s">
        <v>8</v>
      </c>
      <c r="HX430" s="27" t="s">
        <v>7</v>
      </c>
    </row>
    <row r="431" spans="1:232" x14ac:dyDescent="0.25">
      <c r="A431" s="7">
        <v>21.959719826504344</v>
      </c>
      <c r="B431"/>
      <c r="C431"/>
      <c r="D431"/>
      <c r="E431"/>
      <c r="CG431" s="27" t="s">
        <v>8</v>
      </c>
      <c r="CR431" s="27" t="s">
        <v>7</v>
      </c>
      <c r="CS431" s="27" t="s">
        <v>8</v>
      </c>
      <c r="CT431" s="27" t="s">
        <v>7</v>
      </c>
      <c r="CW431" s="27" t="s">
        <v>8</v>
      </c>
      <c r="CX431" s="27" t="s">
        <v>7</v>
      </c>
      <c r="CY431" s="27" t="s">
        <v>8</v>
      </c>
      <c r="CZ431" s="27" t="s">
        <v>7</v>
      </c>
      <c r="DA431" s="27" t="s">
        <v>8</v>
      </c>
      <c r="DH431" s="27" t="s">
        <v>7</v>
      </c>
      <c r="DI431" s="27" t="s">
        <v>8</v>
      </c>
      <c r="DJ431" s="27" t="s">
        <v>7</v>
      </c>
      <c r="DK431" s="27" t="s">
        <v>8</v>
      </c>
      <c r="DZ431" s="27" t="s">
        <v>7</v>
      </c>
      <c r="EA431" s="27" t="s">
        <v>8</v>
      </c>
      <c r="EN431" s="27" t="s">
        <v>7</v>
      </c>
      <c r="EO431" s="27" t="s">
        <v>8</v>
      </c>
      <c r="EP431" s="27" t="s">
        <v>7</v>
      </c>
      <c r="HW431" s="27" t="s">
        <v>8</v>
      </c>
      <c r="HX431" s="27" t="s">
        <v>7</v>
      </c>
    </row>
    <row r="432" spans="1:232" x14ac:dyDescent="0.25">
      <c r="A432" s="7">
        <v>21.52913708480818</v>
      </c>
      <c r="B432"/>
      <c r="C432"/>
      <c r="D432"/>
      <c r="E432"/>
      <c r="CG432" s="27" t="s">
        <v>8</v>
      </c>
      <c r="CR432" s="27" t="s">
        <v>7</v>
      </c>
      <c r="CS432" s="27" t="s">
        <v>8</v>
      </c>
      <c r="CT432" s="27" t="s">
        <v>7</v>
      </c>
      <c r="CU432" s="27" t="s">
        <v>8</v>
      </c>
      <c r="CW432" s="27" t="s">
        <v>8</v>
      </c>
      <c r="CX432" s="27" t="s">
        <v>7</v>
      </c>
      <c r="CY432" s="27" t="s">
        <v>8</v>
      </c>
      <c r="CZ432" s="27" t="s">
        <v>7</v>
      </c>
      <c r="DH432" s="27" t="s">
        <v>7</v>
      </c>
      <c r="DI432" s="27" t="s">
        <v>8</v>
      </c>
      <c r="DJ432" s="27" t="s">
        <v>7</v>
      </c>
      <c r="DZ432" s="27" t="s">
        <v>7</v>
      </c>
      <c r="EA432" s="27" t="s">
        <v>8</v>
      </c>
      <c r="EN432" s="27" t="s">
        <v>7</v>
      </c>
      <c r="EO432" s="27" t="s">
        <v>8</v>
      </c>
      <c r="EP432" s="27" t="s">
        <v>7</v>
      </c>
      <c r="HQ432" s="27" t="s">
        <v>8</v>
      </c>
      <c r="HW432" s="27" t="s">
        <v>8</v>
      </c>
      <c r="HX432" s="27" t="s">
        <v>7</v>
      </c>
    </row>
    <row r="433" spans="1:234" x14ac:dyDescent="0.25">
      <c r="A433" s="7">
        <v>21.106997141968804</v>
      </c>
      <c r="B433"/>
      <c r="C433"/>
      <c r="D433"/>
      <c r="E433"/>
      <c r="CG433" s="27" t="s">
        <v>8</v>
      </c>
      <c r="CR433" s="27" t="s">
        <v>7</v>
      </c>
      <c r="CS433" s="27" t="s">
        <v>8</v>
      </c>
      <c r="CT433" s="27" t="s">
        <v>7</v>
      </c>
      <c r="CU433" s="27" t="s">
        <v>8</v>
      </c>
      <c r="CV433" s="27" t="s">
        <v>7</v>
      </c>
      <c r="CW433" s="27" t="s">
        <v>8</v>
      </c>
      <c r="CX433" s="27" t="s">
        <v>7</v>
      </c>
      <c r="CY433" s="27" t="s">
        <v>8</v>
      </c>
      <c r="DH433" s="27" t="s">
        <v>7</v>
      </c>
      <c r="DI433" s="27" t="s">
        <v>8</v>
      </c>
      <c r="DZ433" s="27" t="s">
        <v>7</v>
      </c>
      <c r="EA433" s="27" t="s">
        <v>8</v>
      </c>
      <c r="EN433" s="27" t="s">
        <v>7</v>
      </c>
      <c r="EP433" s="27" t="s">
        <v>7</v>
      </c>
      <c r="HQ433" s="27" t="s">
        <v>8</v>
      </c>
      <c r="HR433" s="27" t="s">
        <v>7</v>
      </c>
      <c r="HW433" s="27" t="s">
        <v>8</v>
      </c>
      <c r="HX433" s="27" t="s">
        <v>7</v>
      </c>
      <c r="HY433" s="27" t="s">
        <v>8</v>
      </c>
    </row>
    <row r="434" spans="1:234" x14ac:dyDescent="0.25">
      <c r="A434" s="7">
        <v>20.693134452910591</v>
      </c>
      <c r="B434"/>
      <c r="C434"/>
      <c r="D434"/>
      <c r="E434"/>
      <c r="CG434" s="27" t="s">
        <v>8</v>
      </c>
      <c r="CR434" s="27" t="s">
        <v>7</v>
      </c>
      <c r="CS434" s="27" t="s">
        <v>8</v>
      </c>
      <c r="CT434" s="27" t="s">
        <v>7</v>
      </c>
      <c r="CU434" s="27" t="s">
        <v>8</v>
      </c>
      <c r="CV434" s="27" t="s">
        <v>7</v>
      </c>
      <c r="CW434" s="27" t="s">
        <v>8</v>
      </c>
      <c r="CX434" s="27" t="s">
        <v>7</v>
      </c>
      <c r="CY434" s="27" t="s">
        <v>8</v>
      </c>
      <c r="DH434" s="27" t="s">
        <v>7</v>
      </c>
      <c r="DI434" s="27" t="s">
        <v>8</v>
      </c>
      <c r="DZ434" s="27" t="s">
        <v>7</v>
      </c>
      <c r="EA434" s="27" t="s">
        <v>8</v>
      </c>
      <c r="EP434" s="27" t="s">
        <v>7</v>
      </c>
      <c r="HQ434" s="27" t="s">
        <v>8</v>
      </c>
      <c r="HR434" s="27" t="s">
        <v>7</v>
      </c>
      <c r="HW434" s="27" t="s">
        <v>8</v>
      </c>
      <c r="HX434" s="27" t="s">
        <v>7</v>
      </c>
      <c r="HY434" s="27" t="s">
        <v>8</v>
      </c>
      <c r="HZ434" s="27" t="s">
        <v>7</v>
      </c>
    </row>
    <row r="435" spans="1:234" x14ac:dyDescent="0.25">
      <c r="A435" s="7">
        <v>20.287386718539796</v>
      </c>
      <c r="B435"/>
      <c r="C435"/>
      <c r="D435"/>
      <c r="E435" t="s">
        <v>8</v>
      </c>
      <c r="CG435" s="27" t="s">
        <v>8</v>
      </c>
      <c r="CR435" s="27" t="s">
        <v>7</v>
      </c>
      <c r="CS435" s="27" t="s">
        <v>8</v>
      </c>
      <c r="CT435" s="27" t="s">
        <v>7</v>
      </c>
      <c r="CU435" s="27" t="s">
        <v>8</v>
      </c>
      <c r="CV435" s="27" t="s">
        <v>7</v>
      </c>
      <c r="CW435" s="27" t="s">
        <v>8</v>
      </c>
      <c r="CX435" s="27" t="s">
        <v>7</v>
      </c>
      <c r="CY435" s="27" t="s">
        <v>8</v>
      </c>
      <c r="DH435" s="27" t="s">
        <v>7</v>
      </c>
      <c r="DI435" s="27" t="s">
        <v>8</v>
      </c>
      <c r="DZ435" s="27" t="s">
        <v>7</v>
      </c>
      <c r="EP435" s="27" t="s">
        <v>7</v>
      </c>
      <c r="HQ435" s="27" t="s">
        <v>8</v>
      </c>
      <c r="HR435" s="27" t="s">
        <v>7</v>
      </c>
      <c r="HW435" s="27" t="s">
        <v>8</v>
      </c>
      <c r="HX435" s="27" t="s">
        <v>7</v>
      </c>
      <c r="HY435" s="27" t="s">
        <v>8</v>
      </c>
      <c r="HZ435" s="27" t="s">
        <v>7</v>
      </c>
    </row>
    <row r="436" spans="1:234" x14ac:dyDescent="0.25">
      <c r="A436" s="7">
        <v>19.889594822097838</v>
      </c>
      <c r="B436"/>
      <c r="C436"/>
      <c r="D436"/>
      <c r="E436" t="s">
        <v>8</v>
      </c>
      <c r="F436" s="27" t="s">
        <v>7</v>
      </c>
      <c r="CG436" s="27" t="s">
        <v>8</v>
      </c>
      <c r="CR436" s="27" t="s">
        <v>7</v>
      </c>
      <c r="CS436" s="27" t="s">
        <v>8</v>
      </c>
      <c r="CT436" s="27" t="s">
        <v>7</v>
      </c>
      <c r="CU436" s="27" t="s">
        <v>8</v>
      </c>
      <c r="CV436" s="27" t="s">
        <v>7</v>
      </c>
      <c r="CW436" s="27" t="s">
        <v>8</v>
      </c>
      <c r="CX436" s="27" t="s">
        <v>7</v>
      </c>
      <c r="CY436" s="27" t="s">
        <v>8</v>
      </c>
      <c r="DH436" s="27" t="s">
        <v>7</v>
      </c>
      <c r="EP436" s="27" t="s">
        <v>7</v>
      </c>
      <c r="HQ436" s="27" t="s">
        <v>8</v>
      </c>
      <c r="HR436" s="27" t="s">
        <v>7</v>
      </c>
      <c r="HU436" s="27" t="s">
        <v>8</v>
      </c>
      <c r="HW436" s="27" t="s">
        <v>8</v>
      </c>
      <c r="HX436" s="27" t="s">
        <v>7</v>
      </c>
      <c r="HY436" s="27" t="s">
        <v>8</v>
      </c>
      <c r="HZ436" s="27" t="s">
        <v>7</v>
      </c>
    </row>
    <row r="437" spans="1:234" x14ac:dyDescent="0.25">
      <c r="A437" s="7">
        <v>19.499602766762585</v>
      </c>
      <c r="B437"/>
      <c r="C437"/>
      <c r="D437"/>
      <c r="E437" t="s">
        <v>8</v>
      </c>
      <c r="F437" s="27" t="s">
        <v>7</v>
      </c>
      <c r="CG437" s="27" t="s">
        <v>8</v>
      </c>
      <c r="CR437" s="27" t="s">
        <v>7</v>
      </c>
      <c r="CS437" s="27" t="s">
        <v>8</v>
      </c>
      <c r="CT437" s="27" t="s">
        <v>7</v>
      </c>
      <c r="CU437" s="27" t="s">
        <v>8</v>
      </c>
      <c r="CV437" s="27" t="s">
        <v>7</v>
      </c>
      <c r="CW437" s="27" t="s">
        <v>8</v>
      </c>
      <c r="CX437" s="27" t="s">
        <v>7</v>
      </c>
      <c r="EP437" s="27" t="s">
        <v>7</v>
      </c>
      <c r="HQ437" s="27" t="s">
        <v>8</v>
      </c>
      <c r="HR437" s="27" t="s">
        <v>7</v>
      </c>
      <c r="HU437" s="27" t="s">
        <v>8</v>
      </c>
      <c r="HV437" s="27" t="s">
        <v>7</v>
      </c>
      <c r="HW437" s="27" t="s">
        <v>8</v>
      </c>
      <c r="HX437" s="27" t="s">
        <v>7</v>
      </c>
      <c r="HY437" s="27" t="s">
        <v>8</v>
      </c>
      <c r="HZ437" s="27" t="s">
        <v>7</v>
      </c>
    </row>
    <row r="438" spans="1:234" x14ac:dyDescent="0.25">
      <c r="A438" s="7">
        <v>19.117257614473122</v>
      </c>
      <c r="B438"/>
      <c r="C438"/>
      <c r="D438"/>
      <c r="E438" t="s">
        <v>8</v>
      </c>
      <c r="F438" s="27" t="s">
        <v>7</v>
      </c>
      <c r="CG438" s="27" t="s">
        <v>8</v>
      </c>
      <c r="CR438" s="27" t="s">
        <v>7</v>
      </c>
      <c r="CS438" s="27" t="s">
        <v>8</v>
      </c>
      <c r="CT438" s="27" t="s">
        <v>7</v>
      </c>
      <c r="CU438" s="27" t="s">
        <v>8</v>
      </c>
      <c r="CV438" s="27" t="s">
        <v>7</v>
      </c>
      <c r="CW438" s="27" t="s">
        <v>8</v>
      </c>
      <c r="EP438" s="27" t="s">
        <v>7</v>
      </c>
      <c r="HQ438" s="27" t="s">
        <v>8</v>
      </c>
      <c r="HR438" s="27" t="s">
        <v>7</v>
      </c>
      <c r="HU438" s="27" t="s">
        <v>8</v>
      </c>
      <c r="HV438" s="27" t="s">
        <v>7</v>
      </c>
      <c r="HW438" s="27" t="s">
        <v>8</v>
      </c>
      <c r="HX438" s="27" t="s">
        <v>7</v>
      </c>
      <c r="HY438" s="27" t="s">
        <v>8</v>
      </c>
      <c r="HZ438" s="27" t="s">
        <v>7</v>
      </c>
    </row>
    <row r="439" spans="1:234" x14ac:dyDescent="0.25">
      <c r="A439" s="7">
        <v>18.74240942595404</v>
      </c>
      <c r="B439"/>
      <c r="C439"/>
      <c r="D439"/>
      <c r="E439" t="s">
        <v>8</v>
      </c>
      <c r="F439" s="27" t="s">
        <v>7</v>
      </c>
      <c r="CG439" s="27" t="s">
        <v>8</v>
      </c>
      <c r="CR439" s="27" t="s">
        <v>7</v>
      </c>
      <c r="CS439" s="27" t="s">
        <v>8</v>
      </c>
      <c r="CT439" s="27" t="s">
        <v>7</v>
      </c>
      <c r="CV439" s="27" t="s">
        <v>7</v>
      </c>
      <c r="CW439" s="27" t="s">
        <v>8</v>
      </c>
      <c r="EP439" s="27" t="s">
        <v>7</v>
      </c>
      <c r="EQ439" s="27" t="s">
        <v>8</v>
      </c>
      <c r="HQ439" s="27" t="s">
        <v>8</v>
      </c>
      <c r="HR439" s="27" t="s">
        <v>7</v>
      </c>
      <c r="HU439" s="27" t="s">
        <v>8</v>
      </c>
      <c r="HV439" s="27" t="s">
        <v>7</v>
      </c>
      <c r="HW439" s="27" t="s">
        <v>8</v>
      </c>
      <c r="HX439" s="27" t="s">
        <v>7</v>
      </c>
      <c r="HY439" s="27" t="s">
        <v>8</v>
      </c>
      <c r="HZ439" s="27" t="s">
        <v>7</v>
      </c>
    </row>
    <row r="440" spans="1:234" x14ac:dyDescent="0.25">
      <c r="A440" s="7">
        <v>18.374911201915726</v>
      </c>
      <c r="B440"/>
      <c r="C440"/>
      <c r="D440"/>
      <c r="E440" t="s">
        <v>8</v>
      </c>
      <c r="F440" s="27" t="s">
        <v>7</v>
      </c>
      <c r="CG440" s="27" t="s">
        <v>8</v>
      </c>
      <c r="CR440" s="27" t="s">
        <v>7</v>
      </c>
      <c r="CS440" s="27" t="s">
        <v>8</v>
      </c>
      <c r="CV440" s="27" t="s">
        <v>7</v>
      </c>
      <c r="CW440" s="27" t="s">
        <v>8</v>
      </c>
      <c r="EP440" s="27" t="s">
        <v>7</v>
      </c>
      <c r="EQ440" s="27" t="s">
        <v>8</v>
      </c>
      <c r="ER440" s="27" t="s">
        <v>7</v>
      </c>
      <c r="HQ440" s="27" t="s">
        <v>8</v>
      </c>
      <c r="HR440" s="27" t="s">
        <v>7</v>
      </c>
      <c r="HU440" s="27" t="s">
        <v>8</v>
      </c>
      <c r="HV440" s="27" t="s">
        <v>7</v>
      </c>
      <c r="HW440" s="27" t="s">
        <v>8</v>
      </c>
      <c r="HX440" s="27" t="s">
        <v>7</v>
      </c>
      <c r="HZ440" s="27" t="s">
        <v>7</v>
      </c>
    </row>
    <row r="441" spans="1:234" x14ac:dyDescent="0.25">
      <c r="A441" s="7">
        <v>18.014618825407574</v>
      </c>
      <c r="B441"/>
      <c r="C441"/>
      <c r="D441"/>
      <c r="E441" t="s">
        <v>8</v>
      </c>
      <c r="F441" s="27" t="s">
        <v>7</v>
      </c>
      <c r="CG441" s="27" t="s">
        <v>8</v>
      </c>
      <c r="CR441" s="27" t="s">
        <v>7</v>
      </c>
      <c r="CS441" s="27" t="s">
        <v>8</v>
      </c>
      <c r="CV441" s="27" t="s">
        <v>7</v>
      </c>
      <c r="CW441" s="27" t="s">
        <v>8</v>
      </c>
      <c r="EP441" s="27" t="s">
        <v>7</v>
      </c>
      <c r="EQ441" s="27" t="s">
        <v>8</v>
      </c>
      <c r="ER441" s="27" t="s">
        <v>7</v>
      </c>
      <c r="HQ441" s="27" t="s">
        <v>8</v>
      </c>
      <c r="HR441" s="27" t="s">
        <v>7</v>
      </c>
      <c r="HU441" s="27" t="s">
        <v>8</v>
      </c>
      <c r="HV441" s="27" t="s">
        <v>7</v>
      </c>
      <c r="HW441" s="27" t="s">
        <v>8</v>
      </c>
      <c r="HZ441" s="27" t="s">
        <v>7</v>
      </c>
    </row>
    <row r="442" spans="1:234" x14ac:dyDescent="0.25">
      <c r="A442" s="7">
        <v>17.661391005301542</v>
      </c>
      <c r="B442"/>
      <c r="C442"/>
      <c r="D442"/>
      <c r="E442" t="s">
        <v>8</v>
      </c>
      <c r="F442" s="27" t="s">
        <v>7</v>
      </c>
      <c r="G442" s="27" t="s">
        <v>8</v>
      </c>
      <c r="CG442" s="27" t="s">
        <v>8</v>
      </c>
      <c r="CR442" s="27" t="s">
        <v>7</v>
      </c>
      <c r="CV442" s="27" t="s">
        <v>7</v>
      </c>
      <c r="EP442" s="27" t="s">
        <v>7</v>
      </c>
      <c r="EQ442" s="27" t="s">
        <v>8</v>
      </c>
      <c r="ER442" s="27" t="s">
        <v>7</v>
      </c>
      <c r="EU442" s="27" t="s">
        <v>8</v>
      </c>
      <c r="HQ442" s="27" t="s">
        <v>8</v>
      </c>
      <c r="HR442" s="27" t="s">
        <v>7</v>
      </c>
      <c r="HU442" s="27" t="s">
        <v>8</v>
      </c>
      <c r="HV442" s="27" t="s">
        <v>7</v>
      </c>
      <c r="HW442" s="27" t="s">
        <v>8</v>
      </c>
      <c r="HZ442" s="27" t="s">
        <v>7</v>
      </c>
    </row>
    <row r="443" spans="1:234" x14ac:dyDescent="0.25">
      <c r="A443" s="7">
        <v>17.315089220883866</v>
      </c>
      <c r="B443"/>
      <c r="C443"/>
      <c r="D443"/>
      <c r="E443" t="s">
        <v>8</v>
      </c>
      <c r="F443" s="27" t="s">
        <v>7</v>
      </c>
      <c r="G443" s="27" t="s">
        <v>8</v>
      </c>
      <c r="H443" s="27" t="s">
        <v>7</v>
      </c>
      <c r="CG443" s="27" t="s">
        <v>8</v>
      </c>
      <c r="EP443" s="27" t="s">
        <v>7</v>
      </c>
      <c r="EQ443" s="27" t="s">
        <v>8</v>
      </c>
      <c r="ER443" s="27" t="s">
        <v>7</v>
      </c>
      <c r="EU443" s="27" t="s">
        <v>8</v>
      </c>
      <c r="EV443" s="27" t="s">
        <v>7</v>
      </c>
      <c r="HQ443" s="27" t="s">
        <v>8</v>
      </c>
      <c r="HR443" s="27" t="s">
        <v>7</v>
      </c>
      <c r="HS443" s="27" t="s">
        <v>8</v>
      </c>
      <c r="HU443" s="27" t="s">
        <v>8</v>
      </c>
      <c r="HV443" s="27" t="s">
        <v>7</v>
      </c>
      <c r="HW443" s="27" t="s">
        <v>8</v>
      </c>
      <c r="HZ443" s="27" t="s">
        <v>7</v>
      </c>
    </row>
    <row r="444" spans="1:234" x14ac:dyDescent="0.25">
      <c r="A444" s="7">
        <v>16.975577667533202</v>
      </c>
      <c r="B444"/>
      <c r="C444"/>
      <c r="D444"/>
      <c r="E444" t="s">
        <v>8</v>
      </c>
      <c r="F444" s="27" t="s">
        <v>7</v>
      </c>
      <c r="G444" s="27" t="s">
        <v>8</v>
      </c>
      <c r="H444" s="27" t="s">
        <v>7</v>
      </c>
      <c r="CG444" s="27" t="s">
        <v>8</v>
      </c>
      <c r="EP444" s="27" t="s">
        <v>7</v>
      </c>
      <c r="EQ444" s="27" t="s">
        <v>8</v>
      </c>
      <c r="ER444" s="27" t="s">
        <v>7</v>
      </c>
      <c r="EU444" s="27" t="s">
        <v>8</v>
      </c>
      <c r="EV444" s="27" t="s">
        <v>7</v>
      </c>
      <c r="HQ444" s="27" t="s">
        <v>8</v>
      </c>
      <c r="HR444" s="27" t="s">
        <v>7</v>
      </c>
      <c r="HS444" s="27" t="s">
        <v>8</v>
      </c>
      <c r="HT444" s="27" t="s">
        <v>7</v>
      </c>
      <c r="HU444" s="27" t="s">
        <v>8</v>
      </c>
      <c r="HV444" s="27" t="s">
        <v>7</v>
      </c>
      <c r="HW444" s="27" t="s">
        <v>8</v>
      </c>
      <c r="HZ444" s="27" t="s">
        <v>7</v>
      </c>
    </row>
    <row r="445" spans="1:234" x14ac:dyDescent="0.25">
      <c r="A445" s="7">
        <v>16.642723203463923</v>
      </c>
      <c r="B445"/>
      <c r="C445"/>
      <c r="D445"/>
      <c r="E445" t="s">
        <v>8</v>
      </c>
      <c r="F445" s="27" t="s">
        <v>7</v>
      </c>
      <c r="G445" s="27" t="s">
        <v>8</v>
      </c>
      <c r="H445" s="27" t="s">
        <v>7</v>
      </c>
      <c r="CG445" s="27" t="s">
        <v>8</v>
      </c>
      <c r="EP445" s="27" t="s">
        <v>7</v>
      </c>
      <c r="EQ445" s="27" t="s">
        <v>8</v>
      </c>
      <c r="ER445" s="27" t="s">
        <v>7</v>
      </c>
      <c r="EU445" s="27" t="s">
        <v>8</v>
      </c>
      <c r="EV445" s="27" t="s">
        <v>7</v>
      </c>
      <c r="HQ445" s="27" t="s">
        <v>8</v>
      </c>
      <c r="HR445" s="27" t="s">
        <v>7</v>
      </c>
      <c r="HS445" s="27" t="s">
        <v>8</v>
      </c>
      <c r="HT445" s="27" t="s">
        <v>7</v>
      </c>
      <c r="HU445" s="27" t="s">
        <v>8</v>
      </c>
      <c r="HV445" s="27" t="s">
        <v>7</v>
      </c>
      <c r="HW445" s="27" t="s">
        <v>8</v>
      </c>
      <c r="HZ445" s="27" t="s">
        <v>7</v>
      </c>
    </row>
    <row r="446" spans="1:234" x14ac:dyDescent="0.25">
      <c r="A446" s="7">
        <v>16.316395297513651</v>
      </c>
      <c r="B446"/>
      <c r="C446"/>
      <c r="D446"/>
      <c r="E446" t="s">
        <v>8</v>
      </c>
      <c r="F446" s="27" t="s">
        <v>7</v>
      </c>
      <c r="G446" s="27" t="s">
        <v>8</v>
      </c>
      <c r="H446" s="27" t="s">
        <v>7</v>
      </c>
      <c r="CG446" s="27" t="s">
        <v>8</v>
      </c>
      <c r="EP446" s="27" t="s">
        <v>7</v>
      </c>
      <c r="EQ446" s="27" t="s">
        <v>8</v>
      </c>
      <c r="ER446" s="27" t="s">
        <v>7</v>
      </c>
      <c r="EU446" s="27" t="s">
        <v>8</v>
      </c>
      <c r="EV446" s="27" t="s">
        <v>7</v>
      </c>
      <c r="HQ446" s="27" t="s">
        <v>8</v>
      </c>
      <c r="HR446" s="27" t="s">
        <v>7</v>
      </c>
      <c r="HS446" s="27" t="s">
        <v>8</v>
      </c>
      <c r="HT446" s="27" t="s">
        <v>7</v>
      </c>
      <c r="HU446" s="27" t="s">
        <v>8</v>
      </c>
      <c r="HV446" s="27" t="s">
        <v>7</v>
      </c>
      <c r="HW446" s="27" t="s">
        <v>8</v>
      </c>
      <c r="HZ446" s="27" t="s">
        <v>7</v>
      </c>
    </row>
    <row r="447" spans="1:234" x14ac:dyDescent="0.25">
      <c r="A447" s="7">
        <v>15.996465977954561</v>
      </c>
      <c r="B447"/>
      <c r="C447"/>
      <c r="D447"/>
      <c r="E447" t="s">
        <v>8</v>
      </c>
      <c r="F447" s="27" t="s">
        <v>7</v>
      </c>
      <c r="H447" s="27" t="s">
        <v>7</v>
      </c>
      <c r="I447" s="27" t="s">
        <v>8</v>
      </c>
      <c r="CG447" s="27" t="s">
        <v>8</v>
      </c>
      <c r="EP447" s="27" t="s">
        <v>7</v>
      </c>
      <c r="EQ447" s="27" t="s">
        <v>8</v>
      </c>
      <c r="ER447" s="27" t="s">
        <v>7</v>
      </c>
      <c r="ES447" s="27" t="s">
        <v>8</v>
      </c>
      <c r="EU447" s="27" t="s">
        <v>8</v>
      </c>
      <c r="EV447" s="27" t="s">
        <v>7</v>
      </c>
      <c r="HQ447" s="27" t="s">
        <v>8</v>
      </c>
      <c r="HR447" s="27" t="s">
        <v>7</v>
      </c>
      <c r="HS447" s="27" t="s">
        <v>8</v>
      </c>
      <c r="HT447" s="27" t="s">
        <v>7</v>
      </c>
      <c r="HU447" s="27" t="s">
        <v>8</v>
      </c>
      <c r="HV447" s="27" t="s">
        <v>7</v>
      </c>
      <c r="HZ447" s="27" t="s">
        <v>7</v>
      </c>
    </row>
    <row r="448" spans="1:234" x14ac:dyDescent="0.25">
      <c r="A448" s="7">
        <v>15.682809782308393</v>
      </c>
      <c r="B448"/>
      <c r="C448"/>
      <c r="D448"/>
      <c r="E448" t="s">
        <v>8</v>
      </c>
      <c r="H448" s="27" t="s">
        <v>7</v>
      </c>
      <c r="I448" s="27" t="s">
        <v>8</v>
      </c>
      <c r="J448" s="27" t="s">
        <v>7</v>
      </c>
      <c r="CG448" s="27" t="s">
        <v>8</v>
      </c>
      <c r="EP448" s="27" t="s">
        <v>7</v>
      </c>
      <c r="EQ448" s="27" t="s">
        <v>8</v>
      </c>
      <c r="ER448" s="27" t="s">
        <v>7</v>
      </c>
      <c r="ES448" s="27" t="s">
        <v>8</v>
      </c>
      <c r="ET448" s="27" t="s">
        <v>7</v>
      </c>
      <c r="EU448" s="27" t="s">
        <v>8</v>
      </c>
      <c r="EV448" s="27" t="s">
        <v>7</v>
      </c>
      <c r="HQ448" s="27" t="s">
        <v>8</v>
      </c>
      <c r="HR448" s="27" t="s">
        <v>7</v>
      </c>
      <c r="HS448" s="27" t="s">
        <v>8</v>
      </c>
      <c r="HT448" s="27" t="s">
        <v>7</v>
      </c>
      <c r="HU448" s="27" t="s">
        <v>8</v>
      </c>
      <c r="HZ448" s="27" t="s">
        <v>7</v>
      </c>
    </row>
    <row r="449" spans="1:255" x14ac:dyDescent="0.25">
      <c r="A449" s="7">
        <v>15.375303708145482</v>
      </c>
      <c r="B449"/>
      <c r="C449"/>
      <c r="D449"/>
      <c r="E449" t="s">
        <v>8</v>
      </c>
      <c r="H449" s="27" t="s">
        <v>7</v>
      </c>
      <c r="I449" s="27" t="s">
        <v>8</v>
      </c>
      <c r="J449" s="27" t="s">
        <v>7</v>
      </c>
      <c r="CG449" s="27" t="s">
        <v>8</v>
      </c>
      <c r="EP449" s="27" t="s">
        <v>7</v>
      </c>
      <c r="EQ449" s="27" t="s">
        <v>8</v>
      </c>
      <c r="ER449" s="27" t="s">
        <v>7</v>
      </c>
      <c r="ES449" s="27" t="s">
        <v>8</v>
      </c>
      <c r="ET449" s="27" t="s">
        <v>7</v>
      </c>
      <c r="EU449" s="27" t="s">
        <v>8</v>
      </c>
      <c r="EV449" s="27" t="s">
        <v>7</v>
      </c>
      <c r="HQ449" s="27" t="s">
        <v>8</v>
      </c>
      <c r="HR449" s="27" t="s">
        <v>7</v>
      </c>
      <c r="HS449" s="27" t="s">
        <v>8</v>
      </c>
      <c r="HT449" s="27" t="s">
        <v>7</v>
      </c>
      <c r="HU449" s="27" t="s">
        <v>8</v>
      </c>
      <c r="HZ449" s="27" t="s">
        <v>7</v>
      </c>
    </row>
    <row r="450" spans="1:255" x14ac:dyDescent="0.25">
      <c r="A450" s="7">
        <v>15.073827164848511</v>
      </c>
      <c r="B450"/>
      <c r="C450"/>
      <c r="D450"/>
      <c r="E450" t="s">
        <v>8</v>
      </c>
      <c r="H450" s="27" t="s">
        <v>7</v>
      </c>
      <c r="I450" s="27" t="s">
        <v>8</v>
      </c>
      <c r="J450" s="27" t="s">
        <v>7</v>
      </c>
      <c r="CG450" s="27" t="s">
        <v>8</v>
      </c>
      <c r="EP450" s="27" t="s">
        <v>7</v>
      </c>
      <c r="EQ450" s="27" t="s">
        <v>8</v>
      </c>
      <c r="ER450" s="27" t="s">
        <v>7</v>
      </c>
      <c r="ES450" s="27" t="s">
        <v>8</v>
      </c>
      <c r="ET450" s="27" t="s">
        <v>7</v>
      </c>
      <c r="EU450" s="27" t="s">
        <v>8</v>
      </c>
      <c r="EV450" s="27" t="s">
        <v>7</v>
      </c>
      <c r="GC450" s="27" t="s">
        <v>8</v>
      </c>
      <c r="GE450" s="27" t="s">
        <v>8</v>
      </c>
      <c r="HQ450" s="27" t="s">
        <v>8</v>
      </c>
      <c r="HR450" s="27" t="s">
        <v>7</v>
      </c>
      <c r="HS450" s="27" t="s">
        <v>8</v>
      </c>
      <c r="HT450" s="27" t="s">
        <v>7</v>
      </c>
      <c r="HU450" s="27" t="s">
        <v>8</v>
      </c>
      <c r="HZ450" s="27" t="s">
        <v>7</v>
      </c>
      <c r="IA450" s="27" t="s">
        <v>8</v>
      </c>
    </row>
    <row r="451" spans="1:255" x14ac:dyDescent="0.25">
      <c r="A451" s="7">
        <v>14.77826192632207</v>
      </c>
      <c r="B451"/>
      <c r="C451"/>
      <c r="D451"/>
      <c r="E451" t="s">
        <v>8</v>
      </c>
      <c r="H451" s="27" t="s">
        <v>7</v>
      </c>
      <c r="I451" s="27" t="s">
        <v>8</v>
      </c>
      <c r="J451" s="27" t="s">
        <v>7</v>
      </c>
      <c r="CG451" s="27" t="s">
        <v>8</v>
      </c>
      <c r="EP451" s="27" t="s">
        <v>7</v>
      </c>
      <c r="EQ451" s="27" t="s">
        <v>8</v>
      </c>
      <c r="ER451" s="27" t="s">
        <v>7</v>
      </c>
      <c r="ES451" s="27" t="s">
        <v>8</v>
      </c>
      <c r="ET451" s="27" t="s">
        <v>7</v>
      </c>
      <c r="EU451" s="27" t="s">
        <v>8</v>
      </c>
      <c r="EV451" s="27" t="s">
        <v>7</v>
      </c>
      <c r="GC451" s="27" t="s">
        <v>8</v>
      </c>
      <c r="GD451" s="27" t="s">
        <v>7</v>
      </c>
      <c r="GE451" s="27" t="s">
        <v>8</v>
      </c>
      <c r="GF451" s="27" t="s">
        <v>7</v>
      </c>
      <c r="GK451" s="27" t="s">
        <v>8</v>
      </c>
      <c r="HQ451" s="27" t="s">
        <v>8</v>
      </c>
      <c r="HR451" s="27" t="s">
        <v>7</v>
      </c>
      <c r="HS451" s="27" t="s">
        <v>8</v>
      </c>
      <c r="HT451" s="27" t="s">
        <v>7</v>
      </c>
      <c r="HU451" s="27" t="s">
        <v>8</v>
      </c>
      <c r="HZ451" s="27" t="s">
        <v>7</v>
      </c>
      <c r="IA451" s="27" t="s">
        <v>8</v>
      </c>
      <c r="IB451" s="27" t="s">
        <v>7</v>
      </c>
    </row>
    <row r="452" spans="1:255" x14ac:dyDescent="0.25">
      <c r="A452" s="7">
        <v>14.488492084629481</v>
      </c>
      <c r="B452"/>
      <c r="C452"/>
      <c r="D452"/>
      <c r="E452" t="s">
        <v>8</v>
      </c>
      <c r="H452" s="27" t="s">
        <v>7</v>
      </c>
      <c r="I452" s="27" t="s">
        <v>8</v>
      </c>
      <c r="J452" s="27" t="s">
        <v>7</v>
      </c>
      <c r="CG452" s="27" t="s">
        <v>8</v>
      </c>
      <c r="EP452" s="27" t="s">
        <v>7</v>
      </c>
      <c r="EQ452" s="27" t="s">
        <v>8</v>
      </c>
      <c r="ER452" s="27" t="s">
        <v>7</v>
      </c>
      <c r="ES452" s="27" t="s">
        <v>8</v>
      </c>
      <c r="ET452" s="27" t="s">
        <v>7</v>
      </c>
      <c r="EU452" s="27" t="s">
        <v>8</v>
      </c>
      <c r="EV452" s="27" t="s">
        <v>7</v>
      </c>
      <c r="GC452" s="27" t="s">
        <v>8</v>
      </c>
      <c r="GD452" s="27" t="s">
        <v>7</v>
      </c>
      <c r="GE452" s="27" t="s">
        <v>8</v>
      </c>
      <c r="GF452" s="27" t="s">
        <v>7</v>
      </c>
      <c r="GK452" s="27" t="s">
        <v>8</v>
      </c>
      <c r="GL452" s="27" t="s">
        <v>7</v>
      </c>
      <c r="HI452" s="27" t="s">
        <v>8</v>
      </c>
      <c r="HQ452" s="27" t="s">
        <v>8</v>
      </c>
      <c r="HR452" s="27" t="s">
        <v>7</v>
      </c>
      <c r="HT452" s="27" t="s">
        <v>7</v>
      </c>
      <c r="HU452" s="27" t="s">
        <v>8</v>
      </c>
      <c r="HZ452" s="27" t="s">
        <v>7</v>
      </c>
      <c r="IA452" s="27" t="s">
        <v>8</v>
      </c>
      <c r="IB452" s="27" t="s">
        <v>7</v>
      </c>
    </row>
    <row r="453" spans="1:255" x14ac:dyDescent="0.25">
      <c r="A453" s="7">
        <v>14.204404004538707</v>
      </c>
      <c r="B453"/>
      <c r="C453"/>
      <c r="D453"/>
      <c r="E453" t="s">
        <v>8</v>
      </c>
      <c r="H453" s="27" t="s">
        <v>7</v>
      </c>
      <c r="I453" s="27" t="s">
        <v>8</v>
      </c>
      <c r="J453" s="27" t="s">
        <v>7</v>
      </c>
      <c r="CG453" s="27" t="s">
        <v>8</v>
      </c>
      <c r="EP453" s="27" t="s">
        <v>7</v>
      </c>
      <c r="EQ453" s="27" t="s">
        <v>8</v>
      </c>
      <c r="ER453" s="27" t="s">
        <v>7</v>
      </c>
      <c r="ES453" s="27" t="s">
        <v>8</v>
      </c>
      <c r="ET453" s="27" t="s">
        <v>7</v>
      </c>
      <c r="EU453" s="27" t="s">
        <v>8</v>
      </c>
      <c r="EV453" s="27" t="s">
        <v>7</v>
      </c>
      <c r="GC453" s="27" t="s">
        <v>8</v>
      </c>
      <c r="GD453" s="27" t="s">
        <v>7</v>
      </c>
      <c r="GE453" s="27" t="s">
        <v>8</v>
      </c>
      <c r="GF453" s="27" t="s">
        <v>7</v>
      </c>
      <c r="GK453" s="27" t="s">
        <v>8</v>
      </c>
      <c r="GL453" s="27" t="s">
        <v>7</v>
      </c>
      <c r="HI453" s="27" t="s">
        <v>8</v>
      </c>
      <c r="HJ453" s="27" t="s">
        <v>7</v>
      </c>
      <c r="HQ453" s="27" t="s">
        <v>8</v>
      </c>
      <c r="HT453" s="27" t="s">
        <v>7</v>
      </c>
      <c r="HU453" s="27" t="s">
        <v>8</v>
      </c>
      <c r="HZ453" s="27" t="s">
        <v>7</v>
      </c>
      <c r="IA453" s="27" t="s">
        <v>8</v>
      </c>
      <c r="IB453" s="27" t="s">
        <v>7</v>
      </c>
    </row>
    <row r="454" spans="1:255" x14ac:dyDescent="0.25">
      <c r="A454" s="7">
        <v>13.925886278959517</v>
      </c>
      <c r="B454"/>
      <c r="C454"/>
      <c r="D454"/>
      <c r="E454" t="s">
        <v>8</v>
      </c>
      <c r="H454" s="27" t="s">
        <v>7</v>
      </c>
      <c r="I454" s="27" t="s">
        <v>8</v>
      </c>
      <c r="J454" s="27" t="s">
        <v>7</v>
      </c>
      <c r="CG454" s="27" t="s">
        <v>8</v>
      </c>
      <c r="EP454" s="27" t="s">
        <v>7</v>
      </c>
      <c r="EQ454" s="27" t="s">
        <v>8</v>
      </c>
      <c r="ER454" s="27" t="s">
        <v>7</v>
      </c>
      <c r="ES454" s="27" t="s">
        <v>8</v>
      </c>
      <c r="ET454" s="27" t="s">
        <v>7</v>
      </c>
      <c r="EU454" s="27" t="s">
        <v>8</v>
      </c>
      <c r="EV454" s="27" t="s">
        <v>7</v>
      </c>
      <c r="GC454" s="27" t="s">
        <v>8</v>
      </c>
      <c r="GD454" s="27" t="s">
        <v>7</v>
      </c>
      <c r="GE454" s="27" t="s">
        <v>8</v>
      </c>
      <c r="GF454" s="27" t="s">
        <v>7</v>
      </c>
      <c r="GK454" s="27" t="s">
        <v>8</v>
      </c>
      <c r="GL454" s="27" t="s">
        <v>7</v>
      </c>
      <c r="HI454" s="27" t="s">
        <v>8</v>
      </c>
      <c r="HJ454" s="27" t="s">
        <v>7</v>
      </c>
      <c r="HQ454" s="27" t="s">
        <v>8</v>
      </c>
      <c r="HT454" s="27" t="s">
        <v>7</v>
      </c>
      <c r="HZ454" s="27" t="s">
        <v>7</v>
      </c>
      <c r="IA454" s="27" t="s">
        <v>8</v>
      </c>
      <c r="IB454" s="27" t="s">
        <v>7</v>
      </c>
      <c r="IC454" s="27" t="s">
        <v>8</v>
      </c>
    </row>
    <row r="455" spans="1:255" x14ac:dyDescent="0.25">
      <c r="A455" s="7">
        <v>13.652829685254428</v>
      </c>
      <c r="B455"/>
      <c r="C455"/>
      <c r="D455"/>
      <c r="E455" t="s">
        <v>8</v>
      </c>
      <c r="H455" s="27" t="s">
        <v>7</v>
      </c>
      <c r="I455" s="27" t="s">
        <v>8</v>
      </c>
      <c r="J455" s="27" t="s">
        <v>7</v>
      </c>
      <c r="CG455" s="27" t="s">
        <v>8</v>
      </c>
      <c r="EP455" s="27" t="s">
        <v>7</v>
      </c>
      <c r="EQ455" s="27" t="s">
        <v>8</v>
      </c>
      <c r="ER455" s="27" t="s">
        <v>7</v>
      </c>
      <c r="ES455" s="27" t="s">
        <v>8</v>
      </c>
      <c r="ET455" s="27" t="s">
        <v>7</v>
      </c>
      <c r="EU455" s="27" t="s">
        <v>8</v>
      </c>
      <c r="EV455" s="27" t="s">
        <v>7</v>
      </c>
      <c r="GC455" s="27" t="s">
        <v>8</v>
      </c>
      <c r="GD455" s="27" t="s">
        <v>7</v>
      </c>
      <c r="GF455" s="27" t="s">
        <v>7</v>
      </c>
      <c r="GG455" s="27" t="s">
        <v>8</v>
      </c>
      <c r="GK455" s="27" t="s">
        <v>8</v>
      </c>
      <c r="GL455" s="27" t="s">
        <v>7</v>
      </c>
      <c r="HI455" s="27" t="s">
        <v>8</v>
      </c>
      <c r="HJ455" s="27" t="s">
        <v>7</v>
      </c>
      <c r="HQ455" s="27" t="s">
        <v>8</v>
      </c>
      <c r="HZ455" s="27" t="s">
        <v>7</v>
      </c>
      <c r="IA455" s="27" t="s">
        <v>8</v>
      </c>
      <c r="IB455" s="27" t="s">
        <v>7</v>
      </c>
      <c r="IC455" s="27" t="s">
        <v>8</v>
      </c>
      <c r="ID455" s="27" t="s">
        <v>7</v>
      </c>
    </row>
    <row r="456" spans="1:255" x14ac:dyDescent="0.25">
      <c r="A456" s="7">
        <v>13.385127142406303</v>
      </c>
      <c r="B456"/>
      <c r="C456"/>
      <c r="D456"/>
      <c r="E456" t="s">
        <v>8</v>
      </c>
      <c r="H456" s="27" t="s">
        <v>7</v>
      </c>
      <c r="I456" s="27" t="s">
        <v>8</v>
      </c>
      <c r="J456" s="27" t="s">
        <v>7</v>
      </c>
      <c r="CG456" s="27" t="s">
        <v>8</v>
      </c>
      <c r="EP456" s="27" t="s">
        <v>7</v>
      </c>
      <c r="ER456" s="27" t="s">
        <v>7</v>
      </c>
      <c r="ES456" s="27" t="s">
        <v>8</v>
      </c>
      <c r="ET456" s="27" t="s">
        <v>7</v>
      </c>
      <c r="EU456" s="27" t="s">
        <v>8</v>
      </c>
      <c r="EV456" s="27" t="s">
        <v>7</v>
      </c>
      <c r="EW456" s="27" t="s">
        <v>8</v>
      </c>
      <c r="GC456" s="27" t="s">
        <v>8</v>
      </c>
      <c r="GF456" s="27" t="s">
        <v>7</v>
      </c>
      <c r="GG456" s="27" t="s">
        <v>8</v>
      </c>
      <c r="GH456" s="27" t="s">
        <v>7</v>
      </c>
      <c r="GI456" s="27" t="s">
        <v>8</v>
      </c>
      <c r="GK456" s="27" t="s">
        <v>8</v>
      </c>
      <c r="GL456" s="27" t="s">
        <v>7</v>
      </c>
      <c r="GS456" s="27" t="s">
        <v>8</v>
      </c>
      <c r="HI456" s="27" t="s">
        <v>8</v>
      </c>
      <c r="HJ456" s="27" t="s">
        <v>7</v>
      </c>
      <c r="HQ456" s="27" t="s">
        <v>8</v>
      </c>
      <c r="HZ456" s="27" t="s">
        <v>7</v>
      </c>
      <c r="IA456" s="27" t="s">
        <v>8</v>
      </c>
      <c r="IB456" s="27" t="s">
        <v>7</v>
      </c>
      <c r="IC456" s="27" t="s">
        <v>8</v>
      </c>
      <c r="ID456" s="27" t="s">
        <v>7</v>
      </c>
    </row>
    <row r="457" spans="1:255" x14ac:dyDescent="0.25">
      <c r="A457" s="7">
        <v>13.122673669025787</v>
      </c>
      <c r="B457"/>
      <c r="C457"/>
      <c r="D457"/>
      <c r="E457" t="s">
        <v>8</v>
      </c>
      <c r="H457" s="27" t="s">
        <v>7</v>
      </c>
      <c r="I457" s="27" t="s">
        <v>8</v>
      </c>
      <c r="J457" s="27" t="s">
        <v>7</v>
      </c>
      <c r="S457" s="27" t="s">
        <v>8</v>
      </c>
      <c r="CA457" s="27" t="s">
        <v>8</v>
      </c>
      <c r="CG457" s="27" t="s">
        <v>8</v>
      </c>
      <c r="ER457" s="27" t="s">
        <v>7</v>
      </c>
      <c r="ES457" s="27" t="s">
        <v>8</v>
      </c>
      <c r="ET457" s="27" t="s">
        <v>7</v>
      </c>
      <c r="EU457" s="27" t="s">
        <v>8</v>
      </c>
      <c r="EV457" s="27" t="s">
        <v>7</v>
      </c>
      <c r="EW457" s="27" t="s">
        <v>8</v>
      </c>
      <c r="EX457" s="27" t="s">
        <v>7</v>
      </c>
      <c r="EY457" s="27" t="s">
        <v>8</v>
      </c>
      <c r="GC457" s="27" t="s">
        <v>8</v>
      </c>
      <c r="GF457" s="27" t="s">
        <v>7</v>
      </c>
      <c r="GG457" s="27" t="s">
        <v>8</v>
      </c>
      <c r="GH457" s="27" t="s">
        <v>7</v>
      </c>
      <c r="GI457" s="27" t="s">
        <v>8</v>
      </c>
      <c r="GJ457" s="27" t="s">
        <v>7</v>
      </c>
      <c r="GK457" s="27" t="s">
        <v>8</v>
      </c>
      <c r="GL457" s="27" t="s">
        <v>7</v>
      </c>
      <c r="GS457" s="27" t="s">
        <v>8</v>
      </c>
      <c r="GT457" s="27" t="s">
        <v>7</v>
      </c>
      <c r="HI457" s="27" t="s">
        <v>8</v>
      </c>
      <c r="HJ457" s="27" t="s">
        <v>7</v>
      </c>
      <c r="HQ457" s="27" t="s">
        <v>8</v>
      </c>
      <c r="HZ457" s="27" t="s">
        <v>7</v>
      </c>
      <c r="IA457" s="27" t="s">
        <v>8</v>
      </c>
      <c r="IB457" s="27" t="s">
        <v>7</v>
      </c>
      <c r="ID457" s="27" t="s">
        <v>7</v>
      </c>
    </row>
    <row r="458" spans="1:255" x14ac:dyDescent="0.25">
      <c r="A458" s="7">
        <v>12.865366342182144</v>
      </c>
      <c r="B458"/>
      <c r="C458"/>
      <c r="D458"/>
      <c r="E458" t="s">
        <v>8</v>
      </c>
      <c r="H458" s="27" t="s">
        <v>7</v>
      </c>
      <c r="I458" s="27" t="s">
        <v>8</v>
      </c>
      <c r="J458" s="27" t="s">
        <v>7</v>
      </c>
      <c r="S458" s="27" t="s">
        <v>8</v>
      </c>
      <c r="T458" s="27" t="s">
        <v>7</v>
      </c>
      <c r="CA458" s="27" t="s">
        <v>8</v>
      </c>
      <c r="CB458" s="27" t="s">
        <v>7</v>
      </c>
      <c r="CG458" s="27" t="s">
        <v>8</v>
      </c>
      <c r="ER458" s="27" t="s">
        <v>7</v>
      </c>
      <c r="ES458" s="27" t="s">
        <v>8</v>
      </c>
      <c r="ET458" s="27" t="s">
        <v>7</v>
      </c>
      <c r="EU458" s="27" t="s">
        <v>8</v>
      </c>
      <c r="EV458" s="27" t="s">
        <v>7</v>
      </c>
      <c r="EW458" s="27" t="s">
        <v>8</v>
      </c>
      <c r="EX458" s="27" t="s">
        <v>7</v>
      </c>
      <c r="EY458" s="27" t="s">
        <v>8</v>
      </c>
      <c r="EZ458" s="27" t="s">
        <v>7</v>
      </c>
      <c r="GC458" s="27" t="s">
        <v>8</v>
      </c>
      <c r="GF458" s="27" t="s">
        <v>7</v>
      </c>
      <c r="GG458" s="27" t="s">
        <v>8</v>
      </c>
      <c r="GH458" s="27" t="s">
        <v>7</v>
      </c>
      <c r="GI458" s="27" t="s">
        <v>8</v>
      </c>
      <c r="GJ458" s="27" t="s">
        <v>7</v>
      </c>
      <c r="GK458" s="27" t="s">
        <v>8</v>
      </c>
      <c r="GL458" s="27" t="s">
        <v>7</v>
      </c>
      <c r="GS458" s="27" t="s">
        <v>8</v>
      </c>
      <c r="GT458" s="27" t="s">
        <v>7</v>
      </c>
      <c r="HI458" s="27" t="s">
        <v>8</v>
      </c>
      <c r="HJ458" s="27" t="s">
        <v>7</v>
      </c>
      <c r="HQ458" s="27" t="s">
        <v>8</v>
      </c>
      <c r="HZ458" s="27" t="s">
        <v>7</v>
      </c>
      <c r="ID458" s="27" t="s">
        <v>7</v>
      </c>
    </row>
    <row r="459" spans="1:255" x14ac:dyDescent="0.25">
      <c r="A459" s="7">
        <v>12.613104257041318</v>
      </c>
      <c r="B459"/>
      <c r="C459"/>
      <c r="D459"/>
      <c r="E459" t="s">
        <v>8</v>
      </c>
      <c r="H459" s="27" t="s">
        <v>7</v>
      </c>
      <c r="I459" s="27" t="s">
        <v>8</v>
      </c>
      <c r="J459" s="27" t="s">
        <v>7</v>
      </c>
      <c r="S459" s="27" t="s">
        <v>8</v>
      </c>
      <c r="T459" s="27" t="s">
        <v>7</v>
      </c>
      <c r="BG459" s="27" t="s">
        <v>8</v>
      </c>
      <c r="BY459" s="27" t="s">
        <v>8</v>
      </c>
      <c r="CA459" s="27" t="s">
        <v>8</v>
      </c>
      <c r="CB459" s="27" t="s">
        <v>7</v>
      </c>
      <c r="CG459" s="27" t="s">
        <v>8</v>
      </c>
      <c r="ER459" s="27" t="s">
        <v>7</v>
      </c>
      <c r="ES459" s="27" t="s">
        <v>8</v>
      </c>
      <c r="ET459" s="27" t="s">
        <v>7</v>
      </c>
      <c r="EU459" s="27" t="s">
        <v>8</v>
      </c>
      <c r="EV459" s="27" t="s">
        <v>7</v>
      </c>
      <c r="EW459" s="27" t="s">
        <v>8</v>
      </c>
      <c r="EX459" s="27" t="s">
        <v>7</v>
      </c>
      <c r="EY459" s="27" t="s">
        <v>8</v>
      </c>
      <c r="EZ459" s="27" t="s">
        <v>7</v>
      </c>
      <c r="GA459" s="27" t="s">
        <v>8</v>
      </c>
      <c r="GC459" s="27" t="s">
        <v>8</v>
      </c>
      <c r="GF459" s="27" t="s">
        <v>7</v>
      </c>
      <c r="GG459" s="27" t="s">
        <v>8</v>
      </c>
      <c r="GH459" s="27" t="s">
        <v>7</v>
      </c>
      <c r="GI459" s="27" t="s">
        <v>8</v>
      </c>
      <c r="GJ459" s="27" t="s">
        <v>7</v>
      </c>
      <c r="GL459" s="27" t="s">
        <v>7</v>
      </c>
      <c r="GQ459" s="27" t="s">
        <v>8</v>
      </c>
      <c r="GS459" s="27" t="s">
        <v>8</v>
      </c>
      <c r="GT459" s="27" t="s">
        <v>7</v>
      </c>
      <c r="HI459" s="27" t="s">
        <v>8</v>
      </c>
      <c r="HJ459" s="27" t="s">
        <v>7</v>
      </c>
      <c r="HO459" s="27" t="s">
        <v>8</v>
      </c>
      <c r="HQ459" s="27" t="s">
        <v>8</v>
      </c>
      <c r="ID459" s="27" t="s">
        <v>7</v>
      </c>
    </row>
    <row r="460" spans="1:255" x14ac:dyDescent="0.25">
      <c r="A460" s="7">
        <v>12.36578848729541</v>
      </c>
      <c r="B460"/>
      <c r="C460"/>
      <c r="D460"/>
      <c r="E460" t="s">
        <v>8</v>
      </c>
      <c r="H460" s="27" t="s">
        <v>7</v>
      </c>
      <c r="I460" s="27" t="s">
        <v>8</v>
      </c>
      <c r="J460" s="27" t="s">
        <v>7</v>
      </c>
      <c r="S460" s="27" t="s">
        <v>8</v>
      </c>
      <c r="T460" s="27" t="s">
        <v>7</v>
      </c>
      <c r="BG460" s="27" t="s">
        <v>8</v>
      </c>
      <c r="BH460" s="27" t="s">
        <v>7</v>
      </c>
      <c r="BY460" s="27" t="s">
        <v>8</v>
      </c>
      <c r="BZ460" s="27" t="s">
        <v>7</v>
      </c>
      <c r="CA460" s="27" t="s">
        <v>8</v>
      </c>
      <c r="CB460" s="27" t="s">
        <v>7</v>
      </c>
      <c r="CG460" s="27" t="s">
        <v>8</v>
      </c>
      <c r="ER460" s="27" t="s">
        <v>7</v>
      </c>
      <c r="ES460" s="27" t="s">
        <v>8</v>
      </c>
      <c r="ET460" s="27" t="s">
        <v>7</v>
      </c>
      <c r="EU460" s="27" t="s">
        <v>8</v>
      </c>
      <c r="EV460" s="27" t="s">
        <v>7</v>
      </c>
      <c r="EW460" s="27" t="s">
        <v>8</v>
      </c>
      <c r="EX460" s="27" t="s">
        <v>7</v>
      </c>
      <c r="EY460" s="27" t="s">
        <v>8</v>
      </c>
      <c r="EZ460" s="27" t="s">
        <v>7</v>
      </c>
      <c r="GA460" s="27" t="s">
        <v>8</v>
      </c>
      <c r="GB460" s="27" t="s">
        <v>7</v>
      </c>
      <c r="GC460" s="27" t="s">
        <v>8</v>
      </c>
      <c r="GF460" s="27" t="s">
        <v>7</v>
      </c>
      <c r="GG460" s="27" t="s">
        <v>8</v>
      </c>
      <c r="GH460" s="27" t="s">
        <v>7</v>
      </c>
      <c r="GI460" s="27" t="s">
        <v>8</v>
      </c>
      <c r="GL460" s="27" t="s">
        <v>7</v>
      </c>
      <c r="GQ460" s="27" t="s">
        <v>8</v>
      </c>
      <c r="GR460" s="27" t="s">
        <v>7</v>
      </c>
      <c r="GS460" s="27" t="s">
        <v>8</v>
      </c>
      <c r="GT460" s="27" t="s">
        <v>7</v>
      </c>
      <c r="HI460" s="27" t="s">
        <v>8</v>
      </c>
      <c r="HJ460" s="27" t="s">
        <v>7</v>
      </c>
      <c r="HO460" s="27" t="s">
        <v>8</v>
      </c>
      <c r="HP460" s="27" t="s">
        <v>7</v>
      </c>
      <c r="HQ460" s="27" t="s">
        <v>8</v>
      </c>
      <c r="ID460" s="27" t="s">
        <v>7</v>
      </c>
    </row>
    <row r="461" spans="1:255" x14ac:dyDescent="0.25">
      <c r="A461" s="7">
        <v>12.123322046368049</v>
      </c>
      <c r="B461"/>
      <c r="C461"/>
      <c r="D461"/>
      <c r="E461" t="s">
        <v>8</v>
      </c>
      <c r="H461" s="27" t="s">
        <v>7</v>
      </c>
      <c r="I461" s="27" t="s">
        <v>8</v>
      </c>
      <c r="J461" s="27" t="s">
        <v>7</v>
      </c>
      <c r="S461" s="27" t="s">
        <v>8</v>
      </c>
      <c r="T461" s="27" t="s">
        <v>7</v>
      </c>
      <c r="BG461" s="27" t="s">
        <v>8</v>
      </c>
      <c r="BH461" s="27" t="s">
        <v>7</v>
      </c>
      <c r="BY461" s="27" t="s">
        <v>8</v>
      </c>
      <c r="BZ461" s="27" t="s">
        <v>7</v>
      </c>
      <c r="CA461" s="27" t="s">
        <v>8</v>
      </c>
      <c r="CB461" s="27" t="s">
        <v>7</v>
      </c>
      <c r="CC461" s="27" t="s">
        <v>8</v>
      </c>
      <c r="CE461" s="27" t="s">
        <v>8</v>
      </c>
      <c r="CG461" s="27" t="s">
        <v>8</v>
      </c>
      <c r="ER461" s="27" t="s">
        <v>7</v>
      </c>
      <c r="ES461" s="27" t="s">
        <v>8</v>
      </c>
      <c r="ET461" s="27" t="s">
        <v>7</v>
      </c>
      <c r="EU461" s="27" t="s">
        <v>8</v>
      </c>
      <c r="EV461" s="27" t="s">
        <v>7</v>
      </c>
      <c r="EW461" s="27" t="s">
        <v>8</v>
      </c>
      <c r="EX461" s="27" t="s">
        <v>7</v>
      </c>
      <c r="EY461" s="27" t="s">
        <v>8</v>
      </c>
      <c r="EZ461" s="27" t="s">
        <v>7</v>
      </c>
      <c r="FW461" s="27" t="s">
        <v>8</v>
      </c>
      <c r="FY461" s="27" t="s">
        <v>8</v>
      </c>
      <c r="GA461" s="27" t="s">
        <v>8</v>
      </c>
      <c r="GB461" s="27" t="s">
        <v>7</v>
      </c>
      <c r="GC461" s="27" t="s">
        <v>8</v>
      </c>
      <c r="GF461" s="27" t="s">
        <v>7</v>
      </c>
      <c r="GG461" s="27" t="s">
        <v>8</v>
      </c>
      <c r="GH461" s="27" t="s">
        <v>7</v>
      </c>
      <c r="GL461" s="27" t="s">
        <v>7</v>
      </c>
      <c r="GQ461" s="27" t="s">
        <v>8</v>
      </c>
      <c r="GR461" s="27" t="s">
        <v>7</v>
      </c>
      <c r="GS461" s="27" t="s">
        <v>8</v>
      </c>
      <c r="GT461" s="27" t="s">
        <v>7</v>
      </c>
      <c r="HI461" s="27" t="s">
        <v>8</v>
      </c>
      <c r="HJ461" s="27" t="s">
        <v>7</v>
      </c>
      <c r="HK461" s="27" t="s">
        <v>8</v>
      </c>
      <c r="HO461" s="27" t="s">
        <v>8</v>
      </c>
      <c r="HP461" s="27" t="s">
        <v>7</v>
      </c>
      <c r="HQ461" s="27" t="s">
        <v>8</v>
      </c>
      <c r="ID461" s="27" t="s">
        <v>7</v>
      </c>
    </row>
    <row r="462" spans="1:255" x14ac:dyDescent="0.25">
      <c r="A462" s="7">
        <v>11.88560984938044</v>
      </c>
      <c r="B462"/>
      <c r="C462"/>
      <c r="D462"/>
      <c r="E462" t="s">
        <v>8</v>
      </c>
      <c r="H462" s="27" t="s">
        <v>7</v>
      </c>
      <c r="I462" s="27" t="s">
        <v>8</v>
      </c>
      <c r="J462" s="27" t="s">
        <v>7</v>
      </c>
      <c r="S462" s="27" t="s">
        <v>8</v>
      </c>
      <c r="T462" s="27" t="s">
        <v>7</v>
      </c>
      <c r="BG462" s="27" t="s">
        <v>8</v>
      </c>
      <c r="BH462" s="27" t="s">
        <v>7</v>
      </c>
      <c r="BY462" s="27" t="s">
        <v>8</v>
      </c>
      <c r="BZ462" s="27" t="s">
        <v>7</v>
      </c>
      <c r="CA462" s="27" t="s">
        <v>8</v>
      </c>
      <c r="CB462" s="27" t="s">
        <v>7</v>
      </c>
      <c r="CC462" s="27" t="s">
        <v>8</v>
      </c>
      <c r="CD462" s="27" t="s">
        <v>7</v>
      </c>
      <c r="CE462" s="27" t="s">
        <v>8</v>
      </c>
      <c r="CF462" s="27" t="s">
        <v>7</v>
      </c>
      <c r="CG462" s="27" t="s">
        <v>8</v>
      </c>
      <c r="ER462" s="27" t="s">
        <v>7</v>
      </c>
      <c r="ES462" s="27" t="s">
        <v>8</v>
      </c>
      <c r="ET462" s="27" t="s">
        <v>7</v>
      </c>
      <c r="EU462" s="27" t="s">
        <v>8</v>
      </c>
      <c r="EV462" s="27" t="s">
        <v>7</v>
      </c>
      <c r="EX462" s="27" t="s">
        <v>7</v>
      </c>
      <c r="EY462" s="27" t="s">
        <v>8</v>
      </c>
      <c r="EZ462" s="27" t="s">
        <v>7</v>
      </c>
      <c r="FW462" s="27" t="s">
        <v>8</v>
      </c>
      <c r="FX462" s="27" t="s">
        <v>7</v>
      </c>
      <c r="FY462" s="27" t="s">
        <v>8</v>
      </c>
      <c r="FZ462" s="27" t="s">
        <v>7</v>
      </c>
      <c r="GA462" s="27" t="s">
        <v>8</v>
      </c>
      <c r="GB462" s="27" t="s">
        <v>7</v>
      </c>
      <c r="GC462" s="27" t="s">
        <v>8</v>
      </c>
      <c r="GF462" s="27" t="s">
        <v>7</v>
      </c>
      <c r="GL462" s="27" t="s">
        <v>7</v>
      </c>
      <c r="GQ462" s="27" t="s">
        <v>8</v>
      </c>
      <c r="GR462" s="27" t="s">
        <v>7</v>
      </c>
      <c r="GS462" s="27" t="s">
        <v>8</v>
      </c>
      <c r="GT462" s="27" t="s">
        <v>7</v>
      </c>
      <c r="HE462" s="27" t="s">
        <v>8</v>
      </c>
      <c r="HG462" s="27" t="s">
        <v>8</v>
      </c>
      <c r="HI462" s="27" t="s">
        <v>8</v>
      </c>
      <c r="HJ462" s="27" t="s">
        <v>7</v>
      </c>
      <c r="HK462" s="27" t="s">
        <v>8</v>
      </c>
      <c r="HL462" s="27" t="s">
        <v>7</v>
      </c>
      <c r="HO462" s="27" t="s">
        <v>8</v>
      </c>
      <c r="HP462" s="27" t="s">
        <v>7</v>
      </c>
      <c r="HQ462" s="27" t="s">
        <v>8</v>
      </c>
      <c r="ID462" s="27" t="s">
        <v>7</v>
      </c>
    </row>
    <row r="463" spans="1:255" x14ac:dyDescent="0.25">
      <c r="A463" s="7">
        <v>11.652558675863176</v>
      </c>
      <c r="B463"/>
      <c r="C463"/>
      <c r="D463"/>
      <c r="E463" t="s">
        <v>8</v>
      </c>
      <c r="H463" s="27" t="s">
        <v>7</v>
      </c>
      <c r="I463" s="27" t="s">
        <v>8</v>
      </c>
      <c r="J463" s="27" t="s">
        <v>7</v>
      </c>
      <c r="K463" s="27" t="s">
        <v>8</v>
      </c>
      <c r="S463" s="27" t="s">
        <v>8</v>
      </c>
      <c r="T463" s="27" t="s">
        <v>7</v>
      </c>
      <c r="BG463" s="27" t="s">
        <v>8</v>
      </c>
      <c r="BH463" s="27" t="s">
        <v>7</v>
      </c>
      <c r="BY463" s="27" t="s">
        <v>8</v>
      </c>
      <c r="BZ463" s="27" t="s">
        <v>7</v>
      </c>
      <c r="CA463" s="27" t="s">
        <v>8</v>
      </c>
      <c r="CB463" s="27" t="s">
        <v>7</v>
      </c>
      <c r="CC463" s="27" t="s">
        <v>8</v>
      </c>
      <c r="CD463" s="27" t="s">
        <v>7</v>
      </c>
      <c r="CE463" s="27" t="s">
        <v>8</v>
      </c>
      <c r="CF463" s="27" t="s">
        <v>7</v>
      </c>
      <c r="CG463" s="27" t="s">
        <v>8</v>
      </c>
      <c r="ER463" s="27" t="s">
        <v>7</v>
      </c>
      <c r="ES463" s="27" t="s">
        <v>8</v>
      </c>
      <c r="ET463" s="27" t="s">
        <v>7</v>
      </c>
      <c r="EX463" s="27" t="s">
        <v>7</v>
      </c>
      <c r="EY463" s="27" t="s">
        <v>8</v>
      </c>
      <c r="EZ463" s="27" t="s">
        <v>7</v>
      </c>
      <c r="FW463" s="27" t="s">
        <v>8</v>
      </c>
      <c r="FX463" s="27" t="s">
        <v>7</v>
      </c>
      <c r="FY463" s="27" t="s">
        <v>8</v>
      </c>
      <c r="FZ463" s="27" t="s">
        <v>7</v>
      </c>
      <c r="GA463" s="27" t="s">
        <v>8</v>
      </c>
      <c r="GB463" s="27" t="s">
        <v>7</v>
      </c>
      <c r="GC463" s="27" t="s">
        <v>8</v>
      </c>
      <c r="GL463" s="27" t="s">
        <v>7</v>
      </c>
      <c r="GM463" s="27" t="s">
        <v>8</v>
      </c>
      <c r="GQ463" s="27" t="s">
        <v>8</v>
      </c>
      <c r="GR463" s="27" t="s">
        <v>7</v>
      </c>
      <c r="GS463" s="27" t="s">
        <v>8</v>
      </c>
      <c r="GT463" s="27" t="s">
        <v>7</v>
      </c>
      <c r="GU463" s="27" t="s">
        <v>8</v>
      </c>
      <c r="HE463" s="27" t="s">
        <v>8</v>
      </c>
      <c r="HF463" s="27" t="s">
        <v>7</v>
      </c>
      <c r="HG463" s="27" t="s">
        <v>8</v>
      </c>
      <c r="HH463" s="27" t="s">
        <v>7</v>
      </c>
      <c r="HI463" s="27" t="s">
        <v>8</v>
      </c>
      <c r="HJ463" s="27" t="s">
        <v>7</v>
      </c>
      <c r="HK463" s="27" t="s">
        <v>8</v>
      </c>
      <c r="HL463" s="27" t="s">
        <v>7</v>
      </c>
      <c r="HM463" s="27" t="s">
        <v>8</v>
      </c>
      <c r="HO463" s="27" t="s">
        <v>8</v>
      </c>
      <c r="HP463" s="27" t="s">
        <v>7</v>
      </c>
      <c r="HQ463" s="27" t="s">
        <v>8</v>
      </c>
      <c r="ID463" s="27" t="s">
        <v>7</v>
      </c>
      <c r="IG463" s="27" t="s">
        <v>8</v>
      </c>
    </row>
    <row r="464" spans="1:255" x14ac:dyDescent="0.25">
      <c r="A464" s="7">
        <v>11.424077133199193</v>
      </c>
      <c r="B464"/>
      <c r="C464"/>
      <c r="D464"/>
      <c r="E464" t="s">
        <v>8</v>
      </c>
      <c r="H464" s="27" t="s">
        <v>7</v>
      </c>
      <c r="J464" s="27" t="s">
        <v>7</v>
      </c>
      <c r="K464" s="27" t="s">
        <v>8</v>
      </c>
      <c r="L464" s="27" t="s">
        <v>7</v>
      </c>
      <c r="S464" s="27" t="s">
        <v>8</v>
      </c>
      <c r="T464" s="27" t="s">
        <v>7</v>
      </c>
      <c r="BG464" s="27" t="s">
        <v>8</v>
      </c>
      <c r="BH464" s="27" t="s">
        <v>7</v>
      </c>
      <c r="BW464" s="27" t="s">
        <v>8</v>
      </c>
      <c r="BY464" s="27" t="s">
        <v>8</v>
      </c>
      <c r="BZ464" s="27" t="s">
        <v>7</v>
      </c>
      <c r="CA464" s="27" t="s">
        <v>8</v>
      </c>
      <c r="CB464" s="27" t="s">
        <v>7</v>
      </c>
      <c r="CC464" s="27" t="s">
        <v>8</v>
      </c>
      <c r="CD464" s="27" t="s">
        <v>7</v>
      </c>
      <c r="CE464" s="27" t="s">
        <v>8</v>
      </c>
      <c r="CF464" s="27" t="s">
        <v>7</v>
      </c>
      <c r="CG464" s="27" t="s">
        <v>8</v>
      </c>
      <c r="ER464" s="27" t="s">
        <v>7</v>
      </c>
      <c r="ES464" s="27" t="s">
        <v>8</v>
      </c>
      <c r="EX464" s="27" t="s">
        <v>7</v>
      </c>
      <c r="EY464" s="27" t="s">
        <v>8</v>
      </c>
      <c r="EZ464" s="27" t="s">
        <v>7</v>
      </c>
      <c r="FW464" s="27" t="s">
        <v>8</v>
      </c>
      <c r="FX464" s="27" t="s">
        <v>7</v>
      </c>
      <c r="FY464" s="27" t="s">
        <v>8</v>
      </c>
      <c r="FZ464" s="27" t="s">
        <v>7</v>
      </c>
      <c r="GA464" s="27" t="s">
        <v>8</v>
      </c>
      <c r="GB464" s="27" t="s">
        <v>7</v>
      </c>
      <c r="GC464" s="27" t="s">
        <v>8</v>
      </c>
      <c r="GL464" s="27" t="s">
        <v>7</v>
      </c>
      <c r="GM464" s="27" t="s">
        <v>8</v>
      </c>
      <c r="GN464" s="27" t="s">
        <v>7</v>
      </c>
      <c r="GQ464" s="27" t="s">
        <v>8</v>
      </c>
      <c r="GR464" s="27" t="s">
        <v>7</v>
      </c>
      <c r="GS464" s="27" t="s">
        <v>8</v>
      </c>
      <c r="GT464" s="27" t="s">
        <v>7</v>
      </c>
      <c r="GU464" s="27" t="s">
        <v>8</v>
      </c>
      <c r="GV464" s="27" t="s">
        <v>7</v>
      </c>
      <c r="HE464" s="27" t="s">
        <v>8</v>
      </c>
      <c r="HF464" s="27" t="s">
        <v>7</v>
      </c>
      <c r="HG464" s="27" t="s">
        <v>8</v>
      </c>
      <c r="HH464" s="27" t="s">
        <v>7</v>
      </c>
      <c r="HI464" s="27" t="s">
        <v>8</v>
      </c>
      <c r="HJ464" s="27" t="s">
        <v>7</v>
      </c>
      <c r="HL464" s="27" t="s">
        <v>7</v>
      </c>
      <c r="HM464" s="27" t="s">
        <v>8</v>
      </c>
      <c r="HN464" s="27" t="s">
        <v>7</v>
      </c>
      <c r="HO464" s="27" t="s">
        <v>8</v>
      </c>
      <c r="HP464" s="27" t="s">
        <v>7</v>
      </c>
      <c r="ID464" s="27" t="s">
        <v>7</v>
      </c>
      <c r="IG464" s="27" t="s">
        <v>8</v>
      </c>
      <c r="IH464" s="27" t="s">
        <v>7</v>
      </c>
      <c r="IU464" s="27" t="s">
        <v>8</v>
      </c>
    </row>
    <row r="465" spans="1:260" x14ac:dyDescent="0.25">
      <c r="A465" s="7">
        <v>11.200075620783522</v>
      </c>
      <c r="B465"/>
      <c r="C465"/>
      <c r="D465"/>
      <c r="E465" t="s">
        <v>8</v>
      </c>
      <c r="J465" s="27" t="s">
        <v>7</v>
      </c>
      <c r="K465" s="27" t="s">
        <v>8</v>
      </c>
      <c r="L465" s="27" t="s">
        <v>7</v>
      </c>
      <c r="S465" s="27" t="s">
        <v>8</v>
      </c>
      <c r="T465" s="27" t="s">
        <v>7</v>
      </c>
      <c r="BE465" s="27" t="s">
        <v>8</v>
      </c>
      <c r="BG465" s="27" t="s">
        <v>8</v>
      </c>
      <c r="BH465" s="27" t="s">
        <v>7</v>
      </c>
      <c r="BO465" s="27" t="s">
        <v>8</v>
      </c>
      <c r="BW465" s="27" t="s">
        <v>8</v>
      </c>
      <c r="BX465" s="27" t="s">
        <v>7</v>
      </c>
      <c r="BY465" s="27" t="s">
        <v>8</v>
      </c>
      <c r="BZ465" s="27" t="s">
        <v>7</v>
      </c>
      <c r="CA465" s="27" t="s">
        <v>8</v>
      </c>
      <c r="CB465" s="27" t="s">
        <v>7</v>
      </c>
      <c r="CC465" s="27" t="s">
        <v>8</v>
      </c>
      <c r="CD465" s="27" t="s">
        <v>7</v>
      </c>
      <c r="CE465" s="27" t="s">
        <v>8</v>
      </c>
      <c r="CF465" s="27" t="s">
        <v>7</v>
      </c>
      <c r="CG465" s="27" t="s">
        <v>8</v>
      </c>
      <c r="ER465" s="27" t="s">
        <v>7</v>
      </c>
      <c r="ES465" s="27" t="s">
        <v>8</v>
      </c>
      <c r="EX465" s="27" t="s">
        <v>7</v>
      </c>
      <c r="EY465" s="27" t="s">
        <v>8</v>
      </c>
      <c r="EZ465" s="27" t="s">
        <v>7</v>
      </c>
      <c r="FC465" s="27" t="s">
        <v>8</v>
      </c>
      <c r="FW465" s="27" t="s">
        <v>8</v>
      </c>
      <c r="FX465" s="27" t="s">
        <v>7</v>
      </c>
      <c r="FY465" s="27" t="s">
        <v>8</v>
      </c>
      <c r="FZ465" s="27" t="s">
        <v>7</v>
      </c>
      <c r="GB465" s="27" t="s">
        <v>7</v>
      </c>
      <c r="GC465" s="27" t="s">
        <v>8</v>
      </c>
      <c r="GL465" s="27" t="s">
        <v>7</v>
      </c>
      <c r="GM465" s="27" t="s">
        <v>8</v>
      </c>
      <c r="GN465" s="27" t="s">
        <v>7</v>
      </c>
      <c r="GO465" s="27" t="s">
        <v>8</v>
      </c>
      <c r="GQ465" s="27" t="s">
        <v>8</v>
      </c>
      <c r="GR465" s="27" t="s">
        <v>7</v>
      </c>
      <c r="GT465" s="27" t="s">
        <v>7</v>
      </c>
      <c r="GU465" s="27" t="s">
        <v>8</v>
      </c>
      <c r="GV465" s="27" t="s">
        <v>7</v>
      </c>
      <c r="HE465" s="27" t="s">
        <v>8</v>
      </c>
      <c r="HF465" s="27" t="s">
        <v>7</v>
      </c>
      <c r="HG465" s="27" t="s">
        <v>8</v>
      </c>
      <c r="HH465" s="27" t="s">
        <v>7</v>
      </c>
      <c r="HI465" s="27" t="s">
        <v>8</v>
      </c>
      <c r="HL465" s="27" t="s">
        <v>7</v>
      </c>
      <c r="HM465" s="27" t="s">
        <v>8</v>
      </c>
      <c r="HN465" s="27" t="s">
        <v>7</v>
      </c>
      <c r="HO465" s="27" t="s">
        <v>8</v>
      </c>
      <c r="ID465" s="27" t="s">
        <v>7</v>
      </c>
      <c r="IE465" s="27" t="s">
        <v>8</v>
      </c>
      <c r="IG465" s="27" t="s">
        <v>8</v>
      </c>
      <c r="IH465" s="27" t="s">
        <v>7</v>
      </c>
      <c r="IQ465" s="27" t="s">
        <v>8</v>
      </c>
      <c r="IU465" s="27" t="s">
        <v>8</v>
      </c>
      <c r="IV465" s="27" t="s">
        <v>7</v>
      </c>
    </row>
    <row r="466" spans="1:260" x14ac:dyDescent="0.25">
      <c r="A466" s="7">
        <v>10.980466294885806</v>
      </c>
      <c r="B466"/>
      <c r="C466"/>
      <c r="D466"/>
      <c r="E466" t="s">
        <v>8</v>
      </c>
      <c r="J466" s="27" t="s">
        <v>7</v>
      </c>
      <c r="K466" s="27" t="s">
        <v>8</v>
      </c>
      <c r="L466" s="27" t="s">
        <v>7</v>
      </c>
      <c r="S466" s="27" t="s">
        <v>8</v>
      </c>
      <c r="T466" s="27" t="s">
        <v>7</v>
      </c>
      <c r="BE466" s="27" t="s">
        <v>8</v>
      </c>
      <c r="BF466" s="27" t="s">
        <v>7</v>
      </c>
      <c r="BG466" s="27" t="s">
        <v>8</v>
      </c>
      <c r="BH466" s="27" t="s">
        <v>7</v>
      </c>
      <c r="BO466" s="27" t="s">
        <v>8</v>
      </c>
      <c r="BP466" s="27" t="s">
        <v>7</v>
      </c>
      <c r="BW466" s="27" t="s">
        <v>8</v>
      </c>
      <c r="BX466" s="27" t="s">
        <v>7</v>
      </c>
      <c r="BY466" s="27" t="s">
        <v>8</v>
      </c>
      <c r="BZ466" s="27" t="s">
        <v>7</v>
      </c>
      <c r="CA466" s="27" t="s">
        <v>8</v>
      </c>
      <c r="CB466" s="27" t="s">
        <v>7</v>
      </c>
      <c r="CD466" s="27" t="s">
        <v>7</v>
      </c>
      <c r="CE466" s="27" t="s">
        <v>8</v>
      </c>
      <c r="CF466" s="27" t="s">
        <v>7</v>
      </c>
      <c r="CG466" s="27" t="s">
        <v>8</v>
      </c>
      <c r="ER466" s="27" t="s">
        <v>7</v>
      </c>
      <c r="ES466" s="27" t="s">
        <v>8</v>
      </c>
      <c r="EX466" s="27" t="s">
        <v>7</v>
      </c>
      <c r="EY466" s="27" t="s">
        <v>8</v>
      </c>
      <c r="EZ466" s="27" t="s">
        <v>7</v>
      </c>
      <c r="FC466" s="27" t="s">
        <v>8</v>
      </c>
      <c r="FD466" s="27" t="s">
        <v>7</v>
      </c>
      <c r="FG466" s="27" t="s">
        <v>8</v>
      </c>
      <c r="FW466" s="27" t="s">
        <v>8</v>
      </c>
      <c r="FX466" s="27" t="s">
        <v>7</v>
      </c>
      <c r="FY466" s="27" t="s">
        <v>8</v>
      </c>
      <c r="GB466" s="27" t="s">
        <v>7</v>
      </c>
      <c r="GL466" s="27" t="s">
        <v>7</v>
      </c>
      <c r="GM466" s="27" t="s">
        <v>8</v>
      </c>
      <c r="GN466" s="27" t="s">
        <v>7</v>
      </c>
      <c r="GO466" s="27" t="s">
        <v>8</v>
      </c>
      <c r="GP466" s="27" t="s">
        <v>7</v>
      </c>
      <c r="GQ466" s="27" t="s">
        <v>8</v>
      </c>
      <c r="GT466" s="27" t="s">
        <v>7</v>
      </c>
      <c r="GV466" s="27" t="s">
        <v>7</v>
      </c>
      <c r="HE466" s="27" t="s">
        <v>8</v>
      </c>
      <c r="HF466" s="27" t="s">
        <v>7</v>
      </c>
      <c r="HG466" s="27" t="s">
        <v>8</v>
      </c>
      <c r="HH466" s="27" t="s">
        <v>7</v>
      </c>
      <c r="HI466" s="27" t="s">
        <v>8</v>
      </c>
      <c r="HL466" s="27" t="s">
        <v>7</v>
      </c>
      <c r="HM466" s="27" t="s">
        <v>8</v>
      </c>
      <c r="HN466" s="27" t="s">
        <v>7</v>
      </c>
      <c r="HO466" s="27" t="s">
        <v>8</v>
      </c>
      <c r="ID466" s="27" t="s">
        <v>7</v>
      </c>
      <c r="IE466" s="27" t="s">
        <v>8</v>
      </c>
      <c r="IF466" s="27" t="s">
        <v>7</v>
      </c>
      <c r="IG466" s="27" t="s">
        <v>8</v>
      </c>
      <c r="IH466" s="27" t="s">
        <v>7</v>
      </c>
      <c r="IQ466" s="27" t="s">
        <v>8</v>
      </c>
      <c r="IR466" s="27" t="s">
        <v>7</v>
      </c>
      <c r="IU466" s="27" t="s">
        <v>8</v>
      </c>
      <c r="IV466" s="27" t="s">
        <v>7</v>
      </c>
    </row>
    <row r="467" spans="1:260" x14ac:dyDescent="0.25">
      <c r="A467" s="7">
        <v>10.765163034201771</v>
      </c>
      <c r="B467"/>
      <c r="C467"/>
      <c r="D467"/>
      <c r="E467" t="s">
        <v>8</v>
      </c>
      <c r="J467" s="27" t="s">
        <v>7</v>
      </c>
      <c r="K467" s="27" t="s">
        <v>8</v>
      </c>
      <c r="L467" s="27" t="s">
        <v>7</v>
      </c>
      <c r="M467" s="27" t="s">
        <v>8</v>
      </c>
      <c r="S467" s="27" t="s">
        <v>8</v>
      </c>
      <c r="T467" s="27" t="s">
        <v>7</v>
      </c>
      <c r="BE467" s="27" t="s">
        <v>8</v>
      </c>
      <c r="BF467" s="27" t="s">
        <v>7</v>
      </c>
      <c r="BG467" s="27" t="s">
        <v>8</v>
      </c>
      <c r="BH467" s="27" t="s">
        <v>7</v>
      </c>
      <c r="BO467" s="27" t="s">
        <v>8</v>
      </c>
      <c r="BP467" s="27" t="s">
        <v>7</v>
      </c>
      <c r="BW467" s="27" t="s">
        <v>8</v>
      </c>
      <c r="BX467" s="27" t="s">
        <v>7</v>
      </c>
      <c r="BY467" s="27" t="s">
        <v>8</v>
      </c>
      <c r="BZ467" s="27" t="s">
        <v>7</v>
      </c>
      <c r="CA467" s="27" t="s">
        <v>8</v>
      </c>
      <c r="CD467" s="27" t="s">
        <v>7</v>
      </c>
      <c r="CE467" s="27" t="s">
        <v>8</v>
      </c>
      <c r="CF467" s="27" t="s">
        <v>7</v>
      </c>
      <c r="ER467" s="27" t="s">
        <v>7</v>
      </c>
      <c r="ES467" s="27" t="s">
        <v>8</v>
      </c>
      <c r="EX467" s="27" t="s">
        <v>7</v>
      </c>
      <c r="EZ467" s="27" t="s">
        <v>7</v>
      </c>
      <c r="FC467" s="27" t="s">
        <v>8</v>
      </c>
      <c r="FD467" s="27" t="s">
        <v>7</v>
      </c>
      <c r="FG467" s="27" t="s">
        <v>8</v>
      </c>
      <c r="FH467" s="27" t="s">
        <v>7</v>
      </c>
      <c r="FW467" s="27" t="s">
        <v>8</v>
      </c>
      <c r="FX467" s="27" t="s">
        <v>7</v>
      </c>
      <c r="FY467" s="27" t="s">
        <v>8</v>
      </c>
      <c r="GL467" s="27" t="s">
        <v>7</v>
      </c>
      <c r="GM467" s="27" t="s">
        <v>8</v>
      </c>
      <c r="GN467" s="27" t="s">
        <v>7</v>
      </c>
      <c r="GO467" s="27" t="s">
        <v>8</v>
      </c>
      <c r="GP467" s="27" t="s">
        <v>7</v>
      </c>
      <c r="GQ467" s="27" t="s">
        <v>8</v>
      </c>
      <c r="GV467" s="27" t="s">
        <v>7</v>
      </c>
      <c r="HE467" s="27" t="s">
        <v>8</v>
      </c>
      <c r="HF467" s="27" t="s">
        <v>7</v>
      </c>
      <c r="HG467" s="27" t="s">
        <v>8</v>
      </c>
      <c r="HH467" s="27" t="s">
        <v>7</v>
      </c>
      <c r="HI467" s="27" t="s">
        <v>8</v>
      </c>
      <c r="HL467" s="27" t="s">
        <v>7</v>
      </c>
      <c r="HN467" s="27" t="s">
        <v>7</v>
      </c>
      <c r="ID467" s="27" t="s">
        <v>7</v>
      </c>
      <c r="IE467" s="27" t="s">
        <v>8</v>
      </c>
      <c r="IF467" s="27" t="s">
        <v>7</v>
      </c>
      <c r="IG467" s="27" t="s">
        <v>8</v>
      </c>
      <c r="IH467" s="27" t="s">
        <v>7</v>
      </c>
      <c r="IQ467" s="27" t="s">
        <v>8</v>
      </c>
      <c r="IR467" s="27" t="s">
        <v>7</v>
      </c>
      <c r="IU467" s="27" t="s">
        <v>8</v>
      </c>
      <c r="IV467" s="27" t="s">
        <v>7</v>
      </c>
    </row>
    <row r="468" spans="1:260" x14ac:dyDescent="0.25">
      <c r="A468" s="7">
        <v>10.554081406080169</v>
      </c>
      <c r="B468"/>
      <c r="C468"/>
      <c r="D468"/>
      <c r="E468" t="s">
        <v>8</v>
      </c>
      <c r="J468" s="27" t="s">
        <v>7</v>
      </c>
      <c r="K468" s="27" t="s">
        <v>8</v>
      </c>
      <c r="L468" s="27" t="s">
        <v>7</v>
      </c>
      <c r="M468" s="27" t="s">
        <v>8</v>
      </c>
      <c r="N468" s="27" t="s">
        <v>7</v>
      </c>
      <c r="S468" s="27" t="s">
        <v>8</v>
      </c>
      <c r="T468" s="27" t="s">
        <v>7</v>
      </c>
      <c r="BE468" s="27" t="s">
        <v>8</v>
      </c>
      <c r="BF468" s="27" t="s">
        <v>7</v>
      </c>
      <c r="BG468" s="27" t="s">
        <v>8</v>
      </c>
      <c r="BH468" s="27" t="s">
        <v>7</v>
      </c>
      <c r="BM468" s="27" t="s">
        <v>8</v>
      </c>
      <c r="BO468" s="27" t="s">
        <v>8</v>
      </c>
      <c r="BP468" s="27" t="s">
        <v>7</v>
      </c>
      <c r="BW468" s="27" t="s">
        <v>8</v>
      </c>
      <c r="BX468" s="27" t="s">
        <v>7</v>
      </c>
      <c r="BY468" s="27" t="s">
        <v>8</v>
      </c>
      <c r="BZ468" s="27" t="s">
        <v>7</v>
      </c>
      <c r="CA468" s="27" t="s">
        <v>8</v>
      </c>
      <c r="CD468" s="27" t="s">
        <v>7</v>
      </c>
      <c r="CE468" s="27" t="s">
        <v>8</v>
      </c>
      <c r="ER468" s="27" t="s">
        <v>7</v>
      </c>
      <c r="ES468" s="27" t="s">
        <v>8</v>
      </c>
      <c r="EZ468" s="27" t="s">
        <v>7</v>
      </c>
      <c r="FC468" s="27" t="s">
        <v>8</v>
      </c>
      <c r="FD468" s="27" t="s">
        <v>7</v>
      </c>
      <c r="FG468" s="27" t="s">
        <v>8</v>
      </c>
      <c r="FH468" s="27" t="s">
        <v>7</v>
      </c>
      <c r="FW468" s="27" t="s">
        <v>8</v>
      </c>
      <c r="FX468" s="27" t="s">
        <v>7</v>
      </c>
      <c r="FY468" s="27" t="s">
        <v>8</v>
      </c>
      <c r="GL468" s="27" t="s">
        <v>7</v>
      </c>
      <c r="GM468" s="27" t="s">
        <v>8</v>
      </c>
      <c r="GN468" s="27" t="s">
        <v>7</v>
      </c>
      <c r="GO468" s="27" t="s">
        <v>8</v>
      </c>
      <c r="GP468" s="27" t="s">
        <v>7</v>
      </c>
      <c r="GQ468" s="27" t="s">
        <v>8</v>
      </c>
      <c r="GV468" s="27" t="s">
        <v>7</v>
      </c>
      <c r="HE468" s="27" t="s">
        <v>8</v>
      </c>
      <c r="HF468" s="27" t="s">
        <v>7</v>
      </c>
      <c r="HG468" s="27" t="s">
        <v>8</v>
      </c>
      <c r="HH468" s="27" t="s">
        <v>7</v>
      </c>
      <c r="HI468" s="27" t="s">
        <v>8</v>
      </c>
      <c r="ID468" s="27" t="s">
        <v>7</v>
      </c>
      <c r="IE468" s="27" t="s">
        <v>8</v>
      </c>
      <c r="IF468" s="27" t="s">
        <v>7</v>
      </c>
      <c r="IG468" s="27" t="s">
        <v>8</v>
      </c>
      <c r="IH468" s="27" t="s">
        <v>7</v>
      </c>
      <c r="IQ468" s="27" t="s">
        <v>8</v>
      </c>
      <c r="IR468" s="27" t="s">
        <v>7</v>
      </c>
      <c r="IU468" s="27" t="s">
        <v>8</v>
      </c>
      <c r="IV468" s="27" t="s">
        <v>7</v>
      </c>
    </row>
    <row r="469" spans="1:260" x14ac:dyDescent="0.25">
      <c r="A469" s="7">
        <v>10.34713863341193</v>
      </c>
      <c r="B469"/>
      <c r="C469"/>
      <c r="D469"/>
      <c r="E469" t="s">
        <v>8</v>
      </c>
      <c r="J469" s="27" t="s">
        <v>7</v>
      </c>
      <c r="K469" s="27" t="s">
        <v>8</v>
      </c>
      <c r="L469" s="27" t="s">
        <v>7</v>
      </c>
      <c r="M469" s="27" t="s">
        <v>8</v>
      </c>
      <c r="N469" s="27" t="s">
        <v>7</v>
      </c>
      <c r="S469" s="27" t="s">
        <v>8</v>
      </c>
      <c r="T469" s="27" t="s">
        <v>7</v>
      </c>
      <c r="W469" s="27" t="s">
        <v>8</v>
      </c>
      <c r="BE469" s="27" t="s">
        <v>8</v>
      </c>
      <c r="BF469" s="27" t="s">
        <v>7</v>
      </c>
      <c r="BG469" s="27" t="s">
        <v>8</v>
      </c>
      <c r="BH469" s="27" t="s">
        <v>7</v>
      </c>
      <c r="BM469" s="27" t="s">
        <v>8</v>
      </c>
      <c r="BN469" s="27" t="s">
        <v>7</v>
      </c>
      <c r="BO469" s="27" t="s">
        <v>8</v>
      </c>
      <c r="BP469" s="27" t="s">
        <v>7</v>
      </c>
      <c r="BQ469" s="27" t="s">
        <v>8</v>
      </c>
      <c r="BW469" s="27" t="s">
        <v>8</v>
      </c>
      <c r="BX469" s="27" t="s">
        <v>7</v>
      </c>
      <c r="BY469" s="27" t="s">
        <v>8</v>
      </c>
      <c r="BZ469" s="27" t="s">
        <v>7</v>
      </c>
      <c r="CA469" s="27" t="s">
        <v>8</v>
      </c>
      <c r="CD469" s="27" t="s">
        <v>7</v>
      </c>
      <c r="CE469" s="27" t="s">
        <v>8</v>
      </c>
      <c r="ER469" s="27" t="s">
        <v>7</v>
      </c>
      <c r="ES469" s="27" t="s">
        <v>8</v>
      </c>
      <c r="EZ469" s="27" t="s">
        <v>7</v>
      </c>
      <c r="FC469" s="27" t="s">
        <v>8</v>
      </c>
      <c r="FD469" s="27" t="s">
        <v>7</v>
      </c>
      <c r="FE469" s="27" t="s">
        <v>8</v>
      </c>
      <c r="FG469" s="27" t="s">
        <v>8</v>
      </c>
      <c r="FH469" s="27" t="s">
        <v>7</v>
      </c>
      <c r="FU469" s="27" t="s">
        <v>8</v>
      </c>
      <c r="FW469" s="27" t="s">
        <v>8</v>
      </c>
      <c r="FX469" s="27" t="s">
        <v>7</v>
      </c>
      <c r="GL469" s="27" t="s">
        <v>7</v>
      </c>
      <c r="GM469" s="27" t="s">
        <v>8</v>
      </c>
      <c r="GN469" s="27" t="s">
        <v>7</v>
      </c>
      <c r="GP469" s="27" t="s">
        <v>7</v>
      </c>
      <c r="GQ469" s="27" t="s">
        <v>8</v>
      </c>
      <c r="GV469" s="27" t="s">
        <v>7</v>
      </c>
      <c r="HA469" s="27" t="s">
        <v>8</v>
      </c>
      <c r="HE469" s="27" t="s">
        <v>8</v>
      </c>
      <c r="HF469" s="27" t="s">
        <v>7</v>
      </c>
      <c r="HG469" s="27" t="s">
        <v>8</v>
      </c>
      <c r="HH469" s="27" t="s">
        <v>7</v>
      </c>
      <c r="HI469" s="27" t="s">
        <v>8</v>
      </c>
      <c r="ID469" s="27" t="s">
        <v>7</v>
      </c>
      <c r="IE469" s="27" t="s">
        <v>8</v>
      </c>
      <c r="IF469" s="27" t="s">
        <v>7</v>
      </c>
      <c r="IG469" s="27" t="s">
        <v>8</v>
      </c>
      <c r="IH469" s="27" t="s">
        <v>7</v>
      </c>
      <c r="IO469" s="27" t="s">
        <v>8</v>
      </c>
      <c r="IQ469" s="27" t="s">
        <v>8</v>
      </c>
      <c r="IR469" s="27" t="s">
        <v>7</v>
      </c>
      <c r="IU469" s="27" t="s">
        <v>8</v>
      </c>
      <c r="IV469" s="27" t="s">
        <v>7</v>
      </c>
    </row>
    <row r="470" spans="1:260" x14ac:dyDescent="0.25">
      <c r="A470" s="7">
        <v>10.14425356216856</v>
      </c>
      <c r="B470"/>
      <c r="C470"/>
      <c r="D470"/>
      <c r="E470" t="s">
        <v>8</v>
      </c>
      <c r="J470" s="27" t="s">
        <v>7</v>
      </c>
      <c r="L470" s="27" t="s">
        <v>7</v>
      </c>
      <c r="M470" s="27" t="s">
        <v>8</v>
      </c>
      <c r="N470" s="27" t="s">
        <v>7</v>
      </c>
      <c r="S470" s="27" t="s">
        <v>8</v>
      </c>
      <c r="T470" s="27" t="s">
        <v>7</v>
      </c>
      <c r="W470" s="27" t="s">
        <v>8</v>
      </c>
      <c r="X470" s="27" t="s">
        <v>7</v>
      </c>
      <c r="BE470" s="27" t="s">
        <v>8</v>
      </c>
      <c r="BF470" s="27" t="s">
        <v>7</v>
      </c>
      <c r="BG470" s="27" t="s">
        <v>8</v>
      </c>
      <c r="BH470" s="27" t="s">
        <v>7</v>
      </c>
      <c r="BM470" s="27" t="s">
        <v>8</v>
      </c>
      <c r="BN470" s="27" t="s">
        <v>7</v>
      </c>
      <c r="BO470" s="27" t="s">
        <v>8</v>
      </c>
      <c r="BP470" s="27" t="s">
        <v>7</v>
      </c>
      <c r="BQ470" s="27" t="s">
        <v>8</v>
      </c>
      <c r="BR470" s="27" t="s">
        <v>7</v>
      </c>
      <c r="BW470" s="27" t="s">
        <v>8</v>
      </c>
      <c r="BX470" s="27" t="s">
        <v>7</v>
      </c>
      <c r="BY470" s="27" t="s">
        <v>8</v>
      </c>
      <c r="BZ470" s="27" t="s">
        <v>7</v>
      </c>
      <c r="CA470" s="27" t="s">
        <v>8</v>
      </c>
      <c r="CD470" s="27" t="s">
        <v>7</v>
      </c>
      <c r="CE470" s="27" t="s">
        <v>8</v>
      </c>
      <c r="ER470" s="27" t="s">
        <v>7</v>
      </c>
      <c r="ES470" s="27" t="s">
        <v>8</v>
      </c>
      <c r="EZ470" s="27" t="s">
        <v>7</v>
      </c>
      <c r="FC470" s="27" t="s">
        <v>8</v>
      </c>
      <c r="FD470" s="27" t="s">
        <v>7</v>
      </c>
      <c r="FE470" s="27" t="s">
        <v>8</v>
      </c>
      <c r="FF470" s="27" t="s">
        <v>7</v>
      </c>
      <c r="FG470" s="27" t="s">
        <v>8</v>
      </c>
      <c r="FH470" s="27" t="s">
        <v>7</v>
      </c>
      <c r="FU470" s="27" t="s">
        <v>8</v>
      </c>
      <c r="FV470" s="27" t="s">
        <v>7</v>
      </c>
      <c r="FW470" s="27" t="s">
        <v>8</v>
      </c>
      <c r="GL470" s="27" t="s">
        <v>7</v>
      </c>
      <c r="GM470" s="27" t="s">
        <v>8</v>
      </c>
      <c r="GP470" s="27" t="s">
        <v>7</v>
      </c>
      <c r="GQ470" s="27" t="s">
        <v>8</v>
      </c>
      <c r="GV470" s="27" t="s">
        <v>7</v>
      </c>
      <c r="GW470" s="27" t="s">
        <v>8</v>
      </c>
      <c r="HA470" s="27" t="s">
        <v>8</v>
      </c>
      <c r="HB470" s="27" t="s">
        <v>7</v>
      </c>
      <c r="HC470" s="27" t="s">
        <v>8</v>
      </c>
      <c r="HE470" s="27" t="s">
        <v>8</v>
      </c>
      <c r="HF470" s="27" t="s">
        <v>7</v>
      </c>
      <c r="HG470" s="27" t="s">
        <v>8</v>
      </c>
      <c r="HH470" s="27" t="s">
        <v>7</v>
      </c>
      <c r="ID470" s="27" t="s">
        <v>7</v>
      </c>
      <c r="IE470" s="27" t="s">
        <v>8</v>
      </c>
      <c r="IF470" s="27" t="s">
        <v>7</v>
      </c>
      <c r="IG470" s="27" t="s">
        <v>8</v>
      </c>
      <c r="IH470" s="27" t="s">
        <v>7</v>
      </c>
      <c r="II470" s="27" t="s">
        <v>8</v>
      </c>
      <c r="IO470" s="27" t="s">
        <v>8</v>
      </c>
      <c r="IP470" s="27" t="s">
        <v>7</v>
      </c>
      <c r="IQ470" s="27" t="s">
        <v>8</v>
      </c>
      <c r="IR470" s="27" t="s">
        <v>7</v>
      </c>
      <c r="IS470" s="27" t="s">
        <v>8</v>
      </c>
      <c r="IU470" s="27" t="s">
        <v>8</v>
      </c>
      <c r="IV470" s="27" t="s">
        <v>7</v>
      </c>
    </row>
    <row r="471" spans="1:260" x14ac:dyDescent="0.25">
      <c r="A471" s="7">
        <v>9.9453466295770188</v>
      </c>
      <c r="B471"/>
      <c r="C471"/>
      <c r="D471"/>
      <c r="E471" t="s">
        <v>8</v>
      </c>
      <c r="L471" s="27" t="s">
        <v>7</v>
      </c>
      <c r="M471" s="27" t="s">
        <v>8</v>
      </c>
      <c r="N471" s="27" t="s">
        <v>7</v>
      </c>
      <c r="S471" s="27" t="s">
        <v>8</v>
      </c>
      <c r="T471" s="27" t="s">
        <v>7</v>
      </c>
      <c r="U471" s="27" t="s">
        <v>8</v>
      </c>
      <c r="W471" s="27" t="s">
        <v>8</v>
      </c>
      <c r="X471" s="27" t="s">
        <v>7</v>
      </c>
      <c r="BE471" s="27" t="s">
        <v>8</v>
      </c>
      <c r="BF471" s="27" t="s">
        <v>7</v>
      </c>
      <c r="BG471" s="27" t="s">
        <v>8</v>
      </c>
      <c r="BH471" s="27" t="s">
        <v>7</v>
      </c>
      <c r="BM471" s="27" t="s">
        <v>8</v>
      </c>
      <c r="BN471" s="27" t="s">
        <v>7</v>
      </c>
      <c r="BO471" s="27" t="s">
        <v>8</v>
      </c>
      <c r="BP471" s="27" t="s">
        <v>7</v>
      </c>
      <c r="BQ471" s="27" t="s">
        <v>8</v>
      </c>
      <c r="BR471" s="27" t="s">
        <v>7</v>
      </c>
      <c r="BW471" s="27" t="s">
        <v>8</v>
      </c>
      <c r="BX471" s="27" t="s">
        <v>7</v>
      </c>
      <c r="BY471" s="27" t="s">
        <v>8</v>
      </c>
      <c r="BZ471" s="27" t="s">
        <v>7</v>
      </c>
      <c r="CD471" s="27" t="s">
        <v>7</v>
      </c>
      <c r="ER471" s="27" t="s">
        <v>7</v>
      </c>
      <c r="ES471" s="27" t="s">
        <v>8</v>
      </c>
      <c r="EZ471" s="27" t="s">
        <v>7</v>
      </c>
      <c r="FC471" s="27" t="s">
        <v>8</v>
      </c>
      <c r="FD471" s="27" t="s">
        <v>7</v>
      </c>
      <c r="FE471" s="27" t="s">
        <v>8</v>
      </c>
      <c r="FF471" s="27" t="s">
        <v>7</v>
      </c>
      <c r="FG471" s="27" t="s">
        <v>8</v>
      </c>
      <c r="FH471" s="27" t="s">
        <v>7</v>
      </c>
      <c r="FU471" s="27" t="s">
        <v>8</v>
      </c>
      <c r="FV471" s="27" t="s">
        <v>7</v>
      </c>
      <c r="FW471" s="27" t="s">
        <v>8</v>
      </c>
      <c r="GL471" s="27" t="s">
        <v>7</v>
      </c>
      <c r="GM471" s="27" t="s">
        <v>8</v>
      </c>
      <c r="GP471" s="27" t="s">
        <v>7</v>
      </c>
      <c r="GV471" s="27" t="s">
        <v>7</v>
      </c>
      <c r="GW471" s="27" t="s">
        <v>8</v>
      </c>
      <c r="GX471" s="27" t="s">
        <v>7</v>
      </c>
      <c r="HA471" s="27" t="s">
        <v>8</v>
      </c>
      <c r="HB471" s="27" t="s">
        <v>7</v>
      </c>
      <c r="HC471" s="27" t="s">
        <v>8</v>
      </c>
      <c r="HD471" s="27" t="s">
        <v>7</v>
      </c>
      <c r="HE471" s="27" t="s">
        <v>8</v>
      </c>
      <c r="HF471" s="27" t="s">
        <v>7</v>
      </c>
      <c r="HG471" s="27" t="s">
        <v>8</v>
      </c>
      <c r="ID471" s="27" t="s">
        <v>7</v>
      </c>
      <c r="IE471" s="27" t="s">
        <v>8</v>
      </c>
      <c r="IF471" s="27" t="s">
        <v>7</v>
      </c>
      <c r="IG471" s="27" t="s">
        <v>8</v>
      </c>
      <c r="IH471" s="27" t="s">
        <v>7</v>
      </c>
      <c r="II471" s="27" t="s">
        <v>8</v>
      </c>
      <c r="IJ471" s="27" t="s">
        <v>7</v>
      </c>
      <c r="IO471" s="27" t="s">
        <v>8</v>
      </c>
      <c r="IP471" s="27" t="s">
        <v>7</v>
      </c>
      <c r="IQ471" s="27" t="s">
        <v>8</v>
      </c>
      <c r="IR471" s="27" t="s">
        <v>7</v>
      </c>
      <c r="IS471" s="27" t="s">
        <v>8</v>
      </c>
      <c r="IT471" s="27" t="s">
        <v>7</v>
      </c>
      <c r="IU471" s="27" t="s">
        <v>8</v>
      </c>
      <c r="IV471" s="27" t="s">
        <v>7</v>
      </c>
    </row>
    <row r="472" spans="1:260" x14ac:dyDescent="0.25">
      <c r="A472" s="7">
        <v>9.7503398329186464</v>
      </c>
      <c r="B472"/>
      <c r="C472"/>
      <c r="D472"/>
      <c r="E472" t="s">
        <v>8</v>
      </c>
      <c r="L472" s="27" t="s">
        <v>7</v>
      </c>
      <c r="M472" s="27" t="s">
        <v>8</v>
      </c>
      <c r="N472" s="27" t="s">
        <v>7</v>
      </c>
      <c r="S472" s="27" t="s">
        <v>8</v>
      </c>
      <c r="T472" s="27" t="s">
        <v>7</v>
      </c>
      <c r="U472" s="27" t="s">
        <v>8</v>
      </c>
      <c r="V472" s="27" t="s">
        <v>7</v>
      </c>
      <c r="W472" s="27" t="s">
        <v>8</v>
      </c>
      <c r="X472" s="27" t="s">
        <v>7</v>
      </c>
      <c r="BE472" s="27" t="s">
        <v>8</v>
      </c>
      <c r="BF472" s="27" t="s">
        <v>7</v>
      </c>
      <c r="BG472" s="27" t="s">
        <v>8</v>
      </c>
      <c r="BH472" s="27" t="s">
        <v>7</v>
      </c>
      <c r="BM472" s="27" t="s">
        <v>8</v>
      </c>
      <c r="BN472" s="27" t="s">
        <v>7</v>
      </c>
      <c r="BO472" s="27" t="s">
        <v>8</v>
      </c>
      <c r="BP472" s="27" t="s">
        <v>7</v>
      </c>
      <c r="BQ472" s="27" t="s">
        <v>8</v>
      </c>
      <c r="BR472" s="27" t="s">
        <v>7</v>
      </c>
      <c r="BW472" s="27" t="s">
        <v>8</v>
      </c>
      <c r="BX472" s="27" t="s">
        <v>7</v>
      </c>
      <c r="ER472" s="27" t="s">
        <v>7</v>
      </c>
      <c r="ES472" s="27" t="s">
        <v>8</v>
      </c>
      <c r="EZ472" s="27" t="s">
        <v>7</v>
      </c>
      <c r="FC472" s="27" t="s">
        <v>8</v>
      </c>
      <c r="FD472" s="27" t="s">
        <v>7</v>
      </c>
      <c r="FE472" s="27" t="s">
        <v>8</v>
      </c>
      <c r="FF472" s="27" t="s">
        <v>7</v>
      </c>
      <c r="FG472" s="27" t="s">
        <v>8</v>
      </c>
      <c r="FH472" s="27" t="s">
        <v>7</v>
      </c>
      <c r="FI472" s="27" t="s">
        <v>8</v>
      </c>
      <c r="FU472" s="27" t="s">
        <v>8</v>
      </c>
      <c r="FV472" s="27" t="s">
        <v>7</v>
      </c>
      <c r="FW472" s="27" t="s">
        <v>8</v>
      </c>
      <c r="GL472" s="27" t="s">
        <v>7</v>
      </c>
      <c r="GV472" s="27" t="s">
        <v>7</v>
      </c>
      <c r="GW472" s="27" t="s">
        <v>8</v>
      </c>
      <c r="GX472" s="27" t="s">
        <v>7</v>
      </c>
      <c r="GY472" s="27" t="s">
        <v>8</v>
      </c>
      <c r="HA472" s="27" t="s">
        <v>8</v>
      </c>
      <c r="HB472" s="27" t="s">
        <v>7</v>
      </c>
      <c r="HC472" s="27" t="s">
        <v>8</v>
      </c>
      <c r="HD472" s="27" t="s">
        <v>7</v>
      </c>
      <c r="HE472" s="27" t="s">
        <v>8</v>
      </c>
      <c r="HF472" s="27" t="s">
        <v>7</v>
      </c>
      <c r="HG472" s="27" t="s">
        <v>8</v>
      </c>
      <c r="ID472" s="27" t="s">
        <v>7</v>
      </c>
      <c r="IE472" s="27" t="s">
        <v>8</v>
      </c>
      <c r="IF472" s="27" t="s">
        <v>7</v>
      </c>
      <c r="IG472" s="27" t="s">
        <v>8</v>
      </c>
      <c r="IH472" s="27" t="s">
        <v>7</v>
      </c>
      <c r="II472" s="27" t="s">
        <v>8</v>
      </c>
      <c r="IJ472" s="27" t="s">
        <v>7</v>
      </c>
      <c r="IK472" s="27" t="s">
        <v>8</v>
      </c>
      <c r="IO472" s="27" t="s">
        <v>8</v>
      </c>
      <c r="IP472" s="27" t="s">
        <v>7</v>
      </c>
      <c r="IQ472" s="27" t="s">
        <v>8</v>
      </c>
      <c r="IR472" s="27" t="s">
        <v>7</v>
      </c>
      <c r="IS472" s="27" t="s">
        <v>8</v>
      </c>
      <c r="IT472" s="27" t="s">
        <v>7</v>
      </c>
      <c r="IU472" s="27" t="s">
        <v>8</v>
      </c>
      <c r="IV472" s="27" t="s">
        <v>7</v>
      </c>
    </row>
    <row r="473" spans="1:260" x14ac:dyDescent="0.25">
      <c r="A473" s="7">
        <v>9.5591566989398498</v>
      </c>
      <c r="B473"/>
      <c r="C473"/>
      <c r="D473"/>
      <c r="E473" t="s">
        <v>8</v>
      </c>
      <c r="L473" s="27" t="s">
        <v>7</v>
      </c>
      <c r="M473" s="27" t="s">
        <v>8</v>
      </c>
      <c r="N473" s="27" t="s">
        <v>7</v>
      </c>
      <c r="S473" s="27" t="s">
        <v>8</v>
      </c>
      <c r="T473" s="27" t="s">
        <v>7</v>
      </c>
      <c r="U473" s="27" t="s">
        <v>8</v>
      </c>
      <c r="V473" s="27" t="s">
        <v>7</v>
      </c>
      <c r="W473" s="27" t="s">
        <v>8</v>
      </c>
      <c r="X473" s="27" t="s">
        <v>7</v>
      </c>
      <c r="BE473" s="27" t="s">
        <v>8</v>
      </c>
      <c r="BF473" s="27" t="s">
        <v>7</v>
      </c>
      <c r="BG473" s="27" t="s">
        <v>8</v>
      </c>
      <c r="BH473" s="27" t="s">
        <v>7</v>
      </c>
      <c r="BM473" s="27" t="s">
        <v>8</v>
      </c>
      <c r="BN473" s="27" t="s">
        <v>7</v>
      </c>
      <c r="BO473" s="27" t="s">
        <v>8</v>
      </c>
      <c r="BP473" s="27" t="s">
        <v>7</v>
      </c>
      <c r="BQ473" s="27" t="s">
        <v>8</v>
      </c>
      <c r="BR473" s="27" t="s">
        <v>7</v>
      </c>
      <c r="BU473" s="27" t="s">
        <v>8</v>
      </c>
      <c r="BW473" s="27" t="s">
        <v>8</v>
      </c>
      <c r="ER473" s="27" t="s">
        <v>7</v>
      </c>
      <c r="ES473" s="27" t="s">
        <v>8</v>
      </c>
      <c r="EZ473" s="27" t="s">
        <v>7</v>
      </c>
      <c r="FC473" s="27" t="s">
        <v>8</v>
      </c>
      <c r="FD473" s="27" t="s">
        <v>7</v>
      </c>
      <c r="FE473" s="27" t="s">
        <v>8</v>
      </c>
      <c r="FF473" s="27" t="s">
        <v>7</v>
      </c>
      <c r="FG473" s="27" t="s">
        <v>8</v>
      </c>
      <c r="FH473" s="27" t="s">
        <v>7</v>
      </c>
      <c r="FI473" s="27" t="s">
        <v>8</v>
      </c>
      <c r="FJ473" s="27" t="s">
        <v>7</v>
      </c>
      <c r="FU473" s="27" t="s">
        <v>8</v>
      </c>
      <c r="FV473" s="27" t="s">
        <v>7</v>
      </c>
      <c r="FW473" s="27" t="s">
        <v>8</v>
      </c>
      <c r="GV473" s="27" t="s">
        <v>7</v>
      </c>
      <c r="GW473" s="27" t="s">
        <v>8</v>
      </c>
      <c r="GX473" s="27" t="s">
        <v>7</v>
      </c>
      <c r="GY473" s="27" t="s">
        <v>8</v>
      </c>
      <c r="GZ473" s="27" t="s">
        <v>7</v>
      </c>
      <c r="HA473" s="27" t="s">
        <v>8</v>
      </c>
      <c r="HB473" s="27" t="s">
        <v>7</v>
      </c>
      <c r="HD473" s="27" t="s">
        <v>7</v>
      </c>
      <c r="HF473" s="27" t="s">
        <v>7</v>
      </c>
      <c r="ID473" s="27" t="s">
        <v>7</v>
      </c>
      <c r="IE473" s="27" t="s">
        <v>8</v>
      </c>
      <c r="IF473" s="27" t="s">
        <v>7</v>
      </c>
      <c r="IG473" s="27" t="s">
        <v>8</v>
      </c>
      <c r="IH473" s="27" t="s">
        <v>7</v>
      </c>
      <c r="II473" s="27" t="s">
        <v>8</v>
      </c>
      <c r="IJ473" s="27" t="s">
        <v>7</v>
      </c>
      <c r="IK473" s="27" t="s">
        <v>8</v>
      </c>
      <c r="IL473" s="27" t="s">
        <v>7</v>
      </c>
      <c r="IM473" s="27" t="s">
        <v>8</v>
      </c>
      <c r="IO473" s="27" t="s">
        <v>8</v>
      </c>
      <c r="IP473" s="27" t="s">
        <v>7</v>
      </c>
      <c r="IR473" s="27" t="s">
        <v>7</v>
      </c>
      <c r="IS473" s="27" t="s">
        <v>8</v>
      </c>
      <c r="IT473" s="27" t="s">
        <v>7</v>
      </c>
      <c r="IU473" s="27" t="s">
        <v>8</v>
      </c>
      <c r="IV473" s="27" t="s">
        <v>7</v>
      </c>
    </row>
    <row r="474" spans="1:260" x14ac:dyDescent="0.25">
      <c r="A474" s="7">
        <v>9.3717222538625968</v>
      </c>
      <c r="B474"/>
      <c r="C474"/>
      <c r="D474"/>
      <c r="E474" t="s">
        <v>8</v>
      </c>
      <c r="L474" s="27" t="s">
        <v>7</v>
      </c>
      <c r="M474" s="27" t="s">
        <v>8</v>
      </c>
      <c r="N474" s="27" t="s">
        <v>7</v>
      </c>
      <c r="S474" s="27" t="s">
        <v>8</v>
      </c>
      <c r="T474" s="27" t="s">
        <v>7</v>
      </c>
      <c r="U474" s="27" t="s">
        <v>8</v>
      </c>
      <c r="V474" s="27" t="s">
        <v>7</v>
      </c>
      <c r="W474" s="27" t="s">
        <v>8</v>
      </c>
      <c r="X474" s="27" t="s">
        <v>7</v>
      </c>
      <c r="BE474" s="27" t="s">
        <v>8</v>
      </c>
      <c r="BF474" s="27" t="s">
        <v>7</v>
      </c>
      <c r="BG474" s="27" t="s">
        <v>8</v>
      </c>
      <c r="BH474" s="27" t="s">
        <v>7</v>
      </c>
      <c r="BM474" s="27" t="s">
        <v>8</v>
      </c>
      <c r="BN474" s="27" t="s">
        <v>7</v>
      </c>
      <c r="BO474" s="27" t="s">
        <v>8</v>
      </c>
      <c r="BP474" s="27" t="s">
        <v>7</v>
      </c>
      <c r="BQ474" s="27" t="s">
        <v>8</v>
      </c>
      <c r="BR474" s="27" t="s">
        <v>7</v>
      </c>
      <c r="BU474" s="27" t="s">
        <v>8</v>
      </c>
      <c r="BV474" s="27" t="s">
        <v>7</v>
      </c>
      <c r="BW474" s="27" t="s">
        <v>8</v>
      </c>
      <c r="ER474" s="27" t="s">
        <v>7</v>
      </c>
      <c r="EZ474" s="27" t="s">
        <v>7</v>
      </c>
      <c r="FA474" s="27" t="s">
        <v>8</v>
      </c>
      <c r="FC474" s="27" t="s">
        <v>8</v>
      </c>
      <c r="FD474" s="27" t="s">
        <v>7</v>
      </c>
      <c r="FE474" s="27" t="s">
        <v>8</v>
      </c>
      <c r="FF474" s="27" t="s">
        <v>7</v>
      </c>
      <c r="FG474" s="27" t="s">
        <v>8</v>
      </c>
      <c r="FH474" s="27" t="s">
        <v>7</v>
      </c>
      <c r="FI474" s="27" t="s">
        <v>8</v>
      </c>
      <c r="FJ474" s="27" t="s">
        <v>7</v>
      </c>
      <c r="FK474" s="27" t="s">
        <v>8</v>
      </c>
      <c r="FU474" s="27" t="s">
        <v>8</v>
      </c>
      <c r="FV474" s="27" t="s">
        <v>7</v>
      </c>
      <c r="FW474" s="27" t="s">
        <v>8</v>
      </c>
      <c r="GV474" s="27" t="s">
        <v>7</v>
      </c>
      <c r="GW474" s="27" t="s">
        <v>8</v>
      </c>
      <c r="GX474" s="27" t="s">
        <v>7</v>
      </c>
      <c r="GY474" s="27" t="s">
        <v>8</v>
      </c>
      <c r="GZ474" s="27" t="s">
        <v>7</v>
      </c>
      <c r="HA474" s="27" t="s">
        <v>8</v>
      </c>
      <c r="ID474" s="27" t="s">
        <v>7</v>
      </c>
      <c r="IE474" s="27" t="s">
        <v>8</v>
      </c>
      <c r="IF474" s="27" t="s">
        <v>7</v>
      </c>
      <c r="IH474" s="27" t="s">
        <v>7</v>
      </c>
      <c r="IJ474" s="27" t="s">
        <v>7</v>
      </c>
      <c r="IK474" s="27" t="s">
        <v>8</v>
      </c>
      <c r="IL474" s="27" t="s">
        <v>7</v>
      </c>
      <c r="IM474" s="27" t="s">
        <v>8</v>
      </c>
      <c r="IN474" s="27" t="s">
        <v>7</v>
      </c>
      <c r="IO474" s="27" t="s">
        <v>8</v>
      </c>
      <c r="IR474" s="27" t="s">
        <v>7</v>
      </c>
      <c r="IS474" s="27" t="s">
        <v>8</v>
      </c>
      <c r="IT474" s="27" t="s">
        <v>7</v>
      </c>
      <c r="IU474" s="27" t="s">
        <v>8</v>
      </c>
      <c r="IV474" s="27" t="s">
        <v>7</v>
      </c>
    </row>
    <row r="475" spans="1:260" x14ac:dyDescent="0.25">
      <c r="A475" s="7">
        <v>9.1879629939829375</v>
      </c>
      <c r="B475"/>
      <c r="C475"/>
      <c r="D475"/>
      <c r="E475" t="s">
        <v>8</v>
      </c>
      <c r="L475" s="27" t="s">
        <v>7</v>
      </c>
      <c r="M475" s="27" t="s">
        <v>8</v>
      </c>
      <c r="N475" s="27" t="s">
        <v>7</v>
      </c>
      <c r="S475" s="27" t="s">
        <v>8</v>
      </c>
      <c r="T475" s="27" t="s">
        <v>7</v>
      </c>
      <c r="U475" s="27" t="s">
        <v>8</v>
      </c>
      <c r="V475" s="27" t="s">
        <v>7</v>
      </c>
      <c r="W475" s="27" t="s">
        <v>8</v>
      </c>
      <c r="X475" s="27" t="s">
        <v>7</v>
      </c>
      <c r="AS475" s="27" t="s">
        <v>8</v>
      </c>
      <c r="BE475" s="27" t="s">
        <v>8</v>
      </c>
      <c r="BF475" s="27" t="s">
        <v>7</v>
      </c>
      <c r="BG475" s="27" t="s">
        <v>8</v>
      </c>
      <c r="BH475" s="27" t="s">
        <v>7</v>
      </c>
      <c r="BM475" s="27" t="s">
        <v>8</v>
      </c>
      <c r="BN475" s="27" t="s">
        <v>7</v>
      </c>
      <c r="BO475" s="27" t="s">
        <v>8</v>
      </c>
      <c r="BP475" s="27" t="s">
        <v>7</v>
      </c>
      <c r="BQ475" s="27" t="s">
        <v>8</v>
      </c>
      <c r="BR475" s="27" t="s">
        <v>7</v>
      </c>
      <c r="BU475" s="27" t="s">
        <v>8</v>
      </c>
      <c r="BV475" s="27" t="s">
        <v>7</v>
      </c>
      <c r="BW475" s="27" t="s">
        <v>8</v>
      </c>
      <c r="EZ475" s="27" t="s">
        <v>7</v>
      </c>
      <c r="FA475" s="27" t="s">
        <v>8</v>
      </c>
      <c r="FB475" s="27" t="s">
        <v>7</v>
      </c>
      <c r="FC475" s="27" t="s">
        <v>8</v>
      </c>
      <c r="FD475" s="27" t="s">
        <v>7</v>
      </c>
      <c r="FE475" s="27" t="s">
        <v>8</v>
      </c>
      <c r="FF475" s="27" t="s">
        <v>7</v>
      </c>
      <c r="FH475" s="27" t="s">
        <v>7</v>
      </c>
      <c r="FI475" s="27" t="s">
        <v>8</v>
      </c>
      <c r="FJ475" s="27" t="s">
        <v>7</v>
      </c>
      <c r="FK475" s="27" t="s">
        <v>8</v>
      </c>
      <c r="FL475" s="27" t="s">
        <v>7</v>
      </c>
      <c r="FO475" s="27" t="s">
        <v>8</v>
      </c>
      <c r="FQ475" s="27" t="s">
        <v>8</v>
      </c>
      <c r="FS475" s="27" t="s">
        <v>8</v>
      </c>
      <c r="FU475" s="27" t="s">
        <v>8</v>
      </c>
      <c r="FV475" s="27" t="s">
        <v>7</v>
      </c>
      <c r="GV475" s="27" t="s">
        <v>7</v>
      </c>
      <c r="GX475" s="27" t="s">
        <v>7</v>
      </c>
      <c r="GY475" s="27" t="s">
        <v>8</v>
      </c>
      <c r="GZ475" s="27" t="s">
        <v>7</v>
      </c>
      <c r="HA475" s="27" t="s">
        <v>8</v>
      </c>
      <c r="ID475" s="27" t="s">
        <v>7</v>
      </c>
      <c r="IJ475" s="27" t="s">
        <v>7</v>
      </c>
      <c r="IK475" s="27" t="s">
        <v>8</v>
      </c>
      <c r="IL475" s="27" t="s">
        <v>7</v>
      </c>
      <c r="IM475" s="27" t="s">
        <v>8</v>
      </c>
      <c r="IN475" s="27" t="s">
        <v>7</v>
      </c>
      <c r="IO475" s="27" t="s">
        <v>8</v>
      </c>
      <c r="IR475" s="27" t="s">
        <v>7</v>
      </c>
      <c r="IS475" s="27" t="s">
        <v>8</v>
      </c>
      <c r="IT475" s="27" t="s">
        <v>7</v>
      </c>
      <c r="IU475" s="27" t="s">
        <v>8</v>
      </c>
      <c r="IV475" s="27" t="s">
        <v>7</v>
      </c>
    </row>
    <row r="476" spans="1:260" x14ac:dyDescent="0.25">
      <c r="A476" s="7">
        <v>9.0078068568460168</v>
      </c>
      <c r="B476"/>
      <c r="C476"/>
      <c r="D476"/>
      <c r="E476" t="s">
        <v>8</v>
      </c>
      <c r="L476" s="27" t="s">
        <v>7</v>
      </c>
      <c r="M476" s="27" t="s">
        <v>8</v>
      </c>
      <c r="N476" s="27" t="s">
        <v>7</v>
      </c>
      <c r="S476" s="27" t="s">
        <v>8</v>
      </c>
      <c r="T476" s="27" t="s">
        <v>7</v>
      </c>
      <c r="U476" s="27" t="s">
        <v>8</v>
      </c>
      <c r="V476" s="27" t="s">
        <v>7</v>
      </c>
      <c r="W476" s="27" t="s">
        <v>8</v>
      </c>
      <c r="X476" s="27" t="s">
        <v>7</v>
      </c>
      <c r="AK476" s="27" t="s">
        <v>8</v>
      </c>
      <c r="AS476" s="27" t="s">
        <v>8</v>
      </c>
      <c r="AT476" s="27" t="s">
        <v>7</v>
      </c>
      <c r="BE476" s="27" t="s">
        <v>8</v>
      </c>
      <c r="BF476" s="27" t="s">
        <v>7</v>
      </c>
      <c r="BG476" s="27" t="s">
        <v>8</v>
      </c>
      <c r="BH476" s="27" t="s">
        <v>7</v>
      </c>
      <c r="BM476" s="27" t="s">
        <v>8</v>
      </c>
      <c r="BN476" s="27" t="s">
        <v>7</v>
      </c>
      <c r="BO476" s="27" t="s">
        <v>8</v>
      </c>
      <c r="BP476" s="27" t="s">
        <v>7</v>
      </c>
      <c r="BR476" s="27" t="s">
        <v>7</v>
      </c>
      <c r="BU476" s="27" t="s">
        <v>8</v>
      </c>
      <c r="BV476" s="27" t="s">
        <v>7</v>
      </c>
      <c r="BW476" s="27" t="s">
        <v>8</v>
      </c>
      <c r="EZ476" s="27" t="s">
        <v>7</v>
      </c>
      <c r="FA476" s="27" t="s">
        <v>8</v>
      </c>
      <c r="FB476" s="27" t="s">
        <v>7</v>
      </c>
      <c r="FC476" s="27" t="s">
        <v>8</v>
      </c>
      <c r="FD476" s="27" t="s">
        <v>7</v>
      </c>
      <c r="FE476" s="27" t="s">
        <v>8</v>
      </c>
      <c r="FH476" s="27" t="s">
        <v>7</v>
      </c>
      <c r="FI476" s="27" t="s">
        <v>8</v>
      </c>
      <c r="FJ476" s="27" t="s">
        <v>7</v>
      </c>
      <c r="FK476" s="27" t="s">
        <v>8</v>
      </c>
      <c r="FL476" s="27" t="s">
        <v>7</v>
      </c>
      <c r="FO476" s="27" t="s">
        <v>8</v>
      </c>
      <c r="FP476" s="27" t="s">
        <v>7</v>
      </c>
      <c r="FQ476" s="27" t="s">
        <v>8</v>
      </c>
      <c r="FR476" s="27" t="s">
        <v>7</v>
      </c>
      <c r="FS476" s="27" t="s">
        <v>8</v>
      </c>
      <c r="FT476" s="27" t="s">
        <v>7</v>
      </c>
      <c r="FU476" s="27" t="s">
        <v>8</v>
      </c>
      <c r="GX476" s="27" t="s">
        <v>7</v>
      </c>
      <c r="GY476" s="27" t="s">
        <v>8</v>
      </c>
      <c r="GZ476" s="27" t="s">
        <v>7</v>
      </c>
      <c r="HA476" s="27" t="s">
        <v>8</v>
      </c>
      <c r="IJ476" s="27" t="s">
        <v>7</v>
      </c>
      <c r="IK476" s="27" t="s">
        <v>8</v>
      </c>
      <c r="IL476" s="27" t="s">
        <v>7</v>
      </c>
      <c r="IM476" s="27" t="s">
        <v>8</v>
      </c>
      <c r="IN476" s="27" t="s">
        <v>7</v>
      </c>
      <c r="IO476" s="27" t="s">
        <v>8</v>
      </c>
      <c r="IR476" s="27" t="s">
        <v>7</v>
      </c>
      <c r="IT476" s="27" t="s">
        <v>7</v>
      </c>
      <c r="IU476" s="27" t="s">
        <v>8</v>
      </c>
      <c r="IV476" s="27" t="s">
        <v>7</v>
      </c>
      <c r="IW476" s="27" t="s">
        <v>8</v>
      </c>
    </row>
    <row r="477" spans="1:260" x14ac:dyDescent="0.25">
      <c r="A477" s="7">
        <v>8.8311831929862912</v>
      </c>
      <c r="B477"/>
      <c r="C477"/>
      <c r="D477"/>
      <c r="E477" t="s">
        <v>8</v>
      </c>
      <c r="L477" s="27" t="s">
        <v>7</v>
      </c>
      <c r="N477" s="27" t="s">
        <v>7</v>
      </c>
      <c r="S477" s="27" t="s">
        <v>8</v>
      </c>
      <c r="T477" s="27" t="s">
        <v>7</v>
      </c>
      <c r="U477" s="27" t="s">
        <v>8</v>
      </c>
      <c r="V477" s="27" t="s">
        <v>7</v>
      </c>
      <c r="W477" s="27" t="s">
        <v>8</v>
      </c>
      <c r="X477" s="27" t="s">
        <v>7</v>
      </c>
      <c r="AK477" s="27" t="s">
        <v>8</v>
      </c>
      <c r="AL477" s="27" t="s">
        <v>7</v>
      </c>
      <c r="AM477" s="27" t="s">
        <v>8</v>
      </c>
      <c r="AO477" s="27" t="s">
        <v>8</v>
      </c>
      <c r="AS477" s="27" t="s">
        <v>8</v>
      </c>
      <c r="AT477" s="27" t="s">
        <v>7</v>
      </c>
      <c r="BE477" s="27" t="s">
        <v>8</v>
      </c>
      <c r="BF477" s="27" t="s">
        <v>7</v>
      </c>
      <c r="BG477" s="27" t="s">
        <v>8</v>
      </c>
      <c r="BH477" s="27" t="s">
        <v>7</v>
      </c>
      <c r="BM477" s="27" t="s">
        <v>8</v>
      </c>
      <c r="BN477" s="27" t="s">
        <v>7</v>
      </c>
      <c r="BO477" s="27" t="s">
        <v>8</v>
      </c>
      <c r="BR477" s="27" t="s">
        <v>7</v>
      </c>
      <c r="BS477" s="27" t="s">
        <v>8</v>
      </c>
      <c r="BU477" s="27" t="s">
        <v>8</v>
      </c>
      <c r="BV477" s="27" t="s">
        <v>7</v>
      </c>
      <c r="BW477" s="27" t="s">
        <v>8</v>
      </c>
      <c r="EZ477" s="27" t="s">
        <v>7</v>
      </c>
      <c r="FA477" s="27" t="s">
        <v>8</v>
      </c>
      <c r="FB477" s="27" t="s">
        <v>7</v>
      </c>
      <c r="FC477" s="27" t="s">
        <v>8</v>
      </c>
      <c r="FD477" s="27" t="s">
        <v>7</v>
      </c>
      <c r="FE477" s="27" t="s">
        <v>8</v>
      </c>
      <c r="FH477" s="27" t="s">
        <v>7</v>
      </c>
      <c r="FJ477" s="27" t="s">
        <v>7</v>
      </c>
      <c r="FK477" s="27" t="s">
        <v>8</v>
      </c>
      <c r="FL477" s="27" t="s">
        <v>7</v>
      </c>
      <c r="FO477" s="27" t="s">
        <v>8</v>
      </c>
      <c r="FP477" s="27" t="s">
        <v>7</v>
      </c>
      <c r="FQ477" s="27" t="s">
        <v>8</v>
      </c>
      <c r="FR477" s="27" t="s">
        <v>7</v>
      </c>
      <c r="FS477" s="27" t="s">
        <v>8</v>
      </c>
      <c r="FT477" s="27" t="s">
        <v>7</v>
      </c>
      <c r="FU477" s="27" t="s">
        <v>8</v>
      </c>
      <c r="GX477" s="27" t="s">
        <v>7</v>
      </c>
      <c r="GY477" s="27" t="s">
        <v>8</v>
      </c>
      <c r="GZ477" s="27" t="s">
        <v>7</v>
      </c>
      <c r="HA477" s="27" t="s">
        <v>8</v>
      </c>
      <c r="IJ477" s="27" t="s">
        <v>7</v>
      </c>
      <c r="IK477" s="27" t="s">
        <v>8</v>
      </c>
      <c r="IL477" s="27" t="s">
        <v>7</v>
      </c>
      <c r="IM477" s="27" t="s">
        <v>8</v>
      </c>
      <c r="IN477" s="27" t="s">
        <v>7</v>
      </c>
      <c r="IO477" s="27" t="s">
        <v>8</v>
      </c>
      <c r="IT477" s="27" t="s">
        <v>7</v>
      </c>
      <c r="IV477" s="27" t="s">
        <v>7</v>
      </c>
      <c r="IW477" s="27" t="s">
        <v>8</v>
      </c>
      <c r="IX477" s="27" t="s">
        <v>7</v>
      </c>
    </row>
    <row r="478" spans="1:260" x14ac:dyDescent="0.25">
      <c r="A478" s="7">
        <v>8.6580227382218542</v>
      </c>
      <c r="B478"/>
      <c r="C478"/>
      <c r="D478"/>
      <c r="E478" t="s">
        <v>8</v>
      </c>
      <c r="N478" s="27" t="s">
        <v>7</v>
      </c>
      <c r="S478" s="27" t="s">
        <v>8</v>
      </c>
      <c r="T478" s="27" t="s">
        <v>7</v>
      </c>
      <c r="U478" s="27" t="s">
        <v>8</v>
      </c>
      <c r="V478" s="27" t="s">
        <v>7</v>
      </c>
      <c r="W478" s="27" t="s">
        <v>8</v>
      </c>
      <c r="X478" s="27" t="s">
        <v>7</v>
      </c>
      <c r="AK478" s="27" t="s">
        <v>8</v>
      </c>
      <c r="AL478" s="27" t="s">
        <v>7</v>
      </c>
      <c r="AM478" s="27" t="s">
        <v>8</v>
      </c>
      <c r="AN478" s="27" t="s">
        <v>7</v>
      </c>
      <c r="AO478" s="27" t="s">
        <v>8</v>
      </c>
      <c r="AP478" s="27" t="s">
        <v>7</v>
      </c>
      <c r="AS478" s="27" t="s">
        <v>8</v>
      </c>
      <c r="AT478" s="27" t="s">
        <v>7</v>
      </c>
      <c r="BC478" s="27" t="s">
        <v>8</v>
      </c>
      <c r="BE478" s="27" t="s">
        <v>8</v>
      </c>
      <c r="BF478" s="27" t="s">
        <v>7</v>
      </c>
      <c r="BG478" s="27" t="s">
        <v>8</v>
      </c>
      <c r="BH478" s="27" t="s">
        <v>7</v>
      </c>
      <c r="BI478" s="27" t="s">
        <v>8</v>
      </c>
      <c r="BM478" s="27" t="s">
        <v>8</v>
      </c>
      <c r="BN478" s="27" t="s">
        <v>7</v>
      </c>
      <c r="BO478" s="27" t="s">
        <v>8</v>
      </c>
      <c r="BR478" s="27" t="s">
        <v>7</v>
      </c>
      <c r="BS478" s="27" t="s">
        <v>8</v>
      </c>
      <c r="BT478" s="27" t="s">
        <v>7</v>
      </c>
      <c r="BU478" s="27" t="s">
        <v>8</v>
      </c>
      <c r="BV478" s="27" t="s">
        <v>7</v>
      </c>
      <c r="EZ478" s="27" t="s">
        <v>7</v>
      </c>
      <c r="FA478" s="27" t="s">
        <v>8</v>
      </c>
      <c r="FB478" s="27" t="s">
        <v>7</v>
      </c>
      <c r="FC478" s="27" t="s">
        <v>8</v>
      </c>
      <c r="FD478" s="27" t="s">
        <v>7</v>
      </c>
      <c r="FE478" s="27" t="s">
        <v>8</v>
      </c>
      <c r="FJ478" s="27" t="s">
        <v>7</v>
      </c>
      <c r="FK478" s="27" t="s">
        <v>8</v>
      </c>
      <c r="FL478" s="27" t="s">
        <v>7</v>
      </c>
      <c r="FM478" s="27" t="s">
        <v>8</v>
      </c>
      <c r="FO478" s="27" t="s">
        <v>8</v>
      </c>
      <c r="FP478" s="27" t="s">
        <v>7</v>
      </c>
      <c r="FQ478" s="27" t="s">
        <v>8</v>
      </c>
      <c r="FR478" s="27" t="s">
        <v>7</v>
      </c>
      <c r="FS478" s="27" t="s">
        <v>8</v>
      </c>
      <c r="FT478" s="27" t="s">
        <v>7</v>
      </c>
      <c r="FU478" s="27" t="s">
        <v>8</v>
      </c>
      <c r="GX478" s="27" t="s">
        <v>7</v>
      </c>
      <c r="GZ478" s="27" t="s">
        <v>7</v>
      </c>
      <c r="IJ478" s="27" t="s">
        <v>7</v>
      </c>
      <c r="IL478" s="27" t="s">
        <v>7</v>
      </c>
      <c r="IN478" s="27" t="s">
        <v>7</v>
      </c>
      <c r="IO478" s="27" t="s">
        <v>8</v>
      </c>
      <c r="IV478" s="27" t="s">
        <v>7</v>
      </c>
      <c r="IW478" s="27" t="s">
        <v>8</v>
      </c>
      <c r="IX478" s="27" t="s">
        <v>7</v>
      </c>
    </row>
    <row r="479" spans="1:260" x14ac:dyDescent="0.25">
      <c r="A479" s="7">
        <v>8.4882575864920131</v>
      </c>
      <c r="B479"/>
      <c r="C479"/>
      <c r="D479"/>
      <c r="E479" t="s">
        <v>8</v>
      </c>
      <c r="N479" s="27" t="s">
        <v>7</v>
      </c>
      <c r="S479" s="27" t="s">
        <v>8</v>
      </c>
      <c r="T479" s="27" t="s">
        <v>7</v>
      </c>
      <c r="V479" s="27" t="s">
        <v>7</v>
      </c>
      <c r="W479" s="27" t="s">
        <v>8</v>
      </c>
      <c r="X479" s="27" t="s">
        <v>7</v>
      </c>
      <c r="Y479" s="27" t="s">
        <v>8</v>
      </c>
      <c r="AK479" s="27" t="s">
        <v>8</v>
      </c>
      <c r="AL479" s="27" t="s">
        <v>7</v>
      </c>
      <c r="AM479" s="27" t="s">
        <v>8</v>
      </c>
      <c r="AN479" s="27" t="s">
        <v>7</v>
      </c>
      <c r="AO479" s="27" t="s">
        <v>8</v>
      </c>
      <c r="AP479" s="27" t="s">
        <v>7</v>
      </c>
      <c r="AQ479" s="27" t="s">
        <v>8</v>
      </c>
      <c r="AS479" s="27" t="s">
        <v>8</v>
      </c>
      <c r="AT479" s="27" t="s">
        <v>7</v>
      </c>
      <c r="AU479" s="27" t="s">
        <v>8</v>
      </c>
      <c r="BC479" s="27" t="s">
        <v>8</v>
      </c>
      <c r="BD479" s="27" t="s">
        <v>7</v>
      </c>
      <c r="BE479" s="27" t="s">
        <v>8</v>
      </c>
      <c r="BF479" s="27" t="s">
        <v>7</v>
      </c>
      <c r="BG479" s="27" t="s">
        <v>8</v>
      </c>
      <c r="BH479" s="27" t="s">
        <v>7</v>
      </c>
      <c r="BI479" s="27" t="s">
        <v>8</v>
      </c>
      <c r="BJ479" s="27" t="s">
        <v>7</v>
      </c>
      <c r="BM479" s="27" t="s">
        <v>8</v>
      </c>
      <c r="BN479" s="27" t="s">
        <v>7</v>
      </c>
      <c r="BO479" s="27" t="s">
        <v>8</v>
      </c>
      <c r="BR479" s="27" t="s">
        <v>7</v>
      </c>
      <c r="BS479" s="27" t="s">
        <v>8</v>
      </c>
      <c r="BT479" s="27" t="s">
        <v>7</v>
      </c>
      <c r="BU479" s="27" t="s">
        <v>8</v>
      </c>
      <c r="EZ479" s="27" t="s">
        <v>7</v>
      </c>
      <c r="FA479" s="27" t="s">
        <v>8</v>
      </c>
      <c r="FB479" s="27" t="s">
        <v>7</v>
      </c>
      <c r="FC479" s="27" t="s">
        <v>8</v>
      </c>
      <c r="FD479" s="27" t="s">
        <v>7</v>
      </c>
      <c r="FJ479" s="27" t="s">
        <v>7</v>
      </c>
      <c r="FK479" s="27" t="s">
        <v>8</v>
      </c>
      <c r="FL479" s="27" t="s">
        <v>7</v>
      </c>
      <c r="FM479" s="27" t="s">
        <v>8</v>
      </c>
      <c r="FN479" s="27" t="s">
        <v>7</v>
      </c>
      <c r="FO479" s="27" t="s">
        <v>8</v>
      </c>
      <c r="FP479" s="27" t="s">
        <v>7</v>
      </c>
      <c r="FQ479" s="27" t="s">
        <v>8</v>
      </c>
      <c r="FR479" s="27" t="s">
        <v>7</v>
      </c>
      <c r="FS479" s="27" t="s">
        <v>8</v>
      </c>
      <c r="FT479" s="27" t="s">
        <v>7</v>
      </c>
      <c r="FU479" s="27" t="s">
        <v>8</v>
      </c>
      <c r="IN479" s="27" t="s">
        <v>7</v>
      </c>
      <c r="IO479" s="27" t="s">
        <v>8</v>
      </c>
      <c r="IV479" s="27" t="s">
        <v>7</v>
      </c>
      <c r="IW479" s="27" t="s">
        <v>8</v>
      </c>
      <c r="IX479" s="27" t="s">
        <v>7</v>
      </c>
      <c r="IY479" s="27" t="s">
        <v>8</v>
      </c>
    </row>
    <row r="480" spans="1:260" x14ac:dyDescent="0.25">
      <c r="A480" s="7">
        <v>8.3218211632274635</v>
      </c>
      <c r="B480"/>
      <c r="C480"/>
      <c r="D480"/>
      <c r="E480" t="s">
        <v>8</v>
      </c>
      <c r="N480" s="27" t="s">
        <v>7</v>
      </c>
      <c r="S480" s="27" t="s">
        <v>8</v>
      </c>
      <c r="V480" s="27" t="s">
        <v>7</v>
      </c>
      <c r="W480" s="27" t="s">
        <v>8</v>
      </c>
      <c r="X480" s="27" t="s">
        <v>7</v>
      </c>
      <c r="Y480" s="27" t="s">
        <v>8</v>
      </c>
      <c r="Z480" s="27" t="s">
        <v>7</v>
      </c>
      <c r="AA480" s="27" t="s">
        <v>8</v>
      </c>
      <c r="AK480" s="27" t="s">
        <v>8</v>
      </c>
      <c r="AL480" s="27" t="s">
        <v>7</v>
      </c>
      <c r="AM480" s="27" t="s">
        <v>8</v>
      </c>
      <c r="AN480" s="27" t="s">
        <v>7</v>
      </c>
      <c r="AO480" s="27" t="s">
        <v>8</v>
      </c>
      <c r="AP480" s="27" t="s">
        <v>7</v>
      </c>
      <c r="AQ480" s="27" t="s">
        <v>8</v>
      </c>
      <c r="AR480" s="27" t="s">
        <v>7</v>
      </c>
      <c r="AS480" s="27" t="s">
        <v>8</v>
      </c>
      <c r="AT480" s="27" t="s">
        <v>7</v>
      </c>
      <c r="AU480" s="27" t="s">
        <v>8</v>
      </c>
      <c r="AV480" s="27" t="s">
        <v>7</v>
      </c>
      <c r="BC480" s="27" t="s">
        <v>8</v>
      </c>
      <c r="BD480" s="27" t="s">
        <v>7</v>
      </c>
      <c r="BE480" s="27" t="s">
        <v>8</v>
      </c>
      <c r="BF480" s="27" t="s">
        <v>7</v>
      </c>
      <c r="BG480" s="27" t="s">
        <v>8</v>
      </c>
      <c r="BH480" s="27" t="s">
        <v>7</v>
      </c>
      <c r="BI480" s="27" t="s">
        <v>8</v>
      </c>
      <c r="BJ480" s="27" t="s">
        <v>7</v>
      </c>
      <c r="BK480" s="27" t="s">
        <v>8</v>
      </c>
      <c r="BM480" s="27" t="s">
        <v>8</v>
      </c>
      <c r="BN480" s="27" t="s">
        <v>7</v>
      </c>
      <c r="BR480" s="27" t="s">
        <v>7</v>
      </c>
      <c r="BS480" s="27" t="s">
        <v>8</v>
      </c>
      <c r="BT480" s="27" t="s">
        <v>7</v>
      </c>
      <c r="BU480" s="27" t="s">
        <v>8</v>
      </c>
      <c r="EZ480" s="27" t="s">
        <v>7</v>
      </c>
      <c r="FA480" s="27" t="s">
        <v>8</v>
      </c>
      <c r="FB480" s="27" t="s">
        <v>7</v>
      </c>
      <c r="FC480" s="27" t="s">
        <v>8</v>
      </c>
      <c r="FJ480" s="27" t="s">
        <v>7</v>
      </c>
      <c r="FK480" s="27" t="s">
        <v>8</v>
      </c>
      <c r="FL480" s="27" t="s">
        <v>7</v>
      </c>
      <c r="FM480" s="27" t="s">
        <v>8</v>
      </c>
      <c r="FN480" s="27" t="s">
        <v>7</v>
      </c>
      <c r="FO480" s="27" t="s">
        <v>8</v>
      </c>
      <c r="FP480" s="27" t="s">
        <v>7</v>
      </c>
      <c r="FR480" s="27" t="s">
        <v>7</v>
      </c>
      <c r="FT480" s="27" t="s">
        <v>7</v>
      </c>
      <c r="IN480" s="27" t="s">
        <v>7</v>
      </c>
      <c r="IV480" s="27" t="s">
        <v>7</v>
      </c>
      <c r="IW480" s="27" t="s">
        <v>8</v>
      </c>
      <c r="IX480" s="27" t="s">
        <v>7</v>
      </c>
      <c r="IY480" s="27" t="s">
        <v>8</v>
      </c>
      <c r="IZ480" s="27" t="s">
        <v>7</v>
      </c>
    </row>
    <row r="481" spans="1:264" x14ac:dyDescent="0.25">
      <c r="A481" s="7">
        <v>8.1586481992426112</v>
      </c>
      <c r="B481"/>
      <c r="C481"/>
      <c r="D481"/>
      <c r="E481" t="s">
        <v>8</v>
      </c>
      <c r="N481" s="27" t="s">
        <v>7</v>
      </c>
      <c r="S481" s="27" t="s">
        <v>8</v>
      </c>
      <c r="V481" s="27" t="s">
        <v>7</v>
      </c>
      <c r="W481" s="27" t="s">
        <v>8</v>
      </c>
      <c r="X481" s="27" t="s">
        <v>7</v>
      </c>
      <c r="Y481" s="27" t="s">
        <v>8</v>
      </c>
      <c r="Z481" s="27" t="s">
        <v>7</v>
      </c>
      <c r="AA481" s="27" t="s">
        <v>8</v>
      </c>
      <c r="AB481" s="27" t="s">
        <v>7</v>
      </c>
      <c r="AG481" s="27" t="s">
        <v>8</v>
      </c>
      <c r="AK481" s="27" t="s">
        <v>8</v>
      </c>
      <c r="AL481" s="27" t="s">
        <v>7</v>
      </c>
      <c r="AM481" s="27" t="s">
        <v>8</v>
      </c>
      <c r="AN481" s="27" t="s">
        <v>7</v>
      </c>
      <c r="AO481" s="27" t="s">
        <v>8</v>
      </c>
      <c r="AP481" s="27" t="s">
        <v>7</v>
      </c>
      <c r="AQ481" s="27" t="s">
        <v>8</v>
      </c>
      <c r="AR481" s="27" t="s">
        <v>7</v>
      </c>
      <c r="AS481" s="27" t="s">
        <v>8</v>
      </c>
      <c r="AT481" s="27" t="s">
        <v>7</v>
      </c>
      <c r="AU481" s="27" t="s">
        <v>8</v>
      </c>
      <c r="AV481" s="27" t="s">
        <v>7</v>
      </c>
      <c r="AW481" s="27" t="s">
        <v>8</v>
      </c>
      <c r="BC481" s="27" t="s">
        <v>8</v>
      </c>
      <c r="BD481" s="27" t="s">
        <v>7</v>
      </c>
      <c r="BE481" s="27" t="s">
        <v>8</v>
      </c>
      <c r="BF481" s="27" t="s">
        <v>7</v>
      </c>
      <c r="BG481" s="27" t="s">
        <v>8</v>
      </c>
      <c r="BH481" s="27" t="s">
        <v>7</v>
      </c>
      <c r="BI481" s="27" t="s">
        <v>8</v>
      </c>
      <c r="BJ481" s="27" t="s">
        <v>7</v>
      </c>
      <c r="BK481" s="27" t="s">
        <v>8</v>
      </c>
      <c r="BL481" s="27" t="s">
        <v>7</v>
      </c>
      <c r="BM481" s="27" t="s">
        <v>8</v>
      </c>
      <c r="BR481" s="27" t="s">
        <v>7</v>
      </c>
      <c r="BS481" s="27" t="s">
        <v>8</v>
      </c>
      <c r="BT481" s="27" t="s">
        <v>7</v>
      </c>
      <c r="BU481" s="27" t="s">
        <v>8</v>
      </c>
      <c r="EZ481" s="27" t="s">
        <v>7</v>
      </c>
      <c r="FA481" s="27" t="s">
        <v>8</v>
      </c>
      <c r="FB481" s="27" t="s">
        <v>7</v>
      </c>
      <c r="FC481" s="27" t="s">
        <v>8</v>
      </c>
      <c r="FJ481" s="27" t="s">
        <v>7</v>
      </c>
      <c r="FK481" s="27" t="s">
        <v>8</v>
      </c>
      <c r="FL481" s="27" t="s">
        <v>7</v>
      </c>
      <c r="FM481" s="27" t="s">
        <v>8</v>
      </c>
      <c r="FN481" s="27" t="s">
        <v>7</v>
      </c>
      <c r="IV481" s="27" t="s">
        <v>7</v>
      </c>
      <c r="IX481" s="27" t="s">
        <v>7</v>
      </c>
      <c r="IY481" s="27" t="s">
        <v>8</v>
      </c>
      <c r="IZ481" s="27" t="s">
        <v>7</v>
      </c>
    </row>
    <row r="482" spans="1:264" x14ac:dyDescent="0.25">
      <c r="A482" s="7">
        <v>7.9986747051398144</v>
      </c>
      <c r="B482"/>
      <c r="C482"/>
      <c r="D482"/>
      <c r="E482" t="s">
        <v>8</v>
      </c>
      <c r="N482" s="27" t="s">
        <v>7</v>
      </c>
      <c r="O482" s="27" t="s">
        <v>8</v>
      </c>
      <c r="S482" s="27" t="s">
        <v>8</v>
      </c>
      <c r="V482" s="27" t="s">
        <v>7</v>
      </c>
      <c r="W482" s="27" t="s">
        <v>8</v>
      </c>
      <c r="X482" s="27" t="s">
        <v>7</v>
      </c>
      <c r="Z482" s="27" t="s">
        <v>7</v>
      </c>
      <c r="AA482" s="27" t="s">
        <v>8</v>
      </c>
      <c r="AB482" s="27" t="s">
        <v>7</v>
      </c>
      <c r="AC482" s="27" t="s">
        <v>8</v>
      </c>
      <c r="AG482" s="27" t="s">
        <v>8</v>
      </c>
      <c r="AH482" s="27" t="s">
        <v>7</v>
      </c>
      <c r="AK482" s="27" t="s">
        <v>8</v>
      </c>
      <c r="AL482" s="27" t="s">
        <v>7</v>
      </c>
      <c r="AM482" s="27" t="s">
        <v>8</v>
      </c>
      <c r="AN482" s="27" t="s">
        <v>7</v>
      </c>
      <c r="AP482" s="27" t="s">
        <v>7</v>
      </c>
      <c r="AQ482" s="27" t="s">
        <v>8</v>
      </c>
      <c r="AR482" s="27" t="s">
        <v>7</v>
      </c>
      <c r="AS482" s="27" t="s">
        <v>8</v>
      </c>
      <c r="AT482" s="27" t="s">
        <v>7</v>
      </c>
      <c r="AU482" s="27" t="s">
        <v>8</v>
      </c>
      <c r="AV482" s="27" t="s">
        <v>7</v>
      </c>
      <c r="AW482" s="27" t="s">
        <v>8</v>
      </c>
      <c r="AX482" s="27" t="s">
        <v>7</v>
      </c>
      <c r="AY482" s="27" t="s">
        <v>8</v>
      </c>
      <c r="BC482" s="27" t="s">
        <v>8</v>
      </c>
      <c r="BD482" s="27" t="s">
        <v>7</v>
      </c>
      <c r="BE482" s="27" t="s">
        <v>8</v>
      </c>
      <c r="BF482" s="27" t="s">
        <v>7</v>
      </c>
      <c r="BG482" s="27" t="s">
        <v>8</v>
      </c>
      <c r="BH482" s="27" t="s">
        <v>7</v>
      </c>
      <c r="BI482" s="27" t="s">
        <v>8</v>
      </c>
      <c r="BJ482" s="27" t="s">
        <v>7</v>
      </c>
      <c r="BK482" s="27" t="s">
        <v>8</v>
      </c>
      <c r="BL482" s="27" t="s">
        <v>7</v>
      </c>
      <c r="BM482" s="27" t="s">
        <v>8</v>
      </c>
      <c r="BR482" s="27" t="s">
        <v>7</v>
      </c>
      <c r="BS482" s="27" t="s">
        <v>8</v>
      </c>
      <c r="BT482" s="27" t="s">
        <v>7</v>
      </c>
      <c r="EZ482" s="27" t="s">
        <v>7</v>
      </c>
      <c r="FA482" s="27" t="s">
        <v>8</v>
      </c>
      <c r="FB482" s="27" t="s">
        <v>7</v>
      </c>
      <c r="FC482" s="27" t="s">
        <v>8</v>
      </c>
      <c r="FJ482" s="27" t="s">
        <v>7</v>
      </c>
      <c r="FL482" s="27" t="s">
        <v>7</v>
      </c>
      <c r="FM482" s="27" t="s">
        <v>8</v>
      </c>
      <c r="IX482" s="27" t="s">
        <v>7</v>
      </c>
      <c r="IY482" s="27" t="s">
        <v>8</v>
      </c>
      <c r="IZ482" s="27" t="s">
        <v>7</v>
      </c>
    </row>
    <row r="483" spans="1:264" x14ac:dyDescent="0.25">
      <c r="A483" s="7">
        <v>7.8418379462155041</v>
      </c>
      <c r="B483"/>
      <c r="C483"/>
      <c r="D483"/>
      <c r="E483" t="s">
        <v>8</v>
      </c>
      <c r="N483" s="27" t="s">
        <v>7</v>
      </c>
      <c r="O483" s="27" t="s">
        <v>8</v>
      </c>
      <c r="P483" s="27" t="s">
        <v>7</v>
      </c>
      <c r="S483" s="27" t="s">
        <v>8</v>
      </c>
      <c r="V483" s="27" t="s">
        <v>7</v>
      </c>
      <c r="W483" s="27" t="s">
        <v>8</v>
      </c>
      <c r="Z483" s="27" t="s">
        <v>7</v>
      </c>
      <c r="AB483" s="27" t="s">
        <v>7</v>
      </c>
      <c r="AC483" s="27" t="s">
        <v>8</v>
      </c>
      <c r="AD483" s="27" t="s">
        <v>7</v>
      </c>
      <c r="AG483" s="27" t="s">
        <v>8</v>
      </c>
      <c r="AH483" s="27" t="s">
        <v>7</v>
      </c>
      <c r="AI483" s="27" t="s">
        <v>8</v>
      </c>
      <c r="AK483" s="27" t="s">
        <v>8</v>
      </c>
      <c r="AL483" s="27" t="s">
        <v>7</v>
      </c>
      <c r="AM483" s="27" t="s">
        <v>8</v>
      </c>
      <c r="AP483" s="27" t="s">
        <v>7</v>
      </c>
      <c r="AQ483" s="27" t="s">
        <v>8</v>
      </c>
      <c r="AR483" s="27" t="s">
        <v>7</v>
      </c>
      <c r="AS483" s="27" t="s">
        <v>8</v>
      </c>
      <c r="AT483" s="27" t="s">
        <v>7</v>
      </c>
      <c r="AU483" s="27" t="s">
        <v>8</v>
      </c>
      <c r="AV483" s="27" t="s">
        <v>7</v>
      </c>
      <c r="AW483" s="27" t="s">
        <v>8</v>
      </c>
      <c r="AX483" s="27" t="s">
        <v>7</v>
      </c>
      <c r="AY483" s="27" t="s">
        <v>8</v>
      </c>
      <c r="AZ483" s="27" t="s">
        <v>7</v>
      </c>
      <c r="BC483" s="27" t="s">
        <v>8</v>
      </c>
      <c r="BD483" s="27" t="s">
        <v>7</v>
      </c>
      <c r="BE483" s="27" t="s">
        <v>8</v>
      </c>
      <c r="BF483" s="27" t="s">
        <v>7</v>
      </c>
      <c r="BG483" s="27" t="s">
        <v>8</v>
      </c>
      <c r="BH483" s="27" t="s">
        <v>7</v>
      </c>
      <c r="BI483" s="27" t="s">
        <v>8</v>
      </c>
      <c r="BJ483" s="27" t="s">
        <v>7</v>
      </c>
      <c r="BK483" s="27" t="s">
        <v>8</v>
      </c>
      <c r="BL483" s="27" t="s">
        <v>7</v>
      </c>
      <c r="BM483" s="27" t="s">
        <v>8</v>
      </c>
      <c r="BR483" s="27" t="s">
        <v>7</v>
      </c>
      <c r="BS483" s="27" t="s">
        <v>8</v>
      </c>
      <c r="EZ483" s="27" t="s">
        <v>7</v>
      </c>
      <c r="FA483" s="27" t="s">
        <v>8</v>
      </c>
      <c r="FB483" s="27" t="s">
        <v>7</v>
      </c>
      <c r="FC483" s="27" t="s">
        <v>8</v>
      </c>
      <c r="FL483" s="18" t="s">
        <v>7</v>
      </c>
      <c r="FM483" s="27" t="s">
        <v>8</v>
      </c>
      <c r="IX483" s="27" t="s">
        <v>7</v>
      </c>
      <c r="IY483" s="27" t="s">
        <v>8</v>
      </c>
      <c r="IZ483" s="27" t="s">
        <v>7</v>
      </c>
    </row>
    <row r="484" spans="1:264" x14ac:dyDescent="0.25">
      <c r="A484" s="7">
        <v>7.688076417858337</v>
      </c>
      <c r="B484"/>
      <c r="C484"/>
      <c r="D484"/>
      <c r="E484" t="s">
        <v>8</v>
      </c>
      <c r="N484" s="27" t="s">
        <v>7</v>
      </c>
      <c r="O484" s="27" t="s">
        <v>8</v>
      </c>
      <c r="P484" s="27" t="s">
        <v>7</v>
      </c>
      <c r="S484" s="27" t="s">
        <v>8</v>
      </c>
      <c r="V484" s="27" t="s">
        <v>7</v>
      </c>
      <c r="W484" s="27" t="s">
        <v>8</v>
      </c>
      <c r="AB484" s="27" t="s">
        <v>7</v>
      </c>
      <c r="AC484" s="27" t="s">
        <v>8</v>
      </c>
      <c r="AD484" s="27" t="s">
        <v>7</v>
      </c>
      <c r="AG484" s="27" t="s">
        <v>8</v>
      </c>
      <c r="AH484" s="27" t="s">
        <v>7</v>
      </c>
      <c r="AI484" s="27" t="s">
        <v>8</v>
      </c>
      <c r="AJ484" s="27" t="s">
        <v>7</v>
      </c>
      <c r="AK484" s="27" t="s">
        <v>8</v>
      </c>
      <c r="AL484" s="27" t="s">
        <v>7</v>
      </c>
      <c r="AM484" s="27" t="s">
        <v>8</v>
      </c>
      <c r="AP484" s="27" t="s">
        <v>7</v>
      </c>
      <c r="AQ484" s="27" t="s">
        <v>8</v>
      </c>
      <c r="AR484" s="27" t="s">
        <v>7</v>
      </c>
      <c r="AT484" s="27" t="s">
        <v>7</v>
      </c>
      <c r="AU484" s="27" t="s">
        <v>8</v>
      </c>
      <c r="AV484" s="27" t="s">
        <v>7</v>
      </c>
      <c r="AW484" s="27" t="s">
        <v>8</v>
      </c>
      <c r="AX484" s="27" t="s">
        <v>7</v>
      </c>
      <c r="AY484" s="27" t="s">
        <v>8</v>
      </c>
      <c r="AZ484" s="27" t="s">
        <v>7</v>
      </c>
      <c r="BC484" s="27" t="s">
        <v>8</v>
      </c>
      <c r="BD484" s="27" t="s">
        <v>7</v>
      </c>
      <c r="BE484" s="27" t="s">
        <v>8</v>
      </c>
      <c r="BF484" s="27" t="s">
        <v>7</v>
      </c>
      <c r="BG484" s="27" t="s">
        <v>8</v>
      </c>
      <c r="BH484" s="27" t="s">
        <v>7</v>
      </c>
      <c r="BI484" s="27" t="s">
        <v>8</v>
      </c>
      <c r="BJ484" s="27" t="s">
        <v>7</v>
      </c>
      <c r="BL484" s="27" t="s">
        <v>7</v>
      </c>
      <c r="BM484" s="27" t="s">
        <v>8</v>
      </c>
      <c r="BR484" s="27" t="s">
        <v>7</v>
      </c>
      <c r="BS484" s="27" t="s">
        <v>8</v>
      </c>
      <c r="EZ484" s="27" t="s">
        <v>7</v>
      </c>
      <c r="FA484" s="27" t="s">
        <v>8</v>
      </c>
      <c r="FB484" s="27" t="s">
        <v>7</v>
      </c>
      <c r="FL484" s="27" t="s">
        <v>7</v>
      </c>
      <c r="FM484" s="27" t="s">
        <v>8</v>
      </c>
      <c r="IX484" s="27" t="s">
        <v>7</v>
      </c>
      <c r="IZ484" s="27" t="s">
        <v>7</v>
      </c>
    </row>
    <row r="485" spans="1:264" x14ac:dyDescent="0.25">
      <c r="A485" s="7">
        <v>7.5373298214297417</v>
      </c>
      <c r="B485"/>
      <c r="C485"/>
      <c r="D485"/>
      <c r="E485" t="s">
        <v>8</v>
      </c>
      <c r="N485" s="27" t="s">
        <v>7</v>
      </c>
      <c r="O485" s="27" t="s">
        <v>8</v>
      </c>
      <c r="P485" s="27" t="s">
        <v>7</v>
      </c>
      <c r="S485" s="27" t="s">
        <v>8</v>
      </c>
      <c r="V485" s="27" t="s">
        <v>7</v>
      </c>
      <c r="W485" s="27" t="s">
        <v>8</v>
      </c>
      <c r="AB485" s="27" t="s">
        <v>7</v>
      </c>
      <c r="AC485" s="27" t="s">
        <v>8</v>
      </c>
      <c r="AD485" s="27" t="s">
        <v>7</v>
      </c>
      <c r="AG485" s="27" t="s">
        <v>8</v>
      </c>
      <c r="AH485" s="27" t="s">
        <v>7</v>
      </c>
      <c r="AI485" s="27" t="s">
        <v>8</v>
      </c>
      <c r="AJ485" s="27" t="s">
        <v>7</v>
      </c>
      <c r="AK485" s="27" t="s">
        <v>8</v>
      </c>
      <c r="AL485" s="27" t="s">
        <v>7</v>
      </c>
      <c r="AP485" s="27" t="s">
        <v>7</v>
      </c>
      <c r="AT485" s="27" t="s">
        <v>7</v>
      </c>
      <c r="AU485" s="27" t="s">
        <v>8</v>
      </c>
      <c r="AV485" s="27" t="s">
        <v>7</v>
      </c>
      <c r="AW485" s="27" t="s">
        <v>8</v>
      </c>
      <c r="AX485" s="27" t="s">
        <v>7</v>
      </c>
      <c r="AZ485" s="27" t="s">
        <v>7</v>
      </c>
      <c r="BC485" s="27" t="s">
        <v>8</v>
      </c>
      <c r="BD485" s="27" t="s">
        <v>7</v>
      </c>
      <c r="BE485" s="27" t="s">
        <v>8</v>
      </c>
      <c r="BF485" s="27" t="s">
        <v>7</v>
      </c>
      <c r="BH485" s="27" t="s">
        <v>7</v>
      </c>
      <c r="BL485" s="27" t="s">
        <v>7</v>
      </c>
      <c r="BR485" s="27" t="s">
        <v>7</v>
      </c>
      <c r="BS485" s="27" t="s">
        <v>8</v>
      </c>
      <c r="EZ485" s="27" t="s">
        <v>7</v>
      </c>
      <c r="FL485" s="27" t="s">
        <v>7</v>
      </c>
      <c r="FM485" s="27" t="s">
        <v>8</v>
      </c>
      <c r="IZ485" s="27" t="s">
        <v>7</v>
      </c>
    </row>
    <row r="486" spans="1:264" x14ac:dyDescent="0.25">
      <c r="A486" s="7">
        <v>7.389539040617394</v>
      </c>
      <c r="B486"/>
      <c r="C486"/>
      <c r="D486"/>
      <c r="E486" t="s">
        <v>8</v>
      </c>
      <c r="N486" s="27" t="s">
        <v>7</v>
      </c>
      <c r="O486" s="27" t="s">
        <v>8</v>
      </c>
      <c r="P486" s="27" t="s">
        <v>7</v>
      </c>
      <c r="S486" s="27" t="s">
        <v>8</v>
      </c>
      <c r="V486" s="27" t="s">
        <v>7</v>
      </c>
      <c r="AB486" s="27" t="s">
        <v>7</v>
      </c>
      <c r="AC486" s="27" t="s">
        <v>8</v>
      </c>
      <c r="AD486" s="27" t="s">
        <v>7</v>
      </c>
      <c r="AG486" s="27" t="s">
        <v>8</v>
      </c>
      <c r="AH486" s="27" t="s">
        <v>7</v>
      </c>
      <c r="AI486" s="27" t="s">
        <v>8</v>
      </c>
      <c r="AJ486" s="27" t="s">
        <v>7</v>
      </c>
      <c r="AK486" s="27" t="s">
        <v>8</v>
      </c>
      <c r="AT486" s="27" t="s">
        <v>7</v>
      </c>
      <c r="AU486" s="27" t="s">
        <v>8</v>
      </c>
      <c r="AV486" s="27" t="s">
        <v>7</v>
      </c>
      <c r="AZ486" s="27" t="s">
        <v>7</v>
      </c>
      <c r="BA486" s="27" t="s">
        <v>8</v>
      </c>
      <c r="BC486" s="27" t="s">
        <v>8</v>
      </c>
      <c r="BD486" s="27" t="s">
        <v>7</v>
      </c>
      <c r="BE486" s="27" t="s">
        <v>8</v>
      </c>
      <c r="BR486" s="27" t="s">
        <v>7</v>
      </c>
      <c r="FL486" s="27" t="s">
        <v>7</v>
      </c>
      <c r="IZ486" s="27" t="s">
        <v>7</v>
      </c>
    </row>
    <row r="487" spans="1:264" x14ac:dyDescent="0.25">
      <c r="A487" s="7">
        <v>7.2446461182523469</v>
      </c>
      <c r="B487"/>
      <c r="C487"/>
      <c r="D487"/>
      <c r="E487" t="s">
        <v>8</v>
      </c>
      <c r="N487" s="27" t="s">
        <v>7</v>
      </c>
      <c r="P487" s="27" t="s">
        <v>7</v>
      </c>
      <c r="Q487" s="27" t="s">
        <v>8</v>
      </c>
      <c r="S487" s="27" t="s">
        <v>8</v>
      </c>
      <c r="AB487" s="27" t="s">
        <v>7</v>
      </c>
      <c r="AC487" s="27" t="s">
        <v>8</v>
      </c>
      <c r="AD487" s="27" t="s">
        <v>7</v>
      </c>
      <c r="AG487" s="27" t="s">
        <v>8</v>
      </c>
      <c r="AH487" s="27" t="s">
        <v>7</v>
      </c>
      <c r="AI487" s="27" t="s">
        <v>8</v>
      </c>
      <c r="AJ487" s="27" t="s">
        <v>7</v>
      </c>
      <c r="AK487" s="27" t="s">
        <v>8</v>
      </c>
      <c r="AT487" s="27" t="s">
        <v>7</v>
      </c>
      <c r="AU487" s="27" t="s">
        <v>8</v>
      </c>
      <c r="AZ487" s="27" t="s">
        <v>7</v>
      </c>
      <c r="BA487" s="27" t="s">
        <v>8</v>
      </c>
      <c r="BB487" s="27" t="s">
        <v>7</v>
      </c>
      <c r="BC487" s="27" t="s">
        <v>8</v>
      </c>
      <c r="BD487" s="27" t="s">
        <v>7</v>
      </c>
      <c r="IZ487" s="27" t="s">
        <v>7</v>
      </c>
    </row>
    <row r="488" spans="1:264" x14ac:dyDescent="0.25">
      <c r="A488" s="7">
        <v>7.1025942335807324</v>
      </c>
      <c r="B488"/>
      <c r="C488"/>
      <c r="D488"/>
      <c r="E488" t="s">
        <v>8</v>
      </c>
      <c r="P488" s="27" t="s">
        <v>7</v>
      </c>
      <c r="Q488" s="27" t="s">
        <v>8</v>
      </c>
      <c r="R488" s="27" t="s">
        <v>7</v>
      </c>
      <c r="S488" s="27" t="s">
        <v>8</v>
      </c>
      <c r="AB488" s="27" t="s">
        <v>7</v>
      </c>
      <c r="AC488" s="27" t="s">
        <v>8</v>
      </c>
      <c r="AD488" s="27" t="s">
        <v>7</v>
      </c>
      <c r="AE488" s="27" t="s">
        <v>8</v>
      </c>
      <c r="AG488" s="27" t="s">
        <v>8</v>
      </c>
      <c r="AH488" s="27" t="s">
        <v>7</v>
      </c>
      <c r="AI488" s="27" t="s">
        <v>8</v>
      </c>
      <c r="AJ488" s="27" t="s">
        <v>7</v>
      </c>
      <c r="AK488" s="27" t="s">
        <v>8</v>
      </c>
      <c r="AT488" s="27" t="s">
        <v>7</v>
      </c>
      <c r="AZ488" s="27" t="s">
        <v>7</v>
      </c>
      <c r="BA488" s="27" t="s">
        <v>8</v>
      </c>
      <c r="BB488" s="27" t="s">
        <v>7</v>
      </c>
      <c r="BC488" s="27" t="s">
        <v>8</v>
      </c>
      <c r="IZ488" s="27" t="s">
        <v>7</v>
      </c>
    </row>
    <row r="489" spans="1:264" x14ac:dyDescent="0.25">
      <c r="A489" s="7">
        <v>6.9633276799811101</v>
      </c>
      <c r="B489"/>
      <c r="C489"/>
      <c r="D489"/>
      <c r="E489" t="s">
        <v>8</v>
      </c>
      <c r="P489" s="27" t="s">
        <v>7</v>
      </c>
      <c r="Q489" s="27" t="s">
        <v>8</v>
      </c>
      <c r="R489" s="27" t="s">
        <v>7</v>
      </c>
      <c r="S489" s="27" t="s">
        <v>8</v>
      </c>
      <c r="AB489" s="27" t="s">
        <v>7</v>
      </c>
      <c r="AD489" s="27" t="s">
        <v>7</v>
      </c>
      <c r="AE489" s="27" t="s">
        <v>8</v>
      </c>
      <c r="AF489" s="27" t="s">
        <v>7</v>
      </c>
      <c r="AG489" s="27" t="s">
        <v>8</v>
      </c>
      <c r="AH489" s="27" t="s">
        <v>7</v>
      </c>
      <c r="AI489" s="27" t="s">
        <v>8</v>
      </c>
      <c r="AJ489" s="27" t="s">
        <v>7</v>
      </c>
      <c r="AK489" s="27" t="s">
        <v>8</v>
      </c>
      <c r="AZ489" s="27" t="s">
        <v>7</v>
      </c>
      <c r="BB489" s="27" t="s">
        <v>7</v>
      </c>
      <c r="BC489" s="27" t="s">
        <v>8</v>
      </c>
      <c r="IZ489" s="27" t="s">
        <v>7</v>
      </c>
    </row>
    <row r="490" spans="1:264" x14ac:dyDescent="0.25">
      <c r="A490" s="7">
        <v>6.8267918431187349</v>
      </c>
      <c r="B490"/>
      <c r="C490"/>
      <c r="D490"/>
      <c r="E490" t="s">
        <v>8</v>
      </c>
      <c r="P490" s="27" t="s">
        <v>7</v>
      </c>
      <c r="R490" s="27" t="s">
        <v>7</v>
      </c>
      <c r="S490" s="27" t="s">
        <v>8</v>
      </c>
      <c r="AD490" s="27" t="s">
        <v>7</v>
      </c>
      <c r="AE490" s="27" t="s">
        <v>8</v>
      </c>
      <c r="AF490" s="27" t="s">
        <v>7</v>
      </c>
      <c r="AG490" s="27" t="s">
        <v>8</v>
      </c>
      <c r="AH490" s="27" t="s">
        <v>7</v>
      </c>
      <c r="AJ490" s="27" t="s">
        <v>7</v>
      </c>
      <c r="BB490" s="27" t="s">
        <v>7</v>
      </c>
      <c r="IZ490" s="27" t="s">
        <v>7</v>
      </c>
    </row>
    <row r="491" spans="1:264" x14ac:dyDescent="0.25">
      <c r="A491" s="7">
        <v>6.692933179528171</v>
      </c>
      <c r="B491"/>
      <c r="C491"/>
      <c r="D491"/>
      <c r="E491" t="s">
        <v>8</v>
      </c>
      <c r="R491" s="27" t="s">
        <v>7</v>
      </c>
      <c r="S491" s="27" t="s">
        <v>8</v>
      </c>
      <c r="AD491" s="27" t="s">
        <v>7</v>
      </c>
      <c r="AF491" s="27" t="s">
        <v>7</v>
      </c>
      <c r="AG491" s="27" t="s">
        <v>8</v>
      </c>
      <c r="IZ491" s="27" t="s">
        <v>7</v>
      </c>
    </row>
    <row r="492" spans="1:264" x14ac:dyDescent="0.25">
      <c r="A492" s="7">
        <v>6.5616991956158541</v>
      </c>
      <c r="B492"/>
      <c r="C492"/>
      <c r="D492"/>
      <c r="E492" t="s">
        <v>8</v>
      </c>
      <c r="R492" s="27" t="s">
        <v>7</v>
      </c>
      <c r="S492" s="27" t="s">
        <v>8</v>
      </c>
      <c r="AF492" s="27" t="s">
        <v>7</v>
      </c>
      <c r="AG492" s="27" t="s">
        <v>8</v>
      </c>
      <c r="IZ492" s="27" t="s">
        <v>7</v>
      </c>
    </row>
    <row r="493" spans="1:264" x14ac:dyDescent="0.25">
      <c r="A493" s="7">
        <v>6.4330384270743668</v>
      </c>
      <c r="B493"/>
      <c r="C493"/>
      <c r="D493"/>
      <c r="E493" t="s">
        <v>8</v>
      </c>
      <c r="R493" s="27" t="s">
        <v>7</v>
      </c>
      <c r="S493" s="27" t="s">
        <v>8</v>
      </c>
      <c r="AF493" s="27" t="s">
        <v>7</v>
      </c>
      <c r="IZ493" s="27" t="s">
        <v>7</v>
      </c>
      <c r="JA493" s="27" t="s">
        <v>8</v>
      </c>
    </row>
    <row r="494" spans="1:264" x14ac:dyDescent="0.25">
      <c r="A494" s="7">
        <v>6.3069004187003594</v>
      </c>
      <c r="B494"/>
      <c r="C494"/>
      <c r="D494"/>
      <c r="E494" t="s">
        <v>8</v>
      </c>
      <c r="R494" s="27" t="s">
        <v>7</v>
      </c>
      <c r="S494" s="27" t="s">
        <v>8</v>
      </c>
      <c r="IZ494" s="27" t="s">
        <v>7</v>
      </c>
      <c r="JA494" s="27" t="s">
        <v>8</v>
      </c>
      <c r="JB494" s="27" t="s">
        <v>7</v>
      </c>
      <c r="JC494" s="27" t="s">
        <v>8</v>
      </c>
    </row>
    <row r="495" spans="1:264" x14ac:dyDescent="0.25">
      <c r="A495" s="7">
        <v>6.1832357046081956</v>
      </c>
      <c r="B495"/>
      <c r="C495"/>
      <c r="D495"/>
      <c r="E495" t="s">
        <v>8</v>
      </c>
      <c r="R495" s="27" t="s">
        <v>7</v>
      </c>
      <c r="S495" s="27" t="s">
        <v>8</v>
      </c>
      <c r="IZ495" s="27" t="s">
        <v>7</v>
      </c>
      <c r="JA495" s="27" t="s">
        <v>8</v>
      </c>
      <c r="JB495" s="27" t="s">
        <v>7</v>
      </c>
      <c r="JC495" s="27" t="s">
        <v>8</v>
      </c>
      <c r="JD495" s="27" t="s">
        <v>7</v>
      </c>
    </row>
    <row r="496" spans="1:264" x14ac:dyDescent="0.25">
      <c r="A496" s="7">
        <v>6.0619957888315641</v>
      </c>
      <c r="B496"/>
      <c r="C496"/>
      <c r="D496"/>
      <c r="E496" t="s">
        <v>8</v>
      </c>
      <c r="R496" s="27" t="s">
        <v>7</v>
      </c>
      <c r="S496" s="27" t="s">
        <v>8</v>
      </c>
      <c r="IZ496" s="27" t="s">
        <v>7</v>
      </c>
      <c r="JA496" s="27" t="s">
        <v>8</v>
      </c>
      <c r="JB496" s="27" t="s">
        <v>7</v>
      </c>
      <c r="JC496" s="27" t="s">
        <v>8</v>
      </c>
      <c r="JD496" s="27" t="s">
        <v>7</v>
      </c>
    </row>
    <row r="497" spans="1:264" x14ac:dyDescent="0.25">
      <c r="A497" s="7">
        <v>5.9431331263054545</v>
      </c>
      <c r="B497"/>
      <c r="C497"/>
      <c r="D497"/>
      <c r="E497" t="s">
        <v>8</v>
      </c>
      <c r="R497" s="27" t="s">
        <v>7</v>
      </c>
      <c r="IZ497" s="27" t="s">
        <v>7</v>
      </c>
      <c r="JA497" s="27" t="s">
        <v>8</v>
      </c>
      <c r="JB497" s="27" t="s">
        <v>7</v>
      </c>
      <c r="JC497" s="27" t="s">
        <v>8</v>
      </c>
      <c r="JD497" s="27" t="s">
        <v>7</v>
      </c>
    </row>
    <row r="498" spans="1:264" x14ac:dyDescent="0.25">
      <c r="A498" s="7">
        <v>5.8266011042210337</v>
      </c>
      <c r="B498"/>
      <c r="C498"/>
      <c r="D498"/>
      <c r="E498" t="s">
        <v>8</v>
      </c>
      <c r="IZ498" s="27" t="s">
        <v>7</v>
      </c>
      <c r="JB498" s="27" t="s">
        <v>7</v>
      </c>
      <c r="JC498" s="27" t="s">
        <v>8</v>
      </c>
      <c r="JD498" s="27" t="s">
        <v>7</v>
      </c>
    </row>
    <row r="499" spans="1:264" x14ac:dyDescent="0.25">
      <c r="A499" s="7">
        <v>5.7123540237461112</v>
      </c>
      <c r="B499"/>
      <c r="C499"/>
      <c r="D499"/>
      <c r="E499" t="s">
        <v>8</v>
      </c>
      <c r="JB499" s="27" t="s">
        <v>7</v>
      </c>
      <c r="JC499" s="27" t="s">
        <v>8</v>
      </c>
      <c r="JD499" s="27" t="s">
        <v>7</v>
      </c>
    </row>
    <row r="500" spans="1:264" x14ac:dyDescent="0.25">
      <c r="A500" s="7">
        <v>5.6003470821040304</v>
      </c>
      <c r="B500"/>
      <c r="C500"/>
      <c r="D500"/>
      <c r="E500" t="s">
        <v>8</v>
      </c>
      <c r="JB500" s="27" t="s">
        <v>7</v>
      </c>
      <c r="JC500" s="27" t="s">
        <v>8</v>
      </c>
    </row>
    <row r="501" spans="1:264" x14ac:dyDescent="0.25">
      <c r="A501" s="7">
        <v>5.4905363550039512</v>
      </c>
      <c r="B501"/>
      <c r="C501"/>
      <c r="D501"/>
      <c r="E501" t="s">
        <v>8</v>
      </c>
      <c r="JB501" s="27" t="s">
        <v>7</v>
      </c>
      <c r="JC501" s="27" t="s">
        <v>8</v>
      </c>
    </row>
    <row r="502" spans="1:264" x14ac:dyDescent="0.25">
      <c r="A502" s="7">
        <v>5.3828787794156385</v>
      </c>
      <c r="B502"/>
      <c r="C502"/>
      <c r="D502"/>
      <c r="E502" t="s">
        <v>8</v>
      </c>
      <c r="JB502" s="27" t="s">
        <v>7</v>
      </c>
      <c r="JC502" s="27" t="s">
        <v>8</v>
      </c>
    </row>
    <row r="503" spans="1:264" x14ac:dyDescent="0.25">
      <c r="A503" s="7">
        <v>5.2773321366819985</v>
      </c>
      <c r="B503"/>
      <c r="C503"/>
      <c r="D503"/>
      <c r="E503" t="s">
        <v>8</v>
      </c>
      <c r="JB503" s="27" t="s">
        <v>7</v>
      </c>
    </row>
    <row r="504" spans="1:264" x14ac:dyDescent="0.25">
      <c r="A504" s="7">
        <v>5.1738550359627435</v>
      </c>
      <c r="B504"/>
      <c r="C504"/>
      <c r="D504"/>
      <c r="E504" t="s">
        <v>8</v>
      </c>
    </row>
    <row r="505" spans="1:264" x14ac:dyDescent="0.25">
      <c r="A505" s="7">
        <v>5.07240689800269</v>
      </c>
      <c r="B505"/>
      <c r="C505"/>
      <c r="D505"/>
      <c r="E505" t="s">
        <v>8</v>
      </c>
    </row>
    <row r="506" spans="1:264" x14ac:dyDescent="0.25">
      <c r="A506" s="7">
        <v>4.9729479392183231</v>
      </c>
      <c r="B506"/>
      <c r="C506"/>
      <c r="D506"/>
      <c r="E506" t="s">
        <v>8</v>
      </c>
    </row>
    <row r="507" spans="1:264" x14ac:dyDescent="0.25">
      <c r="A507" s="7">
        <v>4.8754391560963954</v>
      </c>
      <c r="B507"/>
      <c r="C507"/>
      <c r="D507"/>
      <c r="E507" t="s">
        <v>8</v>
      </c>
    </row>
    <row r="508" spans="1:264" x14ac:dyDescent="0.25">
      <c r="A508" s="7">
        <v>4.7798423098984264</v>
      </c>
      <c r="B508"/>
      <c r="C508"/>
      <c r="D508"/>
      <c r="E508" t="s">
        <v>8</v>
      </c>
    </row>
    <row r="509" spans="1:264" x14ac:dyDescent="0.25">
      <c r="A509" s="7">
        <v>4.6861199116651235</v>
      </c>
      <c r="B509"/>
      <c r="C509"/>
      <c r="D509"/>
      <c r="E509" t="s">
        <v>8</v>
      </c>
    </row>
    <row r="510" spans="1:264" x14ac:dyDescent="0.25">
      <c r="A510" s="7">
        <v>4.5942352075148269</v>
      </c>
      <c r="B510"/>
      <c r="C510"/>
      <c r="D510"/>
      <c r="E510" t="s">
        <v>8</v>
      </c>
    </row>
    <row r="511" spans="1:264" x14ac:dyDescent="0.25">
      <c r="A511" s="7">
        <v>4.5041521642302227</v>
      </c>
      <c r="B511"/>
      <c r="C511"/>
      <c r="D511"/>
      <c r="E511" t="s">
        <v>8</v>
      </c>
    </row>
    <row r="512" spans="1:264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11" operator="equal">
      <formula>$U$1</formula>
    </cfRule>
    <cfRule type="cellIs" dxfId="89" priority="912" operator="equal">
      <formula>$S$1</formula>
    </cfRule>
  </conditionalFormatting>
  <conditionalFormatting sqref="D27">
    <cfRule type="cellIs" dxfId="88" priority="909" operator="equal">
      <formula>$S$1</formula>
    </cfRule>
    <cfRule type="cellIs" dxfId="87" priority="910" operator="equal">
      <formula>$U$1</formula>
    </cfRule>
  </conditionalFormatting>
  <conditionalFormatting sqref="C164">
    <cfRule type="cellIs" dxfId="86" priority="907" operator="equal">
      <formula>$U$1</formula>
    </cfRule>
    <cfRule type="cellIs" dxfId="85" priority="908" operator="equal">
      <formula>$S$1</formula>
    </cfRule>
  </conditionalFormatting>
  <conditionalFormatting sqref="D164">
    <cfRule type="cellIs" dxfId="84" priority="905" operator="equal">
      <formula>$S$1</formula>
    </cfRule>
    <cfRule type="cellIs" dxfId="83" priority="906" operator="equal">
      <formula>$U$1</formula>
    </cfRule>
  </conditionalFormatting>
  <conditionalFormatting sqref="C55">
    <cfRule type="cellIs" dxfId="82" priority="903" operator="equal">
      <formula>$U$1</formula>
    </cfRule>
    <cfRule type="cellIs" dxfId="81" priority="904" operator="equal">
      <formula>$S$1</formula>
    </cfRule>
  </conditionalFormatting>
  <conditionalFormatting sqref="D55">
    <cfRule type="cellIs" dxfId="80" priority="901" operator="equal">
      <formula>$S$1</formula>
    </cfRule>
    <cfRule type="cellIs" dxfId="79" priority="902" operator="equal">
      <formula>$U$1</formula>
    </cfRule>
  </conditionalFormatting>
  <conditionalFormatting sqref="C89">
    <cfRule type="cellIs" dxfId="78" priority="899" operator="equal">
      <formula>$U$1</formula>
    </cfRule>
    <cfRule type="cellIs" dxfId="77" priority="900" operator="equal">
      <formula>$S$1</formula>
    </cfRule>
  </conditionalFormatting>
  <conditionalFormatting sqref="D89">
    <cfRule type="cellIs" dxfId="76" priority="897" operator="equal">
      <formula>$S$1</formula>
    </cfRule>
    <cfRule type="cellIs" dxfId="75" priority="898" operator="equal">
      <formula>$U$1</formula>
    </cfRule>
  </conditionalFormatting>
  <conditionalFormatting sqref="C136">
    <cfRule type="cellIs" dxfId="74" priority="895" operator="equal">
      <formula>$U$1</formula>
    </cfRule>
    <cfRule type="cellIs" dxfId="73" priority="896" operator="equal">
      <formula>$S$1</formula>
    </cfRule>
  </conditionalFormatting>
  <conditionalFormatting sqref="D136">
    <cfRule type="cellIs" dxfId="72" priority="893" operator="equal">
      <formula>$S$1</formula>
    </cfRule>
    <cfRule type="cellIs" dxfId="71" priority="894" operator="equal">
      <formula>$U$1</formula>
    </cfRule>
  </conditionalFormatting>
  <conditionalFormatting sqref="C1">
    <cfRule type="cellIs" dxfId="70" priority="892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DW203" sqref="DW203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$A$202</v>
      </c>
      <c r="D111" s="1" t="str">
        <f>ADDRESS(C121-1,D121,1,1)</f>
        <v>$DW$202</v>
      </c>
      <c r="E111"/>
    </row>
    <row r="112" spans="1:5" x14ac:dyDescent="0.25">
      <c r="A112" s="30">
        <v>515.50191262726139</v>
      </c>
      <c r="C112" s="1" t="str">
        <f>ADDRESS(C121,1,1,1)</f>
        <v>$A$203</v>
      </c>
      <c r="D112" s="1" t="str">
        <f>ADDRESS(C121,D121-1,1,1)</f>
        <v>$DV$203</v>
      </c>
      <c r="E112"/>
    </row>
    <row r="113" spans="1:5" x14ac:dyDescent="0.25">
      <c r="A113" s="30">
        <v>490.95420250215363</v>
      </c>
      <c r="C113" s="1" t="str">
        <f>ADDRESS(C121+1,1,1,1)</f>
        <v>$A$204</v>
      </c>
      <c r="D113" s="1" t="str">
        <f>ADDRESS(C121-1,D121+1,1,1)</f>
        <v>$DX$202</v>
      </c>
    </row>
    <row r="114" spans="1:5" x14ac:dyDescent="0.25">
      <c r="A114" s="30">
        <v>467.57543095443202</v>
      </c>
      <c r="C114" s="1" t="str">
        <f>ADDRESS(C121,D121,1,1)</f>
        <v>$DW$203</v>
      </c>
      <c r="D114" s="1" t="str">
        <f>ADDRESS(C121+1,D121+1,1,1)</f>
        <v>$DX$204</v>
      </c>
    </row>
    <row r="115" spans="1:5" x14ac:dyDescent="0.25">
      <c r="A115" s="30">
        <v>445.30993424231622</v>
      </c>
      <c r="C115" s="1" t="str">
        <f>ADDRESS(C121+1,D121,1,1)</f>
        <v>$DW$204</v>
      </c>
    </row>
    <row r="116" spans="1:5" x14ac:dyDescent="0.25">
      <c r="A116" s="30">
        <v>424.10469927839637</v>
      </c>
      <c r="C116" s="1">
        <f>C117-1</f>
        <v>202</v>
      </c>
    </row>
    <row r="117" spans="1:5" x14ac:dyDescent="0.25">
      <c r="A117" s="30">
        <v>403.9092374079965</v>
      </c>
      <c r="C117" s="1">
        <f>C121</f>
        <v>203</v>
      </c>
      <c r="D117" s="1">
        <f>D121</f>
        <v>127</v>
      </c>
    </row>
    <row r="118" spans="1:5" x14ac:dyDescent="0.25">
      <c r="A118" s="30">
        <v>384.6754641980919</v>
      </c>
      <c r="C118" s="1">
        <f>C117+1</f>
        <v>204</v>
      </c>
      <c r="D118" s="1">
        <f>D117+1</f>
        <v>128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203</v>
      </c>
      <c r="D121" s="19">
        <v>127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R203</v>
      </c>
      <c r="D123" s="1" t="str">
        <f>"C"&amp;D121</f>
        <v>C127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6.0814069427704647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115" x14ac:dyDescent="0.25">
      <c r="A161" s="30">
        <v>47.201372444612005</v>
      </c>
      <c r="E161"/>
    </row>
    <row r="162" spans="1:115" x14ac:dyDescent="0.25">
      <c r="A162" s="30">
        <v>44.95368804248762</v>
      </c>
      <c r="E162"/>
    </row>
    <row r="163" spans="1:115" x14ac:dyDescent="0.25">
      <c r="A163" s="30">
        <v>42.81303623094059</v>
      </c>
      <c r="E163"/>
      <c r="AQ163" s="27" t="s">
        <v>8</v>
      </c>
    </row>
    <row r="164" spans="1:115" x14ac:dyDescent="0.25">
      <c r="A164" s="30">
        <v>40.774320219943419</v>
      </c>
      <c r="E164"/>
      <c r="AQ164" s="27" t="s">
        <v>8</v>
      </c>
      <c r="AR164" s="27" t="s">
        <v>7</v>
      </c>
    </row>
    <row r="165" spans="1:115" x14ac:dyDescent="0.25">
      <c r="A165" s="30">
        <v>38.832685923755633</v>
      </c>
      <c r="E165"/>
      <c r="AQ165" s="27" t="s">
        <v>8</v>
      </c>
      <c r="AR165" s="27" t="s">
        <v>7</v>
      </c>
    </row>
    <row r="166" spans="1:115" x14ac:dyDescent="0.25">
      <c r="A166" s="30">
        <v>36.983510403576794</v>
      </c>
      <c r="E166"/>
      <c r="AQ166" s="27" t="s">
        <v>8</v>
      </c>
      <c r="AR166" s="27" t="s">
        <v>7</v>
      </c>
    </row>
    <row r="167" spans="1:115" x14ac:dyDescent="0.25">
      <c r="A167" s="30">
        <v>35.222390860549325</v>
      </c>
      <c r="E167"/>
      <c r="AQ167" s="27" t="s">
        <v>8</v>
      </c>
      <c r="AR167" s="27" t="s">
        <v>7</v>
      </c>
    </row>
    <row r="168" spans="1:115" x14ac:dyDescent="0.25">
      <c r="A168" s="30">
        <v>33.545134152904119</v>
      </c>
      <c r="E168"/>
      <c r="AQ168" s="27" t="s">
        <v>8</v>
      </c>
      <c r="AR168" s="27" t="s">
        <v>7</v>
      </c>
      <c r="AS168" s="27" t="s">
        <v>8</v>
      </c>
    </row>
    <row r="169" spans="1:115" x14ac:dyDescent="0.25">
      <c r="A169" s="30">
        <v>31.947746812289637</v>
      </c>
      <c r="E169"/>
      <c r="AQ169" s="27" t="s">
        <v>8</v>
      </c>
      <c r="AR169" s="27" t="s">
        <v>7</v>
      </c>
      <c r="AS169" s="27" t="s">
        <v>8</v>
      </c>
      <c r="AT169" s="27" t="s">
        <v>7</v>
      </c>
      <c r="BK169" s="27" t="s">
        <v>8</v>
      </c>
      <c r="BQ169" s="27" t="s">
        <v>8</v>
      </c>
    </row>
    <row r="170" spans="1:115" x14ac:dyDescent="0.25">
      <c r="A170" s="30">
        <v>30.426425535513939</v>
      </c>
      <c r="E170"/>
      <c r="AQ170" s="27" t="s">
        <v>8</v>
      </c>
      <c r="AR170" s="27" t="s">
        <v>7</v>
      </c>
      <c r="AS170" s="27" t="s">
        <v>8</v>
      </c>
      <c r="AT170" s="27" t="s">
        <v>7</v>
      </c>
      <c r="BK170" s="27" t="s">
        <v>8</v>
      </c>
      <c r="BL170" s="27" t="s">
        <v>7</v>
      </c>
      <c r="BQ170" s="27" t="s">
        <v>8</v>
      </c>
      <c r="BR170" s="27" t="s">
        <v>7</v>
      </c>
      <c r="BS170" s="27" t="s">
        <v>8</v>
      </c>
    </row>
    <row r="171" spans="1:115" x14ac:dyDescent="0.25">
      <c r="A171" s="30">
        <v>28.977548129060892</v>
      </c>
      <c r="E171"/>
      <c r="AQ171" s="27" t="s">
        <v>8</v>
      </c>
      <c r="AR171" s="27" t="s">
        <v>7</v>
      </c>
      <c r="AS171" s="27" t="s">
        <v>8</v>
      </c>
      <c r="AT171" s="27" t="s">
        <v>7</v>
      </c>
      <c r="AU171" s="27" t="s">
        <v>8</v>
      </c>
      <c r="BK171" s="27" t="s">
        <v>8</v>
      </c>
      <c r="BL171" s="27" t="s">
        <v>7</v>
      </c>
      <c r="BQ171" s="27" t="s">
        <v>8</v>
      </c>
      <c r="BR171" s="27" t="s">
        <v>7</v>
      </c>
      <c r="BS171" s="27" t="s">
        <v>8</v>
      </c>
      <c r="BT171" s="27" t="s">
        <v>7</v>
      </c>
    </row>
    <row r="172" spans="1:115" x14ac:dyDescent="0.25">
      <c r="A172" s="30">
        <v>27.597664884819896</v>
      </c>
      <c r="E172"/>
      <c r="AQ172" s="27" t="s">
        <v>8</v>
      </c>
      <c r="AR172" s="27" t="s">
        <v>7</v>
      </c>
      <c r="AS172" s="27" t="s">
        <v>8</v>
      </c>
      <c r="AT172" s="27" t="s">
        <v>7</v>
      </c>
      <c r="AU172" s="27" t="s">
        <v>8</v>
      </c>
      <c r="AV172" s="27" t="s">
        <v>7</v>
      </c>
      <c r="BC172" s="27" t="s">
        <v>8</v>
      </c>
      <c r="BK172" s="27" t="s">
        <v>8</v>
      </c>
      <c r="BL172" s="27" t="s">
        <v>7</v>
      </c>
      <c r="BM172" s="27" t="s">
        <v>8</v>
      </c>
      <c r="BO172" s="27" t="s">
        <v>8</v>
      </c>
      <c r="BQ172" s="27" t="s">
        <v>8</v>
      </c>
      <c r="BR172" s="27" t="s">
        <v>7</v>
      </c>
      <c r="BS172" s="27" t="s">
        <v>8</v>
      </c>
      <c r="BT172" s="27" t="s">
        <v>7</v>
      </c>
      <c r="BU172" s="27" t="s">
        <v>8</v>
      </c>
    </row>
    <row r="173" spans="1:115" x14ac:dyDescent="0.25">
      <c r="A173" s="30">
        <v>26.283490366495137</v>
      </c>
      <c r="E173"/>
      <c r="AQ173" s="27" t="s">
        <v>8</v>
      </c>
      <c r="AR173" s="27" t="s">
        <v>7</v>
      </c>
      <c r="AS173" s="27" t="s">
        <v>8</v>
      </c>
      <c r="AT173" s="27" t="s">
        <v>7</v>
      </c>
      <c r="AU173" s="27" t="s">
        <v>8</v>
      </c>
      <c r="AV173" s="27" t="s">
        <v>7</v>
      </c>
      <c r="BC173" s="27" t="s">
        <v>8</v>
      </c>
      <c r="BD173" s="27" t="s">
        <v>7</v>
      </c>
      <c r="BE173" s="27" t="s">
        <v>8</v>
      </c>
      <c r="BG173" s="27" t="s">
        <v>8</v>
      </c>
      <c r="BI173" s="27" t="s">
        <v>8</v>
      </c>
      <c r="BK173" s="27" t="s">
        <v>8</v>
      </c>
      <c r="BL173" s="27" t="s">
        <v>7</v>
      </c>
      <c r="BM173" s="27" t="s">
        <v>8</v>
      </c>
      <c r="BN173" s="27" t="s">
        <v>7</v>
      </c>
      <c r="BO173" s="27" t="s">
        <v>8</v>
      </c>
      <c r="BP173" s="27" t="s">
        <v>7</v>
      </c>
      <c r="BQ173" s="27" t="s">
        <v>8</v>
      </c>
      <c r="BR173" s="27" t="s">
        <v>7</v>
      </c>
      <c r="BT173" s="27" t="s">
        <v>7</v>
      </c>
      <c r="BU173" s="27" t="s">
        <v>8</v>
      </c>
      <c r="BV173" s="27" t="s">
        <v>7</v>
      </c>
    </row>
    <row r="174" spans="1:115" x14ac:dyDescent="0.25">
      <c r="A174" s="30">
        <v>25.031895587138223</v>
      </c>
      <c r="E174"/>
      <c r="AQ174" s="27" t="s">
        <v>8</v>
      </c>
      <c r="AR174" s="27" t="s">
        <v>7</v>
      </c>
      <c r="AT174" s="27" t="s">
        <v>7</v>
      </c>
      <c r="AU174" s="27" t="s">
        <v>8</v>
      </c>
      <c r="AV174" s="27" t="s">
        <v>7</v>
      </c>
      <c r="BC174" s="27" t="s">
        <v>8</v>
      </c>
      <c r="BD174" s="27" t="s">
        <v>7</v>
      </c>
      <c r="BE174" s="27" t="s">
        <v>8</v>
      </c>
      <c r="BF174" s="27" t="s">
        <v>7</v>
      </c>
      <c r="BG174" s="27" t="s">
        <v>8</v>
      </c>
      <c r="BH174" s="27" t="s">
        <v>7</v>
      </c>
      <c r="BI174" s="27" t="s">
        <v>8</v>
      </c>
      <c r="BJ174" s="27" t="s">
        <v>7</v>
      </c>
      <c r="BK174" s="27" t="s">
        <v>8</v>
      </c>
      <c r="BL174" s="27" t="s">
        <v>7</v>
      </c>
      <c r="BM174" s="27" t="s">
        <v>8</v>
      </c>
      <c r="BN174" s="27" t="s">
        <v>7</v>
      </c>
      <c r="BO174" s="27" t="s">
        <v>8</v>
      </c>
      <c r="BP174" s="27" t="s">
        <v>7</v>
      </c>
      <c r="BQ174" s="27" t="s">
        <v>8</v>
      </c>
      <c r="BT174" s="27" t="s">
        <v>7</v>
      </c>
      <c r="BU174" s="27" t="s">
        <v>8</v>
      </c>
      <c r="BV174" s="27" t="s">
        <v>7</v>
      </c>
      <c r="BW174" s="27" t="s">
        <v>8</v>
      </c>
    </row>
    <row r="175" spans="1:115" x14ac:dyDescent="0.25">
      <c r="A175" s="30">
        <v>23.839900559179259</v>
      </c>
      <c r="E175"/>
      <c r="AQ175" s="27" t="s">
        <v>8</v>
      </c>
      <c r="AT175" s="27" t="s">
        <v>7</v>
      </c>
      <c r="AV175" s="27" t="s">
        <v>7</v>
      </c>
      <c r="AW175" s="27" t="s">
        <v>8</v>
      </c>
      <c r="BC175" s="27" t="s">
        <v>8</v>
      </c>
      <c r="BD175" s="27" t="s">
        <v>7</v>
      </c>
      <c r="BE175" s="27" t="s">
        <v>8</v>
      </c>
      <c r="BF175" s="27" t="s">
        <v>7</v>
      </c>
      <c r="BG175" s="27" t="s">
        <v>8</v>
      </c>
      <c r="BH175" s="27" t="s">
        <v>7</v>
      </c>
      <c r="BI175" s="27" t="s">
        <v>8</v>
      </c>
      <c r="BJ175" s="27" t="s">
        <v>7</v>
      </c>
      <c r="BK175" s="27" t="s">
        <v>8</v>
      </c>
      <c r="BL175" s="27" t="s">
        <v>7</v>
      </c>
      <c r="BM175" s="27" t="s">
        <v>8</v>
      </c>
      <c r="BN175" s="27" t="s">
        <v>7</v>
      </c>
      <c r="BP175" s="27" t="s">
        <v>7</v>
      </c>
      <c r="BT175" s="27" t="s">
        <v>7</v>
      </c>
      <c r="BU175" s="27" t="s">
        <v>8</v>
      </c>
      <c r="BV175" s="27" t="s">
        <v>7</v>
      </c>
      <c r="BW175" s="27" t="s">
        <v>8</v>
      </c>
      <c r="BX175" s="27" t="s">
        <v>7</v>
      </c>
    </row>
    <row r="176" spans="1:115" x14ac:dyDescent="0.25">
      <c r="A176" s="30">
        <v>22.704667199218342</v>
      </c>
      <c r="E176"/>
      <c r="AQ176" s="27" t="s">
        <v>8</v>
      </c>
      <c r="AV176" s="27" t="s">
        <v>7</v>
      </c>
      <c r="AW176" s="27" t="s">
        <v>8</v>
      </c>
      <c r="AX176" s="27" t="s">
        <v>7</v>
      </c>
      <c r="BA176" s="27" t="s">
        <v>8</v>
      </c>
      <c r="BC176" s="27" t="s">
        <v>8</v>
      </c>
      <c r="BD176" s="27" t="s">
        <v>7</v>
      </c>
      <c r="BF176" s="27" t="s">
        <v>7</v>
      </c>
      <c r="BH176" s="27" t="s">
        <v>7</v>
      </c>
      <c r="BI176" s="27" t="s">
        <v>8</v>
      </c>
      <c r="BJ176" s="27" t="s">
        <v>7</v>
      </c>
      <c r="BL176" s="27" t="s">
        <v>7</v>
      </c>
      <c r="BM176" s="27" t="s">
        <v>8</v>
      </c>
      <c r="BT176" s="27" t="s">
        <v>7</v>
      </c>
      <c r="BV176" s="27" t="s">
        <v>7</v>
      </c>
      <c r="BW176" s="27" t="s">
        <v>8</v>
      </c>
      <c r="BX176" s="27" t="s">
        <v>7</v>
      </c>
      <c r="DK176" s="27" t="s">
        <v>8</v>
      </c>
    </row>
    <row r="177" spans="1:126" x14ac:dyDescent="0.25">
      <c r="A177" s="30">
        <v>21.623492570684135</v>
      </c>
      <c r="E177"/>
      <c r="AQ177" s="27" t="s">
        <v>8</v>
      </c>
      <c r="AV177" s="27" t="s">
        <v>7</v>
      </c>
      <c r="AW177" s="27" t="s">
        <v>8</v>
      </c>
      <c r="AX177" s="27" t="s">
        <v>7</v>
      </c>
      <c r="AY177" s="27" t="s">
        <v>8</v>
      </c>
      <c r="BA177" s="27" t="s">
        <v>8</v>
      </c>
      <c r="BB177" s="27" t="s">
        <v>7</v>
      </c>
      <c r="BC177" s="27" t="s">
        <v>8</v>
      </c>
      <c r="BH177" s="27" t="s">
        <v>7</v>
      </c>
      <c r="BI177" s="27" t="s">
        <v>8</v>
      </c>
      <c r="BL177" s="27" t="s">
        <v>7</v>
      </c>
      <c r="BM177" s="27" t="s">
        <v>8</v>
      </c>
      <c r="BV177" s="27" t="s">
        <v>7</v>
      </c>
      <c r="BX177" s="27" t="s">
        <v>7</v>
      </c>
      <c r="DE177" s="27" t="s">
        <v>8</v>
      </c>
      <c r="DK177" s="27" t="s">
        <v>8</v>
      </c>
      <c r="DL177" s="27" t="s">
        <v>7</v>
      </c>
    </row>
    <row r="178" spans="1:126" x14ac:dyDescent="0.25">
      <c r="A178" s="30">
        <v>20.593802448270605</v>
      </c>
      <c r="C178" s="7"/>
      <c r="D178"/>
      <c r="E178"/>
      <c r="AQ178" s="27" t="s">
        <v>8</v>
      </c>
      <c r="AV178" s="27" t="s">
        <v>7</v>
      </c>
      <c r="AW178" s="27" t="s">
        <v>8</v>
      </c>
      <c r="AX178" s="27" t="s">
        <v>7</v>
      </c>
      <c r="AY178" s="27" t="s">
        <v>8</v>
      </c>
      <c r="AZ178" s="27" t="s">
        <v>7</v>
      </c>
      <c r="BA178" s="27" t="s">
        <v>8</v>
      </c>
      <c r="BB178" s="27" t="s">
        <v>7</v>
      </c>
      <c r="BC178" s="27" t="s">
        <v>8</v>
      </c>
      <c r="BH178" s="27" t="s">
        <v>7</v>
      </c>
      <c r="BL178" s="27" t="s">
        <v>7</v>
      </c>
      <c r="BX178" s="27" t="s">
        <v>7</v>
      </c>
      <c r="DE178" s="27" t="s">
        <v>8</v>
      </c>
      <c r="DF178" s="27" t="s">
        <v>7</v>
      </c>
      <c r="DK178" s="27" t="s">
        <v>8</v>
      </c>
      <c r="DL178" s="27" t="s">
        <v>7</v>
      </c>
    </row>
    <row r="179" spans="1:126" x14ac:dyDescent="0.25">
      <c r="A179" s="30">
        <v>19.613145188829147</v>
      </c>
      <c r="E179" t="s">
        <v>8</v>
      </c>
      <c r="AQ179" s="27" t="s">
        <v>8</v>
      </c>
      <c r="AV179" s="27" t="s">
        <v>7</v>
      </c>
      <c r="AW179" s="27" t="s">
        <v>8</v>
      </c>
      <c r="AX179" s="27" t="s">
        <v>7</v>
      </c>
      <c r="AY179" s="27" t="s">
        <v>8</v>
      </c>
      <c r="AZ179" s="27" t="s">
        <v>7</v>
      </c>
      <c r="BA179" s="27" t="s">
        <v>8</v>
      </c>
      <c r="BB179" s="27" t="s">
        <v>7</v>
      </c>
      <c r="BX179" s="27" t="s">
        <v>7</v>
      </c>
      <c r="DE179" s="27" t="s">
        <v>8</v>
      </c>
      <c r="DF179" s="27" t="s">
        <v>7</v>
      </c>
      <c r="DI179" s="27" t="s">
        <v>8</v>
      </c>
      <c r="DK179" s="27" t="s">
        <v>8</v>
      </c>
      <c r="DL179" s="27" t="s">
        <v>7</v>
      </c>
    </row>
    <row r="180" spans="1:126" x14ac:dyDescent="0.25">
      <c r="A180" s="30">
        <v>18.679185894122998</v>
      </c>
      <c r="E180" t="s">
        <v>8</v>
      </c>
      <c r="F180" s="27" t="s">
        <v>7</v>
      </c>
      <c r="AQ180" s="27" t="s">
        <v>8</v>
      </c>
      <c r="AV180" s="27" t="s">
        <v>7</v>
      </c>
      <c r="AW180" s="27" t="s">
        <v>8</v>
      </c>
      <c r="AX180" s="27" t="s">
        <v>7</v>
      </c>
      <c r="AZ180" s="27" t="s">
        <v>7</v>
      </c>
      <c r="BA180" s="27" t="s">
        <v>8</v>
      </c>
      <c r="BX180" s="27" t="s">
        <v>7</v>
      </c>
      <c r="BY180" s="27" t="s">
        <v>8</v>
      </c>
      <c r="DE180" s="27" t="s">
        <v>8</v>
      </c>
      <c r="DF180" s="27" t="s">
        <v>7</v>
      </c>
      <c r="DI180" s="27" t="s">
        <v>8</v>
      </c>
      <c r="DJ180" s="27" t="s">
        <v>7</v>
      </c>
      <c r="DK180" s="27" t="s">
        <v>8</v>
      </c>
      <c r="DL180" s="27" t="s">
        <v>7</v>
      </c>
    </row>
    <row r="181" spans="1:126" x14ac:dyDescent="0.25">
      <c r="A181" s="30">
        <v>17.78970085154571</v>
      </c>
      <c r="C181"/>
      <c r="D181"/>
      <c r="E181" t="s">
        <v>8</v>
      </c>
      <c r="F181" s="27" t="s">
        <v>7</v>
      </c>
      <c r="AQ181" s="27" t="s">
        <v>8</v>
      </c>
      <c r="AV181" s="27" t="s">
        <v>7</v>
      </c>
      <c r="AZ181" s="27" t="s">
        <v>7</v>
      </c>
      <c r="BX181" s="27" t="s">
        <v>7</v>
      </c>
      <c r="BY181" s="27" t="s">
        <v>8</v>
      </c>
      <c r="BZ181" s="27" t="s">
        <v>7</v>
      </c>
      <c r="CC181" s="27" t="s">
        <v>8</v>
      </c>
      <c r="DE181" s="27" t="s">
        <v>8</v>
      </c>
      <c r="DF181" s="27" t="s">
        <v>7</v>
      </c>
      <c r="DI181" s="27" t="s">
        <v>8</v>
      </c>
      <c r="DJ181" s="27" t="s">
        <v>7</v>
      </c>
      <c r="DK181" s="27" t="s">
        <v>8</v>
      </c>
      <c r="DL181" s="27" t="s">
        <v>7</v>
      </c>
    </row>
    <row r="182" spans="1:126" x14ac:dyDescent="0.25">
      <c r="A182" s="30">
        <v>16.942572239567344</v>
      </c>
      <c r="E182" t="s">
        <v>8</v>
      </c>
      <c r="F182" s="27" t="s">
        <v>7</v>
      </c>
      <c r="AQ182" s="27" t="s">
        <v>8</v>
      </c>
      <c r="BX182" s="27" t="s">
        <v>7</v>
      </c>
      <c r="BY182" s="27" t="s">
        <v>8</v>
      </c>
      <c r="BZ182" s="27" t="s">
        <v>7</v>
      </c>
      <c r="CC182" s="27" t="s">
        <v>8</v>
      </c>
      <c r="CD182" s="27" t="s">
        <v>7</v>
      </c>
      <c r="DE182" s="27" t="s">
        <v>8</v>
      </c>
      <c r="DF182" s="27" t="s">
        <v>7</v>
      </c>
      <c r="DG182" s="27" t="s">
        <v>8</v>
      </c>
      <c r="DI182" s="27" t="s">
        <v>8</v>
      </c>
      <c r="DJ182" s="27" t="s">
        <v>7</v>
      </c>
      <c r="DK182" s="27" t="s">
        <v>8</v>
      </c>
      <c r="DL182" s="27" t="s">
        <v>7</v>
      </c>
    </row>
    <row r="183" spans="1:126" x14ac:dyDescent="0.25">
      <c r="A183" s="30">
        <v>16.135783085302233</v>
      </c>
      <c r="E183" t="s">
        <v>8</v>
      </c>
      <c r="F183" s="27" t="s">
        <v>7</v>
      </c>
      <c r="G183" s="27" t="s">
        <v>8</v>
      </c>
      <c r="AQ183" s="27" t="s">
        <v>8</v>
      </c>
      <c r="BX183" s="27" t="s">
        <v>7</v>
      </c>
      <c r="BY183" s="27" t="s">
        <v>8</v>
      </c>
      <c r="BZ183" s="27" t="s">
        <v>7</v>
      </c>
      <c r="CA183" s="27" t="s">
        <v>8</v>
      </c>
      <c r="CC183" s="27" t="s">
        <v>8</v>
      </c>
      <c r="CD183" s="27" t="s">
        <v>7</v>
      </c>
      <c r="DE183" s="27" t="s">
        <v>8</v>
      </c>
      <c r="DF183" s="27" t="s">
        <v>7</v>
      </c>
      <c r="DG183" s="27" t="s">
        <v>8</v>
      </c>
      <c r="DH183" s="27" t="s">
        <v>7</v>
      </c>
      <c r="DI183" s="27" t="s">
        <v>8</v>
      </c>
      <c r="DJ183" s="27" t="s">
        <v>7</v>
      </c>
      <c r="DL183" s="27" t="s">
        <v>7</v>
      </c>
    </row>
    <row r="184" spans="1:126" x14ac:dyDescent="0.25">
      <c r="A184" s="30">
        <v>15.367412462192602</v>
      </c>
      <c r="E184" t="s">
        <v>8</v>
      </c>
      <c r="F184" s="27" t="s">
        <v>7</v>
      </c>
      <c r="G184" s="27" t="s">
        <v>8</v>
      </c>
      <c r="H184" s="27" t="s">
        <v>7</v>
      </c>
      <c r="AQ184" s="27" t="s">
        <v>8</v>
      </c>
      <c r="BX184" s="27" t="s">
        <v>7</v>
      </c>
      <c r="BY184" s="27" t="s">
        <v>8</v>
      </c>
      <c r="BZ184" s="27" t="s">
        <v>7</v>
      </c>
      <c r="CA184" s="27" t="s">
        <v>8</v>
      </c>
      <c r="CB184" s="27" t="s">
        <v>7</v>
      </c>
      <c r="CC184" s="27" t="s">
        <v>8</v>
      </c>
      <c r="CD184" s="27" t="s">
        <v>7</v>
      </c>
      <c r="DE184" s="27" t="s">
        <v>8</v>
      </c>
      <c r="DF184" s="27" t="s">
        <v>7</v>
      </c>
      <c r="DG184" s="27" t="s">
        <v>8</v>
      </c>
      <c r="DH184" s="27" t="s">
        <v>7</v>
      </c>
      <c r="DI184" s="27" t="s">
        <v>8</v>
      </c>
      <c r="DL184" s="27" t="s">
        <v>7</v>
      </c>
    </row>
    <row r="185" spans="1:126" x14ac:dyDescent="0.25">
      <c r="A185" s="30">
        <v>14.635630916373906</v>
      </c>
      <c r="C185"/>
      <c r="E185" t="s">
        <v>8</v>
      </c>
      <c r="F185" s="27" t="s">
        <v>7</v>
      </c>
      <c r="G185" s="27" t="s">
        <v>8</v>
      </c>
      <c r="H185" s="27" t="s">
        <v>7</v>
      </c>
      <c r="AQ185" s="27" t="s">
        <v>8</v>
      </c>
      <c r="BX185" s="27" t="s">
        <v>7</v>
      </c>
      <c r="BY185" s="27" t="s">
        <v>8</v>
      </c>
      <c r="BZ185" s="27" t="s">
        <v>7</v>
      </c>
      <c r="CA185" s="27" t="s">
        <v>8</v>
      </c>
      <c r="CB185" s="27" t="s">
        <v>7</v>
      </c>
      <c r="CC185" s="27" t="s">
        <v>8</v>
      </c>
      <c r="CD185" s="27" t="s">
        <v>7</v>
      </c>
      <c r="CS185" s="27" t="s">
        <v>8</v>
      </c>
      <c r="CU185" s="27" t="s">
        <v>8</v>
      </c>
      <c r="DC185" s="27" t="s">
        <v>8</v>
      </c>
      <c r="DE185" s="27" t="s">
        <v>8</v>
      </c>
      <c r="DF185" s="27" t="s">
        <v>7</v>
      </c>
      <c r="DH185" s="27" t="s">
        <v>7</v>
      </c>
      <c r="DI185" s="27" t="s">
        <v>8</v>
      </c>
      <c r="DL185" s="27" t="s">
        <v>7</v>
      </c>
      <c r="DM185" s="27" t="s">
        <v>8</v>
      </c>
    </row>
    <row r="186" spans="1:126" x14ac:dyDescent="0.25">
      <c r="A186" s="30">
        <v>13.938696110832291</v>
      </c>
      <c r="E186" t="s">
        <v>8</v>
      </c>
      <c r="F186" s="27" t="s">
        <v>7</v>
      </c>
      <c r="G186" s="27" t="s">
        <v>8</v>
      </c>
      <c r="H186" s="27" t="s">
        <v>7</v>
      </c>
      <c r="AQ186" s="27" t="s">
        <v>8</v>
      </c>
      <c r="BX186" s="27" t="s">
        <v>7</v>
      </c>
      <c r="BY186" s="27" t="s">
        <v>8</v>
      </c>
      <c r="BZ186" s="27" t="s">
        <v>7</v>
      </c>
      <c r="CA186" s="27" t="s">
        <v>8</v>
      </c>
      <c r="CB186" s="27" t="s">
        <v>7</v>
      </c>
      <c r="CC186" s="27" t="s">
        <v>8</v>
      </c>
      <c r="CD186" s="27" t="s">
        <v>7</v>
      </c>
      <c r="CQ186" s="27" t="s">
        <v>8</v>
      </c>
      <c r="CS186" s="27" t="s">
        <v>8</v>
      </c>
      <c r="CT186" s="27" t="s">
        <v>7</v>
      </c>
      <c r="CU186" s="27" t="s">
        <v>8</v>
      </c>
      <c r="CV186" s="27" t="s">
        <v>7</v>
      </c>
      <c r="DC186" s="27" t="s">
        <v>8</v>
      </c>
      <c r="DD186" s="27" t="s">
        <v>7</v>
      </c>
      <c r="DE186" s="27" t="s">
        <v>8</v>
      </c>
      <c r="DH186" s="27" t="s">
        <v>7</v>
      </c>
      <c r="DL186" s="27" t="s">
        <v>7</v>
      </c>
      <c r="DM186" s="27" t="s">
        <v>8</v>
      </c>
      <c r="DN186" s="27" t="s">
        <v>7</v>
      </c>
    </row>
    <row r="187" spans="1:126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  <c r="F187" s="27" t="s">
        <v>7</v>
      </c>
      <c r="G187" s="27" t="s">
        <v>8</v>
      </c>
      <c r="H187" s="27" t="s">
        <v>7</v>
      </c>
      <c r="AO187" s="27" t="s">
        <v>8</v>
      </c>
      <c r="AQ187" s="27" t="s">
        <v>8</v>
      </c>
      <c r="BX187" s="27" t="s">
        <v>7</v>
      </c>
      <c r="BZ187" s="27" t="s">
        <v>7</v>
      </c>
      <c r="CA187" s="27" t="s">
        <v>8</v>
      </c>
      <c r="CB187" s="27" t="s">
        <v>7</v>
      </c>
      <c r="CC187" s="27" t="s">
        <v>8</v>
      </c>
      <c r="CD187" s="27" t="s">
        <v>7</v>
      </c>
      <c r="CQ187" s="27" t="s">
        <v>8</v>
      </c>
      <c r="CR187" s="27" t="s">
        <v>7</v>
      </c>
      <c r="CS187" s="27" t="s">
        <v>8</v>
      </c>
      <c r="CT187" s="27" t="s">
        <v>7</v>
      </c>
      <c r="CU187" s="27" t="s">
        <v>8</v>
      </c>
      <c r="CV187" s="27" t="s">
        <v>7</v>
      </c>
      <c r="CY187" s="27" t="s">
        <v>8</v>
      </c>
      <c r="DC187" s="27" t="s">
        <v>8</v>
      </c>
      <c r="DD187" s="27" t="s">
        <v>7</v>
      </c>
      <c r="DE187" s="27" t="s">
        <v>8</v>
      </c>
      <c r="DL187" s="27" t="s">
        <v>7</v>
      </c>
      <c r="DM187" s="27" t="s">
        <v>8</v>
      </c>
      <c r="DN187" s="27" t="s">
        <v>7</v>
      </c>
    </row>
    <row r="188" spans="1:126" x14ac:dyDescent="0.25">
      <c r="A188" s="30">
        <v>12.64280826379346</v>
      </c>
      <c r="E188" t="s">
        <v>8</v>
      </c>
      <c r="F188" s="27" t="s">
        <v>7</v>
      </c>
      <c r="G188" s="27" t="s">
        <v>8</v>
      </c>
      <c r="H188" s="27" t="s">
        <v>7</v>
      </c>
      <c r="K188" s="27" t="s">
        <v>8</v>
      </c>
      <c r="AE188" s="27" t="s">
        <v>8</v>
      </c>
      <c r="AM188" s="27" t="s">
        <v>8</v>
      </c>
      <c r="AO188" s="27" t="s">
        <v>8</v>
      </c>
      <c r="AP188" s="27" t="s">
        <v>7</v>
      </c>
      <c r="AQ188" s="27" t="s">
        <v>8</v>
      </c>
      <c r="BZ188" s="27" t="s">
        <v>7</v>
      </c>
      <c r="CA188" s="27" t="s">
        <v>8</v>
      </c>
      <c r="CB188" s="27" t="s">
        <v>7</v>
      </c>
      <c r="CC188" s="27" t="s">
        <v>8</v>
      </c>
      <c r="CD188" s="27" t="s">
        <v>7</v>
      </c>
      <c r="CE188" s="27" t="s">
        <v>8</v>
      </c>
      <c r="CQ188" s="27" t="s">
        <v>8</v>
      </c>
      <c r="CR188" s="27" t="s">
        <v>7</v>
      </c>
      <c r="CS188" s="27" t="s">
        <v>8</v>
      </c>
      <c r="CT188" s="27" t="s">
        <v>7</v>
      </c>
      <c r="CU188" s="27" t="s">
        <v>8</v>
      </c>
      <c r="CV188" s="27" t="s">
        <v>7</v>
      </c>
      <c r="CY188" s="27" t="s">
        <v>8</v>
      </c>
      <c r="CZ188" s="27" t="s">
        <v>7</v>
      </c>
      <c r="DC188" s="27" t="s">
        <v>8</v>
      </c>
      <c r="DD188" s="27" t="s">
        <v>7</v>
      </c>
      <c r="DE188" s="27" t="s">
        <v>8</v>
      </c>
      <c r="DL188" s="27" t="s">
        <v>7</v>
      </c>
      <c r="DN188" s="27" t="s">
        <v>7</v>
      </c>
      <c r="DU188" s="27" t="s">
        <v>8</v>
      </c>
    </row>
    <row r="189" spans="1:126" x14ac:dyDescent="0.25">
      <c r="A189" s="30">
        <v>12.04076977504139</v>
      </c>
      <c r="E189" t="s">
        <v>8</v>
      </c>
      <c r="F189" s="27" t="s">
        <v>7</v>
      </c>
      <c r="G189" s="27" t="s">
        <v>8</v>
      </c>
      <c r="H189" s="27" t="s">
        <v>7</v>
      </c>
      <c r="K189" s="27" t="s">
        <v>8</v>
      </c>
      <c r="L189" s="27" t="s">
        <v>7</v>
      </c>
      <c r="AE189" s="27" t="s">
        <v>8</v>
      </c>
      <c r="AF189" s="27" t="s">
        <v>7</v>
      </c>
      <c r="AM189" s="27" t="s">
        <v>8</v>
      </c>
      <c r="AN189" s="27" t="s">
        <v>7</v>
      </c>
      <c r="AO189" s="27" t="s">
        <v>8</v>
      </c>
      <c r="AP189" s="27" t="s">
        <v>7</v>
      </c>
      <c r="AQ189" s="27" t="s">
        <v>8</v>
      </c>
      <c r="BZ189" s="27" t="s">
        <v>7</v>
      </c>
      <c r="CA189" s="27" t="s">
        <v>8</v>
      </c>
      <c r="CB189" s="27" t="s">
        <v>7</v>
      </c>
      <c r="CD189" s="27" t="s">
        <v>7</v>
      </c>
      <c r="CE189" s="27" t="s">
        <v>8</v>
      </c>
      <c r="CF189" s="27" t="s">
        <v>7</v>
      </c>
      <c r="CO189" s="27" t="s">
        <v>8</v>
      </c>
      <c r="CQ189" s="27" t="s">
        <v>8</v>
      </c>
      <c r="CR189" s="27" t="s">
        <v>7</v>
      </c>
      <c r="CS189" s="27" t="s">
        <v>8</v>
      </c>
      <c r="CT189" s="27" t="s">
        <v>7</v>
      </c>
      <c r="CV189" s="27" t="s">
        <v>7</v>
      </c>
      <c r="CY189" s="27" t="s">
        <v>8</v>
      </c>
      <c r="CZ189" s="27" t="s">
        <v>7</v>
      </c>
      <c r="DC189" s="27" t="s">
        <v>8</v>
      </c>
      <c r="DD189" s="27" t="s">
        <v>7</v>
      </c>
      <c r="DE189" s="27" t="s">
        <v>8</v>
      </c>
      <c r="DN189" s="27" t="s">
        <v>7</v>
      </c>
      <c r="DU189" s="27" t="s">
        <v>8</v>
      </c>
      <c r="DV189" s="27" t="s">
        <v>7</v>
      </c>
    </row>
    <row r="190" spans="1:126" x14ac:dyDescent="0.25">
      <c r="A190" s="30">
        <v>11.467399785753704</v>
      </c>
      <c r="E190" t="s">
        <v>8</v>
      </c>
      <c r="F190" s="27" t="s">
        <v>7</v>
      </c>
      <c r="H190" s="27" t="s">
        <v>7</v>
      </c>
      <c r="K190" s="27" t="s">
        <v>8</v>
      </c>
      <c r="L190" s="27" t="s">
        <v>7</v>
      </c>
      <c r="AE190" s="27" t="s">
        <v>8</v>
      </c>
      <c r="AF190" s="27" t="s">
        <v>7</v>
      </c>
      <c r="AK190" s="27" t="s">
        <v>8</v>
      </c>
      <c r="AM190" s="27" t="s">
        <v>8</v>
      </c>
      <c r="AN190" s="27" t="s">
        <v>7</v>
      </c>
      <c r="AO190" s="27" t="s">
        <v>8</v>
      </c>
      <c r="AP190" s="27" t="s">
        <v>7</v>
      </c>
      <c r="AQ190" s="27" t="s">
        <v>8</v>
      </c>
      <c r="BZ190" s="27" t="s">
        <v>7</v>
      </c>
      <c r="CA190" s="27" t="s">
        <v>8</v>
      </c>
      <c r="CD190" s="27" t="s">
        <v>7</v>
      </c>
      <c r="CE190" s="27" t="s">
        <v>8</v>
      </c>
      <c r="CF190" s="27" t="s">
        <v>7</v>
      </c>
      <c r="CO190" s="27" t="s">
        <v>8</v>
      </c>
      <c r="CP190" s="27" t="s">
        <v>7</v>
      </c>
      <c r="CQ190" s="27" t="s">
        <v>8</v>
      </c>
      <c r="CR190" s="27" t="s">
        <v>7</v>
      </c>
      <c r="CS190" s="27" t="s">
        <v>8</v>
      </c>
      <c r="CV190" s="27" t="s">
        <v>7</v>
      </c>
      <c r="CW190" s="27" t="s">
        <v>8</v>
      </c>
      <c r="CY190" s="27" t="s">
        <v>8</v>
      </c>
      <c r="CZ190" s="27" t="s">
        <v>7</v>
      </c>
      <c r="DA190" s="27" t="s">
        <v>8</v>
      </c>
      <c r="DC190" s="27" t="s">
        <v>8</v>
      </c>
      <c r="DD190" s="27" t="s">
        <v>7</v>
      </c>
      <c r="DE190" s="27" t="s">
        <v>8</v>
      </c>
      <c r="DN190" s="27" t="s">
        <v>7</v>
      </c>
      <c r="DQ190" s="27" t="s">
        <v>8</v>
      </c>
      <c r="DU190" s="27" t="s">
        <v>8</v>
      </c>
      <c r="DV190" s="27" t="s">
        <v>7</v>
      </c>
    </row>
    <row r="191" spans="1:126" x14ac:dyDescent="0.25">
      <c r="A191" s="30">
        <v>10.921333129289241</v>
      </c>
      <c r="E191" t="s">
        <v>8</v>
      </c>
      <c r="H191" s="27" t="s">
        <v>7</v>
      </c>
      <c r="K191" s="27" t="s">
        <v>8</v>
      </c>
      <c r="L191" s="27" t="s">
        <v>7</v>
      </c>
      <c r="AC191" s="27" t="s">
        <v>8</v>
      </c>
      <c r="AE191" s="27" t="s">
        <v>8</v>
      </c>
      <c r="AF191" s="27" t="s">
        <v>7</v>
      </c>
      <c r="AI191" s="27" t="s">
        <v>8</v>
      </c>
      <c r="AK191" s="27" t="s">
        <v>8</v>
      </c>
      <c r="AL191" s="27" t="s">
        <v>7</v>
      </c>
      <c r="AM191" s="27" t="s">
        <v>8</v>
      </c>
      <c r="AN191" s="27" t="s">
        <v>7</v>
      </c>
      <c r="AO191" s="27" t="s">
        <v>8</v>
      </c>
      <c r="AP191" s="27" t="s">
        <v>7</v>
      </c>
      <c r="AQ191" s="27" t="s">
        <v>8</v>
      </c>
      <c r="BZ191" s="27" t="s">
        <v>7</v>
      </c>
      <c r="CA191" s="27" t="s">
        <v>8</v>
      </c>
      <c r="CD191" s="27" t="s">
        <v>7</v>
      </c>
      <c r="CF191" s="27" t="s">
        <v>7</v>
      </c>
      <c r="CI191" s="27" t="s">
        <v>8</v>
      </c>
      <c r="CK191" s="27" t="s">
        <v>8</v>
      </c>
      <c r="CO191" s="27" t="s">
        <v>8</v>
      </c>
      <c r="CP191" s="27" t="s">
        <v>7</v>
      </c>
      <c r="CQ191" s="27" t="s">
        <v>8</v>
      </c>
      <c r="CR191" s="27" t="s">
        <v>7</v>
      </c>
      <c r="CV191" s="27" t="s">
        <v>7</v>
      </c>
      <c r="CW191" s="27" t="s">
        <v>8</v>
      </c>
      <c r="CX191" s="27" t="s">
        <v>7</v>
      </c>
      <c r="CY191" s="27" t="s">
        <v>8</v>
      </c>
      <c r="CZ191" s="27" t="s">
        <v>7</v>
      </c>
      <c r="DA191" s="27" t="s">
        <v>8</v>
      </c>
      <c r="DB191" s="27" t="s">
        <v>7</v>
      </c>
      <c r="DC191" s="27" t="s">
        <v>8</v>
      </c>
      <c r="DD191" s="27" t="s">
        <v>7</v>
      </c>
      <c r="DN191" s="27" t="s">
        <v>7</v>
      </c>
      <c r="DO191" s="27" t="s">
        <v>8</v>
      </c>
      <c r="DQ191" s="27" t="s">
        <v>8</v>
      </c>
      <c r="DR191" s="27" t="s">
        <v>7</v>
      </c>
      <c r="DS191" s="27" t="s">
        <v>8</v>
      </c>
      <c r="DU191" s="27" t="s">
        <v>8</v>
      </c>
      <c r="DV191" s="27" t="s">
        <v>7</v>
      </c>
    </row>
    <row r="192" spans="1:126" x14ac:dyDescent="0.25">
      <c r="A192" s="30">
        <v>10.401269646942135</v>
      </c>
      <c r="E192" t="s">
        <v>8</v>
      </c>
      <c r="H192" s="27" t="s">
        <v>7</v>
      </c>
      <c r="I192" s="27" t="s">
        <v>8</v>
      </c>
      <c r="K192" s="27" t="s">
        <v>8</v>
      </c>
      <c r="L192" s="27" t="s">
        <v>7</v>
      </c>
      <c r="O192" s="27" t="s">
        <v>8</v>
      </c>
      <c r="AC192" s="27" t="s">
        <v>8</v>
      </c>
      <c r="AD192" s="27" t="s">
        <v>7</v>
      </c>
      <c r="AE192" s="27" t="s">
        <v>8</v>
      </c>
      <c r="AF192" s="27" t="s">
        <v>7</v>
      </c>
      <c r="AG192" s="27" t="s">
        <v>8</v>
      </c>
      <c r="AI192" s="27" t="s">
        <v>8</v>
      </c>
      <c r="AJ192" s="27" t="s">
        <v>7</v>
      </c>
      <c r="AK192" s="27" t="s">
        <v>8</v>
      </c>
      <c r="AL192" s="27" t="s">
        <v>7</v>
      </c>
      <c r="AM192" s="27" t="s">
        <v>8</v>
      </c>
      <c r="AN192" s="27" t="s">
        <v>7</v>
      </c>
      <c r="AO192" s="27" t="s">
        <v>8</v>
      </c>
      <c r="AP192" s="27" t="s">
        <v>7</v>
      </c>
      <c r="AQ192" s="27" t="s">
        <v>8</v>
      </c>
      <c r="BZ192" s="27" t="s">
        <v>7</v>
      </c>
      <c r="CA192" s="27" t="s">
        <v>8</v>
      </c>
      <c r="CF192" s="27" t="s">
        <v>7</v>
      </c>
      <c r="CI192" s="27" t="s">
        <v>8</v>
      </c>
      <c r="CJ192" s="27" t="s">
        <v>7</v>
      </c>
      <c r="CK192" s="27" t="s">
        <v>8</v>
      </c>
      <c r="CL192" s="27" t="s">
        <v>7</v>
      </c>
      <c r="CO192" s="27" t="s">
        <v>8</v>
      </c>
      <c r="CP192" s="27" t="s">
        <v>7</v>
      </c>
      <c r="CV192" s="27" t="s">
        <v>7</v>
      </c>
      <c r="CW192" s="27" t="s">
        <v>8</v>
      </c>
      <c r="CX192" s="27" t="s">
        <v>7</v>
      </c>
      <c r="CY192" s="27" t="s">
        <v>8</v>
      </c>
      <c r="CZ192" s="27" t="s">
        <v>7</v>
      </c>
      <c r="DA192" s="27" t="s">
        <v>8</v>
      </c>
      <c r="DB192" s="27" t="s">
        <v>7</v>
      </c>
      <c r="DC192" s="27" t="s">
        <v>8</v>
      </c>
      <c r="DN192" s="27" t="s">
        <v>7</v>
      </c>
      <c r="DO192" s="27" t="s">
        <v>8</v>
      </c>
      <c r="DP192" s="27" t="s">
        <v>7</v>
      </c>
      <c r="DQ192" s="27" t="s">
        <v>8</v>
      </c>
      <c r="DR192" s="27" t="s">
        <v>7</v>
      </c>
      <c r="DS192" s="27" t="s">
        <v>8</v>
      </c>
      <c r="DT192" s="27" t="s">
        <v>7</v>
      </c>
      <c r="DU192" s="27" t="s">
        <v>8</v>
      </c>
      <c r="DV192" s="27" t="s">
        <v>7</v>
      </c>
    </row>
    <row r="193" spans="1:127" x14ac:dyDescent="0.25">
      <c r="A193" s="30">
        <v>9.9059710923258422</v>
      </c>
      <c r="E193" t="s">
        <v>8</v>
      </c>
      <c r="H193" s="27" t="s">
        <v>7</v>
      </c>
      <c r="I193" s="27" t="s">
        <v>8</v>
      </c>
      <c r="J193" s="27" t="s">
        <v>7</v>
      </c>
      <c r="K193" s="27" t="s">
        <v>8</v>
      </c>
      <c r="L193" s="27" t="s">
        <v>7</v>
      </c>
      <c r="M193" s="27" t="s">
        <v>8</v>
      </c>
      <c r="O193" s="27" t="s">
        <v>8</v>
      </c>
      <c r="P193" s="27" t="s">
        <v>7</v>
      </c>
      <c r="AC193" s="27" t="s">
        <v>8</v>
      </c>
      <c r="AD193" s="27" t="s">
        <v>7</v>
      </c>
      <c r="AE193" s="27" t="s">
        <v>8</v>
      </c>
      <c r="AF193" s="27" t="s">
        <v>7</v>
      </c>
      <c r="AG193" s="27" t="s">
        <v>8</v>
      </c>
      <c r="AH193" s="27" t="s">
        <v>7</v>
      </c>
      <c r="AI193" s="27" t="s">
        <v>8</v>
      </c>
      <c r="AJ193" s="27" t="s">
        <v>7</v>
      </c>
      <c r="AK193" s="27" t="s">
        <v>8</v>
      </c>
      <c r="AL193" s="27" t="s">
        <v>7</v>
      </c>
      <c r="AN193" s="27" t="s">
        <v>7</v>
      </c>
      <c r="AP193" s="27" t="s">
        <v>7</v>
      </c>
      <c r="BZ193" s="27" t="s">
        <v>7</v>
      </c>
      <c r="CA193" s="27" t="s">
        <v>8</v>
      </c>
      <c r="CF193" s="27" t="s">
        <v>7</v>
      </c>
      <c r="CI193" s="27" t="s">
        <v>8</v>
      </c>
      <c r="CJ193" s="27" t="s">
        <v>7</v>
      </c>
      <c r="CK193" s="27" t="s">
        <v>8</v>
      </c>
      <c r="CL193" s="27" t="s">
        <v>7</v>
      </c>
      <c r="CO193" s="27" t="s">
        <v>8</v>
      </c>
      <c r="CV193" s="27" t="s">
        <v>7</v>
      </c>
      <c r="CX193" s="27" t="s">
        <v>7</v>
      </c>
      <c r="CZ193" s="27" t="s">
        <v>7</v>
      </c>
      <c r="DA193" s="27" t="s">
        <v>8</v>
      </c>
      <c r="DB193" s="27" t="s">
        <v>7</v>
      </c>
      <c r="DN193" s="27" t="s">
        <v>7</v>
      </c>
      <c r="DO193" s="27" t="s">
        <v>8</v>
      </c>
      <c r="DP193" s="27" t="s">
        <v>7</v>
      </c>
      <c r="DQ193" s="27" t="s">
        <v>8</v>
      </c>
      <c r="DR193" s="27" t="s">
        <v>7</v>
      </c>
      <c r="DS193" s="27" t="s">
        <v>8</v>
      </c>
      <c r="DT193" s="27" t="s">
        <v>7</v>
      </c>
      <c r="DU193" s="27" t="s">
        <v>8</v>
      </c>
      <c r="DV193" s="27" t="s">
        <v>7</v>
      </c>
    </row>
    <row r="194" spans="1:127" x14ac:dyDescent="0.25">
      <c r="A194" s="30">
        <v>9.4342581831674686</v>
      </c>
      <c r="E194" t="s">
        <v>8</v>
      </c>
      <c r="H194" s="27" t="s">
        <v>7</v>
      </c>
      <c r="I194" s="27" t="s">
        <v>8</v>
      </c>
      <c r="J194" s="27" t="s">
        <v>7</v>
      </c>
      <c r="K194" s="27" t="s">
        <v>8</v>
      </c>
      <c r="L194" s="27" t="s">
        <v>7</v>
      </c>
      <c r="M194" s="27" t="s">
        <v>8</v>
      </c>
      <c r="N194" s="27" t="s">
        <v>7</v>
      </c>
      <c r="O194" s="27" t="s">
        <v>8</v>
      </c>
      <c r="P194" s="27" t="s">
        <v>7</v>
      </c>
      <c r="AC194" s="27" t="s">
        <v>8</v>
      </c>
      <c r="AD194" s="27" t="s">
        <v>7</v>
      </c>
      <c r="AE194" s="27" t="s">
        <v>8</v>
      </c>
      <c r="AF194" s="27" t="s">
        <v>7</v>
      </c>
      <c r="AG194" s="27" t="s">
        <v>8</v>
      </c>
      <c r="AH194" s="27" t="s">
        <v>7</v>
      </c>
      <c r="AI194" s="27" t="s">
        <v>8</v>
      </c>
      <c r="AJ194" s="27" t="s">
        <v>7</v>
      </c>
      <c r="AK194" s="27" t="s">
        <v>8</v>
      </c>
      <c r="BZ194" s="27" t="s">
        <v>7</v>
      </c>
      <c r="CF194" s="27" t="s">
        <v>7</v>
      </c>
      <c r="CG194" s="27" t="s">
        <v>8</v>
      </c>
      <c r="CI194" s="27" t="s">
        <v>8</v>
      </c>
      <c r="CJ194" s="27" t="s">
        <v>7</v>
      </c>
      <c r="CK194" s="27" t="s">
        <v>8</v>
      </c>
      <c r="CL194" s="27" t="s">
        <v>7</v>
      </c>
      <c r="CM194" s="27" t="s">
        <v>8</v>
      </c>
      <c r="CO194" s="27" t="s">
        <v>8</v>
      </c>
      <c r="CZ194" s="27" t="s">
        <v>7</v>
      </c>
      <c r="DA194" s="27" t="s">
        <v>8</v>
      </c>
      <c r="DN194" s="27" t="s">
        <v>7</v>
      </c>
      <c r="DP194" s="27" t="s">
        <v>7</v>
      </c>
      <c r="DR194" s="27" t="s">
        <v>7</v>
      </c>
      <c r="DS194" s="27" t="s">
        <v>8</v>
      </c>
      <c r="DT194" s="27" t="s">
        <v>7</v>
      </c>
      <c r="DU194" s="27" t="s">
        <v>8</v>
      </c>
      <c r="DV194" s="27" t="s">
        <v>7</v>
      </c>
    </row>
    <row r="195" spans="1:127" x14ac:dyDescent="0.25">
      <c r="A195" s="30">
        <v>8.9850077934928265</v>
      </c>
      <c r="E195" t="s">
        <v>8</v>
      </c>
      <c r="H195" s="27" t="s">
        <v>7</v>
      </c>
      <c r="J195" s="27" t="s">
        <v>7</v>
      </c>
      <c r="K195" s="27" t="s">
        <v>8</v>
      </c>
      <c r="L195" s="27" t="s">
        <v>7</v>
      </c>
      <c r="M195" s="27" t="s">
        <v>8</v>
      </c>
      <c r="N195" s="27" t="s">
        <v>7</v>
      </c>
      <c r="O195" s="27" t="s">
        <v>8</v>
      </c>
      <c r="P195" s="27" t="s">
        <v>7</v>
      </c>
      <c r="U195" s="27" t="s">
        <v>8</v>
      </c>
      <c r="W195" s="27" t="s">
        <v>8</v>
      </c>
      <c r="AC195" s="27" t="s">
        <v>8</v>
      </c>
      <c r="AD195" s="27" t="s">
        <v>7</v>
      </c>
      <c r="AE195" s="27" t="s">
        <v>8</v>
      </c>
      <c r="AF195" s="27" t="s">
        <v>7</v>
      </c>
      <c r="AG195" s="27" t="s">
        <v>8</v>
      </c>
      <c r="AH195" s="27" t="s">
        <v>7</v>
      </c>
      <c r="AI195" s="27" t="s">
        <v>8</v>
      </c>
      <c r="AJ195" s="27" t="s">
        <v>7</v>
      </c>
      <c r="AK195" s="27" t="s">
        <v>8</v>
      </c>
      <c r="CF195" s="27" t="s">
        <v>7</v>
      </c>
      <c r="CG195" s="27" t="s">
        <v>8</v>
      </c>
      <c r="CH195" s="27" t="s">
        <v>7</v>
      </c>
      <c r="CI195" s="27" t="s">
        <v>8</v>
      </c>
      <c r="CJ195" s="27" t="s">
        <v>7</v>
      </c>
      <c r="CK195" s="27" t="s">
        <v>8</v>
      </c>
      <c r="CL195" s="27" t="s">
        <v>7</v>
      </c>
      <c r="CM195" s="27" t="s">
        <v>8</v>
      </c>
      <c r="CN195" s="27" t="s">
        <v>7</v>
      </c>
      <c r="CO195" s="27" t="s">
        <v>8</v>
      </c>
      <c r="CZ195" s="27" t="s">
        <v>7</v>
      </c>
      <c r="DA195" s="27" t="s">
        <v>8</v>
      </c>
      <c r="DR195" s="27" t="s">
        <v>7</v>
      </c>
      <c r="DS195" s="27" t="s">
        <v>8</v>
      </c>
      <c r="DT195" s="27" t="s">
        <v>7</v>
      </c>
      <c r="DV195" s="27" t="s">
        <v>7</v>
      </c>
    </row>
    <row r="196" spans="1:127" x14ac:dyDescent="0.25">
      <c r="A196" s="30">
        <v>8.5571502795169767</v>
      </c>
      <c r="E196" t="s">
        <v>8</v>
      </c>
      <c r="J196" s="27" t="s">
        <v>7</v>
      </c>
      <c r="K196" s="27" t="s">
        <v>8</v>
      </c>
      <c r="L196" s="27" t="s">
        <v>7</v>
      </c>
      <c r="N196" s="27" t="s">
        <v>7</v>
      </c>
      <c r="O196" s="27" t="s">
        <v>8</v>
      </c>
      <c r="P196" s="27" t="s">
        <v>7</v>
      </c>
      <c r="U196" s="27" t="s">
        <v>8</v>
      </c>
      <c r="V196" s="27" t="s">
        <v>7</v>
      </c>
      <c r="W196" s="27" t="s">
        <v>8</v>
      </c>
      <c r="X196" s="27" t="s">
        <v>7</v>
      </c>
      <c r="AA196" s="27" t="s">
        <v>8</v>
      </c>
      <c r="AC196" s="27" t="s">
        <v>8</v>
      </c>
      <c r="AD196" s="27" t="s">
        <v>7</v>
      </c>
      <c r="AE196" s="27" t="s">
        <v>8</v>
      </c>
      <c r="AF196" s="27" t="s">
        <v>7</v>
      </c>
      <c r="AG196" s="27" t="s">
        <v>8</v>
      </c>
      <c r="AH196" s="27" t="s">
        <v>7</v>
      </c>
      <c r="AJ196" s="27" t="s">
        <v>7</v>
      </c>
      <c r="AK196" s="27" t="s">
        <v>8</v>
      </c>
      <c r="CF196" s="27" t="s">
        <v>7</v>
      </c>
      <c r="CG196" s="27" t="s">
        <v>8</v>
      </c>
      <c r="CH196" s="27" t="s">
        <v>7</v>
      </c>
      <c r="CI196" s="27" t="s">
        <v>8</v>
      </c>
      <c r="CJ196" s="27" t="s">
        <v>7</v>
      </c>
      <c r="CL196" s="27" t="s">
        <v>7</v>
      </c>
      <c r="CM196" s="27" t="s">
        <v>8</v>
      </c>
      <c r="CN196" s="27" t="s">
        <v>7</v>
      </c>
      <c r="CO196" s="27" t="s">
        <v>8</v>
      </c>
      <c r="CZ196" s="27" t="s">
        <v>7</v>
      </c>
      <c r="DR196" s="27" t="s">
        <v>7</v>
      </c>
      <c r="DV196" s="27" t="s">
        <v>7</v>
      </c>
    </row>
    <row r="197" spans="1:127" x14ac:dyDescent="0.25">
      <c r="A197" s="30">
        <v>8.1496669328733109</v>
      </c>
      <c r="E197" t="s">
        <v>8</v>
      </c>
      <c r="J197" s="27" t="s">
        <v>7</v>
      </c>
      <c r="K197" s="27" t="s">
        <v>8</v>
      </c>
      <c r="N197" s="27" t="s">
        <v>7</v>
      </c>
      <c r="O197" s="27" t="s">
        <v>8</v>
      </c>
      <c r="P197" s="27" t="s">
        <v>7</v>
      </c>
      <c r="Q197" s="27" t="s">
        <v>8</v>
      </c>
      <c r="S197" s="27" t="s">
        <v>8</v>
      </c>
      <c r="U197" s="27" t="s">
        <v>8</v>
      </c>
      <c r="V197" s="27" t="s">
        <v>7</v>
      </c>
      <c r="W197" s="27" t="s">
        <v>8</v>
      </c>
      <c r="X197" s="27" t="s">
        <v>7</v>
      </c>
      <c r="Y197" s="27" t="s">
        <v>8</v>
      </c>
      <c r="AA197" s="27" t="s">
        <v>8</v>
      </c>
      <c r="AB197" s="27" t="s">
        <v>7</v>
      </c>
      <c r="AC197" s="27" t="s">
        <v>8</v>
      </c>
      <c r="AD197" s="27" t="s">
        <v>7</v>
      </c>
      <c r="AE197" s="27" t="s">
        <v>8</v>
      </c>
      <c r="AF197" s="27" t="s">
        <v>7</v>
      </c>
      <c r="AG197" s="27" t="s">
        <v>8</v>
      </c>
      <c r="AJ197" s="27" t="s">
        <v>7</v>
      </c>
      <c r="AK197" s="27" t="s">
        <v>8</v>
      </c>
      <c r="CF197" s="27" t="s">
        <v>7</v>
      </c>
      <c r="CG197" s="27" t="s">
        <v>8</v>
      </c>
      <c r="CH197" s="27" t="s">
        <v>7</v>
      </c>
      <c r="CI197" s="27" t="s">
        <v>8</v>
      </c>
      <c r="CL197" s="27" t="s">
        <v>7</v>
      </c>
      <c r="CN197" s="18" t="s">
        <v>7</v>
      </c>
      <c r="CO197" s="27" t="s">
        <v>8</v>
      </c>
      <c r="DV197" s="27" t="s">
        <v>7</v>
      </c>
    </row>
    <row r="198" spans="1:127" x14ac:dyDescent="0.25">
      <c r="A198" s="30">
        <v>7.7615875551174378</v>
      </c>
      <c r="E198" t="s">
        <v>8</v>
      </c>
      <c r="J198" s="27" t="s">
        <v>7</v>
      </c>
      <c r="K198" s="27" t="s">
        <v>8</v>
      </c>
      <c r="N198" s="27" t="s">
        <v>7</v>
      </c>
      <c r="O198" s="27" t="s">
        <v>8</v>
      </c>
      <c r="P198" s="27" t="s">
        <v>7</v>
      </c>
      <c r="Q198" s="27" t="s">
        <v>8</v>
      </c>
      <c r="R198" s="27" t="s">
        <v>7</v>
      </c>
      <c r="S198" s="27" t="s">
        <v>8</v>
      </c>
      <c r="T198" s="27" t="s">
        <v>7</v>
      </c>
      <c r="U198" s="27" t="s">
        <v>8</v>
      </c>
      <c r="V198" s="27" t="s">
        <v>7</v>
      </c>
      <c r="X198" s="27" t="s">
        <v>7</v>
      </c>
      <c r="Y198" s="27" t="s">
        <v>8</v>
      </c>
      <c r="Z198" s="27" t="s">
        <v>7</v>
      </c>
      <c r="AA198" s="27" t="s">
        <v>8</v>
      </c>
      <c r="AB198" s="27" t="s">
        <v>7</v>
      </c>
      <c r="AC198" s="27" t="s">
        <v>8</v>
      </c>
      <c r="AD198" s="27" t="s">
        <v>7</v>
      </c>
      <c r="AF198" s="27" t="s">
        <v>7</v>
      </c>
      <c r="AJ198" s="27" t="s">
        <v>7</v>
      </c>
      <c r="AK198" s="27" t="s">
        <v>8</v>
      </c>
      <c r="CF198" s="27" t="s">
        <v>7</v>
      </c>
      <c r="CH198" s="27" t="s">
        <v>7</v>
      </c>
      <c r="CN198" s="27" t="s">
        <v>7</v>
      </c>
      <c r="CO198" s="27" t="s">
        <v>8</v>
      </c>
      <c r="DV198" s="27" t="s">
        <v>7</v>
      </c>
    </row>
    <row r="199" spans="1:127" x14ac:dyDescent="0.25">
      <c r="A199" s="30">
        <v>7.3919881477308929</v>
      </c>
      <c r="E199" t="s">
        <v>8</v>
      </c>
      <c r="J199" s="27" t="s">
        <v>7</v>
      </c>
      <c r="K199" s="27" t="s">
        <v>8</v>
      </c>
      <c r="N199" s="27" t="s">
        <v>7</v>
      </c>
      <c r="P199" s="27" t="s">
        <v>7</v>
      </c>
      <c r="Q199" s="27" t="s">
        <v>8</v>
      </c>
      <c r="R199" s="27" t="s">
        <v>7</v>
      </c>
      <c r="S199" s="27" t="s">
        <v>8</v>
      </c>
      <c r="T199" s="27" t="s">
        <v>7</v>
      </c>
      <c r="U199" s="27" t="s">
        <v>8</v>
      </c>
      <c r="X199" s="27" t="s">
        <v>7</v>
      </c>
      <c r="Y199" s="27" t="s">
        <v>8</v>
      </c>
      <c r="Z199" s="27" t="s">
        <v>7</v>
      </c>
      <c r="AA199" s="27" t="s">
        <v>8</v>
      </c>
      <c r="AB199" s="27" t="s">
        <v>7</v>
      </c>
      <c r="AJ199" s="27" t="s">
        <v>7</v>
      </c>
      <c r="CN199" s="27" t="s">
        <v>7</v>
      </c>
      <c r="DV199" s="27" t="s">
        <v>7</v>
      </c>
    </row>
    <row r="200" spans="1:127" x14ac:dyDescent="0.25">
      <c r="A200" s="30">
        <v>7.0399887121246598</v>
      </c>
      <c r="E200" t="s">
        <v>8</v>
      </c>
      <c r="J200" s="27" t="s">
        <v>7</v>
      </c>
      <c r="K200" s="27" t="s">
        <v>8</v>
      </c>
      <c r="P200" s="27" t="s">
        <v>7</v>
      </c>
      <c r="R200" s="27" t="s">
        <v>7</v>
      </c>
      <c r="S200" s="27" t="s">
        <v>8</v>
      </c>
      <c r="T200" s="27" t="s">
        <v>7</v>
      </c>
      <c r="X200" s="27" t="s">
        <v>7</v>
      </c>
      <c r="Z200" s="27" t="s">
        <v>7</v>
      </c>
      <c r="DV200" s="27" t="s">
        <v>7</v>
      </c>
    </row>
    <row r="201" spans="1:127" x14ac:dyDescent="0.25">
      <c r="A201" s="30">
        <v>6.7047511544044376</v>
      </c>
      <c r="E201" t="s">
        <v>8</v>
      </c>
      <c r="J201" s="27" t="s">
        <v>7</v>
      </c>
      <c r="K201" s="27" t="s">
        <v>8</v>
      </c>
      <c r="R201" s="27" t="s">
        <v>7</v>
      </c>
      <c r="S201" s="27" t="s">
        <v>8</v>
      </c>
      <c r="DV201" s="27" t="s">
        <v>7</v>
      </c>
    </row>
    <row r="202" spans="1:127" x14ac:dyDescent="0.25">
      <c r="A202" s="30">
        <v>6.3854772899089882</v>
      </c>
      <c r="E202" t="s">
        <v>8</v>
      </c>
      <c r="J202" s="27" t="s">
        <v>7</v>
      </c>
      <c r="K202" s="27" t="s">
        <v>8</v>
      </c>
      <c r="R202" s="27" t="s">
        <v>7</v>
      </c>
      <c r="DV202" s="27" t="s">
        <v>7</v>
      </c>
    </row>
    <row r="203" spans="1:127" x14ac:dyDescent="0.25">
      <c r="A203" s="30">
        <v>6.0814069427704647</v>
      </c>
      <c r="C203" s="7"/>
      <c r="D203"/>
      <c r="E203" t="s">
        <v>8</v>
      </c>
      <c r="J203" s="27" t="s">
        <v>7</v>
      </c>
      <c r="DV203" s="27" t="s">
        <v>7</v>
      </c>
      <c r="DW203" s="27" t="s">
        <v>8</v>
      </c>
    </row>
    <row r="204" spans="1:127" x14ac:dyDescent="0.25">
      <c r="A204" s="30">
        <v>5.7918161359718709</v>
      </c>
      <c r="E204" t="s">
        <v>8</v>
      </c>
      <c r="DV204" s="27" t="s">
        <v>7</v>
      </c>
      <c r="DW204" s="27" t="s">
        <v>8</v>
      </c>
    </row>
    <row r="205" spans="1:127" x14ac:dyDescent="0.25">
      <c r="A205" s="30">
        <v>5.5160153675922574</v>
      </c>
      <c r="E205" t="s">
        <v>8</v>
      </c>
      <c r="DV205" s="27" t="s">
        <v>7</v>
      </c>
      <c r="DW205" s="27" t="s">
        <v>8</v>
      </c>
    </row>
    <row r="206" spans="1:127" x14ac:dyDescent="0.25">
      <c r="A206" s="30">
        <v>5.2533479691354827</v>
      </c>
      <c r="C206"/>
      <c r="D206"/>
      <c r="E206" t="s">
        <v>8</v>
      </c>
      <c r="DV206" s="27" t="s">
        <v>7</v>
      </c>
    </row>
    <row r="207" spans="1:127" x14ac:dyDescent="0.25">
      <c r="A207" s="30">
        <v>5.0031885420337927</v>
      </c>
      <c r="E207" t="s">
        <v>8</v>
      </c>
    </row>
    <row r="208" spans="1:127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26" operator="equal">
      <formula>$U$1</formula>
    </cfRule>
    <cfRule type="cellIs" dxfId="67" priority="927" operator="equal">
      <formula>$S$1</formula>
    </cfRule>
  </conditionalFormatting>
  <conditionalFormatting sqref="D136">
    <cfRule type="cellIs" dxfId="66" priority="924" operator="equal">
      <formula>$S$1</formula>
    </cfRule>
    <cfRule type="cellIs" dxfId="65" priority="925" operator="equal">
      <formula>$U$1</formula>
    </cfRule>
  </conditionalFormatting>
  <conditionalFormatting sqref="C162">
    <cfRule type="cellIs" dxfId="64" priority="922" operator="equal">
      <formula>$U$1</formula>
    </cfRule>
    <cfRule type="cellIs" dxfId="63" priority="923" operator="equal">
      <formula>$S$1</formula>
    </cfRule>
  </conditionalFormatting>
  <conditionalFormatting sqref="D162">
    <cfRule type="cellIs" dxfId="62" priority="920" operator="equal">
      <formula>$S$1</formula>
    </cfRule>
    <cfRule type="cellIs" dxfId="61" priority="921" operator="equal">
      <formula>$U$1</formula>
    </cfRule>
  </conditionalFormatting>
  <conditionalFormatting sqref="C187">
    <cfRule type="cellIs" dxfId="60" priority="918" operator="equal">
      <formula>$U$1</formula>
    </cfRule>
    <cfRule type="cellIs" dxfId="59" priority="919" operator="equal">
      <formula>$S$1</formula>
    </cfRule>
  </conditionalFormatting>
  <conditionalFormatting sqref="D187">
    <cfRule type="cellIs" dxfId="58" priority="916" operator="equal">
      <formula>$S$1</formula>
    </cfRule>
    <cfRule type="cellIs" dxfId="57" priority="917" operator="equal">
      <formula>$U$1</formula>
    </cfRule>
  </conditionalFormatting>
  <conditionalFormatting sqref="C212">
    <cfRule type="cellIs" dxfId="56" priority="914" operator="equal">
      <formula>$U$1</formula>
    </cfRule>
    <cfRule type="cellIs" dxfId="55" priority="915" operator="equal">
      <formula>$S$1</formula>
    </cfRule>
  </conditionalFormatting>
  <conditionalFormatting sqref="D212">
    <cfRule type="cellIs" dxfId="54" priority="912" operator="equal">
      <formula>$S$1</formula>
    </cfRule>
    <cfRule type="cellIs" dxfId="53" priority="913" operator="equal">
      <formula>$U$1</formula>
    </cfRule>
  </conditionalFormatting>
  <conditionalFormatting sqref="C237">
    <cfRule type="cellIs" dxfId="52" priority="910" operator="equal">
      <formula>$U$1</formula>
    </cfRule>
    <cfRule type="cellIs" dxfId="51" priority="911" operator="equal">
      <formula>$S$1</formula>
    </cfRule>
  </conditionalFormatting>
  <conditionalFormatting sqref="D237">
    <cfRule type="cellIs" dxfId="50" priority="908" operator="equal">
      <formula>$S$1</formula>
    </cfRule>
    <cfRule type="cellIs" dxfId="49" priority="909" operator="equal">
      <formula>$U$1</formula>
    </cfRule>
  </conditionalFormatting>
  <conditionalFormatting sqref="C106">
    <cfRule type="cellIs" dxfId="48" priority="906" operator="equal">
      <formula>$U$1</formula>
    </cfRule>
    <cfRule type="cellIs" dxfId="47" priority="907" operator="equal">
      <formula>$S$1</formula>
    </cfRule>
  </conditionalFormatting>
  <conditionalFormatting sqref="D106">
    <cfRule type="cellIs" dxfId="46" priority="904" operator="equal">
      <formula>$S$1</formula>
    </cfRule>
    <cfRule type="cellIs" dxfId="45" priority="905" operator="equal">
      <formula>$U$1</formula>
    </cfRule>
  </conditionalFormatting>
  <conditionalFormatting sqref="C81">
    <cfRule type="cellIs" dxfId="44" priority="902" operator="equal">
      <formula>$U$1</formula>
    </cfRule>
    <cfRule type="cellIs" dxfId="43" priority="903" operator="equal">
      <formula>$S$1</formula>
    </cfRule>
  </conditionalFormatting>
  <conditionalFormatting sqref="D81">
    <cfRule type="cellIs" dxfId="42" priority="900" operator="equal">
      <formula>$S$1</formula>
    </cfRule>
    <cfRule type="cellIs" dxfId="41" priority="901" operator="equal">
      <formula>$U$1</formula>
    </cfRule>
  </conditionalFormatting>
  <conditionalFormatting sqref="C56">
    <cfRule type="cellIs" dxfId="40" priority="898" operator="equal">
      <formula>$U$1</formula>
    </cfRule>
    <cfRule type="cellIs" dxfId="39" priority="899" operator="equal">
      <formula>$S$1</formula>
    </cfRule>
  </conditionalFormatting>
  <conditionalFormatting sqref="D56">
    <cfRule type="cellIs" dxfId="38" priority="896" operator="equal">
      <formula>$S$1</formula>
    </cfRule>
    <cfRule type="cellIs" dxfId="37" priority="897" operator="equal">
      <formula>$U$1</formula>
    </cfRule>
  </conditionalFormatting>
  <conditionalFormatting sqref="C31">
    <cfRule type="cellIs" dxfId="36" priority="894" operator="equal">
      <formula>$U$1</formula>
    </cfRule>
    <cfRule type="cellIs" dxfId="35" priority="895" operator="equal">
      <formula>$S$1</formula>
    </cfRule>
  </conditionalFormatting>
  <conditionalFormatting sqref="D31">
    <cfRule type="cellIs" dxfId="34" priority="892" operator="equal">
      <formula>$S$1</formula>
    </cfRule>
    <cfRule type="cellIs" dxfId="33" priority="893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X103" sqref="AX103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0" x14ac:dyDescent="0.25">
      <c r="A81" s="30">
        <v>45.259255568176073</v>
      </c>
      <c r="E81"/>
    </row>
    <row r="82" spans="1:50" x14ac:dyDescent="0.25">
      <c r="A82" s="30">
        <v>41.144777789250973</v>
      </c>
      <c r="E82"/>
      <c r="U82" s="27" t="s">
        <v>8</v>
      </c>
    </row>
    <row r="83" spans="1:50" x14ac:dyDescent="0.25">
      <c r="A83" s="30">
        <v>37.404343444773609</v>
      </c>
      <c r="E83"/>
      <c r="U83" s="27" t="s">
        <v>8</v>
      </c>
      <c r="V83" s="27" t="s">
        <v>7</v>
      </c>
    </row>
    <row r="84" spans="1:50" x14ac:dyDescent="0.25">
      <c r="A84" s="30">
        <v>34.003948586157826</v>
      </c>
      <c r="E84"/>
      <c r="U84" s="27" t="s">
        <v>8</v>
      </c>
      <c r="V84" s="27" t="s">
        <v>7</v>
      </c>
    </row>
    <row r="85" spans="1:50" x14ac:dyDescent="0.25">
      <c r="A85" s="30">
        <v>30.912680532870748</v>
      </c>
      <c r="E85"/>
      <c r="U85" s="27" t="s">
        <v>8</v>
      </c>
      <c r="V85" s="27" t="s">
        <v>7</v>
      </c>
      <c r="AA85" s="27" t="s">
        <v>8</v>
      </c>
      <c r="AC85" s="27" t="s">
        <v>8</v>
      </c>
      <c r="AE85" s="27" t="s">
        <v>8</v>
      </c>
    </row>
    <row r="86" spans="1:50" x14ac:dyDescent="0.25">
      <c r="A86" s="30">
        <v>28.102436848064315</v>
      </c>
      <c r="E86"/>
      <c r="U86" s="27" t="s">
        <v>8</v>
      </c>
      <c r="V86" s="27" t="s">
        <v>7</v>
      </c>
      <c r="Y86" s="27" t="s">
        <v>8</v>
      </c>
      <c r="AA86" s="27" t="s">
        <v>8</v>
      </c>
      <c r="AB86" s="27" t="s">
        <v>7</v>
      </c>
      <c r="AC86" s="27" t="s">
        <v>8</v>
      </c>
      <c r="AD86" s="27" t="s">
        <v>7</v>
      </c>
      <c r="AE86" s="27" t="s">
        <v>8</v>
      </c>
      <c r="AF86" s="27" t="s">
        <v>7</v>
      </c>
    </row>
    <row r="87" spans="1:50" x14ac:dyDescent="0.25">
      <c r="A87" s="30">
        <v>25.547669861876649</v>
      </c>
      <c r="E87"/>
      <c r="U87" s="27" t="s">
        <v>8</v>
      </c>
      <c r="V87" s="27" t="s">
        <v>7</v>
      </c>
      <c r="Y87" s="27" t="s">
        <v>8</v>
      </c>
      <c r="Z87" s="27" t="s">
        <v>7</v>
      </c>
      <c r="AA87" s="27" t="s">
        <v>8</v>
      </c>
      <c r="AB87" s="27" t="s">
        <v>7</v>
      </c>
      <c r="AC87" s="27" t="s">
        <v>8</v>
      </c>
      <c r="AD87" s="27" t="s">
        <v>7</v>
      </c>
      <c r="AE87" s="27" t="s">
        <v>8</v>
      </c>
      <c r="AF87" s="27" t="s">
        <v>7</v>
      </c>
    </row>
    <row r="88" spans="1:50" x14ac:dyDescent="0.25">
      <c r="A88" s="30">
        <v>23.225154419887861</v>
      </c>
      <c r="E88"/>
      <c r="U88" s="27" t="s">
        <v>8</v>
      </c>
      <c r="V88" s="27" t="s">
        <v>7</v>
      </c>
      <c r="W88" s="27" t="s">
        <v>8</v>
      </c>
      <c r="Y88" s="27" t="s">
        <v>8</v>
      </c>
      <c r="Z88" s="27" t="s">
        <v>7</v>
      </c>
      <c r="AA88" s="27" t="s">
        <v>8</v>
      </c>
      <c r="AB88" s="27" t="s">
        <v>7</v>
      </c>
      <c r="AD88" s="27" t="s">
        <v>7</v>
      </c>
      <c r="AE88" s="27" t="s">
        <v>8</v>
      </c>
      <c r="AF88" s="27" t="s">
        <v>7</v>
      </c>
      <c r="AU88" s="27" t="s">
        <v>8</v>
      </c>
    </row>
    <row r="89" spans="1:50" x14ac:dyDescent="0.25">
      <c r="A89" s="30">
        <v>21.113776745352599</v>
      </c>
      <c r="E89"/>
      <c r="U89" s="27" t="s">
        <v>8</v>
      </c>
      <c r="V89" s="27" t="s">
        <v>7</v>
      </c>
      <c r="W89" s="27" t="s">
        <v>8</v>
      </c>
      <c r="X89" s="27" t="s">
        <v>7</v>
      </c>
      <c r="Y89" s="27" t="s">
        <v>8</v>
      </c>
      <c r="Z89" s="27" t="s">
        <v>7</v>
      </c>
      <c r="AD89" s="27" t="s">
        <v>7</v>
      </c>
      <c r="AF89" s="27" t="s">
        <v>7</v>
      </c>
      <c r="AS89" s="27" t="s">
        <v>8</v>
      </c>
      <c r="AU89" s="27" t="s">
        <v>8</v>
      </c>
      <c r="AV89" s="27" t="s">
        <v>7</v>
      </c>
    </row>
    <row r="90" spans="1:50" x14ac:dyDescent="0.25">
      <c r="A90" s="30">
        <v>19.194342495775089</v>
      </c>
      <c r="E90" t="s">
        <v>8</v>
      </c>
      <c r="U90" s="27" t="s">
        <v>8</v>
      </c>
      <c r="V90" s="27" t="s">
        <v>7</v>
      </c>
      <c r="W90" s="27" t="s">
        <v>8</v>
      </c>
      <c r="X90" s="27" t="s">
        <v>7</v>
      </c>
      <c r="Y90" s="27" t="s">
        <v>8</v>
      </c>
      <c r="AF90" s="27" t="s">
        <v>7</v>
      </c>
      <c r="AS90" s="27" t="s">
        <v>8</v>
      </c>
      <c r="AT90" s="27" t="s">
        <v>7</v>
      </c>
      <c r="AU90" s="27" t="s">
        <v>8</v>
      </c>
      <c r="AV90" s="27" t="s">
        <v>7</v>
      </c>
    </row>
    <row r="91" spans="1:50" x14ac:dyDescent="0.25">
      <c r="A91" s="30">
        <v>17.449402268886445</v>
      </c>
      <c r="E91" t="s">
        <v>8</v>
      </c>
      <c r="F91" s="27" t="s">
        <v>7</v>
      </c>
      <c r="U91" s="27" t="s">
        <v>8</v>
      </c>
      <c r="V91" s="27" t="s">
        <v>7</v>
      </c>
      <c r="X91" s="27" t="s">
        <v>7</v>
      </c>
      <c r="AF91" s="27" t="s">
        <v>7</v>
      </c>
      <c r="AI91" s="27" t="s">
        <v>8</v>
      </c>
      <c r="AS91" s="27" t="s">
        <v>8</v>
      </c>
      <c r="AT91" s="27" t="s">
        <v>7</v>
      </c>
      <c r="AU91" s="27" t="s">
        <v>8</v>
      </c>
      <c r="AV91" s="27" t="s">
        <v>7</v>
      </c>
    </row>
    <row r="92" spans="1:50" x14ac:dyDescent="0.25">
      <c r="A92" s="30">
        <v>15.863092971714948</v>
      </c>
      <c r="C92" s="1" t="s">
        <v>15</v>
      </c>
      <c r="E92" t="s">
        <v>8</v>
      </c>
      <c r="F92" s="27" t="s">
        <v>7</v>
      </c>
      <c r="G92" s="27" t="s">
        <v>8</v>
      </c>
      <c r="U92" s="27" t="s">
        <v>8</v>
      </c>
      <c r="AF92" s="27" t="s">
        <v>7</v>
      </c>
      <c r="AG92" s="27" t="s">
        <v>8</v>
      </c>
      <c r="AI92" s="27" t="s">
        <v>8</v>
      </c>
      <c r="AJ92" s="27" t="s">
        <v>7</v>
      </c>
      <c r="AS92" s="27" t="s">
        <v>8</v>
      </c>
      <c r="AT92" s="27" t="s">
        <v>7</v>
      </c>
      <c r="AU92" s="27" t="s">
        <v>8</v>
      </c>
      <c r="AV92" s="27" t="s">
        <v>7</v>
      </c>
    </row>
    <row r="93" spans="1:50" x14ac:dyDescent="0.25">
      <c r="A93" s="30">
        <v>14.420993610649951</v>
      </c>
      <c r="C93" s="7">
        <v>0.11167815779424731</v>
      </c>
      <c r="D93"/>
      <c r="E93" t="s">
        <v>8</v>
      </c>
      <c r="F93" s="27" t="s">
        <v>7</v>
      </c>
      <c r="G93" s="27" t="s">
        <v>8</v>
      </c>
      <c r="H93" s="27" t="s">
        <v>7</v>
      </c>
      <c r="U93" s="27" t="s">
        <v>8</v>
      </c>
      <c r="AF93" s="27" t="s">
        <v>7</v>
      </c>
      <c r="AG93" s="27" t="s">
        <v>8</v>
      </c>
      <c r="AH93" s="27" t="s">
        <v>7</v>
      </c>
      <c r="AI93" s="27" t="s">
        <v>8</v>
      </c>
      <c r="AJ93" s="27" t="s">
        <v>7</v>
      </c>
      <c r="AM93" s="27" t="s">
        <v>8</v>
      </c>
      <c r="AQ93" s="27" t="s">
        <v>8</v>
      </c>
      <c r="AS93" s="27" t="s">
        <v>8</v>
      </c>
      <c r="AT93" s="27" t="s">
        <v>7</v>
      </c>
      <c r="AV93" s="27" t="s">
        <v>7</v>
      </c>
    </row>
    <row r="94" spans="1:50" x14ac:dyDescent="0.25">
      <c r="A94" s="30">
        <v>13.109994191499954</v>
      </c>
      <c r="E94" t="s">
        <v>8</v>
      </c>
      <c r="F94" s="27" t="s">
        <v>7</v>
      </c>
      <c r="G94" s="27" t="s">
        <v>8</v>
      </c>
      <c r="H94" s="27" t="s">
        <v>7</v>
      </c>
      <c r="I94" s="27" t="s">
        <v>8</v>
      </c>
      <c r="S94" s="27" t="s">
        <v>8</v>
      </c>
      <c r="U94" s="27" t="s">
        <v>8</v>
      </c>
      <c r="AF94" s="27" t="s">
        <v>7</v>
      </c>
      <c r="AG94" s="27" t="s">
        <v>8</v>
      </c>
      <c r="AH94" s="27" t="s">
        <v>7</v>
      </c>
      <c r="AI94" s="27" t="s">
        <v>8</v>
      </c>
      <c r="AJ94" s="27" t="s">
        <v>7</v>
      </c>
      <c r="AM94" s="27" t="s">
        <v>8</v>
      </c>
      <c r="AN94" s="27" t="s">
        <v>7</v>
      </c>
      <c r="AO94" s="27" t="s">
        <v>8</v>
      </c>
      <c r="AQ94" s="27" t="s">
        <v>8</v>
      </c>
      <c r="AR94" s="27" t="s">
        <v>7</v>
      </c>
      <c r="AS94" s="27" t="s">
        <v>8</v>
      </c>
      <c r="AV94" s="27" t="s">
        <v>7</v>
      </c>
    </row>
    <row r="95" spans="1:50" x14ac:dyDescent="0.25">
      <c r="A95" s="30">
        <v>11.918176537727231</v>
      </c>
      <c r="C95" s="1" t="s">
        <v>11</v>
      </c>
      <c r="D95" s="1" t="s">
        <v>12</v>
      </c>
      <c r="E95" t="s">
        <v>8</v>
      </c>
      <c r="F95" s="27" t="s">
        <v>7</v>
      </c>
      <c r="H95" s="27" t="s">
        <v>7</v>
      </c>
      <c r="I95" s="27" t="s">
        <v>8</v>
      </c>
      <c r="J95" s="27" t="s">
        <v>7</v>
      </c>
      <c r="O95" s="27" t="s">
        <v>8</v>
      </c>
      <c r="S95" s="27" t="s">
        <v>8</v>
      </c>
      <c r="T95" s="27" t="s">
        <v>7</v>
      </c>
      <c r="U95" s="27" t="s">
        <v>8</v>
      </c>
      <c r="AF95" s="27" t="s">
        <v>7</v>
      </c>
      <c r="AG95" s="27" t="s">
        <v>8</v>
      </c>
      <c r="AH95" s="27" t="s">
        <v>7</v>
      </c>
      <c r="AJ95" s="27" t="s">
        <v>7</v>
      </c>
      <c r="AM95" s="27" t="s">
        <v>8</v>
      </c>
      <c r="AN95" s="27" t="s">
        <v>7</v>
      </c>
      <c r="AO95" s="27" t="s">
        <v>8</v>
      </c>
      <c r="AP95" s="27" t="s">
        <v>7</v>
      </c>
      <c r="AQ95" s="27" t="s">
        <v>8</v>
      </c>
      <c r="AR95" s="27" t="s">
        <v>7</v>
      </c>
      <c r="AS95" s="27" t="s">
        <v>8</v>
      </c>
      <c r="AV95" s="27" t="s">
        <v>7</v>
      </c>
      <c r="AW95" s="27" t="s">
        <v>8</v>
      </c>
    </row>
    <row r="96" spans="1:50" x14ac:dyDescent="0.25">
      <c r="A96" s="30">
        <v>10.834705943388391</v>
      </c>
      <c r="C96"/>
      <c r="D96"/>
      <c r="E96" t="s">
        <v>8</v>
      </c>
      <c r="H96" s="27" t="s">
        <v>7</v>
      </c>
      <c r="I96" s="27" t="s">
        <v>8</v>
      </c>
      <c r="J96" s="27" t="s">
        <v>7</v>
      </c>
      <c r="M96" s="27" t="s">
        <v>8</v>
      </c>
      <c r="O96" s="27" t="s">
        <v>8</v>
      </c>
      <c r="P96" s="27" t="s">
        <v>7</v>
      </c>
      <c r="Q96" s="27" t="s">
        <v>8</v>
      </c>
      <c r="S96" s="27" t="s">
        <v>8</v>
      </c>
      <c r="T96" s="27" t="s">
        <v>7</v>
      </c>
      <c r="U96" s="27" t="s">
        <v>8</v>
      </c>
      <c r="AF96" s="27" t="s">
        <v>7</v>
      </c>
      <c r="AG96" s="27" t="s">
        <v>8</v>
      </c>
      <c r="AJ96" s="27" t="s">
        <v>7</v>
      </c>
      <c r="AK96" s="27" t="s">
        <v>8</v>
      </c>
      <c r="AM96" s="27" t="s">
        <v>8</v>
      </c>
      <c r="AN96" s="27" t="s">
        <v>7</v>
      </c>
      <c r="AO96" s="27" t="s">
        <v>8</v>
      </c>
      <c r="AP96" s="27" t="s">
        <v>7</v>
      </c>
      <c r="AQ96" s="27" t="s">
        <v>8</v>
      </c>
      <c r="AR96" s="27" t="s">
        <v>7</v>
      </c>
      <c r="AV96" s="27" t="s">
        <v>7</v>
      </c>
      <c r="AW96" s="27" t="s">
        <v>8</v>
      </c>
      <c r="AX96" s="27" t="s">
        <v>7</v>
      </c>
    </row>
    <row r="97" spans="1:50" x14ac:dyDescent="0.25">
      <c r="A97" s="30">
        <v>9.849732675807628</v>
      </c>
      <c r="E97" t="s">
        <v>8</v>
      </c>
      <c r="H97" s="27" t="s">
        <v>7</v>
      </c>
      <c r="I97" s="27" t="s">
        <v>8</v>
      </c>
      <c r="J97" s="27" t="s">
        <v>7</v>
      </c>
      <c r="K97" s="27" t="s">
        <v>8</v>
      </c>
      <c r="M97" s="27" t="s">
        <v>8</v>
      </c>
      <c r="N97" s="27" t="s">
        <v>7</v>
      </c>
      <c r="O97" s="27" t="s">
        <v>8</v>
      </c>
      <c r="P97" s="27" t="s">
        <v>7</v>
      </c>
      <c r="Q97" s="27" t="s">
        <v>8</v>
      </c>
      <c r="R97" s="27" t="s">
        <v>7</v>
      </c>
      <c r="S97" s="27" t="s">
        <v>8</v>
      </c>
      <c r="T97" s="27" t="s">
        <v>7</v>
      </c>
      <c r="AF97" s="27" t="s">
        <v>7</v>
      </c>
      <c r="AJ97" s="27" t="s">
        <v>7</v>
      </c>
      <c r="AK97" s="27" t="s">
        <v>8</v>
      </c>
      <c r="AL97" s="27" t="s">
        <v>7</v>
      </c>
      <c r="AM97" s="27" t="s">
        <v>8</v>
      </c>
      <c r="AN97" s="27" t="s">
        <v>7</v>
      </c>
      <c r="AP97" s="27" t="s">
        <v>7</v>
      </c>
      <c r="AQ97" s="27" t="s">
        <v>8</v>
      </c>
      <c r="AV97" s="27" t="s">
        <v>7</v>
      </c>
      <c r="AW97" s="27" t="s">
        <v>8</v>
      </c>
      <c r="AX97" s="27" t="s">
        <v>7</v>
      </c>
    </row>
    <row r="98" spans="1:50" x14ac:dyDescent="0.25">
      <c r="A98" s="30">
        <v>8.9543024325523888</v>
      </c>
      <c r="C98" s="1" t="s">
        <v>13</v>
      </c>
      <c r="E98" t="s">
        <v>8</v>
      </c>
      <c r="H98" s="27" t="s">
        <v>7</v>
      </c>
      <c r="I98" s="27" t="s">
        <v>8</v>
      </c>
      <c r="J98" s="27" t="s">
        <v>7</v>
      </c>
      <c r="K98" s="27" t="s">
        <v>8</v>
      </c>
      <c r="L98" s="27" t="s">
        <v>7</v>
      </c>
      <c r="M98" s="27" t="s">
        <v>8</v>
      </c>
      <c r="N98" s="27" t="s">
        <v>7</v>
      </c>
      <c r="O98" s="27" t="s">
        <v>8</v>
      </c>
      <c r="P98" s="27" t="s">
        <v>7</v>
      </c>
      <c r="Q98" s="27" t="s">
        <v>8</v>
      </c>
      <c r="R98" s="27" t="s">
        <v>7</v>
      </c>
      <c r="S98" s="27" t="s">
        <v>8</v>
      </c>
      <c r="AJ98" s="27" t="s">
        <v>7</v>
      </c>
      <c r="AK98" s="27" t="s">
        <v>8</v>
      </c>
      <c r="AL98" s="27" t="s">
        <v>7</v>
      </c>
      <c r="AM98" s="27" t="s">
        <v>8</v>
      </c>
      <c r="AP98" s="27" t="s">
        <v>7</v>
      </c>
      <c r="AV98" s="27" t="s">
        <v>7</v>
      </c>
      <c r="AX98" s="27" t="s">
        <v>7</v>
      </c>
    </row>
    <row r="99" spans="1:50" x14ac:dyDescent="0.25">
      <c r="A99" s="30">
        <v>8.140274938683989</v>
      </c>
      <c r="C99" s="1">
        <f>C88</f>
        <v>0</v>
      </c>
      <c r="E99" t="s">
        <v>8</v>
      </c>
      <c r="H99" s="27" t="s">
        <v>7</v>
      </c>
      <c r="I99" s="27" t="s">
        <v>8</v>
      </c>
      <c r="J99" s="27" t="s">
        <v>7</v>
      </c>
      <c r="K99" s="27" t="s">
        <v>8</v>
      </c>
      <c r="L99" s="27" t="s">
        <v>7</v>
      </c>
      <c r="M99" s="27" t="s">
        <v>8</v>
      </c>
      <c r="N99" s="27" t="s">
        <v>7</v>
      </c>
      <c r="P99" s="27" t="s">
        <v>7</v>
      </c>
      <c r="R99" s="27" t="s">
        <v>7</v>
      </c>
      <c r="S99" s="27" t="s">
        <v>8</v>
      </c>
      <c r="AJ99" s="27" t="s">
        <v>7</v>
      </c>
      <c r="AL99" s="18" t="s">
        <v>7</v>
      </c>
      <c r="AM99" s="27" t="s">
        <v>8</v>
      </c>
      <c r="AX99" s="27" t="s">
        <v>7</v>
      </c>
    </row>
    <row r="100" spans="1:50" x14ac:dyDescent="0.25">
      <c r="A100" s="30">
        <v>7.4002499442581717</v>
      </c>
      <c r="C100"/>
      <c r="D100"/>
      <c r="E100" t="s">
        <v>8</v>
      </c>
      <c r="H100" s="27" t="s">
        <v>7</v>
      </c>
      <c r="I100" s="27" t="s">
        <v>8</v>
      </c>
      <c r="J100" s="27" t="s">
        <v>7</v>
      </c>
      <c r="L100" s="27" t="s">
        <v>7</v>
      </c>
      <c r="M100" s="27" t="s">
        <v>8</v>
      </c>
      <c r="R100" s="27" t="s">
        <v>7</v>
      </c>
      <c r="AL100" s="27" t="s">
        <v>7</v>
      </c>
      <c r="AX100" s="27" t="s">
        <v>7</v>
      </c>
    </row>
    <row r="101" spans="1:50" x14ac:dyDescent="0.25">
      <c r="A101" s="30">
        <v>6.72749994932561</v>
      </c>
      <c r="C101" s="1" t="s">
        <v>14</v>
      </c>
      <c r="E101" t="s">
        <v>8</v>
      </c>
      <c r="H101" s="27" t="s">
        <v>7</v>
      </c>
      <c r="I101" s="27" t="s">
        <v>8</v>
      </c>
      <c r="L101" s="27" t="s">
        <v>7</v>
      </c>
      <c r="AX101" s="27" t="s">
        <v>7</v>
      </c>
    </row>
    <row r="102" spans="1:50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  <c r="H102" s="27" t="s">
        <v>7</v>
      </c>
      <c r="AX102" s="27" t="s">
        <v>7</v>
      </c>
    </row>
    <row r="103" spans="1:50" x14ac:dyDescent="0.25">
      <c r="A103" s="30">
        <v>5.5599173134922388</v>
      </c>
      <c r="E103" t="s">
        <v>8</v>
      </c>
      <c r="AX103" s="27" t="s">
        <v>7</v>
      </c>
    </row>
    <row r="104" spans="1:50" x14ac:dyDescent="0.25">
      <c r="A104" s="30">
        <v>5.0544702849929442</v>
      </c>
      <c r="E104" t="s">
        <v>8</v>
      </c>
    </row>
    <row r="105" spans="1:50" x14ac:dyDescent="0.25">
      <c r="A105" s="30">
        <v>4.594972986357222</v>
      </c>
      <c r="E105" t="s">
        <v>8</v>
      </c>
    </row>
    <row r="106" spans="1:50" x14ac:dyDescent="0.25">
      <c r="A106" s="30">
        <v>4.1772481694156562</v>
      </c>
      <c r="E106" t="s">
        <v>8</v>
      </c>
    </row>
    <row r="107" spans="1:50" x14ac:dyDescent="0.25">
      <c r="A107" s="30">
        <v>3.7974983358324148</v>
      </c>
      <c r="E107" t="s">
        <v>8</v>
      </c>
    </row>
    <row r="108" spans="1:50" x14ac:dyDescent="0.25">
      <c r="A108" s="30">
        <v>3.4522712143931042</v>
      </c>
      <c r="E108" t="s">
        <v>8</v>
      </c>
    </row>
    <row r="109" spans="1:50" x14ac:dyDescent="0.25">
      <c r="A109" s="30">
        <v>3.1384283767210035</v>
      </c>
      <c r="E109" t="s">
        <v>8</v>
      </c>
    </row>
    <row r="110" spans="1:50" x14ac:dyDescent="0.25">
      <c r="A110" s="30">
        <v>2.8531167061100029</v>
      </c>
      <c r="E110" t="s">
        <v>8</v>
      </c>
    </row>
    <row r="111" spans="1:50" x14ac:dyDescent="0.25">
      <c r="A111" s="30">
        <v>2.5937424601000023</v>
      </c>
      <c r="C111" s="1" t="str">
        <f>ADDRESS(C121-1,1,1,1)</f>
        <v>$A$102</v>
      </c>
      <c r="D111" s="1" t="str">
        <f>ADDRESS(C121-1,D121,1,1)</f>
        <v>$AX$102</v>
      </c>
      <c r="E111" t="s">
        <v>8</v>
      </c>
    </row>
    <row r="112" spans="1:50" x14ac:dyDescent="0.25">
      <c r="A112" s="30">
        <v>2.3579476910000019</v>
      </c>
      <c r="C112" s="1" t="str">
        <f>ADDRESS(C121,1,1,1)</f>
        <v>$A$103</v>
      </c>
      <c r="D112" s="1" t="str">
        <f>ADDRESS(C121,D121-1,1,1)</f>
        <v>$AW$103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$A$104</v>
      </c>
      <c r="D113" s="1" t="str">
        <f>ADDRESS(C121-1,D121+1,1,1)</f>
        <v>$AY$102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$AX$103</v>
      </c>
      <c r="D114" s="1" t="str">
        <f>ADDRESS(C121+1,D121+1,1,1)</f>
        <v>$AY$104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$AX$104</v>
      </c>
      <c r="E115" s="1" t="s">
        <v>8</v>
      </c>
    </row>
    <row r="116" spans="1:5" x14ac:dyDescent="0.25">
      <c r="A116" s="30">
        <v>1.6105100000000008</v>
      </c>
      <c r="C116" s="1">
        <f>C117-1</f>
        <v>102</v>
      </c>
      <c r="E116" s="1" t="s">
        <v>8</v>
      </c>
    </row>
    <row r="117" spans="1:5" x14ac:dyDescent="0.25">
      <c r="A117" s="30">
        <v>1.4641000000000006</v>
      </c>
      <c r="C117" s="1">
        <f>C121</f>
        <v>103</v>
      </c>
      <c r="D117" s="1">
        <f>D121</f>
        <v>50</v>
      </c>
      <c r="E117" s="1" t="s">
        <v>8</v>
      </c>
    </row>
    <row r="118" spans="1:5" x14ac:dyDescent="0.25">
      <c r="A118" s="30">
        <v>1.3310000000000004</v>
      </c>
      <c r="C118" s="1">
        <f>C117+1</f>
        <v>104</v>
      </c>
      <c r="D118" s="1">
        <f>D117+1</f>
        <v>51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103</v>
      </c>
      <c r="D121" s="19">
        <v>50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R103</v>
      </c>
      <c r="D123" s="1" t="str">
        <f>"C"&amp;D121</f>
        <v>C50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5.5599173134922388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10" operator="equal">
      <formula>$U$1</formula>
    </cfRule>
    <cfRule type="cellIs" dxfId="30" priority="911" operator="equal">
      <formula>$S$1</formula>
    </cfRule>
  </conditionalFormatting>
  <conditionalFormatting sqref="D136">
    <cfRule type="cellIs" dxfId="29" priority="908" operator="equal">
      <formula>$S$1</formula>
    </cfRule>
    <cfRule type="cellIs" dxfId="28" priority="909" operator="equal">
      <formula>$U$1</formula>
    </cfRule>
  </conditionalFormatting>
  <conditionalFormatting sqref="C102">
    <cfRule type="cellIs" dxfId="27" priority="906" operator="equal">
      <formula>$U$1</formula>
    </cfRule>
    <cfRule type="cellIs" dxfId="26" priority="907" operator="equal">
      <formula>$S$1</formula>
    </cfRule>
  </conditionalFormatting>
  <conditionalFormatting sqref="D102">
    <cfRule type="cellIs" dxfId="25" priority="904" operator="equal">
      <formula>$S$1</formula>
    </cfRule>
    <cfRule type="cellIs" dxfId="24" priority="905" operator="equal">
      <formula>$U$1</formula>
    </cfRule>
  </conditionalFormatting>
  <conditionalFormatting sqref="C77">
    <cfRule type="cellIs" dxfId="23" priority="902" operator="equal">
      <formula>$U$1</formula>
    </cfRule>
    <cfRule type="cellIs" dxfId="22" priority="903" operator="equal">
      <formula>$S$1</formula>
    </cfRule>
  </conditionalFormatting>
  <conditionalFormatting sqref="D77">
    <cfRule type="cellIs" dxfId="21" priority="900" operator="equal">
      <formula>$S$1</formula>
    </cfRule>
    <cfRule type="cellIs" dxfId="20" priority="901" operator="equal">
      <formula>$U$1</formula>
    </cfRule>
  </conditionalFormatting>
  <conditionalFormatting sqref="C52">
    <cfRule type="cellIs" dxfId="19" priority="898" operator="equal">
      <formula>$U$1</formula>
    </cfRule>
    <cfRule type="cellIs" dxfId="18" priority="899" operator="equal">
      <formula>$S$1</formula>
    </cfRule>
  </conditionalFormatting>
  <conditionalFormatting sqref="D52">
    <cfRule type="cellIs" dxfId="17" priority="896" operator="equal">
      <formula>$S$1</formula>
    </cfRule>
    <cfRule type="cellIs" dxfId="16" priority="897" operator="equal">
      <formula>$U$1</formula>
    </cfRule>
  </conditionalFormatting>
  <conditionalFormatting sqref="C26">
    <cfRule type="cellIs" dxfId="15" priority="894" operator="equal">
      <formula>$U$1</formula>
    </cfRule>
    <cfRule type="cellIs" dxfId="14" priority="895" operator="equal">
      <formula>$S$1</formula>
    </cfRule>
  </conditionalFormatting>
  <conditionalFormatting sqref="D26">
    <cfRule type="cellIs" dxfId="13" priority="892" operator="equal">
      <formula>$S$1</formula>
    </cfRule>
    <cfRule type="cellIs" dxfId="12" priority="893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2022-01-28T01:22:36Z</dcterms:modified>
</cp:coreProperties>
</file>